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2A865C3-8A27-4A2B-8816-F4674B524D2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16" i="4"/>
  <c r="C122" i="5"/>
  <c r="C133" i="5" s="1"/>
  <c r="D136" i="5" s="1"/>
  <c r="C116" i="5"/>
  <c r="C118" i="4"/>
  <c r="R765" i="1"/>
  <c r="C118" i="3"/>
  <c r="C122" i="3"/>
  <c r="C133" i="3" s="1"/>
  <c r="C136" i="3" s="1"/>
  <c r="C136" i="4" l="1"/>
  <c r="C138" i="4" s="1"/>
  <c r="C136" i="5"/>
  <c r="C138" i="5" s="1"/>
  <c r="R764" i="1"/>
  <c r="S765" i="1"/>
  <c r="T765" i="1" s="1"/>
  <c r="D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S745" i="1" l="1"/>
  <c r="T745" i="1" s="1"/>
  <c r="R744" i="1"/>
  <c r="R743" i="1" l="1"/>
  <c r="S744" i="1"/>
  <c r="T744" i="1" s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S737" i="1" l="1"/>
  <c r="T737" i="1" s="1"/>
  <c r="R736" i="1"/>
  <c r="R735" i="1" l="1"/>
  <c r="S736" i="1"/>
  <c r="T736" i="1" s="1"/>
  <c r="S735" i="1" l="1"/>
  <c r="T735" i="1" s="1"/>
  <c r="R734" i="1"/>
  <c r="R733" i="1" l="1"/>
  <c r="S734" i="1"/>
  <c r="T734" i="1" s="1"/>
  <c r="S733" i="1" l="1"/>
  <c r="T733" i="1" s="1"/>
  <c r="R732" i="1"/>
  <c r="S732" i="1" l="1"/>
  <c r="T732" i="1" s="1"/>
  <c r="R731" i="1"/>
  <c r="S731" i="1" l="1"/>
  <c r="T731" i="1" s="1"/>
  <c r="R730" i="1"/>
  <c r="S730" i="1" l="1"/>
  <c r="T730" i="1" s="1"/>
  <c r="R729" i="1"/>
  <c r="R728" i="1" l="1"/>
  <c r="S729" i="1"/>
  <c r="T729" i="1" s="1"/>
  <c r="S728" i="1" l="1"/>
  <c r="T728" i="1" s="1"/>
  <c r="R727" i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S717" i="1" l="1"/>
  <c r="T717" i="1" s="1"/>
  <c r="R716" i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R653" i="1" l="1"/>
  <c r="S654" i="1"/>
  <c r="T654" i="1" s="1"/>
  <c r="S653" i="1" l="1"/>
  <c r="T653" i="1" s="1"/>
  <c r="R652" i="1"/>
  <c r="S652" i="1" l="1"/>
  <c r="T652" i="1" s="1"/>
  <c r="R651" i="1"/>
  <c r="S651" i="1" l="1"/>
  <c r="T651" i="1" s="1"/>
  <c r="R650" i="1"/>
  <c r="S650" i="1" l="1"/>
  <c r="T650" i="1" s="1"/>
  <c r="R649" i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S640" i="1" l="1"/>
  <c r="T640" i="1" s="1"/>
  <c r="R639" i="1"/>
  <c r="S639" i="1" l="1"/>
  <c r="T639" i="1" s="1"/>
  <c r="R638" i="1"/>
  <c r="R637" i="1" l="1"/>
  <c r="S638" i="1"/>
  <c r="T638" i="1" s="1"/>
  <c r="S637" i="1" l="1"/>
  <c r="T637" i="1" s="1"/>
  <c r="R636" i="1"/>
  <c r="R635" i="1" l="1"/>
  <c r="S636" i="1"/>
  <c r="T636" i="1" s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R608" i="1" l="1"/>
  <c r="S609" i="1"/>
  <c r="T609" i="1" s="1"/>
  <c r="S608" i="1" l="1"/>
  <c r="T608" i="1" s="1"/>
  <c r="R607" i="1"/>
  <c r="R606" i="1" l="1"/>
  <c r="S607" i="1"/>
  <c r="T607" i="1" s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S587" i="1" l="1"/>
  <c r="T587" i="1" s="1"/>
  <c r="R586" i="1"/>
  <c r="R585" i="1" l="1"/>
  <c r="S586" i="1"/>
  <c r="T586" i="1" s="1"/>
  <c r="S585" i="1" l="1"/>
  <c r="T585" i="1" s="1"/>
  <c r="R584" i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S554" i="1" l="1"/>
  <c r="T554" i="1" s="1"/>
  <c r="R553" i="1"/>
  <c r="R552" i="1" l="1"/>
  <c r="S553" i="1"/>
  <c r="T553" i="1" s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R473" i="1" l="1"/>
  <c r="S474" i="1"/>
  <c r="T474" i="1" s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S444" i="1" l="1"/>
  <c r="T444" i="1" s="1"/>
  <c r="R443" i="1"/>
  <c r="R442" i="1" l="1"/>
  <c r="S443" i="1"/>
  <c r="T443" i="1" s="1"/>
  <c r="R441" i="1" l="1"/>
  <c r="S442" i="1"/>
  <c r="T442" i="1" s="1"/>
  <c r="S441" i="1" l="1"/>
  <c r="T441" i="1" s="1"/>
  <c r="R440" i="1"/>
  <c r="S440" i="1" l="1"/>
  <c r="T440" i="1" s="1"/>
  <c r="R439" i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S432" i="1" l="1"/>
  <c r="T432" i="1" s="1"/>
  <c r="R431" i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S424" i="1" l="1"/>
  <c r="T424" i="1" s="1"/>
  <c r="R423" i="1"/>
  <c r="R422" i="1" l="1"/>
  <c r="S423" i="1"/>
  <c r="T423" i="1" s="1"/>
  <c r="S422" i="1" l="1"/>
  <c r="T422" i="1" s="1"/>
  <c r="R421" i="1"/>
  <c r="R420" i="1" l="1"/>
  <c r="S421" i="1"/>
  <c r="T421" i="1" s="1"/>
  <c r="S420" i="1" l="1"/>
  <c r="T420" i="1" s="1"/>
  <c r="R419" i="1"/>
  <c r="R418" i="1" l="1"/>
  <c r="S419" i="1"/>
  <c r="T419" i="1" s="1"/>
  <c r="S418" i="1" l="1"/>
  <c r="T418" i="1" s="1"/>
  <c r="R417" i="1"/>
  <c r="R416" i="1" l="1"/>
  <c r="S417" i="1"/>
  <c r="T417" i="1" s="1"/>
  <c r="S416" i="1" l="1"/>
  <c r="T416" i="1" s="1"/>
  <c r="R415" i="1"/>
  <c r="R414" i="1" l="1"/>
  <c r="S415" i="1"/>
  <c r="T415" i="1" s="1"/>
  <c r="R413" i="1" l="1"/>
  <c r="S414" i="1"/>
  <c r="T414" i="1" s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S365" i="1" l="1"/>
  <c r="T365" i="1" s="1"/>
  <c r="R364" i="1"/>
  <c r="S364" i="1" l="1"/>
  <c r="T364" i="1" s="1"/>
  <c r="R363" i="1"/>
  <c r="S363" i="1" l="1"/>
  <c r="T363" i="1" s="1"/>
  <c r="R362" i="1"/>
  <c r="S362" i="1" l="1"/>
  <c r="T362" i="1" s="1"/>
  <c r="R361" i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R335" i="1" l="1"/>
  <c r="S336" i="1"/>
  <c r="T336" i="1" s="1"/>
  <c r="S335" i="1" l="1"/>
  <c r="T335" i="1" s="1"/>
  <c r="R334" i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S256" i="1" l="1"/>
  <c r="T256" i="1" s="1"/>
  <c r="R255" i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S183" i="1" l="1"/>
  <c r="T183" i="1" s="1"/>
  <c r="R182" i="1"/>
  <c r="R181" i="1" l="1"/>
  <c r="S182" i="1"/>
  <c r="T182" i="1" s="1"/>
  <c r="S181" i="1" l="1"/>
  <c r="T181" i="1" s="1"/>
  <c r="R180" i="1"/>
  <c r="R179" i="1" l="1"/>
  <c r="S180" i="1"/>
  <c r="T180" i="1" s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S175" i="1" l="1"/>
  <c r="T175" i="1" s="1"/>
  <c r="R174" i="1"/>
  <c r="R173" i="1" l="1"/>
  <c r="S174" i="1"/>
  <c r="T174" i="1" s="1"/>
  <c r="S173" i="1" l="1"/>
  <c r="T173" i="1" s="1"/>
  <c r="R172" i="1"/>
  <c r="R171" i="1" l="1"/>
  <c r="S172" i="1"/>
  <c r="T172" i="1" s="1"/>
  <c r="S171" i="1" l="1"/>
  <c r="T171" i="1" s="1"/>
  <c r="R170" i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S129" i="1" l="1"/>
  <c r="T129" i="1" s="1"/>
  <c r="R128" i="1"/>
  <c r="R127" i="1" l="1"/>
  <c r="S128" i="1"/>
  <c r="T128" i="1" s="1"/>
  <c r="S127" i="1" l="1"/>
  <c r="T127" i="1" s="1"/>
  <c r="R126" i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R27" i="1" l="1"/>
  <c r="S28" i="1"/>
  <c r="T28" i="1" s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<sst xmlns="http://schemas.openxmlformats.org/spreadsheetml/2006/main" count="6523" uniqueCount="34">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</sst>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3.6830000000000001E-3</c:v>
                </c:pt>
                <c:pt idx="1">
                  <c:v>3.8140000000000001E-3</c:v>
                </c:pt>
                <c:pt idx="2">
                  <c:v>3.6510000000000002E-3</c:v>
                </c:pt>
                <c:pt idx="3">
                  <c:v>3.6080000000000001E-3</c:v>
                </c:pt>
                <c:pt idx="4">
                  <c:v>3.8530000000000001E-3</c:v>
                </c:pt>
                <c:pt idx="5">
                  <c:v>3.7620000000000002E-3</c:v>
                </c:pt>
                <c:pt idx="6">
                  <c:v>4.0930000000000003E-3</c:v>
                </c:pt>
                <c:pt idx="7">
                  <c:v>4.8260000000000004E-3</c:v>
                </c:pt>
                <c:pt idx="8">
                  <c:v>4.9899999999999996E-3</c:v>
                </c:pt>
                <c:pt idx="9">
                  <c:v>5.1580000000000003E-3</c:v>
                </c:pt>
                <c:pt idx="10">
                  <c:v>5.1830000000000001E-3</c:v>
                </c:pt>
                <c:pt idx="11">
                  <c:v>5.3090000000000004E-3</c:v>
                </c:pt>
                <c:pt idx="12">
                  <c:v>5.391E-3</c:v>
                </c:pt>
                <c:pt idx="13">
                  <c:v>5.3179999999999998E-3</c:v>
                </c:pt>
                <c:pt idx="14">
                  <c:v>5.2880000000000002E-3</c:v>
                </c:pt>
                <c:pt idx="15">
                  <c:v>5.6080000000000001E-3</c:v>
                </c:pt>
                <c:pt idx="16">
                  <c:v>5.3189999999999999E-3</c:v>
                </c:pt>
                <c:pt idx="17">
                  <c:v>5.1640000000000002E-3</c:v>
                </c:pt>
                <c:pt idx="18">
                  <c:v>5.3290000000000004E-3</c:v>
                </c:pt>
                <c:pt idx="19">
                  <c:v>5.2779999999999997E-3</c:v>
                </c:pt>
                <c:pt idx="20">
                  <c:v>5.4349999999999997E-3</c:v>
                </c:pt>
                <c:pt idx="21">
                  <c:v>5.9239999999999996E-3</c:v>
                </c:pt>
                <c:pt idx="22">
                  <c:v>6.0330000000000002E-3</c:v>
                </c:pt>
                <c:pt idx="23">
                  <c:v>6.2240000000000004E-3</c:v>
                </c:pt>
                <c:pt idx="24">
                  <c:v>6.1809999999999999E-3</c:v>
                </c:pt>
                <c:pt idx="25">
                  <c:v>6.3689999999999997E-3</c:v>
                </c:pt>
                <c:pt idx="26">
                  <c:v>6.3749999999999996E-3</c:v>
                </c:pt>
                <c:pt idx="27">
                  <c:v>6.0499999999999998E-3</c:v>
                </c:pt>
                <c:pt idx="28">
                  <c:v>6.3559999999999997E-3</c:v>
                </c:pt>
                <c:pt idx="29">
                  <c:v>6.2760000000000003E-3</c:v>
                </c:pt>
                <c:pt idx="30">
                  <c:v>6.7650000000000002E-3</c:v>
                </c:pt>
                <c:pt idx="31">
                  <c:v>7.6160000000000004E-3</c:v>
                </c:pt>
                <c:pt idx="32">
                  <c:v>6.3090000000000004E-3</c:v>
                </c:pt>
                <c:pt idx="33">
                  <c:v>6.3530000000000001E-3</c:v>
                </c:pt>
                <c:pt idx="34">
                  <c:v>6.1900000000000002E-3</c:v>
                </c:pt>
                <c:pt idx="35">
                  <c:v>6.332E-3</c:v>
                </c:pt>
                <c:pt idx="36">
                  <c:v>5.9040000000000004E-3</c:v>
                </c:pt>
                <c:pt idx="37">
                  <c:v>5.5929999999999999E-3</c:v>
                </c:pt>
                <c:pt idx="38">
                  <c:v>5.4180000000000001E-3</c:v>
                </c:pt>
                <c:pt idx="39">
                  <c:v>5.5799999999999999E-3</c:v>
                </c:pt>
                <c:pt idx="40">
                  <c:v>5.6439999999999997E-3</c:v>
                </c:pt>
                <c:pt idx="41">
                  <c:v>5.5240000000000003E-3</c:v>
                </c:pt>
                <c:pt idx="42">
                  <c:v>5.757E-3</c:v>
                </c:pt>
                <c:pt idx="43">
                  <c:v>5.6709999999999998E-3</c:v>
                </c:pt>
                <c:pt idx="44">
                  <c:v>5.6039999999999996E-3</c:v>
                </c:pt>
                <c:pt idx="45">
                  <c:v>5.6499999999999996E-3</c:v>
                </c:pt>
                <c:pt idx="46">
                  <c:v>6.3160000000000004E-3</c:v>
                </c:pt>
                <c:pt idx="47">
                  <c:v>6.1500000000000001E-3</c:v>
                </c:pt>
                <c:pt idx="48">
                  <c:v>6.0780000000000001E-3</c:v>
                </c:pt>
                <c:pt idx="49">
                  <c:v>6.2459999999999998E-3</c:v>
                </c:pt>
                <c:pt idx="50">
                  <c:v>6.8599999999999998E-3</c:v>
                </c:pt>
                <c:pt idx="51">
                  <c:v>6.7130000000000002E-3</c:v>
                </c:pt>
                <c:pt idx="52">
                  <c:v>6.8599999999999998E-3</c:v>
                </c:pt>
                <c:pt idx="53">
                  <c:v>6.7159999999999997E-3</c:v>
                </c:pt>
                <c:pt idx="54">
                  <c:v>7.0749999999999997E-3</c:v>
                </c:pt>
                <c:pt idx="55">
                  <c:v>7.8639999999999995E-3</c:v>
                </c:pt>
                <c:pt idx="56">
                  <c:v>8.2909999999999998E-3</c:v>
                </c:pt>
                <c:pt idx="57">
                  <c:v>8.2920000000000008E-3</c:v>
                </c:pt>
                <c:pt idx="58">
                  <c:v>8.2850000000000007E-3</c:v>
                </c:pt>
                <c:pt idx="59">
                  <c:v>8.6269999999999993E-3</c:v>
                </c:pt>
                <c:pt idx="60">
                  <c:v>8.5500000000000003E-3</c:v>
                </c:pt>
                <c:pt idx="61">
                  <c:v>8.3789999999999993E-3</c:v>
                </c:pt>
                <c:pt idx="62">
                  <c:v>8.1779999999999995E-3</c:v>
                </c:pt>
                <c:pt idx="63">
                  <c:v>9.0220000000000005E-3</c:v>
                </c:pt>
                <c:pt idx="64">
                  <c:v>8.8880000000000001E-3</c:v>
                </c:pt>
                <c:pt idx="65">
                  <c:v>9.1050000000000002E-3</c:v>
                </c:pt>
                <c:pt idx="66">
                  <c:v>9.2739999999999993E-3</c:v>
                </c:pt>
                <c:pt idx="67">
                  <c:v>9.9900000000000006E-3</c:v>
                </c:pt>
                <c:pt idx="68">
                  <c:v>9.3430000000000006E-3</c:v>
                </c:pt>
                <c:pt idx="69">
                  <c:v>8.8830000000000003E-3</c:v>
                </c:pt>
                <c:pt idx="70">
                  <c:v>8.2140000000000008E-3</c:v>
                </c:pt>
                <c:pt idx="71">
                  <c:v>9.1649999999999995E-3</c:v>
                </c:pt>
                <c:pt idx="72">
                  <c:v>9.0200000000000002E-3</c:v>
                </c:pt>
                <c:pt idx="73">
                  <c:v>9.9279999999999993E-3</c:v>
                </c:pt>
                <c:pt idx="74">
                  <c:v>1.0003E-2</c:v>
                </c:pt>
                <c:pt idx="75">
                  <c:v>1.0094000000000001E-2</c:v>
                </c:pt>
                <c:pt idx="76">
                  <c:v>1.0378E-2</c:v>
                </c:pt>
                <c:pt idx="77">
                  <c:v>1.0656000000000001E-2</c:v>
                </c:pt>
                <c:pt idx="78">
                  <c:v>1.0682000000000001E-2</c:v>
                </c:pt>
                <c:pt idx="79">
                  <c:v>1.1357000000000001E-2</c:v>
                </c:pt>
                <c:pt idx="80">
                  <c:v>1.1882999999999999E-2</c:v>
                </c:pt>
                <c:pt idx="81">
                  <c:v>1.103E-2</c:v>
                </c:pt>
                <c:pt idx="82">
                  <c:v>1.1455999999999999E-2</c:v>
                </c:pt>
                <c:pt idx="83">
                  <c:v>1.1365999999999999E-2</c:v>
                </c:pt>
                <c:pt idx="84">
                  <c:v>1.1440000000000001E-2</c:v>
                </c:pt>
                <c:pt idx="85">
                  <c:v>1.0114E-2</c:v>
                </c:pt>
                <c:pt idx="86">
                  <c:v>1.0595E-2</c:v>
                </c:pt>
                <c:pt idx="87">
                  <c:v>1.0624E-2</c:v>
                </c:pt>
                <c:pt idx="88">
                  <c:v>9.6760000000000006E-3</c:v>
                </c:pt>
                <c:pt idx="89">
                  <c:v>9.4509999999999993E-3</c:v>
                </c:pt>
                <c:pt idx="90">
                  <c:v>9.502E-3</c:v>
                </c:pt>
                <c:pt idx="91">
                  <c:v>9.3790000000000002E-3</c:v>
                </c:pt>
                <c:pt idx="92">
                  <c:v>9.2540000000000001E-3</c:v>
                </c:pt>
                <c:pt idx="93">
                  <c:v>9.8589999999999997E-3</c:v>
                </c:pt>
                <c:pt idx="94">
                  <c:v>9.7230000000000007E-3</c:v>
                </c:pt>
                <c:pt idx="95">
                  <c:v>9.5580000000000005E-3</c:v>
                </c:pt>
                <c:pt idx="96">
                  <c:v>9.7890000000000008E-3</c:v>
                </c:pt>
                <c:pt idx="97">
                  <c:v>1.0026999999999999E-2</c:v>
                </c:pt>
                <c:pt idx="98">
                  <c:v>9.6500000000000006E-3</c:v>
                </c:pt>
                <c:pt idx="99">
                  <c:v>9.5770000000000004E-3</c:v>
                </c:pt>
                <c:pt idx="100">
                  <c:v>9.1889999999999993E-3</c:v>
                </c:pt>
                <c:pt idx="101">
                  <c:v>9.3779999999999992E-3</c:v>
                </c:pt>
                <c:pt idx="102">
                  <c:v>9.5670000000000009E-3</c:v>
                </c:pt>
                <c:pt idx="103">
                  <c:v>9.5709999999999996E-3</c:v>
                </c:pt>
                <c:pt idx="104">
                  <c:v>9.587E-3</c:v>
                </c:pt>
                <c:pt idx="105">
                  <c:v>9.7470000000000005E-3</c:v>
                </c:pt>
                <c:pt idx="106">
                  <c:v>9.4830000000000001E-3</c:v>
                </c:pt>
                <c:pt idx="107">
                  <c:v>8.9770000000000006E-3</c:v>
                </c:pt>
                <c:pt idx="108">
                  <c:v>9.044E-3</c:v>
                </c:pt>
                <c:pt idx="109">
                  <c:v>9.2700000000000005E-3</c:v>
                </c:pt>
                <c:pt idx="110">
                  <c:v>9.8239999999999994E-3</c:v>
                </c:pt>
                <c:pt idx="111">
                  <c:v>9.5899999999999996E-3</c:v>
                </c:pt>
                <c:pt idx="112">
                  <c:v>9.8779999999999996E-3</c:v>
                </c:pt>
                <c:pt idx="113">
                  <c:v>1.0429000000000001E-2</c:v>
                </c:pt>
                <c:pt idx="114">
                  <c:v>1.0631E-2</c:v>
                </c:pt>
                <c:pt idx="115">
                  <c:v>9.2709999999999997E-3</c:v>
                </c:pt>
                <c:pt idx="116">
                  <c:v>9.5469999999999999E-3</c:v>
                </c:pt>
                <c:pt idx="117">
                  <c:v>9.5849999999999998E-3</c:v>
                </c:pt>
                <c:pt idx="118">
                  <c:v>9.6399999999999993E-3</c:v>
                </c:pt>
                <c:pt idx="119">
                  <c:v>8.4469999999999996E-3</c:v>
                </c:pt>
                <c:pt idx="120">
                  <c:v>8.3009999999999994E-3</c:v>
                </c:pt>
                <c:pt idx="121">
                  <c:v>7.5620000000000001E-3</c:v>
                </c:pt>
                <c:pt idx="122">
                  <c:v>7.7229999999999998E-3</c:v>
                </c:pt>
                <c:pt idx="123">
                  <c:v>8.0809999999999996E-3</c:v>
                </c:pt>
                <c:pt idx="124">
                  <c:v>8.0110000000000008E-3</c:v>
                </c:pt>
                <c:pt idx="125">
                  <c:v>8.1849999999999996E-3</c:v>
                </c:pt>
                <c:pt idx="126">
                  <c:v>8.7810000000000006E-3</c:v>
                </c:pt>
                <c:pt idx="127">
                  <c:v>8.9519999999999999E-3</c:v>
                </c:pt>
                <c:pt idx="128">
                  <c:v>8.0459999999999993E-3</c:v>
                </c:pt>
                <c:pt idx="129">
                  <c:v>8.0149999999999996E-3</c:v>
                </c:pt>
                <c:pt idx="130">
                  <c:v>8.8090000000000009E-3</c:v>
                </c:pt>
                <c:pt idx="131">
                  <c:v>9.2680000000000002E-3</c:v>
                </c:pt>
                <c:pt idx="132">
                  <c:v>9.1870000000000007E-3</c:v>
                </c:pt>
                <c:pt idx="133">
                  <c:v>9.7409999999999997E-3</c:v>
                </c:pt>
                <c:pt idx="134">
                  <c:v>1.0281999999999999E-2</c:v>
                </c:pt>
                <c:pt idx="135">
                  <c:v>9.8080000000000007E-3</c:v>
                </c:pt>
                <c:pt idx="136">
                  <c:v>9.5709999999999996E-3</c:v>
                </c:pt>
                <c:pt idx="137">
                  <c:v>1.0111999999999999E-2</c:v>
                </c:pt>
                <c:pt idx="138">
                  <c:v>9.8840000000000004E-3</c:v>
                </c:pt>
                <c:pt idx="139">
                  <c:v>9.7640000000000001E-3</c:v>
                </c:pt>
                <c:pt idx="140">
                  <c:v>1.0366999999999999E-2</c:v>
                </c:pt>
                <c:pt idx="141">
                  <c:v>1.0284E-2</c:v>
                </c:pt>
                <c:pt idx="142">
                  <c:v>1.0468999999999999E-2</c:v>
                </c:pt>
                <c:pt idx="143">
                  <c:v>1.2311000000000001E-2</c:v>
                </c:pt>
                <c:pt idx="144">
                  <c:v>1.2688E-2</c:v>
                </c:pt>
                <c:pt idx="145">
                  <c:v>1.2031999999999999E-2</c:v>
                </c:pt>
                <c:pt idx="146">
                  <c:v>1.2185E-2</c:v>
                </c:pt>
                <c:pt idx="147">
                  <c:v>1.2576E-2</c:v>
                </c:pt>
                <c:pt idx="148">
                  <c:v>1.2966999999999999E-2</c:v>
                </c:pt>
                <c:pt idx="149">
                  <c:v>1.0841999999999999E-2</c:v>
                </c:pt>
                <c:pt idx="150">
                  <c:v>1.0577E-2</c:v>
                </c:pt>
                <c:pt idx="151">
                  <c:v>1.1261E-2</c:v>
                </c:pt>
                <c:pt idx="152">
                  <c:v>1.1247E-2</c:v>
                </c:pt>
                <c:pt idx="153">
                  <c:v>1.1729E-2</c:v>
                </c:pt>
                <c:pt idx="154">
                  <c:v>1.106E-2</c:v>
                </c:pt>
                <c:pt idx="155">
                  <c:v>1.2057999999999999E-2</c:v>
                </c:pt>
                <c:pt idx="156">
                  <c:v>1.1599E-2</c:v>
                </c:pt>
                <c:pt idx="157">
                  <c:v>1.2791E-2</c:v>
                </c:pt>
                <c:pt idx="158">
                  <c:v>1.3122999999999999E-2</c:v>
                </c:pt>
                <c:pt idx="159">
                  <c:v>1.2985999999999999E-2</c:v>
                </c:pt>
                <c:pt idx="160">
                  <c:v>1.3705999999999999E-2</c:v>
                </c:pt>
                <c:pt idx="161">
                  <c:v>1.3780000000000001E-2</c:v>
                </c:pt>
                <c:pt idx="162">
                  <c:v>1.3195999999999999E-2</c:v>
                </c:pt>
                <c:pt idx="163">
                  <c:v>1.2488000000000001E-2</c:v>
                </c:pt>
                <c:pt idx="164">
                  <c:v>1.3568999999999999E-2</c:v>
                </c:pt>
                <c:pt idx="165">
                  <c:v>1.5087E-2</c:v>
                </c:pt>
                <c:pt idx="166">
                  <c:v>1.2312999999999999E-2</c:v>
                </c:pt>
                <c:pt idx="167">
                  <c:v>1.0574999999999999E-2</c:v>
                </c:pt>
                <c:pt idx="168">
                  <c:v>9.6819999999999996E-3</c:v>
                </c:pt>
                <c:pt idx="169">
                  <c:v>9.6509999999999999E-3</c:v>
                </c:pt>
                <c:pt idx="170">
                  <c:v>7.3740000000000003E-3</c:v>
                </c:pt>
                <c:pt idx="171">
                  <c:v>7.3429999999999997E-3</c:v>
                </c:pt>
                <c:pt idx="172">
                  <c:v>7.0520000000000001E-3</c:v>
                </c:pt>
                <c:pt idx="173">
                  <c:v>7.1370000000000001E-3</c:v>
                </c:pt>
                <c:pt idx="174">
                  <c:v>6.7780000000000002E-3</c:v>
                </c:pt>
                <c:pt idx="175">
                  <c:v>6.417E-3</c:v>
                </c:pt>
                <c:pt idx="176">
                  <c:v>6.3509999999999999E-3</c:v>
                </c:pt>
                <c:pt idx="177">
                  <c:v>6.1029999999999999E-3</c:v>
                </c:pt>
                <c:pt idx="178">
                  <c:v>6.215E-3</c:v>
                </c:pt>
                <c:pt idx="179">
                  <c:v>6.3150000000000003E-3</c:v>
                </c:pt>
                <c:pt idx="180">
                  <c:v>6.6740000000000002E-3</c:v>
                </c:pt>
                <c:pt idx="181">
                  <c:v>6.4479999999999997E-3</c:v>
                </c:pt>
                <c:pt idx="182">
                  <c:v>6.2290000000000002E-3</c:v>
                </c:pt>
                <c:pt idx="183">
                  <c:v>6.3239999999999998E-3</c:v>
                </c:pt>
                <c:pt idx="184">
                  <c:v>6.3619999999999996E-3</c:v>
                </c:pt>
                <c:pt idx="185">
                  <c:v>6.2560000000000003E-3</c:v>
                </c:pt>
                <c:pt idx="186">
                  <c:v>5.2339999999999999E-3</c:v>
                </c:pt>
                <c:pt idx="187">
                  <c:v>5.2259999999999997E-3</c:v>
                </c:pt>
                <c:pt idx="188">
                  <c:v>5.0590000000000001E-3</c:v>
                </c:pt>
                <c:pt idx="189">
                  <c:v>4.9230000000000003E-3</c:v>
                </c:pt>
                <c:pt idx="190">
                  <c:v>4.9189999999999998E-3</c:v>
                </c:pt>
                <c:pt idx="191">
                  <c:v>4.3730000000000002E-3</c:v>
                </c:pt>
                <c:pt idx="192">
                  <c:v>4.7229999999999998E-3</c:v>
                </c:pt>
                <c:pt idx="193">
                  <c:v>5.1650000000000003E-3</c:v>
                </c:pt>
                <c:pt idx="194">
                  <c:v>5.1489999999999999E-3</c:v>
                </c:pt>
                <c:pt idx="195">
                  <c:v>5.2209999999999999E-3</c:v>
                </c:pt>
                <c:pt idx="196">
                  <c:v>5.2890000000000003E-3</c:v>
                </c:pt>
                <c:pt idx="197">
                  <c:v>5.5929999999999999E-3</c:v>
                </c:pt>
                <c:pt idx="198">
                  <c:v>5.6179999999999997E-3</c:v>
                </c:pt>
                <c:pt idx="199">
                  <c:v>5.7660000000000003E-3</c:v>
                </c:pt>
                <c:pt idx="200">
                  <c:v>6.0889999999999998E-3</c:v>
                </c:pt>
                <c:pt idx="201">
                  <c:v>6.1079999999999997E-3</c:v>
                </c:pt>
                <c:pt idx="202">
                  <c:v>6.1250000000000002E-3</c:v>
                </c:pt>
                <c:pt idx="203">
                  <c:v>6.0499999999999998E-3</c:v>
                </c:pt>
                <c:pt idx="204">
                  <c:v>6.509E-3</c:v>
                </c:pt>
                <c:pt idx="205">
                  <c:v>6.4570000000000001E-3</c:v>
                </c:pt>
                <c:pt idx="206">
                  <c:v>6.3920000000000001E-3</c:v>
                </c:pt>
                <c:pt idx="207">
                  <c:v>6.698E-3</c:v>
                </c:pt>
                <c:pt idx="208">
                  <c:v>6.8170000000000001E-3</c:v>
                </c:pt>
                <c:pt idx="209">
                  <c:v>6.6559999999999996E-3</c:v>
                </c:pt>
                <c:pt idx="210">
                  <c:v>6.5690000000000002E-3</c:v>
                </c:pt>
                <c:pt idx="211">
                  <c:v>6.9509999999999997E-3</c:v>
                </c:pt>
                <c:pt idx="212">
                  <c:v>6.9309999999999997E-3</c:v>
                </c:pt>
                <c:pt idx="213">
                  <c:v>6.2709999999999997E-3</c:v>
                </c:pt>
                <c:pt idx="214">
                  <c:v>6.2350000000000001E-3</c:v>
                </c:pt>
                <c:pt idx="215">
                  <c:v>5.9740000000000001E-3</c:v>
                </c:pt>
                <c:pt idx="216">
                  <c:v>5.9080000000000001E-3</c:v>
                </c:pt>
                <c:pt idx="217">
                  <c:v>6.7019999999999996E-3</c:v>
                </c:pt>
                <c:pt idx="218">
                  <c:v>6.6940000000000003E-3</c:v>
                </c:pt>
                <c:pt idx="219">
                  <c:v>5.0790000000000002E-3</c:v>
                </c:pt>
                <c:pt idx="220">
                  <c:v>5.4510000000000001E-3</c:v>
                </c:pt>
                <c:pt idx="221">
                  <c:v>7.0439999999999999E-3</c:v>
                </c:pt>
                <c:pt idx="222">
                  <c:v>7.1069999999999996E-3</c:v>
                </c:pt>
                <c:pt idx="223">
                  <c:v>7.1830000000000001E-3</c:v>
                </c:pt>
                <c:pt idx="224">
                  <c:v>7.7400000000000004E-3</c:v>
                </c:pt>
                <c:pt idx="225">
                  <c:v>7.7640000000000001E-3</c:v>
                </c:pt>
                <c:pt idx="226">
                  <c:v>8.1209999999999997E-3</c:v>
                </c:pt>
                <c:pt idx="227">
                  <c:v>8.2620000000000002E-3</c:v>
                </c:pt>
                <c:pt idx="228">
                  <c:v>8.0440000000000008E-3</c:v>
                </c:pt>
                <c:pt idx="229">
                  <c:v>7.7340000000000004E-3</c:v>
                </c:pt>
                <c:pt idx="230">
                  <c:v>7.7559999999999999E-3</c:v>
                </c:pt>
                <c:pt idx="231">
                  <c:v>8.2269999999999999E-3</c:v>
                </c:pt>
                <c:pt idx="232">
                  <c:v>8.6689999999999996E-3</c:v>
                </c:pt>
                <c:pt idx="233">
                  <c:v>8.3350000000000004E-3</c:v>
                </c:pt>
                <c:pt idx="234">
                  <c:v>8.3739999999999995E-3</c:v>
                </c:pt>
                <c:pt idx="235">
                  <c:v>9.2119999999999997E-3</c:v>
                </c:pt>
                <c:pt idx="236">
                  <c:v>9.0830000000000008E-3</c:v>
                </c:pt>
                <c:pt idx="237">
                  <c:v>9.2700000000000005E-3</c:v>
                </c:pt>
                <c:pt idx="238">
                  <c:v>9.8499999999999994E-3</c:v>
                </c:pt>
                <c:pt idx="239">
                  <c:v>9.3460000000000001E-3</c:v>
                </c:pt>
                <c:pt idx="240">
                  <c:v>9.0670000000000004E-3</c:v>
                </c:pt>
                <c:pt idx="241">
                  <c:v>9.5449999999999997E-3</c:v>
                </c:pt>
                <c:pt idx="242">
                  <c:v>8.8590000000000006E-3</c:v>
                </c:pt>
                <c:pt idx="243">
                  <c:v>8.1539999999999998E-3</c:v>
                </c:pt>
                <c:pt idx="244">
                  <c:v>8.4679999999999998E-3</c:v>
                </c:pt>
                <c:pt idx="245">
                  <c:v>9.6690000000000005E-3</c:v>
                </c:pt>
                <c:pt idx="246">
                  <c:v>1.0546E-2</c:v>
                </c:pt>
                <c:pt idx="247">
                  <c:v>9.1719999999999996E-3</c:v>
                </c:pt>
                <c:pt idx="248">
                  <c:v>9.4219999999999998E-3</c:v>
                </c:pt>
                <c:pt idx="249">
                  <c:v>7.8750000000000001E-3</c:v>
                </c:pt>
                <c:pt idx="250">
                  <c:v>9.2650000000000007E-3</c:v>
                </c:pt>
                <c:pt idx="251">
                  <c:v>1.0716E-2</c:v>
                </c:pt>
                <c:pt idx="252">
                  <c:v>1.2251E-2</c:v>
                </c:pt>
                <c:pt idx="253">
                  <c:v>8.4440000000000001E-3</c:v>
                </c:pt>
                <c:pt idx="254">
                  <c:v>1.2423999999999999E-2</c:v>
                </c:pt>
                <c:pt idx="255">
                  <c:v>1.1877E-2</c:v>
                </c:pt>
                <c:pt idx="256">
                  <c:v>1.3195999999999999E-2</c:v>
                </c:pt>
                <c:pt idx="257">
                  <c:v>1.3044999999999999E-2</c:v>
                </c:pt>
                <c:pt idx="258">
                  <c:v>1.4341E-2</c:v>
                </c:pt>
                <c:pt idx="259">
                  <c:v>1.2919999999999999E-2</c:v>
                </c:pt>
                <c:pt idx="260">
                  <c:v>1.3051E-2</c:v>
                </c:pt>
                <c:pt idx="261">
                  <c:v>1.5857E-2</c:v>
                </c:pt>
                <c:pt idx="262">
                  <c:v>1.5624000000000001E-2</c:v>
                </c:pt>
                <c:pt idx="263">
                  <c:v>1.7166000000000001E-2</c:v>
                </c:pt>
                <c:pt idx="264">
                  <c:v>1.7344999999999999E-2</c:v>
                </c:pt>
                <c:pt idx="265">
                  <c:v>1.8376E-2</c:v>
                </c:pt>
                <c:pt idx="266">
                  <c:v>1.7306999999999999E-2</c:v>
                </c:pt>
                <c:pt idx="267">
                  <c:v>1.7569999999999999E-2</c:v>
                </c:pt>
                <c:pt idx="268">
                  <c:v>1.6372999999999999E-2</c:v>
                </c:pt>
                <c:pt idx="269">
                  <c:v>1.8401000000000001E-2</c:v>
                </c:pt>
                <c:pt idx="270">
                  <c:v>1.9050000000000001E-2</c:v>
                </c:pt>
                <c:pt idx="271">
                  <c:v>1.7965999999999999E-2</c:v>
                </c:pt>
                <c:pt idx="272">
                  <c:v>1.8353000000000001E-2</c:v>
                </c:pt>
                <c:pt idx="273">
                  <c:v>1.7920999999999999E-2</c:v>
                </c:pt>
                <c:pt idx="274">
                  <c:v>1.8502999999999999E-2</c:v>
                </c:pt>
                <c:pt idx="275">
                  <c:v>1.9576E-2</c:v>
                </c:pt>
                <c:pt idx="276">
                  <c:v>1.7415E-2</c:v>
                </c:pt>
                <c:pt idx="277">
                  <c:v>1.4572999999999999E-2</c:v>
                </c:pt>
                <c:pt idx="278">
                  <c:v>1.5337999999999999E-2</c:v>
                </c:pt>
                <c:pt idx="279">
                  <c:v>1.7409999999999998E-2</c:v>
                </c:pt>
                <c:pt idx="280">
                  <c:v>1.6638E-2</c:v>
                </c:pt>
                <c:pt idx="281">
                  <c:v>1.9729E-2</c:v>
                </c:pt>
                <c:pt idx="282">
                  <c:v>2.1516E-2</c:v>
                </c:pt>
                <c:pt idx="283">
                  <c:v>1.9977999999999999E-2</c:v>
                </c:pt>
                <c:pt idx="284">
                  <c:v>2.2693000000000001E-2</c:v>
                </c:pt>
                <c:pt idx="285">
                  <c:v>2.2943999999999999E-2</c:v>
                </c:pt>
                <c:pt idx="286">
                  <c:v>2.4382999999999998E-2</c:v>
                </c:pt>
                <c:pt idx="287">
                  <c:v>2.1482999999999999E-2</c:v>
                </c:pt>
                <c:pt idx="288">
                  <c:v>1.7000000000000001E-2</c:v>
                </c:pt>
                <c:pt idx="289">
                  <c:v>1.5894999999999999E-2</c:v>
                </c:pt>
                <c:pt idx="290">
                  <c:v>1.5199000000000001E-2</c:v>
                </c:pt>
                <c:pt idx="291">
                  <c:v>1.6608000000000001E-2</c:v>
                </c:pt>
                <c:pt idx="292">
                  <c:v>1.7014000000000001E-2</c:v>
                </c:pt>
                <c:pt idx="293">
                  <c:v>1.6164000000000001E-2</c:v>
                </c:pt>
                <c:pt idx="294">
                  <c:v>1.5618E-2</c:v>
                </c:pt>
                <c:pt idx="295">
                  <c:v>1.4891E-2</c:v>
                </c:pt>
                <c:pt idx="296">
                  <c:v>1.5879000000000001E-2</c:v>
                </c:pt>
                <c:pt idx="297">
                  <c:v>1.6164000000000001E-2</c:v>
                </c:pt>
                <c:pt idx="298">
                  <c:v>1.5355000000000001E-2</c:v>
                </c:pt>
                <c:pt idx="299">
                  <c:v>1.4685E-2</c:v>
                </c:pt>
                <c:pt idx="300">
                  <c:v>1.6900999999999999E-2</c:v>
                </c:pt>
                <c:pt idx="301">
                  <c:v>1.4023000000000001E-2</c:v>
                </c:pt>
                <c:pt idx="302">
                  <c:v>1.5959000000000001E-2</c:v>
                </c:pt>
                <c:pt idx="303">
                  <c:v>1.7375999999999999E-2</c:v>
                </c:pt>
                <c:pt idx="304">
                  <c:v>1.8703999999999998E-2</c:v>
                </c:pt>
                <c:pt idx="305">
                  <c:v>1.8475999999999999E-2</c:v>
                </c:pt>
                <c:pt idx="306">
                  <c:v>1.8065000000000001E-2</c:v>
                </c:pt>
                <c:pt idx="307">
                  <c:v>1.9712E-2</c:v>
                </c:pt>
                <c:pt idx="308">
                  <c:v>1.6694000000000001E-2</c:v>
                </c:pt>
                <c:pt idx="309">
                  <c:v>1.7669000000000001E-2</c:v>
                </c:pt>
                <c:pt idx="310">
                  <c:v>1.712E-2</c:v>
                </c:pt>
                <c:pt idx="311">
                  <c:v>1.8608E-2</c:v>
                </c:pt>
                <c:pt idx="312">
                  <c:v>2.0072E-2</c:v>
                </c:pt>
                <c:pt idx="313">
                  <c:v>1.8301999999999999E-2</c:v>
                </c:pt>
                <c:pt idx="314">
                  <c:v>1.2487E-2</c:v>
                </c:pt>
                <c:pt idx="315">
                  <c:v>1.0578000000000001E-2</c:v>
                </c:pt>
                <c:pt idx="316">
                  <c:v>1.0944000000000001E-2</c:v>
                </c:pt>
                <c:pt idx="317">
                  <c:v>1.008E-2</c:v>
                </c:pt>
                <c:pt idx="318">
                  <c:v>1.1315E-2</c:v>
                </c:pt>
                <c:pt idx="319">
                  <c:v>8.1010000000000006E-3</c:v>
                </c:pt>
                <c:pt idx="320">
                  <c:v>7.1529999999999996E-3</c:v>
                </c:pt>
                <c:pt idx="321">
                  <c:v>5.914E-3</c:v>
                </c:pt>
                <c:pt idx="322">
                  <c:v>6.1050000000000002E-3</c:v>
                </c:pt>
                <c:pt idx="323">
                  <c:v>5.8979999999999996E-3</c:v>
                </c:pt>
                <c:pt idx="324">
                  <c:v>6.2469999999999999E-3</c:v>
                </c:pt>
                <c:pt idx="325">
                  <c:v>6.4289999999999998E-3</c:v>
                </c:pt>
                <c:pt idx="326">
                  <c:v>5.9769999999999997E-3</c:v>
                </c:pt>
                <c:pt idx="327">
                  <c:v>5.4450000000000002E-3</c:v>
                </c:pt>
                <c:pt idx="328">
                  <c:v>5.4879999999999998E-3</c:v>
                </c:pt>
                <c:pt idx="329">
                  <c:v>5.4710000000000002E-3</c:v>
                </c:pt>
                <c:pt idx="330">
                  <c:v>6.0730000000000003E-3</c:v>
                </c:pt>
                <c:pt idx="331">
                  <c:v>4.5009999999999998E-3</c:v>
                </c:pt>
                <c:pt idx="332">
                  <c:v>4.7869999999999996E-3</c:v>
                </c:pt>
                <c:pt idx="333">
                  <c:v>4.1180000000000001E-3</c:v>
                </c:pt>
                <c:pt idx="334">
                  <c:v>4.4650000000000002E-3</c:v>
                </c:pt>
                <c:pt idx="335">
                  <c:v>4.509E-3</c:v>
                </c:pt>
                <c:pt idx="336">
                  <c:v>4.5519999999999996E-3</c:v>
                </c:pt>
                <c:pt idx="337">
                  <c:v>4.9509999999999997E-3</c:v>
                </c:pt>
                <c:pt idx="338">
                  <c:v>4.9890000000000004E-3</c:v>
                </c:pt>
                <c:pt idx="339">
                  <c:v>5.8939999999999999E-3</c:v>
                </c:pt>
                <c:pt idx="340">
                  <c:v>6.672E-3</c:v>
                </c:pt>
                <c:pt idx="341">
                  <c:v>6.2740000000000001E-3</c:v>
                </c:pt>
                <c:pt idx="342">
                  <c:v>5.5269999999999998E-3</c:v>
                </c:pt>
                <c:pt idx="343">
                  <c:v>5.9699999999999996E-3</c:v>
                </c:pt>
                <c:pt idx="344">
                  <c:v>5.7920000000000003E-3</c:v>
                </c:pt>
                <c:pt idx="345">
                  <c:v>6.2570000000000004E-3</c:v>
                </c:pt>
                <c:pt idx="346">
                  <c:v>6.7869999999999996E-3</c:v>
                </c:pt>
                <c:pt idx="347">
                  <c:v>6.6800000000000002E-3</c:v>
                </c:pt>
                <c:pt idx="348">
                  <c:v>7.1500000000000001E-3</c:v>
                </c:pt>
                <c:pt idx="349">
                  <c:v>4.8640000000000003E-3</c:v>
                </c:pt>
                <c:pt idx="350">
                  <c:v>2.98E-3</c:v>
                </c:pt>
                <c:pt idx="351">
                  <c:v>2.6329999999999999E-3</c:v>
                </c:pt>
                <c:pt idx="352">
                  <c:v>2.8279999999999998E-3</c:v>
                </c:pt>
                <c:pt idx="353">
                  <c:v>1.6490000000000001E-3</c:v>
                </c:pt>
                <c:pt idx="354">
                  <c:v>1.4530000000000001E-3</c:v>
                </c:pt>
                <c:pt idx="355">
                  <c:v>1.4829999999999999E-3</c:v>
                </c:pt>
                <c:pt idx="356">
                  <c:v>1.537E-3</c:v>
                </c:pt>
                <c:pt idx="357">
                  <c:v>1.446E-3</c:v>
                </c:pt>
                <c:pt idx="358">
                  <c:v>1.5399999999999999E-3</c:v>
                </c:pt>
                <c:pt idx="359">
                  <c:v>1.4760000000000001E-3</c:v>
                </c:pt>
                <c:pt idx="360">
                  <c:v>1.4430000000000001E-3</c:v>
                </c:pt>
                <c:pt idx="361">
                  <c:v>1.3290000000000001E-3</c:v>
                </c:pt>
                <c:pt idx="362">
                  <c:v>1.426E-3</c:v>
                </c:pt>
                <c:pt idx="363">
                  <c:v>1.5150000000000001E-3</c:v>
                </c:pt>
                <c:pt idx="364">
                  <c:v>1.235E-3</c:v>
                </c:pt>
                <c:pt idx="365">
                  <c:v>1.204E-3</c:v>
                </c:pt>
                <c:pt idx="366">
                  <c:v>1.3079999999999999E-3</c:v>
                </c:pt>
                <c:pt idx="367">
                  <c:v>1.271E-3</c:v>
                </c:pt>
                <c:pt idx="368">
                  <c:v>1.3550000000000001E-3</c:v>
                </c:pt>
                <c:pt idx="369">
                  <c:v>1.384E-3</c:v>
                </c:pt>
                <c:pt idx="370">
                  <c:v>1.47E-3</c:v>
                </c:pt>
                <c:pt idx="371">
                  <c:v>1.2179999999999999E-3</c:v>
                </c:pt>
                <c:pt idx="372">
                  <c:v>1.415E-3</c:v>
                </c:pt>
                <c:pt idx="373">
                  <c:v>1.42E-3</c:v>
                </c:pt>
                <c:pt idx="374">
                  <c:v>1.6509999999999999E-3</c:v>
                </c:pt>
                <c:pt idx="375">
                  <c:v>8.4999999999999995E-4</c:v>
                </c:pt>
                <c:pt idx="376">
                  <c:v>8.52E-4</c:v>
                </c:pt>
                <c:pt idx="377">
                  <c:v>8.1099999999999998E-4</c:v>
                </c:pt>
                <c:pt idx="378">
                  <c:v>8.2100000000000001E-4</c:v>
                </c:pt>
                <c:pt idx="379">
                  <c:v>8.2899999999999998E-4</c:v>
                </c:pt>
                <c:pt idx="380">
                  <c:v>7.85E-4</c:v>
                </c:pt>
                <c:pt idx="381">
                  <c:v>8.1099999999999998E-4</c:v>
                </c:pt>
                <c:pt idx="382">
                  <c:v>8.2600000000000002E-4</c:v>
                </c:pt>
                <c:pt idx="383">
                  <c:v>8.8599999999999996E-4</c:v>
                </c:pt>
                <c:pt idx="384">
                  <c:v>8.0699999999999999E-4</c:v>
                </c:pt>
                <c:pt idx="385">
                  <c:v>8.4900000000000004E-4</c:v>
                </c:pt>
                <c:pt idx="386">
                  <c:v>8.1700000000000002E-4</c:v>
                </c:pt>
                <c:pt idx="387">
                  <c:v>8.0500000000000005E-4</c:v>
                </c:pt>
                <c:pt idx="388">
                  <c:v>7.4700000000000005E-4</c:v>
                </c:pt>
                <c:pt idx="389">
                  <c:v>7.9600000000000005E-4</c:v>
                </c:pt>
                <c:pt idx="390">
                  <c:v>7.0399999999999998E-4</c:v>
                </c:pt>
                <c:pt idx="391">
                  <c:v>6.9499999999999998E-4</c:v>
                </c:pt>
                <c:pt idx="392">
                  <c:v>7.1500000000000003E-4</c:v>
                </c:pt>
                <c:pt idx="393">
                  <c:v>7.1599999999999995E-4</c:v>
                </c:pt>
                <c:pt idx="394">
                  <c:v>7.3800000000000005E-4</c:v>
                </c:pt>
                <c:pt idx="395">
                  <c:v>7.9100000000000004E-4</c:v>
                </c:pt>
                <c:pt idx="396">
                  <c:v>7.0899999999999999E-4</c:v>
                </c:pt>
                <c:pt idx="397">
                  <c:v>7.2099999999999996E-4</c:v>
                </c:pt>
                <c:pt idx="398">
                  <c:v>7.0200000000000004E-4</c:v>
                </c:pt>
                <c:pt idx="399">
                  <c:v>7.0299999999999996E-4</c:v>
                </c:pt>
                <c:pt idx="400">
                  <c:v>6.38E-4</c:v>
                </c:pt>
                <c:pt idx="401">
                  <c:v>7.3099999999999999E-4</c:v>
                </c:pt>
                <c:pt idx="402">
                  <c:v>6.9800000000000005E-4</c:v>
                </c:pt>
                <c:pt idx="403">
                  <c:v>7.5500000000000003E-4</c:v>
                </c:pt>
                <c:pt idx="404">
                  <c:v>7.6999999999999996E-4</c:v>
                </c:pt>
                <c:pt idx="405">
                  <c:v>7.7800000000000005E-4</c:v>
                </c:pt>
                <c:pt idx="406">
                  <c:v>7.6199999999999998E-4</c:v>
                </c:pt>
                <c:pt idx="407">
                  <c:v>8.0099999999999995E-4</c:v>
                </c:pt>
                <c:pt idx="408">
                  <c:v>7.7700000000000002E-4</c:v>
                </c:pt>
                <c:pt idx="409">
                  <c:v>7.7399999999999995E-4</c:v>
                </c:pt>
                <c:pt idx="410">
                  <c:v>7.8399999999999997E-4</c:v>
                </c:pt>
                <c:pt idx="411">
                  <c:v>8.12E-4</c:v>
                </c:pt>
                <c:pt idx="412">
                  <c:v>7.5000000000000002E-4</c:v>
                </c:pt>
                <c:pt idx="413">
                  <c:v>7.6099999999999996E-4</c:v>
                </c:pt>
                <c:pt idx="414">
                  <c:v>7.7700000000000002E-4</c:v>
                </c:pt>
                <c:pt idx="415">
                  <c:v>7.76E-4</c:v>
                </c:pt>
                <c:pt idx="416">
                  <c:v>8.2399999999999997E-4</c:v>
                </c:pt>
                <c:pt idx="417">
                  <c:v>8.0800000000000002E-4</c:v>
                </c:pt>
                <c:pt idx="418">
                  <c:v>8.1800000000000004E-4</c:v>
                </c:pt>
                <c:pt idx="419">
                  <c:v>7.9900000000000001E-4</c:v>
                </c:pt>
                <c:pt idx="420">
                  <c:v>8.5300000000000003E-4</c:v>
                </c:pt>
                <c:pt idx="421">
                  <c:v>8.1300000000000003E-4</c:v>
                </c:pt>
                <c:pt idx="422">
                  <c:v>7.94E-4</c:v>
                </c:pt>
                <c:pt idx="423">
                  <c:v>8.12E-4</c:v>
                </c:pt>
                <c:pt idx="424">
                  <c:v>8.0900000000000004E-4</c:v>
                </c:pt>
                <c:pt idx="425">
                  <c:v>8.0900000000000004E-4</c:v>
                </c:pt>
                <c:pt idx="426">
                  <c:v>7.6300000000000001E-4</c:v>
                </c:pt>
                <c:pt idx="427">
                  <c:v>7.4200000000000004E-4</c:v>
                </c:pt>
                <c:pt idx="428">
                  <c:v>8.4900000000000004E-4</c:v>
                </c:pt>
                <c:pt idx="429">
                  <c:v>8.4800000000000001E-4</c:v>
                </c:pt>
                <c:pt idx="430">
                  <c:v>7.9500000000000003E-4</c:v>
                </c:pt>
                <c:pt idx="431">
                  <c:v>7.3899999999999997E-4</c:v>
                </c:pt>
                <c:pt idx="432">
                  <c:v>7.5900000000000002E-4</c:v>
                </c:pt>
                <c:pt idx="433">
                  <c:v>6.9700000000000003E-4</c:v>
                </c:pt>
                <c:pt idx="434">
                  <c:v>6.9099999999999999E-4</c:v>
                </c:pt>
                <c:pt idx="435">
                  <c:v>7.1100000000000004E-4</c:v>
                </c:pt>
                <c:pt idx="436">
                  <c:v>7.2199999999999999E-4</c:v>
                </c:pt>
                <c:pt idx="437">
                  <c:v>7.0600000000000003E-4</c:v>
                </c:pt>
                <c:pt idx="438">
                  <c:v>6.9700000000000003E-4</c:v>
                </c:pt>
                <c:pt idx="439">
                  <c:v>7.0200000000000004E-4</c:v>
                </c:pt>
                <c:pt idx="440">
                  <c:v>7.1699999999999997E-4</c:v>
                </c:pt>
                <c:pt idx="441">
                  <c:v>6.87E-4</c:v>
                </c:pt>
                <c:pt idx="442">
                  <c:v>7.2599999999999997E-4</c:v>
                </c:pt>
                <c:pt idx="443">
                  <c:v>7.1900000000000002E-4</c:v>
                </c:pt>
                <c:pt idx="444">
                  <c:v>7.1500000000000003E-4</c:v>
                </c:pt>
                <c:pt idx="445">
                  <c:v>7.2300000000000001E-4</c:v>
                </c:pt>
                <c:pt idx="446">
                  <c:v>6.8599999999999998E-4</c:v>
                </c:pt>
                <c:pt idx="447">
                  <c:v>7.2300000000000001E-4</c:v>
                </c:pt>
                <c:pt idx="448">
                  <c:v>6.5600000000000001E-4</c:v>
                </c:pt>
                <c:pt idx="449">
                  <c:v>6.2100000000000002E-4</c:v>
                </c:pt>
                <c:pt idx="450">
                  <c:v>6.3500000000000004E-4</c:v>
                </c:pt>
                <c:pt idx="451">
                  <c:v>6.8099999999999996E-4</c:v>
                </c:pt>
                <c:pt idx="452">
                  <c:v>6.3599999999999996E-4</c:v>
                </c:pt>
                <c:pt idx="453">
                  <c:v>5.71E-4</c:v>
                </c:pt>
                <c:pt idx="454">
                  <c:v>5.62E-4</c:v>
                </c:pt>
                <c:pt idx="455">
                  <c:v>5.5500000000000005E-4</c:v>
                </c:pt>
                <c:pt idx="456">
                  <c:v>5.7700000000000004E-4</c:v>
                </c:pt>
                <c:pt idx="457">
                  <c:v>6.1899999999999998E-4</c:v>
                </c:pt>
                <c:pt idx="458">
                  <c:v>6.1499999999999999E-4</c:v>
                </c:pt>
                <c:pt idx="459">
                  <c:v>6.2E-4</c:v>
                </c:pt>
                <c:pt idx="460">
                  <c:v>6.5099999999999999E-4</c:v>
                </c:pt>
                <c:pt idx="461">
                  <c:v>6.2399999999999999E-4</c:v>
                </c:pt>
                <c:pt idx="462">
                  <c:v>6.3599999999999996E-4</c:v>
                </c:pt>
                <c:pt idx="463">
                  <c:v>6.0999999999999997E-4</c:v>
                </c:pt>
                <c:pt idx="464">
                  <c:v>6.0599999999999998E-4</c:v>
                </c:pt>
                <c:pt idx="465">
                  <c:v>6.7599999999999995E-4</c:v>
                </c:pt>
                <c:pt idx="466">
                  <c:v>6.7100000000000005E-4</c:v>
                </c:pt>
                <c:pt idx="467">
                  <c:v>6.4899999999999995E-4</c:v>
                </c:pt>
                <c:pt idx="468">
                  <c:v>6.8000000000000005E-4</c:v>
                </c:pt>
                <c:pt idx="469">
                  <c:v>7.0399999999999998E-4</c:v>
                </c:pt>
                <c:pt idx="470">
                  <c:v>6.9700000000000003E-4</c:v>
                </c:pt>
                <c:pt idx="471">
                  <c:v>7.1000000000000002E-4</c:v>
                </c:pt>
                <c:pt idx="472">
                  <c:v>7.0100000000000002E-4</c:v>
                </c:pt>
                <c:pt idx="473">
                  <c:v>6.8999999999999997E-4</c:v>
                </c:pt>
                <c:pt idx="474">
                  <c:v>6.8300000000000001E-4</c:v>
                </c:pt>
                <c:pt idx="475">
                  <c:v>7.2199999999999999E-4</c:v>
                </c:pt>
                <c:pt idx="476">
                  <c:v>6.6500000000000001E-4</c:v>
                </c:pt>
                <c:pt idx="477">
                  <c:v>6.69E-4</c:v>
                </c:pt>
                <c:pt idx="478">
                  <c:v>6.2200000000000005E-4</c:v>
                </c:pt>
                <c:pt idx="479">
                  <c:v>6.8000000000000005E-4</c:v>
                </c:pt>
                <c:pt idx="480">
                  <c:v>6.9999999999999999E-4</c:v>
                </c:pt>
                <c:pt idx="481">
                  <c:v>7.1500000000000003E-4</c:v>
                </c:pt>
                <c:pt idx="482">
                  <c:v>6.9700000000000003E-4</c:v>
                </c:pt>
                <c:pt idx="483">
                  <c:v>7.1400000000000001E-4</c:v>
                </c:pt>
                <c:pt idx="484">
                  <c:v>7.4200000000000004E-4</c:v>
                </c:pt>
                <c:pt idx="485">
                  <c:v>7.6099999999999996E-4</c:v>
                </c:pt>
                <c:pt idx="486">
                  <c:v>7.7300000000000003E-4</c:v>
                </c:pt>
                <c:pt idx="487">
                  <c:v>7.4200000000000004E-4</c:v>
                </c:pt>
                <c:pt idx="488">
                  <c:v>7.7899999999999996E-4</c:v>
                </c:pt>
                <c:pt idx="489">
                  <c:v>7.7200000000000001E-4</c:v>
                </c:pt>
                <c:pt idx="490">
                  <c:v>7.5000000000000002E-4</c:v>
                </c:pt>
                <c:pt idx="491">
                  <c:v>7.0200000000000004E-4</c:v>
                </c:pt>
                <c:pt idx="492">
                  <c:v>7.7399999999999995E-4</c:v>
                </c:pt>
                <c:pt idx="493">
                  <c:v>7.7200000000000001E-4</c:v>
                </c:pt>
                <c:pt idx="494">
                  <c:v>8.4699999999999999E-4</c:v>
                </c:pt>
                <c:pt idx="495">
                  <c:v>8.5400000000000005E-4</c:v>
                </c:pt>
                <c:pt idx="496">
                  <c:v>8.6600000000000002E-4</c:v>
                </c:pt>
                <c:pt idx="497">
                  <c:v>8.3199999999999995E-4</c:v>
                </c:pt>
                <c:pt idx="498">
                  <c:v>8.0099999999999995E-4</c:v>
                </c:pt>
                <c:pt idx="499">
                  <c:v>7.8799999999999996E-4</c:v>
                </c:pt>
                <c:pt idx="500">
                  <c:v>8.7699999999999996E-4</c:v>
                </c:pt>
                <c:pt idx="501">
                  <c:v>8.83E-4</c:v>
                </c:pt>
                <c:pt idx="502">
                  <c:v>9.1299999999999997E-4</c:v>
                </c:pt>
                <c:pt idx="503">
                  <c:v>8.8199999999999997E-4</c:v>
                </c:pt>
                <c:pt idx="504">
                  <c:v>8.9899999999999995E-4</c:v>
                </c:pt>
                <c:pt idx="505">
                  <c:v>8.9999999999999998E-4</c:v>
                </c:pt>
                <c:pt idx="506">
                  <c:v>8.5899999999999995E-4</c:v>
                </c:pt>
                <c:pt idx="507">
                  <c:v>8.9099999999999997E-4</c:v>
                </c:pt>
                <c:pt idx="508">
                  <c:v>9.1299999999999997E-4</c:v>
                </c:pt>
                <c:pt idx="509">
                  <c:v>9.01E-4</c:v>
                </c:pt>
                <c:pt idx="510">
                  <c:v>9.7599999999999998E-4</c:v>
                </c:pt>
                <c:pt idx="511">
                  <c:v>8.5700000000000001E-4</c:v>
                </c:pt>
                <c:pt idx="512">
                  <c:v>1.1360000000000001E-3</c:v>
                </c:pt>
                <c:pt idx="513">
                  <c:v>1.2019999999999999E-3</c:v>
                </c:pt>
                <c:pt idx="514">
                  <c:v>1.2800000000000001E-3</c:v>
                </c:pt>
                <c:pt idx="515">
                  <c:v>1.222E-3</c:v>
                </c:pt>
                <c:pt idx="516">
                  <c:v>1.2199999999999999E-3</c:v>
                </c:pt>
                <c:pt idx="517">
                  <c:v>1.243E-3</c:v>
                </c:pt>
                <c:pt idx="518">
                  <c:v>1.1839999999999999E-3</c:v>
                </c:pt>
                <c:pt idx="519">
                  <c:v>1.258E-3</c:v>
                </c:pt>
                <c:pt idx="520">
                  <c:v>1.2210000000000001E-3</c:v>
                </c:pt>
                <c:pt idx="521">
                  <c:v>1.305E-3</c:v>
                </c:pt>
                <c:pt idx="522">
                  <c:v>1.3619999999999999E-3</c:v>
                </c:pt>
                <c:pt idx="523">
                  <c:v>1.2290000000000001E-3</c:v>
                </c:pt>
                <c:pt idx="524">
                  <c:v>1.2329999999999999E-3</c:v>
                </c:pt>
                <c:pt idx="525">
                  <c:v>1.3029999999999999E-3</c:v>
                </c:pt>
                <c:pt idx="526">
                  <c:v>1.302E-3</c:v>
                </c:pt>
                <c:pt idx="527">
                  <c:v>1.348E-3</c:v>
                </c:pt>
                <c:pt idx="528">
                  <c:v>1.4109999999999999E-3</c:v>
                </c:pt>
                <c:pt idx="529">
                  <c:v>1.359E-3</c:v>
                </c:pt>
                <c:pt idx="530">
                  <c:v>1.3910000000000001E-3</c:v>
                </c:pt>
                <c:pt idx="531">
                  <c:v>1.4519999999999999E-3</c:v>
                </c:pt>
                <c:pt idx="532">
                  <c:v>1.4599999999999999E-3</c:v>
                </c:pt>
                <c:pt idx="533">
                  <c:v>1.4989999999999999E-3</c:v>
                </c:pt>
                <c:pt idx="534">
                  <c:v>1.524E-3</c:v>
                </c:pt>
                <c:pt idx="535">
                  <c:v>1.6149999999999999E-3</c:v>
                </c:pt>
                <c:pt idx="536">
                  <c:v>1.6379999999999999E-3</c:v>
                </c:pt>
                <c:pt idx="537">
                  <c:v>1.609E-3</c:v>
                </c:pt>
                <c:pt idx="538">
                  <c:v>1.567E-3</c:v>
                </c:pt>
                <c:pt idx="539">
                  <c:v>1.619E-3</c:v>
                </c:pt>
                <c:pt idx="540">
                  <c:v>1.583E-3</c:v>
                </c:pt>
                <c:pt idx="541">
                  <c:v>1.6280000000000001E-3</c:v>
                </c:pt>
                <c:pt idx="542">
                  <c:v>1.598E-3</c:v>
                </c:pt>
                <c:pt idx="543">
                  <c:v>1.5380000000000001E-3</c:v>
                </c:pt>
                <c:pt idx="544">
                  <c:v>1.6230000000000001E-3</c:v>
                </c:pt>
                <c:pt idx="545">
                  <c:v>1.7099999999999999E-3</c:v>
                </c:pt>
                <c:pt idx="546">
                  <c:v>1.7060000000000001E-3</c:v>
                </c:pt>
                <c:pt idx="547">
                  <c:v>1.738E-3</c:v>
                </c:pt>
                <c:pt idx="548">
                  <c:v>1.7849999999999999E-3</c:v>
                </c:pt>
                <c:pt idx="549">
                  <c:v>1.6019999999999999E-3</c:v>
                </c:pt>
                <c:pt idx="550">
                  <c:v>1.9940000000000001E-3</c:v>
                </c:pt>
                <c:pt idx="551">
                  <c:v>2.1020000000000001E-3</c:v>
                </c:pt>
                <c:pt idx="552">
                  <c:v>2.15E-3</c:v>
                </c:pt>
                <c:pt idx="553">
                  <c:v>1.817E-3</c:v>
                </c:pt>
                <c:pt idx="554">
                  <c:v>1.485E-3</c:v>
                </c:pt>
                <c:pt idx="555">
                  <c:v>1.2949999999999999E-3</c:v>
                </c:pt>
                <c:pt idx="556">
                  <c:v>1.3060000000000001E-3</c:v>
                </c:pt>
                <c:pt idx="557">
                  <c:v>1.41E-3</c:v>
                </c:pt>
                <c:pt idx="558">
                  <c:v>1.459E-3</c:v>
                </c:pt>
                <c:pt idx="559">
                  <c:v>1.575E-3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ECE-BC8F-C4EB62B057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-622.9638065204125</c:v>
                </c:pt>
                <c:pt idx="1">
                  <c:v>-622.64114790041253</c:v>
                </c:pt>
                <c:pt idx="2">
                  <c:v>-617.1946264968401</c:v>
                </c:pt>
                <c:pt idx="3">
                  <c:v>-618.54901967434012</c:v>
                </c:pt>
                <c:pt idx="4">
                  <c:v>-619.58588765355842</c:v>
                </c:pt>
                <c:pt idx="5">
                  <c:v>-619.9179479581428</c:v>
                </c:pt>
                <c:pt idx="6">
                  <c:v>-619.34090854344277</c:v>
                </c:pt>
                <c:pt idx="7">
                  <c:v>-612.97371583469987</c:v>
                </c:pt>
                <c:pt idx="8">
                  <c:v>-609.30728168456665</c:v>
                </c:pt>
                <c:pt idx="9">
                  <c:v>-606.03659485806418</c:v>
                </c:pt>
                <c:pt idx="10">
                  <c:v>-606.44494229402085</c:v>
                </c:pt>
                <c:pt idx="11">
                  <c:v>-605.72999613153343</c:v>
                </c:pt>
                <c:pt idx="12">
                  <c:v>-604.45299591126661</c:v>
                </c:pt>
                <c:pt idx="13">
                  <c:v>-604.60489931165728</c:v>
                </c:pt>
                <c:pt idx="14">
                  <c:v>-604.48814427180127</c:v>
                </c:pt>
                <c:pt idx="15">
                  <c:v>-601.88108422053995</c:v>
                </c:pt>
                <c:pt idx="16">
                  <c:v>-604.00041371232817</c:v>
                </c:pt>
                <c:pt idx="17">
                  <c:v>-604.91139441292614</c:v>
                </c:pt>
                <c:pt idx="18">
                  <c:v>-603.12533623931768</c:v>
                </c:pt>
                <c:pt idx="19">
                  <c:v>-601.75952900239463</c:v>
                </c:pt>
                <c:pt idx="20">
                  <c:v>-598.30550892087797</c:v>
                </c:pt>
                <c:pt idx="21">
                  <c:v>-594.38323069451701</c:v>
                </c:pt>
                <c:pt idx="22">
                  <c:v>-594.68287729817553</c:v>
                </c:pt>
                <c:pt idx="23">
                  <c:v>-588.78824544754252</c:v>
                </c:pt>
                <c:pt idx="24">
                  <c:v>-586.90195773553489</c:v>
                </c:pt>
                <c:pt idx="25">
                  <c:v>-584.43573237680619</c:v>
                </c:pt>
                <c:pt idx="26">
                  <c:v>-582.88820544355451</c:v>
                </c:pt>
                <c:pt idx="27">
                  <c:v>-584.62459659576018</c:v>
                </c:pt>
                <c:pt idx="28">
                  <c:v>-581.51056576781707</c:v>
                </c:pt>
                <c:pt idx="29">
                  <c:v>-581.18719336867673</c:v>
                </c:pt>
                <c:pt idx="30">
                  <c:v>-575.87781579873183</c:v>
                </c:pt>
                <c:pt idx="31">
                  <c:v>-564.34657005819145</c:v>
                </c:pt>
                <c:pt idx="32">
                  <c:v>-543.44325127591878</c:v>
                </c:pt>
                <c:pt idx="33">
                  <c:v>-542.58233381043487</c:v>
                </c:pt>
                <c:pt idx="34">
                  <c:v>-542.84380973854309</c:v>
                </c:pt>
                <c:pt idx="35">
                  <c:v>-540.6926047864273</c:v>
                </c:pt>
                <c:pt idx="36">
                  <c:v>-542.61828423343127</c:v>
                </c:pt>
                <c:pt idx="37">
                  <c:v>-542.17939666213022</c:v>
                </c:pt>
                <c:pt idx="38">
                  <c:v>-543.19195158459013</c:v>
                </c:pt>
                <c:pt idx="39">
                  <c:v>-542.13057467732654</c:v>
                </c:pt>
                <c:pt idx="40">
                  <c:v>-539.71823747261567</c:v>
                </c:pt>
                <c:pt idx="41">
                  <c:v>-540.10380627845882</c:v>
                </c:pt>
                <c:pt idx="42">
                  <c:v>-538.22349327108532</c:v>
                </c:pt>
                <c:pt idx="43">
                  <c:v>-535.68193514300026</c:v>
                </c:pt>
                <c:pt idx="44">
                  <c:v>-535.04304952677728</c:v>
                </c:pt>
                <c:pt idx="45">
                  <c:v>-536.66518442000438</c:v>
                </c:pt>
                <c:pt idx="46">
                  <c:v>-534.37677968687876</c:v>
                </c:pt>
                <c:pt idx="47">
                  <c:v>-535.39722150826924</c:v>
                </c:pt>
                <c:pt idx="48">
                  <c:v>-535.47531230706693</c:v>
                </c:pt>
                <c:pt idx="49">
                  <c:v>-524.73913415114066</c:v>
                </c:pt>
                <c:pt idx="50">
                  <c:v>-511.87175545452135</c:v>
                </c:pt>
                <c:pt idx="51">
                  <c:v>-512.42163415981668</c:v>
                </c:pt>
                <c:pt idx="52">
                  <c:v>-504.93427559909509</c:v>
                </c:pt>
                <c:pt idx="53">
                  <c:v>-512.42143648902493</c:v>
                </c:pt>
                <c:pt idx="54">
                  <c:v>-512.15334447655744</c:v>
                </c:pt>
                <c:pt idx="55">
                  <c:v>-523.36983368501001</c:v>
                </c:pt>
                <c:pt idx="56">
                  <c:v>-521.21646212549092</c:v>
                </c:pt>
                <c:pt idx="57">
                  <c:v>-523.85020037972652</c:v>
                </c:pt>
                <c:pt idx="58">
                  <c:v>-520.06040760144299</c:v>
                </c:pt>
                <c:pt idx="59">
                  <c:v>-517.46857485784471</c:v>
                </c:pt>
                <c:pt idx="60">
                  <c:v>-519.13157053049349</c:v>
                </c:pt>
                <c:pt idx="61">
                  <c:v>-522.8317212605383</c:v>
                </c:pt>
                <c:pt idx="62">
                  <c:v>-522.47528273209605</c:v>
                </c:pt>
                <c:pt idx="63">
                  <c:v>-515.49027518421951</c:v>
                </c:pt>
                <c:pt idx="64">
                  <c:v>-513.91725549886792</c:v>
                </c:pt>
                <c:pt idx="65">
                  <c:v>-512.52318684223712</c:v>
                </c:pt>
                <c:pt idx="66">
                  <c:v>-505.5905103763431</c:v>
                </c:pt>
                <c:pt idx="67">
                  <c:v>-495.70213852839299</c:v>
                </c:pt>
                <c:pt idx="68">
                  <c:v>-475.532188712503</c:v>
                </c:pt>
                <c:pt idx="69">
                  <c:v>-490.86862365550644</c:v>
                </c:pt>
                <c:pt idx="70">
                  <c:v>-494.96998390037191</c:v>
                </c:pt>
                <c:pt idx="71">
                  <c:v>-491.29022005000968</c:v>
                </c:pt>
                <c:pt idx="72">
                  <c:v>-492.85592781820242</c:v>
                </c:pt>
                <c:pt idx="73">
                  <c:v>-488.77901880891727</c:v>
                </c:pt>
                <c:pt idx="74">
                  <c:v>-482.24595872286835</c:v>
                </c:pt>
                <c:pt idx="75">
                  <c:v>-481.23981656353504</c:v>
                </c:pt>
                <c:pt idx="76">
                  <c:v>-479.3337693814417</c:v>
                </c:pt>
                <c:pt idx="77">
                  <c:v>-478.96317911234104</c:v>
                </c:pt>
                <c:pt idx="78">
                  <c:v>-477.37231291640944</c:v>
                </c:pt>
                <c:pt idx="79">
                  <c:v>-474.64058801710934</c:v>
                </c:pt>
                <c:pt idx="80">
                  <c:v>-462.62443736047453</c:v>
                </c:pt>
                <c:pt idx="81">
                  <c:v>-469.10321275586523</c:v>
                </c:pt>
                <c:pt idx="82">
                  <c:v>-465.09498613056763</c:v>
                </c:pt>
                <c:pt idx="83">
                  <c:v>-461.42362171777961</c:v>
                </c:pt>
                <c:pt idx="84">
                  <c:v>-450.16886039566998</c:v>
                </c:pt>
                <c:pt idx="85">
                  <c:v>-457.94222220609112</c:v>
                </c:pt>
                <c:pt idx="86">
                  <c:v>-453.01582587069805</c:v>
                </c:pt>
                <c:pt idx="87">
                  <c:v>-453.68375589160604</c:v>
                </c:pt>
                <c:pt idx="88">
                  <c:v>-447.95575332758972</c:v>
                </c:pt>
                <c:pt idx="89">
                  <c:v>-451.58835171740458</c:v>
                </c:pt>
                <c:pt idx="90">
                  <c:v>-446.96068854356992</c:v>
                </c:pt>
                <c:pt idx="91">
                  <c:v>-447.67566946506446</c:v>
                </c:pt>
                <c:pt idx="92">
                  <c:v>-447.12179957455095</c:v>
                </c:pt>
                <c:pt idx="93">
                  <c:v>-442.07407903216506</c:v>
                </c:pt>
                <c:pt idx="94">
                  <c:v>-440.33570936928078</c:v>
                </c:pt>
                <c:pt idx="95">
                  <c:v>-440.43667530723587</c:v>
                </c:pt>
                <c:pt idx="96">
                  <c:v>-438.91413041421589</c:v>
                </c:pt>
                <c:pt idx="97">
                  <c:v>-436.0066258427874</c:v>
                </c:pt>
                <c:pt idx="98">
                  <c:v>-433.96296154370486</c:v>
                </c:pt>
                <c:pt idx="99">
                  <c:v>-432.43513708169962</c:v>
                </c:pt>
                <c:pt idx="100">
                  <c:v>-435.3076687642959</c:v>
                </c:pt>
                <c:pt idx="101">
                  <c:v>-433.25295125645272</c:v>
                </c:pt>
                <c:pt idx="102">
                  <c:v>-429.61149100271848</c:v>
                </c:pt>
                <c:pt idx="103">
                  <c:v>-426.85156790852494</c:v>
                </c:pt>
                <c:pt idx="104">
                  <c:v>-426.36818304465061</c:v>
                </c:pt>
                <c:pt idx="105">
                  <c:v>-428.34329036611246</c:v>
                </c:pt>
                <c:pt idx="106">
                  <c:v>-424.36037301350456</c:v>
                </c:pt>
                <c:pt idx="107">
                  <c:v>-426.04239344586028</c:v>
                </c:pt>
                <c:pt idx="108">
                  <c:v>-429.69404167208137</c:v>
                </c:pt>
                <c:pt idx="109">
                  <c:v>-427.42245864222633</c:v>
                </c:pt>
                <c:pt idx="110">
                  <c:v>-424.39380470092391</c:v>
                </c:pt>
                <c:pt idx="111">
                  <c:v>-423.72635009481615</c:v>
                </c:pt>
                <c:pt idx="112">
                  <c:v>-419.57090045246753</c:v>
                </c:pt>
                <c:pt idx="113">
                  <c:v>-413.06093695683438</c:v>
                </c:pt>
                <c:pt idx="114">
                  <c:v>-410.06384174036788</c:v>
                </c:pt>
                <c:pt idx="115">
                  <c:v>-418.9129500236308</c:v>
                </c:pt>
                <c:pt idx="116">
                  <c:v>-418.24251854859438</c:v>
                </c:pt>
                <c:pt idx="117">
                  <c:v>-418.25309423883647</c:v>
                </c:pt>
                <c:pt idx="118">
                  <c:v>-414.65980261954121</c:v>
                </c:pt>
                <c:pt idx="119">
                  <c:v>-420.61606240916473</c:v>
                </c:pt>
                <c:pt idx="120">
                  <c:v>-425.1680630944615</c:v>
                </c:pt>
                <c:pt idx="121">
                  <c:v>-428.61479354872665</c:v>
                </c:pt>
                <c:pt idx="122">
                  <c:v>-426.95438097112662</c:v>
                </c:pt>
                <c:pt idx="123">
                  <c:v>-422.89433688112661</c:v>
                </c:pt>
                <c:pt idx="124">
                  <c:v>-423.34255377486164</c:v>
                </c:pt>
                <c:pt idx="125">
                  <c:v>-420.3532562738028</c:v>
                </c:pt>
                <c:pt idx="126">
                  <c:v>-419.27220588028661</c:v>
                </c:pt>
                <c:pt idx="127">
                  <c:v>-422.46559619753373</c:v>
                </c:pt>
                <c:pt idx="128">
                  <c:v>-424.12663835753375</c:v>
                </c:pt>
                <c:pt idx="129">
                  <c:v>-424.27823177893157</c:v>
                </c:pt>
                <c:pt idx="130">
                  <c:v>-421.92552164418117</c:v>
                </c:pt>
                <c:pt idx="131">
                  <c:v>-419.8163120213469</c:v>
                </c:pt>
                <c:pt idx="132">
                  <c:v>-419.43406273763725</c:v>
                </c:pt>
                <c:pt idx="133">
                  <c:v>-416.79924889159076</c:v>
                </c:pt>
                <c:pt idx="134">
                  <c:v>-414.52824622734659</c:v>
                </c:pt>
                <c:pt idx="135">
                  <c:v>-416.01073680655514</c:v>
                </c:pt>
                <c:pt idx="136">
                  <c:v>-418.02058322862916</c:v>
                </c:pt>
                <c:pt idx="137">
                  <c:v>-416.8197642742187</c:v>
                </c:pt>
                <c:pt idx="138">
                  <c:v>-417.69152731397588</c:v>
                </c:pt>
                <c:pt idx="139">
                  <c:v>-417.02948955832966</c:v>
                </c:pt>
                <c:pt idx="140">
                  <c:v>-415.29183627324005</c:v>
                </c:pt>
                <c:pt idx="141">
                  <c:v>-414.17269175309087</c:v>
                </c:pt>
                <c:pt idx="142">
                  <c:v>-415.53738465904087</c:v>
                </c:pt>
                <c:pt idx="143">
                  <c:v>-418.27153782940428</c:v>
                </c:pt>
                <c:pt idx="144">
                  <c:v>-413.23468012317659</c:v>
                </c:pt>
                <c:pt idx="145">
                  <c:v>-415.52426677875593</c:v>
                </c:pt>
                <c:pt idx="146">
                  <c:v>-412.45094031107232</c:v>
                </c:pt>
                <c:pt idx="147">
                  <c:v>-410.64742988783797</c:v>
                </c:pt>
                <c:pt idx="148">
                  <c:v>-405.36583902031708</c:v>
                </c:pt>
                <c:pt idx="149">
                  <c:v>-419.49661043797897</c:v>
                </c:pt>
                <c:pt idx="150">
                  <c:v>-420.1942947761143</c:v>
                </c:pt>
                <c:pt idx="151">
                  <c:v>-416.96328372668575</c:v>
                </c:pt>
                <c:pt idx="152">
                  <c:v>-417.04085413381171</c:v>
                </c:pt>
                <c:pt idx="153">
                  <c:v>-415.48099850275185</c:v>
                </c:pt>
                <c:pt idx="154">
                  <c:v>-419.72258037269108</c:v>
                </c:pt>
                <c:pt idx="155">
                  <c:v>-411.90860887732987</c:v>
                </c:pt>
                <c:pt idx="156">
                  <c:v>-416.15385922796816</c:v>
                </c:pt>
                <c:pt idx="157">
                  <c:v>-412.03504520354903</c:v>
                </c:pt>
                <c:pt idx="158">
                  <c:v>-409.02379452504192</c:v>
                </c:pt>
                <c:pt idx="159">
                  <c:v>-409.53225441552979</c:v>
                </c:pt>
                <c:pt idx="160">
                  <c:v>-406.29901428395078</c:v>
                </c:pt>
                <c:pt idx="161">
                  <c:v>-402.28815214384196</c:v>
                </c:pt>
                <c:pt idx="162">
                  <c:v>-407.80632443727222</c:v>
                </c:pt>
                <c:pt idx="163">
                  <c:v>-408.20675174911361</c:v>
                </c:pt>
                <c:pt idx="164">
                  <c:v>-395.94283738163858</c:v>
                </c:pt>
                <c:pt idx="165">
                  <c:v>-372.71949236487779</c:v>
                </c:pt>
                <c:pt idx="166">
                  <c:v>-382.20220417845064</c:v>
                </c:pt>
                <c:pt idx="167">
                  <c:v>-390.68888125319353</c:v>
                </c:pt>
                <c:pt idx="168">
                  <c:v>-395.24844706604136</c:v>
                </c:pt>
                <c:pt idx="169">
                  <c:v>-382.72066773403685</c:v>
                </c:pt>
                <c:pt idx="170">
                  <c:v>-388.09796035295784</c:v>
                </c:pt>
                <c:pt idx="171">
                  <c:v>-389.46225329318258</c:v>
                </c:pt>
                <c:pt idx="172">
                  <c:v>-391.81013938274549</c:v>
                </c:pt>
                <c:pt idx="173">
                  <c:v>-387.05210487071457</c:v>
                </c:pt>
                <c:pt idx="174">
                  <c:v>-391.72021854904551</c:v>
                </c:pt>
                <c:pt idx="175">
                  <c:v>-397.23085564522938</c:v>
                </c:pt>
                <c:pt idx="176">
                  <c:v>-398.40486621650945</c:v>
                </c:pt>
                <c:pt idx="177">
                  <c:v>-398.43013530146669</c:v>
                </c:pt>
                <c:pt idx="178">
                  <c:v>-398.08505539806862</c:v>
                </c:pt>
                <c:pt idx="179">
                  <c:v>-396.84222170886403</c:v>
                </c:pt>
                <c:pt idx="180">
                  <c:v>-394.33130059292654</c:v>
                </c:pt>
                <c:pt idx="181">
                  <c:v>-396.38963981107281</c:v>
                </c:pt>
                <c:pt idx="182">
                  <c:v>-398.89569606635735</c:v>
                </c:pt>
                <c:pt idx="183">
                  <c:v>-398.21299917145933</c:v>
                </c:pt>
                <c:pt idx="184">
                  <c:v>-396.90590232677789</c:v>
                </c:pt>
                <c:pt idx="185">
                  <c:v>-399.80359522339398</c:v>
                </c:pt>
                <c:pt idx="186">
                  <c:v>-402.44799628386488</c:v>
                </c:pt>
                <c:pt idx="187">
                  <c:v>-404.85321279933663</c:v>
                </c:pt>
                <c:pt idx="188">
                  <c:v>-404.67511325441478</c:v>
                </c:pt>
                <c:pt idx="189">
                  <c:v>-407.27667560545279</c:v>
                </c:pt>
                <c:pt idx="190">
                  <c:v>-406.06118642330995</c:v>
                </c:pt>
                <c:pt idx="191">
                  <c:v>-408.40716221003083</c:v>
                </c:pt>
                <c:pt idx="192">
                  <c:v>-406.61803558985741</c:v>
                </c:pt>
                <c:pt idx="193">
                  <c:v>-403.92166049985741</c:v>
                </c:pt>
                <c:pt idx="194">
                  <c:v>-402.67577325756577</c:v>
                </c:pt>
                <c:pt idx="195">
                  <c:v>-403.14886186989133</c:v>
                </c:pt>
                <c:pt idx="196">
                  <c:v>-400.96209688329554</c:v>
                </c:pt>
                <c:pt idx="197">
                  <c:v>-399.07648463404053</c:v>
                </c:pt>
                <c:pt idx="198">
                  <c:v>-400.49915139692939</c:v>
                </c:pt>
                <c:pt idx="199">
                  <c:v>-399.61641753109876</c:v>
                </c:pt>
                <c:pt idx="200">
                  <c:v>-397.43872728685443</c:v>
                </c:pt>
                <c:pt idx="201">
                  <c:v>-397.24849558241539</c:v>
                </c:pt>
                <c:pt idx="202">
                  <c:v>-396.23468780116536</c:v>
                </c:pt>
                <c:pt idx="203">
                  <c:v>-397.44541308409009</c:v>
                </c:pt>
                <c:pt idx="204">
                  <c:v>-394.827665928128</c:v>
                </c:pt>
                <c:pt idx="205">
                  <c:v>-393.07798052074639</c:v>
                </c:pt>
                <c:pt idx="206">
                  <c:v>-389.96831629111341</c:v>
                </c:pt>
                <c:pt idx="207">
                  <c:v>-388.30546274121804</c:v>
                </c:pt>
                <c:pt idx="208">
                  <c:v>-387.08514892383909</c:v>
                </c:pt>
                <c:pt idx="209">
                  <c:v>-387.71908804320304</c:v>
                </c:pt>
                <c:pt idx="210">
                  <c:v>-389.05529586800174</c:v>
                </c:pt>
                <c:pt idx="211">
                  <c:v>-387.96081650623523</c:v>
                </c:pt>
                <c:pt idx="212">
                  <c:v>-391.77354266151775</c:v>
                </c:pt>
                <c:pt idx="213">
                  <c:v>-396.38376039076167</c:v>
                </c:pt>
                <c:pt idx="214">
                  <c:v>-395.59481303089859</c:v>
                </c:pt>
                <c:pt idx="215">
                  <c:v>-400.45795381501341</c:v>
                </c:pt>
                <c:pt idx="216">
                  <c:v>-403.49950458411081</c:v>
                </c:pt>
                <c:pt idx="217">
                  <c:v>-390.01885536121586</c:v>
                </c:pt>
                <c:pt idx="218">
                  <c:v>-392.11272233660043</c:v>
                </c:pt>
                <c:pt idx="219">
                  <c:v>-404.45059109154516</c:v>
                </c:pt>
                <c:pt idx="220">
                  <c:v>-397.45454905029817</c:v>
                </c:pt>
                <c:pt idx="221">
                  <c:v>-391.59360058371209</c:v>
                </c:pt>
                <c:pt idx="222">
                  <c:v>-393.53678186771208</c:v>
                </c:pt>
                <c:pt idx="223">
                  <c:v>-391.22408744431004</c:v>
                </c:pt>
                <c:pt idx="224">
                  <c:v>-387.81167461666911</c:v>
                </c:pt>
                <c:pt idx="225">
                  <c:v>-385.09923575366167</c:v>
                </c:pt>
                <c:pt idx="226">
                  <c:v>-382.78180351039987</c:v>
                </c:pt>
                <c:pt idx="227">
                  <c:v>-381.2493782293551</c:v>
                </c:pt>
                <c:pt idx="228">
                  <c:v>-383.31945956163725</c:v>
                </c:pt>
                <c:pt idx="229">
                  <c:v>-385.49651086354203</c:v>
                </c:pt>
                <c:pt idx="230">
                  <c:v>-391.28727740505417</c:v>
                </c:pt>
                <c:pt idx="231">
                  <c:v>-384.20900840635596</c:v>
                </c:pt>
                <c:pt idx="232">
                  <c:v>-350.0768022638926</c:v>
                </c:pt>
                <c:pt idx="233">
                  <c:v>-351.78291915807586</c:v>
                </c:pt>
                <c:pt idx="234">
                  <c:v>-359.09926974896945</c:v>
                </c:pt>
                <c:pt idx="235">
                  <c:v>-353.00276864488461</c:v>
                </c:pt>
                <c:pt idx="236">
                  <c:v>-353.65505936281562</c:v>
                </c:pt>
                <c:pt idx="237">
                  <c:v>-350.12975771617135</c:v>
                </c:pt>
                <c:pt idx="238">
                  <c:v>-347.22731086044649</c:v>
                </c:pt>
                <c:pt idx="239">
                  <c:v>-353.93309580358931</c:v>
                </c:pt>
                <c:pt idx="240">
                  <c:v>-353.41747095136492</c:v>
                </c:pt>
                <c:pt idx="241">
                  <c:v>-345.96932808483541</c:v>
                </c:pt>
                <c:pt idx="242">
                  <c:v>-354.63606417223554</c:v>
                </c:pt>
                <c:pt idx="243">
                  <c:v>-358.59057585760706</c:v>
                </c:pt>
                <c:pt idx="244">
                  <c:v>-353.20991783348984</c:v>
                </c:pt>
                <c:pt idx="245">
                  <c:v>-341.2003216332136</c:v>
                </c:pt>
                <c:pt idx="246">
                  <c:v>-332.63921241423054</c:v>
                </c:pt>
                <c:pt idx="247">
                  <c:v>-344.48123995560616</c:v>
                </c:pt>
                <c:pt idx="248">
                  <c:v>-335.8362465385797</c:v>
                </c:pt>
                <c:pt idx="249">
                  <c:v>-342.92681225255052</c:v>
                </c:pt>
                <c:pt idx="250">
                  <c:v>-329.67261826413619</c:v>
                </c:pt>
                <c:pt idx="251">
                  <c:v>-310.15659488437802</c:v>
                </c:pt>
                <c:pt idx="252">
                  <c:v>-298.19297900900449</c:v>
                </c:pt>
                <c:pt idx="253">
                  <c:v>-321.2019394787423</c:v>
                </c:pt>
                <c:pt idx="254">
                  <c:v>-315.22857729157988</c:v>
                </c:pt>
                <c:pt idx="255">
                  <c:v>-317.10331444645516</c:v>
                </c:pt>
                <c:pt idx="256">
                  <c:v>-308.38491309557554</c:v>
                </c:pt>
                <c:pt idx="257">
                  <c:v>-304.94589435840908</c:v>
                </c:pt>
                <c:pt idx="258">
                  <c:v>-300.02853348303819</c:v>
                </c:pt>
                <c:pt idx="259">
                  <c:v>-302.17446800903576</c:v>
                </c:pt>
                <c:pt idx="260">
                  <c:v>-297.12587309744458</c:v>
                </c:pt>
                <c:pt idx="261">
                  <c:v>-288.19922434025307</c:v>
                </c:pt>
                <c:pt idx="262">
                  <c:v>-291.24752533647705</c:v>
                </c:pt>
                <c:pt idx="263">
                  <c:v>-286.72478027327793</c:v>
                </c:pt>
                <c:pt idx="264">
                  <c:v>-285.24396823079206</c:v>
                </c:pt>
                <c:pt idx="265">
                  <c:v>-279.96319166138778</c:v>
                </c:pt>
                <c:pt idx="266">
                  <c:v>-280.28401544145424</c:v>
                </c:pt>
                <c:pt idx="267">
                  <c:v>-280.44909507108093</c:v>
                </c:pt>
                <c:pt idx="268">
                  <c:v>-281.53363208426646</c:v>
                </c:pt>
                <c:pt idx="269">
                  <c:v>-271.7701703043445</c:v>
                </c:pt>
                <c:pt idx="270">
                  <c:v>-267.33756840502747</c:v>
                </c:pt>
                <c:pt idx="271">
                  <c:v>-269.88173661212545</c:v>
                </c:pt>
                <c:pt idx="272">
                  <c:v>-267.56470996922383</c:v>
                </c:pt>
                <c:pt idx="273">
                  <c:v>-270.47741203866832</c:v>
                </c:pt>
                <c:pt idx="274">
                  <c:v>-268.09427774581866</c:v>
                </c:pt>
                <c:pt idx="275">
                  <c:v>-263.57518746593939</c:v>
                </c:pt>
                <c:pt idx="276">
                  <c:v>-266.02789688534762</c:v>
                </c:pt>
                <c:pt idx="277">
                  <c:v>-274.9128221772209</c:v>
                </c:pt>
                <c:pt idx="278">
                  <c:v>-271.41772513770866</c:v>
                </c:pt>
                <c:pt idx="279">
                  <c:v>-261.52283750254577</c:v>
                </c:pt>
                <c:pt idx="280">
                  <c:v>-286.64298941383436</c:v>
                </c:pt>
                <c:pt idx="281">
                  <c:v>-277.61887487899952</c:v>
                </c:pt>
                <c:pt idx="282">
                  <c:v>-269.73016574003049</c:v>
                </c:pt>
                <c:pt idx="283">
                  <c:v>-280.06271571951868</c:v>
                </c:pt>
                <c:pt idx="284">
                  <c:v>-252.92794803097496</c:v>
                </c:pt>
                <c:pt idx="285">
                  <c:v>-274.68770779929241</c:v>
                </c:pt>
                <c:pt idx="286">
                  <c:v>-241.38300770790622</c:v>
                </c:pt>
                <c:pt idx="287">
                  <c:v>-267.37968604697727</c:v>
                </c:pt>
                <c:pt idx="288">
                  <c:v>-292.50792014807956</c:v>
                </c:pt>
                <c:pt idx="289">
                  <c:v>-291.80118206039793</c:v>
                </c:pt>
                <c:pt idx="290">
                  <c:v>-295.25334455576734</c:v>
                </c:pt>
                <c:pt idx="291">
                  <c:v>-286.28507275531263</c:v>
                </c:pt>
                <c:pt idx="292">
                  <c:v>-288.18443221896922</c:v>
                </c:pt>
                <c:pt idx="293">
                  <c:v>-279.11379948034653</c:v>
                </c:pt>
                <c:pt idx="294">
                  <c:v>-277.28393968447375</c:v>
                </c:pt>
                <c:pt idx="295">
                  <c:v>-278.83313810771568</c:v>
                </c:pt>
                <c:pt idx="296">
                  <c:v>-270.7325754446158</c:v>
                </c:pt>
                <c:pt idx="297">
                  <c:v>-256.4604564145655</c:v>
                </c:pt>
                <c:pt idx="298">
                  <c:v>-241.9196950760188</c:v>
                </c:pt>
                <c:pt idx="299">
                  <c:v>-246.40060225344402</c:v>
                </c:pt>
                <c:pt idx="300">
                  <c:v>-226.80833277587163</c:v>
                </c:pt>
                <c:pt idx="301">
                  <c:v>-255.04920300708699</c:v>
                </c:pt>
                <c:pt idx="302">
                  <c:v>-229.18041949017825</c:v>
                </c:pt>
                <c:pt idx="303">
                  <c:v>-213.73150430511976</c:v>
                </c:pt>
                <c:pt idx="304">
                  <c:v>-207.75819476525447</c:v>
                </c:pt>
                <c:pt idx="305">
                  <c:v>-208.07130456601453</c:v>
                </c:pt>
                <c:pt idx="306">
                  <c:v>-212.23306427690343</c:v>
                </c:pt>
                <c:pt idx="307">
                  <c:v>-197.92724889781158</c:v>
                </c:pt>
                <c:pt idx="308">
                  <c:v>-212.3220487174643</c:v>
                </c:pt>
                <c:pt idx="309">
                  <c:v>-200.6685966925771</c:v>
                </c:pt>
                <c:pt idx="310">
                  <c:v>-188.51191796575603</c:v>
                </c:pt>
                <c:pt idx="311">
                  <c:v>-184.72279346640764</c:v>
                </c:pt>
                <c:pt idx="312">
                  <c:v>-172.92013643957989</c:v>
                </c:pt>
                <c:pt idx="313">
                  <c:v>-156.41288684564438</c:v>
                </c:pt>
                <c:pt idx="314">
                  <c:v>-153.87232205295459</c:v>
                </c:pt>
                <c:pt idx="315">
                  <c:v>-165.8076392071153</c:v>
                </c:pt>
                <c:pt idx="316">
                  <c:v>-155.95745133344383</c:v>
                </c:pt>
                <c:pt idx="317">
                  <c:v>-164.9566808256821</c:v>
                </c:pt>
                <c:pt idx="318">
                  <c:v>-124.70287763427061</c:v>
                </c:pt>
                <c:pt idx="319">
                  <c:v>-145.40973873369072</c:v>
                </c:pt>
                <c:pt idx="320">
                  <c:v>-165.18308354596016</c:v>
                </c:pt>
                <c:pt idx="321">
                  <c:v>-181.2809250727243</c:v>
                </c:pt>
                <c:pt idx="322">
                  <c:v>-176.84227361890339</c:v>
                </c:pt>
                <c:pt idx="323">
                  <c:v>-179.22087040611325</c:v>
                </c:pt>
                <c:pt idx="324">
                  <c:v>-173.83527151146805</c:v>
                </c:pt>
                <c:pt idx="325">
                  <c:v>-171.10618145258329</c:v>
                </c:pt>
                <c:pt idx="326">
                  <c:v>-179.74784178049947</c:v>
                </c:pt>
                <c:pt idx="327">
                  <c:v>-182.95507680590359</c:v>
                </c:pt>
                <c:pt idx="328">
                  <c:v>-180.80270521907732</c:v>
                </c:pt>
                <c:pt idx="329">
                  <c:v>-182.39040432623028</c:v>
                </c:pt>
                <c:pt idx="330">
                  <c:v>-171.86620549371483</c:v>
                </c:pt>
                <c:pt idx="331">
                  <c:v>-176.30926073645304</c:v>
                </c:pt>
                <c:pt idx="332">
                  <c:v>-174.3731347388038</c:v>
                </c:pt>
                <c:pt idx="333">
                  <c:v>-180.42317849041299</c:v>
                </c:pt>
                <c:pt idx="334">
                  <c:v>-180.10075764263021</c:v>
                </c:pt>
                <c:pt idx="335">
                  <c:v>-177.29781454960695</c:v>
                </c:pt>
                <c:pt idx="336">
                  <c:v>-177.52052383578183</c:v>
                </c:pt>
                <c:pt idx="337">
                  <c:v>-170.80559200046977</c:v>
                </c:pt>
                <c:pt idx="338">
                  <c:v>-166.89931904002691</c:v>
                </c:pt>
                <c:pt idx="339">
                  <c:v>-169.20900749673947</c:v>
                </c:pt>
                <c:pt idx="340">
                  <c:v>-169.06138122719963</c:v>
                </c:pt>
                <c:pt idx="341">
                  <c:v>-172.71117750913066</c:v>
                </c:pt>
                <c:pt idx="342">
                  <c:v>-175.24773618015769</c:v>
                </c:pt>
                <c:pt idx="343">
                  <c:v>-169.5727685752928</c:v>
                </c:pt>
                <c:pt idx="344">
                  <c:v>-165.32635505176339</c:v>
                </c:pt>
                <c:pt idx="345">
                  <c:v>-160.88340333223195</c:v>
                </c:pt>
                <c:pt idx="346">
                  <c:v>-156.89486721834052</c:v>
                </c:pt>
                <c:pt idx="347">
                  <c:v>-166.58733069811356</c:v>
                </c:pt>
                <c:pt idx="348">
                  <c:v>-175.45265829403283</c:v>
                </c:pt>
                <c:pt idx="349">
                  <c:v>-214.03998400773989</c:v>
                </c:pt>
                <c:pt idx="350">
                  <c:v>-232.08911968725917</c:v>
                </c:pt>
                <c:pt idx="351">
                  <c:v>-239.66577781618773</c:v>
                </c:pt>
                <c:pt idx="352">
                  <c:v>-198.46165189348935</c:v>
                </c:pt>
                <c:pt idx="353">
                  <c:v>-259.67075696508425</c:v>
                </c:pt>
                <c:pt idx="354">
                  <c:v>-268.93673007393039</c:v>
                </c:pt>
                <c:pt idx="355">
                  <c:v>-268.059116687629</c:v>
                </c:pt>
                <c:pt idx="356">
                  <c:v>-263.63327641948092</c:v>
                </c:pt>
                <c:pt idx="357">
                  <c:v>-270.26487884738788</c:v>
                </c:pt>
                <c:pt idx="358">
                  <c:v>-265.18004335159839</c:v>
                </c:pt>
                <c:pt idx="359">
                  <c:v>-270.21374831487702</c:v>
                </c:pt>
                <c:pt idx="360">
                  <c:v>-274.24812097204523</c:v>
                </c:pt>
                <c:pt idx="361">
                  <c:v>-280.41521013204522</c:v>
                </c:pt>
                <c:pt idx="362">
                  <c:v>-272.71345313317568</c:v>
                </c:pt>
                <c:pt idx="363">
                  <c:v>-245.75660091417566</c:v>
                </c:pt>
                <c:pt idx="364">
                  <c:v>-242.6401662786497</c:v>
                </c:pt>
                <c:pt idx="365">
                  <c:v>-241.5448750801001</c:v>
                </c:pt>
                <c:pt idx="366">
                  <c:v>-239.33798285469027</c:v>
                </c:pt>
                <c:pt idx="367">
                  <c:v>-238.4869950856426</c:v>
                </c:pt>
                <c:pt idx="368">
                  <c:v>-232.71316545770145</c:v>
                </c:pt>
                <c:pt idx="369">
                  <c:v>-230.84649304627288</c:v>
                </c:pt>
                <c:pt idx="370">
                  <c:v>-227.00699567892593</c:v>
                </c:pt>
                <c:pt idx="371">
                  <c:v>-236.56116787399634</c:v>
                </c:pt>
                <c:pt idx="372">
                  <c:v>-224.70850025359636</c:v>
                </c:pt>
                <c:pt idx="373">
                  <c:v>-227.48510812920759</c:v>
                </c:pt>
                <c:pt idx="374">
                  <c:v>-175.19940345922817</c:v>
                </c:pt>
                <c:pt idx="375">
                  <c:v>-218.30231600644129</c:v>
                </c:pt>
                <c:pt idx="376">
                  <c:v>-218.67866762775995</c:v>
                </c:pt>
                <c:pt idx="377">
                  <c:v>-219.35084078395991</c:v>
                </c:pt>
                <c:pt idx="378">
                  <c:v>-218.30763589024565</c:v>
                </c:pt>
                <c:pt idx="379">
                  <c:v>-218.3596547909236</c:v>
                </c:pt>
                <c:pt idx="380">
                  <c:v>-218.82301355337262</c:v>
                </c:pt>
                <c:pt idx="381">
                  <c:v>-216.85774913221877</c:v>
                </c:pt>
                <c:pt idx="382">
                  <c:v>-221.35464447371132</c:v>
                </c:pt>
                <c:pt idx="383">
                  <c:v>-218.91933585585417</c:v>
                </c:pt>
                <c:pt idx="384">
                  <c:v>-217.39075661482855</c:v>
                </c:pt>
                <c:pt idx="385">
                  <c:v>-216.01320400482854</c:v>
                </c:pt>
                <c:pt idx="386">
                  <c:v>-220.26735629538408</c:v>
                </c:pt>
                <c:pt idx="387">
                  <c:v>-218.44721281772453</c:v>
                </c:pt>
                <c:pt idx="388">
                  <c:v>-220.85706567477001</c:v>
                </c:pt>
                <c:pt idx="389">
                  <c:v>-219.70451156311952</c:v>
                </c:pt>
                <c:pt idx="390">
                  <c:v>-224.80095826111955</c:v>
                </c:pt>
                <c:pt idx="391">
                  <c:v>-224.74047099650411</c:v>
                </c:pt>
                <c:pt idx="392">
                  <c:v>-222.90576146094855</c:v>
                </c:pt>
                <c:pt idx="393">
                  <c:v>-224.35189174317077</c:v>
                </c:pt>
                <c:pt idx="394">
                  <c:v>-223.75790588466015</c:v>
                </c:pt>
                <c:pt idx="395">
                  <c:v>-222.54610336666016</c:v>
                </c:pt>
                <c:pt idx="396">
                  <c:v>-225.93084329440208</c:v>
                </c:pt>
                <c:pt idx="397">
                  <c:v>-214.93732917773539</c:v>
                </c:pt>
                <c:pt idx="398">
                  <c:v>-216.35519827910528</c:v>
                </c:pt>
                <c:pt idx="399">
                  <c:v>-216.53195179884884</c:v>
                </c:pt>
                <c:pt idx="400">
                  <c:v>-218.12153372884885</c:v>
                </c:pt>
                <c:pt idx="401">
                  <c:v>-214.35597473091781</c:v>
                </c:pt>
                <c:pt idx="402">
                  <c:v>-215.28426656163214</c:v>
                </c:pt>
                <c:pt idx="403">
                  <c:v>-213.70912450033802</c:v>
                </c:pt>
                <c:pt idx="404">
                  <c:v>-212.18120058478249</c:v>
                </c:pt>
                <c:pt idx="405">
                  <c:v>-210.24595352045813</c:v>
                </c:pt>
                <c:pt idx="406">
                  <c:v>-210.42559809790001</c:v>
                </c:pt>
                <c:pt idx="407">
                  <c:v>-206.09463213932858</c:v>
                </c:pt>
                <c:pt idx="408">
                  <c:v>-205.42736275520485</c:v>
                </c:pt>
                <c:pt idx="409">
                  <c:v>-204.98534611493457</c:v>
                </c:pt>
                <c:pt idx="410">
                  <c:v>-204.41879032035126</c:v>
                </c:pt>
                <c:pt idx="411">
                  <c:v>-203.84181516635124</c:v>
                </c:pt>
                <c:pt idx="412">
                  <c:v>-171.08140088170728</c:v>
                </c:pt>
                <c:pt idx="413">
                  <c:v>-171.30104119616882</c:v>
                </c:pt>
                <c:pt idx="414">
                  <c:v>-171.27430345914755</c:v>
                </c:pt>
                <c:pt idx="415">
                  <c:v>-170.80892935914756</c:v>
                </c:pt>
                <c:pt idx="416">
                  <c:v>-169.86438751407064</c:v>
                </c:pt>
                <c:pt idx="417">
                  <c:v>-170.47130171087915</c:v>
                </c:pt>
                <c:pt idx="418">
                  <c:v>-169.82305744171248</c:v>
                </c:pt>
                <c:pt idx="419">
                  <c:v>-169.99487718644934</c:v>
                </c:pt>
                <c:pt idx="420">
                  <c:v>-168.80998129993768</c:v>
                </c:pt>
                <c:pt idx="421">
                  <c:v>-170.41196654346712</c:v>
                </c:pt>
                <c:pt idx="422">
                  <c:v>-171.29957739760042</c:v>
                </c:pt>
                <c:pt idx="423">
                  <c:v>-170.72298643371155</c:v>
                </c:pt>
                <c:pt idx="424">
                  <c:v>-170.85824077593378</c:v>
                </c:pt>
                <c:pt idx="425">
                  <c:v>-171.01793493821449</c:v>
                </c:pt>
                <c:pt idx="426">
                  <c:v>-170.41850861508522</c:v>
                </c:pt>
                <c:pt idx="427">
                  <c:v>-170.59048845197046</c:v>
                </c:pt>
                <c:pt idx="428">
                  <c:v>-167.34857287978178</c:v>
                </c:pt>
                <c:pt idx="429">
                  <c:v>-161.5970728987574</c:v>
                </c:pt>
                <c:pt idx="430">
                  <c:v>-163.22431384415972</c:v>
                </c:pt>
                <c:pt idx="431">
                  <c:v>-163.3830205691597</c:v>
                </c:pt>
                <c:pt idx="432">
                  <c:v>-163.45684822892159</c:v>
                </c:pt>
                <c:pt idx="433">
                  <c:v>-165.57604949720442</c:v>
                </c:pt>
                <c:pt idx="434">
                  <c:v>-165.89315513633488</c:v>
                </c:pt>
                <c:pt idx="435">
                  <c:v>-165.07755181336191</c:v>
                </c:pt>
                <c:pt idx="436">
                  <c:v>-164.97520995050476</c:v>
                </c:pt>
                <c:pt idx="437">
                  <c:v>-166.58058782969394</c:v>
                </c:pt>
                <c:pt idx="438">
                  <c:v>-167.68805447132183</c:v>
                </c:pt>
                <c:pt idx="439">
                  <c:v>-167.36183244632184</c:v>
                </c:pt>
                <c:pt idx="440">
                  <c:v>-167.49152684757186</c:v>
                </c:pt>
                <c:pt idx="441">
                  <c:v>-168.04568116801963</c:v>
                </c:pt>
                <c:pt idx="442">
                  <c:v>-168.00893904896697</c:v>
                </c:pt>
                <c:pt idx="443">
                  <c:v>-167.92908486856697</c:v>
                </c:pt>
                <c:pt idx="444">
                  <c:v>-165.83900865085269</c:v>
                </c:pt>
                <c:pt idx="445">
                  <c:v>-161.97435224561457</c:v>
                </c:pt>
                <c:pt idx="446">
                  <c:v>-162.85367622561458</c:v>
                </c:pt>
                <c:pt idx="447">
                  <c:v>-161.00161592933554</c:v>
                </c:pt>
                <c:pt idx="448">
                  <c:v>-157.66439718772014</c:v>
                </c:pt>
                <c:pt idx="449">
                  <c:v>-156.18818403172014</c:v>
                </c:pt>
                <c:pt idx="450">
                  <c:v>-154.30094709082459</c:v>
                </c:pt>
                <c:pt idx="451">
                  <c:v>-150.12360521828222</c:v>
                </c:pt>
                <c:pt idx="452">
                  <c:v>-151.52285218519953</c:v>
                </c:pt>
                <c:pt idx="453">
                  <c:v>-150.31720581201273</c:v>
                </c:pt>
                <c:pt idx="454">
                  <c:v>-149.54282870680146</c:v>
                </c:pt>
                <c:pt idx="455">
                  <c:v>-150.40158269080143</c:v>
                </c:pt>
                <c:pt idx="456">
                  <c:v>-149.08759309080145</c:v>
                </c:pt>
                <c:pt idx="457">
                  <c:v>-148.13891012080146</c:v>
                </c:pt>
                <c:pt idx="458">
                  <c:v>-147.48606922377442</c:v>
                </c:pt>
                <c:pt idx="459">
                  <c:v>-147.99031354377442</c:v>
                </c:pt>
                <c:pt idx="460">
                  <c:v>-147.28091086159259</c:v>
                </c:pt>
                <c:pt idx="461">
                  <c:v>-147.56680389929753</c:v>
                </c:pt>
                <c:pt idx="462">
                  <c:v>-147.34829124580915</c:v>
                </c:pt>
                <c:pt idx="463">
                  <c:v>-148.09684395980918</c:v>
                </c:pt>
                <c:pt idx="464">
                  <c:v>-147.6600555908436</c:v>
                </c:pt>
                <c:pt idx="465">
                  <c:v>-148.92784742625761</c:v>
                </c:pt>
                <c:pt idx="466">
                  <c:v>-149.39244869505762</c:v>
                </c:pt>
                <c:pt idx="467">
                  <c:v>-149.90370581574729</c:v>
                </c:pt>
                <c:pt idx="468">
                  <c:v>-149.66686009741395</c:v>
                </c:pt>
                <c:pt idx="469">
                  <c:v>-148.69016827388452</c:v>
                </c:pt>
                <c:pt idx="470">
                  <c:v>-148.63559202338453</c:v>
                </c:pt>
                <c:pt idx="471">
                  <c:v>-148.11656863538454</c:v>
                </c:pt>
                <c:pt idx="472">
                  <c:v>-146.6640506464484</c:v>
                </c:pt>
                <c:pt idx="473">
                  <c:v>-147.38582643115427</c:v>
                </c:pt>
                <c:pt idx="474">
                  <c:v>-147.79991205431219</c:v>
                </c:pt>
                <c:pt idx="475">
                  <c:v>-146.50229646707811</c:v>
                </c:pt>
                <c:pt idx="476">
                  <c:v>-148.13388079150437</c:v>
                </c:pt>
                <c:pt idx="477">
                  <c:v>-149.12666256471192</c:v>
                </c:pt>
                <c:pt idx="478">
                  <c:v>-150.39122242471191</c:v>
                </c:pt>
                <c:pt idx="479">
                  <c:v>-148.68626200678983</c:v>
                </c:pt>
                <c:pt idx="480">
                  <c:v>-148.37964636492936</c:v>
                </c:pt>
                <c:pt idx="481">
                  <c:v>-148.39880809248038</c:v>
                </c:pt>
                <c:pt idx="482">
                  <c:v>-148.53772599223649</c:v>
                </c:pt>
                <c:pt idx="483">
                  <c:v>-148.05092786209951</c:v>
                </c:pt>
                <c:pt idx="484">
                  <c:v>-146.26203773393624</c:v>
                </c:pt>
                <c:pt idx="485">
                  <c:v>-145.68613540015247</c:v>
                </c:pt>
                <c:pt idx="486">
                  <c:v>-148.4280211944382</c:v>
                </c:pt>
                <c:pt idx="487">
                  <c:v>-147.69343114158107</c:v>
                </c:pt>
                <c:pt idx="488">
                  <c:v>-146.55716283145449</c:v>
                </c:pt>
                <c:pt idx="489">
                  <c:v>-146.50911767040185</c:v>
                </c:pt>
                <c:pt idx="490">
                  <c:v>-146.99761038519054</c:v>
                </c:pt>
                <c:pt idx="491">
                  <c:v>-148.22605711644056</c:v>
                </c:pt>
                <c:pt idx="492">
                  <c:v>-148.08880730215483</c:v>
                </c:pt>
                <c:pt idx="493">
                  <c:v>-147.53220970634837</c:v>
                </c:pt>
                <c:pt idx="494">
                  <c:v>-146.06995148518331</c:v>
                </c:pt>
                <c:pt idx="495">
                  <c:v>-144.32283832468951</c:v>
                </c:pt>
                <c:pt idx="496">
                  <c:v>-144.46534233468952</c:v>
                </c:pt>
                <c:pt idx="497">
                  <c:v>-140.35951878318951</c:v>
                </c:pt>
                <c:pt idx="498">
                  <c:v>-140.81922241098172</c:v>
                </c:pt>
                <c:pt idx="499">
                  <c:v>-141.2460690834817</c:v>
                </c:pt>
                <c:pt idx="500">
                  <c:v>-138.55938655348172</c:v>
                </c:pt>
                <c:pt idx="501">
                  <c:v>-139.84995854548174</c:v>
                </c:pt>
                <c:pt idx="502">
                  <c:v>-139.52988801179751</c:v>
                </c:pt>
                <c:pt idx="503">
                  <c:v>-141.0425292737975</c:v>
                </c:pt>
                <c:pt idx="504">
                  <c:v>-140.83817076889554</c:v>
                </c:pt>
                <c:pt idx="505">
                  <c:v>-140.57312613477788</c:v>
                </c:pt>
                <c:pt idx="506">
                  <c:v>-142.78074018666464</c:v>
                </c:pt>
                <c:pt idx="507">
                  <c:v>-141.31642068891466</c:v>
                </c:pt>
                <c:pt idx="508">
                  <c:v>-143.88752928296321</c:v>
                </c:pt>
                <c:pt idx="509">
                  <c:v>-145.54446044273851</c:v>
                </c:pt>
                <c:pt idx="510">
                  <c:v>-136.88569717947121</c:v>
                </c:pt>
                <c:pt idx="511">
                  <c:v>-140.19446176140102</c:v>
                </c:pt>
                <c:pt idx="512">
                  <c:v>-139.49979102497997</c:v>
                </c:pt>
                <c:pt idx="513">
                  <c:v>-136.8955889856251</c:v>
                </c:pt>
                <c:pt idx="514">
                  <c:v>-129.87707649362511</c:v>
                </c:pt>
                <c:pt idx="515">
                  <c:v>-131.47659758039677</c:v>
                </c:pt>
                <c:pt idx="516">
                  <c:v>-131.34267699952724</c:v>
                </c:pt>
                <c:pt idx="517">
                  <c:v>-126.83856340952723</c:v>
                </c:pt>
                <c:pt idx="518">
                  <c:v>-127.39189863275303</c:v>
                </c:pt>
                <c:pt idx="519">
                  <c:v>-125.57358451981183</c:v>
                </c:pt>
                <c:pt idx="520">
                  <c:v>-129.56086914859233</c:v>
                </c:pt>
                <c:pt idx="521">
                  <c:v>-127.51519030659233</c:v>
                </c:pt>
                <c:pt idx="522">
                  <c:v>-125.37336960387388</c:v>
                </c:pt>
                <c:pt idx="523">
                  <c:v>-129.5061409183304</c:v>
                </c:pt>
                <c:pt idx="524">
                  <c:v>-130.30310157445945</c:v>
                </c:pt>
                <c:pt idx="525">
                  <c:v>-125.5633183836951</c:v>
                </c:pt>
                <c:pt idx="526">
                  <c:v>-122.87913277702843</c:v>
                </c:pt>
                <c:pt idx="527">
                  <c:v>-121.62455637715745</c:v>
                </c:pt>
                <c:pt idx="528">
                  <c:v>-120.46252679086376</c:v>
                </c:pt>
                <c:pt idx="529">
                  <c:v>-122.61559632498141</c:v>
                </c:pt>
                <c:pt idx="530">
                  <c:v>-122.10875279210468</c:v>
                </c:pt>
                <c:pt idx="531">
                  <c:v>-119.07384071397971</c:v>
                </c:pt>
                <c:pt idx="532">
                  <c:v>-119.78509723754132</c:v>
                </c:pt>
                <c:pt idx="533">
                  <c:v>-120.73246590468419</c:v>
                </c:pt>
                <c:pt idx="534">
                  <c:v>-121.96048542521989</c:v>
                </c:pt>
                <c:pt idx="535">
                  <c:v>-119.05702258211643</c:v>
                </c:pt>
                <c:pt idx="536">
                  <c:v>-120.46166950098237</c:v>
                </c:pt>
                <c:pt idx="537">
                  <c:v>-119.63377749416418</c:v>
                </c:pt>
                <c:pt idx="538">
                  <c:v>-124.49754343573046</c:v>
                </c:pt>
                <c:pt idx="539">
                  <c:v>-123.11946269971421</c:v>
                </c:pt>
                <c:pt idx="540">
                  <c:v>-125.82857268228564</c:v>
                </c:pt>
                <c:pt idx="541">
                  <c:v>-121.99877340175465</c:v>
                </c:pt>
                <c:pt idx="542">
                  <c:v>-123.61983462370586</c:v>
                </c:pt>
                <c:pt idx="543">
                  <c:v>-122.5386351550102</c:v>
                </c:pt>
                <c:pt idx="544">
                  <c:v>-117.35985299018263</c:v>
                </c:pt>
                <c:pt idx="545">
                  <c:v>-111.32765014529893</c:v>
                </c:pt>
                <c:pt idx="546">
                  <c:v>-105.58115837387034</c:v>
                </c:pt>
                <c:pt idx="547">
                  <c:v>-103.64179667797993</c:v>
                </c:pt>
                <c:pt idx="548">
                  <c:v>-108.27315648352132</c:v>
                </c:pt>
                <c:pt idx="549">
                  <c:v>-115.03493235624859</c:v>
                </c:pt>
                <c:pt idx="550">
                  <c:v>-98.995771127890364</c:v>
                </c:pt>
                <c:pt idx="551">
                  <c:v>-95.390445017033215</c:v>
                </c:pt>
                <c:pt idx="552">
                  <c:v>-80.53236152326798</c:v>
                </c:pt>
                <c:pt idx="553">
                  <c:v>-78.315288909475868</c:v>
                </c:pt>
                <c:pt idx="554">
                  <c:v>-97.011790903211633</c:v>
                </c:pt>
                <c:pt idx="555">
                  <c:v>-102.60894259911328</c:v>
                </c:pt>
                <c:pt idx="556">
                  <c:v>-101.87247513625611</c:v>
                </c:pt>
                <c:pt idx="557">
                  <c:v>-97.634485428451256</c:v>
                </c:pt>
                <c:pt idx="558">
                  <c:v>-90.287609300965215</c:v>
                </c:pt>
                <c:pt idx="559">
                  <c:v>-72.860989543305621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ECE-BC8F-C4EB62B05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12127"/>
        <c:axId val="141419615"/>
      </c:lineChart>
      <c:dateAx>
        <c:axId val="1414121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19615"/>
        <c:crosses val="autoZero"/>
        <c:auto val="1"/>
        <c:lblOffset val="100"/>
        <c:baseTimeUnit val="days"/>
      </c:dateAx>
      <c:valAx>
        <c:axId val="141419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1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57A2EF-AD0D-4C7C-9E70-4AA026871967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AE9027-4A7D-404F-887C-6F4A4CB0F84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2.8500000000000001E-2</v>
      </c>
      <c r="D2" s="4">
        <f>MIN(D3:D1912)</f>
        <v>5.1900000000000004E-4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3.8059999999999999E-3</v>
      </c>
      <c r="C5">
        <v>3.8549999999999999E-3</v>
      </c>
      <c r="D5">
        <v>3.6830000000000001E-3</v>
      </c>
      <c r="E5">
        <v>3.6830000000000001E-3</v>
      </c>
      <c r="F5">
        <v>32265862</v>
      </c>
      <c r="G5">
        <v>3.6830000000000001E-3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-32265862</v>
      </c>
      <c r="R5">
        <f t="shared" ref="R5" si="2">R6+Q5</f>
        <v>-62296380652.041252</v>
      </c>
      <c r="S5">
        <f t="shared" ref="S5" si="3">R5/100000</f>
        <v>-622963.80652041256</v>
      </c>
      <c r="T5">
        <f t="shared" ref="T5" si="4">S5/1000</f>
        <v>-622.9638065204125</v>
      </c>
    </row>
    <row r="6" spans="1:20" x14ac:dyDescent="0.25">
      <c r="A6" s="5">
        <v>44587</v>
      </c>
      <c r="B6">
        <v>3.6549999999999998E-3</v>
      </c>
      <c r="C6">
        <v>4.3499999999999997E-3</v>
      </c>
      <c r="D6">
        <v>3.5969999999999999E-3</v>
      </c>
      <c r="E6">
        <v>3.8140000000000001E-3</v>
      </c>
      <c r="F6">
        <v>1285652231</v>
      </c>
      <c r="G6">
        <v>3.8140000000000001E-3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-0.42363877822045087</v>
      </c>
      <c r="Q6">
        <f t="shared" ref="Q6" si="6">F6*P6</f>
        <v>-544652140.35723686</v>
      </c>
      <c r="R6">
        <f t="shared" ref="R6" si="7">R7+Q6</f>
        <v>-62264114790.041252</v>
      </c>
      <c r="S6">
        <f t="shared" ref="S6" si="8">R6/100000</f>
        <v>-622641.14790041256</v>
      </c>
      <c r="T6">
        <f t="shared" ref="T6" si="9">S6/1000</f>
        <v>-622.64114790041253</v>
      </c>
    </row>
    <row r="7" spans="1:20" x14ac:dyDescent="0.25">
      <c r="A7" s="5">
        <v>44586</v>
      </c>
      <c r="B7">
        <v>3.6099999999999999E-3</v>
      </c>
      <c r="C7">
        <v>3.8149999999999998E-3</v>
      </c>
      <c r="D7">
        <v>3.3990000000000001E-3</v>
      </c>
      <c r="E7">
        <v>3.6510000000000002E-3</v>
      </c>
      <c r="F7">
        <v>640258593</v>
      </c>
      <c r="G7">
        <v>3.6510000000000002E-3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0.21153846153846267</v>
      </c>
      <c r="Q7">
        <f t="shared" ref="Q7" si="11">F7*P7</f>
        <v>135439317.75000072</v>
      </c>
      <c r="R7">
        <f t="shared" ref="R7" si="12">R8+Q7</f>
        <v>-61719462649.684013</v>
      </c>
      <c r="S7">
        <f t="shared" ref="S7" si="13">R7/100000</f>
        <v>-617194.62649684015</v>
      </c>
      <c r="T7">
        <f t="shared" ref="T7" si="14">S7/1000</f>
        <v>-617.1946264968401</v>
      </c>
    </row>
    <row r="8" spans="1:20" x14ac:dyDescent="0.25">
      <c r="A8" s="5">
        <v>44585</v>
      </c>
      <c r="B8">
        <v>3.8530000000000001E-3</v>
      </c>
      <c r="C8">
        <v>3.8639999999999998E-3</v>
      </c>
      <c r="D8">
        <v>3.2499999999999999E-3</v>
      </c>
      <c r="E8">
        <v>3.6080000000000001E-3</v>
      </c>
      <c r="F8">
        <v>624153862</v>
      </c>
      <c r="G8">
        <v>3.6080000000000001E-3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0.16612377850162954</v>
      </c>
      <c r="Q8">
        <f t="shared" ref="Q8" si="16">F8*P8</f>
        <v>103686797.92182465</v>
      </c>
      <c r="R8">
        <f t="shared" ref="R8" si="17">R9+Q8</f>
        <v>-61854901967.434013</v>
      </c>
      <c r="S8">
        <f t="shared" ref="S8" si="18">R8/100000</f>
        <v>-618549.01967434015</v>
      </c>
      <c r="T8">
        <f t="shared" ref="T8" si="19">S8/1000</f>
        <v>-618.54901967434012</v>
      </c>
    </row>
    <row r="9" spans="1:20" x14ac:dyDescent="0.25">
      <c r="A9" s="5">
        <v>44584</v>
      </c>
      <c r="B9">
        <v>3.7590000000000002E-3</v>
      </c>
      <c r="C9">
        <v>4.0140000000000002E-3</v>
      </c>
      <c r="D9">
        <v>3.6649999999999999E-3</v>
      </c>
      <c r="E9">
        <v>3.8530000000000001E-3</v>
      </c>
      <c r="F9">
        <v>429218690</v>
      </c>
      <c r="G9">
        <v>3.8530000000000001E-3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7.7363896848137784E-2</v>
      </c>
      <c r="Q9">
        <f t="shared" ref="Q9" si="21">F9*P9</f>
        <v>33206030.458452828</v>
      </c>
      <c r="R9">
        <f t="shared" ref="R9" si="22">R10+Q9</f>
        <v>-61958588765.355835</v>
      </c>
      <c r="S9">
        <f t="shared" ref="S9" si="23">R9/100000</f>
        <v>-619585.8876535584</v>
      </c>
      <c r="T9">
        <f t="shared" ref="T9" si="24">S9/1000</f>
        <v>-619.58588765355842</v>
      </c>
    </row>
    <row r="10" spans="1:20" x14ac:dyDescent="0.25">
      <c r="A10" s="5">
        <v>44583</v>
      </c>
      <c r="B10">
        <v>4.0870000000000004E-3</v>
      </c>
      <c r="C10">
        <v>4.3090000000000003E-3</v>
      </c>
      <c r="D10">
        <v>3.2750000000000001E-3</v>
      </c>
      <c r="E10">
        <v>3.7620000000000002E-3</v>
      </c>
      <c r="F10">
        <v>994431258</v>
      </c>
      <c r="G10">
        <v>3.7620000000000002E-3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-5.8027079303675191E-2</v>
      </c>
      <c r="Q10">
        <f t="shared" ref="Q10" si="26">F10*P10</f>
        <v>-57703941.470019482</v>
      </c>
      <c r="R10">
        <f t="shared" ref="R10" si="27">R11+Q10</f>
        <v>-61991794795.814285</v>
      </c>
      <c r="S10">
        <f t="shared" ref="S10" si="28">R10/100000</f>
        <v>-619917.94795814285</v>
      </c>
      <c r="T10">
        <f t="shared" ref="T10" si="29">S10/1000</f>
        <v>-619.9179479581428</v>
      </c>
    </row>
    <row r="11" spans="1:20" x14ac:dyDescent="0.25">
      <c r="A11" s="5">
        <v>44582</v>
      </c>
      <c r="B11">
        <v>4.8180000000000002E-3</v>
      </c>
      <c r="C11">
        <v>4.8679999999999999E-3</v>
      </c>
      <c r="D11">
        <v>4.0010000000000002E-3</v>
      </c>
      <c r="E11">
        <v>4.0930000000000003E-3</v>
      </c>
      <c r="F11">
        <v>808251256</v>
      </c>
      <c r="G11">
        <v>4.0930000000000003E-3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-0.78777393310265265</v>
      </c>
      <c r="Q11">
        <f t="shared" ref="Q11" si="31">F11*P11</f>
        <v>-636719270.87427902</v>
      </c>
      <c r="R11">
        <f t="shared" ref="R11" si="32">R12+Q11</f>
        <v>-61934090854.344269</v>
      </c>
      <c r="S11">
        <f t="shared" ref="S11" si="33">R11/100000</f>
        <v>-619340.90854344273</v>
      </c>
      <c r="T11">
        <f t="shared" ref="T11" si="34">S11/1000</f>
        <v>-619.34090854344277</v>
      </c>
    </row>
    <row r="12" spans="1:20" x14ac:dyDescent="0.25">
      <c r="A12" s="5">
        <v>44581</v>
      </c>
      <c r="B12">
        <v>4.9979999999999998E-3</v>
      </c>
      <c r="C12">
        <v>5.4000000000000003E-3</v>
      </c>
      <c r="D12">
        <v>4.7999999999999996E-3</v>
      </c>
      <c r="E12">
        <v>4.8260000000000004E-3</v>
      </c>
      <c r="F12">
        <v>401434396</v>
      </c>
      <c r="G12">
        <v>4.8260000000000004E-3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-0.91333333333333055</v>
      </c>
      <c r="Q12">
        <f t="shared" ref="Q12" si="36">F12*P12</f>
        <v>-366643415.01333225</v>
      </c>
      <c r="R12">
        <f t="shared" ref="R12" si="37">R13+Q12</f>
        <v>-61297371583.469994</v>
      </c>
      <c r="S12">
        <f t="shared" ref="S12" si="38">R12/100000</f>
        <v>-612973.71583469992</v>
      </c>
      <c r="T12">
        <f t="shared" ref="T12" si="39">S12/1000</f>
        <v>-612.97371583469987</v>
      </c>
    </row>
    <row r="13" spans="1:20" x14ac:dyDescent="0.25">
      <c r="A13" s="5">
        <v>44580</v>
      </c>
      <c r="B13">
        <v>5.1609999999999998E-3</v>
      </c>
      <c r="C13">
        <v>5.3639999999999998E-3</v>
      </c>
      <c r="D13">
        <v>4.9579999999999997E-3</v>
      </c>
      <c r="E13">
        <v>4.9899999999999996E-3</v>
      </c>
      <c r="F13">
        <v>388274518</v>
      </c>
      <c r="G13">
        <v>4.9899999999999996E-3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-0.84236453201970496</v>
      </c>
      <c r="Q13">
        <f t="shared" ref="Q13" si="41">F13*P13</f>
        <v>-327068682.6502465</v>
      </c>
      <c r="R13">
        <f t="shared" ref="R13" si="42">R14+Q13</f>
        <v>-60930728168.456665</v>
      </c>
      <c r="S13">
        <f t="shared" ref="S13" si="43">R13/100000</f>
        <v>-609307.28168456664</v>
      </c>
      <c r="T13">
        <f t="shared" ref="T13" si="44">S13/1000</f>
        <v>-609.30728168456665</v>
      </c>
    </row>
    <row r="14" spans="1:20" x14ac:dyDescent="0.25">
      <c r="A14" s="5">
        <v>44579</v>
      </c>
      <c r="B14">
        <v>5.1830000000000001E-3</v>
      </c>
      <c r="C14">
        <v>5.2769999999999996E-3</v>
      </c>
      <c r="D14">
        <v>5.0000000000000001E-3</v>
      </c>
      <c r="E14">
        <v>5.1580000000000003E-3</v>
      </c>
      <c r="F14">
        <v>290031384</v>
      </c>
      <c r="G14">
        <v>5.1580000000000003E-3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0.14079422382671811</v>
      </c>
      <c r="Q14">
        <f t="shared" ref="Q14" si="46">F14*P14</f>
        <v>40834743.59566883</v>
      </c>
      <c r="R14">
        <f t="shared" ref="R14" si="47">R15+Q14</f>
        <v>-60603659485.806419</v>
      </c>
      <c r="S14">
        <f t="shared" ref="S14" si="48">R14/100000</f>
        <v>-606036.5948580642</v>
      </c>
      <c r="T14">
        <f t="shared" ref="T14" si="49">S14/1000</f>
        <v>-606.03659485806418</v>
      </c>
    </row>
    <row r="15" spans="1:20" x14ac:dyDescent="0.25">
      <c r="A15" s="5">
        <v>44578</v>
      </c>
      <c r="B15">
        <v>5.3099999999999996E-3</v>
      </c>
      <c r="C15">
        <v>5.4330000000000003E-3</v>
      </c>
      <c r="D15">
        <v>5.0309999999999999E-3</v>
      </c>
      <c r="E15">
        <v>5.1830000000000001E-3</v>
      </c>
      <c r="F15">
        <v>293273834</v>
      </c>
      <c r="G15">
        <v>5.1830000000000001E-3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-0.24378109452736291</v>
      </c>
      <c r="Q15">
        <f t="shared" ref="Q15" si="51">F15*P15</f>
        <v>-71494616.24875614</v>
      </c>
      <c r="R15">
        <f t="shared" ref="R15" si="52">R16+Q15</f>
        <v>-60644494229.402092</v>
      </c>
      <c r="S15">
        <f t="shared" ref="S15" si="53">R15/100000</f>
        <v>-606444.9422940209</v>
      </c>
      <c r="T15">
        <f t="shared" ref="T15" si="54">S15/1000</f>
        <v>-606.44494229402085</v>
      </c>
    </row>
    <row r="16" spans="1:20" x14ac:dyDescent="0.25">
      <c r="A16" s="5">
        <v>44577</v>
      </c>
      <c r="B16">
        <v>5.3800000000000002E-3</v>
      </c>
      <c r="C16">
        <v>5.4580000000000002E-3</v>
      </c>
      <c r="D16">
        <v>5.3080000000000002E-3</v>
      </c>
      <c r="E16">
        <v>5.3090000000000004E-3</v>
      </c>
      <c r="F16">
        <v>129425698</v>
      </c>
      <c r="G16">
        <v>5.3090000000000004E-3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-0.98666666666666492</v>
      </c>
      <c r="Q16">
        <f t="shared" ref="Q16" si="56">F16*P16</f>
        <v>-127700022.02666643</v>
      </c>
      <c r="R16">
        <f t="shared" ref="R16" si="57">R17+Q16</f>
        <v>-60572999613.153336</v>
      </c>
      <c r="S16">
        <f t="shared" ref="S16" si="58">R16/100000</f>
        <v>-605729.99613153341</v>
      </c>
      <c r="T16">
        <f t="shared" ref="T16" si="59">S16/1000</f>
        <v>-605.72999613153343</v>
      </c>
    </row>
    <row r="17" spans="1:20" x14ac:dyDescent="0.25">
      <c r="A17" s="5">
        <v>44576</v>
      </c>
      <c r="B17">
        <v>5.3270000000000001E-3</v>
      </c>
      <c r="C17">
        <v>5.5059999999999996E-3</v>
      </c>
      <c r="D17">
        <v>5.2500000000000003E-3</v>
      </c>
      <c r="E17">
        <v>5.391E-3</v>
      </c>
      <c r="F17">
        <v>149566425</v>
      </c>
      <c r="G17">
        <v>5.391E-3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0.10156250000000021</v>
      </c>
      <c r="Q17">
        <f t="shared" ref="Q17" si="61">F17*P17</f>
        <v>15190340.039062532</v>
      </c>
      <c r="R17">
        <f t="shared" ref="R17" si="62">R18+Q17</f>
        <v>-60445299591.126671</v>
      </c>
      <c r="S17">
        <f t="shared" ref="S17" si="63">R17/100000</f>
        <v>-604452.99591126665</v>
      </c>
      <c r="T17">
        <f t="shared" ref="T17" si="64">S17/1000</f>
        <v>-604.45299591126661</v>
      </c>
    </row>
    <row r="18" spans="1:20" x14ac:dyDescent="0.25">
      <c r="A18" s="5">
        <v>44575</v>
      </c>
      <c r="B18">
        <v>5.2859999999999999E-3</v>
      </c>
      <c r="C18">
        <v>5.463E-3</v>
      </c>
      <c r="D18">
        <v>5.1850000000000004E-3</v>
      </c>
      <c r="E18">
        <v>5.3179999999999998E-3</v>
      </c>
      <c r="F18">
        <v>270482509</v>
      </c>
      <c r="G18">
        <v>5.3179999999999998E-3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-4.3165467625901954E-2</v>
      </c>
      <c r="Q18">
        <f t="shared" ref="Q18" si="66">F18*P18</f>
        <v>-11675503.985612234</v>
      </c>
      <c r="R18">
        <f t="shared" ref="R18" si="67">R19+Q18</f>
        <v>-60460489931.165733</v>
      </c>
      <c r="S18">
        <f t="shared" ref="S18" si="68">R18/100000</f>
        <v>-604604.8993116573</v>
      </c>
      <c r="T18">
        <f t="shared" ref="T18" si="69">S18/1000</f>
        <v>-604.60489931165728</v>
      </c>
    </row>
    <row r="19" spans="1:20" x14ac:dyDescent="0.25">
      <c r="A19" s="5">
        <v>44574</v>
      </c>
      <c r="B19">
        <v>5.6080000000000001E-3</v>
      </c>
      <c r="C19">
        <v>5.6189999999999999E-3</v>
      </c>
      <c r="D19">
        <v>5.2859999999999999E-3</v>
      </c>
      <c r="E19">
        <v>5.2880000000000002E-3</v>
      </c>
      <c r="F19">
        <v>263875683</v>
      </c>
      <c r="G19">
        <v>5.2880000000000002E-3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-0.98798798798798637</v>
      </c>
      <c r="Q19">
        <f t="shared" ref="Q19" si="71">F19*P19</f>
        <v>-260706005.12612569</v>
      </c>
      <c r="R19">
        <f t="shared" ref="R19" si="72">R20+Q19</f>
        <v>-60448814427.180122</v>
      </c>
      <c r="S19">
        <f t="shared" ref="S19" si="73">R19/100000</f>
        <v>-604488.14427180123</v>
      </c>
      <c r="T19">
        <f t="shared" ref="T19" si="74">S19/1000</f>
        <v>-604.48814427180127</v>
      </c>
    </row>
    <row r="20" spans="1:20" x14ac:dyDescent="0.25">
      <c r="A20" s="5">
        <v>44573</v>
      </c>
      <c r="B20">
        <v>5.3099999999999996E-3</v>
      </c>
      <c r="C20">
        <v>5.7089999999999997E-3</v>
      </c>
      <c r="D20">
        <v>5.2839999999999996E-3</v>
      </c>
      <c r="E20">
        <v>5.6080000000000001E-3</v>
      </c>
      <c r="F20">
        <v>403908087</v>
      </c>
      <c r="G20">
        <v>5.6080000000000001E-3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0.52470588235294346</v>
      </c>
      <c r="Q20">
        <f t="shared" ref="Q20" si="76">F20*P20</f>
        <v>211932949.17882445</v>
      </c>
      <c r="R20">
        <f t="shared" ref="R20" si="77">R21+Q20</f>
        <v>-60188108422.053993</v>
      </c>
      <c r="S20">
        <f t="shared" ref="S20" si="78">R20/100000</f>
        <v>-601881.08422053989</v>
      </c>
      <c r="T20">
        <f t="shared" ref="T20" si="79">S20/1000</f>
        <v>-601.88108422053995</v>
      </c>
    </row>
    <row r="21" spans="1:20" x14ac:dyDescent="0.25">
      <c r="A21" s="5">
        <v>44572</v>
      </c>
      <c r="B21">
        <v>5.1539999999999997E-3</v>
      </c>
      <c r="C21">
        <v>5.4190000000000002E-3</v>
      </c>
      <c r="D21">
        <v>5.1180000000000002E-3</v>
      </c>
      <c r="E21">
        <v>5.3189999999999999E-3</v>
      </c>
      <c r="F21">
        <v>271490288</v>
      </c>
      <c r="G21">
        <v>5.3189999999999999E-3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0.33554817275747345</v>
      </c>
      <c r="Q21">
        <f t="shared" ref="Q21" si="81">F21*P21</f>
        <v>91098070.059800223</v>
      </c>
      <c r="R21">
        <f t="shared" ref="R21" si="82">R22+Q21</f>
        <v>-60400041371.232819</v>
      </c>
      <c r="S21">
        <f t="shared" ref="S21" si="83">R21/100000</f>
        <v>-604000.41371232818</v>
      </c>
      <c r="T21">
        <f t="shared" ref="T21" si="84">S21/1000</f>
        <v>-604.00041371232817</v>
      </c>
    </row>
    <row r="22" spans="1:20" x14ac:dyDescent="0.25">
      <c r="A22" s="5">
        <v>44571</v>
      </c>
      <c r="B22">
        <v>5.3309999999999998E-3</v>
      </c>
      <c r="C22">
        <v>5.5209999999999999E-3</v>
      </c>
      <c r="D22">
        <v>5.0000000000000001E-3</v>
      </c>
      <c r="E22">
        <v>5.1640000000000002E-3</v>
      </c>
      <c r="F22">
        <v>482143165</v>
      </c>
      <c r="G22">
        <v>5.1640000000000002E-3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-0.37044145873320478</v>
      </c>
      <c r="Q22">
        <f t="shared" ref="Q22" si="86">F22*P22</f>
        <v>-178605817.36084425</v>
      </c>
      <c r="R22">
        <f t="shared" ref="R22" si="87">R23+Q22</f>
        <v>-60491139441.292618</v>
      </c>
      <c r="S22">
        <f t="shared" ref="S22" si="88">R22/100000</f>
        <v>-604911.39441292617</v>
      </c>
      <c r="T22">
        <f t="shared" ref="T22" si="89">S22/1000</f>
        <v>-604.91139441292614</v>
      </c>
    </row>
    <row r="23" spans="1:20" x14ac:dyDescent="0.25">
      <c r="A23" s="5">
        <v>44570</v>
      </c>
      <c r="B23">
        <v>5.2760000000000003E-3</v>
      </c>
      <c r="C23">
        <v>5.5500000000000002E-3</v>
      </c>
      <c r="D23">
        <v>5.2119999999999996E-3</v>
      </c>
      <c r="E23">
        <v>5.3290000000000004E-3</v>
      </c>
      <c r="F23">
        <v>443887352</v>
      </c>
      <c r="G23">
        <v>5.3290000000000004E-3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-0.30769230769230432</v>
      </c>
      <c r="Q23">
        <f t="shared" ref="Q23" si="91">F23*P23</f>
        <v>-136580723.69230619</v>
      </c>
      <c r="R23">
        <f t="shared" ref="R23" si="92">R24+Q23</f>
        <v>-60312533623.93177</v>
      </c>
      <c r="S23">
        <f t="shared" ref="S23" si="93">R23/100000</f>
        <v>-603125.33623931766</v>
      </c>
      <c r="T23">
        <f t="shared" ref="T23" si="94">S23/1000</f>
        <v>-603.12533623931768</v>
      </c>
    </row>
    <row r="24" spans="1:20" x14ac:dyDescent="0.25">
      <c r="A24" s="5">
        <v>44569</v>
      </c>
      <c r="B24">
        <v>5.4419999999999998E-3</v>
      </c>
      <c r="C24">
        <v>5.8989999999999997E-3</v>
      </c>
      <c r="D24">
        <v>5.0879999999999996E-3</v>
      </c>
      <c r="E24">
        <v>5.2779999999999997E-3</v>
      </c>
      <c r="F24">
        <v>649932781</v>
      </c>
      <c r="G24">
        <v>5.2779999999999997E-3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-0.53144266337854484</v>
      </c>
      <c r="Q24">
        <f t="shared" ref="Q24" si="96">F24*P24</f>
        <v>-345402008.1516645</v>
      </c>
      <c r="R24">
        <f t="shared" ref="R24" si="97">R25+Q24</f>
        <v>-60175952900.239464</v>
      </c>
      <c r="S24">
        <f t="shared" ref="S24" si="98">R24/100000</f>
        <v>-601759.52900239464</v>
      </c>
      <c r="T24">
        <f t="shared" ref="T24" si="99">S24/1000</f>
        <v>-601.75952900239463</v>
      </c>
    </row>
    <row r="25" spans="1:20" x14ac:dyDescent="0.25">
      <c r="A25" s="5">
        <v>44568</v>
      </c>
      <c r="B25">
        <v>5.9160000000000003E-3</v>
      </c>
      <c r="C25">
        <v>5.9259999999999998E-3</v>
      </c>
      <c r="D25">
        <v>5.228E-3</v>
      </c>
      <c r="E25">
        <v>5.4349999999999997E-3</v>
      </c>
      <c r="F25">
        <v>963996550</v>
      </c>
      <c r="G25">
        <v>5.4349999999999997E-3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-0.40687679083094624</v>
      </c>
      <c r="Q25">
        <f t="shared" ref="Q25" si="101">F25*P25</f>
        <v>-392227822.63610381</v>
      </c>
      <c r="R25">
        <f t="shared" ref="R25" si="102">R26+Q25</f>
        <v>-59830550892.087799</v>
      </c>
      <c r="S25">
        <f t="shared" ref="S25" si="103">R25/100000</f>
        <v>-598305.50892087794</v>
      </c>
      <c r="T25">
        <f t="shared" ref="T25" si="104">S25/1000</f>
        <v>-598.30550892087797</v>
      </c>
    </row>
    <row r="26" spans="1:20" x14ac:dyDescent="0.25">
      <c r="A26" s="5">
        <v>44567</v>
      </c>
      <c r="B26">
        <v>6.0270000000000002E-3</v>
      </c>
      <c r="C26">
        <v>6.0959999999999999E-3</v>
      </c>
      <c r="D26">
        <v>5.7270000000000003E-3</v>
      </c>
      <c r="E26">
        <v>5.9239999999999996E-3</v>
      </c>
      <c r="F26">
        <v>442278387</v>
      </c>
      <c r="G26">
        <v>5.9239999999999996E-3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6.7750677506772397E-2</v>
      </c>
      <c r="Q26">
        <f t="shared" ref="Q26" si="106">F26*P26</f>
        <v>29964660.365852479</v>
      </c>
      <c r="R26">
        <f t="shared" ref="R26" si="107">R27+Q26</f>
        <v>-59438323069.451698</v>
      </c>
      <c r="S26">
        <f t="shared" ref="S26" si="108">R26/100000</f>
        <v>-594383.23069451703</v>
      </c>
      <c r="T26">
        <f t="shared" ref="T26" si="109">S26/1000</f>
        <v>-594.38323069451701</v>
      </c>
    </row>
    <row r="27" spans="1:20" x14ac:dyDescent="0.25">
      <c r="A27" s="5">
        <v>44566</v>
      </c>
      <c r="B27">
        <v>6.228E-3</v>
      </c>
      <c r="C27">
        <v>6.9160000000000003E-3</v>
      </c>
      <c r="D27">
        <v>5.8100000000000001E-3</v>
      </c>
      <c r="E27">
        <v>6.0330000000000002E-3</v>
      </c>
      <c r="F27">
        <v>987797398</v>
      </c>
      <c r="G27">
        <v>6.0330000000000002E-3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-0.59674502712477384</v>
      </c>
      <c r="Q27">
        <f t="shared" ref="Q27" si="111">F27*P27</f>
        <v>-589463185.06329107</v>
      </c>
      <c r="R27">
        <f t="shared" ref="R27" si="112">R28+Q27</f>
        <v>-59468287729.817551</v>
      </c>
      <c r="S27">
        <f t="shared" ref="S27" si="113">R27/100000</f>
        <v>-594682.87729817547</v>
      </c>
      <c r="T27">
        <f t="shared" ref="T27" si="114">S27/1000</f>
        <v>-594.68287729817553</v>
      </c>
    </row>
    <row r="28" spans="1:20" x14ac:dyDescent="0.25">
      <c r="A28" s="5">
        <v>44565</v>
      </c>
      <c r="B28">
        <v>6.1859999999999997E-3</v>
      </c>
      <c r="C28">
        <v>6.5919999999999998E-3</v>
      </c>
      <c r="D28">
        <v>6.0740000000000004E-3</v>
      </c>
      <c r="E28">
        <v>6.2240000000000004E-3</v>
      </c>
      <c r="F28">
        <v>448209649</v>
      </c>
      <c r="G28">
        <v>6.2240000000000004E-3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-0.42084942084942029</v>
      </c>
      <c r="Q28">
        <f t="shared" ref="Q28" si="116">F28*P28</f>
        <v>-188628771.20077196</v>
      </c>
      <c r="R28">
        <f t="shared" ref="R28" si="117">R29+Q28</f>
        <v>-58878824544.754257</v>
      </c>
      <c r="S28">
        <f t="shared" ref="S28" si="118">R28/100000</f>
        <v>-588788.24544754252</v>
      </c>
      <c r="T28">
        <f t="shared" ref="T28" si="119">S28/1000</f>
        <v>-588.78824544754252</v>
      </c>
    </row>
    <row r="29" spans="1:20" x14ac:dyDescent="0.25">
      <c r="A29" s="5">
        <v>44564</v>
      </c>
      <c r="B29">
        <v>6.3579999999999999E-3</v>
      </c>
      <c r="C29">
        <v>6.6519999999999999E-3</v>
      </c>
      <c r="D29">
        <v>6.1250000000000002E-3</v>
      </c>
      <c r="E29">
        <v>6.1809999999999999E-3</v>
      </c>
      <c r="F29">
        <v>313180907</v>
      </c>
      <c r="G29">
        <v>6.1809999999999999E-3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-0.78747628083491594</v>
      </c>
      <c r="Q29">
        <f t="shared" ref="Q29" si="121">F29*P29</f>
        <v>-246622535.87286571</v>
      </c>
      <c r="R29">
        <f t="shared" ref="R29" si="122">R30+Q29</f>
        <v>-58690195773.553482</v>
      </c>
      <c r="S29">
        <f t="shared" ref="S29" si="123">R29/100000</f>
        <v>-586901.95773553487</v>
      </c>
      <c r="T29">
        <f t="shared" ref="T29" si="124">S29/1000</f>
        <v>-586.90195773553489</v>
      </c>
    </row>
    <row r="30" spans="1:20" x14ac:dyDescent="0.25">
      <c r="A30" s="5">
        <v>44563</v>
      </c>
      <c r="B30">
        <v>6.3680000000000004E-3</v>
      </c>
      <c r="C30">
        <v>6.6E-3</v>
      </c>
      <c r="D30">
        <v>6.2740000000000001E-3</v>
      </c>
      <c r="E30">
        <v>6.3689999999999997E-3</v>
      </c>
      <c r="F30">
        <v>370951309</v>
      </c>
      <c r="G30">
        <v>6.3689999999999997E-3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-0.41717791411043176</v>
      </c>
      <c r="Q30">
        <f t="shared" ref="Q30" si="126">F30*P30</f>
        <v>-154752693.32515424</v>
      </c>
      <c r="R30">
        <f t="shared" ref="R30" si="127">R31+Q30</f>
        <v>-58443573237.680618</v>
      </c>
      <c r="S30">
        <f t="shared" ref="S30" si="128">R30/100000</f>
        <v>-584435.73237680621</v>
      </c>
      <c r="T30">
        <f t="shared" ref="T30" si="129">S30/1000</f>
        <v>-584.43573237680619</v>
      </c>
    </row>
    <row r="31" spans="1:20" x14ac:dyDescent="0.25">
      <c r="A31" s="5">
        <v>44562</v>
      </c>
      <c r="B31">
        <v>6.051E-3</v>
      </c>
      <c r="C31">
        <v>6.489E-3</v>
      </c>
      <c r="D31">
        <v>6.0219999999999996E-3</v>
      </c>
      <c r="E31">
        <v>6.3749999999999996E-3</v>
      </c>
      <c r="F31">
        <v>339286472</v>
      </c>
      <c r="G31">
        <v>6.3749999999999996E-3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0.51177730192719362</v>
      </c>
      <c r="Q31">
        <f t="shared" ref="Q31" si="131">F31*P31</f>
        <v>173639115.22055632</v>
      </c>
      <c r="R31">
        <f t="shared" ref="R31" si="132">R32+Q31</f>
        <v>-58288820544.355461</v>
      </c>
      <c r="S31">
        <f t="shared" ref="S31" si="133">R31/100000</f>
        <v>-582888.20544355456</v>
      </c>
      <c r="T31">
        <f t="shared" ref="T31" si="134">S31/1000</f>
        <v>-582.88820544355451</v>
      </c>
    </row>
    <row r="32" spans="1:20" x14ac:dyDescent="0.25">
      <c r="A32" s="5">
        <v>44561</v>
      </c>
      <c r="B32">
        <v>6.3540000000000003E-3</v>
      </c>
      <c r="C32">
        <v>6.4770000000000001E-3</v>
      </c>
      <c r="D32">
        <v>6.0200000000000002E-3</v>
      </c>
      <c r="E32">
        <v>6.0499999999999998E-3</v>
      </c>
      <c r="F32">
        <v>358466521</v>
      </c>
      <c r="G32">
        <v>6.0499999999999998E-3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-0.86870897155361204</v>
      </c>
      <c r="Q32">
        <f t="shared" ref="Q32" si="136">F32*P32</f>
        <v>-311403082.79431129</v>
      </c>
      <c r="R32">
        <f t="shared" ref="R32" si="137">R33+Q32</f>
        <v>-58462459659.576019</v>
      </c>
      <c r="S32">
        <f t="shared" ref="S32" si="138">R32/100000</f>
        <v>-584624.5965957602</v>
      </c>
      <c r="T32">
        <f t="shared" ref="T32" si="139">S32/1000</f>
        <v>-584.62459659576018</v>
      </c>
    </row>
    <row r="33" spans="1:20" x14ac:dyDescent="0.25">
      <c r="A33" s="5">
        <v>44560</v>
      </c>
      <c r="B33">
        <v>6.2779999999999997E-3</v>
      </c>
      <c r="C33">
        <v>6.5469999999999999E-3</v>
      </c>
      <c r="D33">
        <v>6.1980000000000004E-3</v>
      </c>
      <c r="E33">
        <v>6.3559999999999997E-3</v>
      </c>
      <c r="F33">
        <v>341990810</v>
      </c>
      <c r="G33">
        <v>6.3559999999999997E-3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-9.4555873925504186E-2</v>
      </c>
      <c r="Q33">
        <f t="shared" ref="Q33" si="141">F33*P33</f>
        <v>-32337239.914041057</v>
      </c>
      <c r="R33">
        <f t="shared" ref="R33" si="142">R34+Q33</f>
        <v>-58151056576.781708</v>
      </c>
      <c r="S33">
        <f t="shared" ref="S33" si="143">R33/100000</f>
        <v>-581510.56576781708</v>
      </c>
      <c r="T33">
        <f t="shared" ref="T33" si="144">S33/1000</f>
        <v>-581.51056576781707</v>
      </c>
    </row>
    <row r="34" spans="1:20" x14ac:dyDescent="0.25">
      <c r="A34" s="5">
        <v>44559</v>
      </c>
      <c r="B34">
        <v>6.764E-3</v>
      </c>
      <c r="C34">
        <v>6.9350000000000002E-3</v>
      </c>
      <c r="D34">
        <v>6.2110000000000004E-3</v>
      </c>
      <c r="E34">
        <v>6.2760000000000003E-3</v>
      </c>
      <c r="F34">
        <v>647136256</v>
      </c>
      <c r="G34">
        <v>6.2760000000000003E-3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-0.82044198895027631</v>
      </c>
      <c r="Q34">
        <f t="shared" ref="Q34" si="146">F34*P34</f>
        <v>-530937756.99447519</v>
      </c>
      <c r="R34">
        <f t="shared" ref="R34" si="147">R35+Q34</f>
        <v>-58118719336.867668</v>
      </c>
      <c r="S34">
        <f t="shared" ref="S34" si="148">R34/100000</f>
        <v>-581187.1933686767</v>
      </c>
      <c r="T34">
        <f t="shared" ref="T34" si="149">S34/1000</f>
        <v>-581.18719336867673</v>
      </c>
    </row>
    <row r="35" spans="1:20" x14ac:dyDescent="0.25">
      <c r="A35" s="5">
        <v>44558</v>
      </c>
      <c r="B35">
        <v>7.6210000000000002E-3</v>
      </c>
      <c r="C35">
        <v>7.7010000000000004E-3</v>
      </c>
      <c r="D35">
        <v>6.6280000000000002E-3</v>
      </c>
      <c r="E35">
        <v>6.7650000000000002E-3</v>
      </c>
      <c r="F35">
        <v>1548564040</v>
      </c>
      <c r="G35">
        <v>6.7650000000000002E-3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-0.74464119291705511</v>
      </c>
      <c r="Q35">
        <f t="shared" ref="Q35" si="151">F35*P35</f>
        <v>-1153124574.0540543</v>
      </c>
      <c r="R35">
        <f t="shared" ref="R35" si="152">R36+Q35</f>
        <v>-57587781579.873192</v>
      </c>
      <c r="S35">
        <f t="shared" ref="S35" si="153">R35/100000</f>
        <v>-575877.81579873187</v>
      </c>
      <c r="T35">
        <f t="shared" ref="T35" si="154">S35/1000</f>
        <v>-575.87781579873183</v>
      </c>
    </row>
    <row r="36" spans="1:20" x14ac:dyDescent="0.25">
      <c r="A36" s="5">
        <v>44557</v>
      </c>
      <c r="B36">
        <v>6.3E-3</v>
      </c>
      <c r="C36">
        <v>0.01</v>
      </c>
      <c r="D36">
        <v>6.2950000000000002E-3</v>
      </c>
      <c r="E36">
        <v>7.6160000000000004E-3</v>
      </c>
      <c r="F36">
        <v>7285681664</v>
      </c>
      <c r="G36">
        <v>7.6160000000000004E-3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-0.28690958164642366</v>
      </c>
      <c r="Q36">
        <f t="shared" ref="Q36" si="156">F36*P36</f>
        <v>-2090331878.2272599</v>
      </c>
      <c r="R36">
        <f t="shared" ref="R36" si="157">R37+Q36</f>
        <v>-56434657005.819138</v>
      </c>
      <c r="S36">
        <f t="shared" ref="S36" si="158">R36/100000</f>
        <v>-564346.57005819143</v>
      </c>
      <c r="T36">
        <f t="shared" ref="T36" si="159">S36/1000</f>
        <v>-564.34657005819145</v>
      </c>
    </row>
    <row r="37" spans="1:20" x14ac:dyDescent="0.25">
      <c r="A37" s="5">
        <v>44556</v>
      </c>
      <c r="B37">
        <v>6.3429999999999997E-3</v>
      </c>
      <c r="C37">
        <v>6.4799999999999996E-3</v>
      </c>
      <c r="D37">
        <v>6.2009999999999999E-3</v>
      </c>
      <c r="E37">
        <v>6.3090000000000004E-3</v>
      </c>
      <c r="F37">
        <v>381263449</v>
      </c>
      <c r="G37">
        <v>6.3090000000000004E-3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-0.22580645161289922</v>
      </c>
      <c r="Q37">
        <f t="shared" ref="Q37" si="161">F37*P37</f>
        <v>-86091746.548385575</v>
      </c>
      <c r="R37">
        <f t="shared" ref="R37" si="162">R38+Q37</f>
        <v>-54344325127.591881</v>
      </c>
      <c r="S37">
        <f t="shared" ref="S37" si="163">R37/100000</f>
        <v>-543443.2512759188</v>
      </c>
      <c r="T37">
        <f t="shared" ref="T37" si="164">S37/1000</f>
        <v>-543.44325127591878</v>
      </c>
    </row>
    <row r="38" spans="1:20" x14ac:dyDescent="0.25">
      <c r="A38" s="5">
        <v>44555</v>
      </c>
      <c r="B38">
        <v>6.1960000000000001E-3</v>
      </c>
      <c r="C38">
        <v>6.4790000000000004E-3</v>
      </c>
      <c r="D38">
        <v>6.1830000000000001E-3</v>
      </c>
      <c r="E38">
        <v>6.3530000000000001E-3</v>
      </c>
      <c r="F38">
        <v>175901988</v>
      </c>
      <c r="G38">
        <v>6.3530000000000001E-3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0.14864864864864774</v>
      </c>
      <c r="Q38">
        <f t="shared" ref="Q38" si="166">F38*P38</f>
        <v>26147592.810810652</v>
      </c>
      <c r="R38">
        <f t="shared" ref="R38" si="167">R39+Q38</f>
        <v>-54258233381.043495</v>
      </c>
      <c r="S38">
        <f t="shared" ref="S38" si="168">R38/100000</f>
        <v>-542582.33381043491</v>
      </c>
      <c r="T38">
        <f t="shared" ref="T38" si="169">S38/1000</f>
        <v>-542.58233381043487</v>
      </c>
    </row>
    <row r="39" spans="1:20" x14ac:dyDescent="0.25">
      <c r="A39" s="5">
        <v>44554</v>
      </c>
      <c r="B39">
        <v>6.3340000000000002E-3</v>
      </c>
      <c r="C39">
        <v>6.5770000000000004E-3</v>
      </c>
      <c r="D39">
        <v>6.1279999999999998E-3</v>
      </c>
      <c r="E39">
        <v>6.1900000000000002E-3</v>
      </c>
      <c r="F39">
        <v>297197238</v>
      </c>
      <c r="G39">
        <v>6.1900000000000002E-3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-0.72383073496659089</v>
      </c>
      <c r="Q39">
        <f t="shared" ref="Q39" si="171">F39*P39</f>
        <v>-215120495.21158084</v>
      </c>
      <c r="R39">
        <f t="shared" ref="R39" si="172">R40+Q39</f>
        <v>-54284380973.854309</v>
      </c>
      <c r="S39">
        <f t="shared" ref="S39" si="173">R39/100000</f>
        <v>-542843.80973854312</v>
      </c>
      <c r="T39">
        <f t="shared" ref="T39" si="174">S39/1000</f>
        <v>-542.84380973854309</v>
      </c>
    </row>
    <row r="40" spans="1:20" x14ac:dyDescent="0.25">
      <c r="A40" s="5">
        <v>44553</v>
      </c>
      <c r="B40">
        <v>5.9080000000000001E-3</v>
      </c>
      <c r="C40">
        <v>6.5880000000000001E-3</v>
      </c>
      <c r="D40">
        <v>5.8069999999999997E-3</v>
      </c>
      <c r="E40">
        <v>6.332E-3</v>
      </c>
      <c r="F40">
        <v>559091319</v>
      </c>
      <c r="G40">
        <v>6.332E-3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0.34443021766965426</v>
      </c>
      <c r="Q40">
        <f t="shared" ref="Q40" si="176">F40*P40</f>
        <v>192567944.70038411</v>
      </c>
      <c r="R40">
        <f t="shared" ref="R40" si="177">R41+Q40</f>
        <v>-54069260478.642731</v>
      </c>
      <c r="S40">
        <f t="shared" ref="S40" si="178">R40/100000</f>
        <v>-540692.60478642734</v>
      </c>
      <c r="T40">
        <f t="shared" ref="T40" si="179">S40/1000</f>
        <v>-540.6926047864273</v>
      </c>
    </row>
    <row r="41" spans="1:20" x14ac:dyDescent="0.25">
      <c r="A41" s="5">
        <v>44552</v>
      </c>
      <c r="B41">
        <v>5.5909999999999996E-3</v>
      </c>
      <c r="C41">
        <v>6.3350000000000004E-3</v>
      </c>
      <c r="D41">
        <v>5.574E-3</v>
      </c>
      <c r="E41">
        <v>5.9040000000000004E-3</v>
      </c>
      <c r="F41">
        <v>330686576</v>
      </c>
      <c r="G41">
        <v>5.9040000000000004E-3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-0.13272010512483506</v>
      </c>
      <c r="Q41">
        <f t="shared" ref="Q41" si="181">F41*P41</f>
        <v>-43888757.130091757</v>
      </c>
      <c r="R41">
        <f t="shared" ref="R41" si="182">R42+Q41</f>
        <v>-54261828423.343117</v>
      </c>
      <c r="S41">
        <f t="shared" ref="S41" si="183">R41/100000</f>
        <v>-542618.28423343122</v>
      </c>
      <c r="T41">
        <f t="shared" ref="T41" si="184">S41/1000</f>
        <v>-542.61828423343127</v>
      </c>
    </row>
    <row r="42" spans="1:20" x14ac:dyDescent="0.25">
      <c r="A42" s="5">
        <v>44551</v>
      </c>
      <c r="B42">
        <v>5.4200000000000003E-3</v>
      </c>
      <c r="C42">
        <v>5.7099999999999998E-3</v>
      </c>
      <c r="D42">
        <v>5.3359999999999996E-3</v>
      </c>
      <c r="E42">
        <v>5.5929999999999999E-3</v>
      </c>
      <c r="F42">
        <v>270496815</v>
      </c>
      <c r="G42">
        <v>5.5929999999999999E-3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0.37433155080213981</v>
      </c>
      <c r="Q42">
        <f t="shared" ref="Q42" si="186">F42*P42</f>
        <v>101255492.24598952</v>
      </c>
      <c r="R42">
        <f t="shared" ref="R42" si="187">R43+Q42</f>
        <v>-54217939666.213028</v>
      </c>
      <c r="S42">
        <f t="shared" ref="S42" si="188">R42/100000</f>
        <v>-542179.39666213025</v>
      </c>
      <c r="T42">
        <f t="shared" ref="T42" si="189">S42/1000</f>
        <v>-542.17939666213022</v>
      </c>
    </row>
    <row r="43" spans="1:20" x14ac:dyDescent="0.25">
      <c r="A43" s="5">
        <v>44550</v>
      </c>
      <c r="B43">
        <v>5.5799999999999999E-3</v>
      </c>
      <c r="C43">
        <v>5.6950000000000004E-3</v>
      </c>
      <c r="D43">
        <v>5.293E-3</v>
      </c>
      <c r="E43">
        <v>5.4180000000000001E-3</v>
      </c>
      <c r="F43">
        <v>280706261</v>
      </c>
      <c r="G43">
        <v>5.4180000000000001E-3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-0.37810945273631857</v>
      </c>
      <c r="Q43">
        <f t="shared" ref="Q43" si="191">F43*P43</f>
        <v>-106137690.7263682</v>
      </c>
      <c r="R43">
        <f t="shared" ref="R43" si="192">R44+Q43</f>
        <v>-54319195158.459015</v>
      </c>
      <c r="S43">
        <f t="shared" ref="S43" si="193">R43/100000</f>
        <v>-543191.95158459013</v>
      </c>
      <c r="T43">
        <f t="shared" ref="T43" si="194">S43/1000</f>
        <v>-543.19195158459013</v>
      </c>
    </row>
    <row r="44" spans="1:20" x14ac:dyDescent="0.25">
      <c r="A44" s="5">
        <v>44549</v>
      </c>
      <c r="B44">
        <v>5.6439999999999997E-3</v>
      </c>
      <c r="C44">
        <v>5.8079999999999998E-3</v>
      </c>
      <c r="D44">
        <v>5.5659999999999998E-3</v>
      </c>
      <c r="E44">
        <v>5.5799999999999999E-3</v>
      </c>
      <c r="F44">
        <v>272797011</v>
      </c>
      <c r="G44">
        <v>5.5799999999999999E-3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-0.88429752066115597</v>
      </c>
      <c r="Q44">
        <f t="shared" ref="Q44" si="196">F44*P44</f>
        <v>-241233720.4710741</v>
      </c>
      <c r="R44">
        <f t="shared" ref="R44" si="197">R45+Q44</f>
        <v>-54213057467.732643</v>
      </c>
      <c r="S44">
        <f t="shared" ref="S44" si="198">R44/100000</f>
        <v>-542130.57467732648</v>
      </c>
      <c r="T44">
        <f t="shared" ref="T44" si="199">S44/1000</f>
        <v>-542.13057467732654</v>
      </c>
    </row>
    <row r="45" spans="1:20" x14ac:dyDescent="0.25">
      <c r="A45" s="5">
        <v>44548</v>
      </c>
      <c r="B45">
        <v>5.5250000000000004E-3</v>
      </c>
      <c r="C45">
        <v>5.751E-3</v>
      </c>
      <c r="D45">
        <v>5.496E-3</v>
      </c>
      <c r="E45">
        <v>5.6439999999999997E-3</v>
      </c>
      <c r="F45">
        <v>239804989</v>
      </c>
      <c r="G45">
        <v>5.6439999999999997E-3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0.16078431372548771</v>
      </c>
      <c r="Q45">
        <f t="shared" ref="Q45" si="201">F45*P45</f>
        <v>38556880.584313132</v>
      </c>
      <c r="R45">
        <f t="shared" ref="R45" si="202">R46+Q45</f>
        <v>-53971823747.261566</v>
      </c>
      <c r="S45">
        <f t="shared" ref="S45" si="203">R45/100000</f>
        <v>-539718.23747261567</v>
      </c>
      <c r="T45">
        <f t="shared" ref="T45" si="204">S45/1000</f>
        <v>-539.71823747261567</v>
      </c>
    </row>
    <row r="46" spans="1:20" x14ac:dyDescent="0.25">
      <c r="A46" s="5">
        <v>44547</v>
      </c>
      <c r="B46">
        <v>5.7590000000000002E-3</v>
      </c>
      <c r="C46">
        <v>5.8459999999999996E-3</v>
      </c>
      <c r="D46">
        <v>5.4310000000000001E-3</v>
      </c>
      <c r="E46">
        <v>5.5240000000000003E-3</v>
      </c>
      <c r="F46">
        <v>340755414</v>
      </c>
      <c r="G46">
        <v>5.5240000000000003E-3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-0.55180722891566125</v>
      </c>
      <c r="Q46">
        <f t="shared" ref="Q46" si="206">F46*P46</f>
        <v>-188031300.73734891</v>
      </c>
      <c r="R46">
        <f t="shared" ref="R46" si="207">R47+Q46</f>
        <v>-54010380627.845879</v>
      </c>
      <c r="S46">
        <f t="shared" ref="S46" si="208">R46/100000</f>
        <v>-540103.8062784588</v>
      </c>
      <c r="T46">
        <f t="shared" ref="T46" si="209">S46/1000</f>
        <v>-540.10380627845882</v>
      </c>
    </row>
    <row r="47" spans="1:20" x14ac:dyDescent="0.25">
      <c r="A47" s="5">
        <v>44546</v>
      </c>
      <c r="B47">
        <v>5.6779999999999999E-3</v>
      </c>
      <c r="C47">
        <v>6.1679999999999999E-3</v>
      </c>
      <c r="D47">
        <v>5.6039999999999996E-3</v>
      </c>
      <c r="E47">
        <v>5.757E-3</v>
      </c>
      <c r="F47">
        <v>555596428</v>
      </c>
      <c r="G47">
        <v>5.757E-3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-0.45744680851063729</v>
      </c>
      <c r="Q47">
        <f t="shared" ref="Q47" si="211">F47*P47</f>
        <v>-254155812.80851007</v>
      </c>
      <c r="R47">
        <f t="shared" ref="R47" si="212">R48+Q47</f>
        <v>-53822349327.108528</v>
      </c>
      <c r="S47">
        <f t="shared" ref="S47" si="213">R47/100000</f>
        <v>-538223.49327108532</v>
      </c>
      <c r="T47">
        <f t="shared" ref="T47" si="214">S47/1000</f>
        <v>-538.22349327108532</v>
      </c>
    </row>
    <row r="48" spans="1:20" x14ac:dyDescent="0.25">
      <c r="A48" s="5">
        <v>44545</v>
      </c>
      <c r="B48">
        <v>5.6039999999999996E-3</v>
      </c>
      <c r="C48">
        <v>6.0219999999999996E-3</v>
      </c>
      <c r="D48">
        <v>5.3759999999999997E-3</v>
      </c>
      <c r="E48">
        <v>5.6709999999999998E-3</v>
      </c>
      <c r="F48">
        <v>737000193</v>
      </c>
      <c r="G48">
        <v>5.6709999999999998E-3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-8.668730650154742E-2</v>
      </c>
      <c r="Q48">
        <f t="shared" ref="Q48" si="216">F48*P48</f>
        <v>-63888561.622290604</v>
      </c>
      <c r="R48">
        <f t="shared" ref="R48" si="217">R49+Q48</f>
        <v>-53568193514.300018</v>
      </c>
      <c r="S48">
        <f t="shared" ref="S48" si="218">R48/100000</f>
        <v>-535681.93514300021</v>
      </c>
      <c r="T48">
        <f t="shared" ref="T48" si="219">S48/1000</f>
        <v>-535.68193514300026</v>
      </c>
    </row>
    <row r="49" spans="1:20" x14ac:dyDescent="0.25">
      <c r="A49" s="5">
        <v>44544</v>
      </c>
      <c r="B49">
        <v>5.6449999999999998E-3</v>
      </c>
      <c r="C49">
        <v>5.7920000000000003E-3</v>
      </c>
      <c r="D49">
        <v>5.2900000000000004E-3</v>
      </c>
      <c r="E49">
        <v>5.6039999999999996E-3</v>
      </c>
      <c r="F49">
        <v>646279140</v>
      </c>
      <c r="G49">
        <v>5.6039999999999996E-3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0.25099601593625209</v>
      </c>
      <c r="Q49">
        <f t="shared" ref="Q49" si="221">F49*P49</f>
        <v>162213489.3227073</v>
      </c>
      <c r="R49">
        <f t="shared" ref="R49" si="222">R50+Q49</f>
        <v>-53504304952.677727</v>
      </c>
      <c r="S49">
        <f t="shared" ref="S49" si="223">R49/100000</f>
        <v>-535043.04952677723</v>
      </c>
      <c r="T49">
        <f t="shared" ref="T49" si="224">S49/1000</f>
        <v>-535.04304952677728</v>
      </c>
    </row>
    <row r="50" spans="1:20" x14ac:dyDescent="0.25">
      <c r="A50" s="5">
        <v>44543</v>
      </c>
      <c r="B50">
        <v>6.3070000000000001E-3</v>
      </c>
      <c r="C50">
        <v>6.3619999999999996E-3</v>
      </c>
      <c r="D50">
        <v>5.2550000000000001E-3</v>
      </c>
      <c r="E50">
        <v>5.6499999999999996E-3</v>
      </c>
      <c r="F50">
        <v>799136921</v>
      </c>
      <c r="G50">
        <v>5.6499999999999996E-3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-0.28635953026196981</v>
      </c>
      <c r="Q50">
        <f t="shared" ref="Q50" si="226">F50*P50</f>
        <v>-228840473.31255686</v>
      </c>
      <c r="R50">
        <f t="shared" ref="R50" si="227">R51+Q50</f>
        <v>-53666518442.000435</v>
      </c>
      <c r="S50">
        <f t="shared" ref="S50" si="228">R50/100000</f>
        <v>-536665.18442000437</v>
      </c>
      <c r="T50">
        <f t="shared" ref="T50" si="229">S50/1000</f>
        <v>-536.66518442000438</v>
      </c>
    </row>
    <row r="51" spans="1:20" x14ac:dyDescent="0.25">
      <c r="A51" s="5">
        <v>44542</v>
      </c>
      <c r="B51">
        <v>6.2389999999999998E-3</v>
      </c>
      <c r="C51">
        <v>6.4669999999999997E-3</v>
      </c>
      <c r="D51">
        <v>6.0930000000000003E-3</v>
      </c>
      <c r="E51">
        <v>6.3160000000000004E-3</v>
      </c>
      <c r="F51">
        <v>530062835</v>
      </c>
      <c r="G51">
        <v>6.3160000000000004E-3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0.19251336898395993</v>
      </c>
      <c r="Q51">
        <f t="shared" ref="Q51" si="231">F51*P51</f>
        <v>102044182.13903888</v>
      </c>
      <c r="R51">
        <f t="shared" ref="R51" si="232">R52+Q51</f>
        <v>-53437677968.687881</v>
      </c>
      <c r="S51">
        <f t="shared" ref="S51" si="233">R51/100000</f>
        <v>-534376.77968687878</v>
      </c>
      <c r="T51">
        <f t="shared" ref="T51" si="234">S51/1000</f>
        <v>-534.37677968687876</v>
      </c>
    </row>
    <row r="52" spans="1:20" x14ac:dyDescent="0.25">
      <c r="A52" s="5">
        <v>44541</v>
      </c>
      <c r="B52">
        <v>6.0730000000000003E-3</v>
      </c>
      <c r="C52">
        <v>6.1929999999999997E-3</v>
      </c>
      <c r="D52">
        <v>6.0099999999999997E-3</v>
      </c>
      <c r="E52">
        <v>6.1500000000000001E-3</v>
      </c>
      <c r="F52">
        <v>14732594</v>
      </c>
      <c r="G52">
        <v>6.1500000000000001E-3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0.5300546448087472</v>
      </c>
      <c r="Q52">
        <f t="shared" ref="Q52" si="236">F52*P52</f>
        <v>7809079.8797814799</v>
      </c>
      <c r="R52">
        <f t="shared" ref="R52" si="237">R53+Q52</f>
        <v>-53539722150.82692</v>
      </c>
      <c r="S52">
        <f t="shared" ref="S52" si="238">R52/100000</f>
        <v>-535397.2215082692</v>
      </c>
      <c r="T52">
        <f t="shared" ref="T52" si="239">S52/1000</f>
        <v>-535.39722150826924</v>
      </c>
    </row>
    <row r="53" spans="1:20" x14ac:dyDescent="0.25">
      <c r="A53" s="5">
        <v>44540</v>
      </c>
      <c r="B53">
        <v>6.2509999999999996E-3</v>
      </c>
      <c r="C53">
        <v>7.0000000000000001E-3</v>
      </c>
      <c r="D53">
        <v>6.0229999999999997E-3</v>
      </c>
      <c r="E53">
        <v>6.0780000000000001E-3</v>
      </c>
      <c r="F53">
        <v>1209832302</v>
      </c>
      <c r="G53">
        <v>6.0780000000000001E-3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-0.88741044012282433</v>
      </c>
      <c r="Q53">
        <f t="shared" ref="Q53" si="241">F53*P53</f>
        <v>-1073617815.5926297</v>
      </c>
      <c r="R53">
        <f t="shared" ref="R53" si="242">R54+Q53</f>
        <v>-53547531230.706703</v>
      </c>
      <c r="S53">
        <f t="shared" ref="S53" si="243">R53/100000</f>
        <v>-535475.31230706698</v>
      </c>
      <c r="T53">
        <f t="shared" ref="T53" si="244">S53/1000</f>
        <v>-535.47531230706693</v>
      </c>
    </row>
    <row r="54" spans="1:20" x14ac:dyDescent="0.25">
      <c r="A54" s="5">
        <v>44539</v>
      </c>
      <c r="B54">
        <v>6.8519999999999996E-3</v>
      </c>
      <c r="C54">
        <v>7.2110000000000004E-3</v>
      </c>
      <c r="D54">
        <v>6.2230000000000002E-3</v>
      </c>
      <c r="E54">
        <v>6.2459999999999998E-3</v>
      </c>
      <c r="F54">
        <v>1349572203</v>
      </c>
      <c r="G54">
        <v>6.2459999999999998E-3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-0.95344129554655954</v>
      </c>
      <c r="Q54">
        <f t="shared" ref="Q54" si="246">F54*P54</f>
        <v>-1286737869.6619444</v>
      </c>
      <c r="R54">
        <f t="shared" ref="R54" si="247">R55+Q54</f>
        <v>-52473913415.114075</v>
      </c>
      <c r="S54">
        <f t="shared" ref="S54" si="248">R54/100000</f>
        <v>-524739.13415114069</v>
      </c>
      <c r="T54">
        <f t="shared" ref="T54" si="249">S54/1000</f>
        <v>-524.73913415114066</v>
      </c>
    </row>
    <row r="55" spans="1:20" x14ac:dyDescent="0.25">
      <c r="A55" s="5">
        <v>44538</v>
      </c>
      <c r="B55">
        <v>6.7039999999999999E-3</v>
      </c>
      <c r="C55">
        <v>7.2849999999999998E-3</v>
      </c>
      <c r="D55">
        <v>6.3709999999999999E-3</v>
      </c>
      <c r="E55">
        <v>6.8599999999999998E-3</v>
      </c>
      <c r="F55">
        <v>785295526</v>
      </c>
      <c r="G55">
        <v>6.8599999999999998E-3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7.0021881838074215E-2</v>
      </c>
      <c r="Q55">
        <f t="shared" ref="Q55" si="251">F55*P55</f>
        <v>54987870.529540338</v>
      </c>
      <c r="R55">
        <f t="shared" ref="R55" si="252">R56+Q55</f>
        <v>-51187175545.452133</v>
      </c>
      <c r="S55">
        <f t="shared" ref="S55" si="253">R55/100000</f>
        <v>-511871.75545452134</v>
      </c>
      <c r="T55">
        <f t="shared" ref="T55" si="254">S55/1000</f>
        <v>-511.87175545452135</v>
      </c>
    </row>
    <row r="56" spans="1:20" x14ac:dyDescent="0.25">
      <c r="A56" s="5">
        <v>44537</v>
      </c>
      <c r="B56">
        <v>6.8529999999999997E-3</v>
      </c>
      <c r="C56">
        <v>7.5329999999999998E-3</v>
      </c>
      <c r="D56">
        <v>6.5630000000000003E-3</v>
      </c>
      <c r="E56">
        <v>6.7130000000000002E-3</v>
      </c>
      <c r="F56">
        <v>1083990717</v>
      </c>
      <c r="G56">
        <v>6.7130000000000002E-3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-0.69072164948453596</v>
      </c>
      <c r="Q56">
        <f t="shared" ref="Q56" si="256">F56*P56</f>
        <v>-748735856.07216477</v>
      </c>
      <c r="R56">
        <f t="shared" ref="R56" si="257">R57+Q56</f>
        <v>-51242163415.981674</v>
      </c>
      <c r="S56">
        <f t="shared" ref="S56" si="258">R56/100000</f>
        <v>-512421.63415981672</v>
      </c>
      <c r="T56">
        <f t="shared" ref="T56" si="259">S56/1000</f>
        <v>-512.42163415981668</v>
      </c>
    </row>
    <row r="57" spans="1:20" x14ac:dyDescent="0.25">
      <c r="A57" s="5">
        <v>44536</v>
      </c>
      <c r="B57">
        <v>6.718E-3</v>
      </c>
      <c r="C57">
        <v>6.8789999999999997E-3</v>
      </c>
      <c r="D57">
        <v>6.0229999999999997E-3</v>
      </c>
      <c r="E57">
        <v>6.8599999999999998E-3</v>
      </c>
      <c r="F57">
        <v>783497521</v>
      </c>
      <c r="G57">
        <v>6.8599999999999998E-3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0.95560747663551415</v>
      </c>
      <c r="Q57">
        <f t="shared" ref="Q57" si="261">F57*P57</f>
        <v>748716088.99299073</v>
      </c>
      <c r="R57">
        <f t="shared" ref="R57" si="262">R58+Q57</f>
        <v>-50493427559.909508</v>
      </c>
      <c r="S57">
        <f t="shared" ref="S57" si="263">R57/100000</f>
        <v>-504934.2755990951</v>
      </c>
      <c r="T57">
        <f t="shared" ref="T57" si="264">S57/1000</f>
        <v>-504.93427559909509</v>
      </c>
    </row>
    <row r="58" spans="1:20" x14ac:dyDescent="0.25">
      <c r="A58" s="5">
        <v>44535</v>
      </c>
      <c r="B58">
        <v>7.0759999999999998E-3</v>
      </c>
      <c r="C58">
        <v>7.1939999999999999E-3</v>
      </c>
      <c r="D58">
        <v>6.2700000000000004E-3</v>
      </c>
      <c r="E58">
        <v>6.7159999999999997E-3</v>
      </c>
      <c r="F58">
        <v>774115686</v>
      </c>
      <c r="G58">
        <v>6.7159999999999997E-3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-3.4632034632035492E-2</v>
      </c>
      <c r="Q58">
        <f t="shared" ref="Q58" si="266">F58*P58</f>
        <v>-26809201.246753912</v>
      </c>
      <c r="R58">
        <f t="shared" ref="R58" si="267">R59+Q58</f>
        <v>-51242143648.902496</v>
      </c>
      <c r="S58">
        <f t="shared" ref="S58" si="268">R58/100000</f>
        <v>-512421.43648902496</v>
      </c>
      <c r="T58">
        <f t="shared" ref="T58" si="269">S58/1000</f>
        <v>-512.42143648902493</v>
      </c>
    </row>
    <row r="59" spans="1:20" x14ac:dyDescent="0.25">
      <c r="A59" s="5">
        <v>44534</v>
      </c>
      <c r="B59">
        <v>7.8639999999999995E-3</v>
      </c>
      <c r="C59">
        <v>7.9340000000000001E-3</v>
      </c>
      <c r="D59">
        <v>5.0000000000000001E-3</v>
      </c>
      <c r="E59">
        <v>7.0749999999999997E-3</v>
      </c>
      <c r="F59">
        <v>2706346985</v>
      </c>
      <c r="G59">
        <v>7.0749999999999997E-3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0.41445126107702768</v>
      </c>
      <c r="Q59">
        <f t="shared" ref="Q59" si="271">F59*P59</f>
        <v>1121648920.8452618</v>
      </c>
      <c r="R59">
        <f t="shared" ref="R59" si="272">R60+Q59</f>
        <v>-51215334447.655739</v>
      </c>
      <c r="S59">
        <f t="shared" ref="S59" si="273">R59/100000</f>
        <v>-512153.34447655739</v>
      </c>
      <c r="T59">
        <f t="shared" ref="T59" si="274">S59/1000</f>
        <v>-512.15334447655744</v>
      </c>
    </row>
    <row r="60" spans="1:20" x14ac:dyDescent="0.25">
      <c r="A60" s="5">
        <v>44533</v>
      </c>
      <c r="B60">
        <v>8.2909999999999998E-3</v>
      </c>
      <c r="C60">
        <v>8.4980000000000003E-3</v>
      </c>
      <c r="D60">
        <v>7.4999999999999997E-3</v>
      </c>
      <c r="E60">
        <v>7.8639999999999995E-3</v>
      </c>
      <c r="F60">
        <v>795949932</v>
      </c>
      <c r="G60">
        <v>7.8639999999999995E-3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-0.27054108216432965</v>
      </c>
      <c r="Q60">
        <f t="shared" ref="Q60" si="276">F60*P60</f>
        <v>-215337155.95190459</v>
      </c>
      <c r="R60">
        <f t="shared" ref="R60" si="277">R61+Q60</f>
        <v>-52336983368.500999</v>
      </c>
      <c r="S60">
        <f t="shared" ref="S60" si="278">R60/100000</f>
        <v>-523369.83368500997</v>
      </c>
      <c r="T60">
        <f t="shared" ref="T60" si="279">S60/1000</f>
        <v>-523.36983368501001</v>
      </c>
    </row>
    <row r="61" spans="1:20" x14ac:dyDescent="0.25">
      <c r="A61" s="5">
        <v>44532</v>
      </c>
      <c r="B61">
        <v>8.2950000000000003E-3</v>
      </c>
      <c r="C61">
        <v>8.5459999999999998E-3</v>
      </c>
      <c r="D61">
        <v>7.8329999999999997E-3</v>
      </c>
      <c r="E61">
        <v>8.2909999999999998E-3</v>
      </c>
      <c r="F61">
        <v>925051909</v>
      </c>
      <c r="G61">
        <v>8.2909999999999998E-3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0.28471248246844322</v>
      </c>
      <c r="Q61">
        <f t="shared" ref="Q61" si="281">F61*P61</f>
        <v>263373825.42356244</v>
      </c>
      <c r="R61">
        <f t="shared" ref="R61" si="282">R62+Q61</f>
        <v>-52121646212.549095</v>
      </c>
      <c r="S61">
        <f t="shared" ref="S61" si="283">R61/100000</f>
        <v>-521216.46212549094</v>
      </c>
      <c r="T61">
        <f t="shared" ref="T61" si="284">S61/1000</f>
        <v>-521.21646212549092</v>
      </c>
    </row>
    <row r="62" spans="1:20" x14ac:dyDescent="0.25">
      <c r="A62" s="5">
        <v>44531</v>
      </c>
      <c r="B62">
        <v>8.2869999999999992E-3</v>
      </c>
      <c r="C62">
        <v>8.7259999999999994E-3</v>
      </c>
      <c r="D62">
        <v>8.1899999999999994E-3</v>
      </c>
      <c r="E62">
        <v>8.2920000000000008E-3</v>
      </c>
      <c r="F62">
        <v>611846063</v>
      </c>
      <c r="G62">
        <v>8.2920000000000008E-3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-0.61940298507462166</v>
      </c>
      <c r="Q62">
        <f t="shared" ref="Q62" si="286">F62*P62</f>
        <v>-378979277.82835501</v>
      </c>
      <c r="R62">
        <f t="shared" ref="R62" si="287">R63+Q62</f>
        <v>-52385020037.972656</v>
      </c>
      <c r="S62">
        <f t="shared" ref="S62" si="288">R62/100000</f>
        <v>-523850.20037972654</v>
      </c>
      <c r="T62">
        <f t="shared" ref="T62" si="289">S62/1000</f>
        <v>-523.85020037972652</v>
      </c>
    </row>
    <row r="63" spans="1:20" x14ac:dyDescent="0.25">
      <c r="A63" s="5">
        <v>44530</v>
      </c>
      <c r="B63">
        <v>8.6269999999999993E-3</v>
      </c>
      <c r="C63">
        <v>8.6529999999999992E-3</v>
      </c>
      <c r="D63">
        <v>8.175E-3</v>
      </c>
      <c r="E63">
        <v>8.2850000000000007E-3</v>
      </c>
      <c r="F63">
        <v>480192268</v>
      </c>
      <c r="G63">
        <v>8.2850000000000007E-3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-0.53974895397489164</v>
      </c>
      <c r="Q63">
        <f t="shared" ref="Q63" si="291">F63*P63</f>
        <v>-259183274.35983083</v>
      </c>
      <c r="R63">
        <f t="shared" ref="R63" si="292">R64+Q63</f>
        <v>-52006040760.144302</v>
      </c>
      <c r="S63">
        <f t="shared" ref="S63" si="293">R63/100000</f>
        <v>-520060.407601443</v>
      </c>
      <c r="T63">
        <f t="shared" ref="T63" si="294">S63/1000</f>
        <v>-520.06040760144299</v>
      </c>
    </row>
    <row r="64" spans="1:20" x14ac:dyDescent="0.25">
      <c r="A64" s="5">
        <v>44529</v>
      </c>
      <c r="B64">
        <v>8.5310000000000004E-3</v>
      </c>
      <c r="C64">
        <v>8.7899999999999992E-3</v>
      </c>
      <c r="D64">
        <v>8.2690000000000003E-3</v>
      </c>
      <c r="E64">
        <v>8.6269999999999993E-3</v>
      </c>
      <c r="F64">
        <v>444318331</v>
      </c>
      <c r="G64">
        <v>8.6269999999999993E-3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0.37428023032629443</v>
      </c>
      <c r="Q64">
        <f t="shared" ref="Q64" si="296">F64*P64</f>
        <v>166299567.26487473</v>
      </c>
      <c r="R64">
        <f t="shared" ref="R64" si="297">R65+Q64</f>
        <v>-51746857485.78447</v>
      </c>
      <c r="S64">
        <f t="shared" ref="S64" si="298">R64/100000</f>
        <v>-517468.57485784468</v>
      </c>
      <c r="T64">
        <f t="shared" ref="T64" si="299">S64/1000</f>
        <v>-517.46857485784471</v>
      </c>
    </row>
    <row r="65" spans="1:20" x14ac:dyDescent="0.25">
      <c r="A65" s="5">
        <v>44528</v>
      </c>
      <c r="B65">
        <v>8.3800000000000003E-3</v>
      </c>
      <c r="C65">
        <v>8.6599999999999993E-3</v>
      </c>
      <c r="D65">
        <v>7.7679999999999997E-3</v>
      </c>
      <c r="E65">
        <v>8.5500000000000003E-3</v>
      </c>
      <c r="F65">
        <v>491150960</v>
      </c>
      <c r="G65">
        <v>8.5500000000000003E-3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0.75336322869955374</v>
      </c>
      <c r="Q65">
        <f t="shared" ref="Q65" si="301">F65*P65</f>
        <v>370015073.00448537</v>
      </c>
      <c r="R65">
        <f t="shared" ref="R65" si="302">R66+Q65</f>
        <v>-51913157053.049347</v>
      </c>
      <c r="S65">
        <f t="shared" ref="S65" si="303">R65/100000</f>
        <v>-519131.57053049345</v>
      </c>
      <c r="T65">
        <f t="shared" ref="T65" si="304">S65/1000</f>
        <v>-519.13157053049349</v>
      </c>
    </row>
    <row r="66" spans="1:20" x14ac:dyDescent="0.25">
      <c r="A66" s="5">
        <v>44527</v>
      </c>
      <c r="B66">
        <v>8.1729999999999997E-3</v>
      </c>
      <c r="C66">
        <v>8.6969999999999999E-3</v>
      </c>
      <c r="D66">
        <v>8.0999999999999996E-3</v>
      </c>
      <c r="E66">
        <v>8.3789999999999993E-3</v>
      </c>
      <c r="F66">
        <v>545625132</v>
      </c>
      <c r="G66">
        <v>8.3789999999999993E-3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-6.5326633165830525E-2</v>
      </c>
      <c r="Q66">
        <f t="shared" ref="Q66" si="306">F66*P66</f>
        <v>-35643852.84422186</v>
      </c>
      <c r="R66">
        <f t="shared" ref="R66" si="307">R67+Q66</f>
        <v>-52283172126.053833</v>
      </c>
      <c r="S66">
        <f t="shared" ref="S66" si="308">R66/100000</f>
        <v>-522831.72126053832</v>
      </c>
      <c r="T66">
        <f t="shared" ref="T66" si="309">S66/1000</f>
        <v>-522.8317212605383</v>
      </c>
    </row>
    <row r="67" spans="1:20" x14ac:dyDescent="0.25">
      <c r="A67" s="5">
        <v>44526</v>
      </c>
      <c r="B67">
        <v>9.0240000000000008E-3</v>
      </c>
      <c r="C67">
        <v>9.1699999999999993E-3</v>
      </c>
      <c r="D67">
        <v>8.0680000000000005E-3</v>
      </c>
      <c r="E67">
        <v>8.1779999999999995E-3</v>
      </c>
      <c r="F67">
        <v>872729968</v>
      </c>
      <c r="G67">
        <v>8.1779999999999995E-3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-0.8003629764065352</v>
      </c>
      <c r="Q67">
        <f t="shared" ref="Q67" si="311">F67*P67</f>
        <v>-698500754.78766024</v>
      </c>
      <c r="R67">
        <f t="shared" ref="R67" si="312">R68+Q67</f>
        <v>-52247528273.20961</v>
      </c>
      <c r="S67">
        <f t="shared" ref="S67" si="313">R67/100000</f>
        <v>-522475.28273209609</v>
      </c>
      <c r="T67">
        <f t="shared" ref="T67" si="314">S67/1000</f>
        <v>-522.47528273209605</v>
      </c>
    </row>
    <row r="68" spans="1:20" x14ac:dyDescent="0.25">
      <c r="A68" s="5">
        <v>44525</v>
      </c>
      <c r="B68">
        <v>8.7340000000000004E-3</v>
      </c>
      <c r="C68">
        <v>9.5989999999999999E-3</v>
      </c>
      <c r="D68">
        <v>8.5749999999999993E-3</v>
      </c>
      <c r="E68">
        <v>9.0220000000000005E-3</v>
      </c>
      <c r="F68">
        <v>1239055506</v>
      </c>
      <c r="G68">
        <v>9.0220000000000005E-3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-0.12695312499999814</v>
      </c>
      <c r="Q68">
        <f t="shared" ref="Q68" si="316">F68*P68</f>
        <v>-157301968.53515396</v>
      </c>
      <c r="R68">
        <f t="shared" ref="R68" si="317">R69+Q68</f>
        <v>-51549027518.421951</v>
      </c>
      <c r="S68">
        <f t="shared" ref="S68" si="318">R68/100000</f>
        <v>-515490.27518421953</v>
      </c>
      <c r="T68">
        <f t="shared" ref="T68" si="319">S68/1000</f>
        <v>-515.49027518421951</v>
      </c>
    </row>
    <row r="69" spans="1:20" x14ac:dyDescent="0.25">
      <c r="A69" s="5">
        <v>44524</v>
      </c>
      <c r="B69">
        <v>9.1050000000000002E-3</v>
      </c>
      <c r="C69">
        <v>9.2309999999999996E-3</v>
      </c>
      <c r="D69">
        <v>8.6730000000000002E-3</v>
      </c>
      <c r="E69">
        <v>8.8880000000000001E-3</v>
      </c>
      <c r="F69">
        <v>607726805</v>
      </c>
      <c r="G69">
        <v>8.8880000000000001E-3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-0.22939068100358381</v>
      </c>
      <c r="Q69">
        <f t="shared" ref="Q69" si="321">F69*P69</f>
        <v>-139406865.66308218</v>
      </c>
      <c r="R69">
        <f t="shared" ref="R69" si="322">R70+Q69</f>
        <v>-51391725549.886795</v>
      </c>
      <c r="S69">
        <f t="shared" ref="S69" si="323">R69/100000</f>
        <v>-513917.25549886795</v>
      </c>
      <c r="T69">
        <f t="shared" ref="T69" si="324">S69/1000</f>
        <v>-513.91725549886792</v>
      </c>
    </row>
    <row r="70" spans="1:20" x14ac:dyDescent="0.25">
      <c r="A70" s="5">
        <v>44523</v>
      </c>
      <c r="B70">
        <v>9.2770000000000005E-3</v>
      </c>
      <c r="C70">
        <v>9.4529999999999996E-3</v>
      </c>
      <c r="D70">
        <v>8.9999999999999993E-3</v>
      </c>
      <c r="E70">
        <v>9.1050000000000002E-3</v>
      </c>
      <c r="F70">
        <v>1292387835</v>
      </c>
      <c r="G70">
        <v>9.1050000000000002E-3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-0.53642384105959884</v>
      </c>
      <c r="Q70">
        <f t="shared" ref="Q70" si="326">F70*P70</f>
        <v>-693267646.5893991</v>
      </c>
      <c r="R70">
        <f t="shared" ref="R70" si="327">R71+Q70</f>
        <v>-51252318684.223709</v>
      </c>
      <c r="S70">
        <f t="shared" ref="S70" si="328">R70/100000</f>
        <v>-512523.18684223708</v>
      </c>
      <c r="T70">
        <f t="shared" ref="T70" si="329">S70/1000</f>
        <v>-512.52318684223712</v>
      </c>
    </row>
    <row r="71" spans="1:20" x14ac:dyDescent="0.25">
      <c r="A71" s="5">
        <v>44522</v>
      </c>
      <c r="B71">
        <v>9.9810000000000003E-3</v>
      </c>
      <c r="C71">
        <v>1.0833000000000001E-2</v>
      </c>
      <c r="D71">
        <v>8.9110000000000005E-3</v>
      </c>
      <c r="E71">
        <v>9.2739999999999993E-3</v>
      </c>
      <c r="F71">
        <v>1589084506</v>
      </c>
      <c r="G71">
        <v>9.2739999999999993E-3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-0.62226847034339361</v>
      </c>
      <c r="Q71">
        <f t="shared" ref="Q71" si="331">F71*P71</f>
        <v>-988837184.79500723</v>
      </c>
      <c r="R71">
        <f t="shared" ref="R71" si="332">R72+Q71</f>
        <v>-50559051037.634308</v>
      </c>
      <c r="S71">
        <f t="shared" ref="S71" si="333">R71/100000</f>
        <v>-505590.5103763431</v>
      </c>
      <c r="T71">
        <f t="shared" ref="T71" si="334">S71/1000</f>
        <v>-505.5905103763431</v>
      </c>
    </row>
    <row r="72" spans="1:20" x14ac:dyDescent="0.25">
      <c r="A72" s="5">
        <v>44521</v>
      </c>
      <c r="B72">
        <v>9.3430000000000006E-3</v>
      </c>
      <c r="C72">
        <v>1.29E-2</v>
      </c>
      <c r="D72">
        <v>9.2259999999999998E-3</v>
      </c>
      <c r="E72">
        <v>9.9900000000000006E-3</v>
      </c>
      <c r="F72">
        <v>3453140523</v>
      </c>
      <c r="G72">
        <v>9.9900000000000006E-3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-0.58410451823625431</v>
      </c>
      <c r="Q72">
        <f t="shared" ref="Q72" si="336">F72*P72</f>
        <v>-2016994981.5890021</v>
      </c>
      <c r="R72">
        <f t="shared" ref="R72" si="337">R73+Q72</f>
        <v>-49570213852.839302</v>
      </c>
      <c r="S72">
        <f t="shared" ref="S72" si="338">R72/100000</f>
        <v>-495702.138528393</v>
      </c>
      <c r="T72">
        <f t="shared" ref="T72" si="339">S72/1000</f>
        <v>-495.70213852839299</v>
      </c>
    </row>
    <row r="73" spans="1:20" x14ac:dyDescent="0.25">
      <c r="A73" s="5">
        <v>44520</v>
      </c>
      <c r="B73">
        <v>8.8830000000000003E-3</v>
      </c>
      <c r="C73">
        <v>9.4870000000000006E-3</v>
      </c>
      <c r="D73">
        <v>8.6180000000000007E-3</v>
      </c>
      <c r="E73">
        <v>9.3430000000000006E-3</v>
      </c>
      <c r="F73">
        <v>2293866087</v>
      </c>
      <c r="G73">
        <v>9.3430000000000006E-3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0.66858457997698495</v>
      </c>
      <c r="Q73">
        <f t="shared" ref="Q73" si="341">F73*P73</f>
        <v>1533643494.3003449</v>
      </c>
      <c r="R73">
        <f t="shared" ref="R73" si="342">R74+Q73</f>
        <v>-47553218871.250298</v>
      </c>
      <c r="S73">
        <f t="shared" ref="S73" si="343">R73/100000</f>
        <v>-475532.188712503</v>
      </c>
      <c r="T73">
        <f t="shared" ref="T73" si="344">S73/1000</f>
        <v>-475.532188712503</v>
      </c>
    </row>
    <row r="74" spans="1:20" x14ac:dyDescent="0.25">
      <c r="A74" s="5">
        <v>44519</v>
      </c>
      <c r="B74">
        <v>8.208E-3</v>
      </c>
      <c r="C74">
        <v>8.9800000000000001E-3</v>
      </c>
      <c r="D74">
        <v>8.1250000000000003E-3</v>
      </c>
      <c r="E74">
        <v>8.8830000000000003E-3</v>
      </c>
      <c r="F74">
        <v>530508776</v>
      </c>
      <c r="G74">
        <v>8.8830000000000003E-3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0.77309941520467862</v>
      </c>
      <c r="Q74">
        <f t="shared" ref="Q74" si="346">F74*P74</f>
        <v>410136024.48654985</v>
      </c>
      <c r="R74">
        <f t="shared" ref="R74" si="347">R75+Q74</f>
        <v>-49086862365.550644</v>
      </c>
      <c r="S74">
        <f t="shared" ref="S74" si="348">R74/100000</f>
        <v>-490868.62365550647</v>
      </c>
      <c r="T74">
        <f t="shared" ref="T74" si="349">S74/1000</f>
        <v>-490.86862365550644</v>
      </c>
    </row>
    <row r="75" spans="1:20" x14ac:dyDescent="0.25">
      <c r="A75" s="5">
        <v>44518</v>
      </c>
      <c r="B75">
        <v>9.1649999999999995E-3</v>
      </c>
      <c r="C75">
        <v>9.358E-3</v>
      </c>
      <c r="D75">
        <v>7.8120000000000004E-3</v>
      </c>
      <c r="E75">
        <v>8.2140000000000008E-3</v>
      </c>
      <c r="F75">
        <v>766700123</v>
      </c>
      <c r="G75">
        <v>8.2140000000000008E-3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-0.47994825355756721</v>
      </c>
      <c r="Q75">
        <f t="shared" ref="Q75" si="351">F75*P75</f>
        <v>-367976385.03622198</v>
      </c>
      <c r="R75">
        <f t="shared" ref="R75" si="352">R76+Q75</f>
        <v>-49496998390.037193</v>
      </c>
      <c r="S75">
        <f t="shared" ref="S75" si="353">R75/100000</f>
        <v>-494969.98390037194</v>
      </c>
      <c r="T75">
        <f t="shared" ref="T75" si="354">S75/1000</f>
        <v>-494.96998390037191</v>
      </c>
    </row>
    <row r="76" spans="1:20" x14ac:dyDescent="0.25">
      <c r="A76" s="5">
        <v>44517</v>
      </c>
      <c r="B76">
        <v>9.0159999999999997E-3</v>
      </c>
      <c r="C76">
        <v>9.4750000000000008E-3</v>
      </c>
      <c r="D76">
        <v>8.6449999999999999E-3</v>
      </c>
      <c r="E76">
        <v>9.1649999999999995E-3</v>
      </c>
      <c r="F76">
        <v>618827356</v>
      </c>
      <c r="G76">
        <v>9.1649999999999995E-3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0.25301204819276885</v>
      </c>
      <c r="Q76">
        <f t="shared" ref="Q76" si="356">F76*P76</f>
        <v>156570776.81927574</v>
      </c>
      <c r="R76">
        <f t="shared" ref="R76" si="357">R77+Q76</f>
        <v>-49129022005.000969</v>
      </c>
      <c r="S76">
        <f t="shared" ref="S76" si="358">R76/100000</f>
        <v>-491290.22005000967</v>
      </c>
      <c r="T76">
        <f t="shared" ref="T76" si="359">S76/1000</f>
        <v>-491.29022005000968</v>
      </c>
    </row>
    <row r="77" spans="1:20" x14ac:dyDescent="0.25">
      <c r="A77" s="5">
        <v>44516</v>
      </c>
      <c r="B77">
        <v>9.9369999999999997E-3</v>
      </c>
      <c r="C77">
        <v>9.9450000000000007E-3</v>
      </c>
      <c r="D77">
        <v>8.6580000000000008E-3</v>
      </c>
      <c r="E77">
        <v>9.0200000000000002E-3</v>
      </c>
      <c r="F77">
        <v>931968365</v>
      </c>
      <c r="G77">
        <v>9.0200000000000002E-3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-0.43745143745143822</v>
      </c>
      <c r="Q77">
        <f t="shared" ref="Q77" si="361">F77*P77</f>
        <v>-407690900.92851663</v>
      </c>
      <c r="R77">
        <f t="shared" ref="R77" si="362">R78+Q77</f>
        <v>-49285592781.820244</v>
      </c>
      <c r="S77">
        <f t="shared" ref="S77" si="363">R77/100000</f>
        <v>-492855.92781820241</v>
      </c>
      <c r="T77">
        <f t="shared" ref="T77" si="364">S77/1000</f>
        <v>-492.85592781820242</v>
      </c>
    </row>
    <row r="78" spans="1:20" x14ac:dyDescent="0.25">
      <c r="A78" s="5">
        <v>44515</v>
      </c>
      <c r="B78">
        <v>9.9889999999999996E-3</v>
      </c>
      <c r="C78">
        <v>1.0749999999999999E-2</v>
      </c>
      <c r="D78">
        <v>9.7680000000000006E-3</v>
      </c>
      <c r="E78">
        <v>9.9279999999999993E-3</v>
      </c>
      <c r="F78">
        <v>969103475</v>
      </c>
      <c r="G78">
        <v>9.9279999999999993E-3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-0.67413441955193698</v>
      </c>
      <c r="Q78">
        <f t="shared" ref="Q78" si="366">F78*P78</f>
        <v>-653306008.60489011</v>
      </c>
      <c r="R78">
        <f t="shared" ref="R78" si="367">R79+Q78</f>
        <v>-48877901880.891724</v>
      </c>
      <c r="S78">
        <f t="shared" ref="S78" si="368">R78/100000</f>
        <v>-488779.01880891726</v>
      </c>
      <c r="T78">
        <f t="shared" ref="T78" si="369">S78/1000</f>
        <v>-488.77901880891727</v>
      </c>
    </row>
    <row r="79" spans="1:20" x14ac:dyDescent="0.25">
      <c r="A79" s="5">
        <v>44514</v>
      </c>
      <c r="B79">
        <v>1.0081E-2</v>
      </c>
      <c r="C79">
        <v>1.025E-2</v>
      </c>
      <c r="D79">
        <v>9.8300000000000002E-3</v>
      </c>
      <c r="E79">
        <v>1.0003E-2</v>
      </c>
      <c r="F79">
        <v>571053658</v>
      </c>
      <c r="G79">
        <v>1.0003E-2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-0.17619047619047884</v>
      </c>
      <c r="Q79">
        <f t="shared" ref="Q79" si="371">F79*P79</f>
        <v>-100614215.93333484</v>
      </c>
      <c r="R79">
        <f t="shared" ref="R79" si="372">R80+Q79</f>
        <v>-48224595872.286835</v>
      </c>
      <c r="S79">
        <f t="shared" ref="S79" si="373">R79/100000</f>
        <v>-482245.95872286835</v>
      </c>
      <c r="T79">
        <f t="shared" ref="T79" si="374">S79/1000</f>
        <v>-482.24595872286835</v>
      </c>
    </row>
    <row r="80" spans="1:20" x14ac:dyDescent="0.25">
      <c r="A80" s="5">
        <v>44513</v>
      </c>
      <c r="B80">
        <v>1.0378E-2</v>
      </c>
      <c r="C80">
        <v>1.061E-2</v>
      </c>
      <c r="D80">
        <v>9.8169999999999993E-3</v>
      </c>
      <c r="E80">
        <v>1.0094000000000001E-2</v>
      </c>
      <c r="F80">
        <v>632424860</v>
      </c>
      <c r="G80">
        <v>1.0094000000000001E-2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-0.30138713745270845</v>
      </c>
      <c r="Q80">
        <f t="shared" ref="Q80" si="376">F80*P80</f>
        <v>-190604718.2093299</v>
      </c>
      <c r="R80">
        <f t="shared" ref="R80" si="377">R81+Q80</f>
        <v>-48123981656.3535</v>
      </c>
      <c r="S80">
        <f t="shared" ref="S80" si="378">R80/100000</f>
        <v>-481239.81656353502</v>
      </c>
      <c r="T80">
        <f t="shared" ref="T80" si="379">S80/1000</f>
        <v>-481.23981656353504</v>
      </c>
    </row>
    <row r="81" spans="1:20" x14ac:dyDescent="0.25">
      <c r="A81" s="5">
        <v>44512</v>
      </c>
      <c r="B81">
        <v>1.0655E-2</v>
      </c>
      <c r="C81">
        <v>1.0678999999999999E-2</v>
      </c>
      <c r="D81">
        <v>1.0123E-2</v>
      </c>
      <c r="E81">
        <v>1.0378E-2</v>
      </c>
      <c r="F81">
        <v>447930847</v>
      </c>
      <c r="G81">
        <v>1.0378E-2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-8.2733812949638913E-2</v>
      </c>
      <c r="Q81">
        <f t="shared" ref="Q81" si="381">F81*P81</f>
        <v>-37059026.910071328</v>
      </c>
      <c r="R81">
        <f t="shared" ref="R81" si="382">R82+Q81</f>
        <v>-47933376938.144173</v>
      </c>
      <c r="S81">
        <f t="shared" ref="S81" si="383">R81/100000</f>
        <v>-479333.7693814417</v>
      </c>
      <c r="T81">
        <f t="shared" ref="T81" si="384">S81/1000</f>
        <v>-479.3337693814417</v>
      </c>
    </row>
    <row r="82" spans="1:20" x14ac:dyDescent="0.25">
      <c r="A82" s="5">
        <v>44511</v>
      </c>
      <c r="B82">
        <v>1.0682000000000001E-2</v>
      </c>
      <c r="C82">
        <v>1.1154000000000001E-2</v>
      </c>
      <c r="D82">
        <v>1.0364999999999999E-2</v>
      </c>
      <c r="E82">
        <v>1.0656000000000001E-2</v>
      </c>
      <c r="F82">
        <v>606373637</v>
      </c>
      <c r="G82">
        <v>1.0656000000000001E-2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-0.26235741444866723</v>
      </c>
      <c r="Q82">
        <f t="shared" ref="Q82" si="386">F82*P82</f>
        <v>-159086619.5931547</v>
      </c>
      <c r="R82">
        <f t="shared" ref="R82" si="387">R83+Q82</f>
        <v>-47896317911.2341</v>
      </c>
      <c r="S82">
        <f t="shared" ref="S82" si="388">R82/100000</f>
        <v>-478963.17911234102</v>
      </c>
      <c r="T82">
        <f t="shared" ref="T82" si="389">S82/1000</f>
        <v>-478.96317911234104</v>
      </c>
    </row>
    <row r="83" spans="1:20" x14ac:dyDescent="0.25">
      <c r="A83" s="5">
        <v>44510</v>
      </c>
      <c r="B83">
        <v>1.1358999999999999E-2</v>
      </c>
      <c r="C83">
        <v>1.1889E-2</v>
      </c>
      <c r="D83">
        <v>9.9600000000000001E-3</v>
      </c>
      <c r="E83">
        <v>1.0682000000000001E-2</v>
      </c>
      <c r="F83">
        <v>1086494295</v>
      </c>
      <c r="G83">
        <v>1.0682000000000001E-2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-0.251425609123898</v>
      </c>
      <c r="Q83">
        <f t="shared" ref="Q83" si="391">F83*P83</f>
        <v>-273172489.93001515</v>
      </c>
      <c r="R83">
        <f t="shared" ref="R83" si="392">R84+Q83</f>
        <v>-47737231291.640945</v>
      </c>
      <c r="S83">
        <f t="shared" ref="S83" si="393">R83/100000</f>
        <v>-477372.31291640946</v>
      </c>
      <c r="T83">
        <f t="shared" ref="T83" si="394">S83/1000</f>
        <v>-477.37231291640944</v>
      </c>
    </row>
    <row r="84" spans="1:20" x14ac:dyDescent="0.25">
      <c r="A84" s="5">
        <v>44509</v>
      </c>
      <c r="B84">
        <v>1.1868999999999999E-2</v>
      </c>
      <c r="C84">
        <v>1.2737E-2</v>
      </c>
      <c r="D84">
        <v>1.1275E-2</v>
      </c>
      <c r="E84">
        <v>1.1357000000000001E-2</v>
      </c>
      <c r="F84">
        <v>1353437000</v>
      </c>
      <c r="G84">
        <v>1.1357000000000001E-2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-0.88782489740082016</v>
      </c>
      <c r="Q84">
        <f t="shared" ref="Q84" si="396">F84*P84</f>
        <v>-1201615065.6634738</v>
      </c>
      <c r="R84">
        <f t="shared" ref="R84" si="397">R85+Q84</f>
        <v>-47464058801.71093</v>
      </c>
      <c r="S84">
        <f t="shared" ref="S84" si="398">R84/100000</f>
        <v>-474640.58801710932</v>
      </c>
      <c r="T84">
        <f t="shared" ref="T84" si="399">S84/1000</f>
        <v>-474.64058801710934</v>
      </c>
    </row>
    <row r="85" spans="1:20" x14ac:dyDescent="0.25">
      <c r="A85" s="5">
        <v>44508</v>
      </c>
      <c r="B85">
        <v>1.103E-2</v>
      </c>
      <c r="C85">
        <v>1.2E-2</v>
      </c>
      <c r="D85">
        <v>1.0861000000000001E-2</v>
      </c>
      <c r="E85">
        <v>1.1882999999999999E-2</v>
      </c>
      <c r="F85">
        <v>815395047</v>
      </c>
      <c r="G85">
        <v>1.1882999999999999E-2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0.79455662862159637</v>
      </c>
      <c r="Q85">
        <f t="shared" ref="Q85" si="401">F85*P85</f>
        <v>647877539.5390681</v>
      </c>
      <c r="R85">
        <f t="shared" ref="R85" si="402">R86+Q85</f>
        <v>-46262443736.047455</v>
      </c>
      <c r="S85">
        <f t="shared" ref="S85" si="403">R85/100000</f>
        <v>-462624.43736047455</v>
      </c>
      <c r="T85">
        <f t="shared" ref="T85" si="404">S85/1000</f>
        <v>-462.62443736047453</v>
      </c>
    </row>
    <row r="86" spans="1:20" x14ac:dyDescent="0.25">
      <c r="A86" s="5">
        <v>44507</v>
      </c>
      <c r="B86">
        <v>1.1464E-2</v>
      </c>
      <c r="C86">
        <v>1.1889E-2</v>
      </c>
      <c r="D86">
        <v>1.0881E-2</v>
      </c>
      <c r="E86">
        <v>1.103E-2</v>
      </c>
      <c r="F86">
        <v>569055273</v>
      </c>
      <c r="G86">
        <v>1.103E-2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-0.70436507936507975</v>
      </c>
      <c r="Q86">
        <f t="shared" ref="Q86" si="406">F86*P86</f>
        <v>-400822662.52976215</v>
      </c>
      <c r="R86">
        <f t="shared" ref="R86" si="407">R87+Q86</f>
        <v>-46910321275.586525</v>
      </c>
      <c r="S86">
        <f t="shared" ref="S86" si="408">R86/100000</f>
        <v>-469103.21275586524</v>
      </c>
      <c r="T86">
        <f t="shared" ref="T86" si="409">S86/1000</f>
        <v>-469.10321275586523</v>
      </c>
    </row>
    <row r="87" spans="1:20" x14ac:dyDescent="0.25">
      <c r="A87" s="5">
        <v>44506</v>
      </c>
      <c r="B87">
        <v>1.1362000000000001E-2</v>
      </c>
      <c r="C87">
        <v>1.2298E-2</v>
      </c>
      <c r="D87">
        <v>1.11E-2</v>
      </c>
      <c r="E87">
        <v>1.1455999999999999E-2</v>
      </c>
      <c r="F87">
        <v>904998882</v>
      </c>
      <c r="G87">
        <v>1.1455999999999999E-2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-0.40567612687813215</v>
      </c>
      <c r="Q87">
        <f t="shared" ref="Q87" si="411">F87*P87</f>
        <v>-367136441.27879977</v>
      </c>
      <c r="R87">
        <f t="shared" ref="R87" si="412">R88+Q87</f>
        <v>-46509498613.056763</v>
      </c>
      <c r="S87">
        <f t="shared" ref="S87" si="413">R87/100000</f>
        <v>-465094.98613056762</v>
      </c>
      <c r="T87">
        <f t="shared" ref="T87" si="414">S87/1000</f>
        <v>-465.09498613056763</v>
      </c>
    </row>
    <row r="88" spans="1:20" x14ac:dyDescent="0.25">
      <c r="A88" s="5">
        <v>44505</v>
      </c>
      <c r="B88">
        <v>1.1440000000000001E-2</v>
      </c>
      <c r="C88">
        <v>1.289E-2</v>
      </c>
      <c r="D88">
        <v>1.0699999999999999E-2</v>
      </c>
      <c r="E88">
        <v>1.1365999999999999E-2</v>
      </c>
      <c r="F88">
        <v>2872718799</v>
      </c>
      <c r="G88">
        <v>1.1365999999999999E-2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-0.39178082191780855</v>
      </c>
      <c r="Q88">
        <f t="shared" ref="Q88" si="416">F88*P88</f>
        <v>-1125476132.2109599</v>
      </c>
      <c r="R88">
        <f t="shared" ref="R88" si="417">R89+Q88</f>
        <v>-46142362171.777962</v>
      </c>
      <c r="S88">
        <f t="shared" ref="S88" si="418">R88/100000</f>
        <v>-461423.62171777961</v>
      </c>
      <c r="T88">
        <f t="shared" ref="T88" si="419">S88/1000</f>
        <v>-461.42362171777961</v>
      </c>
    </row>
    <row r="89" spans="1:20" x14ac:dyDescent="0.25">
      <c r="A89" s="5">
        <v>44504</v>
      </c>
      <c r="B89">
        <v>1.0106E-2</v>
      </c>
      <c r="C89">
        <v>1.1900000000000001E-2</v>
      </c>
      <c r="D89">
        <v>0.01</v>
      </c>
      <c r="E89">
        <v>1.1440000000000001E-2</v>
      </c>
      <c r="F89">
        <v>1507080351</v>
      </c>
      <c r="G89">
        <v>1.1440000000000001E-2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0.51578947368421035</v>
      </c>
      <c r="Q89">
        <f t="shared" ref="Q89" si="421">F89*P89</f>
        <v>777336181.04210496</v>
      </c>
      <c r="R89">
        <f t="shared" ref="R89" si="422">R90+Q89</f>
        <v>-45016886039.567001</v>
      </c>
      <c r="S89">
        <f t="shared" ref="S89" si="423">R89/100000</f>
        <v>-450168.86039567</v>
      </c>
      <c r="T89">
        <f t="shared" ref="T89" si="424">S89/1000</f>
        <v>-450.16886039566998</v>
      </c>
    </row>
    <row r="90" spans="1:20" x14ac:dyDescent="0.25">
      <c r="A90" s="5">
        <v>44503</v>
      </c>
      <c r="B90">
        <v>1.059E-2</v>
      </c>
      <c r="C90">
        <v>1.0730999999999999E-2</v>
      </c>
      <c r="D90">
        <v>1.0005999999999999E-2</v>
      </c>
      <c r="E90">
        <v>1.0114E-2</v>
      </c>
      <c r="F90">
        <v>701696924</v>
      </c>
      <c r="G90">
        <v>1.0114E-2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-0.70206896551724007</v>
      </c>
      <c r="Q90">
        <f t="shared" ref="Q90" si="426">F90*P90</f>
        <v>-492639633.53930944</v>
      </c>
      <c r="R90">
        <f t="shared" ref="R90" si="427">R91+Q90</f>
        <v>-45794222220.609108</v>
      </c>
      <c r="S90">
        <f t="shared" ref="S90" si="428">R90/100000</f>
        <v>-457942.2222060911</v>
      </c>
      <c r="T90">
        <f t="shared" ref="T90" si="429">S90/1000</f>
        <v>-457.94222220609112</v>
      </c>
    </row>
    <row r="91" spans="1:20" x14ac:dyDescent="0.25">
      <c r="A91" s="5">
        <v>44502</v>
      </c>
      <c r="B91">
        <v>1.0624E-2</v>
      </c>
      <c r="C91">
        <v>1.0998000000000001E-2</v>
      </c>
      <c r="D91">
        <v>1.0139E-2</v>
      </c>
      <c r="E91">
        <v>1.0595E-2</v>
      </c>
      <c r="F91">
        <v>1082550732</v>
      </c>
      <c r="G91">
        <v>1.0595E-2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6.1699650756692904E-2</v>
      </c>
      <c r="Q91">
        <f t="shared" ref="Q91" si="431">F91*P91</f>
        <v>66793002.09080226</v>
      </c>
      <c r="R91">
        <f t="shared" ref="R91" si="432">R92+Q91</f>
        <v>-45301582587.069801</v>
      </c>
      <c r="S91">
        <f t="shared" ref="S91" si="433">R91/100000</f>
        <v>-453015.82587069803</v>
      </c>
      <c r="T91">
        <f t="shared" ref="T91" si="434">S91/1000</f>
        <v>-453.01582587069805</v>
      </c>
    </row>
    <row r="92" spans="1:20" x14ac:dyDescent="0.25">
      <c r="A92" s="5">
        <v>44501</v>
      </c>
      <c r="B92">
        <v>9.6860000000000002E-3</v>
      </c>
      <c r="C92">
        <v>1.2200000000000001E-2</v>
      </c>
      <c r="D92">
        <v>9.5060000000000006E-3</v>
      </c>
      <c r="E92">
        <v>1.0624E-2</v>
      </c>
      <c r="F92">
        <v>3369266137</v>
      </c>
      <c r="G92">
        <v>1.0624E-2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-0.17000742390497467</v>
      </c>
      <c r="Q92">
        <f t="shared" ref="Q92" si="436">F92*P92</f>
        <v>-572800256.40163541</v>
      </c>
      <c r="R92">
        <f t="shared" ref="R92" si="437">R93+Q92</f>
        <v>-45368375589.160606</v>
      </c>
      <c r="S92">
        <f t="shared" ref="S92" si="438">R92/100000</f>
        <v>-453683.75589160604</v>
      </c>
      <c r="T92">
        <f t="shared" ref="T92" si="439">S92/1000</f>
        <v>-453.68375589160604</v>
      </c>
    </row>
    <row r="93" spans="1:20" x14ac:dyDescent="0.25">
      <c r="A93" s="5">
        <v>44500</v>
      </c>
      <c r="B93">
        <v>9.4529999999999996E-3</v>
      </c>
      <c r="C93">
        <v>9.8700000000000003E-3</v>
      </c>
      <c r="D93">
        <v>9.2219999999999993E-3</v>
      </c>
      <c r="E93">
        <v>9.6760000000000006E-3</v>
      </c>
      <c r="F93">
        <v>905355291</v>
      </c>
      <c r="G93">
        <v>9.6760000000000006E-3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0.40123456790123635</v>
      </c>
      <c r="Q93">
        <f t="shared" ref="Q93" si="441">F93*P93</f>
        <v>363259838.9814831</v>
      </c>
      <c r="R93">
        <f t="shared" ref="R93" si="442">R94+Q93</f>
        <v>-44795575332.758972</v>
      </c>
      <c r="S93">
        <f t="shared" ref="S93" si="443">R93/100000</f>
        <v>-447955.75332758971</v>
      </c>
      <c r="T93">
        <f t="shared" ref="T93" si="444">S93/1000</f>
        <v>-447.95575332758972</v>
      </c>
    </row>
    <row r="94" spans="1:20" x14ac:dyDescent="0.25">
      <c r="A94" s="5">
        <v>44499</v>
      </c>
      <c r="B94">
        <v>9.5080000000000008E-3</v>
      </c>
      <c r="C94">
        <v>9.9799999999999993E-3</v>
      </c>
      <c r="D94">
        <v>9.3150000000000004E-3</v>
      </c>
      <c r="E94">
        <v>9.4509999999999993E-3</v>
      </c>
      <c r="F94">
        <v>783052420</v>
      </c>
      <c r="G94">
        <v>9.4509999999999993E-3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-0.59097744360902504</v>
      </c>
      <c r="Q94">
        <f t="shared" ref="Q94" si="446">F94*P94</f>
        <v>-462766317.38346058</v>
      </c>
      <c r="R94">
        <f t="shared" ref="R94" si="447">R95+Q94</f>
        <v>-45158835171.740456</v>
      </c>
      <c r="S94">
        <f t="shared" ref="S94" si="448">R94/100000</f>
        <v>-451588.35171740456</v>
      </c>
      <c r="T94">
        <f t="shared" ref="T94" si="449">S94/1000</f>
        <v>-451.58835171740458</v>
      </c>
    </row>
    <row r="95" spans="1:20" x14ac:dyDescent="0.25">
      <c r="A95" s="5">
        <v>44498</v>
      </c>
      <c r="B95">
        <v>9.3640000000000008E-3</v>
      </c>
      <c r="C95">
        <v>9.7000000000000003E-3</v>
      </c>
      <c r="D95">
        <v>9.2449999999999997E-3</v>
      </c>
      <c r="E95">
        <v>9.502E-3</v>
      </c>
      <c r="F95">
        <v>551383592</v>
      </c>
      <c r="G95">
        <v>9.502E-3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0.12967032967032957</v>
      </c>
      <c r="Q95">
        <f t="shared" ref="Q95" si="451">F95*P95</f>
        <v>71498092.149450496</v>
      </c>
      <c r="R95">
        <f t="shared" ref="R95" si="452">R96+Q95</f>
        <v>-44696068854.356995</v>
      </c>
      <c r="S95">
        <f t="shared" ref="S95" si="453">R95/100000</f>
        <v>-446960.68854356994</v>
      </c>
      <c r="T95">
        <f t="shared" ref="T95" si="454">S95/1000</f>
        <v>-446.96068854356992</v>
      </c>
    </row>
    <row r="96" spans="1:20" x14ac:dyDescent="0.25">
      <c r="A96" s="5">
        <v>44497</v>
      </c>
      <c r="B96">
        <v>9.2399999999999999E-3</v>
      </c>
      <c r="C96">
        <v>9.776E-3</v>
      </c>
      <c r="D96">
        <v>9.0360000000000006E-3</v>
      </c>
      <c r="E96">
        <v>9.3790000000000002E-3</v>
      </c>
      <c r="F96">
        <v>759006887</v>
      </c>
      <c r="G96">
        <v>9.3790000000000002E-3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-7.2972972972973352E-2</v>
      </c>
      <c r="Q96">
        <f t="shared" ref="Q96" si="456">F96*P96</f>
        <v>-55386989.051351637</v>
      </c>
      <c r="R96">
        <f t="shared" ref="R96" si="457">R97+Q96</f>
        <v>-44767566946.506447</v>
      </c>
      <c r="S96">
        <f t="shared" ref="S96" si="458">R96/100000</f>
        <v>-447675.66946506448</v>
      </c>
      <c r="T96">
        <f t="shared" ref="T96" si="459">S96/1000</f>
        <v>-447.67566946506446</v>
      </c>
    </row>
    <row r="97" spans="1:20" x14ac:dyDescent="0.25">
      <c r="A97" s="5">
        <v>44496</v>
      </c>
      <c r="B97">
        <v>9.8480000000000009E-3</v>
      </c>
      <c r="C97">
        <v>1.0109999999999999E-2</v>
      </c>
      <c r="D97">
        <v>9.0369999999999999E-3</v>
      </c>
      <c r="E97">
        <v>9.2540000000000001E-3</v>
      </c>
      <c r="F97">
        <v>847606282</v>
      </c>
      <c r="G97">
        <v>9.2540000000000001E-3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-0.59552656104380186</v>
      </c>
      <c r="Q97">
        <f t="shared" ref="Q97" si="461">F97*P97</f>
        <v>-504772054.23858291</v>
      </c>
      <c r="R97">
        <f t="shared" ref="R97" si="462">R98+Q97</f>
        <v>-44712179957.455093</v>
      </c>
      <c r="S97">
        <f t="shared" ref="S97" si="463">R97/100000</f>
        <v>-447121.79957455094</v>
      </c>
      <c r="T97">
        <f t="shared" ref="T97" si="464">S97/1000</f>
        <v>-447.12179957455095</v>
      </c>
    </row>
    <row r="98" spans="1:20" x14ac:dyDescent="0.25">
      <c r="A98" s="5">
        <v>44495</v>
      </c>
      <c r="B98">
        <v>9.7219999999999997E-3</v>
      </c>
      <c r="C98">
        <v>1.022E-2</v>
      </c>
      <c r="D98">
        <v>9.6410000000000003E-3</v>
      </c>
      <c r="E98">
        <v>9.8589999999999997E-3</v>
      </c>
      <c r="F98">
        <v>703857367</v>
      </c>
      <c r="G98">
        <v>9.8589999999999997E-3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-0.24697754749568368</v>
      </c>
      <c r="Q98">
        <f t="shared" ref="Q98" si="466">F98*P98</f>
        <v>-173836966.28842935</v>
      </c>
      <c r="R98">
        <f t="shared" ref="R98" si="467">R99+Q98</f>
        <v>-44207407903.216507</v>
      </c>
      <c r="S98">
        <f t="shared" ref="S98" si="468">R98/100000</f>
        <v>-442074.07903216506</v>
      </c>
      <c r="T98">
        <f t="shared" ref="T98" si="469">S98/1000</f>
        <v>-442.07407903216506</v>
      </c>
    </row>
    <row r="99" spans="1:20" x14ac:dyDescent="0.25">
      <c r="A99" s="5">
        <v>44494</v>
      </c>
      <c r="B99">
        <v>9.5409999999999991E-3</v>
      </c>
      <c r="C99">
        <v>9.9410000000000002E-3</v>
      </c>
      <c r="D99">
        <v>9.4959999999999992E-3</v>
      </c>
      <c r="E99">
        <v>9.7230000000000007E-3</v>
      </c>
      <c r="F99">
        <v>499220471</v>
      </c>
      <c r="G99">
        <v>9.7230000000000007E-3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2.0224719101128184E-2</v>
      </c>
      <c r="Q99">
        <f t="shared" ref="Q99" si="471">F99*P99</f>
        <v>10096593.79550791</v>
      </c>
      <c r="R99">
        <f t="shared" ref="R99" si="472">R100+Q99</f>
        <v>-44033570936.928078</v>
      </c>
      <c r="S99">
        <f t="shared" ref="S99" si="473">R99/100000</f>
        <v>-440335.70936928078</v>
      </c>
      <c r="T99">
        <f t="shared" ref="T99" si="474">S99/1000</f>
        <v>-440.33570936928078</v>
      </c>
    </row>
    <row r="100" spans="1:20" x14ac:dyDescent="0.25">
      <c r="A100" s="5">
        <v>44493</v>
      </c>
      <c r="B100">
        <v>9.7879999999999998E-3</v>
      </c>
      <c r="C100">
        <v>1.0004000000000001E-2</v>
      </c>
      <c r="D100">
        <v>9.3019999999999995E-3</v>
      </c>
      <c r="E100">
        <v>9.5580000000000005E-3</v>
      </c>
      <c r="F100">
        <v>562540271</v>
      </c>
      <c r="G100">
        <v>9.5580000000000005E-3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-0.27065527065526901</v>
      </c>
      <c r="Q100">
        <f t="shared" ref="Q100" si="476">F100*P100</f>
        <v>-152254489.30199337</v>
      </c>
      <c r="R100">
        <f t="shared" ref="R100" si="477">R101+Q100</f>
        <v>-44043667530.723587</v>
      </c>
      <c r="S100">
        <f t="shared" ref="S100" si="478">R100/100000</f>
        <v>-440436.67530723586</v>
      </c>
      <c r="T100">
        <f t="shared" ref="T100" si="479">S100/1000</f>
        <v>-440.43667530723587</v>
      </c>
    </row>
    <row r="101" spans="1:20" x14ac:dyDescent="0.25">
      <c r="A101" s="5">
        <v>44492</v>
      </c>
      <c r="B101">
        <v>1.0026999999999999E-2</v>
      </c>
      <c r="C101">
        <v>1.0187E-2</v>
      </c>
      <c r="D101">
        <v>9.7109999999999991E-3</v>
      </c>
      <c r="E101">
        <v>9.7890000000000008E-3</v>
      </c>
      <c r="F101">
        <v>432491305</v>
      </c>
      <c r="G101">
        <v>9.7890000000000008E-3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-0.6722689075630186</v>
      </c>
      <c r="Q101">
        <f t="shared" ref="Q101" si="481">F101*P101</f>
        <v>-290750457.14285427</v>
      </c>
      <c r="R101">
        <f t="shared" ref="R101" si="482">R102+Q101</f>
        <v>-43891413041.421593</v>
      </c>
      <c r="S101">
        <f t="shared" ref="S101" si="483">R101/100000</f>
        <v>-438914.13041421591</v>
      </c>
      <c r="T101">
        <f t="shared" ref="T101" si="484">S101/1000</f>
        <v>-438.91413041421589</v>
      </c>
    </row>
    <row r="102" spans="1:20" x14ac:dyDescent="0.25">
      <c r="A102" s="5">
        <v>44491</v>
      </c>
      <c r="B102">
        <v>9.6489999999999996E-3</v>
      </c>
      <c r="C102">
        <v>1.0999999999999999E-2</v>
      </c>
      <c r="D102">
        <v>9.4739999999999998E-3</v>
      </c>
      <c r="E102">
        <v>1.0026999999999999E-2</v>
      </c>
      <c r="F102">
        <v>742531362</v>
      </c>
      <c r="G102">
        <v>1.0026999999999999E-2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-0.27522935779816537</v>
      </c>
      <c r="Q102">
        <f t="shared" ref="Q102" si="486">F102*P102</f>
        <v>-204366429.90825707</v>
      </c>
      <c r="R102">
        <f t="shared" ref="R102" si="487">R103+Q102</f>
        <v>-43600662584.27874</v>
      </c>
      <c r="S102">
        <f t="shared" ref="S102" si="488">R102/100000</f>
        <v>-436006.62584278738</v>
      </c>
      <c r="T102">
        <f t="shared" ref="T102" si="489">S102/1000</f>
        <v>-436.0066258427874</v>
      </c>
    </row>
    <row r="103" spans="1:20" x14ac:dyDescent="0.25">
      <c r="A103" s="5">
        <v>44490</v>
      </c>
      <c r="B103">
        <v>9.5639999999999996E-3</v>
      </c>
      <c r="C103">
        <v>1.0114E-2</v>
      </c>
      <c r="D103">
        <v>9.3559999999999997E-3</v>
      </c>
      <c r="E103">
        <v>9.6500000000000006E-3</v>
      </c>
      <c r="F103">
        <v>681229966</v>
      </c>
      <c r="G103">
        <v>9.6500000000000006E-3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-0.22427440633245155</v>
      </c>
      <c r="Q103">
        <f t="shared" ref="Q103" si="491">F103*P103</f>
        <v>-152782446.20052615</v>
      </c>
      <c r="R103">
        <f t="shared" ref="R103" si="492">R104+Q103</f>
        <v>-43396296154.370483</v>
      </c>
      <c r="S103">
        <f t="shared" ref="S103" si="493">R103/100000</f>
        <v>-433962.96154370485</v>
      </c>
      <c r="T103">
        <f t="shared" ref="T103" si="494">S103/1000</f>
        <v>-433.96296154370486</v>
      </c>
    </row>
    <row r="104" spans="1:20" x14ac:dyDescent="0.25">
      <c r="A104" s="5">
        <v>44489</v>
      </c>
      <c r="B104">
        <v>9.214E-3</v>
      </c>
      <c r="C104">
        <v>9.6900000000000007E-3</v>
      </c>
      <c r="D104">
        <v>8.9890000000000005E-3</v>
      </c>
      <c r="E104">
        <v>9.5770000000000004E-3</v>
      </c>
      <c r="F104">
        <v>423925202</v>
      </c>
      <c r="G104">
        <v>9.5770000000000004E-3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0.6776034236804559</v>
      </c>
      <c r="Q104">
        <f t="shared" ref="Q104" si="496">F104*P104</f>
        <v>287253168.25962883</v>
      </c>
      <c r="R104">
        <f t="shared" ref="R104" si="497">R105+Q104</f>
        <v>-43243513708.16996</v>
      </c>
      <c r="S104">
        <f t="shared" ref="S104" si="498">R104/100000</f>
        <v>-432435.13708169962</v>
      </c>
      <c r="T104">
        <f t="shared" ref="T104" si="499">S104/1000</f>
        <v>-432.43513708169962</v>
      </c>
    </row>
    <row r="105" spans="1:20" x14ac:dyDescent="0.25">
      <c r="A105" s="5">
        <v>44488</v>
      </c>
      <c r="B105">
        <v>9.3869999999999995E-3</v>
      </c>
      <c r="C105">
        <v>9.4120000000000002E-3</v>
      </c>
      <c r="D105">
        <v>9.1059999999999995E-3</v>
      </c>
      <c r="E105">
        <v>9.1889999999999993E-3</v>
      </c>
      <c r="F105">
        <v>449102541</v>
      </c>
      <c r="G105">
        <v>9.1889999999999993E-3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-0.45751633986928403</v>
      </c>
      <c r="Q105">
        <f t="shared" ref="Q105" si="501">F105*P105</f>
        <v>-205471750.78431508</v>
      </c>
      <c r="R105">
        <f t="shared" ref="R105" si="502">R106+Q105</f>
        <v>-43530766876.429588</v>
      </c>
      <c r="S105">
        <f t="shared" ref="S105" si="503">R105/100000</f>
        <v>-435307.66876429587</v>
      </c>
      <c r="T105">
        <f t="shared" ref="T105" si="504">S105/1000</f>
        <v>-435.3076687642959</v>
      </c>
    </row>
    <row r="106" spans="1:20" x14ac:dyDescent="0.25">
      <c r="A106" s="5">
        <v>44487</v>
      </c>
      <c r="B106">
        <v>9.5479999999999992E-3</v>
      </c>
      <c r="C106">
        <v>9.8849999999999997E-3</v>
      </c>
      <c r="D106">
        <v>9.3279999999999995E-3</v>
      </c>
      <c r="E106">
        <v>9.3779999999999992E-3</v>
      </c>
      <c r="F106">
        <v>443827869</v>
      </c>
      <c r="G106">
        <v>9.3779999999999992E-3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-0.82046678635547687</v>
      </c>
      <c r="Q106">
        <f t="shared" ref="Q106" si="506">F106*P106</f>
        <v>-364146025.3734296</v>
      </c>
      <c r="R106">
        <f t="shared" ref="R106" si="507">R107+Q106</f>
        <v>-43325295125.645271</v>
      </c>
      <c r="S106">
        <f t="shared" ref="S106" si="508">R106/100000</f>
        <v>-433252.95125645271</v>
      </c>
      <c r="T106">
        <f t="shared" ref="T106" si="509">S106/1000</f>
        <v>-433.25295125645272</v>
      </c>
    </row>
    <row r="107" spans="1:20" x14ac:dyDescent="0.25">
      <c r="A107" s="5">
        <v>44486</v>
      </c>
      <c r="B107">
        <v>9.5630000000000003E-3</v>
      </c>
      <c r="C107">
        <v>1.0107E-2</v>
      </c>
      <c r="D107">
        <v>9.3629999999999998E-3</v>
      </c>
      <c r="E107">
        <v>9.5670000000000009E-3</v>
      </c>
      <c r="F107">
        <v>611125828</v>
      </c>
      <c r="G107">
        <v>9.5670000000000009E-3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-0.4516129032258035</v>
      </c>
      <c r="Q107">
        <f t="shared" ref="Q107" si="511">F107*P107</f>
        <v>-275992309.41935301</v>
      </c>
      <c r="R107">
        <f t="shared" ref="R107" si="512">R108+Q107</f>
        <v>-42961149100.271843</v>
      </c>
      <c r="S107">
        <f t="shared" ref="S107" si="513">R107/100000</f>
        <v>-429611.49100271845</v>
      </c>
      <c r="T107">
        <f t="shared" ref="T107" si="514">S107/1000</f>
        <v>-429.61149100271848</v>
      </c>
    </row>
    <row r="108" spans="1:20" x14ac:dyDescent="0.25">
      <c r="A108" s="5">
        <v>44485</v>
      </c>
      <c r="B108">
        <v>9.5840000000000005E-3</v>
      </c>
      <c r="C108">
        <v>9.7949999999999999E-3</v>
      </c>
      <c r="D108">
        <v>9.4129999999999995E-3</v>
      </c>
      <c r="E108">
        <v>9.5709999999999996E-3</v>
      </c>
      <c r="F108">
        <v>279777300</v>
      </c>
      <c r="G108">
        <v>9.5709999999999996E-3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-0.17277486910994769</v>
      </c>
      <c r="Q108">
        <f t="shared" ref="Q108" si="516">F108*P108</f>
        <v>-48338486.387434565</v>
      </c>
      <c r="R108">
        <f t="shared" ref="R108" si="517">R109+Q108</f>
        <v>-42685156790.852493</v>
      </c>
      <c r="S108">
        <f t="shared" ref="S108" si="518">R108/100000</f>
        <v>-426851.56790852494</v>
      </c>
      <c r="T108">
        <f t="shared" ref="T108" si="519">S108/1000</f>
        <v>-426.85156790852494</v>
      </c>
    </row>
    <row r="109" spans="1:20" x14ac:dyDescent="0.25">
      <c r="A109" s="5">
        <v>44484</v>
      </c>
      <c r="B109">
        <v>9.7520000000000003E-3</v>
      </c>
      <c r="C109">
        <v>9.7909999999999994E-3</v>
      </c>
      <c r="D109">
        <v>9.1479999999999999E-3</v>
      </c>
      <c r="E109">
        <v>9.587E-3</v>
      </c>
      <c r="F109">
        <v>540422982</v>
      </c>
      <c r="G109">
        <v>9.587E-3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0.36547433903577142</v>
      </c>
      <c r="Q109">
        <f t="shared" ref="Q109" si="521">F109*P109</f>
        <v>197510732.14619058</v>
      </c>
      <c r="R109">
        <f t="shared" ref="R109" si="522">R110+Q109</f>
        <v>-42636818304.465057</v>
      </c>
      <c r="S109">
        <f t="shared" ref="S109" si="523">R109/100000</f>
        <v>-426368.18304465059</v>
      </c>
      <c r="T109">
        <f t="shared" ref="T109" si="524">S109/1000</f>
        <v>-426.36818304465061</v>
      </c>
    </row>
    <row r="110" spans="1:20" x14ac:dyDescent="0.25">
      <c r="A110" s="5">
        <v>44483</v>
      </c>
      <c r="B110">
        <v>9.502E-3</v>
      </c>
      <c r="C110">
        <v>1.0552000000000001E-2</v>
      </c>
      <c r="D110">
        <v>9.4629999999999992E-3</v>
      </c>
      <c r="E110">
        <v>9.7470000000000005E-3</v>
      </c>
      <c r="F110">
        <v>832513819</v>
      </c>
      <c r="G110">
        <v>9.7470000000000005E-3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-0.4784205693296586</v>
      </c>
      <c r="Q110">
        <f t="shared" ref="Q110" si="526">F110*P110</f>
        <v>-398291735.26078832</v>
      </c>
      <c r="R110">
        <f t="shared" ref="R110" si="527">R111+Q110</f>
        <v>-42834329036.611244</v>
      </c>
      <c r="S110">
        <f t="shared" ref="S110" si="528">R110/100000</f>
        <v>-428343.29036611243</v>
      </c>
      <c r="T110">
        <f t="shared" ref="T110" si="529">S110/1000</f>
        <v>-428.34329036611246</v>
      </c>
    </row>
    <row r="111" spans="1:20" x14ac:dyDescent="0.25">
      <c r="A111" s="5">
        <v>44482</v>
      </c>
      <c r="B111">
        <v>8.9770000000000006E-3</v>
      </c>
      <c r="C111">
        <v>9.9869999999999994E-3</v>
      </c>
      <c r="D111">
        <v>8.7049999999999992E-3</v>
      </c>
      <c r="E111">
        <v>9.4830000000000001E-3</v>
      </c>
      <c r="F111">
        <v>786989122</v>
      </c>
      <c r="G111">
        <v>9.4830000000000001E-3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0.21372854914196696</v>
      </c>
      <c r="Q111">
        <f t="shared" ref="Q111" si="531">F111*P111</f>
        <v>168202043.23557043</v>
      </c>
      <c r="R111">
        <f t="shared" ref="R111" si="532">R112+Q111</f>
        <v>-42436037301.350456</v>
      </c>
      <c r="S111">
        <f t="shared" ref="S111" si="533">R111/100000</f>
        <v>-424360.37301350455</v>
      </c>
      <c r="T111">
        <f t="shared" ref="T111" si="534">S111/1000</f>
        <v>-424.36037301350456</v>
      </c>
    </row>
    <row r="112" spans="1:20" x14ac:dyDescent="0.25">
      <c r="A112" s="5">
        <v>44481</v>
      </c>
      <c r="B112">
        <v>9.025E-3</v>
      </c>
      <c r="C112">
        <v>9.0910000000000001E-3</v>
      </c>
      <c r="D112">
        <v>8.3129999999999992E-3</v>
      </c>
      <c r="E112">
        <v>8.9770000000000006E-3</v>
      </c>
      <c r="F112">
        <v>516542240</v>
      </c>
      <c r="G112">
        <v>8.9770000000000006E-3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0.70694087403599126</v>
      </c>
      <c r="Q112">
        <f t="shared" ref="Q112" si="536">F112*P112</f>
        <v>365164822.62210876</v>
      </c>
      <c r="R112">
        <f t="shared" ref="R112" si="537">R113+Q112</f>
        <v>-42604239344.586029</v>
      </c>
      <c r="S112">
        <f t="shared" ref="S112" si="538">R112/100000</f>
        <v>-426042.3934458603</v>
      </c>
      <c r="T112">
        <f t="shared" ref="T112" si="539">S112/1000</f>
        <v>-426.04239344586028</v>
      </c>
    </row>
    <row r="113" spans="1:20" x14ac:dyDescent="0.25">
      <c r="A113" s="5">
        <v>44480</v>
      </c>
      <c r="B113">
        <v>9.2599999999999991E-3</v>
      </c>
      <c r="C113">
        <v>9.6799999999999994E-3</v>
      </c>
      <c r="D113">
        <v>8.8520000000000005E-3</v>
      </c>
      <c r="E113">
        <v>9.044E-3</v>
      </c>
      <c r="F113">
        <v>423619538</v>
      </c>
      <c r="G113">
        <v>9.044E-3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-0.53623188405797173</v>
      </c>
      <c r="Q113">
        <f t="shared" ref="Q113" si="541">F113*P113</f>
        <v>-227158302.98550755</v>
      </c>
      <c r="R113">
        <f t="shared" ref="R113" si="542">R114+Q113</f>
        <v>-42969404167.208138</v>
      </c>
      <c r="S113">
        <f t="shared" ref="S113" si="543">R113/100000</f>
        <v>-429694.0416720814</v>
      </c>
      <c r="T113">
        <f t="shared" ref="T113" si="544">S113/1000</f>
        <v>-429.69404167208137</v>
      </c>
    </row>
    <row r="114" spans="1:20" x14ac:dyDescent="0.25">
      <c r="A114" s="5">
        <v>44479</v>
      </c>
      <c r="B114">
        <v>9.8399999999999998E-3</v>
      </c>
      <c r="C114">
        <v>9.9010000000000001E-3</v>
      </c>
      <c r="D114">
        <v>9.2099999999999994E-3</v>
      </c>
      <c r="E114">
        <v>9.2700000000000005E-3</v>
      </c>
      <c r="F114">
        <v>366514864</v>
      </c>
      <c r="G114">
        <v>9.2700000000000005E-3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-0.82633863965267451</v>
      </c>
      <c r="Q114">
        <f t="shared" ref="Q114" si="546">F114*P114</f>
        <v>-302865394.13024503</v>
      </c>
      <c r="R114">
        <f t="shared" ref="R114" si="547">R115+Q114</f>
        <v>-42742245864.222633</v>
      </c>
      <c r="S114">
        <f t="shared" ref="S114" si="548">R114/100000</f>
        <v>-427422.45864222635</v>
      </c>
      <c r="T114">
        <f t="shared" ref="T114" si="549">S114/1000</f>
        <v>-427.42245864222633</v>
      </c>
    </row>
    <row r="115" spans="1:20" x14ac:dyDescent="0.25">
      <c r="A115" s="5">
        <v>44478</v>
      </c>
      <c r="B115">
        <v>9.613E-3</v>
      </c>
      <c r="C115">
        <v>1.0279E-2</v>
      </c>
      <c r="D115">
        <v>9.4619999999999999E-3</v>
      </c>
      <c r="E115">
        <v>9.8239999999999994E-3</v>
      </c>
      <c r="F115">
        <v>586355283</v>
      </c>
      <c r="G115">
        <v>9.8239999999999994E-3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-0.1138310893512865</v>
      </c>
      <c r="Q115">
        <f t="shared" ref="Q115" si="551">F115*P115</f>
        <v>-66745460.61077188</v>
      </c>
      <c r="R115">
        <f t="shared" ref="R115" si="552">R116+Q115</f>
        <v>-42439380470.092392</v>
      </c>
      <c r="S115">
        <f t="shared" ref="S115" si="553">R115/100000</f>
        <v>-424393.80470092391</v>
      </c>
      <c r="T115">
        <f t="shared" ref="T115" si="554">S115/1000</f>
        <v>-424.39380470092391</v>
      </c>
    </row>
    <row r="116" spans="1:20" x14ac:dyDescent="0.25">
      <c r="A116" s="5">
        <v>44477</v>
      </c>
      <c r="B116">
        <v>9.8779999999999996E-3</v>
      </c>
      <c r="C116">
        <v>1.0076E-2</v>
      </c>
      <c r="D116">
        <v>9.5309999999999995E-3</v>
      </c>
      <c r="E116">
        <v>9.5899999999999996E-3</v>
      </c>
      <c r="F116">
        <v>530379404</v>
      </c>
      <c r="G116">
        <v>9.5899999999999996E-3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-0.78348623853211019</v>
      </c>
      <c r="Q116">
        <f t="shared" ref="Q116" si="556">F116*P116</f>
        <v>-415544964.23486245</v>
      </c>
      <c r="R116">
        <f t="shared" ref="R116" si="557">R117+Q116</f>
        <v>-42372635009.481621</v>
      </c>
      <c r="S116">
        <f t="shared" ref="S116" si="558">R116/100000</f>
        <v>-423726.35009481618</v>
      </c>
      <c r="T116">
        <f t="shared" ref="T116" si="559">S116/1000</f>
        <v>-423.72635009481615</v>
      </c>
    </row>
    <row r="117" spans="1:20" x14ac:dyDescent="0.25">
      <c r="A117" s="5">
        <v>44476</v>
      </c>
      <c r="B117">
        <v>1.0429000000000001E-2</v>
      </c>
      <c r="C117">
        <v>1.0936E-2</v>
      </c>
      <c r="D117">
        <v>9.7909999999999994E-3</v>
      </c>
      <c r="E117">
        <v>9.8779999999999996E-3</v>
      </c>
      <c r="F117">
        <v>767652750</v>
      </c>
      <c r="G117">
        <v>9.8779999999999996E-3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-0.8480349344978162</v>
      </c>
      <c r="Q117">
        <f t="shared" ref="Q117" si="561">F117*P117</f>
        <v>-650996349.56331849</v>
      </c>
      <c r="R117">
        <f t="shared" ref="R117" si="562">R118+Q117</f>
        <v>-41957090045.246758</v>
      </c>
      <c r="S117">
        <f t="shared" ref="S117" si="563">R117/100000</f>
        <v>-419570.90045246755</v>
      </c>
      <c r="T117">
        <f t="shared" ref="T117" si="564">S117/1000</f>
        <v>-419.57090045246753</v>
      </c>
    </row>
    <row r="118" spans="1:20" x14ac:dyDescent="0.25">
      <c r="A118" s="5">
        <v>44475</v>
      </c>
      <c r="B118">
        <v>1.0628E-2</v>
      </c>
      <c r="C118">
        <v>1.1554999999999999E-2</v>
      </c>
      <c r="D118">
        <v>9.8060000000000005E-3</v>
      </c>
      <c r="E118">
        <v>1.0429000000000001E-2</v>
      </c>
      <c r="F118">
        <v>1042131120</v>
      </c>
      <c r="G118">
        <v>1.0429000000000001E-2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-0.28759291023441885</v>
      </c>
      <c r="Q118">
        <f t="shared" ref="Q118" si="566">F118*P118</f>
        <v>-299709521.64665437</v>
      </c>
      <c r="R118">
        <f t="shared" ref="R118" si="567">R119+Q118</f>
        <v>-41306093695.683441</v>
      </c>
      <c r="S118">
        <f t="shared" ref="S118" si="568">R118/100000</f>
        <v>-413060.9369568344</v>
      </c>
      <c r="T118">
        <f t="shared" ref="T118" si="569">S118/1000</f>
        <v>-413.06093695683438</v>
      </c>
    </row>
    <row r="119" spans="1:20" x14ac:dyDescent="0.25">
      <c r="A119" s="5">
        <v>44474</v>
      </c>
      <c r="B119">
        <v>9.3270000000000002E-3</v>
      </c>
      <c r="C119">
        <v>1.0949E-2</v>
      </c>
      <c r="D119">
        <v>9.1959999999999993E-3</v>
      </c>
      <c r="E119">
        <v>1.0631E-2</v>
      </c>
      <c r="F119">
        <v>1388763368</v>
      </c>
      <c r="G119">
        <v>1.0631E-2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0.63719338277238979</v>
      </c>
      <c r="Q119">
        <f t="shared" ref="Q119" si="571">F119*P119</f>
        <v>884910828.32629728</v>
      </c>
      <c r="R119">
        <f t="shared" ref="R119" si="572">R120+Q119</f>
        <v>-41006384174.036789</v>
      </c>
      <c r="S119">
        <f t="shared" ref="S119" si="573">R119/100000</f>
        <v>-410063.84174036788</v>
      </c>
      <c r="T119">
        <f t="shared" ref="T119" si="574">S119/1000</f>
        <v>-410.06384174036788</v>
      </c>
    </row>
    <row r="120" spans="1:20" x14ac:dyDescent="0.25">
      <c r="A120" s="5">
        <v>44473</v>
      </c>
      <c r="B120">
        <v>9.5860000000000008E-3</v>
      </c>
      <c r="C120">
        <v>9.5890000000000003E-3</v>
      </c>
      <c r="D120">
        <v>9.0410000000000004E-3</v>
      </c>
      <c r="E120">
        <v>9.2709999999999997E-3</v>
      </c>
      <c r="F120">
        <v>417495964</v>
      </c>
      <c r="G120">
        <v>9.2709999999999997E-3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-0.16058394160584177</v>
      </c>
      <c r="Q120">
        <f t="shared" ref="Q120" si="576">F120*P120</f>
        <v>-67043147.503650621</v>
      </c>
      <c r="R120">
        <f t="shared" ref="R120" si="577">R121+Q120</f>
        <v>-41891295002.363083</v>
      </c>
      <c r="S120">
        <f t="shared" ref="S120" si="578">R120/100000</f>
        <v>-418912.95002363081</v>
      </c>
      <c r="T120">
        <f t="shared" ref="T120" si="579">S120/1000</f>
        <v>-418.9129500236308</v>
      </c>
    </row>
    <row r="121" spans="1:20" x14ac:dyDescent="0.25">
      <c r="A121" s="5">
        <v>44472</v>
      </c>
      <c r="B121">
        <v>9.5860000000000008E-3</v>
      </c>
      <c r="C121">
        <v>9.7529999999999995E-3</v>
      </c>
      <c r="D121">
        <v>9.3399999999999993E-3</v>
      </c>
      <c r="E121">
        <v>9.5469999999999999E-3</v>
      </c>
      <c r="F121">
        <v>436776007</v>
      </c>
      <c r="G121">
        <v>9.5469999999999999E-3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2.4213075060556893E-3</v>
      </c>
      <c r="Q121">
        <f t="shared" ref="Q121" si="581">F121*P121</f>
        <v>1057569.0242141322</v>
      </c>
      <c r="R121">
        <f t="shared" ref="R121" si="582">R122+Q121</f>
        <v>-41824251854.859436</v>
      </c>
      <c r="S121">
        <f t="shared" ref="S121" si="583">R121/100000</f>
        <v>-418242.51854859438</v>
      </c>
      <c r="T121">
        <f t="shared" ref="T121" si="584">S121/1000</f>
        <v>-418.24251854859438</v>
      </c>
    </row>
    <row r="122" spans="1:20" x14ac:dyDescent="0.25">
      <c r="A122" s="5">
        <v>44471</v>
      </c>
      <c r="B122">
        <v>9.6520000000000009E-3</v>
      </c>
      <c r="C122">
        <v>1.0258E-2</v>
      </c>
      <c r="D122">
        <v>9.4350000000000007E-3</v>
      </c>
      <c r="E122">
        <v>9.5849999999999998E-3</v>
      </c>
      <c r="F122">
        <v>565445316</v>
      </c>
      <c r="G122">
        <v>9.5849999999999998E-3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-0.6354799513973286</v>
      </c>
      <c r="Q122">
        <f t="shared" ref="Q122" si="586">F122*P122</f>
        <v>-359329161.9295271</v>
      </c>
      <c r="R122">
        <f t="shared" ref="R122" si="587">R123+Q122</f>
        <v>-41825309423.883652</v>
      </c>
      <c r="S122">
        <f t="shared" ref="S122" si="588">R122/100000</f>
        <v>-418253.09423883649</v>
      </c>
      <c r="T122">
        <f t="shared" ref="T122" si="589">S122/1000</f>
        <v>-418.25309423883647</v>
      </c>
    </row>
    <row r="123" spans="1:20" x14ac:dyDescent="0.25">
      <c r="A123" s="5">
        <v>44470</v>
      </c>
      <c r="B123">
        <v>8.4499999999999992E-3</v>
      </c>
      <c r="C123">
        <v>0.01</v>
      </c>
      <c r="D123">
        <v>8.4329999999999995E-3</v>
      </c>
      <c r="E123">
        <v>9.6399999999999993E-3</v>
      </c>
      <c r="F123">
        <v>1101943222</v>
      </c>
      <c r="G123">
        <v>9.6399999999999993E-3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0.54052329291639978</v>
      </c>
      <c r="Q123">
        <f t="shared" ref="Q123" si="591">F123*P123</f>
        <v>595625978.96234739</v>
      </c>
      <c r="R123">
        <f t="shared" ref="R123" si="592">R124+Q123</f>
        <v>-41465980261.954124</v>
      </c>
      <c r="S123">
        <f t="shared" ref="S123" si="593">R123/100000</f>
        <v>-414659.80261954124</v>
      </c>
      <c r="T123">
        <f t="shared" ref="T123" si="594">S123/1000</f>
        <v>-414.65980261954121</v>
      </c>
    </row>
    <row r="124" spans="1:20" x14ac:dyDescent="0.25">
      <c r="A124" s="5">
        <v>44469</v>
      </c>
      <c r="B124">
        <v>8.3009999999999994E-3</v>
      </c>
      <c r="C124">
        <v>8.5699999999999995E-3</v>
      </c>
      <c r="D124">
        <v>7.9129999999999999E-3</v>
      </c>
      <c r="E124">
        <v>8.4469999999999996E-3</v>
      </c>
      <c r="F124">
        <v>727655584</v>
      </c>
      <c r="G124">
        <v>8.4469999999999996E-3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0.62557077625570801</v>
      </c>
      <c r="Q124">
        <f t="shared" ref="Q124" si="596">F124*P124</f>
        <v>455200068.52968055</v>
      </c>
      <c r="R124">
        <f t="shared" ref="R124" si="597">R125+Q124</f>
        <v>-42061606240.916473</v>
      </c>
      <c r="S124">
        <f t="shared" ref="S124" si="598">R124/100000</f>
        <v>-420616.06240916473</v>
      </c>
      <c r="T124">
        <f t="shared" ref="T124" si="599">S124/1000</f>
        <v>-420.61606240916473</v>
      </c>
    </row>
    <row r="125" spans="1:20" x14ac:dyDescent="0.25">
      <c r="A125" s="5">
        <v>44468</v>
      </c>
      <c r="B125">
        <v>7.5719999999999997E-3</v>
      </c>
      <c r="C125">
        <v>8.5000000000000006E-3</v>
      </c>
      <c r="D125">
        <v>7.5269999999999998E-3</v>
      </c>
      <c r="E125">
        <v>8.3009999999999994E-3</v>
      </c>
      <c r="F125">
        <v>583246736</v>
      </c>
      <c r="G125">
        <v>8.3009999999999994E-3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0.59095580678314263</v>
      </c>
      <c r="Q125">
        <f t="shared" ref="Q125" si="601">F125*P125</f>
        <v>344673045.42651463</v>
      </c>
      <c r="R125">
        <f t="shared" ref="R125" si="602">R126+Q125</f>
        <v>-42516806309.446152</v>
      </c>
      <c r="S125">
        <f t="shared" ref="S125" si="603">R125/100000</f>
        <v>-425168.06309446151</v>
      </c>
      <c r="T125">
        <f t="shared" ref="T125" si="604">S125/1000</f>
        <v>-425.1680630944615</v>
      </c>
    </row>
    <row r="126" spans="1:20" x14ac:dyDescent="0.25">
      <c r="A126" s="5">
        <v>44467</v>
      </c>
      <c r="B126">
        <v>7.7210000000000004E-3</v>
      </c>
      <c r="C126">
        <v>7.9000000000000008E-3</v>
      </c>
      <c r="D126">
        <v>7.4999999999999997E-3</v>
      </c>
      <c r="E126">
        <v>7.5620000000000001E-3</v>
      </c>
      <c r="F126">
        <v>240639504</v>
      </c>
      <c r="G126">
        <v>7.5620000000000001E-3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-0.68999999999999873</v>
      </c>
      <c r="Q126">
        <f t="shared" ref="Q126" si="606">F126*P126</f>
        <v>-166041257.75999969</v>
      </c>
      <c r="R126">
        <f t="shared" ref="R126" si="607">R127+Q126</f>
        <v>-42861479354.872665</v>
      </c>
      <c r="S126">
        <f t="shared" ref="S126" si="608">R126/100000</f>
        <v>-428614.79354872665</v>
      </c>
      <c r="T126">
        <f t="shared" ref="T126" si="609">S126/1000</f>
        <v>-428.61479354872665</v>
      </c>
    </row>
    <row r="127" spans="1:20" x14ac:dyDescent="0.25">
      <c r="A127" s="5">
        <v>44466</v>
      </c>
      <c r="B127">
        <v>8.0800000000000004E-3</v>
      </c>
      <c r="C127">
        <v>8.3689999999999997E-3</v>
      </c>
      <c r="D127">
        <v>7.7229999999999998E-3</v>
      </c>
      <c r="E127">
        <v>7.7229999999999998E-3</v>
      </c>
      <c r="F127">
        <v>406004409</v>
      </c>
      <c r="G127">
        <v>7.7229999999999998E-3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-406004409</v>
      </c>
      <c r="R127">
        <f t="shared" ref="R127" si="612">R128+Q127</f>
        <v>-42695438097.112663</v>
      </c>
      <c r="S127">
        <f t="shared" ref="S127" si="613">R127/100000</f>
        <v>-426954.38097112661</v>
      </c>
      <c r="T127">
        <f t="shared" ref="T127" si="614">S127/1000</f>
        <v>-426.95438097112662</v>
      </c>
    </row>
    <row r="128" spans="1:20" x14ac:dyDescent="0.25">
      <c r="A128" s="5">
        <v>44465</v>
      </c>
      <c r="B128">
        <v>8.0180000000000008E-3</v>
      </c>
      <c r="C128">
        <v>8.4980000000000003E-3</v>
      </c>
      <c r="D128">
        <v>7.5849999999999997E-3</v>
      </c>
      <c r="E128">
        <v>8.0809999999999996E-3</v>
      </c>
      <c r="F128">
        <v>518002562</v>
      </c>
      <c r="G128">
        <v>8.0809999999999996E-3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8.6527929901422954E-2</v>
      </c>
      <c r="Q128">
        <f t="shared" ref="Q128" si="616">F128*P128</f>
        <v>44821689.3734935</v>
      </c>
      <c r="R128">
        <f t="shared" ref="R128" si="617">R129+Q128</f>
        <v>-42289433688.112663</v>
      </c>
      <c r="S128">
        <f t="shared" ref="S128" si="618">R128/100000</f>
        <v>-422894.33688112663</v>
      </c>
      <c r="T128">
        <f t="shared" ref="T128" si="619">S128/1000</f>
        <v>-422.89433688112661</v>
      </c>
    </row>
    <row r="129" spans="1:20" x14ac:dyDescent="0.25">
      <c r="A129" s="5">
        <v>44464</v>
      </c>
      <c r="B129">
        <v>8.1740000000000007E-3</v>
      </c>
      <c r="C129">
        <v>8.4989999999999996E-3</v>
      </c>
      <c r="D129">
        <v>7.8189999999999996E-3</v>
      </c>
      <c r="E129">
        <v>8.0110000000000008E-3</v>
      </c>
      <c r="F129">
        <v>686730507</v>
      </c>
      <c r="G129">
        <v>8.0110000000000008E-3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-0.43529411764705533</v>
      </c>
      <c r="Q129">
        <f t="shared" ref="Q129" si="621">F129*P129</f>
        <v>-298929750.10587996</v>
      </c>
      <c r="R129">
        <f t="shared" ref="R129" si="622">R130+Q129</f>
        <v>-42334255377.48616</v>
      </c>
      <c r="S129">
        <f t="shared" ref="S129" si="623">R129/100000</f>
        <v>-423342.55377486162</v>
      </c>
      <c r="T129">
        <f t="shared" ref="T129" si="624">S129/1000</f>
        <v>-423.34255377486164</v>
      </c>
    </row>
    <row r="130" spans="1:20" x14ac:dyDescent="0.25">
      <c r="A130" s="5">
        <v>44463</v>
      </c>
      <c r="B130">
        <v>8.7810000000000006E-3</v>
      </c>
      <c r="C130">
        <v>8.8900000000000003E-3</v>
      </c>
      <c r="D130">
        <v>7.6870000000000003E-3</v>
      </c>
      <c r="E130">
        <v>8.1849999999999996E-3</v>
      </c>
      <c r="F130">
        <v>628262620</v>
      </c>
      <c r="G130">
        <v>8.1849999999999996E-3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-0.17206982543641017</v>
      </c>
      <c r="Q130">
        <f t="shared" ref="Q130" si="626">F130*P130</f>
        <v>-108105039.3516217</v>
      </c>
      <c r="R130">
        <f t="shared" ref="R130" si="627">R131+Q130</f>
        <v>-42035325627.38028</v>
      </c>
      <c r="S130">
        <f t="shared" ref="S130" si="628">R130/100000</f>
        <v>-420353.25627380278</v>
      </c>
      <c r="T130">
        <f t="shared" ref="T130" si="629">S130/1000</f>
        <v>-420.3532562738028</v>
      </c>
    </row>
    <row r="131" spans="1:20" x14ac:dyDescent="0.25">
      <c r="A131" s="5">
        <v>44462</v>
      </c>
      <c r="B131">
        <v>8.9519999999999999E-3</v>
      </c>
      <c r="C131">
        <v>8.9739999999999993E-3</v>
      </c>
      <c r="D131">
        <v>8.371E-3</v>
      </c>
      <c r="E131">
        <v>8.7810000000000006E-3</v>
      </c>
      <c r="F131">
        <v>887379890</v>
      </c>
      <c r="G131">
        <v>8.7810000000000006E-3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0.35986733001658727</v>
      </c>
      <c r="Q131">
        <f t="shared" ref="Q131" si="631">F131*P131</f>
        <v>319339031.72471291</v>
      </c>
      <c r="R131">
        <f t="shared" ref="R131" si="632">R132+Q131</f>
        <v>-41927220588.028656</v>
      </c>
      <c r="S131">
        <f t="shared" ref="S131" si="633">R131/100000</f>
        <v>-419272.20588028658</v>
      </c>
      <c r="T131">
        <f t="shared" ref="T131" si="634">S131/1000</f>
        <v>-419.27220588028661</v>
      </c>
    </row>
    <row r="132" spans="1:20" x14ac:dyDescent="0.25">
      <c r="A132" s="5">
        <v>44461</v>
      </c>
      <c r="B132">
        <v>8.0459999999999993E-3</v>
      </c>
      <c r="C132">
        <v>9.7920000000000004E-3</v>
      </c>
      <c r="D132">
        <v>7.92E-3</v>
      </c>
      <c r="E132">
        <v>8.9519999999999999E-3</v>
      </c>
      <c r="F132">
        <v>1619516106</v>
      </c>
      <c r="G132">
        <v>8.9519999999999999E-3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0.10256410256410226</v>
      </c>
      <c r="Q132">
        <f t="shared" ref="Q132" si="636">F132*P132</f>
        <v>166104215.99999949</v>
      </c>
      <c r="R132">
        <f t="shared" ref="R132" si="637">R133+Q132</f>
        <v>-42246559619.753372</v>
      </c>
      <c r="S132">
        <f t="shared" ref="S132" si="638">R132/100000</f>
        <v>-422465.59619753371</v>
      </c>
      <c r="T132">
        <f t="shared" ref="T132" si="639">S132/1000</f>
        <v>-422.46559619753373</v>
      </c>
    </row>
    <row r="133" spans="1:20" x14ac:dyDescent="0.25">
      <c r="A133" s="5">
        <v>44460</v>
      </c>
      <c r="B133">
        <v>7.7460000000000003E-3</v>
      </c>
      <c r="C133">
        <v>8.8739999999999999E-3</v>
      </c>
      <c r="D133">
        <v>7.1999999999999998E-3</v>
      </c>
      <c r="E133">
        <v>8.0459999999999993E-3</v>
      </c>
      <c r="F133">
        <v>1409818819</v>
      </c>
      <c r="G133">
        <v>8.0459999999999993E-3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1.0752688172042365E-2</v>
      </c>
      <c r="Q133">
        <f t="shared" ref="Q133" si="641">F133*P133</f>
        <v>15159342.139784034</v>
      </c>
      <c r="R133">
        <f t="shared" ref="R133" si="642">R134+Q133</f>
        <v>-42412663835.753372</v>
      </c>
      <c r="S133">
        <f t="shared" ref="S133" si="643">R133/100000</f>
        <v>-424126.63835753372</v>
      </c>
      <c r="T133">
        <f t="shared" ref="T133" si="644">S133/1000</f>
        <v>-424.12663835753375</v>
      </c>
    </row>
    <row r="134" spans="1:20" x14ac:dyDescent="0.25">
      <c r="A134" s="5">
        <v>44459</v>
      </c>
      <c r="B134">
        <v>8.8170000000000002E-3</v>
      </c>
      <c r="C134">
        <v>9.0830000000000008E-3</v>
      </c>
      <c r="D134">
        <v>7.9209999999999992E-3</v>
      </c>
      <c r="E134">
        <v>8.0149999999999996E-3</v>
      </c>
      <c r="F134">
        <v>280682667</v>
      </c>
      <c r="G134">
        <v>8.0149999999999996E-3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-0.83820998278829573</v>
      </c>
      <c r="Q134">
        <f t="shared" ref="Q134" si="646">F134*P134</f>
        <v>-235271013.47504294</v>
      </c>
      <c r="R134">
        <f t="shared" ref="R134" si="647">R135+Q134</f>
        <v>-42427823177.893158</v>
      </c>
      <c r="S134">
        <f t="shared" ref="S134" si="648">R134/100000</f>
        <v>-424278.23177893157</v>
      </c>
      <c r="T134">
        <f t="shared" ref="T134" si="649">S134/1000</f>
        <v>-424.27823177893157</v>
      </c>
    </row>
    <row r="135" spans="1:20" x14ac:dyDescent="0.25">
      <c r="A135" s="5">
        <v>44458</v>
      </c>
      <c r="B135">
        <v>9.2650000000000007E-3</v>
      </c>
      <c r="C135">
        <v>9.2650000000000007E-3</v>
      </c>
      <c r="D135">
        <v>8.7039999999999999E-3</v>
      </c>
      <c r="E135">
        <v>8.8090000000000009E-3</v>
      </c>
      <c r="F135">
        <v>337112991</v>
      </c>
      <c r="G135">
        <v>8.8090000000000009E-3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-0.62566844919785813</v>
      </c>
      <c r="Q135">
        <f t="shared" ref="Q135" si="651">F135*P135</f>
        <v>-210920962.28342152</v>
      </c>
      <c r="R135">
        <f t="shared" ref="R135" si="652">R136+Q135</f>
        <v>-42192552164.418114</v>
      </c>
      <c r="S135">
        <f t="shared" ref="S135" si="653">R135/100000</f>
        <v>-421925.52164418116</v>
      </c>
      <c r="T135">
        <f t="shared" ref="T135" si="654">S135/1000</f>
        <v>-421.92552164418117</v>
      </c>
    </row>
    <row r="136" spans="1:20" x14ac:dyDescent="0.25">
      <c r="A136" s="5">
        <v>44457</v>
      </c>
      <c r="B136">
        <v>9.1870000000000007E-3</v>
      </c>
      <c r="C136">
        <v>9.6209999999999993E-3</v>
      </c>
      <c r="D136">
        <v>9.0010000000000003E-3</v>
      </c>
      <c r="E136">
        <v>9.2680000000000002E-3</v>
      </c>
      <c r="F136">
        <v>275575065</v>
      </c>
      <c r="G136">
        <v>9.2680000000000002E-3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-0.13870967741935389</v>
      </c>
      <c r="Q136">
        <f t="shared" ref="Q136" si="656">F136*P136</f>
        <v>-38224928.370967478</v>
      </c>
      <c r="R136">
        <f t="shared" ref="R136" si="657">R137+Q136</f>
        <v>-41981631202.134689</v>
      </c>
      <c r="S136">
        <f t="shared" ref="S136" si="658">R136/100000</f>
        <v>-419816.31202134688</v>
      </c>
      <c r="T136">
        <f t="shared" ref="T136" si="659">S136/1000</f>
        <v>-419.8163120213469</v>
      </c>
    </row>
    <row r="137" spans="1:20" x14ac:dyDescent="0.25">
      <c r="A137" s="5">
        <v>44456</v>
      </c>
      <c r="B137">
        <v>9.7610000000000006E-3</v>
      </c>
      <c r="C137">
        <v>9.7879999999999998E-3</v>
      </c>
      <c r="D137">
        <v>9.1000000000000004E-3</v>
      </c>
      <c r="E137">
        <v>9.1870000000000007E-3</v>
      </c>
      <c r="F137">
        <v>352675472</v>
      </c>
      <c r="G137">
        <v>9.1870000000000007E-3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-0.74709302325581295</v>
      </c>
      <c r="Q137">
        <f t="shared" ref="Q137" si="661">F137*P137</f>
        <v>-263481384.6046508</v>
      </c>
      <c r="R137">
        <f t="shared" ref="R137" si="662">R138+Q137</f>
        <v>-41943406273.763725</v>
      </c>
      <c r="S137">
        <f t="shared" ref="S137" si="663">R137/100000</f>
        <v>-419434.06273763726</v>
      </c>
      <c r="T137">
        <f t="shared" ref="T137" si="664">S137/1000</f>
        <v>-419.43406273763725</v>
      </c>
    </row>
    <row r="138" spans="1:20" x14ac:dyDescent="0.25">
      <c r="A138" s="5">
        <v>44455</v>
      </c>
      <c r="B138">
        <v>1.0281999999999999E-2</v>
      </c>
      <c r="C138">
        <v>1.0295E-2</v>
      </c>
      <c r="D138">
        <v>9.6069999999999992E-3</v>
      </c>
      <c r="E138">
        <v>9.7409999999999997E-3</v>
      </c>
      <c r="F138">
        <v>372011865</v>
      </c>
      <c r="G138">
        <v>9.7409999999999997E-3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-0.61046511627906908</v>
      </c>
      <c r="Q138">
        <f t="shared" ref="Q138" si="666">F138*P138</f>
        <v>-227100266.42441836</v>
      </c>
      <c r="R138">
        <f t="shared" ref="R138" si="667">R139+Q138</f>
        <v>-41679924889.159073</v>
      </c>
      <c r="S138">
        <f t="shared" ref="S138" si="668">R138/100000</f>
        <v>-416799.24889159075</v>
      </c>
      <c r="T138">
        <f t="shared" ref="T138" si="669">S138/1000</f>
        <v>-416.79924889159076</v>
      </c>
    </row>
    <row r="139" spans="1:20" x14ac:dyDescent="0.25">
      <c r="A139" s="5">
        <v>44454</v>
      </c>
      <c r="B139">
        <v>9.8040000000000002E-3</v>
      </c>
      <c r="C139">
        <v>1.056E-2</v>
      </c>
      <c r="D139">
        <v>9.6249999999999999E-3</v>
      </c>
      <c r="E139">
        <v>1.0281999999999999E-2</v>
      </c>
      <c r="F139">
        <v>365733164</v>
      </c>
      <c r="G139">
        <v>1.0281999999999999E-2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0.40534759358288674</v>
      </c>
      <c r="Q139">
        <f t="shared" ref="Q139" si="671">F139*P139</f>
        <v>148249057.92085525</v>
      </c>
      <c r="R139">
        <f t="shared" ref="R139" si="672">R140+Q139</f>
        <v>-41452824622.734657</v>
      </c>
      <c r="S139">
        <f t="shared" ref="S139" si="673">R139/100000</f>
        <v>-414528.24622734659</v>
      </c>
      <c r="T139">
        <f t="shared" ref="T139" si="674">S139/1000</f>
        <v>-414.52824622734659</v>
      </c>
    </row>
    <row r="140" spans="1:20" x14ac:dyDescent="0.25">
      <c r="A140" s="5">
        <v>44453</v>
      </c>
      <c r="B140">
        <v>9.5779999999999997E-3</v>
      </c>
      <c r="C140">
        <v>9.8700000000000003E-3</v>
      </c>
      <c r="D140">
        <v>9.4649999999999995E-3</v>
      </c>
      <c r="E140">
        <v>9.8080000000000007E-3</v>
      </c>
      <c r="F140">
        <v>289675374</v>
      </c>
      <c r="G140">
        <v>9.8080000000000007E-3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0.69382716049382998</v>
      </c>
      <c r="Q140">
        <f t="shared" ref="Q140" si="676">F140*P140</f>
        <v>200984642.20740822</v>
      </c>
      <c r="R140">
        <f t="shared" ref="R140" si="677">R141+Q140</f>
        <v>-41601073680.65551</v>
      </c>
      <c r="S140">
        <f t="shared" ref="S140" si="678">R140/100000</f>
        <v>-416010.73680655513</v>
      </c>
      <c r="T140">
        <f t="shared" ref="T140" si="679">S140/1000</f>
        <v>-416.01073680655514</v>
      </c>
    </row>
    <row r="141" spans="1:20" x14ac:dyDescent="0.25">
      <c r="A141" s="5">
        <v>44452</v>
      </c>
      <c r="B141">
        <v>1.0111E-2</v>
      </c>
      <c r="C141">
        <v>1.0165E-2</v>
      </c>
      <c r="D141">
        <v>9.2490000000000003E-3</v>
      </c>
      <c r="E141">
        <v>9.5709999999999996E-3</v>
      </c>
      <c r="F141">
        <v>404393442</v>
      </c>
      <c r="G141">
        <v>9.5709999999999996E-3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-0.2969432314410495</v>
      </c>
      <c r="Q141">
        <f t="shared" ref="Q141" si="681">F141*P141</f>
        <v>-120081895.44104862</v>
      </c>
      <c r="R141">
        <f t="shared" ref="R141" si="682">R142+Q141</f>
        <v>-41802058322.862915</v>
      </c>
      <c r="S141">
        <f t="shared" ref="S141" si="683">R141/100000</f>
        <v>-418020.58322862914</v>
      </c>
      <c r="T141">
        <f t="shared" ref="T141" si="684">S141/1000</f>
        <v>-418.02058322862916</v>
      </c>
    </row>
    <row r="142" spans="1:20" x14ac:dyDescent="0.25">
      <c r="A142" s="5">
        <v>44451</v>
      </c>
      <c r="B142">
        <v>9.8659999999999998E-3</v>
      </c>
      <c r="C142">
        <v>1.0337000000000001E-2</v>
      </c>
      <c r="D142">
        <v>9.6780000000000008E-3</v>
      </c>
      <c r="E142">
        <v>1.0111999999999999E-2</v>
      </c>
      <c r="F142">
        <v>274876480</v>
      </c>
      <c r="G142">
        <v>1.0111999999999999E-2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0.31714719271623282</v>
      </c>
      <c r="Q142">
        <f t="shared" ref="Q142" si="686">F142*P142</f>
        <v>87176303.97571972</v>
      </c>
      <c r="R142">
        <f t="shared" ref="R142" si="687">R143+Q142</f>
        <v>-41681976427.421867</v>
      </c>
      <c r="S142">
        <f t="shared" ref="S142" si="688">R142/100000</f>
        <v>-416819.7642742187</v>
      </c>
      <c r="T142">
        <f t="shared" ref="T142" si="689">S142/1000</f>
        <v>-416.8197642742187</v>
      </c>
    </row>
    <row r="143" spans="1:20" x14ac:dyDescent="0.25">
      <c r="A143" s="5">
        <v>44450</v>
      </c>
      <c r="B143">
        <v>9.7560000000000008E-3</v>
      </c>
      <c r="C143">
        <v>1.0421E-2</v>
      </c>
      <c r="D143">
        <v>9.5390000000000006E-3</v>
      </c>
      <c r="E143">
        <v>9.8840000000000004E-3</v>
      </c>
      <c r="F143">
        <v>304123594</v>
      </c>
      <c r="G143">
        <v>9.8840000000000004E-3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-0.21768707482993158</v>
      </c>
      <c r="Q143">
        <f t="shared" ref="Q143" si="691">F143*P143</f>
        <v>-66203775.564625733</v>
      </c>
      <c r="R143">
        <f t="shared" ref="R143" si="692">R144+Q143</f>
        <v>-41769152731.397591</v>
      </c>
      <c r="S143">
        <f t="shared" ref="S143" si="693">R143/100000</f>
        <v>-417691.52731397591</v>
      </c>
      <c r="T143">
        <f t="shared" ref="T143" si="694">S143/1000</f>
        <v>-417.69152731397588</v>
      </c>
    </row>
    <row r="144" spans="1:20" x14ac:dyDescent="0.25">
      <c r="A144" s="5">
        <v>44449</v>
      </c>
      <c r="B144">
        <v>1.0373E-2</v>
      </c>
      <c r="C144">
        <v>1.0867E-2</v>
      </c>
      <c r="D144">
        <v>9.1929999999999998E-3</v>
      </c>
      <c r="E144">
        <v>9.7640000000000001E-3</v>
      </c>
      <c r="F144">
        <v>546772857</v>
      </c>
      <c r="G144">
        <v>9.7640000000000001E-3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-0.317801672640382</v>
      </c>
      <c r="Q144">
        <f t="shared" ref="Q144" si="696">F144*P144</f>
        <v>-173765328.5089604</v>
      </c>
      <c r="R144">
        <f t="shared" ref="R144" si="697">R145+Q144</f>
        <v>-41702948955.832962</v>
      </c>
      <c r="S144">
        <f t="shared" ref="S144" si="698">R144/100000</f>
        <v>-417029.48955832963</v>
      </c>
      <c r="T144">
        <f t="shared" ref="T144" si="699">S144/1000</f>
        <v>-417.02948955832966</v>
      </c>
    </row>
    <row r="145" spans="1:20" x14ac:dyDescent="0.25">
      <c r="A145" s="5">
        <v>44448</v>
      </c>
      <c r="B145">
        <v>1.0279E-2</v>
      </c>
      <c r="C145">
        <v>1.1018999999999999E-2</v>
      </c>
      <c r="D145">
        <v>9.946E-3</v>
      </c>
      <c r="E145">
        <v>1.0366999999999999E-2</v>
      </c>
      <c r="F145">
        <v>519845052</v>
      </c>
      <c r="G145">
        <v>1.0366999999999999E-2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-0.2152842497670088</v>
      </c>
      <c r="Q145">
        <f t="shared" ref="Q145" si="701">F145*P145</f>
        <v>-111914452.01491168</v>
      </c>
      <c r="R145">
        <f t="shared" ref="R145" si="702">R146+Q145</f>
        <v>-41529183627.324005</v>
      </c>
      <c r="S145">
        <f t="shared" ref="S145" si="703">R145/100000</f>
        <v>-415291.83627324004</v>
      </c>
      <c r="T145">
        <f t="shared" ref="T145" si="704">S145/1000</f>
        <v>-415.29183627324005</v>
      </c>
    </row>
    <row r="146" spans="1:20" x14ac:dyDescent="0.25">
      <c r="A146" s="5">
        <v>44447</v>
      </c>
      <c r="B146">
        <v>1.0479E-2</v>
      </c>
      <c r="C146">
        <v>1.0881999999999999E-2</v>
      </c>
      <c r="D146">
        <v>9.2820000000000003E-3</v>
      </c>
      <c r="E146">
        <v>1.0284E-2</v>
      </c>
      <c r="F146">
        <v>540472438</v>
      </c>
      <c r="G146">
        <v>1.0284E-2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0.25250000000000006</v>
      </c>
      <c r="Q146">
        <f t="shared" ref="Q146" si="706">F146*P146</f>
        <v>136469290.59500003</v>
      </c>
      <c r="R146">
        <f t="shared" ref="R146" si="707">R147+Q146</f>
        <v>-41417269175.30909</v>
      </c>
      <c r="S146">
        <f t="shared" ref="S146" si="708">R146/100000</f>
        <v>-414172.69175309088</v>
      </c>
      <c r="T146">
        <f t="shared" ref="T146" si="709">S146/1000</f>
        <v>-414.17269175309087</v>
      </c>
    </row>
    <row r="147" spans="1:20" x14ac:dyDescent="0.25">
      <c r="A147" s="5">
        <v>44446</v>
      </c>
      <c r="B147">
        <v>1.2311000000000001E-2</v>
      </c>
      <c r="C147">
        <v>1.2449E-2</v>
      </c>
      <c r="D147">
        <v>7.0000000000000001E-3</v>
      </c>
      <c r="E147">
        <v>1.0468999999999999E-2</v>
      </c>
      <c r="F147">
        <v>1000564179</v>
      </c>
      <c r="G147">
        <v>1.0468999999999999E-2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0.27326114883464825</v>
      </c>
      <c r="Q147">
        <f t="shared" ref="Q147" si="711">F147*P147</f>
        <v>273415317.03633666</v>
      </c>
      <c r="R147">
        <f t="shared" ref="R147" si="712">R148+Q147</f>
        <v>-41553738465.904091</v>
      </c>
      <c r="S147">
        <f t="shared" ref="S147" si="713">R147/100000</f>
        <v>-415537.38465904089</v>
      </c>
      <c r="T147">
        <f t="shared" ref="T147" si="714">S147/1000</f>
        <v>-415.53738465904087</v>
      </c>
    </row>
    <row r="148" spans="1:20" x14ac:dyDescent="0.25">
      <c r="A148" s="5">
        <v>44445</v>
      </c>
      <c r="B148">
        <v>1.2669E-2</v>
      </c>
      <c r="C148">
        <v>1.3100000000000001E-2</v>
      </c>
      <c r="D148">
        <v>1.2257000000000001E-2</v>
      </c>
      <c r="E148">
        <v>1.2311000000000001E-2</v>
      </c>
      <c r="F148">
        <v>577696741</v>
      </c>
      <c r="G148">
        <v>1.2311000000000001E-2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-0.87188612099644069</v>
      </c>
      <c r="Q148">
        <f t="shared" ref="Q148" si="716">F148*P148</f>
        <v>-503685770.62277544</v>
      </c>
      <c r="R148">
        <f t="shared" ref="R148" si="717">R149+Q148</f>
        <v>-41827153782.94043</v>
      </c>
      <c r="S148">
        <f t="shared" ref="S148" si="718">R148/100000</f>
        <v>-418271.53782940429</v>
      </c>
      <c r="T148">
        <f t="shared" ref="T148" si="719">S148/1000</f>
        <v>-418.27153782940428</v>
      </c>
    </row>
    <row r="149" spans="1:20" x14ac:dyDescent="0.25">
      <c r="A149" s="5">
        <v>44444</v>
      </c>
      <c r="B149">
        <v>1.2028E-2</v>
      </c>
      <c r="C149">
        <v>1.2892000000000001E-2</v>
      </c>
      <c r="D149">
        <v>1.196E-2</v>
      </c>
      <c r="E149">
        <v>1.2688E-2</v>
      </c>
      <c r="F149">
        <v>407231825</v>
      </c>
      <c r="G149">
        <v>1.2688E-2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0.5622317596566504</v>
      </c>
      <c r="Q149">
        <f t="shared" ref="Q149" si="721">F149*P149</f>
        <v>228958665.55793911</v>
      </c>
      <c r="R149">
        <f t="shared" ref="R149" si="722">R150+Q149</f>
        <v>-41323468012.317657</v>
      </c>
      <c r="S149">
        <f t="shared" ref="S149" si="723">R149/100000</f>
        <v>-413234.6801231766</v>
      </c>
      <c r="T149">
        <f t="shared" ref="T149" si="724">S149/1000</f>
        <v>-413.23468012317659</v>
      </c>
    </row>
    <row r="150" spans="1:20" x14ac:dyDescent="0.25">
      <c r="A150" s="5">
        <v>44443</v>
      </c>
      <c r="B150">
        <v>1.2182999999999999E-2</v>
      </c>
      <c r="C150">
        <v>1.2654E-2</v>
      </c>
      <c r="D150">
        <v>1.1946E-2</v>
      </c>
      <c r="E150">
        <v>1.2031999999999999E-2</v>
      </c>
      <c r="F150">
        <v>405954317</v>
      </c>
      <c r="G150">
        <v>1.2031999999999999E-2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-0.75706214689265749</v>
      </c>
      <c r="Q150">
        <f t="shared" ref="Q150" si="726">F150*P150</f>
        <v>-307332646.76836246</v>
      </c>
      <c r="R150">
        <f t="shared" ref="R150" si="727">R151+Q150</f>
        <v>-41552426677.875595</v>
      </c>
      <c r="S150">
        <f t="shared" ref="S150" si="728">R150/100000</f>
        <v>-415524.26677875593</v>
      </c>
      <c r="T150">
        <f t="shared" ref="T150" si="729">S150/1000</f>
        <v>-415.52426677875593</v>
      </c>
    </row>
    <row r="151" spans="1:20" x14ac:dyDescent="0.25">
      <c r="A151" s="5">
        <v>44442</v>
      </c>
      <c r="B151">
        <v>1.2588E-2</v>
      </c>
      <c r="C151">
        <v>1.2616E-2</v>
      </c>
      <c r="D151">
        <v>1.201E-2</v>
      </c>
      <c r="E151">
        <v>1.2185E-2</v>
      </c>
      <c r="F151">
        <v>426924733</v>
      </c>
      <c r="G151">
        <v>1.2185E-2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-0.42244224422442367</v>
      </c>
      <c r="Q151">
        <f t="shared" ref="Q151" si="731">F151*P151</f>
        <v>-180351042.32343286</v>
      </c>
      <c r="R151">
        <f t="shared" ref="R151" si="732">R152+Q151</f>
        <v>-41245094031.107231</v>
      </c>
      <c r="S151">
        <f t="shared" ref="S151" si="733">R151/100000</f>
        <v>-412450.94031107234</v>
      </c>
      <c r="T151">
        <f t="shared" ref="T151" si="734">S151/1000</f>
        <v>-412.45094031107232</v>
      </c>
    </row>
    <row r="152" spans="1:20" x14ac:dyDescent="0.25">
      <c r="A152" s="5">
        <v>44441</v>
      </c>
      <c r="B152">
        <v>1.2991000000000001E-2</v>
      </c>
      <c r="C152">
        <v>1.324E-2</v>
      </c>
      <c r="D152">
        <v>1.2404999999999999E-2</v>
      </c>
      <c r="E152">
        <v>1.2576E-2</v>
      </c>
      <c r="F152">
        <v>894549366</v>
      </c>
      <c r="G152">
        <v>1.2576E-2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-0.59041916167664465</v>
      </c>
      <c r="Q152">
        <f t="shared" ref="Q152" si="736">F152*P152</f>
        <v>-528159086.75209397</v>
      </c>
      <c r="R152">
        <f t="shared" ref="R152" si="737">R153+Q152</f>
        <v>-41064742988.783798</v>
      </c>
      <c r="S152">
        <f t="shared" ref="S152" si="738">R152/100000</f>
        <v>-410647.42988783796</v>
      </c>
      <c r="T152">
        <f t="shared" ref="T152" si="739">S152/1000</f>
        <v>-410.64742988783797</v>
      </c>
    </row>
    <row r="153" spans="1:20" x14ac:dyDescent="0.25">
      <c r="A153" s="5">
        <v>44440</v>
      </c>
      <c r="B153">
        <v>1.0869E-2</v>
      </c>
      <c r="C153">
        <v>1.3180000000000001E-2</v>
      </c>
      <c r="D153">
        <v>1.0600999999999999E-2</v>
      </c>
      <c r="E153">
        <v>1.2966999999999999E-2</v>
      </c>
      <c r="F153">
        <v>1692673455</v>
      </c>
      <c r="G153">
        <v>1.2966999999999999E-2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0.83481969755719176</v>
      </c>
      <c r="Q153">
        <f t="shared" ref="Q153" si="741">F153*P153</f>
        <v>1413077141.766187</v>
      </c>
      <c r="R153">
        <f t="shared" ref="R153" si="742">R154+Q153</f>
        <v>-40536583902.031708</v>
      </c>
      <c r="S153">
        <f t="shared" ref="S153" si="743">R153/100000</f>
        <v>-405365.83902031707</v>
      </c>
      <c r="T153">
        <f t="shared" ref="T153" si="744">S153/1000</f>
        <v>-405.36583902031708</v>
      </c>
    </row>
    <row r="154" spans="1:20" x14ac:dyDescent="0.25">
      <c r="A154" s="5">
        <v>44439</v>
      </c>
      <c r="B154">
        <v>1.0572E-2</v>
      </c>
      <c r="C154">
        <v>1.112E-2</v>
      </c>
      <c r="D154">
        <v>1.0455000000000001E-2</v>
      </c>
      <c r="E154">
        <v>1.0841999999999999E-2</v>
      </c>
      <c r="F154">
        <v>425651454</v>
      </c>
      <c r="G154">
        <v>1.0841999999999999E-2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0.16390977443608745</v>
      </c>
      <c r="Q154">
        <f t="shared" ref="Q154" si="746">F154*P154</f>
        <v>69768433.81353265</v>
      </c>
      <c r="R154">
        <f t="shared" ref="R154" si="747">R155+Q154</f>
        <v>-41949661043.797897</v>
      </c>
      <c r="S154">
        <f t="shared" ref="S154" si="748">R154/100000</f>
        <v>-419496.61043797899</v>
      </c>
      <c r="T154">
        <f t="shared" ref="T154" si="749">S154/1000</f>
        <v>-419.49661043797897</v>
      </c>
    </row>
    <row r="155" spans="1:20" x14ac:dyDescent="0.25">
      <c r="A155" s="5">
        <v>44438</v>
      </c>
      <c r="B155">
        <v>1.1273999999999999E-2</v>
      </c>
      <c r="C155">
        <v>1.1480000000000001E-2</v>
      </c>
      <c r="D155">
        <v>1.0500000000000001E-2</v>
      </c>
      <c r="E155">
        <v>1.0577E-2</v>
      </c>
      <c r="F155">
        <v>383340294</v>
      </c>
      <c r="G155">
        <v>1.0577E-2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-0.84285714285714497</v>
      </c>
      <c r="Q155">
        <f t="shared" ref="Q155" si="751">F155*P155</f>
        <v>-323101104.94285798</v>
      </c>
      <c r="R155">
        <f t="shared" ref="R155" si="752">R156+Q155</f>
        <v>-42019429477.611427</v>
      </c>
      <c r="S155">
        <f t="shared" ref="S155" si="753">R155/100000</f>
        <v>-420194.29477611429</v>
      </c>
      <c r="T155">
        <f t="shared" ref="T155" si="754">S155/1000</f>
        <v>-420.1942947761143</v>
      </c>
    </row>
    <row r="156" spans="1:20" x14ac:dyDescent="0.25">
      <c r="A156" s="5">
        <v>44437</v>
      </c>
      <c r="B156">
        <v>1.1254999999999999E-2</v>
      </c>
      <c r="C156">
        <v>1.1508000000000001E-2</v>
      </c>
      <c r="D156">
        <v>1.0999999999999999E-2</v>
      </c>
      <c r="E156">
        <v>1.1261E-2</v>
      </c>
      <c r="F156">
        <v>281469763</v>
      </c>
      <c r="G156">
        <v>1.1261E-2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2.7559055118110399E-2</v>
      </c>
      <c r="Q156">
        <f t="shared" ref="Q156" si="756">F156*P156</f>
        <v>7757040.712598471</v>
      </c>
      <c r="R156">
        <f t="shared" ref="R156" si="757">R157+Q156</f>
        <v>-41696328372.668571</v>
      </c>
      <c r="S156">
        <f t="shared" ref="S156" si="758">R156/100000</f>
        <v>-416963.28372668574</v>
      </c>
      <c r="T156">
        <f t="shared" ref="T156" si="759">S156/1000</f>
        <v>-416.96328372668575</v>
      </c>
    </row>
    <row r="157" spans="1:20" x14ac:dyDescent="0.25">
      <c r="A157" s="5">
        <v>44436</v>
      </c>
      <c r="B157">
        <v>1.1729E-2</v>
      </c>
      <c r="C157">
        <v>1.1790999999999999E-2</v>
      </c>
      <c r="D157">
        <v>1.1140000000000001E-2</v>
      </c>
      <c r="E157">
        <v>1.1247E-2</v>
      </c>
      <c r="F157">
        <v>232372086</v>
      </c>
      <c r="G157">
        <v>1.1247E-2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-0.6712749615975433</v>
      </c>
      <c r="Q157">
        <f t="shared" ref="Q157" si="761">F157*P157</f>
        <v>-155985563.10599104</v>
      </c>
      <c r="R157">
        <f t="shared" ref="R157" si="762">R158+Q157</f>
        <v>-41704085413.381172</v>
      </c>
      <c r="S157">
        <f t="shared" ref="S157" si="763">R157/100000</f>
        <v>-417040.85413381172</v>
      </c>
      <c r="T157">
        <f t="shared" ref="T157" si="764">S157/1000</f>
        <v>-417.04085413381171</v>
      </c>
    </row>
    <row r="158" spans="1:20" x14ac:dyDescent="0.25">
      <c r="A158" s="5">
        <v>44435</v>
      </c>
      <c r="B158">
        <v>1.1062000000000001E-2</v>
      </c>
      <c r="C158">
        <v>1.1916E-2</v>
      </c>
      <c r="D158">
        <v>1.0763E-2</v>
      </c>
      <c r="E158">
        <v>1.1729E-2</v>
      </c>
      <c r="F158">
        <v>627797676</v>
      </c>
      <c r="G158">
        <v>1.1729E-2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0.67562879444926327</v>
      </c>
      <c r="Q158">
        <f t="shared" ref="Q158" si="766">F158*P158</f>
        <v>424158186.99392921</v>
      </c>
      <c r="R158">
        <f t="shared" ref="R158" si="767">R159+Q158</f>
        <v>-41548099850.275185</v>
      </c>
      <c r="S158">
        <f t="shared" ref="S158" si="768">R158/100000</f>
        <v>-415480.99850275187</v>
      </c>
      <c r="T158">
        <f t="shared" ref="T158" si="769">S158/1000</f>
        <v>-415.48099850275185</v>
      </c>
    </row>
    <row r="159" spans="1:20" x14ac:dyDescent="0.25">
      <c r="A159" s="5">
        <v>44434</v>
      </c>
      <c r="B159">
        <v>1.2034E-2</v>
      </c>
      <c r="C159">
        <v>1.2114E-2</v>
      </c>
      <c r="D159">
        <v>1.0992999999999999E-2</v>
      </c>
      <c r="E159">
        <v>1.106E-2</v>
      </c>
      <c r="F159">
        <v>887483490</v>
      </c>
      <c r="G159">
        <v>1.106E-2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-0.880463871543263</v>
      </c>
      <c r="Q159">
        <f t="shared" ref="Q159" si="771">F159*P159</f>
        <v>-781397149.53612673</v>
      </c>
      <c r="R159">
        <f t="shared" ref="R159" si="772">R160+Q159</f>
        <v>-41972258037.269112</v>
      </c>
      <c r="S159">
        <f t="shared" ref="S159" si="773">R159/100000</f>
        <v>-419722.5803726911</v>
      </c>
      <c r="T159">
        <f t="shared" ref="T159" si="774">S159/1000</f>
        <v>-419.72258037269108</v>
      </c>
    </row>
    <row r="160" spans="1:20" x14ac:dyDescent="0.25">
      <c r="A160" s="5">
        <v>44433</v>
      </c>
      <c r="B160">
        <v>1.1629E-2</v>
      </c>
      <c r="C160">
        <v>1.23E-2</v>
      </c>
      <c r="D160">
        <v>1.0655E-2</v>
      </c>
      <c r="E160">
        <v>1.2057999999999999E-2</v>
      </c>
      <c r="F160">
        <v>601501880</v>
      </c>
      <c r="G160">
        <v>1.2057999999999999E-2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0.70577507598784095</v>
      </c>
      <c r="Q160">
        <f t="shared" ref="Q160" si="776">F160*P160</f>
        <v>424525035.06382918</v>
      </c>
      <c r="R160">
        <f t="shared" ref="R160" si="777">R161+Q160</f>
        <v>-41190860887.732986</v>
      </c>
      <c r="S160">
        <f t="shared" ref="S160" si="778">R160/100000</f>
        <v>-411908.60887732985</v>
      </c>
      <c r="T160">
        <f t="shared" ref="T160" si="779">S160/1000</f>
        <v>-411.90860887732987</v>
      </c>
    </row>
    <row r="161" spans="1:20" x14ac:dyDescent="0.25">
      <c r="A161" s="5">
        <v>44432</v>
      </c>
      <c r="B161">
        <v>1.2794E-2</v>
      </c>
      <c r="C161">
        <v>1.3129999999999999E-2</v>
      </c>
      <c r="D161">
        <v>1.1245E-2</v>
      </c>
      <c r="E161">
        <v>1.1599E-2</v>
      </c>
      <c r="F161">
        <v>659640139</v>
      </c>
      <c r="G161">
        <v>1.1599E-2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-0.62440318302387243</v>
      </c>
      <c r="Q161">
        <f t="shared" ref="Q161" si="781">F161*P161</f>
        <v>-411881402.44190967</v>
      </c>
      <c r="R161">
        <f t="shared" ref="R161" si="782">R162+Q161</f>
        <v>-41615385922.796814</v>
      </c>
      <c r="S161">
        <f t="shared" ref="S161" si="783">R161/100000</f>
        <v>-416153.85922796815</v>
      </c>
      <c r="T161">
        <f t="shared" ref="T161" si="784">S161/1000</f>
        <v>-416.15385922796816</v>
      </c>
    </row>
    <row r="162" spans="1:20" x14ac:dyDescent="0.25">
      <c r="A162" s="5">
        <v>44431</v>
      </c>
      <c r="B162">
        <v>1.2779E-2</v>
      </c>
      <c r="C162">
        <v>1.3667E-2</v>
      </c>
      <c r="D162">
        <v>1.2602E-2</v>
      </c>
      <c r="E162">
        <v>1.2791E-2</v>
      </c>
      <c r="F162">
        <v>466809603</v>
      </c>
      <c r="G162">
        <v>1.2791E-2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-0.64507042253521141</v>
      </c>
      <c r="Q162">
        <f t="shared" ref="Q162" si="786">F162*P162</f>
        <v>-301125067.85070431</v>
      </c>
      <c r="R162">
        <f t="shared" ref="R162" si="787">R163+Q162</f>
        <v>-41203504520.354904</v>
      </c>
      <c r="S162">
        <f t="shared" ref="S162" si="788">R162/100000</f>
        <v>-412035.04520354903</v>
      </c>
      <c r="T162">
        <f t="shared" ref="T162" si="789">S162/1000</f>
        <v>-412.03504520354903</v>
      </c>
    </row>
    <row r="163" spans="1:20" x14ac:dyDescent="0.25">
      <c r="A163" s="5">
        <v>44430</v>
      </c>
      <c r="B163">
        <v>1.2973E-2</v>
      </c>
      <c r="C163">
        <v>1.3148E-2</v>
      </c>
      <c r="D163">
        <v>1.2943E-2</v>
      </c>
      <c r="E163">
        <v>1.3122999999999999E-2</v>
      </c>
      <c r="F163">
        <v>67247921</v>
      </c>
      <c r="G163">
        <v>1.3122999999999999E-2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0.7560975609756031</v>
      </c>
      <c r="Q163">
        <f t="shared" ref="Q163" si="791">F163*P163</f>
        <v>50845989.048780039</v>
      </c>
      <c r="R163">
        <f t="shared" ref="R163" si="792">R164+Q163</f>
        <v>-40902379452.504196</v>
      </c>
      <c r="S163">
        <f t="shared" ref="S163" si="793">R163/100000</f>
        <v>-409023.79452504194</v>
      </c>
      <c r="T163">
        <f t="shared" ref="T163" si="794">S163/1000</f>
        <v>-409.02379452504192</v>
      </c>
    </row>
    <row r="164" spans="1:20" x14ac:dyDescent="0.25">
      <c r="A164" s="5">
        <v>44429</v>
      </c>
      <c r="B164">
        <v>1.3703999999999999E-2</v>
      </c>
      <c r="C164">
        <v>1.3882E-2</v>
      </c>
      <c r="D164">
        <v>1.278E-2</v>
      </c>
      <c r="E164">
        <v>1.2985999999999999E-2</v>
      </c>
      <c r="F164">
        <v>516381250</v>
      </c>
      <c r="G164">
        <v>1.2985999999999999E-2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-0.62613430127041836</v>
      </c>
      <c r="Q164">
        <f t="shared" ref="Q164" si="796">F164*P164</f>
        <v>-323324013.15789521</v>
      </c>
      <c r="R164">
        <f t="shared" ref="R164" si="797">R165+Q164</f>
        <v>-40953225441.552979</v>
      </c>
      <c r="S164">
        <f t="shared" ref="S164" si="798">R164/100000</f>
        <v>-409532.25441552978</v>
      </c>
      <c r="T164">
        <f t="shared" ref="T164" si="799">S164/1000</f>
        <v>-409.53225441552979</v>
      </c>
    </row>
    <row r="165" spans="1:20" x14ac:dyDescent="0.25">
      <c r="A165" s="5">
        <v>44428</v>
      </c>
      <c r="B165">
        <v>1.3780000000000001E-2</v>
      </c>
      <c r="C165">
        <v>1.4381E-2</v>
      </c>
      <c r="D165">
        <v>1.3554E-2</v>
      </c>
      <c r="E165">
        <v>1.3705999999999999E-2</v>
      </c>
      <c r="F165">
        <v>634222369</v>
      </c>
      <c r="G165">
        <v>1.3705999999999999E-2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-0.632406287787184</v>
      </c>
      <c r="Q165">
        <f t="shared" ref="Q165" si="801">F165*P165</f>
        <v>-401086214.01088363</v>
      </c>
      <c r="R165">
        <f t="shared" ref="R165" si="802">R166+Q165</f>
        <v>-40629901428.395081</v>
      </c>
      <c r="S165">
        <f t="shared" ref="S165" si="803">R165/100000</f>
        <v>-406299.01428395079</v>
      </c>
      <c r="T165">
        <f t="shared" ref="T165" si="804">S165/1000</f>
        <v>-406.29901428395078</v>
      </c>
    </row>
    <row r="166" spans="1:20" x14ac:dyDescent="0.25">
      <c r="A166" s="5">
        <v>44427</v>
      </c>
      <c r="B166">
        <v>1.3233E-2</v>
      </c>
      <c r="C166">
        <v>1.4E-2</v>
      </c>
      <c r="D166">
        <v>1.2624E-2</v>
      </c>
      <c r="E166">
        <v>1.3780000000000001E-2</v>
      </c>
      <c r="F166">
        <v>811218491</v>
      </c>
      <c r="G166">
        <v>1.3780000000000001E-2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0.68023255813953543</v>
      </c>
      <c r="Q166">
        <f t="shared" ref="Q166" si="806">F166*P166</f>
        <v>551817229.34302366</v>
      </c>
      <c r="R166">
        <f t="shared" ref="R166" si="807">R167+Q166</f>
        <v>-40228815214.384193</v>
      </c>
      <c r="S166">
        <f t="shared" ref="S166" si="808">R166/100000</f>
        <v>-402288.15214384196</v>
      </c>
      <c r="T166">
        <f t="shared" ref="T166" si="809">S166/1000</f>
        <v>-402.28815214384196</v>
      </c>
    </row>
    <row r="167" spans="1:20" x14ac:dyDescent="0.25">
      <c r="A167" s="5">
        <v>44426</v>
      </c>
      <c r="B167">
        <v>1.2488000000000001E-2</v>
      </c>
      <c r="C167">
        <v>1.4282E-2</v>
      </c>
      <c r="D167">
        <v>1.2012E-2</v>
      </c>
      <c r="E167">
        <v>1.3195999999999999E-2</v>
      </c>
      <c r="F167">
        <v>927520406</v>
      </c>
      <c r="G167">
        <v>1.3195999999999999E-2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4.317180616740051E-2</v>
      </c>
      <c r="Q167">
        <f t="shared" ref="Q167" si="811">F167*P167</f>
        <v>40042731.184140623</v>
      </c>
      <c r="R167">
        <f t="shared" ref="R167" si="812">R168+Q167</f>
        <v>-40780632443.727219</v>
      </c>
      <c r="S167">
        <f t="shared" ref="S167" si="813">R167/100000</f>
        <v>-407806.32443727221</v>
      </c>
      <c r="T167">
        <f t="shared" ref="T167" si="814">S167/1000</f>
        <v>-407.80632443727222</v>
      </c>
    </row>
    <row r="168" spans="1:20" x14ac:dyDescent="0.25">
      <c r="A168" s="5">
        <v>44425</v>
      </c>
      <c r="B168">
        <v>1.3566E-2</v>
      </c>
      <c r="C168">
        <v>1.5100000000000001E-2</v>
      </c>
      <c r="D168">
        <v>1.2296E-2</v>
      </c>
      <c r="E168">
        <v>1.2488000000000001E-2</v>
      </c>
      <c r="F168">
        <v>1420992392</v>
      </c>
      <c r="G168">
        <v>1.2488000000000001E-2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-0.86305278174037015</v>
      </c>
      <c r="Q168">
        <f t="shared" ref="Q168" si="816">F168*P168</f>
        <v>-1226391436.7475026</v>
      </c>
      <c r="R168">
        <f t="shared" ref="R168" si="817">R169+Q168</f>
        <v>-40820675174.911362</v>
      </c>
      <c r="S168">
        <f t="shared" ref="S168" si="818">R168/100000</f>
        <v>-408206.75174911361</v>
      </c>
      <c r="T168">
        <f t="shared" ref="T168" si="819">S168/1000</f>
        <v>-408.20675174911361</v>
      </c>
    </row>
    <row r="169" spans="1:20" x14ac:dyDescent="0.25">
      <c r="A169" s="5">
        <v>44424</v>
      </c>
      <c r="B169">
        <v>1.5084E-2</v>
      </c>
      <c r="C169">
        <v>1.6705000000000001E-2</v>
      </c>
      <c r="D169">
        <v>1.3339999999999999E-2</v>
      </c>
      <c r="E169">
        <v>1.3568999999999999E-2</v>
      </c>
      <c r="F169">
        <v>2688220020</v>
      </c>
      <c r="G169">
        <v>1.3568999999999999E-2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-0.86389301634472515</v>
      </c>
      <c r="Q169">
        <f t="shared" ref="Q169" si="821">F169*P169</f>
        <v>-2322334501.6760774</v>
      </c>
      <c r="R169">
        <f t="shared" ref="R169" si="822">R170+Q169</f>
        <v>-39594283738.163857</v>
      </c>
      <c r="S169">
        <f t="shared" ref="S169" si="823">R169/100000</f>
        <v>-395942.83738163859</v>
      </c>
      <c r="T169">
        <f t="shared" ref="T169" si="824">S169/1000</f>
        <v>-395.94283738163858</v>
      </c>
    </row>
    <row r="170" spans="1:20" x14ac:dyDescent="0.25">
      <c r="A170" s="5">
        <v>44423</v>
      </c>
      <c r="B170">
        <v>1.2321E-2</v>
      </c>
      <c r="C170">
        <v>1.7166000000000001E-2</v>
      </c>
      <c r="D170">
        <v>1.21E-2</v>
      </c>
      <c r="E170">
        <v>1.5087E-2</v>
      </c>
      <c r="F170">
        <v>5290684807</v>
      </c>
      <c r="G170">
        <v>1.5087E-2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0.17923410975128284</v>
      </c>
      <c r="Q170">
        <f t="shared" ref="Q170" si="826">F170*P170</f>
        <v>948271181.35728264</v>
      </c>
      <c r="R170">
        <f t="shared" ref="R170" si="827">R171+Q170</f>
        <v>-37271949236.487778</v>
      </c>
      <c r="S170">
        <f t="shared" ref="S170" si="828">R170/100000</f>
        <v>-372719.49236487778</v>
      </c>
      <c r="T170">
        <f t="shared" ref="T170" si="829">S170/1000</f>
        <v>-372.71949236487779</v>
      </c>
    </row>
    <row r="171" spans="1:20" x14ac:dyDescent="0.25">
      <c r="A171" s="5">
        <v>44422</v>
      </c>
      <c r="B171">
        <v>1.0595E-2</v>
      </c>
      <c r="C171">
        <v>1.3076000000000001E-2</v>
      </c>
      <c r="D171">
        <v>1.0314E-2</v>
      </c>
      <c r="E171">
        <v>1.2312999999999999E-2</v>
      </c>
      <c r="F171">
        <v>1896456479</v>
      </c>
      <c r="G171">
        <v>1.2312999999999999E-2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0.44750181028240305</v>
      </c>
      <c r="Q171">
        <f t="shared" ref="Q171" si="831">F171*P171</f>
        <v>848667707.47429204</v>
      </c>
      <c r="R171">
        <f t="shared" ref="R171" si="832">R172+Q171</f>
        <v>-38220220417.845062</v>
      </c>
      <c r="S171">
        <f t="shared" ref="S171" si="833">R171/100000</f>
        <v>-382202.20417845063</v>
      </c>
      <c r="T171">
        <f t="shared" ref="T171" si="834">S171/1000</f>
        <v>-382.20220417845064</v>
      </c>
    </row>
    <row r="172" spans="1:20" x14ac:dyDescent="0.25">
      <c r="A172" s="5">
        <v>44421</v>
      </c>
      <c r="B172">
        <v>9.6670000000000002E-3</v>
      </c>
      <c r="C172">
        <v>1.0999999999999999E-2</v>
      </c>
      <c r="D172">
        <v>9.4619999999999999E-3</v>
      </c>
      <c r="E172">
        <v>1.0574999999999999E-2</v>
      </c>
      <c r="F172">
        <v>1019275032</v>
      </c>
      <c r="G172">
        <v>1.0574999999999999E-2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0.44733420026007781</v>
      </c>
      <c r="Q172">
        <f t="shared" ref="Q172" si="836">F172*P172</f>
        <v>455956581.28478521</v>
      </c>
      <c r="R172">
        <f t="shared" ref="R172" si="837">R173+Q172</f>
        <v>-39068888125.319351</v>
      </c>
      <c r="S172">
        <f t="shared" ref="S172" si="838">R172/100000</f>
        <v>-390688.88125319354</v>
      </c>
      <c r="T172">
        <f t="shared" ref="T172" si="839">S172/1000</f>
        <v>-390.68888125319353</v>
      </c>
    </row>
    <row r="173" spans="1:20" x14ac:dyDescent="0.25">
      <c r="A173" s="5">
        <v>44420</v>
      </c>
      <c r="B173">
        <v>9.6419999999999995E-3</v>
      </c>
      <c r="C173">
        <v>1.1615E-2</v>
      </c>
      <c r="D173">
        <v>8.9309999999999997E-3</v>
      </c>
      <c r="E173">
        <v>9.6819999999999996E-3</v>
      </c>
      <c r="F173">
        <v>2844717405</v>
      </c>
      <c r="G173">
        <v>9.6819999999999996E-3</v>
      </c>
      <c r="L173" t="s">
        <v>8</v>
      </c>
      <c r="M173" t="s">
        <v>7</v>
      </c>
      <c r="N173" t="s">
        <v>8</v>
      </c>
      <c r="P173">
        <f t="shared" ref="P173" si="840">IF(C173=D173,0,((E173-D173)-(C173-E173))/(C173-D173))</f>
        <v>-0.44038748137108813</v>
      </c>
      <c r="Q173">
        <f t="shared" ref="Q173" si="841">F173*P173</f>
        <v>-1252777933.2004476</v>
      </c>
      <c r="R173">
        <f t="shared" ref="R173" si="842">R174+Q173</f>
        <v>-39524844706.604134</v>
      </c>
      <c r="S173">
        <f t="shared" ref="S173" si="843">R173/100000</f>
        <v>-395248.44706604135</v>
      </c>
      <c r="T173">
        <f t="shared" ref="T173" si="844">S173/1000</f>
        <v>-395.24844706604136</v>
      </c>
    </row>
    <row r="174" spans="1:20" x14ac:dyDescent="0.25">
      <c r="A174" s="5">
        <v>44419</v>
      </c>
      <c r="B174">
        <v>7.3660000000000002E-3</v>
      </c>
      <c r="C174">
        <v>1.1346999999999999E-2</v>
      </c>
      <c r="D174">
        <v>7.3249999999999999E-3</v>
      </c>
      <c r="E174">
        <v>9.6509999999999999E-3</v>
      </c>
      <c r="F174">
        <v>3432931891</v>
      </c>
      <c r="G174">
        <v>9.6509999999999999E-3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0.1566384883142716</v>
      </c>
      <c r="Q174">
        <f t="shared" ref="Q174" si="846">F174*P174</f>
        <v>537729261.89209378</v>
      </c>
      <c r="R174">
        <f t="shared" ref="R174" si="847">R175+Q174</f>
        <v>-38272066773.403687</v>
      </c>
      <c r="S174">
        <f t="shared" ref="S174" si="848">R174/100000</f>
        <v>-382720.66773403686</v>
      </c>
      <c r="T174">
        <f t="shared" ref="T174" si="849">S174/1000</f>
        <v>-382.72066773403685</v>
      </c>
    </row>
    <row r="175" spans="1:20" x14ac:dyDescent="0.25">
      <c r="A175" s="5">
        <v>44418</v>
      </c>
      <c r="B175">
        <v>7.3410000000000003E-3</v>
      </c>
      <c r="C175">
        <v>7.4999999999999997E-3</v>
      </c>
      <c r="D175">
        <v>7.1440000000000002E-3</v>
      </c>
      <c r="E175">
        <v>7.3740000000000003E-3</v>
      </c>
      <c r="F175">
        <v>467007968</v>
      </c>
      <c r="G175">
        <v>7.3740000000000003E-3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0.29213483146067676</v>
      </c>
      <c r="Q175">
        <f t="shared" ref="Q175" si="851">F175*P175</f>
        <v>136429294.02247313</v>
      </c>
      <c r="R175">
        <f t="shared" ref="R175" si="852">R176+Q175</f>
        <v>-38809796035.295784</v>
      </c>
      <c r="S175">
        <f t="shared" ref="S175" si="853">R175/100000</f>
        <v>-388097.96035295783</v>
      </c>
      <c r="T175">
        <f t="shared" ref="T175" si="854">S175/1000</f>
        <v>-388.09796035295784</v>
      </c>
    </row>
    <row r="176" spans="1:20" x14ac:dyDescent="0.25">
      <c r="A176" s="5">
        <v>44417</v>
      </c>
      <c r="B176">
        <v>7.0540000000000004E-3</v>
      </c>
      <c r="C176">
        <v>7.5500000000000003E-3</v>
      </c>
      <c r="D176">
        <v>6.7949999999999998E-3</v>
      </c>
      <c r="E176">
        <v>7.3429999999999997E-3</v>
      </c>
      <c r="F176">
        <v>519839882</v>
      </c>
      <c r="G176">
        <v>7.3429999999999997E-3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0.45165562913907165</v>
      </c>
      <c r="Q176">
        <f t="shared" ref="Q176" si="856">F176*P176</f>
        <v>234788608.95629075</v>
      </c>
      <c r="R176">
        <f t="shared" ref="R176" si="857">R177+Q176</f>
        <v>-38946225329.31826</v>
      </c>
      <c r="S176">
        <f t="shared" ref="S176" si="858">R176/100000</f>
        <v>-389462.25329318258</v>
      </c>
      <c r="T176">
        <f t="shared" ref="T176" si="859">S176/1000</f>
        <v>-389.46225329318258</v>
      </c>
    </row>
    <row r="177" spans="1:20" x14ac:dyDescent="0.25">
      <c r="A177" s="5">
        <v>44416</v>
      </c>
      <c r="B177">
        <v>7.1440000000000002E-3</v>
      </c>
      <c r="C177">
        <v>7.7499999999999999E-3</v>
      </c>
      <c r="D177">
        <v>6.8440000000000003E-3</v>
      </c>
      <c r="E177">
        <v>7.0520000000000001E-3</v>
      </c>
      <c r="F177">
        <v>879750871</v>
      </c>
      <c r="G177">
        <v>7.0520000000000001E-3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-0.54083885209713045</v>
      </c>
      <c r="Q177">
        <f t="shared" ref="Q177" si="861">F177*P177</f>
        <v>-475803451.20309067</v>
      </c>
      <c r="R177">
        <f t="shared" ref="R177" si="862">R178+Q177</f>
        <v>-39181013938.274551</v>
      </c>
      <c r="S177">
        <f t="shared" ref="S177" si="863">R177/100000</f>
        <v>-391810.13938274549</v>
      </c>
      <c r="T177">
        <f t="shared" ref="T177" si="864">S177/1000</f>
        <v>-391.81013938274549</v>
      </c>
    </row>
    <row r="178" spans="1:20" x14ac:dyDescent="0.25">
      <c r="A178" s="5">
        <v>44415</v>
      </c>
      <c r="B178">
        <v>6.7819999999999998E-3</v>
      </c>
      <c r="C178">
        <v>7.2830000000000004E-3</v>
      </c>
      <c r="D178">
        <v>6.6E-3</v>
      </c>
      <c r="E178">
        <v>7.1370000000000001E-3</v>
      </c>
      <c r="F178">
        <v>815427530</v>
      </c>
      <c r="G178">
        <v>7.1370000000000001E-3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0.57247437774524101</v>
      </c>
      <c r="Q178">
        <f t="shared" ref="Q178" si="866">F178*P178</f>
        <v>466811367.83308887</v>
      </c>
      <c r="R178">
        <f t="shared" ref="R178" si="867">R179+Q178</f>
        <v>-38705210487.071457</v>
      </c>
      <c r="S178">
        <f t="shared" ref="S178" si="868">R178/100000</f>
        <v>-387052.1048707146</v>
      </c>
      <c r="T178">
        <f t="shared" ref="T178" si="869">S178/1000</f>
        <v>-387.05210487071457</v>
      </c>
    </row>
    <row r="179" spans="1:20" x14ac:dyDescent="0.25">
      <c r="A179" s="5">
        <v>44414</v>
      </c>
      <c r="B179">
        <v>6.4190000000000002E-3</v>
      </c>
      <c r="C179">
        <v>6.8110000000000002E-3</v>
      </c>
      <c r="D179">
        <v>6.3E-3</v>
      </c>
      <c r="E179">
        <v>6.7780000000000002E-3</v>
      </c>
      <c r="F179">
        <v>632794507</v>
      </c>
      <c r="G179">
        <v>6.7780000000000002E-3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0.87084148727984334</v>
      </c>
      <c r="Q179">
        <f t="shared" ref="Q179" si="871">F179*P179</f>
        <v>551063709.61839521</v>
      </c>
      <c r="R179">
        <f t="shared" ref="R179" si="872">R180+Q179</f>
        <v>-39172021854.904549</v>
      </c>
      <c r="S179">
        <f t="shared" ref="S179" si="873">R179/100000</f>
        <v>-391720.2185490455</v>
      </c>
      <c r="T179">
        <f t="shared" ref="T179" si="874">S179/1000</f>
        <v>-391.72021854904551</v>
      </c>
    </row>
    <row r="180" spans="1:20" x14ac:dyDescent="0.25">
      <c r="A180" s="5">
        <v>44413</v>
      </c>
      <c r="B180">
        <v>6.3480000000000003E-3</v>
      </c>
      <c r="C180">
        <v>6.6E-3</v>
      </c>
      <c r="D180">
        <v>6.1000000000000004E-3</v>
      </c>
      <c r="E180">
        <v>6.417E-3</v>
      </c>
      <c r="F180">
        <v>438063646</v>
      </c>
      <c r="G180">
        <v>6.417E-3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0.26799999999999935</v>
      </c>
      <c r="Q180">
        <f t="shared" ref="Q180" si="876">F180*P180</f>
        <v>117401057.12799971</v>
      </c>
      <c r="R180">
        <f t="shared" ref="R180" si="877">R181+Q180</f>
        <v>-39723085564.522942</v>
      </c>
      <c r="S180">
        <f t="shared" ref="S180" si="878">R180/100000</f>
        <v>-397230.8556452294</v>
      </c>
      <c r="T180">
        <f t="shared" ref="T180" si="879">S180/1000</f>
        <v>-397.23085564522938</v>
      </c>
    </row>
    <row r="181" spans="1:20" x14ac:dyDescent="0.25">
      <c r="A181" s="5">
        <v>44412</v>
      </c>
      <c r="B181">
        <v>6.1060000000000003E-3</v>
      </c>
      <c r="C181">
        <v>6.7000000000000002E-3</v>
      </c>
      <c r="D181">
        <v>5.9979999999999999E-3</v>
      </c>
      <c r="E181">
        <v>6.3509999999999999E-3</v>
      </c>
      <c r="F181">
        <v>443472441</v>
      </c>
      <c r="G181">
        <v>6.3509999999999999E-3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5.698005698005216E-3</v>
      </c>
      <c r="Q181">
        <f t="shared" ref="Q181" si="881">F181*P181</f>
        <v>2526908.4957262818</v>
      </c>
      <c r="R181">
        <f t="shared" ref="R181" si="882">R182+Q181</f>
        <v>-39840486621.65094</v>
      </c>
      <c r="S181">
        <f t="shared" ref="S181" si="883">R181/100000</f>
        <v>-398404.86621650943</v>
      </c>
      <c r="T181">
        <f t="shared" ref="T181" si="884">S181/1000</f>
        <v>-398.40486621650945</v>
      </c>
    </row>
    <row r="182" spans="1:20" x14ac:dyDescent="0.25">
      <c r="A182" s="5">
        <v>44411</v>
      </c>
      <c r="B182">
        <v>6.2269999999999999E-3</v>
      </c>
      <c r="C182">
        <v>6.28E-3</v>
      </c>
      <c r="D182">
        <v>5.9709999999999997E-3</v>
      </c>
      <c r="E182">
        <v>6.1029999999999999E-3</v>
      </c>
      <c r="F182">
        <v>236954867</v>
      </c>
      <c r="G182">
        <v>6.1029999999999999E-3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-0.14563106796116462</v>
      </c>
      <c r="Q182">
        <f t="shared" ref="Q182" si="886">F182*P182</f>
        <v>-34507990.339805722</v>
      </c>
      <c r="R182">
        <f t="shared" ref="R182" si="887">R183+Q182</f>
        <v>-39843013530.146667</v>
      </c>
      <c r="S182">
        <f t="shared" ref="S182" si="888">R182/100000</f>
        <v>-398430.13530146668</v>
      </c>
      <c r="T182">
        <f t="shared" ref="T182" si="889">S182/1000</f>
        <v>-398.43013530146669</v>
      </c>
    </row>
    <row r="183" spans="1:20" x14ac:dyDescent="0.25">
      <c r="A183" s="5">
        <v>44410</v>
      </c>
      <c r="B183">
        <v>6.313E-3</v>
      </c>
      <c r="C183">
        <v>6.4609999999999997E-3</v>
      </c>
      <c r="D183">
        <v>6.1089999999999998E-3</v>
      </c>
      <c r="E183">
        <v>6.215E-3</v>
      </c>
      <c r="F183">
        <v>312483899</v>
      </c>
      <c r="G183">
        <v>6.215E-3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-0.39772727272727143</v>
      </c>
      <c r="Q183">
        <f t="shared" ref="Q183" si="891">F183*P183</f>
        <v>-124283368.92045414</v>
      </c>
      <c r="R183">
        <f t="shared" ref="R183" si="892">R184+Q183</f>
        <v>-39808505539.806862</v>
      </c>
      <c r="S183">
        <f t="shared" ref="S183" si="893">R183/100000</f>
        <v>-398085.05539806862</v>
      </c>
      <c r="T183">
        <f t="shared" ref="T183" si="894">S183/1000</f>
        <v>-398.08505539806862</v>
      </c>
    </row>
    <row r="184" spans="1:20" x14ac:dyDescent="0.25">
      <c r="A184" s="5">
        <v>44409</v>
      </c>
      <c r="B184">
        <v>6.6829999999999997E-3</v>
      </c>
      <c r="C184">
        <v>6.7920000000000003E-3</v>
      </c>
      <c r="D184">
        <v>6.2160000000000002E-3</v>
      </c>
      <c r="E184">
        <v>6.3150000000000003E-3</v>
      </c>
      <c r="F184">
        <v>382616551</v>
      </c>
      <c r="G184">
        <v>6.3150000000000003E-3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-0.65624999999999967</v>
      </c>
      <c r="Q184">
        <f t="shared" ref="Q184" si="896">F184*P184</f>
        <v>-251092111.59374988</v>
      </c>
      <c r="R184">
        <f t="shared" ref="R184" si="897">R185+Q184</f>
        <v>-39684222170.886406</v>
      </c>
      <c r="S184">
        <f t="shared" ref="S184" si="898">R184/100000</f>
        <v>-396842.22170886403</v>
      </c>
      <c r="T184">
        <f t="shared" ref="T184" si="899">S184/1000</f>
        <v>-396.84222170886403</v>
      </c>
    </row>
    <row r="185" spans="1:20" x14ac:dyDescent="0.25">
      <c r="A185" s="5">
        <v>44408</v>
      </c>
      <c r="B185">
        <v>6.4489999999999999E-3</v>
      </c>
      <c r="C185">
        <v>6.7260000000000002E-3</v>
      </c>
      <c r="D185">
        <v>6.3429999999999997E-3</v>
      </c>
      <c r="E185">
        <v>6.6740000000000002E-3</v>
      </c>
      <c r="F185">
        <v>282560545</v>
      </c>
      <c r="G185">
        <v>6.6740000000000002E-3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0.72845953002611019</v>
      </c>
      <c r="Q185">
        <f t="shared" ref="Q185" si="901">F185*P185</f>
        <v>205833921.81462157</v>
      </c>
      <c r="R185">
        <f t="shared" ref="R185" si="902">R186+Q185</f>
        <v>-39433130059.292656</v>
      </c>
      <c r="S185">
        <f t="shared" ref="S185" si="903">R185/100000</f>
        <v>-394331.30059292656</v>
      </c>
      <c r="T185">
        <f t="shared" ref="T185" si="904">S185/1000</f>
        <v>-394.33130059292654</v>
      </c>
    </row>
    <row r="186" spans="1:20" x14ac:dyDescent="0.25">
      <c r="A186" s="5">
        <v>44407</v>
      </c>
      <c r="B186">
        <v>6.2389999999999998E-3</v>
      </c>
      <c r="C186">
        <v>6.4799999999999996E-3</v>
      </c>
      <c r="D186">
        <v>6.1110000000000001E-3</v>
      </c>
      <c r="E186">
        <v>6.4479999999999997E-3</v>
      </c>
      <c r="F186">
        <v>303191724</v>
      </c>
      <c r="G186">
        <v>6.4479999999999997E-3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0.8265582655826561</v>
      </c>
      <c r="Q186">
        <f t="shared" ref="Q186" si="906">F186*P186</f>
        <v>250605625.52845538</v>
      </c>
      <c r="R186">
        <f t="shared" ref="R186" si="907">R187+Q186</f>
        <v>-39638963981.107277</v>
      </c>
      <c r="S186">
        <f t="shared" ref="S186" si="908">R186/100000</f>
        <v>-396389.63981107279</v>
      </c>
      <c r="T186">
        <f t="shared" ref="T186" si="909">S186/1000</f>
        <v>-396.38963981107281</v>
      </c>
    </row>
    <row r="187" spans="1:20" x14ac:dyDescent="0.25">
      <c r="A187" s="5">
        <v>44406</v>
      </c>
      <c r="B187">
        <v>6.3290000000000004E-3</v>
      </c>
      <c r="C187">
        <v>6.3600000000000002E-3</v>
      </c>
      <c r="D187">
        <v>6.1640000000000002E-3</v>
      </c>
      <c r="E187">
        <v>6.2290000000000002E-3</v>
      </c>
      <c r="F187">
        <v>202740290</v>
      </c>
      <c r="G187">
        <v>6.2290000000000002E-3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-0.33673469387755145</v>
      </c>
      <c r="Q187">
        <f t="shared" ref="Q187" si="911">F187*P187</f>
        <v>-68269689.489796013</v>
      </c>
      <c r="R187">
        <f t="shared" ref="R187" si="912">R188+Q187</f>
        <v>-39889569606.635735</v>
      </c>
      <c r="S187">
        <f t="shared" ref="S187" si="913">R187/100000</f>
        <v>-398895.69606635737</v>
      </c>
      <c r="T187">
        <f t="shared" ref="T187" si="914">S187/1000</f>
        <v>-398.89569606635735</v>
      </c>
    </row>
    <row r="188" spans="1:20" x14ac:dyDescent="0.25">
      <c r="A188" s="5">
        <v>44405</v>
      </c>
      <c r="B188">
        <v>6.3619999999999996E-3</v>
      </c>
      <c r="C188">
        <v>6.5729999999999998E-3</v>
      </c>
      <c r="D188">
        <v>6.2119999999999996E-3</v>
      </c>
      <c r="E188">
        <v>6.3239999999999998E-3</v>
      </c>
      <c r="F188">
        <v>344424789</v>
      </c>
      <c r="G188">
        <v>6.3239999999999998E-3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-0.37950138504155095</v>
      </c>
      <c r="Q188">
        <f t="shared" ref="Q188" si="916">F188*P188</f>
        <v>-130709684.46814394</v>
      </c>
      <c r="R188">
        <f t="shared" ref="R188" si="917">R189+Q188</f>
        <v>-39821299917.145935</v>
      </c>
      <c r="S188">
        <f t="shared" ref="S188" si="918">R188/100000</f>
        <v>-398212.99917145935</v>
      </c>
      <c r="T188">
        <f t="shared" ref="T188" si="919">S188/1000</f>
        <v>-398.21299917145933</v>
      </c>
    </row>
    <row r="189" spans="1:20" x14ac:dyDescent="0.25">
      <c r="A189" s="5">
        <v>44404</v>
      </c>
      <c r="B189">
        <v>6.2550000000000001E-3</v>
      </c>
      <c r="C189">
        <v>6.6E-3</v>
      </c>
      <c r="D189">
        <v>5.8079999999999998E-3</v>
      </c>
      <c r="E189">
        <v>6.3619999999999996E-3</v>
      </c>
      <c r="F189">
        <v>726257207</v>
      </c>
      <c r="G189">
        <v>6.3619999999999996E-3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0.39898989898989817</v>
      </c>
      <c r="Q189">
        <f t="shared" ref="Q189" si="921">F189*P189</f>
        <v>289769289.66161555</v>
      </c>
      <c r="R189">
        <f t="shared" ref="R189" si="922">R190+Q189</f>
        <v>-39690590232.677788</v>
      </c>
      <c r="S189">
        <f t="shared" ref="S189" si="923">R189/100000</f>
        <v>-396905.90232677787</v>
      </c>
      <c r="T189">
        <f t="shared" ref="T189" si="924">S189/1000</f>
        <v>-396.90590232677789</v>
      </c>
    </row>
    <row r="190" spans="1:20" x14ac:dyDescent="0.25">
      <c r="A190" s="5">
        <v>44403</v>
      </c>
      <c r="B190">
        <v>5.2379999999999996E-3</v>
      </c>
      <c r="C190">
        <v>6.9909999999999998E-3</v>
      </c>
      <c r="D190">
        <v>5.2069999999999998E-3</v>
      </c>
      <c r="E190">
        <v>6.2560000000000003E-3</v>
      </c>
      <c r="F190">
        <v>1502424042</v>
      </c>
      <c r="G190">
        <v>6.2560000000000003E-3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0.17600896860986598</v>
      </c>
      <c r="Q190">
        <f t="shared" ref="Q190" si="926">F190*P190</f>
        <v>264440106.04708597</v>
      </c>
      <c r="R190">
        <f t="shared" ref="R190" si="927">R191+Q190</f>
        <v>-39980359522.339401</v>
      </c>
      <c r="S190">
        <f t="shared" ref="S190" si="928">R190/100000</f>
        <v>-399803.59522339399</v>
      </c>
      <c r="T190">
        <f t="shared" ref="T190" si="929">S190/1000</f>
        <v>-399.80359522339398</v>
      </c>
    </row>
    <row r="191" spans="1:20" x14ac:dyDescent="0.25">
      <c r="A191" s="5">
        <v>44402</v>
      </c>
      <c r="B191">
        <v>5.2230000000000002E-3</v>
      </c>
      <c r="C191">
        <v>5.2389999999999997E-3</v>
      </c>
      <c r="D191">
        <v>5.0270000000000002E-3</v>
      </c>
      <c r="E191">
        <v>5.2339999999999999E-3</v>
      </c>
      <c r="F191">
        <v>252428664</v>
      </c>
      <c r="G191">
        <v>5.2339999999999999E-3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0.95283018867924707</v>
      </c>
      <c r="Q191">
        <f t="shared" ref="Q191" si="931">F191*P191</f>
        <v>240521651.54717025</v>
      </c>
      <c r="R191">
        <f t="shared" ref="R191" si="932">R192+Q191</f>
        <v>-40244799628.38649</v>
      </c>
      <c r="S191">
        <f t="shared" ref="S191" si="933">R191/100000</f>
        <v>-402447.99628386489</v>
      </c>
      <c r="T191">
        <f t="shared" ref="T191:T197" si="934">S191/1000</f>
        <v>-402.44799628386488</v>
      </c>
    </row>
    <row r="192" spans="1:20" x14ac:dyDescent="0.25">
      <c r="A192" s="5">
        <v>44401</v>
      </c>
      <c r="B192">
        <v>5.0610000000000004E-3</v>
      </c>
      <c r="C192">
        <v>5.4920000000000004E-3</v>
      </c>
      <c r="D192">
        <v>4.9800000000000001E-3</v>
      </c>
      <c r="E192">
        <v>5.2259999999999997E-3</v>
      </c>
      <c r="F192">
        <v>455934835</v>
      </c>
      <c r="G192">
        <v>5.2259999999999997E-3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-3.9062500000001776E-2</v>
      </c>
      <c r="Q192">
        <f t="shared" ref="Q192" si="936">F192*P192</f>
        <v>-17809954.492188308</v>
      </c>
      <c r="R192">
        <f t="shared" ref="R192" si="937">R193+Q192</f>
        <v>-40485321279.933662</v>
      </c>
      <c r="S192">
        <f t="shared" ref="S192" si="938">R192/100000</f>
        <v>-404853.21279933664</v>
      </c>
      <c r="T192">
        <f t="shared" si="934"/>
        <v>-404.85321279933663</v>
      </c>
    </row>
    <row r="193" spans="1:20" x14ac:dyDescent="0.25">
      <c r="A193" s="5">
        <v>44400</v>
      </c>
      <c r="B193">
        <v>4.9249999999999997E-3</v>
      </c>
      <c r="C193">
        <v>5.0619999999999997E-3</v>
      </c>
      <c r="D193">
        <v>4.7730000000000003E-3</v>
      </c>
      <c r="E193">
        <v>5.0590000000000001E-3</v>
      </c>
      <c r="F193">
        <v>265671915</v>
      </c>
      <c r="G193">
        <v>5.0590000000000001E-3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0.97923875432526275</v>
      </c>
      <c r="Q193">
        <f t="shared" ref="Q193" si="940">F193*P193</f>
        <v>260156235.10380709</v>
      </c>
      <c r="R193">
        <f t="shared" ref="R193" si="941">R194+Q193</f>
        <v>-40467511325.441475</v>
      </c>
      <c r="S193">
        <f t="shared" ref="S193" si="942">R193/100000</f>
        <v>-404675.11325441475</v>
      </c>
      <c r="T193">
        <f t="shared" si="934"/>
        <v>-404.67511325441478</v>
      </c>
    </row>
    <row r="194" spans="1:20" x14ac:dyDescent="0.25">
      <c r="A194" s="5">
        <v>44399</v>
      </c>
      <c r="B194">
        <v>4.921E-3</v>
      </c>
      <c r="C194">
        <v>5.1419999999999999E-3</v>
      </c>
      <c r="D194">
        <v>4.8339999999999998E-3</v>
      </c>
      <c r="E194">
        <v>4.9230000000000003E-3</v>
      </c>
      <c r="F194">
        <v>287977437</v>
      </c>
      <c r="G194">
        <v>4.9230000000000003E-3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-0.42207792207791883</v>
      </c>
      <c r="Q194">
        <f t="shared" ref="Q194" si="944">F194*P194</f>
        <v>-121548918.21428478</v>
      </c>
      <c r="R194">
        <f t="shared" ref="R194" si="945">R195+Q194</f>
        <v>-40727667560.54528</v>
      </c>
      <c r="S194">
        <f t="shared" ref="S194" si="946">R194/100000</f>
        <v>-407276.67560545279</v>
      </c>
      <c r="T194">
        <f t="shared" si="934"/>
        <v>-407.27667560545279</v>
      </c>
    </row>
    <row r="195" spans="1:20" x14ac:dyDescent="0.25">
      <c r="A195" s="5">
        <v>44398</v>
      </c>
      <c r="B195">
        <v>4.3740000000000003E-3</v>
      </c>
      <c r="C195">
        <v>5.0990000000000002E-3</v>
      </c>
      <c r="D195">
        <v>4.3E-3</v>
      </c>
      <c r="E195">
        <v>4.9189999999999998E-3</v>
      </c>
      <c r="F195">
        <v>426978281</v>
      </c>
      <c r="G195">
        <v>4.9189999999999998E-3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0.54943679599499273</v>
      </c>
      <c r="Q195">
        <f t="shared" ref="Q195" si="948">F195*P195</f>
        <v>234597578.6720897</v>
      </c>
      <c r="R195">
        <f t="shared" ref="R195" si="949">R196+Q195</f>
        <v>-40606118642.330994</v>
      </c>
      <c r="S195">
        <f t="shared" ref="S195" si="950">R195/100000</f>
        <v>-406061.18642330996</v>
      </c>
      <c r="T195">
        <f t="shared" si="934"/>
        <v>-406.06118642330995</v>
      </c>
    </row>
    <row r="196" spans="1:20" x14ac:dyDescent="0.25">
      <c r="A196" s="5">
        <v>44397</v>
      </c>
      <c r="B196">
        <v>4.7229999999999998E-3</v>
      </c>
      <c r="C196">
        <v>4.7710000000000001E-3</v>
      </c>
      <c r="D196">
        <v>4.2519999999999997E-3</v>
      </c>
      <c r="E196">
        <v>4.3730000000000002E-3</v>
      </c>
      <c r="F196">
        <v>335219031</v>
      </c>
      <c r="G196">
        <v>4.3730000000000002E-3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-0.53371868978805259</v>
      </c>
      <c r="Q196">
        <f t="shared" ref="Q196" si="952">F196*P196</f>
        <v>-178912662.01734057</v>
      </c>
      <c r="R196">
        <f t="shared" ref="R196" si="953">R197+Q196</f>
        <v>-40840716221.003082</v>
      </c>
      <c r="S196">
        <f t="shared" ref="S196" si="954">R196/100000</f>
        <v>-408407.16221003083</v>
      </c>
      <c r="T196">
        <f t="shared" si="934"/>
        <v>-408.40716221003083</v>
      </c>
    </row>
    <row r="197" spans="1:20" x14ac:dyDescent="0.25">
      <c r="A197" s="5">
        <v>44396</v>
      </c>
      <c r="B197">
        <v>5.1570000000000001E-3</v>
      </c>
      <c r="C197">
        <v>5.1700000000000001E-3</v>
      </c>
      <c r="D197">
        <v>4.7229999999999998E-3</v>
      </c>
      <c r="E197">
        <v>4.7229999999999998E-3</v>
      </c>
      <c r="F197">
        <v>269637509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-1</v>
      </c>
      <c r="Q197">
        <f t="shared" ref="Q197" si="956">F197*P197</f>
        <v>-269637509</v>
      </c>
      <c r="R197">
        <f t="shared" ref="R197" si="957">R198+Q197</f>
        <v>-40661803558.985741</v>
      </c>
      <c r="S197">
        <f t="shared" ref="S197" si="958">R197/100000</f>
        <v>-406618.03558985743</v>
      </c>
      <c r="T197">
        <f t="shared" si="934"/>
        <v>-406.61803558985741</v>
      </c>
    </row>
    <row r="198" spans="1:20" x14ac:dyDescent="0.25">
      <c r="A198" s="5">
        <v>44395</v>
      </c>
      <c r="B198">
        <v>5.1450000000000003E-3</v>
      </c>
      <c r="C198">
        <v>5.4019999999999997E-3</v>
      </c>
      <c r="D198">
        <v>5.1139999999999996E-3</v>
      </c>
      <c r="E198">
        <v>5.1650000000000003E-3</v>
      </c>
      <c r="F198">
        <v>192911573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-0.6458333333333286</v>
      </c>
      <c r="Q198">
        <f t="shared" ref="Q198:Q261" si="960">F198*P198</f>
        <v>-124588724.22916575</v>
      </c>
      <c r="R198">
        <f t="shared" ref="R198:R261" si="961">R199+Q198</f>
        <v>-40392166049.985741</v>
      </c>
      <c r="S198">
        <f t="shared" ref="S198:S261" si="962">R198/100000</f>
        <v>-403921.66049985739</v>
      </c>
      <c r="T198">
        <f t="shared" ref="T198:T261" si="963">S198/1000</f>
        <v>-403.92166049985741</v>
      </c>
    </row>
    <row r="199" spans="1:20" x14ac:dyDescent="0.25">
      <c r="A199" s="5">
        <v>44394</v>
      </c>
      <c r="B199">
        <v>5.2199999999999998E-3</v>
      </c>
      <c r="C199">
        <v>5.2729999999999999E-3</v>
      </c>
      <c r="D199">
        <v>4.9719999999999999E-3</v>
      </c>
      <c r="E199">
        <v>5.1489999999999999E-3</v>
      </c>
      <c r="F199">
        <v>268678627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0.1760797342192694</v>
      </c>
      <c r="Q199">
        <f t="shared" si="960"/>
        <v>47308861.232558221</v>
      </c>
      <c r="R199">
        <f t="shared" si="961"/>
        <v>-40267577325.756577</v>
      </c>
      <c r="S199">
        <f t="shared" si="962"/>
        <v>-402675.77325756574</v>
      </c>
      <c r="T199">
        <f t="shared" si="963"/>
        <v>-402.67577325756577</v>
      </c>
    </row>
    <row r="200" spans="1:20" x14ac:dyDescent="0.25">
      <c r="A200" s="5">
        <v>44393</v>
      </c>
      <c r="B200">
        <v>5.293E-3</v>
      </c>
      <c r="C200">
        <v>5.5909999999999996E-3</v>
      </c>
      <c r="D200">
        <v>5.215E-3</v>
      </c>
      <c r="E200">
        <v>5.2209999999999999E-3</v>
      </c>
      <c r="F200">
        <v>225885614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-0.96808510638297907</v>
      </c>
      <c r="Q200">
        <f t="shared" si="960"/>
        <v>-218676498.65957454</v>
      </c>
      <c r="R200">
        <f t="shared" si="961"/>
        <v>-40314886186.989136</v>
      </c>
      <c r="S200">
        <f t="shared" si="962"/>
        <v>-403148.86186989135</v>
      </c>
      <c r="T200">
        <f t="shared" si="963"/>
        <v>-403.14886186989133</v>
      </c>
    </row>
    <row r="201" spans="1:20" x14ac:dyDescent="0.25">
      <c r="A201" s="5">
        <v>44392</v>
      </c>
      <c r="B201">
        <v>5.5970000000000004E-3</v>
      </c>
      <c r="C201">
        <v>5.6940000000000003E-3</v>
      </c>
      <c r="D201">
        <v>5.2509999999999996E-3</v>
      </c>
      <c r="E201">
        <v>5.2890000000000003E-3</v>
      </c>
      <c r="F201">
        <v>227609326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-0.82844243792324768</v>
      </c>
      <c r="Q201">
        <f t="shared" si="960"/>
        <v>-188561224.92550725</v>
      </c>
      <c r="R201">
        <f t="shared" si="961"/>
        <v>-40096209688.329559</v>
      </c>
      <c r="S201">
        <f t="shared" si="962"/>
        <v>-400962.09688329557</v>
      </c>
      <c r="T201">
        <f t="shared" si="963"/>
        <v>-400.96209688329554</v>
      </c>
    </row>
    <row r="202" spans="1:20" x14ac:dyDescent="0.25">
      <c r="A202" s="5">
        <v>44391</v>
      </c>
      <c r="B202">
        <v>5.6119999999999998E-3</v>
      </c>
      <c r="C202">
        <v>5.6559999999999996E-3</v>
      </c>
      <c r="D202">
        <v>5.2509999999999996E-3</v>
      </c>
      <c r="E202">
        <v>5.5929999999999999E-3</v>
      </c>
      <c r="F202">
        <v>206516143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0.68888888888889044</v>
      </c>
      <c r="Q202">
        <f t="shared" si="960"/>
        <v>142266676.2888892</v>
      </c>
      <c r="R202">
        <f t="shared" si="961"/>
        <v>-39907648463.404053</v>
      </c>
      <c r="S202">
        <f t="shared" si="962"/>
        <v>-399076.48463404051</v>
      </c>
      <c r="T202">
        <f t="shared" si="963"/>
        <v>-399.07648463404053</v>
      </c>
    </row>
    <row r="203" spans="1:20" x14ac:dyDescent="0.25">
      <c r="A203" s="5">
        <v>44390</v>
      </c>
      <c r="B203">
        <v>5.7590000000000002E-3</v>
      </c>
      <c r="C203">
        <v>5.8320000000000004E-3</v>
      </c>
      <c r="D203">
        <v>5.5250000000000004E-3</v>
      </c>
      <c r="E203">
        <v>5.6179999999999997E-3</v>
      </c>
      <c r="F203">
        <v>223966361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-0.39413680781759386</v>
      </c>
      <c r="Q203">
        <f t="shared" si="960"/>
        <v>-88273386.583062842</v>
      </c>
      <c r="R203">
        <f t="shared" si="961"/>
        <v>-40049915139.69294</v>
      </c>
      <c r="S203">
        <f t="shared" si="962"/>
        <v>-400499.1513969294</v>
      </c>
      <c r="T203">
        <f t="shared" si="963"/>
        <v>-400.49915139692939</v>
      </c>
    </row>
    <row r="204" spans="1:20" x14ac:dyDescent="0.25">
      <c r="A204" s="5">
        <v>44389</v>
      </c>
      <c r="B204">
        <v>6.0910000000000001E-3</v>
      </c>
      <c r="C204">
        <v>6.2859999999999999E-3</v>
      </c>
      <c r="D204">
        <v>5.6639999999999998E-3</v>
      </c>
      <c r="E204">
        <v>5.7660000000000003E-3</v>
      </c>
      <c r="F204">
        <v>324048644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-0.6720257234726672</v>
      </c>
      <c r="Q204">
        <f t="shared" si="960"/>
        <v>-217769024.42443678</v>
      </c>
      <c r="R204">
        <f t="shared" si="961"/>
        <v>-39961641753.109879</v>
      </c>
      <c r="S204">
        <f t="shared" si="962"/>
        <v>-399616.41753109876</v>
      </c>
      <c r="T204">
        <f t="shared" si="963"/>
        <v>-399.61641753109876</v>
      </c>
    </row>
    <row r="205" spans="1:20" x14ac:dyDescent="0.25">
      <c r="A205" s="5">
        <v>44388</v>
      </c>
      <c r="B205">
        <v>6.1050000000000002E-3</v>
      </c>
      <c r="C205">
        <v>6.2049999999999996E-3</v>
      </c>
      <c r="D205">
        <v>6.0000000000000001E-3</v>
      </c>
      <c r="E205">
        <v>6.0889999999999998E-3</v>
      </c>
      <c r="F205">
        <v>144435183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-0.13170731707317165</v>
      </c>
      <c r="Q205">
        <f t="shared" si="960"/>
        <v>-19023170.443902571</v>
      </c>
      <c r="R205">
        <f t="shared" si="961"/>
        <v>-39743872728.68544</v>
      </c>
      <c r="S205">
        <f t="shared" si="962"/>
        <v>-397438.72728685441</v>
      </c>
      <c r="T205">
        <f t="shared" si="963"/>
        <v>-397.43872728685443</v>
      </c>
    </row>
    <row r="206" spans="1:20" x14ac:dyDescent="0.25">
      <c r="A206" s="5">
        <v>44387</v>
      </c>
      <c r="B206">
        <v>6.1250000000000002E-3</v>
      </c>
      <c r="C206">
        <v>6.3340000000000002E-3</v>
      </c>
      <c r="D206">
        <v>5.9820000000000003E-3</v>
      </c>
      <c r="E206">
        <v>6.1079999999999997E-3</v>
      </c>
      <c r="F206">
        <v>356860339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-0.28409090909091239</v>
      </c>
      <c r="Q206">
        <f t="shared" si="960"/>
        <v>-101380778.12500118</v>
      </c>
      <c r="R206">
        <f t="shared" si="961"/>
        <v>-39724849558.241539</v>
      </c>
      <c r="S206">
        <f t="shared" si="962"/>
        <v>-397248.49558241537</v>
      </c>
      <c r="T206">
        <f t="shared" si="963"/>
        <v>-397.24849558241539</v>
      </c>
    </row>
    <row r="207" spans="1:20" x14ac:dyDescent="0.25">
      <c r="A207" s="5">
        <v>44386</v>
      </c>
      <c r="B207">
        <v>6.0480000000000004E-3</v>
      </c>
      <c r="C207">
        <v>6.241E-3</v>
      </c>
      <c r="D207">
        <v>5.7759999999999999E-3</v>
      </c>
      <c r="E207">
        <v>6.1250000000000002E-3</v>
      </c>
      <c r="F207">
        <v>241625432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0.50107526881720532</v>
      </c>
      <c r="Q207">
        <f t="shared" si="960"/>
        <v>121072528.29247336</v>
      </c>
      <c r="R207">
        <f t="shared" si="961"/>
        <v>-39623468780.116539</v>
      </c>
      <c r="S207">
        <f t="shared" si="962"/>
        <v>-396234.68780116539</v>
      </c>
      <c r="T207">
        <f t="shared" si="963"/>
        <v>-396.23468780116536</v>
      </c>
    </row>
    <row r="208" spans="1:20" x14ac:dyDescent="0.25">
      <c r="A208" s="5">
        <v>44385</v>
      </c>
      <c r="B208">
        <v>6.5139999999999998E-3</v>
      </c>
      <c r="C208">
        <v>6.5789999999999998E-3</v>
      </c>
      <c r="D208">
        <v>5.9449999999999998E-3</v>
      </c>
      <c r="E208">
        <v>6.0499999999999998E-3</v>
      </c>
      <c r="F208">
        <v>391427287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-0.66876971608832791</v>
      </c>
      <c r="Q208">
        <f t="shared" si="960"/>
        <v>-261774715.59621444</v>
      </c>
      <c r="R208">
        <f t="shared" si="961"/>
        <v>-39744541308.409012</v>
      </c>
      <c r="S208">
        <f t="shared" si="962"/>
        <v>-397445.41308409011</v>
      </c>
      <c r="T208">
        <f t="shared" si="963"/>
        <v>-397.44541308409009</v>
      </c>
    </row>
    <row r="209" spans="1:20" x14ac:dyDescent="0.25">
      <c r="A209" s="5">
        <v>44384</v>
      </c>
      <c r="B209">
        <v>6.45E-3</v>
      </c>
      <c r="C209">
        <v>6.7510000000000001E-3</v>
      </c>
      <c r="D209">
        <v>6.3920000000000001E-3</v>
      </c>
      <c r="E209">
        <v>6.509E-3</v>
      </c>
      <c r="F209">
        <v>502509649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-0.34818941504178308</v>
      </c>
      <c r="Q209">
        <f t="shared" si="960"/>
        <v>-174968540.73816174</v>
      </c>
      <c r="R209">
        <f t="shared" si="961"/>
        <v>-39482766592.812798</v>
      </c>
      <c r="S209">
        <f t="shared" si="962"/>
        <v>-394827.665928128</v>
      </c>
      <c r="T209">
        <f t="shared" si="963"/>
        <v>-394.827665928128</v>
      </c>
    </row>
    <row r="210" spans="1:20" x14ac:dyDescent="0.25">
      <c r="A210" s="5">
        <v>44383</v>
      </c>
      <c r="B210">
        <v>6.4050000000000001E-3</v>
      </c>
      <c r="C210">
        <v>6.816E-3</v>
      </c>
      <c r="D210">
        <v>6.3800000000000003E-3</v>
      </c>
      <c r="E210">
        <v>6.4570000000000001E-3</v>
      </c>
      <c r="F210">
        <v>480784966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-0.64678899082568875</v>
      </c>
      <c r="Q210">
        <f t="shared" si="960"/>
        <v>-310966422.96330309</v>
      </c>
      <c r="R210">
        <f t="shared" si="961"/>
        <v>-39307798052.074638</v>
      </c>
      <c r="S210">
        <f t="shared" si="962"/>
        <v>-393077.98052074638</v>
      </c>
      <c r="T210">
        <f t="shared" si="963"/>
        <v>-393.07798052074639</v>
      </c>
    </row>
    <row r="211" spans="1:20" x14ac:dyDescent="0.25">
      <c r="A211" s="5">
        <v>44382</v>
      </c>
      <c r="B211">
        <v>6.6899999999999998E-3</v>
      </c>
      <c r="C211">
        <v>6.6899999999999998E-3</v>
      </c>
      <c r="D211">
        <v>6.3080000000000002E-3</v>
      </c>
      <c r="E211">
        <v>6.3920000000000001E-3</v>
      </c>
      <c r="F211">
        <v>296827129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-0.56020942408376972</v>
      </c>
      <c r="Q211">
        <f t="shared" si="960"/>
        <v>-166285354.98952883</v>
      </c>
      <c r="R211">
        <f t="shared" si="961"/>
        <v>-38996831629.111336</v>
      </c>
      <c r="S211">
        <f t="shared" si="962"/>
        <v>-389968.31629111338</v>
      </c>
      <c r="T211">
        <f t="shared" si="963"/>
        <v>-389.96831629111341</v>
      </c>
    </row>
    <row r="212" spans="1:20" x14ac:dyDescent="0.25">
      <c r="A212" s="5">
        <v>44381</v>
      </c>
      <c r="B212">
        <v>6.8269999999999997E-3</v>
      </c>
      <c r="C212">
        <v>6.9210000000000001E-3</v>
      </c>
      <c r="D212">
        <v>6.5700000000000003E-3</v>
      </c>
      <c r="E212">
        <v>6.698E-3</v>
      </c>
      <c r="F212">
        <v>450873842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-0.27065527065527217</v>
      </c>
      <c r="Q212">
        <f t="shared" si="960"/>
        <v>-122031381.73789242</v>
      </c>
      <c r="R212">
        <f t="shared" si="961"/>
        <v>-38830546274.121803</v>
      </c>
      <c r="S212">
        <f t="shared" si="962"/>
        <v>-388305.46274121804</v>
      </c>
      <c r="T212">
        <f t="shared" si="963"/>
        <v>-388.30546274121804</v>
      </c>
    </row>
    <row r="213" spans="1:20" x14ac:dyDescent="0.25">
      <c r="A213" s="5">
        <v>44380</v>
      </c>
      <c r="B213">
        <v>6.6389999999999999E-3</v>
      </c>
      <c r="C213">
        <v>7.0730000000000003E-3</v>
      </c>
      <c r="D213">
        <v>6.5069999999999998E-3</v>
      </c>
      <c r="E213">
        <v>6.8170000000000001E-3</v>
      </c>
      <c r="F213">
        <v>664462114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9.5406360424028586E-2</v>
      </c>
      <c r="Q213">
        <f t="shared" si="960"/>
        <v>63393911.936395973</v>
      </c>
      <c r="R213">
        <f t="shared" si="961"/>
        <v>-38708514892.383911</v>
      </c>
      <c r="S213">
        <f t="shared" si="962"/>
        <v>-387085.14892383909</v>
      </c>
      <c r="T213">
        <f t="shared" si="963"/>
        <v>-387.08514892383909</v>
      </c>
    </row>
    <row r="214" spans="1:20" x14ac:dyDescent="0.25">
      <c r="A214" s="5">
        <v>44379</v>
      </c>
      <c r="B214">
        <v>6.5709999999999996E-3</v>
      </c>
      <c r="C214">
        <v>6.7539999999999996E-3</v>
      </c>
      <c r="D214">
        <v>6.4310000000000001E-3</v>
      </c>
      <c r="E214">
        <v>6.6559999999999996E-3</v>
      </c>
      <c r="F214">
        <v>339838683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0.39318885448916319</v>
      </c>
      <c r="Q214">
        <f t="shared" si="960"/>
        <v>133620782.47987585</v>
      </c>
      <c r="R214">
        <f t="shared" si="961"/>
        <v>-38771908804.320305</v>
      </c>
      <c r="S214">
        <f t="shared" si="962"/>
        <v>-387719.08804320305</v>
      </c>
      <c r="T214">
        <f t="shared" si="963"/>
        <v>-387.71908804320304</v>
      </c>
    </row>
    <row r="215" spans="1:20" x14ac:dyDescent="0.25">
      <c r="A215" s="5">
        <v>44378</v>
      </c>
      <c r="B215">
        <v>6.9519999999999998E-3</v>
      </c>
      <c r="C215">
        <v>6.9540000000000001E-3</v>
      </c>
      <c r="D215">
        <v>6.3200000000000001E-3</v>
      </c>
      <c r="E215">
        <v>6.5690000000000002E-3</v>
      </c>
      <c r="F215">
        <v>510220526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-0.21451104100946347</v>
      </c>
      <c r="Q215">
        <f t="shared" si="960"/>
        <v>-109447936.17665602</v>
      </c>
      <c r="R215">
        <f t="shared" si="961"/>
        <v>-38905529586.800179</v>
      </c>
      <c r="S215">
        <f t="shared" si="962"/>
        <v>-389055.29586800176</v>
      </c>
      <c r="T215">
        <f t="shared" si="963"/>
        <v>-389.05529586800174</v>
      </c>
    </row>
    <row r="216" spans="1:20" x14ac:dyDescent="0.25">
      <c r="A216" s="5">
        <v>44377</v>
      </c>
      <c r="B216">
        <v>6.9290000000000003E-3</v>
      </c>
      <c r="C216">
        <v>7.143E-3</v>
      </c>
      <c r="D216">
        <v>6.3290000000000004E-3</v>
      </c>
      <c r="E216">
        <v>6.9509999999999997E-3</v>
      </c>
      <c r="F216">
        <v>721757928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0.52825552825552724</v>
      </c>
      <c r="Q216">
        <f t="shared" si="960"/>
        <v>381272615.52825481</v>
      </c>
      <c r="R216">
        <f t="shared" si="961"/>
        <v>-38796081650.62352</v>
      </c>
      <c r="S216">
        <f t="shared" si="962"/>
        <v>-387960.81650623522</v>
      </c>
      <c r="T216">
        <f t="shared" si="963"/>
        <v>-387.96081650623523</v>
      </c>
    </row>
    <row r="217" spans="1:20" x14ac:dyDescent="0.25">
      <c r="A217" s="5">
        <v>44376</v>
      </c>
      <c r="B217">
        <v>6.2779999999999997E-3</v>
      </c>
      <c r="C217">
        <v>7.0879999999999997E-3</v>
      </c>
      <c r="D217">
        <v>6.2680000000000001E-3</v>
      </c>
      <c r="E217">
        <v>6.9309999999999997E-3</v>
      </c>
      <c r="F217">
        <v>747110383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0.61707317073170709</v>
      </c>
      <c r="Q217">
        <f t="shared" si="960"/>
        <v>461021772.92439008</v>
      </c>
      <c r="R217">
        <f t="shared" si="961"/>
        <v>-39177354266.151772</v>
      </c>
      <c r="S217">
        <f t="shared" si="962"/>
        <v>-391773.54266151774</v>
      </c>
      <c r="T217">
        <f t="shared" si="963"/>
        <v>-391.77354266151775</v>
      </c>
    </row>
    <row r="218" spans="1:20" x14ac:dyDescent="0.25">
      <c r="A218" s="5">
        <v>44375</v>
      </c>
      <c r="B218">
        <v>6.2420000000000002E-3</v>
      </c>
      <c r="C218">
        <v>6.5230000000000002E-3</v>
      </c>
      <c r="D218">
        <v>6.0850000000000001E-3</v>
      </c>
      <c r="E218">
        <v>6.2709999999999997E-3</v>
      </c>
      <c r="F218">
        <v>523574157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-0.15068493150685147</v>
      </c>
      <c r="Q218">
        <f t="shared" si="960"/>
        <v>-78894735.986302495</v>
      </c>
      <c r="R218">
        <f t="shared" si="961"/>
        <v>-39638376039.076164</v>
      </c>
      <c r="S218">
        <f t="shared" si="962"/>
        <v>-396383.76039076166</v>
      </c>
      <c r="T218">
        <f t="shared" si="963"/>
        <v>-396.38376039076167</v>
      </c>
    </row>
    <row r="219" spans="1:20" x14ac:dyDescent="0.25">
      <c r="A219" s="5">
        <v>44374</v>
      </c>
      <c r="B219">
        <v>5.9750000000000003E-3</v>
      </c>
      <c r="C219">
        <v>6.28E-3</v>
      </c>
      <c r="D219">
        <v>5.862E-3</v>
      </c>
      <c r="E219">
        <v>6.2350000000000001E-3</v>
      </c>
      <c r="F219">
        <v>619753917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0.78468899521531144</v>
      </c>
      <c r="Q219">
        <f t="shared" si="960"/>
        <v>486314078.41148353</v>
      </c>
      <c r="R219">
        <f t="shared" si="961"/>
        <v>-39559481303.089859</v>
      </c>
      <c r="S219">
        <f t="shared" si="962"/>
        <v>-395594.81303089857</v>
      </c>
      <c r="T219">
        <f t="shared" si="963"/>
        <v>-395.59481303089859</v>
      </c>
    </row>
    <row r="220" spans="1:20" x14ac:dyDescent="0.25">
      <c r="A220" s="5">
        <v>44373</v>
      </c>
      <c r="B220">
        <v>5.9020000000000001E-3</v>
      </c>
      <c r="C220">
        <v>6.1000000000000004E-3</v>
      </c>
      <c r="D220">
        <v>5.679E-3</v>
      </c>
      <c r="E220">
        <v>5.9740000000000001E-3</v>
      </c>
      <c r="F220">
        <v>757688091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0.40142517814726775</v>
      </c>
      <c r="Q220">
        <f t="shared" si="960"/>
        <v>304155076.90973824</v>
      </c>
      <c r="R220">
        <f t="shared" si="961"/>
        <v>-40045795381.501343</v>
      </c>
      <c r="S220">
        <f t="shared" si="962"/>
        <v>-400457.9538150134</v>
      </c>
      <c r="T220">
        <f t="shared" si="963"/>
        <v>-400.45795381501341</v>
      </c>
    </row>
    <row r="221" spans="1:20" x14ac:dyDescent="0.25">
      <c r="A221" s="5">
        <v>44372</v>
      </c>
      <c r="B221">
        <v>6.7010000000000004E-3</v>
      </c>
      <c r="C221">
        <v>6.9569999999999996E-3</v>
      </c>
      <c r="D221">
        <v>5.8999999999999999E-3</v>
      </c>
      <c r="E221">
        <v>5.9080000000000001E-3</v>
      </c>
      <c r="F221">
        <v>1368784460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-0.98486281929990505</v>
      </c>
      <c r="Q221">
        <f t="shared" si="960"/>
        <v>-1348064922.2894981</v>
      </c>
      <c r="R221">
        <f t="shared" si="961"/>
        <v>-40349950458.411079</v>
      </c>
      <c r="S221">
        <f t="shared" si="962"/>
        <v>-403499.50458411081</v>
      </c>
      <c r="T221">
        <f t="shared" si="963"/>
        <v>-403.49950458411081</v>
      </c>
    </row>
    <row r="222" spans="1:20" x14ac:dyDescent="0.25">
      <c r="A222" s="5">
        <v>44371</v>
      </c>
      <c r="B222">
        <v>6.698E-3</v>
      </c>
      <c r="C222">
        <v>6.8999999999999999E-3</v>
      </c>
      <c r="D222">
        <v>6.2500000000000003E-3</v>
      </c>
      <c r="E222">
        <v>6.7019999999999996E-3</v>
      </c>
      <c r="F222">
        <v>535832100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0.39076923076922954</v>
      </c>
      <c r="Q222">
        <f t="shared" si="960"/>
        <v>209386697.53846088</v>
      </c>
      <c r="R222">
        <f t="shared" si="961"/>
        <v>-39001885536.121582</v>
      </c>
      <c r="S222">
        <f t="shared" si="962"/>
        <v>-390018.85536121583</v>
      </c>
      <c r="T222">
        <f t="shared" si="963"/>
        <v>-390.01885536121586</v>
      </c>
    </row>
    <row r="223" spans="1:20" x14ac:dyDescent="0.25">
      <c r="A223" s="5">
        <v>44370</v>
      </c>
      <c r="B223">
        <v>5.0800000000000003E-3</v>
      </c>
      <c r="C223">
        <v>6.999E-3</v>
      </c>
      <c r="D223">
        <v>4.9160000000000002E-3</v>
      </c>
      <c r="E223">
        <v>6.6940000000000003E-3</v>
      </c>
      <c r="F223">
        <v>1744723735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0.70715314450312072</v>
      </c>
      <c r="Q223">
        <f t="shared" si="960"/>
        <v>1233786875.4944794</v>
      </c>
      <c r="R223">
        <f t="shared" si="961"/>
        <v>-39211272233.660042</v>
      </c>
      <c r="S223">
        <f t="shared" si="962"/>
        <v>-392112.72233660042</v>
      </c>
      <c r="T223">
        <f t="shared" si="963"/>
        <v>-392.11272233660043</v>
      </c>
    </row>
    <row r="224" spans="1:20" x14ac:dyDescent="0.25">
      <c r="A224" s="5">
        <v>44369</v>
      </c>
      <c r="B224">
        <v>5.4299999999999999E-3</v>
      </c>
      <c r="C224">
        <v>6.8100000000000001E-3</v>
      </c>
      <c r="D224">
        <v>4.3080000000000002E-3</v>
      </c>
      <c r="E224">
        <v>5.0790000000000002E-3</v>
      </c>
      <c r="F224">
        <v>1823343457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-0.38369304556354916</v>
      </c>
      <c r="Q224">
        <f t="shared" si="960"/>
        <v>-699604204.12470019</v>
      </c>
      <c r="R224">
        <f t="shared" si="961"/>
        <v>-40445059109.154518</v>
      </c>
      <c r="S224">
        <f t="shared" si="962"/>
        <v>-404450.59109154518</v>
      </c>
      <c r="T224">
        <f t="shared" si="963"/>
        <v>-404.45059109154516</v>
      </c>
    </row>
    <row r="225" spans="1:20" x14ac:dyDescent="0.25">
      <c r="A225" s="5">
        <v>44368</v>
      </c>
      <c r="B225">
        <v>7.0439999999999999E-3</v>
      </c>
      <c r="C225">
        <v>7.0460000000000002E-3</v>
      </c>
      <c r="D225">
        <v>5.3090000000000004E-3</v>
      </c>
      <c r="E225">
        <v>5.4510000000000001E-3</v>
      </c>
      <c r="F225">
        <v>700651582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-0.83649971214738084</v>
      </c>
      <c r="Q225">
        <f t="shared" si="960"/>
        <v>-586094846.65860701</v>
      </c>
      <c r="R225">
        <f t="shared" si="961"/>
        <v>-39745454905.029816</v>
      </c>
      <c r="S225">
        <f t="shared" si="962"/>
        <v>-397454.54905029817</v>
      </c>
      <c r="T225">
        <f t="shared" si="963"/>
        <v>-397.45454905029817</v>
      </c>
    </row>
    <row r="226" spans="1:20" x14ac:dyDescent="0.25">
      <c r="A226" s="5">
        <v>44367</v>
      </c>
      <c r="B226">
        <v>7.1089999999999999E-3</v>
      </c>
      <c r="C226">
        <v>7.1279999999999998E-3</v>
      </c>
      <c r="D226">
        <v>6.5779999999999996E-3</v>
      </c>
      <c r="E226">
        <v>7.0439999999999999E-3</v>
      </c>
      <c r="F226">
        <v>279777410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0.69454545454545513</v>
      </c>
      <c r="Q226">
        <f t="shared" si="960"/>
        <v>194318128.40000015</v>
      </c>
      <c r="R226">
        <f t="shared" si="961"/>
        <v>-39159360058.371208</v>
      </c>
      <c r="S226">
        <f t="shared" si="962"/>
        <v>-391593.6005837121</v>
      </c>
      <c r="T226">
        <f t="shared" si="963"/>
        <v>-391.59360058371209</v>
      </c>
    </row>
    <row r="227" spans="1:20" x14ac:dyDescent="0.25">
      <c r="A227" s="5">
        <v>44366</v>
      </c>
      <c r="B227">
        <v>7.1840000000000003E-3</v>
      </c>
      <c r="C227">
        <v>7.2950000000000003E-3</v>
      </c>
      <c r="D227">
        <v>7.1009999999999997E-3</v>
      </c>
      <c r="E227">
        <v>7.1069999999999996E-3</v>
      </c>
      <c r="F227">
        <v>246517977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-0.9381443298969081</v>
      </c>
      <c r="Q227">
        <f t="shared" si="960"/>
        <v>-231269442.34020641</v>
      </c>
      <c r="R227">
        <f t="shared" si="961"/>
        <v>-39353678186.77121</v>
      </c>
      <c r="S227">
        <f t="shared" si="962"/>
        <v>-393536.7818677121</v>
      </c>
      <c r="T227">
        <f t="shared" si="963"/>
        <v>-393.53678186771208</v>
      </c>
    </row>
    <row r="228" spans="1:20" x14ac:dyDescent="0.25">
      <c r="A228" s="5">
        <v>44365</v>
      </c>
      <c r="B228">
        <v>7.7419999999999998E-3</v>
      </c>
      <c r="C228">
        <v>8.1810000000000008E-3</v>
      </c>
      <c r="D228">
        <v>7.045E-3</v>
      </c>
      <c r="E228">
        <v>7.1830000000000001E-3</v>
      </c>
      <c r="F228">
        <v>450755927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-0.75704225352112675</v>
      </c>
      <c r="Q228">
        <f t="shared" si="960"/>
        <v>-341241282.76408452</v>
      </c>
      <c r="R228">
        <f t="shared" si="961"/>
        <v>-39122408744.431</v>
      </c>
      <c r="S228">
        <f t="shared" si="962"/>
        <v>-391224.08744431002</v>
      </c>
      <c r="T228">
        <f t="shared" si="963"/>
        <v>-391.22408744431004</v>
      </c>
    </row>
    <row r="229" spans="1:20" x14ac:dyDescent="0.25">
      <c r="A229" s="5">
        <v>44364</v>
      </c>
      <c r="B229">
        <v>7.7580000000000001E-3</v>
      </c>
      <c r="C229">
        <v>8.3999999999999995E-3</v>
      </c>
      <c r="D229">
        <v>7.6020000000000003E-3</v>
      </c>
      <c r="E229">
        <v>7.7400000000000004E-3</v>
      </c>
      <c r="F229">
        <v>414660194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-0.65413533834586413</v>
      </c>
      <c r="Q229">
        <f t="shared" si="960"/>
        <v>-271243886.30075169</v>
      </c>
      <c r="R229">
        <f t="shared" si="961"/>
        <v>-38781167461.666916</v>
      </c>
      <c r="S229">
        <f t="shared" si="962"/>
        <v>-387811.67461666913</v>
      </c>
      <c r="T229">
        <f t="shared" si="963"/>
        <v>-387.81167461666911</v>
      </c>
    </row>
    <row r="230" spans="1:20" x14ac:dyDescent="0.25">
      <c r="A230" s="5">
        <v>44363</v>
      </c>
      <c r="B230">
        <v>8.1209999999999997E-3</v>
      </c>
      <c r="C230">
        <v>8.1659999999999996E-3</v>
      </c>
      <c r="D230">
        <v>7.7000000000000002E-3</v>
      </c>
      <c r="E230">
        <v>7.7640000000000001E-3</v>
      </c>
      <c r="F230">
        <v>319503972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-0.72532188841201761</v>
      </c>
      <c r="Q230">
        <f t="shared" si="960"/>
        <v>-231743224.3261804</v>
      </c>
      <c r="R230">
        <f t="shared" si="961"/>
        <v>-38509923575.366165</v>
      </c>
      <c r="S230">
        <f t="shared" si="962"/>
        <v>-385099.23575366166</v>
      </c>
      <c r="T230">
        <f t="shared" si="963"/>
        <v>-385.09923575366167</v>
      </c>
    </row>
    <row r="231" spans="1:20" x14ac:dyDescent="0.25">
      <c r="A231" s="5">
        <v>44362</v>
      </c>
      <c r="B231">
        <v>8.2649999999999998E-3</v>
      </c>
      <c r="C231">
        <v>8.4150000000000006E-3</v>
      </c>
      <c r="D231">
        <v>8.0129999999999993E-3</v>
      </c>
      <c r="E231">
        <v>8.1209999999999997E-3</v>
      </c>
      <c r="F231">
        <v>331201593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-0.46268656716417861</v>
      </c>
      <c r="Q231">
        <f t="shared" si="960"/>
        <v>-153242528.10447744</v>
      </c>
      <c r="R231">
        <f t="shared" si="961"/>
        <v>-38278180351.039986</v>
      </c>
      <c r="S231">
        <f t="shared" si="962"/>
        <v>-382781.80351039988</v>
      </c>
      <c r="T231">
        <f t="shared" si="963"/>
        <v>-382.78180351039987</v>
      </c>
    </row>
    <row r="232" spans="1:20" x14ac:dyDescent="0.25">
      <c r="A232" s="5">
        <v>44361</v>
      </c>
      <c r="B232">
        <v>8.0359999999999997E-3</v>
      </c>
      <c r="C232">
        <v>8.3999999999999995E-3</v>
      </c>
      <c r="D232">
        <v>7.9179999999999997E-3</v>
      </c>
      <c r="E232">
        <v>8.2620000000000002E-3</v>
      </c>
      <c r="F232">
        <v>484358836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0.4273858921161855</v>
      </c>
      <c r="Q232">
        <f t="shared" si="960"/>
        <v>207008133.22821718</v>
      </c>
      <c r="R232">
        <f t="shared" si="961"/>
        <v>-38124937822.935509</v>
      </c>
      <c r="S232">
        <f t="shared" si="962"/>
        <v>-381249.37822935509</v>
      </c>
      <c r="T232">
        <f t="shared" si="963"/>
        <v>-381.2493782293551</v>
      </c>
    </row>
    <row r="233" spans="1:20" x14ac:dyDescent="0.25">
      <c r="A233" s="5">
        <v>44360</v>
      </c>
      <c r="B233">
        <v>7.737E-3</v>
      </c>
      <c r="C233">
        <v>8.2660000000000008E-3</v>
      </c>
      <c r="D233">
        <v>7.5100000000000002E-3</v>
      </c>
      <c r="E233">
        <v>8.0440000000000008E-3</v>
      </c>
      <c r="F233">
        <v>527516277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0.41269841269841323</v>
      </c>
      <c r="Q233">
        <f t="shared" si="960"/>
        <v>217705130.19047648</v>
      </c>
      <c r="R233">
        <f t="shared" si="961"/>
        <v>-38331945956.163727</v>
      </c>
      <c r="S233">
        <f t="shared" si="962"/>
        <v>-383319.45956163725</v>
      </c>
      <c r="T233">
        <f t="shared" si="963"/>
        <v>-383.31945956163725</v>
      </c>
    </row>
    <row r="234" spans="1:20" x14ac:dyDescent="0.25">
      <c r="A234" s="5">
        <v>44359</v>
      </c>
      <c r="B234">
        <v>7.7489999999999998E-3</v>
      </c>
      <c r="C234">
        <v>7.816E-3</v>
      </c>
      <c r="D234">
        <v>7.1149999999999998E-3</v>
      </c>
      <c r="E234">
        <v>7.7340000000000004E-3</v>
      </c>
      <c r="F234">
        <v>755926880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0.76604850213980147</v>
      </c>
      <c r="Q234">
        <f t="shared" si="960"/>
        <v>579076654.15121341</v>
      </c>
      <c r="R234">
        <f t="shared" si="961"/>
        <v>-38549651086.354202</v>
      </c>
      <c r="S234">
        <f t="shared" si="962"/>
        <v>-385496.51086354203</v>
      </c>
      <c r="T234">
        <f t="shared" si="963"/>
        <v>-385.49651086354203</v>
      </c>
    </row>
    <row r="235" spans="1:20" x14ac:dyDescent="0.25">
      <c r="A235" s="5">
        <v>44358</v>
      </c>
      <c r="B235">
        <v>8.2240000000000004E-3</v>
      </c>
      <c r="C235">
        <v>8.3920000000000002E-3</v>
      </c>
      <c r="D235">
        <v>7.7159999999999998E-3</v>
      </c>
      <c r="E235">
        <v>7.7559999999999999E-3</v>
      </c>
      <c r="F235">
        <v>802837222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-0.88165680473372754</v>
      </c>
      <c r="Q235">
        <f t="shared" si="960"/>
        <v>-707826899.86982226</v>
      </c>
      <c r="R235">
        <f t="shared" si="961"/>
        <v>-39128727740.505417</v>
      </c>
      <c r="S235">
        <f t="shared" si="962"/>
        <v>-391287.27740505419</v>
      </c>
      <c r="T235">
        <f t="shared" si="963"/>
        <v>-391.28727740505417</v>
      </c>
    </row>
    <row r="236" spans="1:20" x14ac:dyDescent="0.25">
      <c r="A236" s="5">
        <v>44357</v>
      </c>
      <c r="B236">
        <v>8.6730000000000002E-3</v>
      </c>
      <c r="C236">
        <v>1.5310000000000001E-2</v>
      </c>
      <c r="D236">
        <v>8.1449999999999995E-3</v>
      </c>
      <c r="E236">
        <v>8.2269999999999999E-3</v>
      </c>
      <c r="F236">
        <v>3493176075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-0.97711095603628739</v>
      </c>
      <c r="Q236">
        <f t="shared" si="960"/>
        <v>-3413220614.246336</v>
      </c>
      <c r="R236">
        <f t="shared" si="961"/>
        <v>-38420900840.635597</v>
      </c>
      <c r="S236">
        <f t="shared" si="962"/>
        <v>-384209.00840635598</v>
      </c>
      <c r="T236">
        <f t="shared" si="963"/>
        <v>-384.20900840635596</v>
      </c>
    </row>
    <row r="237" spans="1:20" x14ac:dyDescent="0.25">
      <c r="A237" s="5">
        <v>44356</v>
      </c>
      <c r="B237">
        <v>8.3309999999999999E-3</v>
      </c>
      <c r="C237">
        <v>9.1090000000000008E-3</v>
      </c>
      <c r="D237">
        <v>8.1049999999999994E-3</v>
      </c>
      <c r="E237">
        <v>8.6689999999999996E-3</v>
      </c>
      <c r="F237">
        <v>1381404324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0.12350597609561648</v>
      </c>
      <c r="Q237">
        <f t="shared" si="960"/>
        <v>170611689.41832525</v>
      </c>
      <c r="R237">
        <f t="shared" si="961"/>
        <v>-35007680226.389259</v>
      </c>
      <c r="S237">
        <f t="shared" si="962"/>
        <v>-350076.8022638926</v>
      </c>
      <c r="T237">
        <f t="shared" si="963"/>
        <v>-350.0768022638926</v>
      </c>
    </row>
    <row r="238" spans="1:20" x14ac:dyDescent="0.25">
      <c r="A238" s="5">
        <v>44355</v>
      </c>
      <c r="B238">
        <v>8.3700000000000007E-3</v>
      </c>
      <c r="C238">
        <v>8.7340000000000004E-3</v>
      </c>
      <c r="D238">
        <v>7.3239999999999998E-3</v>
      </c>
      <c r="E238">
        <v>8.3350000000000004E-3</v>
      </c>
      <c r="F238">
        <v>1685629793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0.43404255319148954</v>
      </c>
      <c r="Q238">
        <f t="shared" si="960"/>
        <v>731635059.08936203</v>
      </c>
      <c r="R238">
        <f t="shared" si="961"/>
        <v>-35178291915.807587</v>
      </c>
      <c r="S238">
        <f t="shared" si="962"/>
        <v>-351782.91915807588</v>
      </c>
      <c r="T238">
        <f t="shared" si="963"/>
        <v>-351.78291915807586</v>
      </c>
    </row>
    <row r="239" spans="1:20" x14ac:dyDescent="0.25">
      <c r="A239" s="5">
        <v>44354</v>
      </c>
      <c r="B239">
        <v>9.2280000000000001E-3</v>
      </c>
      <c r="C239">
        <v>9.5479999999999992E-3</v>
      </c>
      <c r="D239">
        <v>8.2749999999999994E-3</v>
      </c>
      <c r="E239">
        <v>8.3739999999999995E-3</v>
      </c>
      <c r="F239">
        <v>721939154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-0.84446190102120955</v>
      </c>
      <c r="Q239">
        <f t="shared" si="960"/>
        <v>-609650110.40848374</v>
      </c>
      <c r="R239">
        <f t="shared" si="961"/>
        <v>-35909926974.89695</v>
      </c>
      <c r="S239">
        <f t="shared" si="962"/>
        <v>-359099.26974896947</v>
      </c>
      <c r="T239">
        <f t="shared" si="963"/>
        <v>-359.09926974896945</v>
      </c>
    </row>
    <row r="240" spans="1:20" x14ac:dyDescent="0.25">
      <c r="A240" s="5">
        <v>44353</v>
      </c>
      <c r="B240">
        <v>9.0650000000000001E-3</v>
      </c>
      <c r="C240">
        <v>9.358E-3</v>
      </c>
      <c r="D240">
        <v>9.0100000000000006E-3</v>
      </c>
      <c r="E240">
        <v>9.2119999999999997E-3</v>
      </c>
      <c r="F240">
        <v>405352089</v>
      </c>
      <c r="G240">
        <v>0</v>
      </c>
      <c r="L240" t="s">
        <v>7</v>
      </c>
      <c r="M240" t="s">
        <v>8</v>
      </c>
      <c r="N240" t="s">
        <v>7</v>
      </c>
      <c r="P240">
        <f t="shared" si="959"/>
        <v>0.16091954022988178</v>
      </c>
      <c r="Q240">
        <f t="shared" si="960"/>
        <v>65229071.793102123</v>
      </c>
      <c r="R240">
        <f t="shared" si="961"/>
        <v>-35300276864.488464</v>
      </c>
      <c r="S240">
        <f t="shared" si="962"/>
        <v>-353002.76864488464</v>
      </c>
      <c r="T240">
        <f t="shared" si="963"/>
        <v>-353.00276864488461</v>
      </c>
    </row>
    <row r="241" spans="1:20" x14ac:dyDescent="0.25">
      <c r="A241" s="5">
        <v>44352</v>
      </c>
      <c r="B241">
        <v>9.2700000000000005E-3</v>
      </c>
      <c r="C241">
        <v>9.7669999999999996E-3</v>
      </c>
      <c r="D241">
        <v>8.8730000000000007E-3</v>
      </c>
      <c r="E241">
        <v>9.0830000000000008E-3</v>
      </c>
      <c r="F241">
        <v>664898665</v>
      </c>
      <c r="G241">
        <v>0</v>
      </c>
      <c r="L241" t="s">
        <v>7</v>
      </c>
      <c r="M241" t="s">
        <v>8</v>
      </c>
      <c r="N241" t="s">
        <v>7</v>
      </c>
      <c r="P241">
        <f t="shared" si="959"/>
        <v>-0.53020134228187843</v>
      </c>
      <c r="Q241">
        <f t="shared" si="960"/>
        <v>-352530164.66442901</v>
      </c>
      <c r="R241">
        <f t="shared" si="961"/>
        <v>-35365505936.281563</v>
      </c>
      <c r="S241">
        <f t="shared" si="962"/>
        <v>-353655.05936281563</v>
      </c>
      <c r="T241">
        <f t="shared" si="963"/>
        <v>-353.65505936281562</v>
      </c>
    </row>
    <row r="242" spans="1:20" x14ac:dyDescent="0.25">
      <c r="A242" s="5">
        <v>44351</v>
      </c>
      <c r="B242">
        <v>9.8499999999999994E-3</v>
      </c>
      <c r="C242">
        <v>1.0102999999999999E-2</v>
      </c>
      <c r="D242">
        <v>8.7510000000000001E-3</v>
      </c>
      <c r="E242">
        <v>9.2700000000000005E-3</v>
      </c>
      <c r="F242">
        <v>1249715971</v>
      </c>
      <c r="G242">
        <v>0</v>
      </c>
      <c r="L242" t="s">
        <v>8</v>
      </c>
      <c r="M242" t="s">
        <v>8</v>
      </c>
      <c r="N242" t="s">
        <v>7</v>
      </c>
      <c r="P242">
        <f t="shared" si="959"/>
        <v>-0.23224852071005808</v>
      </c>
      <c r="Q242">
        <f t="shared" si="960"/>
        <v>-290244685.57248384</v>
      </c>
      <c r="R242">
        <f t="shared" si="961"/>
        <v>-35012975771.617134</v>
      </c>
      <c r="S242">
        <f t="shared" si="962"/>
        <v>-350129.75771617133</v>
      </c>
      <c r="T242">
        <f t="shared" si="963"/>
        <v>-350.12975771617135</v>
      </c>
    </row>
    <row r="243" spans="1:20" x14ac:dyDescent="0.25">
      <c r="A243" s="5">
        <v>44350</v>
      </c>
      <c r="B243">
        <v>9.3430000000000006E-3</v>
      </c>
      <c r="C243">
        <v>9.8659999999999998E-3</v>
      </c>
      <c r="D243">
        <v>9.1660000000000005E-3</v>
      </c>
      <c r="E243">
        <v>9.8499999999999994E-3</v>
      </c>
      <c r="F243">
        <v>702702015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0.95428571428571307</v>
      </c>
      <c r="Q243">
        <f t="shared" si="960"/>
        <v>670578494.3142848</v>
      </c>
      <c r="R243">
        <f t="shared" si="961"/>
        <v>-34722731086.044647</v>
      </c>
      <c r="S243">
        <f t="shared" si="962"/>
        <v>-347227.31086044648</v>
      </c>
      <c r="T243">
        <f t="shared" si="963"/>
        <v>-347.22731086044649</v>
      </c>
    </row>
    <row r="244" spans="1:20" x14ac:dyDescent="0.25">
      <c r="A244" s="5">
        <v>44349</v>
      </c>
      <c r="B244">
        <v>9.0729999999999995E-3</v>
      </c>
      <c r="C244">
        <v>9.887E-3</v>
      </c>
      <c r="D244">
        <v>8.8620000000000001E-3</v>
      </c>
      <c r="E244">
        <v>9.3460000000000001E-3</v>
      </c>
      <c r="F244">
        <v>927220129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-5.5609756097560747E-2</v>
      </c>
      <c r="Q244">
        <f t="shared" si="960"/>
        <v>-51562485.222438812</v>
      </c>
      <c r="R244">
        <f t="shared" si="961"/>
        <v>-35393309580.358932</v>
      </c>
      <c r="S244">
        <f t="shared" si="962"/>
        <v>-353933.09580358933</v>
      </c>
      <c r="T244">
        <f t="shared" si="963"/>
        <v>-353.93309580358931</v>
      </c>
    </row>
    <row r="245" spans="1:20" x14ac:dyDescent="0.25">
      <c r="A245" s="5">
        <v>44348</v>
      </c>
      <c r="B245">
        <v>9.5449999999999997E-3</v>
      </c>
      <c r="C245">
        <v>1.0142E-2</v>
      </c>
      <c r="D245">
        <v>8.9029999999999995E-3</v>
      </c>
      <c r="E245">
        <v>9.0670000000000004E-3</v>
      </c>
      <c r="F245">
        <v>1012980133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-0.73527037933817452</v>
      </c>
      <c r="Q245">
        <f t="shared" si="960"/>
        <v>-744814286.65294445</v>
      </c>
      <c r="R245">
        <f t="shared" si="961"/>
        <v>-35341747095.13649</v>
      </c>
      <c r="S245">
        <f t="shared" si="962"/>
        <v>-353417.4709513649</v>
      </c>
      <c r="T245">
        <f t="shared" si="963"/>
        <v>-353.41747095136492</v>
      </c>
    </row>
    <row r="246" spans="1:20" x14ac:dyDescent="0.25">
      <c r="A246" s="5">
        <v>44347</v>
      </c>
      <c r="B246">
        <v>8.8389999999999996E-3</v>
      </c>
      <c r="C246">
        <v>9.5960000000000004E-3</v>
      </c>
      <c r="D246">
        <v>8.4690000000000008E-3</v>
      </c>
      <c r="E246">
        <v>9.5449999999999997E-3</v>
      </c>
      <c r="F246">
        <v>952918202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0.90949423247559769</v>
      </c>
      <c r="Q246">
        <f t="shared" si="960"/>
        <v>866673608.74001658</v>
      </c>
      <c r="R246">
        <f t="shared" si="961"/>
        <v>-34596932808.483543</v>
      </c>
      <c r="S246">
        <f t="shared" si="962"/>
        <v>-345969.32808483543</v>
      </c>
      <c r="T246">
        <f t="shared" si="963"/>
        <v>-345.96932808483541</v>
      </c>
    </row>
    <row r="247" spans="1:20" x14ac:dyDescent="0.25">
      <c r="A247" s="5">
        <v>44346</v>
      </c>
      <c r="B247">
        <v>8.1679999999999999E-3</v>
      </c>
      <c r="C247">
        <v>9.3369999999999998E-3</v>
      </c>
      <c r="D247">
        <v>7.6949999999999996E-3</v>
      </c>
      <c r="E247">
        <v>8.8590000000000006E-3</v>
      </c>
      <c r="F247">
        <v>946546383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0.41778319123020807</v>
      </c>
      <c r="Q247">
        <f t="shared" si="960"/>
        <v>395451168.5371508</v>
      </c>
      <c r="R247">
        <f t="shared" si="961"/>
        <v>-35463606417.223557</v>
      </c>
      <c r="S247">
        <f t="shared" si="962"/>
        <v>-354636.06417223555</v>
      </c>
      <c r="T247">
        <f t="shared" si="963"/>
        <v>-354.63606417223554</v>
      </c>
    </row>
    <row r="248" spans="1:20" x14ac:dyDescent="0.25">
      <c r="A248" s="5">
        <v>44345</v>
      </c>
      <c r="B248">
        <v>8.463E-3</v>
      </c>
      <c r="C248">
        <v>9.0119999999999992E-3</v>
      </c>
      <c r="D248">
        <v>7.783E-3</v>
      </c>
      <c r="E248">
        <v>8.1539999999999998E-3</v>
      </c>
      <c r="F248">
        <v>1357870372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-0.39625711960943849</v>
      </c>
      <c r="Q248">
        <f t="shared" si="960"/>
        <v>-538065802.4117167</v>
      </c>
      <c r="R248">
        <f t="shared" si="961"/>
        <v>-35859057585.760704</v>
      </c>
      <c r="S248">
        <f t="shared" si="962"/>
        <v>-358590.57585760707</v>
      </c>
      <c r="T248">
        <f t="shared" si="963"/>
        <v>-358.59057585760706</v>
      </c>
    </row>
    <row r="249" spans="1:20" x14ac:dyDescent="0.25">
      <c r="A249" s="5">
        <v>44344</v>
      </c>
      <c r="B249">
        <v>9.6450000000000008E-3</v>
      </c>
      <c r="C249">
        <v>9.7109999999999991E-3</v>
      </c>
      <c r="D249">
        <v>8.2629999999999995E-3</v>
      </c>
      <c r="E249">
        <v>8.4679999999999998E-3</v>
      </c>
      <c r="F249">
        <v>1675327100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-0.7168508287292813</v>
      </c>
      <c r="Q249">
        <f t="shared" si="960"/>
        <v>-1200959620.0276234</v>
      </c>
      <c r="R249">
        <f t="shared" si="961"/>
        <v>-35320991783.348984</v>
      </c>
      <c r="S249">
        <f t="shared" si="962"/>
        <v>-353209.91783348983</v>
      </c>
      <c r="T249">
        <f t="shared" si="963"/>
        <v>-353.20991783348984</v>
      </c>
    </row>
    <row r="250" spans="1:20" x14ac:dyDescent="0.25">
      <c r="A250" s="5">
        <v>44343</v>
      </c>
      <c r="B250">
        <v>1.0559000000000001E-2</v>
      </c>
      <c r="C250">
        <v>1.059E-2</v>
      </c>
      <c r="D250">
        <v>9.41E-3</v>
      </c>
      <c r="E250">
        <v>9.6690000000000005E-3</v>
      </c>
      <c r="F250">
        <v>1525998320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-0.56101694915254163</v>
      </c>
      <c r="Q250">
        <f t="shared" si="960"/>
        <v>-856110921.89830399</v>
      </c>
      <c r="R250">
        <f t="shared" si="961"/>
        <v>-34120032163.321362</v>
      </c>
      <c r="S250">
        <f t="shared" si="962"/>
        <v>-341200.32163321361</v>
      </c>
      <c r="T250">
        <f t="shared" si="963"/>
        <v>-341.2003216332136</v>
      </c>
    </row>
    <row r="251" spans="1:20" x14ac:dyDescent="0.25">
      <c r="A251" s="5">
        <v>44342</v>
      </c>
      <c r="B251">
        <v>9.1520000000000004E-3</v>
      </c>
      <c r="C251">
        <v>1.0888E-2</v>
      </c>
      <c r="D251">
        <v>8.9470000000000001E-3</v>
      </c>
      <c r="E251">
        <v>1.0546E-2</v>
      </c>
      <c r="F251">
        <v>1828589933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0.64760432766615117</v>
      </c>
      <c r="Q251">
        <f t="shared" si="960"/>
        <v>1184202754.1375575</v>
      </c>
      <c r="R251">
        <f t="shared" si="961"/>
        <v>-33263921241.423058</v>
      </c>
      <c r="S251">
        <f t="shared" si="962"/>
        <v>-332639.21241423057</v>
      </c>
      <c r="T251">
        <f t="shared" si="963"/>
        <v>-332.63921241423054</v>
      </c>
    </row>
    <row r="252" spans="1:20" x14ac:dyDescent="0.25">
      <c r="A252" s="5">
        <v>44341</v>
      </c>
      <c r="B252">
        <v>9.4219999999999998E-3</v>
      </c>
      <c r="C252">
        <v>1.0370000000000001E-2</v>
      </c>
      <c r="D252">
        <v>8.6280000000000003E-3</v>
      </c>
      <c r="E252">
        <v>9.1719999999999996E-3</v>
      </c>
      <c r="F252">
        <v>2302687849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-0.37543053960964501</v>
      </c>
      <c r="Q252">
        <f t="shared" si="960"/>
        <v>-864499341.7026428</v>
      </c>
      <c r="R252">
        <f t="shared" si="961"/>
        <v>-34448123995.560616</v>
      </c>
      <c r="S252">
        <f t="shared" si="962"/>
        <v>-344481.23995560617</v>
      </c>
      <c r="T252">
        <f t="shared" si="963"/>
        <v>-344.48123995560616</v>
      </c>
    </row>
    <row r="253" spans="1:20" x14ac:dyDescent="0.25">
      <c r="A253" s="5">
        <v>44340</v>
      </c>
      <c r="B253">
        <v>7.8949999999999992E-3</v>
      </c>
      <c r="C253">
        <v>1.047E-2</v>
      </c>
      <c r="D253">
        <v>7.7299999999999999E-3</v>
      </c>
      <c r="E253">
        <v>9.4219999999999998E-3</v>
      </c>
      <c r="F253">
        <v>3016793487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0.2350364963503648</v>
      </c>
      <c r="Q253">
        <f t="shared" si="960"/>
        <v>709056571.39707983</v>
      </c>
      <c r="R253">
        <f t="shared" si="961"/>
        <v>-33583624653.857971</v>
      </c>
      <c r="S253">
        <f t="shared" si="962"/>
        <v>-335836.2465385797</v>
      </c>
      <c r="T253">
        <f t="shared" si="963"/>
        <v>-335.8362465385797</v>
      </c>
    </row>
    <row r="254" spans="1:20" x14ac:dyDescent="0.25">
      <c r="A254" s="5">
        <v>44339</v>
      </c>
      <c r="B254">
        <v>9.2790000000000008E-3</v>
      </c>
      <c r="C254">
        <v>1.0519000000000001E-2</v>
      </c>
      <c r="D254">
        <v>6.6280000000000002E-3</v>
      </c>
      <c r="E254">
        <v>7.8750000000000001E-3</v>
      </c>
      <c r="F254">
        <v>3691629836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-0.35903366743767684</v>
      </c>
      <c r="Q254">
        <f t="shared" si="960"/>
        <v>-1325419398.8414295</v>
      </c>
      <c r="R254">
        <f t="shared" si="961"/>
        <v>-34292681225.255051</v>
      </c>
      <c r="S254">
        <f t="shared" si="962"/>
        <v>-342926.8122525505</v>
      </c>
      <c r="T254">
        <f t="shared" si="963"/>
        <v>-342.92681225255052</v>
      </c>
    </row>
    <row r="255" spans="1:20" x14ac:dyDescent="0.25">
      <c r="A255" s="5">
        <v>44338</v>
      </c>
      <c r="B255">
        <v>1.0691000000000001E-2</v>
      </c>
      <c r="C255">
        <v>1.0970000000000001E-2</v>
      </c>
      <c r="D255">
        <v>9.2329999999999999E-3</v>
      </c>
      <c r="E255">
        <v>9.2650000000000007E-3</v>
      </c>
      <c r="F255">
        <v>2026260168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-0.96315486470926792</v>
      </c>
      <c r="Q255">
        <f t="shared" si="960"/>
        <v>-1951602337.9758184</v>
      </c>
      <c r="R255">
        <f t="shared" si="961"/>
        <v>-32967261826.41362</v>
      </c>
      <c r="S255">
        <f t="shared" si="962"/>
        <v>-329672.6182641362</v>
      </c>
      <c r="T255">
        <f t="shared" si="963"/>
        <v>-329.67261826413619</v>
      </c>
    </row>
    <row r="256" spans="1:20" x14ac:dyDescent="0.25">
      <c r="A256" s="5">
        <v>44337</v>
      </c>
      <c r="B256">
        <v>1.2239999999999999E-2</v>
      </c>
      <c r="C256">
        <v>1.4500000000000001E-2</v>
      </c>
      <c r="D256">
        <v>8.6770000000000007E-3</v>
      </c>
      <c r="E256">
        <v>1.0716E-2</v>
      </c>
      <c r="F256">
        <v>3992214054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-0.29967370771080232</v>
      </c>
      <c r="Q256">
        <f t="shared" si="960"/>
        <v>-1196361587.5373533</v>
      </c>
      <c r="R256">
        <f t="shared" si="961"/>
        <v>-31015659488.437801</v>
      </c>
      <c r="S256">
        <f t="shared" si="962"/>
        <v>-310156.59488437802</v>
      </c>
      <c r="T256">
        <f t="shared" si="963"/>
        <v>-310.15659488437802</v>
      </c>
    </row>
    <row r="257" spans="1:20" x14ac:dyDescent="0.25">
      <c r="A257" s="5">
        <v>44336</v>
      </c>
      <c r="B257">
        <v>8.4460000000000004E-3</v>
      </c>
      <c r="C257">
        <v>1.3911E-2</v>
      </c>
      <c r="D257">
        <v>7.5030000000000001E-3</v>
      </c>
      <c r="E257">
        <v>1.2251E-2</v>
      </c>
      <c r="F257">
        <v>4774657341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0.48189762796504365</v>
      </c>
      <c r="Q257">
        <f t="shared" si="960"/>
        <v>2300896046.9737825</v>
      </c>
      <c r="R257">
        <f t="shared" si="961"/>
        <v>-29819297900.900448</v>
      </c>
      <c r="S257">
        <f t="shared" si="962"/>
        <v>-298192.97900900448</v>
      </c>
      <c r="T257">
        <f t="shared" si="963"/>
        <v>-298.19297900900449</v>
      </c>
    </row>
    <row r="258" spans="1:20" x14ac:dyDescent="0.25">
      <c r="A258" s="5">
        <v>44335</v>
      </c>
      <c r="B258">
        <v>1.2408000000000001E-2</v>
      </c>
      <c r="C258">
        <v>1.2573000000000001E-2</v>
      </c>
      <c r="D258">
        <v>5.4999999999999997E-3</v>
      </c>
      <c r="E258">
        <v>8.4440000000000001E-3</v>
      </c>
      <c r="F258">
        <v>3565366308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-0.16753852679202602</v>
      </c>
      <c r="Q258">
        <f t="shared" si="960"/>
        <v>-597336218.71624494</v>
      </c>
      <c r="R258">
        <f t="shared" si="961"/>
        <v>-32120193947.874229</v>
      </c>
      <c r="S258">
        <f t="shared" si="962"/>
        <v>-321201.93947874231</v>
      </c>
      <c r="T258">
        <f t="shared" si="963"/>
        <v>-321.2019394787423</v>
      </c>
    </row>
    <row r="259" spans="1:20" x14ac:dyDescent="0.25">
      <c r="A259" s="5">
        <v>44334</v>
      </c>
      <c r="B259">
        <v>1.1904E-2</v>
      </c>
      <c r="C259">
        <v>1.2880000000000001E-2</v>
      </c>
      <c r="D259">
        <v>1.1717E-2</v>
      </c>
      <c r="E259">
        <v>1.2423999999999999E-2</v>
      </c>
      <c r="F259">
        <v>868653112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0.21582115219260326</v>
      </c>
      <c r="Q259">
        <f t="shared" si="960"/>
        <v>187473715.48753044</v>
      </c>
      <c r="R259">
        <f t="shared" si="961"/>
        <v>-31522857729.157986</v>
      </c>
      <c r="S259">
        <f t="shared" si="962"/>
        <v>-315228.57729157986</v>
      </c>
      <c r="T259">
        <f t="shared" si="963"/>
        <v>-315.22857729157988</v>
      </c>
    </row>
    <row r="260" spans="1:20" x14ac:dyDescent="0.25">
      <c r="A260" s="5">
        <v>44333</v>
      </c>
      <c r="B260">
        <v>1.3202999999999999E-2</v>
      </c>
      <c r="C260">
        <v>1.3289E-2</v>
      </c>
      <c r="D260">
        <v>1.1561E-2</v>
      </c>
      <c r="E260">
        <v>1.1877E-2</v>
      </c>
      <c r="F260">
        <v>1374580067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-0.63425925925925897</v>
      </c>
      <c r="Q260">
        <f t="shared" si="960"/>
        <v>-871840135.08796251</v>
      </c>
      <c r="R260">
        <f t="shared" si="961"/>
        <v>-31710331444.645515</v>
      </c>
      <c r="S260">
        <f t="shared" si="962"/>
        <v>-317103.31444645516</v>
      </c>
      <c r="T260">
        <f t="shared" si="963"/>
        <v>-317.10331444645516</v>
      </c>
    </row>
    <row r="261" spans="1:20" x14ac:dyDescent="0.25">
      <c r="A261" s="5">
        <v>44332</v>
      </c>
      <c r="B261">
        <v>1.3044E-2</v>
      </c>
      <c r="C261">
        <v>1.4499E-2</v>
      </c>
      <c r="D261">
        <v>1.2437999999999999E-2</v>
      </c>
      <c r="E261">
        <v>1.3195999999999999E-2</v>
      </c>
      <c r="F261">
        <v>1300516994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-0.26443474041727327</v>
      </c>
      <c r="Q261">
        <f t="shared" si="960"/>
        <v>-343901873.71664256</v>
      </c>
      <c r="R261">
        <f t="shared" si="961"/>
        <v>-30838491309.557552</v>
      </c>
      <c r="S261">
        <f t="shared" si="962"/>
        <v>-308384.91309557552</v>
      </c>
      <c r="T261">
        <f t="shared" si="963"/>
        <v>-308.38491309557554</v>
      </c>
    </row>
    <row r="262" spans="1:20" x14ac:dyDescent="0.25">
      <c r="A262" s="5">
        <v>44331</v>
      </c>
      <c r="B262">
        <v>1.4338999999999999E-2</v>
      </c>
      <c r="C262">
        <v>1.4393E-2</v>
      </c>
      <c r="D262">
        <v>1.26E-2</v>
      </c>
      <c r="E262">
        <v>1.3044999999999999E-2</v>
      </c>
      <c r="F262">
        <v>976392918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-0.5036252091466823</v>
      </c>
      <c r="Q262">
        <f t="shared" ref="Q262:Q325" si="965">F262*P262</f>
        <v>-491736087.53708941</v>
      </c>
      <c r="R262">
        <f t="shared" ref="R262:R325" si="966">R263+Q262</f>
        <v>-30494589435.840908</v>
      </c>
      <c r="S262">
        <f t="shared" ref="S262:S325" si="967">R262/100000</f>
        <v>-304945.8943584091</v>
      </c>
      <c r="T262">
        <f t="shared" ref="T262:T325" si="968">S262/1000</f>
        <v>-304.94589435840908</v>
      </c>
    </row>
    <row r="263" spans="1:20" x14ac:dyDescent="0.25">
      <c r="A263" s="5">
        <v>44330</v>
      </c>
      <c r="B263">
        <v>1.2919999999999999E-2</v>
      </c>
      <c r="C263">
        <v>1.5311E-2</v>
      </c>
      <c r="D263">
        <v>1.2880000000000001E-2</v>
      </c>
      <c r="E263">
        <v>1.4341E-2</v>
      </c>
      <c r="F263">
        <v>1062477970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0.20197449609214255</v>
      </c>
      <c r="Q263">
        <f t="shared" si="965"/>
        <v>214593452.59975255</v>
      </c>
      <c r="R263">
        <f t="shared" si="966"/>
        <v>-30002853348.303818</v>
      </c>
      <c r="S263">
        <f t="shared" si="967"/>
        <v>-300028.53348303819</v>
      </c>
      <c r="T263">
        <f t="shared" si="968"/>
        <v>-300.02853348303819</v>
      </c>
    </row>
    <row r="264" spans="1:20" x14ac:dyDescent="0.25">
      <c r="A264" s="5">
        <v>44329</v>
      </c>
      <c r="B264">
        <v>1.2985E-2</v>
      </c>
      <c r="C264">
        <v>1.4426E-2</v>
      </c>
      <c r="D264">
        <v>1.2E-2</v>
      </c>
      <c r="E264">
        <v>1.2919999999999999E-2</v>
      </c>
      <c r="F264">
        <v>2090083832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-0.24154987633965441</v>
      </c>
      <c r="Q264">
        <f t="shared" si="965"/>
        <v>-504859491.15911102</v>
      </c>
      <c r="R264">
        <f t="shared" si="966"/>
        <v>-30217446800.903572</v>
      </c>
      <c r="S264">
        <f t="shared" si="967"/>
        <v>-302174.46800903574</v>
      </c>
      <c r="T264">
        <f t="shared" si="968"/>
        <v>-302.17446800903576</v>
      </c>
    </row>
    <row r="265" spans="1:20" x14ac:dyDescent="0.25">
      <c r="A265" s="5">
        <v>44328</v>
      </c>
      <c r="B265">
        <v>1.5868E-2</v>
      </c>
      <c r="C265">
        <v>1.6695000000000002E-2</v>
      </c>
      <c r="D265">
        <v>1.2821000000000001E-2</v>
      </c>
      <c r="E265">
        <v>1.3051E-2</v>
      </c>
      <c r="F265">
        <v>1012941924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-0.8812596799173984</v>
      </c>
      <c r="Q265">
        <f t="shared" si="965"/>
        <v>-892664875.71915364</v>
      </c>
      <c r="R265">
        <f t="shared" si="966"/>
        <v>-29712587309.744461</v>
      </c>
      <c r="S265">
        <f t="shared" si="967"/>
        <v>-297125.87309744459</v>
      </c>
      <c r="T265">
        <f t="shared" si="968"/>
        <v>-297.12587309744458</v>
      </c>
    </row>
    <row r="266" spans="1:20" x14ac:dyDescent="0.25">
      <c r="A266" s="5">
        <v>44327</v>
      </c>
      <c r="B266">
        <v>1.5601E-2</v>
      </c>
      <c r="C266">
        <v>1.6250000000000001E-2</v>
      </c>
      <c r="D266">
        <v>1.4999999999999999E-2</v>
      </c>
      <c r="E266">
        <v>1.5857E-2</v>
      </c>
      <c r="F266">
        <v>821201777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0.37119999999999898</v>
      </c>
      <c r="Q266">
        <f t="shared" si="965"/>
        <v>304830099.62239915</v>
      </c>
      <c r="R266">
        <f t="shared" si="966"/>
        <v>-28819922434.025307</v>
      </c>
      <c r="S266">
        <f t="shared" si="967"/>
        <v>-288199.22434025304</v>
      </c>
      <c r="T266">
        <f t="shared" si="968"/>
        <v>-288.19922434025307</v>
      </c>
    </row>
    <row r="267" spans="1:20" x14ac:dyDescent="0.25">
      <c r="A267" s="5">
        <v>44326</v>
      </c>
      <c r="B267">
        <v>1.7177000000000001E-2</v>
      </c>
      <c r="C267">
        <v>1.7777000000000001E-2</v>
      </c>
      <c r="D267">
        <v>1.4598E-2</v>
      </c>
      <c r="E267">
        <v>1.5624000000000001E-2</v>
      </c>
      <c r="F267">
        <v>1275759233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-0.35451399811261375</v>
      </c>
      <c r="Q267">
        <f t="shared" si="965"/>
        <v>-452274506.31991154</v>
      </c>
      <c r="R267">
        <f t="shared" si="966"/>
        <v>-29124752533.647705</v>
      </c>
      <c r="S267">
        <f t="shared" si="967"/>
        <v>-291247.52533647703</v>
      </c>
      <c r="T267">
        <f t="shared" si="968"/>
        <v>-291.24752533647705</v>
      </c>
    </row>
    <row r="268" spans="1:20" x14ac:dyDescent="0.25">
      <c r="A268" s="5">
        <v>44325</v>
      </c>
      <c r="B268">
        <v>1.7339E-2</v>
      </c>
      <c r="C268">
        <v>1.7798999999999999E-2</v>
      </c>
      <c r="D268">
        <v>1.6736999999999998E-2</v>
      </c>
      <c r="E268">
        <v>1.7166000000000001E-2</v>
      </c>
      <c r="F268">
        <v>770893328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-0.192090395480222</v>
      </c>
      <c r="Q268">
        <f t="shared" si="965"/>
        <v>-148081204.24858451</v>
      </c>
      <c r="R268">
        <f t="shared" si="966"/>
        <v>-28672478027.327793</v>
      </c>
      <c r="S268">
        <f t="shared" si="967"/>
        <v>-286724.78027327795</v>
      </c>
      <c r="T268">
        <f t="shared" si="968"/>
        <v>-286.72478027327793</v>
      </c>
    </row>
    <row r="269" spans="1:20" x14ac:dyDescent="0.25">
      <c r="A269" s="5">
        <v>44324</v>
      </c>
      <c r="B269">
        <v>1.8352E-2</v>
      </c>
      <c r="C269">
        <v>1.8374999999999999E-2</v>
      </c>
      <c r="D269">
        <v>1.72E-2</v>
      </c>
      <c r="E269">
        <v>1.7344999999999999E-2</v>
      </c>
      <c r="F269">
        <v>701120053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-0.7531914893617031</v>
      </c>
      <c r="Q269">
        <f t="shared" si="965"/>
        <v>-528077656.94042623</v>
      </c>
      <c r="R269">
        <f t="shared" si="966"/>
        <v>-28524396823.079208</v>
      </c>
      <c r="S269">
        <f t="shared" si="967"/>
        <v>-285243.96823079209</v>
      </c>
      <c r="T269">
        <f t="shared" si="968"/>
        <v>-285.24396823079206</v>
      </c>
    </row>
    <row r="270" spans="1:20" x14ac:dyDescent="0.25">
      <c r="A270" s="5">
        <v>44323</v>
      </c>
      <c r="B270">
        <v>1.7306999999999999E-2</v>
      </c>
      <c r="C270">
        <v>1.9484999999999999E-2</v>
      </c>
      <c r="D270">
        <v>1.7228E-2</v>
      </c>
      <c r="E270">
        <v>1.8376E-2</v>
      </c>
      <c r="F270">
        <v>1856664799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1.7279574656624219E-2</v>
      </c>
      <c r="Q270">
        <f t="shared" si="965"/>
        <v>32082378.0066467</v>
      </c>
      <c r="R270">
        <f t="shared" si="966"/>
        <v>-27996319166.138783</v>
      </c>
      <c r="S270">
        <f t="shared" si="967"/>
        <v>-279963.1916613878</v>
      </c>
      <c r="T270">
        <f t="shared" si="968"/>
        <v>-279.96319166138778</v>
      </c>
    </row>
    <row r="271" spans="1:20" x14ac:dyDescent="0.25">
      <c r="A271" s="5">
        <v>44322</v>
      </c>
      <c r="B271">
        <v>1.7579999999999998E-2</v>
      </c>
      <c r="C271">
        <v>1.8282E-2</v>
      </c>
      <c r="D271">
        <v>1.6299999999999999E-2</v>
      </c>
      <c r="E271">
        <v>1.7306999999999999E-2</v>
      </c>
      <c r="F271">
        <v>1022461956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1.6145307769929746E-2</v>
      </c>
      <c r="Q271">
        <f t="shared" si="965"/>
        <v>16507962.962664366</v>
      </c>
      <c r="R271">
        <f t="shared" si="966"/>
        <v>-28028401544.145428</v>
      </c>
      <c r="S271">
        <f t="shared" si="967"/>
        <v>-280284.01544145425</v>
      </c>
      <c r="T271">
        <f t="shared" si="968"/>
        <v>-280.28401544145424</v>
      </c>
    </row>
    <row r="272" spans="1:20" x14ac:dyDescent="0.25">
      <c r="A272" s="5">
        <v>44321</v>
      </c>
      <c r="B272">
        <v>1.6372999999999999E-2</v>
      </c>
      <c r="C272">
        <v>1.8735999999999999E-2</v>
      </c>
      <c r="D272">
        <v>1.6143000000000001E-2</v>
      </c>
      <c r="E272">
        <v>1.7569999999999999E-2</v>
      </c>
      <c r="F272">
        <v>1077472979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0.10065561126108659</v>
      </c>
      <c r="Q272">
        <f t="shared" si="965"/>
        <v>108453701.31854892</v>
      </c>
      <c r="R272">
        <f t="shared" si="966"/>
        <v>-28044909507.108093</v>
      </c>
      <c r="S272">
        <f t="shared" si="967"/>
        <v>-280449.09507108096</v>
      </c>
      <c r="T272">
        <f t="shared" si="968"/>
        <v>-280.44909507108093</v>
      </c>
    </row>
    <row r="273" spans="1:20" x14ac:dyDescent="0.25">
      <c r="A273" s="5">
        <v>44320</v>
      </c>
      <c r="B273">
        <v>1.84E-2</v>
      </c>
      <c r="C273">
        <v>1.8450999999999999E-2</v>
      </c>
      <c r="D273">
        <v>1.6145E-2</v>
      </c>
      <c r="E273">
        <v>1.6372999999999999E-2</v>
      </c>
      <c r="F273">
        <v>1217002317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-0.80225498699046038</v>
      </c>
      <c r="Q273">
        <f t="shared" si="965"/>
        <v>-976346177.99219513</v>
      </c>
      <c r="R273">
        <f t="shared" si="966"/>
        <v>-28153363208.426643</v>
      </c>
      <c r="S273">
        <f t="shared" si="967"/>
        <v>-281533.63208426646</v>
      </c>
      <c r="T273">
        <f t="shared" si="968"/>
        <v>-281.53363208426646</v>
      </c>
    </row>
    <row r="274" spans="1:20" x14ac:dyDescent="0.25">
      <c r="A274" s="5">
        <v>44319</v>
      </c>
      <c r="B274">
        <v>1.9078999999999999E-2</v>
      </c>
      <c r="C274">
        <v>1.9546999999999998E-2</v>
      </c>
      <c r="D274">
        <v>1.7906999999999999E-2</v>
      </c>
      <c r="E274">
        <v>1.8401000000000001E-2</v>
      </c>
      <c r="F274">
        <v>1114948944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-0.39756097560975406</v>
      </c>
      <c r="Q274">
        <f t="shared" si="965"/>
        <v>-443260189.93170506</v>
      </c>
      <c r="R274">
        <f t="shared" si="966"/>
        <v>-27177017030.434448</v>
      </c>
      <c r="S274">
        <f t="shared" si="967"/>
        <v>-271770.1703043445</v>
      </c>
      <c r="T274">
        <f t="shared" si="968"/>
        <v>-271.7701703043445</v>
      </c>
    </row>
    <row r="275" spans="1:20" x14ac:dyDescent="0.25">
      <c r="A275" s="5">
        <v>44318</v>
      </c>
      <c r="B275">
        <v>1.7965999999999999E-2</v>
      </c>
      <c r="C275">
        <v>1.9909E-2</v>
      </c>
      <c r="D275">
        <v>1.7838E-2</v>
      </c>
      <c r="E275">
        <v>1.9050000000000001E-2</v>
      </c>
      <c r="F275">
        <v>1492626730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0.17044905842588248</v>
      </c>
      <c r="Q275">
        <f t="shared" si="965"/>
        <v>254416820.70980391</v>
      </c>
      <c r="R275">
        <f t="shared" si="966"/>
        <v>-26733756840.502743</v>
      </c>
      <c r="S275">
        <f t="shared" si="967"/>
        <v>-267337.56840502744</v>
      </c>
      <c r="T275">
        <f t="shared" si="968"/>
        <v>-267.33756840502747</v>
      </c>
    </row>
    <row r="276" spans="1:20" x14ac:dyDescent="0.25">
      <c r="A276" s="5">
        <v>44317</v>
      </c>
      <c r="B276">
        <v>1.8329999999999999E-2</v>
      </c>
      <c r="C276">
        <v>1.8499000000000002E-2</v>
      </c>
      <c r="D276">
        <v>1.7696E-2</v>
      </c>
      <c r="E276">
        <v>1.7965999999999999E-2</v>
      </c>
      <c r="F276">
        <v>707441975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-0.3275217932752208</v>
      </c>
      <c r="Q276">
        <f t="shared" si="965"/>
        <v>-231702664.2901639</v>
      </c>
      <c r="R276">
        <f t="shared" si="966"/>
        <v>-26988173661.212547</v>
      </c>
      <c r="S276">
        <f t="shared" si="967"/>
        <v>-269881.73661212547</v>
      </c>
      <c r="T276">
        <f t="shared" si="968"/>
        <v>-269.88173661212545</v>
      </c>
    </row>
    <row r="277" spans="1:20" x14ac:dyDescent="0.25">
      <c r="A277" s="5">
        <v>44316</v>
      </c>
      <c r="B277">
        <v>1.7925E-2</v>
      </c>
      <c r="C277">
        <v>1.8796E-2</v>
      </c>
      <c r="D277">
        <v>1.7500000000000002E-2</v>
      </c>
      <c r="E277">
        <v>1.8353000000000001E-2</v>
      </c>
      <c r="F277">
        <v>920698020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0.31635802469135887</v>
      </c>
      <c r="Q277">
        <f t="shared" si="965"/>
        <v>291270206.94444525</v>
      </c>
      <c r="R277">
        <f t="shared" si="966"/>
        <v>-26756470996.922382</v>
      </c>
      <c r="S277">
        <f t="shared" si="967"/>
        <v>-267564.70996922383</v>
      </c>
      <c r="T277">
        <f t="shared" si="968"/>
        <v>-267.56470996922383</v>
      </c>
    </row>
    <row r="278" spans="1:20" x14ac:dyDescent="0.25">
      <c r="A278" s="5">
        <v>44315</v>
      </c>
      <c r="B278">
        <v>1.8502999999999999E-2</v>
      </c>
      <c r="C278">
        <v>1.9122E-2</v>
      </c>
      <c r="D278">
        <v>1.7219999999999999E-2</v>
      </c>
      <c r="E278">
        <v>1.7920999999999999E-2</v>
      </c>
      <c r="F278">
        <v>906544285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-0.26288117770767622</v>
      </c>
      <c r="Q278">
        <f t="shared" si="965"/>
        <v>-238313429.28496328</v>
      </c>
      <c r="R278">
        <f t="shared" si="966"/>
        <v>-27047741203.866829</v>
      </c>
      <c r="S278">
        <f t="shared" si="967"/>
        <v>-270477.41203866829</v>
      </c>
      <c r="T278">
        <f t="shared" si="968"/>
        <v>-270.47741203866832</v>
      </c>
    </row>
    <row r="279" spans="1:20" x14ac:dyDescent="0.25">
      <c r="A279" s="5">
        <v>44314</v>
      </c>
      <c r="B279">
        <v>1.9576E-2</v>
      </c>
      <c r="C279">
        <v>2.0705999999999999E-2</v>
      </c>
      <c r="D279">
        <v>1.7392000000000001E-2</v>
      </c>
      <c r="E279">
        <v>1.8502999999999999E-2</v>
      </c>
      <c r="F279">
        <v>1371452856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-0.32951116475558345</v>
      </c>
      <c r="Q279">
        <f t="shared" si="965"/>
        <v>-451909027.98793149</v>
      </c>
      <c r="R279">
        <f t="shared" si="966"/>
        <v>-26809427774.581867</v>
      </c>
      <c r="S279">
        <f t="shared" si="967"/>
        <v>-268094.27774581866</v>
      </c>
      <c r="T279">
        <f t="shared" si="968"/>
        <v>-268.09427774581866</v>
      </c>
    </row>
    <row r="280" spans="1:20" x14ac:dyDescent="0.25">
      <c r="A280" s="5">
        <v>44313</v>
      </c>
      <c r="B280">
        <v>1.7423000000000001E-2</v>
      </c>
      <c r="C280">
        <v>2.1521999999999999E-2</v>
      </c>
      <c r="D280">
        <v>1.7027E-2</v>
      </c>
      <c r="E280">
        <v>1.9576E-2</v>
      </c>
      <c r="F280">
        <v>1828346408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0.13414905450500544</v>
      </c>
      <c r="Q280">
        <f t="shared" si="965"/>
        <v>245270941.94082293</v>
      </c>
      <c r="R280">
        <f t="shared" si="966"/>
        <v>-26357518746.593937</v>
      </c>
      <c r="S280">
        <f t="shared" si="967"/>
        <v>-263575.18746593938</v>
      </c>
      <c r="T280">
        <f t="shared" si="968"/>
        <v>-263.57518746593939</v>
      </c>
    </row>
    <row r="281" spans="1:20" x14ac:dyDescent="0.25">
      <c r="A281" s="5">
        <v>44312</v>
      </c>
      <c r="B281">
        <v>1.4572999999999999E-2</v>
      </c>
      <c r="C281">
        <v>1.8366E-2</v>
      </c>
      <c r="D281">
        <v>1.4357E-2</v>
      </c>
      <c r="E281">
        <v>1.7415E-2</v>
      </c>
      <c r="F281">
        <v>1690539416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0.52556747318533281</v>
      </c>
      <c r="Q281">
        <f t="shared" si="965"/>
        <v>888492529.18732822</v>
      </c>
      <c r="R281">
        <f t="shared" si="966"/>
        <v>-26602789688.53476</v>
      </c>
      <c r="S281">
        <f t="shared" si="967"/>
        <v>-266027.89688534761</v>
      </c>
      <c r="T281">
        <f t="shared" si="968"/>
        <v>-266.02789688534762</v>
      </c>
    </row>
    <row r="282" spans="1:20" x14ac:dyDescent="0.25">
      <c r="A282" s="5">
        <v>44311</v>
      </c>
      <c r="B282">
        <v>1.5357000000000001E-2</v>
      </c>
      <c r="C282">
        <v>1.67E-2</v>
      </c>
      <c r="D282">
        <v>1.3379E-2</v>
      </c>
      <c r="E282">
        <v>1.4572999999999999E-2</v>
      </c>
      <c r="F282">
        <v>1244074734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-0.28093947606142783</v>
      </c>
      <c r="Q282">
        <f t="shared" si="965"/>
        <v>-349509703.95122021</v>
      </c>
      <c r="R282">
        <f t="shared" si="966"/>
        <v>-27491282217.722088</v>
      </c>
      <c r="S282">
        <f t="shared" si="967"/>
        <v>-274912.82217722089</v>
      </c>
      <c r="T282">
        <f t="shared" si="968"/>
        <v>-274.9128221772209</v>
      </c>
    </row>
    <row r="283" spans="1:20" x14ac:dyDescent="0.25">
      <c r="A283" s="5">
        <v>44310</v>
      </c>
      <c r="B283">
        <v>1.7409999999999998E-2</v>
      </c>
      <c r="C283">
        <v>1.7493000000000002E-2</v>
      </c>
      <c r="D283">
        <v>1.5037E-2</v>
      </c>
      <c r="E283">
        <v>1.5337999999999999E-2</v>
      </c>
      <c r="F283">
        <v>1310779074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-0.7548859934853428</v>
      </c>
      <c r="Q283">
        <f t="shared" si="965"/>
        <v>-989488763.51628768</v>
      </c>
      <c r="R283">
        <f t="shared" si="966"/>
        <v>-27141772513.770866</v>
      </c>
      <c r="S283">
        <f t="shared" si="967"/>
        <v>-271417.72513770865</v>
      </c>
      <c r="T283">
        <f t="shared" si="968"/>
        <v>-271.41772513770866</v>
      </c>
    </row>
    <row r="284" spans="1:20" x14ac:dyDescent="0.25">
      <c r="A284" s="5">
        <v>44309</v>
      </c>
      <c r="B284">
        <v>1.6655E-2</v>
      </c>
      <c r="C284">
        <v>1.78E-2</v>
      </c>
      <c r="D284">
        <v>1.1514E-2</v>
      </c>
      <c r="E284">
        <v>1.7409999999999998E-2</v>
      </c>
      <c r="F284">
        <v>2867876406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0.87591473114858365</v>
      </c>
      <c r="Q284">
        <f t="shared" si="965"/>
        <v>2512015191.1288562</v>
      </c>
      <c r="R284">
        <f t="shared" si="966"/>
        <v>-26152283750.254578</v>
      </c>
      <c r="S284">
        <f t="shared" si="967"/>
        <v>-261522.83750254576</v>
      </c>
      <c r="T284">
        <f t="shared" si="968"/>
        <v>-261.52283750254577</v>
      </c>
    </row>
    <row r="285" spans="1:20" x14ac:dyDescent="0.25">
      <c r="A285" s="5">
        <v>44308</v>
      </c>
      <c r="B285">
        <v>1.9743E-2</v>
      </c>
      <c r="C285">
        <v>2.0251000000000002E-2</v>
      </c>
      <c r="D285">
        <v>1.55E-2</v>
      </c>
      <c r="E285">
        <v>1.6638E-2</v>
      </c>
      <c r="F285">
        <v>1732265380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-0.52094295937697344</v>
      </c>
      <c r="Q285">
        <f t="shared" si="965"/>
        <v>-902411453.48347747</v>
      </c>
      <c r="R285">
        <f t="shared" si="966"/>
        <v>-28664298941.383434</v>
      </c>
      <c r="S285">
        <f t="shared" si="967"/>
        <v>-286642.98941383435</v>
      </c>
      <c r="T285">
        <f t="shared" si="968"/>
        <v>-286.64298941383436</v>
      </c>
    </row>
    <row r="286" spans="1:20" x14ac:dyDescent="0.25">
      <c r="A286" s="5">
        <v>44307</v>
      </c>
      <c r="B286">
        <v>2.1589000000000001E-2</v>
      </c>
      <c r="C286">
        <v>2.1829000000000001E-2</v>
      </c>
      <c r="D286">
        <v>1.9113000000000002E-2</v>
      </c>
      <c r="E286">
        <v>1.9729E-2</v>
      </c>
      <c r="F286">
        <v>1443782616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-0.54639175257732064</v>
      </c>
      <c r="Q286">
        <f t="shared" si="965"/>
        <v>-788870913.89690876</v>
      </c>
      <c r="R286">
        <f t="shared" si="966"/>
        <v>-27761887487.899956</v>
      </c>
      <c r="S286">
        <f t="shared" si="967"/>
        <v>-277618.87487899954</v>
      </c>
      <c r="T286">
        <f t="shared" si="968"/>
        <v>-277.61887487899952</v>
      </c>
    </row>
    <row r="287" spans="1:20" x14ac:dyDescent="0.25">
      <c r="A287" s="5">
        <v>44306</v>
      </c>
      <c r="B287">
        <v>1.9935999999999999E-2</v>
      </c>
      <c r="C287">
        <v>2.2564000000000001E-2</v>
      </c>
      <c r="D287">
        <v>1.8499999999999999E-2</v>
      </c>
      <c r="E287">
        <v>2.1516E-2</v>
      </c>
      <c r="F287">
        <v>2133713573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0.48425196850393704</v>
      </c>
      <c r="Q287">
        <f t="shared" si="965"/>
        <v>1033254997.9488189</v>
      </c>
      <c r="R287">
        <f t="shared" si="966"/>
        <v>-26973016574.003048</v>
      </c>
      <c r="S287">
        <f t="shared" si="967"/>
        <v>-269730.16574003047</v>
      </c>
      <c r="T287">
        <f t="shared" si="968"/>
        <v>-269.73016574003049</v>
      </c>
    </row>
    <row r="288" spans="1:20" x14ac:dyDescent="0.25">
      <c r="A288" s="5">
        <v>44305</v>
      </c>
      <c r="B288">
        <v>2.2692E-2</v>
      </c>
      <c r="C288">
        <v>2.5225000000000001E-2</v>
      </c>
      <c r="D288">
        <v>1.9869000000000001E-2</v>
      </c>
      <c r="E288">
        <v>1.9977999999999999E-2</v>
      </c>
      <c r="F288">
        <v>2828606768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-0.95929798356982898</v>
      </c>
      <c r="Q288">
        <f t="shared" si="965"/>
        <v>-2713476768.8543711</v>
      </c>
      <c r="R288">
        <f t="shared" si="966"/>
        <v>-28006271571.951866</v>
      </c>
      <c r="S288">
        <f t="shared" si="967"/>
        <v>-280062.71571951866</v>
      </c>
      <c r="T288">
        <f t="shared" si="968"/>
        <v>-280.06271571951868</v>
      </c>
    </row>
    <row r="289" spans="1:20" x14ac:dyDescent="0.25">
      <c r="A289" s="5">
        <v>44304</v>
      </c>
      <c r="B289">
        <v>2.2956000000000001E-2</v>
      </c>
      <c r="C289">
        <v>2.3906E-2</v>
      </c>
      <c r="D289">
        <v>1.7000000000000001E-2</v>
      </c>
      <c r="E289">
        <v>2.2693000000000001E-2</v>
      </c>
      <c r="F289">
        <v>3354305825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0.64871126556617464</v>
      </c>
      <c r="Q289">
        <f t="shared" si="965"/>
        <v>2175975976.8317413</v>
      </c>
      <c r="R289">
        <f t="shared" si="966"/>
        <v>-25292794803.097496</v>
      </c>
      <c r="S289">
        <f t="shared" si="967"/>
        <v>-252927.94803097495</v>
      </c>
      <c r="T289">
        <f t="shared" si="968"/>
        <v>-252.92794803097496</v>
      </c>
    </row>
    <row r="290" spans="1:20" x14ac:dyDescent="0.25">
      <c r="A290" s="5">
        <v>44303</v>
      </c>
      <c r="B290">
        <v>2.4442999999999999E-2</v>
      </c>
      <c r="C290">
        <v>2.8500000000000001E-2</v>
      </c>
      <c r="D290">
        <v>2.1833999999999999E-2</v>
      </c>
      <c r="E290">
        <v>2.2943999999999999E-2</v>
      </c>
      <c r="F290">
        <v>4993457733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-0.66696669666966713</v>
      </c>
      <c r="Q290">
        <f t="shared" si="965"/>
        <v>-3330470009.1386147</v>
      </c>
      <c r="R290">
        <f t="shared" si="966"/>
        <v>-27468770779.929237</v>
      </c>
      <c r="S290">
        <f t="shared" si="967"/>
        <v>-274687.7077992924</v>
      </c>
      <c r="T290">
        <f t="shared" si="968"/>
        <v>-274.68770779929241</v>
      </c>
    </row>
    <row r="291" spans="1:20" x14ac:dyDescent="0.25">
      <c r="A291" s="5">
        <v>44302</v>
      </c>
      <c r="B291">
        <v>2.1479000000000002E-2</v>
      </c>
      <c r="C291">
        <v>2.7400000000000001E-2</v>
      </c>
      <c r="D291">
        <v>1.7753999999999999E-2</v>
      </c>
      <c r="E291">
        <v>2.4382999999999998E-2</v>
      </c>
      <c r="F291">
        <v>6942523789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0.37445573294629864</v>
      </c>
      <c r="Q291">
        <f t="shared" si="965"/>
        <v>2599667833.9071093</v>
      </c>
      <c r="R291">
        <f t="shared" si="966"/>
        <v>-24138300770.790623</v>
      </c>
      <c r="S291">
        <f t="shared" si="967"/>
        <v>-241383.00770790622</v>
      </c>
      <c r="T291">
        <f t="shared" si="968"/>
        <v>-241.38300770790622</v>
      </c>
    </row>
    <row r="292" spans="1:20" x14ac:dyDescent="0.25">
      <c r="A292" s="5">
        <v>44301</v>
      </c>
      <c r="B292">
        <v>1.7010000000000001E-2</v>
      </c>
      <c r="C292">
        <v>2.4192000000000002E-2</v>
      </c>
      <c r="D292">
        <v>1.6844000000000001E-2</v>
      </c>
      <c r="E292">
        <v>2.1482999999999999E-2</v>
      </c>
      <c r="F292">
        <v>9566956693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0.26265650517147443</v>
      </c>
      <c r="Q292">
        <f t="shared" si="965"/>
        <v>2512823410.1102266</v>
      </c>
      <c r="R292">
        <f t="shared" si="966"/>
        <v>-26737968604.697731</v>
      </c>
      <c r="S292">
        <f t="shared" si="967"/>
        <v>-267379.68604697729</v>
      </c>
      <c r="T292">
        <f t="shared" si="968"/>
        <v>-267.37968604697727</v>
      </c>
    </row>
    <row r="293" spans="1:20" x14ac:dyDescent="0.25">
      <c r="A293" s="5">
        <v>44300</v>
      </c>
      <c r="B293">
        <v>1.5918000000000002E-2</v>
      </c>
      <c r="C293">
        <v>1.8776999999999999E-2</v>
      </c>
      <c r="D293">
        <v>1.5309E-2</v>
      </c>
      <c r="E293">
        <v>1.7000000000000001E-2</v>
      </c>
      <c r="F293">
        <v>2849962428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-2.4798154555938822E-2</v>
      </c>
      <c r="Q293">
        <f t="shared" si="965"/>
        <v>-70673808.768162668</v>
      </c>
      <c r="R293">
        <f t="shared" si="966"/>
        <v>-29250792014.807957</v>
      </c>
      <c r="S293">
        <f t="shared" si="967"/>
        <v>-292507.92014807957</v>
      </c>
      <c r="T293">
        <f t="shared" si="968"/>
        <v>-292.50792014807956</v>
      </c>
    </row>
    <row r="294" spans="1:20" x14ac:dyDescent="0.25">
      <c r="A294" s="5">
        <v>44299</v>
      </c>
      <c r="B294">
        <v>1.5188E-2</v>
      </c>
      <c r="C294">
        <v>1.6577000000000001E-2</v>
      </c>
      <c r="D294">
        <v>1.4803999999999999E-2</v>
      </c>
      <c r="E294">
        <v>1.5894999999999999E-2</v>
      </c>
      <c r="F294">
        <v>1496499781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0.2306824591088536</v>
      </c>
      <c r="Q294">
        <f t="shared" si="965"/>
        <v>345216249.53694087</v>
      </c>
      <c r="R294">
        <f t="shared" si="966"/>
        <v>-29180118206.039795</v>
      </c>
      <c r="S294">
        <f t="shared" si="967"/>
        <v>-291801.18206039793</v>
      </c>
      <c r="T294">
        <f t="shared" si="968"/>
        <v>-291.80118206039793</v>
      </c>
    </row>
    <row r="295" spans="1:20" x14ac:dyDescent="0.25">
      <c r="A295" s="5">
        <v>44298</v>
      </c>
      <c r="B295">
        <v>1.6597000000000001E-2</v>
      </c>
      <c r="C295">
        <v>1.6650999999999999E-2</v>
      </c>
      <c r="D295">
        <v>1.4892000000000001E-2</v>
      </c>
      <c r="E295">
        <v>1.5199000000000001E-2</v>
      </c>
      <c r="F295">
        <v>1377745860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-0.65093803297328001</v>
      </c>
      <c r="Q295">
        <f t="shared" si="965"/>
        <v>-896827180.04548001</v>
      </c>
      <c r="R295">
        <f t="shared" si="966"/>
        <v>-29525334455.576736</v>
      </c>
      <c r="S295">
        <f t="shared" si="967"/>
        <v>-295253.34455576737</v>
      </c>
      <c r="T295">
        <f t="shared" si="968"/>
        <v>-295.25334455576734</v>
      </c>
    </row>
    <row r="296" spans="1:20" x14ac:dyDescent="0.25">
      <c r="A296" s="5">
        <v>44297</v>
      </c>
      <c r="B296">
        <v>1.7049999999999999E-2</v>
      </c>
      <c r="C296">
        <v>1.729E-2</v>
      </c>
      <c r="D296">
        <v>1.5764E-2</v>
      </c>
      <c r="E296">
        <v>1.6608000000000001E-2</v>
      </c>
      <c r="F296">
        <v>1789149717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0.10615989515072245</v>
      </c>
      <c r="Q296">
        <f t="shared" si="965"/>
        <v>189935946.36566475</v>
      </c>
      <c r="R296">
        <f t="shared" si="966"/>
        <v>-28628507275.531258</v>
      </c>
      <c r="S296">
        <f t="shared" si="967"/>
        <v>-286285.07275531261</v>
      </c>
      <c r="T296">
        <f t="shared" si="968"/>
        <v>-286.28507275531263</v>
      </c>
    </row>
    <row r="297" spans="1:20" x14ac:dyDescent="0.25">
      <c r="A297" s="5">
        <v>44296</v>
      </c>
      <c r="B297">
        <v>1.6173E-2</v>
      </c>
      <c r="C297">
        <v>1.8939999999999999E-2</v>
      </c>
      <c r="D297">
        <v>1.5934E-2</v>
      </c>
      <c r="E297">
        <v>1.7014000000000001E-2</v>
      </c>
      <c r="F297">
        <v>3222969505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-0.28143712574850183</v>
      </c>
      <c r="Q297">
        <f t="shared" si="965"/>
        <v>-907063273.86227167</v>
      </c>
      <c r="R297">
        <f t="shared" si="966"/>
        <v>-28818443221.896923</v>
      </c>
      <c r="S297">
        <f t="shared" si="967"/>
        <v>-288184.43221896922</v>
      </c>
      <c r="T297">
        <f t="shared" si="968"/>
        <v>-288.18443221896922</v>
      </c>
    </row>
    <row r="298" spans="1:20" x14ac:dyDescent="0.25">
      <c r="A298" s="5">
        <v>44295</v>
      </c>
      <c r="B298">
        <v>1.558E-2</v>
      </c>
      <c r="C298">
        <v>1.7149999999999999E-2</v>
      </c>
      <c r="D298">
        <v>1.5357000000000001E-2</v>
      </c>
      <c r="E298">
        <v>1.6164000000000001E-2</v>
      </c>
      <c r="F298">
        <v>1832926600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-9.9832682654766927E-2</v>
      </c>
      <c r="Q298">
        <f t="shared" si="965"/>
        <v>-182985979.58728093</v>
      </c>
      <c r="R298">
        <f t="shared" si="966"/>
        <v>-27911379948.034653</v>
      </c>
      <c r="S298">
        <f t="shared" si="967"/>
        <v>-279113.79948034656</v>
      </c>
      <c r="T298">
        <f t="shared" si="968"/>
        <v>-279.11379948034653</v>
      </c>
    </row>
    <row r="299" spans="1:20" x14ac:dyDescent="0.25">
      <c r="A299" s="5">
        <v>44294</v>
      </c>
      <c r="B299">
        <v>1.4893E-2</v>
      </c>
      <c r="C299">
        <v>1.6376000000000002E-2</v>
      </c>
      <c r="D299">
        <v>1.4661E-2</v>
      </c>
      <c r="E299">
        <v>1.5618E-2</v>
      </c>
      <c r="F299">
        <v>1335113214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0.11603498542273916</v>
      </c>
      <c r="Q299">
        <f t="shared" si="965"/>
        <v>154919842.32419643</v>
      </c>
      <c r="R299">
        <f t="shared" si="966"/>
        <v>-27728393968.447372</v>
      </c>
      <c r="S299">
        <f t="shared" si="967"/>
        <v>-277283.93968447373</v>
      </c>
      <c r="T299">
        <f t="shared" si="968"/>
        <v>-277.28393968447375</v>
      </c>
    </row>
    <row r="300" spans="1:20" x14ac:dyDescent="0.25">
      <c r="A300" s="5">
        <v>44293</v>
      </c>
      <c r="B300">
        <v>1.5872000000000001E-2</v>
      </c>
      <c r="C300">
        <v>1.6749E-2</v>
      </c>
      <c r="D300">
        <v>1.4064999999999999E-2</v>
      </c>
      <c r="E300">
        <v>1.4891E-2</v>
      </c>
      <c r="F300">
        <v>2106774243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-0.38450074515648275</v>
      </c>
      <c r="Q300">
        <f t="shared" si="965"/>
        <v>-810056266.3099848</v>
      </c>
      <c r="R300">
        <f t="shared" si="966"/>
        <v>-27883313810.771568</v>
      </c>
      <c r="S300">
        <f t="shared" si="967"/>
        <v>-278833.1381077157</v>
      </c>
      <c r="T300">
        <f t="shared" si="968"/>
        <v>-278.83313810771568</v>
      </c>
    </row>
    <row r="301" spans="1:20" x14ac:dyDescent="0.25">
      <c r="A301" s="5">
        <v>44292</v>
      </c>
      <c r="B301">
        <v>1.6160999999999998E-2</v>
      </c>
      <c r="C301">
        <v>1.7999999999999999E-2</v>
      </c>
      <c r="D301">
        <v>1.5219999999999999E-2</v>
      </c>
      <c r="E301">
        <v>1.5879000000000001E-2</v>
      </c>
      <c r="F301">
        <v>2713850267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-0.52589928057553836</v>
      </c>
      <c r="Q301">
        <f t="shared" si="965"/>
        <v>-1427211903.0050328</v>
      </c>
      <c r="R301">
        <f t="shared" si="966"/>
        <v>-27073257544.461582</v>
      </c>
      <c r="S301">
        <f t="shared" si="967"/>
        <v>-270732.5754446158</v>
      </c>
      <c r="T301">
        <f t="shared" si="968"/>
        <v>-270.7325754446158</v>
      </c>
    </row>
    <row r="302" spans="1:20" x14ac:dyDescent="0.25">
      <c r="A302" s="5">
        <v>44291</v>
      </c>
      <c r="B302">
        <v>1.532E-2</v>
      </c>
      <c r="C302">
        <v>1.9025E-2</v>
      </c>
      <c r="D302">
        <v>1.4800000000000001E-2</v>
      </c>
      <c r="E302">
        <v>1.6164000000000001E-2</v>
      </c>
      <c r="F302">
        <v>4103855488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-0.35431952662721855</v>
      </c>
      <c r="Q302">
        <f t="shared" si="965"/>
        <v>-1454076133.8546729</v>
      </c>
      <c r="R302">
        <f t="shared" si="966"/>
        <v>-25646045641.456551</v>
      </c>
      <c r="S302">
        <f t="shared" si="967"/>
        <v>-256460.4564145655</v>
      </c>
      <c r="T302">
        <f t="shared" si="968"/>
        <v>-256.4604564145655</v>
      </c>
    </row>
    <row r="303" spans="1:20" x14ac:dyDescent="0.25">
      <c r="A303" s="5">
        <v>44290</v>
      </c>
      <c r="B303">
        <v>1.4670000000000001E-2</v>
      </c>
      <c r="C303">
        <v>1.5928000000000001E-2</v>
      </c>
      <c r="D303">
        <v>1.439E-2</v>
      </c>
      <c r="E303">
        <v>1.5355000000000001E-2</v>
      </c>
      <c r="F303">
        <v>1758070214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0.25487646293888144</v>
      </c>
      <c r="Q303">
        <f t="shared" si="965"/>
        <v>448090717.74252236</v>
      </c>
      <c r="R303">
        <f t="shared" si="966"/>
        <v>-24191969507.601879</v>
      </c>
      <c r="S303">
        <f t="shared" si="967"/>
        <v>-241919.6950760188</v>
      </c>
      <c r="T303">
        <f t="shared" si="968"/>
        <v>-241.9196950760188</v>
      </c>
    </row>
    <row r="304" spans="1:20" x14ac:dyDescent="0.25">
      <c r="A304" s="5">
        <v>44289</v>
      </c>
      <c r="B304">
        <v>1.6899999999999998E-2</v>
      </c>
      <c r="C304">
        <v>1.6988E-2</v>
      </c>
      <c r="D304">
        <v>1.4500000000000001E-2</v>
      </c>
      <c r="E304">
        <v>1.4685E-2</v>
      </c>
      <c r="F304">
        <v>2301490390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-0.85128617363344095</v>
      </c>
      <c r="Q304">
        <f t="shared" si="965"/>
        <v>-1959226947.7572358</v>
      </c>
      <c r="R304">
        <f t="shared" si="966"/>
        <v>-24640060225.344402</v>
      </c>
      <c r="S304">
        <f t="shared" si="967"/>
        <v>-246400.60225344403</v>
      </c>
      <c r="T304">
        <f t="shared" si="968"/>
        <v>-246.40060225344402</v>
      </c>
    </row>
    <row r="305" spans="1:20" x14ac:dyDescent="0.25">
      <c r="A305" s="5">
        <v>44288</v>
      </c>
      <c r="B305">
        <v>1.4023000000000001E-2</v>
      </c>
      <c r="C305">
        <v>1.754E-2</v>
      </c>
      <c r="D305">
        <v>1.3318999999999999E-2</v>
      </c>
      <c r="E305">
        <v>1.6900999999999999E-2</v>
      </c>
      <c r="F305">
        <v>4050448972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0.69722814498933872</v>
      </c>
      <c r="Q305">
        <f t="shared" si="965"/>
        <v>2824087023.1215339</v>
      </c>
      <c r="R305">
        <f t="shared" si="966"/>
        <v>-22680833277.587166</v>
      </c>
      <c r="S305">
        <f t="shared" si="967"/>
        <v>-226808.33277587165</v>
      </c>
      <c r="T305">
        <f t="shared" si="968"/>
        <v>-226.80833277587163</v>
      </c>
    </row>
    <row r="306" spans="1:20" x14ac:dyDescent="0.25">
      <c r="A306" s="5">
        <v>44287</v>
      </c>
      <c r="B306">
        <v>1.5918999999999999E-2</v>
      </c>
      <c r="C306">
        <v>1.6572E-2</v>
      </c>
      <c r="D306">
        <v>1.357E-2</v>
      </c>
      <c r="E306">
        <v>1.4023000000000001E-2</v>
      </c>
      <c r="F306">
        <v>3705061456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-0.6982011992005327</v>
      </c>
      <c r="Q306">
        <f t="shared" si="965"/>
        <v>-2586878351.6908717</v>
      </c>
      <c r="R306">
        <f t="shared" si="966"/>
        <v>-25504920300.708698</v>
      </c>
      <c r="S306">
        <f t="shared" si="967"/>
        <v>-255049.203007087</v>
      </c>
      <c r="T306">
        <f t="shared" si="968"/>
        <v>-255.04920300708699</v>
      </c>
    </row>
    <row r="307" spans="1:20" x14ac:dyDescent="0.25">
      <c r="A307" s="5">
        <v>44286</v>
      </c>
      <c r="B307">
        <v>1.7375999999999999E-2</v>
      </c>
      <c r="C307">
        <v>1.7864000000000001E-2</v>
      </c>
      <c r="D307">
        <v>1.5472E-2</v>
      </c>
      <c r="E307">
        <v>1.5959000000000001E-2</v>
      </c>
      <c r="F307">
        <v>2606051137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-0.5928093645484942</v>
      </c>
      <c r="Q307">
        <f t="shared" si="965"/>
        <v>-1544891518.5058508</v>
      </c>
      <c r="R307">
        <f t="shared" si="966"/>
        <v>-22918041949.017826</v>
      </c>
      <c r="S307">
        <f t="shared" si="967"/>
        <v>-229180.41949017826</v>
      </c>
      <c r="T307">
        <f t="shared" si="968"/>
        <v>-229.18041949017825</v>
      </c>
    </row>
    <row r="308" spans="1:20" x14ac:dyDescent="0.25">
      <c r="A308" s="5">
        <v>44285</v>
      </c>
      <c r="B308">
        <v>1.8704999999999999E-2</v>
      </c>
      <c r="C308">
        <v>1.8792E-2</v>
      </c>
      <c r="D308">
        <v>1.6714E-2</v>
      </c>
      <c r="E308">
        <v>1.7375999999999999E-2</v>
      </c>
      <c r="F308">
        <v>1646225096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-0.36284889316650681</v>
      </c>
      <c r="Q308">
        <f t="shared" si="965"/>
        <v>-597330953.98652637</v>
      </c>
      <c r="R308">
        <f t="shared" si="966"/>
        <v>-21373150430.511974</v>
      </c>
      <c r="S308">
        <f t="shared" si="967"/>
        <v>-213731.50430511974</v>
      </c>
      <c r="T308">
        <f t="shared" si="968"/>
        <v>-213.73150430511976</v>
      </c>
    </row>
    <row r="309" spans="1:20" x14ac:dyDescent="0.25">
      <c r="A309" s="5">
        <v>44284</v>
      </c>
      <c r="B309">
        <v>1.8492999999999999E-2</v>
      </c>
      <c r="C309">
        <v>1.9599999999999999E-2</v>
      </c>
      <c r="D309">
        <v>1.7757999999999999E-2</v>
      </c>
      <c r="E309">
        <v>1.8703999999999998E-2</v>
      </c>
      <c r="F309">
        <v>1153496506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2.7144408251899003E-2</v>
      </c>
      <c r="Q309">
        <f t="shared" si="965"/>
        <v>31310980.076003067</v>
      </c>
      <c r="R309">
        <f t="shared" si="966"/>
        <v>-20775819476.525448</v>
      </c>
      <c r="S309">
        <f t="shared" si="967"/>
        <v>-207758.19476525448</v>
      </c>
      <c r="T309">
        <f t="shared" si="968"/>
        <v>-207.75819476525447</v>
      </c>
    </row>
    <row r="310" spans="1:20" x14ac:dyDescent="0.25">
      <c r="A310" s="5">
        <v>44283</v>
      </c>
      <c r="B310">
        <v>1.8103000000000001E-2</v>
      </c>
      <c r="C310">
        <v>1.8849999999999999E-2</v>
      </c>
      <c r="D310">
        <v>1.7500000000000002E-2</v>
      </c>
      <c r="E310">
        <v>1.8475999999999999E-2</v>
      </c>
      <c r="F310">
        <v>933284985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0.44592592592592567</v>
      </c>
      <c r="Q310">
        <f t="shared" si="965"/>
        <v>416175971.08888865</v>
      </c>
      <c r="R310">
        <f t="shared" si="966"/>
        <v>-20807130456.601452</v>
      </c>
      <c r="S310">
        <f t="shared" si="967"/>
        <v>-208071.30456601453</v>
      </c>
      <c r="T310">
        <f t="shared" si="968"/>
        <v>-208.07130456601453</v>
      </c>
    </row>
    <row r="311" spans="1:20" x14ac:dyDescent="0.25">
      <c r="A311" s="5">
        <v>44282</v>
      </c>
      <c r="B311">
        <v>1.9712E-2</v>
      </c>
      <c r="C311">
        <v>1.9921999999999999E-2</v>
      </c>
      <c r="D311">
        <v>1.8027999999999999E-2</v>
      </c>
      <c r="E311">
        <v>1.8065000000000001E-2</v>
      </c>
      <c r="F311">
        <v>1488748040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-0.96092925026398912</v>
      </c>
      <c r="Q311">
        <f t="shared" si="965"/>
        <v>-1430581537.9091833</v>
      </c>
      <c r="R311">
        <f t="shared" si="966"/>
        <v>-21223306427.690342</v>
      </c>
      <c r="S311">
        <f t="shared" si="967"/>
        <v>-212233.06427690343</v>
      </c>
      <c r="T311">
        <f t="shared" si="968"/>
        <v>-212.23306427690343</v>
      </c>
    </row>
    <row r="312" spans="1:20" x14ac:dyDescent="0.25">
      <c r="A312" s="5">
        <v>44281</v>
      </c>
      <c r="B312">
        <v>1.6693E-2</v>
      </c>
      <c r="C312">
        <v>0.02</v>
      </c>
      <c r="D312">
        <v>1.6199000000000002E-2</v>
      </c>
      <c r="E312">
        <v>1.9712E-2</v>
      </c>
      <c r="F312">
        <v>1696577802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0.84846093133385947</v>
      </c>
      <c r="Q312">
        <f t="shared" si="965"/>
        <v>1439479981.9652722</v>
      </c>
      <c r="R312">
        <f t="shared" si="966"/>
        <v>-19792724889.781158</v>
      </c>
      <c r="S312">
        <f t="shared" si="967"/>
        <v>-197927.24889781157</v>
      </c>
      <c r="T312">
        <f t="shared" si="968"/>
        <v>-197.92724889781158</v>
      </c>
    </row>
    <row r="313" spans="1:20" x14ac:dyDescent="0.25">
      <c r="A313" s="5">
        <v>44280</v>
      </c>
      <c r="B313">
        <v>1.7642000000000001E-2</v>
      </c>
      <c r="C313">
        <v>1.9292E-2</v>
      </c>
      <c r="D313">
        <v>1.61E-2</v>
      </c>
      <c r="E313">
        <v>1.6694000000000001E-2</v>
      </c>
      <c r="F313">
        <v>1856178586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-0.62781954887218006</v>
      </c>
      <c r="Q313">
        <f t="shared" si="965"/>
        <v>-1165345202.4887211</v>
      </c>
      <c r="R313">
        <f t="shared" si="966"/>
        <v>-21232204871.746429</v>
      </c>
      <c r="S313">
        <f t="shared" si="967"/>
        <v>-212322.04871746429</v>
      </c>
      <c r="T313">
        <f t="shared" si="968"/>
        <v>-212.3220487174643</v>
      </c>
    </row>
    <row r="314" spans="1:20" x14ac:dyDescent="0.25">
      <c r="A314" s="5">
        <v>44279</v>
      </c>
      <c r="B314">
        <v>1.7108000000000002E-2</v>
      </c>
      <c r="C314">
        <v>2.1000000000000001E-2</v>
      </c>
      <c r="D314">
        <v>1.6250000000000001E-2</v>
      </c>
      <c r="E314">
        <v>1.7669000000000001E-2</v>
      </c>
      <c r="F314">
        <v>3020095395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-0.40252631578947373</v>
      </c>
      <c r="Q314">
        <f t="shared" si="965"/>
        <v>-1215667872.6821053</v>
      </c>
      <c r="R314">
        <f t="shared" si="966"/>
        <v>-20066859669.25771</v>
      </c>
      <c r="S314">
        <f t="shared" si="967"/>
        <v>-200668.59669257709</v>
      </c>
      <c r="T314">
        <f t="shared" si="968"/>
        <v>-200.6685966925771</v>
      </c>
    </row>
    <row r="315" spans="1:20" x14ac:dyDescent="0.25">
      <c r="A315" s="5">
        <v>44278</v>
      </c>
      <c r="B315">
        <v>1.8598E-2</v>
      </c>
      <c r="C315">
        <v>1.9134000000000002E-2</v>
      </c>
      <c r="D315">
        <v>1.5589E-2</v>
      </c>
      <c r="E315">
        <v>1.712E-2</v>
      </c>
      <c r="F315">
        <v>2781044793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-0.13624823695345623</v>
      </c>
      <c r="Q315">
        <f t="shared" si="965"/>
        <v>-378912449.93483961</v>
      </c>
      <c r="R315">
        <f t="shared" si="966"/>
        <v>-18851191796.575603</v>
      </c>
      <c r="S315">
        <f t="shared" si="967"/>
        <v>-188511.91796575603</v>
      </c>
      <c r="T315">
        <f t="shared" si="968"/>
        <v>-188.51191796575603</v>
      </c>
    </row>
    <row r="316" spans="1:20" x14ac:dyDescent="0.25">
      <c r="A316" s="5">
        <v>44277</v>
      </c>
      <c r="B316">
        <v>2.0072E-2</v>
      </c>
      <c r="C316">
        <v>2.2290000000000001E-2</v>
      </c>
      <c r="D316">
        <v>1.6805E-2</v>
      </c>
      <c r="E316">
        <v>1.8608E-2</v>
      </c>
      <c r="F316">
        <v>3445320585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-0.34257064721969044</v>
      </c>
      <c r="Q316">
        <f t="shared" si="965"/>
        <v>-1180265702.6827724</v>
      </c>
      <c r="R316">
        <f t="shared" si="966"/>
        <v>-18472279346.640762</v>
      </c>
      <c r="S316">
        <f t="shared" si="967"/>
        <v>-184722.79346640763</v>
      </c>
      <c r="T316">
        <f t="shared" si="968"/>
        <v>-184.72279346640764</v>
      </c>
    </row>
    <row r="317" spans="1:20" x14ac:dyDescent="0.25">
      <c r="A317" s="5">
        <v>44276</v>
      </c>
      <c r="B317">
        <v>1.8315999999999999E-2</v>
      </c>
      <c r="C317">
        <v>2.3855999999999999E-2</v>
      </c>
      <c r="D317">
        <v>1.7528999999999999E-2</v>
      </c>
      <c r="E317">
        <v>2.0072E-2</v>
      </c>
      <c r="F317">
        <v>8415903963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-0.19614351193298549</v>
      </c>
      <c r="Q317">
        <f t="shared" si="965"/>
        <v>-1650724959.3935504</v>
      </c>
      <c r="R317">
        <f t="shared" si="966"/>
        <v>-17292013643.957989</v>
      </c>
      <c r="S317">
        <f t="shared" si="967"/>
        <v>-172920.13643957989</v>
      </c>
      <c r="T317">
        <f t="shared" si="968"/>
        <v>-172.92013643957989</v>
      </c>
    </row>
    <row r="318" spans="1:20" x14ac:dyDescent="0.25">
      <c r="A318" s="5">
        <v>44275</v>
      </c>
      <c r="B318">
        <v>1.248E-2</v>
      </c>
      <c r="C318">
        <v>2.4409E-2</v>
      </c>
      <c r="D318">
        <v>1.2408000000000001E-2</v>
      </c>
      <c r="E318">
        <v>1.8301999999999999E-2</v>
      </c>
      <c r="F318">
        <v>14314233839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-1.7748520956587212E-2</v>
      </c>
      <c r="Q318">
        <f t="shared" si="965"/>
        <v>-254056479.26898134</v>
      </c>
      <c r="R318">
        <f t="shared" si="966"/>
        <v>-15641288684.56444</v>
      </c>
      <c r="S318">
        <f t="shared" si="967"/>
        <v>-156412.88684564439</v>
      </c>
      <c r="T318">
        <f t="shared" si="968"/>
        <v>-156.41288684564438</v>
      </c>
    </row>
    <row r="319" spans="1:20" x14ac:dyDescent="0.25">
      <c r="A319" s="5">
        <v>44274</v>
      </c>
      <c r="B319">
        <v>1.0579E-2</v>
      </c>
      <c r="C319">
        <v>1.32E-2</v>
      </c>
      <c r="D319">
        <v>1.0251E-2</v>
      </c>
      <c r="E319">
        <v>1.2487E-2</v>
      </c>
      <c r="F319">
        <v>2311047294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0.51644625296710744</v>
      </c>
      <c r="Q319">
        <f t="shared" si="965"/>
        <v>1193531715.4160731</v>
      </c>
      <c r="R319">
        <f t="shared" si="966"/>
        <v>-15387232205.295458</v>
      </c>
      <c r="S319">
        <f t="shared" si="967"/>
        <v>-153872.32205295458</v>
      </c>
      <c r="T319">
        <f t="shared" si="968"/>
        <v>-153.87232205295459</v>
      </c>
    </row>
    <row r="320" spans="1:20" x14ac:dyDescent="0.25">
      <c r="A320" s="5">
        <v>44273</v>
      </c>
      <c r="B320">
        <v>1.0944000000000001E-2</v>
      </c>
      <c r="C320">
        <v>1.189E-2</v>
      </c>
      <c r="D320">
        <v>1.0234E-2</v>
      </c>
      <c r="E320">
        <v>1.0578000000000001E-2</v>
      </c>
      <c r="F320">
        <v>1685114785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-0.58454106280193152</v>
      </c>
      <c r="Q320">
        <f t="shared" si="965"/>
        <v>-985018787.36714828</v>
      </c>
      <c r="R320">
        <f t="shared" si="966"/>
        <v>-16580763920.711531</v>
      </c>
      <c r="S320">
        <f t="shared" si="967"/>
        <v>-165807.63920711531</v>
      </c>
      <c r="T320">
        <f t="shared" si="968"/>
        <v>-165.8076392071153</v>
      </c>
    </row>
    <row r="321" spans="1:20" x14ac:dyDescent="0.25">
      <c r="A321" s="5">
        <v>44272</v>
      </c>
      <c r="B321">
        <v>1.0078E-2</v>
      </c>
      <c r="C321">
        <v>1.1390000000000001E-2</v>
      </c>
      <c r="D321">
        <v>9.7280000000000005E-3</v>
      </c>
      <c r="E321">
        <v>1.0944000000000001E-2</v>
      </c>
      <c r="F321">
        <v>1942431093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0.46329723225030067</v>
      </c>
      <c r="Q321">
        <f t="shared" si="965"/>
        <v>899922949.22382641</v>
      </c>
      <c r="R321">
        <f t="shared" si="966"/>
        <v>-15595745133.344383</v>
      </c>
      <c r="S321">
        <f t="shared" si="967"/>
        <v>-155957.45133344384</v>
      </c>
      <c r="T321">
        <f t="shared" si="968"/>
        <v>-155.95745133344383</v>
      </c>
    </row>
    <row r="322" spans="1:20" x14ac:dyDescent="0.25">
      <c r="A322" s="5">
        <v>44271</v>
      </c>
      <c r="B322">
        <v>1.1323E-2</v>
      </c>
      <c r="C322">
        <v>1.29E-2</v>
      </c>
      <c r="D322">
        <v>9.7190000000000002E-3</v>
      </c>
      <c r="E322">
        <v>1.008E-2</v>
      </c>
      <c r="F322">
        <v>5207293532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-0.77302734988997157</v>
      </c>
      <c r="Q322">
        <f t="shared" si="965"/>
        <v>-4025380319.14115</v>
      </c>
      <c r="R322">
        <f t="shared" si="966"/>
        <v>-16495668082.568211</v>
      </c>
      <c r="S322">
        <f t="shared" si="967"/>
        <v>-164956.6808256821</v>
      </c>
      <c r="T322">
        <f t="shared" si="968"/>
        <v>-164.9566808256821</v>
      </c>
    </row>
    <row r="323" spans="1:20" x14ac:dyDescent="0.25">
      <c r="A323" s="5">
        <v>44270</v>
      </c>
      <c r="B323">
        <v>8.0890000000000007E-3</v>
      </c>
      <c r="C323">
        <v>1.3599999999999999E-2</v>
      </c>
      <c r="D323">
        <v>7.9439999999999997E-3</v>
      </c>
      <c r="E323">
        <v>1.1315E-2</v>
      </c>
      <c r="F323">
        <v>10784346812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0.19200848656294237</v>
      </c>
      <c r="Q323">
        <f t="shared" si="965"/>
        <v>2070686109.9420123</v>
      </c>
      <c r="R323">
        <f t="shared" si="966"/>
        <v>-12470287763.427061</v>
      </c>
      <c r="S323">
        <f t="shared" si="967"/>
        <v>-124702.87763427061</v>
      </c>
      <c r="T323">
        <f t="shared" si="968"/>
        <v>-124.70287763427061</v>
      </c>
    </row>
    <row r="324" spans="1:20" x14ac:dyDescent="0.25">
      <c r="A324" s="5">
        <v>44269</v>
      </c>
      <c r="B324">
        <v>7.1580000000000003E-3</v>
      </c>
      <c r="C324">
        <v>8.6999999999999994E-3</v>
      </c>
      <c r="D324">
        <v>6.5319999999999996E-3</v>
      </c>
      <c r="E324">
        <v>8.1010000000000006E-3</v>
      </c>
      <c r="F324">
        <v>4419444490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0.44741697416974269</v>
      </c>
      <c r="Q324">
        <f t="shared" si="965"/>
        <v>1977334481.2269416</v>
      </c>
      <c r="R324">
        <f t="shared" si="966"/>
        <v>-14540973873.369074</v>
      </c>
      <c r="S324">
        <f t="shared" si="967"/>
        <v>-145409.73873369073</v>
      </c>
      <c r="T324">
        <f t="shared" si="968"/>
        <v>-145.40973873369072</v>
      </c>
    </row>
    <row r="325" spans="1:20" x14ac:dyDescent="0.25">
      <c r="A325" s="5">
        <v>44268</v>
      </c>
      <c r="B325">
        <v>5.934E-3</v>
      </c>
      <c r="C325">
        <v>7.3299999999999997E-3</v>
      </c>
      <c r="D325">
        <v>5.757E-3</v>
      </c>
      <c r="E325">
        <v>7.1529999999999996E-3</v>
      </c>
      <c r="F325">
        <v>2077268640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0.77495232040686568</v>
      </c>
      <c r="Q325">
        <f t="shared" si="965"/>
        <v>1609784152.676414</v>
      </c>
      <c r="R325">
        <f t="shared" si="966"/>
        <v>-16518308354.596016</v>
      </c>
      <c r="S325">
        <f t="shared" si="967"/>
        <v>-165183.08354596017</v>
      </c>
      <c r="T325">
        <f t="shared" si="968"/>
        <v>-165.18308354596016</v>
      </c>
    </row>
    <row r="326" spans="1:20" x14ac:dyDescent="0.25">
      <c r="A326" s="5">
        <v>44267</v>
      </c>
      <c r="B326">
        <v>6.1260000000000004E-3</v>
      </c>
      <c r="C326">
        <v>6.43E-3</v>
      </c>
      <c r="D326">
        <v>5.7600000000000004E-3</v>
      </c>
      <c r="E326">
        <v>5.914E-3</v>
      </c>
      <c r="F326">
        <v>821518363</v>
      </c>
      <c r="G326">
        <v>0</v>
      </c>
      <c r="L326" t="s">
        <v>8</v>
      </c>
      <c r="M326" t="s">
        <v>7</v>
      </c>
      <c r="N326" t="s">
        <v>7</v>
      </c>
      <c r="P326">
        <f t="shared" ref="P326:P389" si="969">IF(C326=D326,0,((E326-D326)-(C326-E326))/(C326-D326))</f>
        <v>-0.54029850746268737</v>
      </c>
      <c r="Q326">
        <f t="shared" ref="Q326:Q389" si="970">F326*P326</f>
        <v>-443865145.38209021</v>
      </c>
      <c r="R326">
        <f t="shared" ref="R326:R389" si="971">R327+Q326</f>
        <v>-18128092507.27243</v>
      </c>
      <c r="S326">
        <f t="shared" ref="S326:S389" si="972">R326/100000</f>
        <v>-181280.92507272429</v>
      </c>
      <c r="T326">
        <f t="shared" ref="T326:T389" si="973">S326/1000</f>
        <v>-181.2809250727243</v>
      </c>
    </row>
    <row r="327" spans="1:20" x14ac:dyDescent="0.25">
      <c r="A327" s="5">
        <v>44266</v>
      </c>
      <c r="B327">
        <v>5.8950000000000001E-3</v>
      </c>
      <c r="C327">
        <v>6.4070000000000004E-3</v>
      </c>
      <c r="D327">
        <v>5.5970000000000004E-3</v>
      </c>
      <c r="E327">
        <v>6.1050000000000002E-3</v>
      </c>
      <c r="F327">
        <v>935273494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0.25432098765432049</v>
      </c>
      <c r="Q327">
        <f t="shared" si="970"/>
        <v>237859678.72098717</v>
      </c>
      <c r="R327">
        <f t="shared" si="971"/>
        <v>-17684227361.890339</v>
      </c>
      <c r="S327">
        <f t="shared" si="972"/>
        <v>-176842.27361890339</v>
      </c>
      <c r="T327">
        <f t="shared" si="973"/>
        <v>-176.84227361890339</v>
      </c>
    </row>
    <row r="328" spans="1:20" x14ac:dyDescent="0.25">
      <c r="A328" s="5">
        <v>44265</v>
      </c>
      <c r="B328">
        <v>6.2430000000000003E-3</v>
      </c>
      <c r="C328">
        <v>6.3670000000000003E-3</v>
      </c>
      <c r="D328">
        <v>5.7470000000000004E-3</v>
      </c>
      <c r="E328">
        <v>5.8979999999999996E-3</v>
      </c>
      <c r="F328">
        <v>1050022426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-0.51290322580645398</v>
      </c>
      <c r="Q328">
        <f t="shared" si="970"/>
        <v>-538559889.46451867</v>
      </c>
      <c r="R328">
        <f t="shared" si="971"/>
        <v>-17922087040.611324</v>
      </c>
      <c r="S328">
        <f t="shared" si="972"/>
        <v>-179220.87040611324</v>
      </c>
      <c r="T328">
        <f t="shared" si="973"/>
        <v>-179.22087040611325</v>
      </c>
    </row>
    <row r="329" spans="1:20" x14ac:dyDescent="0.25">
      <c r="A329" s="5">
        <v>44264</v>
      </c>
      <c r="B329">
        <v>6.4440000000000001E-3</v>
      </c>
      <c r="C329">
        <v>6.5900000000000004E-3</v>
      </c>
      <c r="D329">
        <v>6.0520000000000001E-3</v>
      </c>
      <c r="E329">
        <v>6.2469999999999999E-3</v>
      </c>
      <c r="F329">
        <v>992061116</v>
      </c>
      <c r="G329">
        <v>0</v>
      </c>
      <c r="L329" t="s">
        <v>7</v>
      </c>
      <c r="M329" t="s">
        <v>8</v>
      </c>
      <c r="N329" t="s">
        <v>7</v>
      </c>
      <c r="P329">
        <f t="shared" si="969"/>
        <v>-0.27509293680297486</v>
      </c>
      <c r="Q329">
        <f t="shared" si="970"/>
        <v>-272909005.88847673</v>
      </c>
      <c r="R329">
        <f t="shared" si="971"/>
        <v>-17383527151.146805</v>
      </c>
      <c r="S329">
        <f t="shared" si="972"/>
        <v>-173835.27151146805</v>
      </c>
      <c r="T329">
        <f t="shared" si="973"/>
        <v>-173.83527151146805</v>
      </c>
    </row>
    <row r="330" spans="1:20" x14ac:dyDescent="0.25">
      <c r="A330" s="5">
        <v>44263</v>
      </c>
      <c r="B330">
        <v>5.9769999999999997E-3</v>
      </c>
      <c r="C330">
        <v>6.5440000000000003E-3</v>
      </c>
      <c r="D330">
        <v>5.6849999999999999E-3</v>
      </c>
      <c r="E330">
        <v>6.4289999999999998E-3</v>
      </c>
      <c r="F330">
        <v>1180156792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0.73224679860302566</v>
      </c>
      <c r="Q330">
        <f t="shared" si="970"/>
        <v>864166032.7916168</v>
      </c>
      <c r="R330">
        <f t="shared" si="971"/>
        <v>-17110618145.258329</v>
      </c>
      <c r="S330">
        <f t="shared" si="972"/>
        <v>-171106.18145258329</v>
      </c>
      <c r="T330">
        <f t="shared" si="973"/>
        <v>-171.10618145258329</v>
      </c>
    </row>
    <row r="331" spans="1:20" x14ac:dyDescent="0.25">
      <c r="A331" s="5">
        <v>44262</v>
      </c>
      <c r="B331">
        <v>5.4330000000000003E-3</v>
      </c>
      <c r="C331">
        <v>6.2989999999999999E-3</v>
      </c>
      <c r="D331">
        <v>5.4330000000000003E-3</v>
      </c>
      <c r="E331">
        <v>5.9769999999999997E-3</v>
      </c>
      <c r="F331">
        <v>1251110600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0.25635103926096908</v>
      </c>
      <c r="Q331">
        <f t="shared" si="970"/>
        <v>320723502.54041457</v>
      </c>
      <c r="R331">
        <f t="shared" si="971"/>
        <v>-17974784178.049946</v>
      </c>
      <c r="S331">
        <f t="shared" si="972"/>
        <v>-179747.84178049947</v>
      </c>
      <c r="T331">
        <f t="shared" si="973"/>
        <v>-179.74784178049947</v>
      </c>
    </row>
    <row r="332" spans="1:20" x14ac:dyDescent="0.25">
      <c r="A332" s="5">
        <v>44261</v>
      </c>
      <c r="B332">
        <v>5.5040000000000002E-3</v>
      </c>
      <c r="C332">
        <v>5.9410000000000001E-3</v>
      </c>
      <c r="D332">
        <v>5.2100000000000002E-3</v>
      </c>
      <c r="E332">
        <v>5.4450000000000002E-3</v>
      </c>
      <c r="F332">
        <v>602828977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-0.35704514363885087</v>
      </c>
      <c r="Q332">
        <f t="shared" si="970"/>
        <v>-215237158.68262652</v>
      </c>
      <c r="R332">
        <f t="shared" si="971"/>
        <v>-18295507680.590359</v>
      </c>
      <c r="S332">
        <f t="shared" si="972"/>
        <v>-182955.07680590358</v>
      </c>
      <c r="T332">
        <f t="shared" si="973"/>
        <v>-182.95507680590359</v>
      </c>
    </row>
    <row r="333" spans="1:20" x14ac:dyDescent="0.25">
      <c r="A333" s="5">
        <v>44260</v>
      </c>
      <c r="B333">
        <v>5.4669999999999996E-3</v>
      </c>
      <c r="C333">
        <v>5.8500000000000002E-3</v>
      </c>
      <c r="D333">
        <v>5.0000000000000001E-3</v>
      </c>
      <c r="E333">
        <v>5.4879999999999998E-3</v>
      </c>
      <c r="F333">
        <v>1071066858</v>
      </c>
      <c r="G333">
        <v>0</v>
      </c>
      <c r="L333" t="s">
        <v>8</v>
      </c>
      <c r="M333" t="s">
        <v>7</v>
      </c>
      <c r="N333" t="s">
        <v>7</v>
      </c>
      <c r="P333">
        <f t="shared" si="969"/>
        <v>0.14823529411764633</v>
      </c>
      <c r="Q333">
        <f t="shared" si="970"/>
        <v>158769910.71529335</v>
      </c>
      <c r="R333">
        <f t="shared" si="971"/>
        <v>-18080270521.907734</v>
      </c>
      <c r="S333">
        <f t="shared" si="972"/>
        <v>-180802.70521907732</v>
      </c>
      <c r="T333">
        <f t="shared" si="973"/>
        <v>-180.80270521907732</v>
      </c>
    </row>
    <row r="334" spans="1:20" x14ac:dyDescent="0.25">
      <c r="A334" s="5">
        <v>44259</v>
      </c>
      <c r="B334">
        <v>6.0660000000000002E-3</v>
      </c>
      <c r="C334">
        <v>6.4549999999999998E-3</v>
      </c>
      <c r="D334">
        <v>5.0000000000000001E-3</v>
      </c>
      <c r="E334">
        <v>5.4710000000000002E-3</v>
      </c>
      <c r="F334">
        <v>2984933587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-0.35257731958762867</v>
      </c>
      <c r="Q334">
        <f t="shared" si="970"/>
        <v>-1052419883.2515458</v>
      </c>
      <c r="R334">
        <f t="shared" si="971"/>
        <v>-18239040432.623028</v>
      </c>
      <c r="S334">
        <f t="shared" si="972"/>
        <v>-182390.40432623029</v>
      </c>
      <c r="T334">
        <f t="shared" si="973"/>
        <v>-182.39040432623028</v>
      </c>
    </row>
    <row r="335" spans="1:20" x14ac:dyDescent="0.25">
      <c r="A335" s="5">
        <v>44258</v>
      </c>
      <c r="B335">
        <v>4.4999999999999997E-3</v>
      </c>
      <c r="C335">
        <v>7.2779999999999997E-3</v>
      </c>
      <c r="D335">
        <v>4.444E-3</v>
      </c>
      <c r="E335">
        <v>6.0730000000000003E-3</v>
      </c>
      <c r="F335">
        <v>2969721358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0.14961185603387467</v>
      </c>
      <c r="Q335">
        <f t="shared" si="970"/>
        <v>444305524.27381879</v>
      </c>
      <c r="R335">
        <f t="shared" si="971"/>
        <v>-17186620549.371483</v>
      </c>
      <c r="S335">
        <f t="shared" si="972"/>
        <v>-171866.20549371484</v>
      </c>
      <c r="T335">
        <f t="shared" si="973"/>
        <v>-171.86620549371483</v>
      </c>
    </row>
    <row r="336" spans="1:20" x14ac:dyDescent="0.25">
      <c r="A336" s="5">
        <v>44257</v>
      </c>
      <c r="B336">
        <v>4.7869999999999996E-3</v>
      </c>
      <c r="C336">
        <v>4.895E-3</v>
      </c>
      <c r="D336">
        <v>4.3420000000000004E-3</v>
      </c>
      <c r="E336">
        <v>4.5009999999999998E-3</v>
      </c>
      <c r="F336">
        <v>455607522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-0.42495479204340142</v>
      </c>
      <c r="Q336">
        <f t="shared" si="970"/>
        <v>-193612599.76491943</v>
      </c>
      <c r="R336">
        <f t="shared" si="971"/>
        <v>-17630926073.645302</v>
      </c>
      <c r="S336">
        <f t="shared" si="972"/>
        <v>-176309.26073645303</v>
      </c>
      <c r="T336">
        <f t="shared" si="973"/>
        <v>-176.30926073645304</v>
      </c>
    </row>
    <row r="337" spans="1:20" x14ac:dyDescent="0.25">
      <c r="A337" s="5">
        <v>44256</v>
      </c>
      <c r="B337">
        <v>4.143E-3</v>
      </c>
      <c r="C337">
        <v>4.8190000000000004E-3</v>
      </c>
      <c r="D337">
        <v>4.1229999999999999E-3</v>
      </c>
      <c r="E337">
        <v>4.7869999999999996E-3</v>
      </c>
      <c r="F337">
        <v>666270641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0.90804597701149203</v>
      </c>
      <c r="Q337">
        <f t="shared" si="970"/>
        <v>605004375.16091812</v>
      </c>
      <c r="R337">
        <f t="shared" si="971"/>
        <v>-17437313473.880383</v>
      </c>
      <c r="S337">
        <f t="shared" si="972"/>
        <v>-174373.13473880381</v>
      </c>
      <c r="T337">
        <f t="shared" si="973"/>
        <v>-174.3731347388038</v>
      </c>
    </row>
    <row r="338" spans="1:20" x14ac:dyDescent="0.25">
      <c r="A338" s="5">
        <v>44255</v>
      </c>
      <c r="B338">
        <v>4.463E-3</v>
      </c>
      <c r="C338">
        <v>4.463E-3</v>
      </c>
      <c r="D338">
        <v>3.8E-3</v>
      </c>
      <c r="E338">
        <v>4.1180000000000001E-3</v>
      </c>
      <c r="F338">
        <v>791722304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-4.0723981900452011E-2</v>
      </c>
      <c r="Q338">
        <f t="shared" si="970"/>
        <v>-32242084.778280165</v>
      </c>
      <c r="R338">
        <f t="shared" si="971"/>
        <v>-18042317849.041302</v>
      </c>
      <c r="S338">
        <f t="shared" si="972"/>
        <v>-180423.178490413</v>
      </c>
      <c r="T338">
        <f t="shared" si="973"/>
        <v>-180.42317849041299</v>
      </c>
    </row>
    <row r="339" spans="1:20" x14ac:dyDescent="0.25">
      <c r="A339" s="5">
        <v>44254</v>
      </c>
      <c r="B339">
        <v>4.509E-3</v>
      </c>
      <c r="C339">
        <v>4.7800000000000004E-3</v>
      </c>
      <c r="D339">
        <v>4.3499999999999997E-3</v>
      </c>
      <c r="E339">
        <v>4.4650000000000002E-3</v>
      </c>
      <c r="F339">
        <v>602632765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-0.46511627906976588</v>
      </c>
      <c r="Q339">
        <f t="shared" si="970"/>
        <v>-280294309.30232465</v>
      </c>
      <c r="R339">
        <f t="shared" si="971"/>
        <v>-18010075764.263023</v>
      </c>
      <c r="S339">
        <f t="shared" si="972"/>
        <v>-180100.75764263023</v>
      </c>
      <c r="T339">
        <f t="shared" si="973"/>
        <v>-180.10075764263021</v>
      </c>
    </row>
    <row r="340" spans="1:20" x14ac:dyDescent="0.25">
      <c r="A340" s="5">
        <v>44253</v>
      </c>
      <c r="B340">
        <v>4.5529999999999998E-3</v>
      </c>
      <c r="C340">
        <v>4.8640000000000003E-3</v>
      </c>
      <c r="D340">
        <v>4.1320000000000003E-3</v>
      </c>
      <c r="E340">
        <v>4.509E-3</v>
      </c>
      <c r="F340">
        <v>741014534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3.0054644808742419E-2</v>
      </c>
      <c r="Q340">
        <f t="shared" si="970"/>
        <v>22270928.617485784</v>
      </c>
      <c r="R340">
        <f t="shared" si="971"/>
        <v>-17729781454.960697</v>
      </c>
      <c r="S340">
        <f t="shared" si="972"/>
        <v>-177297.81454960696</v>
      </c>
      <c r="T340">
        <f t="shared" si="973"/>
        <v>-177.29781454960695</v>
      </c>
    </row>
    <row r="341" spans="1:20" x14ac:dyDescent="0.25">
      <c r="A341" s="5">
        <v>44252</v>
      </c>
      <c r="B341">
        <v>4.9690000000000003E-3</v>
      </c>
      <c r="C341">
        <v>5.1659999999999996E-3</v>
      </c>
      <c r="D341">
        <v>4.4770000000000001E-3</v>
      </c>
      <c r="E341">
        <v>4.5519999999999996E-3</v>
      </c>
      <c r="F341">
        <v>858365127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-0.78229317851959479</v>
      </c>
      <c r="Q341">
        <f t="shared" si="970"/>
        <v>-671493183.53120565</v>
      </c>
      <c r="R341">
        <f t="shared" si="971"/>
        <v>-17752052383.578182</v>
      </c>
      <c r="S341">
        <f t="shared" si="972"/>
        <v>-177520.52383578182</v>
      </c>
      <c r="T341">
        <f t="shared" si="973"/>
        <v>-177.52052383578183</v>
      </c>
    </row>
    <row r="342" spans="1:20" x14ac:dyDescent="0.25">
      <c r="A342" s="5">
        <v>44251</v>
      </c>
      <c r="B342">
        <v>4.9890000000000004E-3</v>
      </c>
      <c r="C342">
        <v>5.5979999999999997E-3</v>
      </c>
      <c r="D342">
        <v>4.627E-3</v>
      </c>
      <c r="E342">
        <v>4.9509999999999997E-3</v>
      </c>
      <c r="F342">
        <v>1174300633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-0.33264675592173065</v>
      </c>
      <c r="Q342">
        <f t="shared" si="970"/>
        <v>-390627296.04428482</v>
      </c>
      <c r="R342">
        <f t="shared" si="971"/>
        <v>-17080559200.046976</v>
      </c>
      <c r="S342">
        <f t="shared" si="972"/>
        <v>-170805.59200046977</v>
      </c>
      <c r="T342">
        <f t="shared" si="973"/>
        <v>-170.80559200046977</v>
      </c>
    </row>
    <row r="343" spans="1:20" x14ac:dyDescent="0.25">
      <c r="A343" s="5">
        <v>44250</v>
      </c>
      <c r="B343">
        <v>5.8939999999999999E-3</v>
      </c>
      <c r="C343">
        <v>5.9709999999999997E-3</v>
      </c>
      <c r="D343">
        <v>3.7200000000000002E-3</v>
      </c>
      <c r="E343">
        <v>4.9890000000000004E-3</v>
      </c>
      <c r="F343">
        <v>1811536138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0.12749888938249704</v>
      </c>
      <c r="Q343">
        <f t="shared" si="970"/>
        <v>230968845.67125788</v>
      </c>
      <c r="R343">
        <f t="shared" si="971"/>
        <v>-16689931904.002691</v>
      </c>
      <c r="S343">
        <f t="shared" si="972"/>
        <v>-166899.31904002692</v>
      </c>
      <c r="T343">
        <f t="shared" si="973"/>
        <v>-166.89931904002691</v>
      </c>
    </row>
    <row r="344" spans="1:20" x14ac:dyDescent="0.25">
      <c r="A344" s="5">
        <v>44249</v>
      </c>
      <c r="B344">
        <v>6.6740000000000002E-3</v>
      </c>
      <c r="C344">
        <v>6.7930000000000004E-3</v>
      </c>
      <c r="D344">
        <v>5.0109999999999998E-3</v>
      </c>
      <c r="E344">
        <v>5.8939999999999999E-3</v>
      </c>
      <c r="F344">
        <v>1644187577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-8.9786756453425279E-3</v>
      </c>
      <c r="Q344">
        <f t="shared" si="970"/>
        <v>-14762626.953984642</v>
      </c>
      <c r="R344">
        <f t="shared" si="971"/>
        <v>-16920900749.673948</v>
      </c>
      <c r="S344">
        <f t="shared" si="972"/>
        <v>-169209.00749673948</v>
      </c>
      <c r="T344">
        <f t="shared" si="973"/>
        <v>-169.20900749673947</v>
      </c>
    </row>
    <row r="345" spans="1:20" x14ac:dyDescent="0.25">
      <c r="A345" s="5">
        <v>44248</v>
      </c>
      <c r="B345">
        <v>6.2729999999999999E-3</v>
      </c>
      <c r="C345">
        <v>7.3000000000000001E-3</v>
      </c>
      <c r="D345">
        <v>5.8500000000000002E-3</v>
      </c>
      <c r="E345">
        <v>6.672E-3</v>
      </c>
      <c r="F345">
        <v>2727940520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0.13379310344827569</v>
      </c>
      <c r="Q345">
        <f t="shared" si="970"/>
        <v>364979628.19310296</v>
      </c>
      <c r="R345">
        <f t="shared" si="971"/>
        <v>-16906138122.719963</v>
      </c>
      <c r="S345">
        <f t="shared" si="972"/>
        <v>-169061.38122719963</v>
      </c>
      <c r="T345">
        <f t="shared" si="973"/>
        <v>-169.06138122719963</v>
      </c>
    </row>
    <row r="346" spans="1:20" x14ac:dyDescent="0.25">
      <c r="A346" s="5">
        <v>44247</v>
      </c>
      <c r="B346">
        <v>5.5259999999999997E-3</v>
      </c>
      <c r="C346">
        <v>7.3000000000000001E-3</v>
      </c>
      <c r="D346">
        <v>5.0800000000000003E-3</v>
      </c>
      <c r="E346">
        <v>6.2740000000000001E-3</v>
      </c>
      <c r="F346">
        <v>3351881101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7.5675675675675569E-2</v>
      </c>
      <c r="Q346">
        <f t="shared" si="970"/>
        <v>253655867.10270235</v>
      </c>
      <c r="R346">
        <f t="shared" si="971"/>
        <v>-17271117750.913067</v>
      </c>
      <c r="S346">
        <f t="shared" si="972"/>
        <v>-172711.17750913068</v>
      </c>
      <c r="T346">
        <f t="shared" si="973"/>
        <v>-172.71117750913066</v>
      </c>
    </row>
    <row r="347" spans="1:20" x14ac:dyDescent="0.25">
      <c r="A347" s="5">
        <v>44246</v>
      </c>
      <c r="B347">
        <v>5.9630000000000004E-3</v>
      </c>
      <c r="C347">
        <v>6.1289999999999999E-3</v>
      </c>
      <c r="D347">
        <v>5.241E-3</v>
      </c>
      <c r="E347">
        <v>5.5269999999999998E-3</v>
      </c>
      <c r="F347">
        <v>1594737732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-0.35585585585585622</v>
      </c>
      <c r="Q347">
        <f t="shared" si="970"/>
        <v>-567496760.48648703</v>
      </c>
      <c r="R347">
        <f t="shared" si="971"/>
        <v>-17524773618.01577</v>
      </c>
      <c r="S347">
        <f t="shared" si="972"/>
        <v>-175247.73618015769</v>
      </c>
      <c r="T347">
        <f t="shared" si="973"/>
        <v>-175.24773618015769</v>
      </c>
    </row>
    <row r="348" spans="1:20" x14ac:dyDescent="0.25">
      <c r="A348" s="5">
        <v>44245</v>
      </c>
      <c r="B348">
        <v>5.8019999999999999E-3</v>
      </c>
      <c r="C348">
        <v>6.4980000000000003E-3</v>
      </c>
      <c r="D348">
        <v>5.6820000000000004E-3</v>
      </c>
      <c r="E348">
        <v>5.9699999999999996E-3</v>
      </c>
      <c r="F348">
        <v>1443780598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-0.29411764705882543</v>
      </c>
      <c r="Q348">
        <f t="shared" si="970"/>
        <v>-424641352.3529439</v>
      </c>
      <c r="R348">
        <f t="shared" si="971"/>
        <v>-16957276857.529282</v>
      </c>
      <c r="S348">
        <f t="shared" si="972"/>
        <v>-169572.76857529281</v>
      </c>
      <c r="T348">
        <f t="shared" si="973"/>
        <v>-169.5727685752928</v>
      </c>
    </row>
    <row r="349" spans="1:20" x14ac:dyDescent="0.25">
      <c r="A349" s="5">
        <v>44244</v>
      </c>
      <c r="B349">
        <v>6.2570000000000004E-3</v>
      </c>
      <c r="C349">
        <v>6.3E-3</v>
      </c>
      <c r="D349">
        <v>5.5529999999999998E-3</v>
      </c>
      <c r="E349">
        <v>5.7920000000000003E-3</v>
      </c>
      <c r="F349">
        <v>1233786221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-0.36010709504685301</v>
      </c>
      <c r="Q349">
        <f t="shared" si="970"/>
        <v>-444295171.95314461</v>
      </c>
      <c r="R349">
        <f t="shared" si="971"/>
        <v>-16532635505.176338</v>
      </c>
      <c r="S349">
        <f t="shared" si="972"/>
        <v>-165326.35505176338</v>
      </c>
      <c r="T349">
        <f t="shared" si="973"/>
        <v>-165.32635505176339</v>
      </c>
    </row>
    <row r="350" spans="1:20" x14ac:dyDescent="0.25">
      <c r="A350" s="5">
        <v>44243</v>
      </c>
      <c r="B350">
        <v>6.7999999999999996E-3</v>
      </c>
      <c r="C350">
        <v>6.9470000000000001E-3</v>
      </c>
      <c r="D350">
        <v>5.8599999999999998E-3</v>
      </c>
      <c r="E350">
        <v>6.2570000000000004E-3</v>
      </c>
      <c r="F350">
        <v>1479706060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-0.26954921803127774</v>
      </c>
      <c r="Q350">
        <f t="shared" si="970"/>
        <v>-398853611.38914293</v>
      </c>
      <c r="R350">
        <f t="shared" si="971"/>
        <v>-16088340333.223194</v>
      </c>
      <c r="S350">
        <f t="shared" si="972"/>
        <v>-160883.40333223194</v>
      </c>
      <c r="T350">
        <f t="shared" si="973"/>
        <v>-160.88340333223195</v>
      </c>
    </row>
    <row r="351" spans="1:20" x14ac:dyDescent="0.25">
      <c r="A351" s="5">
        <v>44242</v>
      </c>
      <c r="B351">
        <v>6.6800000000000002E-3</v>
      </c>
      <c r="C351">
        <v>7.4980000000000003E-3</v>
      </c>
      <c r="D351">
        <v>5.5149999999999999E-3</v>
      </c>
      <c r="E351">
        <v>6.7869999999999996E-3</v>
      </c>
      <c r="F351">
        <v>3426052599</v>
      </c>
      <c r="G351">
        <v>0</v>
      </c>
      <c r="L351" t="s">
        <v>8</v>
      </c>
      <c r="M351" t="s">
        <v>8</v>
      </c>
      <c r="N351" t="s">
        <v>7</v>
      </c>
      <c r="P351">
        <f t="shared" si="969"/>
        <v>0.2829046898638421</v>
      </c>
      <c r="Q351">
        <f t="shared" si="970"/>
        <v>969246347.97730517</v>
      </c>
      <c r="R351">
        <f t="shared" si="971"/>
        <v>-15689486721.834051</v>
      </c>
      <c r="S351">
        <f t="shared" si="972"/>
        <v>-156894.86721834051</v>
      </c>
      <c r="T351">
        <f t="shared" si="973"/>
        <v>-156.89486721834052</v>
      </c>
    </row>
    <row r="352" spans="1:20" x14ac:dyDescent="0.25">
      <c r="A352" s="5">
        <v>44241</v>
      </c>
      <c r="B352">
        <v>7.1479999999999998E-3</v>
      </c>
      <c r="C352">
        <v>7.6E-3</v>
      </c>
      <c r="D352">
        <v>5.3210000000000002E-3</v>
      </c>
      <c r="E352">
        <v>6.6800000000000002E-3</v>
      </c>
      <c r="F352">
        <v>4602296490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0.1926283457656868</v>
      </c>
      <c r="Q352">
        <f t="shared" si="970"/>
        <v>886532759.59192669</v>
      </c>
      <c r="R352">
        <f t="shared" si="971"/>
        <v>-16658733069.811356</v>
      </c>
      <c r="S352">
        <f t="shared" si="972"/>
        <v>-166587.33069811357</v>
      </c>
      <c r="T352">
        <f t="shared" si="973"/>
        <v>-166.58733069811356</v>
      </c>
    </row>
    <row r="353" spans="1:20" x14ac:dyDescent="0.25">
      <c r="A353" s="5">
        <v>44240</v>
      </c>
      <c r="B353">
        <v>4.8469999999999997E-3</v>
      </c>
      <c r="C353">
        <v>8.9599999999999992E-3</v>
      </c>
      <c r="D353">
        <v>4.4819999999999999E-3</v>
      </c>
      <c r="E353">
        <v>7.1500000000000001E-3</v>
      </c>
      <c r="F353">
        <v>20139166031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0.191603394372488</v>
      </c>
      <c r="Q353">
        <f t="shared" si="970"/>
        <v>3858732571.3707066</v>
      </c>
      <c r="R353">
        <f t="shared" si="971"/>
        <v>-17545265829.403282</v>
      </c>
      <c r="S353">
        <f t="shared" si="972"/>
        <v>-175452.65829403282</v>
      </c>
      <c r="T353">
        <f t="shared" si="973"/>
        <v>-175.45265829403283</v>
      </c>
    </row>
    <row r="354" spans="1:20" x14ac:dyDescent="0.25">
      <c r="A354" s="5">
        <v>44239</v>
      </c>
      <c r="B354">
        <v>2.983E-3</v>
      </c>
      <c r="C354">
        <v>5.9500000000000004E-3</v>
      </c>
      <c r="D354">
        <v>2.9129999999999998E-3</v>
      </c>
      <c r="E354">
        <v>4.8640000000000003E-3</v>
      </c>
      <c r="F354">
        <v>6337020238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0.28482054659203165</v>
      </c>
      <c r="Q354">
        <f t="shared" si="970"/>
        <v>1804913567.9519265</v>
      </c>
      <c r="R354">
        <f t="shared" si="971"/>
        <v>-21403998400.773991</v>
      </c>
      <c r="S354">
        <f t="shared" si="972"/>
        <v>-214039.9840077399</v>
      </c>
      <c r="T354">
        <f t="shared" si="973"/>
        <v>-214.03998400773989</v>
      </c>
    </row>
    <row r="355" spans="1:20" x14ac:dyDescent="0.25">
      <c r="A355" s="5">
        <v>44238</v>
      </c>
      <c r="B355">
        <v>2.6459999999999999E-3</v>
      </c>
      <c r="C355">
        <v>3.199E-3</v>
      </c>
      <c r="D355">
        <v>2.5270000000000002E-3</v>
      </c>
      <c r="E355">
        <v>2.98E-3</v>
      </c>
      <c r="F355">
        <v>2175860796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0.34821428571428553</v>
      </c>
      <c r="Q355">
        <f t="shared" si="970"/>
        <v>757665812.89285672</v>
      </c>
      <c r="R355">
        <f t="shared" si="971"/>
        <v>-23208911968.725918</v>
      </c>
      <c r="S355">
        <f t="shared" si="972"/>
        <v>-232089.11968725917</v>
      </c>
      <c r="T355">
        <f t="shared" si="973"/>
        <v>-232.08911968725917</v>
      </c>
    </row>
    <row r="356" spans="1:20" x14ac:dyDescent="0.25">
      <c r="A356" s="5">
        <v>44237</v>
      </c>
      <c r="B356">
        <v>2.8279999999999998E-3</v>
      </c>
      <c r="C356">
        <v>3.7230000000000002E-3</v>
      </c>
      <c r="D356">
        <v>2.3999999999999998E-3</v>
      </c>
      <c r="E356">
        <v>2.6329999999999999E-3</v>
      </c>
      <c r="F356">
        <v>6360916989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-0.64777021919879052</v>
      </c>
      <c r="Q356">
        <f t="shared" si="970"/>
        <v>-4120412592.2698407</v>
      </c>
      <c r="R356">
        <f t="shared" si="971"/>
        <v>-23966577781.618774</v>
      </c>
      <c r="S356">
        <f t="shared" si="972"/>
        <v>-239665.77781618774</v>
      </c>
      <c r="T356">
        <f t="shared" si="973"/>
        <v>-239.66577781618773</v>
      </c>
    </row>
    <row r="357" spans="1:20" x14ac:dyDescent="0.25">
      <c r="A357" s="5">
        <v>44236</v>
      </c>
      <c r="B357">
        <v>1.6490000000000001E-3</v>
      </c>
      <c r="C357">
        <v>3.2000000000000002E-3</v>
      </c>
      <c r="D357">
        <v>1.6199999999999999E-3</v>
      </c>
      <c r="E357">
        <v>2.8279999999999998E-3</v>
      </c>
      <c r="F357">
        <v>11568227992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0.52911392405063251</v>
      </c>
      <c r="Q357">
        <f t="shared" si="970"/>
        <v>6120910507.1594887</v>
      </c>
      <c r="R357">
        <f t="shared" si="971"/>
        <v>-19846165189.348934</v>
      </c>
      <c r="S357">
        <f t="shared" si="972"/>
        <v>-198461.65189348935</v>
      </c>
      <c r="T357">
        <f t="shared" si="973"/>
        <v>-198.46165189348935</v>
      </c>
    </row>
    <row r="358" spans="1:20" x14ac:dyDescent="0.25">
      <c r="A358" s="5">
        <v>44235</v>
      </c>
      <c r="B358">
        <v>1.4530000000000001E-3</v>
      </c>
      <c r="C358">
        <v>1.6999999999999999E-3</v>
      </c>
      <c r="D358">
        <v>1.4400000000000001E-3</v>
      </c>
      <c r="E358">
        <v>1.6490000000000001E-3</v>
      </c>
      <c r="F358">
        <v>1524780385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0.60769230769230875</v>
      </c>
      <c r="Q358">
        <f t="shared" si="970"/>
        <v>926597310.88461697</v>
      </c>
      <c r="R358">
        <f t="shared" si="971"/>
        <v>-25967075696.508423</v>
      </c>
      <c r="S358">
        <f t="shared" si="972"/>
        <v>-259670.75696508423</v>
      </c>
      <c r="T358">
        <f t="shared" si="973"/>
        <v>-259.67075696508425</v>
      </c>
    </row>
    <row r="359" spans="1:20" x14ac:dyDescent="0.25">
      <c r="A359" s="5">
        <v>44234</v>
      </c>
      <c r="B359">
        <v>1.488E-3</v>
      </c>
      <c r="C359">
        <v>1.536E-3</v>
      </c>
      <c r="D359">
        <v>1.39E-3</v>
      </c>
      <c r="E359">
        <v>1.4530000000000001E-3</v>
      </c>
      <c r="F359">
        <v>640657772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-0.13698630136986181</v>
      </c>
      <c r="Q359">
        <f t="shared" si="970"/>
        <v>-87761338.630136222</v>
      </c>
      <c r="R359">
        <f t="shared" si="971"/>
        <v>-26893673007.39304</v>
      </c>
      <c r="S359">
        <f t="shared" si="972"/>
        <v>-268936.7300739304</v>
      </c>
      <c r="T359">
        <f t="shared" si="973"/>
        <v>-268.93673007393039</v>
      </c>
    </row>
    <row r="360" spans="1:20" x14ac:dyDescent="0.25">
      <c r="A360" s="5">
        <v>44233</v>
      </c>
      <c r="B360">
        <v>1.537E-3</v>
      </c>
      <c r="C360">
        <v>1.552E-3</v>
      </c>
      <c r="D360">
        <v>1.4710000000000001E-3</v>
      </c>
      <c r="E360">
        <v>1.4829999999999999E-3</v>
      </c>
      <c r="F360">
        <v>628935196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-0.70370370370370683</v>
      </c>
      <c r="Q360">
        <f t="shared" si="970"/>
        <v>-442584026.81481677</v>
      </c>
      <c r="R360">
        <f t="shared" si="971"/>
        <v>-26805911668.762905</v>
      </c>
      <c r="S360">
        <f t="shared" si="972"/>
        <v>-268059.11668762902</v>
      </c>
      <c r="T360">
        <f t="shared" si="973"/>
        <v>-268.059116687629</v>
      </c>
    </row>
    <row r="361" spans="1:20" x14ac:dyDescent="0.25">
      <c r="A361" s="5">
        <v>44232</v>
      </c>
      <c r="B361">
        <v>1.4419999999999999E-3</v>
      </c>
      <c r="C361">
        <v>1.5590000000000001E-3</v>
      </c>
      <c r="D361">
        <v>1.4300000000000001E-3</v>
      </c>
      <c r="E361">
        <v>1.537E-3</v>
      </c>
      <c r="F361">
        <v>1006443192</v>
      </c>
      <c r="G361">
        <v>0</v>
      </c>
      <c r="L361" t="s">
        <v>7</v>
      </c>
      <c r="M361" t="s">
        <v>8</v>
      </c>
      <c r="N361" t="s">
        <v>7</v>
      </c>
      <c r="P361">
        <f t="shared" si="969"/>
        <v>0.65891472868216894</v>
      </c>
      <c r="Q361">
        <f t="shared" si="970"/>
        <v>663160242.79069602</v>
      </c>
      <c r="R361">
        <f t="shared" si="971"/>
        <v>-26363327641.94809</v>
      </c>
      <c r="S361">
        <f t="shared" si="972"/>
        <v>-263633.27641948091</v>
      </c>
      <c r="T361">
        <f t="shared" si="973"/>
        <v>-263.63327641948092</v>
      </c>
    </row>
    <row r="362" spans="1:20" x14ac:dyDescent="0.25">
      <c r="A362" s="5">
        <v>44231</v>
      </c>
      <c r="B362">
        <v>1.5399999999999999E-3</v>
      </c>
      <c r="C362">
        <v>1.583E-3</v>
      </c>
      <c r="D362">
        <v>1.431E-3</v>
      </c>
      <c r="E362">
        <v>1.446E-3</v>
      </c>
      <c r="F362">
        <v>633520488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-0.80263157894736792</v>
      </c>
      <c r="Q362">
        <f t="shared" si="970"/>
        <v>-508483549.57894707</v>
      </c>
      <c r="R362">
        <f t="shared" si="971"/>
        <v>-27026487884.738785</v>
      </c>
      <c r="S362">
        <f t="shared" si="972"/>
        <v>-270264.87884738785</v>
      </c>
      <c r="T362">
        <f t="shared" si="973"/>
        <v>-270.26487884738788</v>
      </c>
    </row>
    <row r="363" spans="1:20" x14ac:dyDescent="0.25">
      <c r="A363" s="5">
        <v>44230</v>
      </c>
      <c r="B363">
        <v>1.467E-3</v>
      </c>
      <c r="C363">
        <v>1.562E-3</v>
      </c>
      <c r="D363">
        <v>1.4400000000000001E-3</v>
      </c>
      <c r="E363">
        <v>1.5399999999999999E-3</v>
      </c>
      <c r="F363">
        <v>787323084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0.63934426229508012</v>
      </c>
      <c r="Q363">
        <f t="shared" si="970"/>
        <v>503370496.32786739</v>
      </c>
      <c r="R363">
        <f t="shared" si="971"/>
        <v>-26518004335.15984</v>
      </c>
      <c r="S363">
        <f t="shared" si="972"/>
        <v>-265180.04335159838</v>
      </c>
      <c r="T363">
        <f t="shared" si="973"/>
        <v>-265.18004335159839</v>
      </c>
    </row>
    <row r="364" spans="1:20" x14ac:dyDescent="0.25">
      <c r="A364" s="5">
        <v>44229</v>
      </c>
      <c r="B364">
        <v>1.4419999999999999E-3</v>
      </c>
      <c r="C364">
        <v>1.493E-3</v>
      </c>
      <c r="D364">
        <v>1.3799999999999999E-3</v>
      </c>
      <c r="E364">
        <v>1.4760000000000001E-3</v>
      </c>
      <c r="F364">
        <v>577068494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0.69911504424779003</v>
      </c>
      <c r="Q364">
        <f t="shared" si="970"/>
        <v>403437265.71681553</v>
      </c>
      <c r="R364">
        <f t="shared" si="971"/>
        <v>-27021374831.487705</v>
      </c>
      <c r="S364">
        <f t="shared" si="972"/>
        <v>-270213.74831487704</v>
      </c>
      <c r="T364">
        <f t="shared" si="973"/>
        <v>-270.21374831487702</v>
      </c>
    </row>
    <row r="365" spans="1:20" x14ac:dyDescent="0.25">
      <c r="A365" s="5">
        <v>44228</v>
      </c>
      <c r="B365">
        <v>1.3290000000000001E-3</v>
      </c>
      <c r="C365">
        <v>1.467E-3</v>
      </c>
      <c r="D365">
        <v>1.2669999999999999E-3</v>
      </c>
      <c r="E365">
        <v>1.4430000000000001E-3</v>
      </c>
      <c r="F365">
        <v>811459100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0.76000000000000079</v>
      </c>
      <c r="Q365">
        <f t="shared" si="970"/>
        <v>616708916.0000006</v>
      </c>
      <c r="R365">
        <f t="shared" si="971"/>
        <v>-27424812097.204521</v>
      </c>
      <c r="S365">
        <f t="shared" si="972"/>
        <v>-274248.12097204523</v>
      </c>
      <c r="T365">
        <f t="shared" si="973"/>
        <v>-274.24812097204523</v>
      </c>
    </row>
    <row r="366" spans="1:20" x14ac:dyDescent="0.25">
      <c r="A366" s="5">
        <v>44227</v>
      </c>
      <c r="B366">
        <v>1.418E-3</v>
      </c>
      <c r="C366">
        <v>1.5250000000000001E-3</v>
      </c>
      <c r="D366">
        <v>1.2949999999999999E-3</v>
      </c>
      <c r="E366">
        <v>1.3290000000000001E-3</v>
      </c>
      <c r="F366">
        <v>1093459327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-0.70434782608695523</v>
      </c>
      <c r="Q366">
        <f t="shared" si="970"/>
        <v>-770175699.88695514</v>
      </c>
      <c r="R366">
        <f t="shared" si="971"/>
        <v>-28041521013.204521</v>
      </c>
      <c r="S366">
        <f t="shared" si="972"/>
        <v>-280415.21013204521</v>
      </c>
      <c r="T366">
        <f t="shared" si="973"/>
        <v>-280.41521013204522</v>
      </c>
    </row>
    <row r="367" spans="1:20" x14ac:dyDescent="0.25">
      <c r="A367" s="5">
        <v>44226</v>
      </c>
      <c r="B367">
        <v>1.5139999999999999E-3</v>
      </c>
      <c r="C367">
        <v>1.8500000000000001E-3</v>
      </c>
      <c r="D367">
        <v>1.3699999999999999E-3</v>
      </c>
      <c r="E367">
        <v>1.426E-3</v>
      </c>
      <c r="F367">
        <v>3516111159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-0.7666666666666665</v>
      </c>
      <c r="Q367">
        <f t="shared" si="970"/>
        <v>-2695685221.8999996</v>
      </c>
      <c r="R367">
        <f t="shared" si="971"/>
        <v>-27271345313.317566</v>
      </c>
      <c r="S367">
        <f t="shared" si="972"/>
        <v>-272713.45313317567</v>
      </c>
      <c r="T367">
        <f t="shared" si="973"/>
        <v>-272.71345313317568</v>
      </c>
    </row>
    <row r="368" spans="1:20" x14ac:dyDescent="0.25">
      <c r="A368" s="5">
        <v>44225</v>
      </c>
      <c r="B368">
        <v>1.235E-3</v>
      </c>
      <c r="C368">
        <v>1.9E-3</v>
      </c>
      <c r="D368">
        <v>1.1869999999999999E-3</v>
      </c>
      <c r="E368">
        <v>1.5150000000000001E-3</v>
      </c>
      <c r="F368">
        <v>3898277009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-7.994389901823247E-2</v>
      </c>
      <c r="Q368">
        <f t="shared" si="970"/>
        <v>-311643463.55259329</v>
      </c>
      <c r="R368">
        <f t="shared" si="971"/>
        <v>-24575660091.417564</v>
      </c>
      <c r="S368">
        <f t="shared" si="972"/>
        <v>-245756.60091417565</v>
      </c>
      <c r="T368">
        <f t="shared" si="973"/>
        <v>-245.75660091417566</v>
      </c>
    </row>
    <row r="369" spans="1:20" x14ac:dyDescent="0.25">
      <c r="A369" s="5">
        <v>44224</v>
      </c>
      <c r="B369">
        <v>1.2049999999999999E-3</v>
      </c>
      <c r="C369">
        <v>1.3140000000000001E-3</v>
      </c>
      <c r="D369">
        <v>1.183E-3</v>
      </c>
      <c r="E369">
        <v>1.235E-3</v>
      </c>
      <c r="F369">
        <v>531419063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-0.20610687022900845</v>
      </c>
      <c r="Q369">
        <f t="shared" si="970"/>
        <v>-109529119.85496226</v>
      </c>
      <c r="R369">
        <f t="shared" si="971"/>
        <v>-24264016627.864971</v>
      </c>
      <c r="S369">
        <f t="shared" si="972"/>
        <v>-242640.1662786497</v>
      </c>
      <c r="T369">
        <f t="shared" si="973"/>
        <v>-242.6401662786497</v>
      </c>
    </row>
    <row r="370" spans="1:20" x14ac:dyDescent="0.25">
      <c r="A370" s="5">
        <v>44223</v>
      </c>
      <c r="B370">
        <v>1.307E-3</v>
      </c>
      <c r="C370">
        <v>1.333E-3</v>
      </c>
      <c r="D370">
        <v>1.15E-3</v>
      </c>
      <c r="E370">
        <v>1.204E-3</v>
      </c>
      <c r="F370">
        <v>538481703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-0.40983606557377039</v>
      </c>
      <c r="Q370">
        <f t="shared" si="970"/>
        <v>-220689222.54098356</v>
      </c>
      <c r="R370">
        <f t="shared" si="971"/>
        <v>-24154487508.01001</v>
      </c>
      <c r="S370">
        <f t="shared" si="972"/>
        <v>-241544.87508010009</v>
      </c>
      <c r="T370">
        <f t="shared" si="973"/>
        <v>-241.5448750801001</v>
      </c>
    </row>
    <row r="371" spans="1:20" x14ac:dyDescent="0.25">
      <c r="A371" s="5">
        <v>44222</v>
      </c>
      <c r="B371">
        <v>1.274E-3</v>
      </c>
      <c r="C371">
        <v>1.384E-3</v>
      </c>
      <c r="D371">
        <v>1.258E-3</v>
      </c>
      <c r="E371">
        <v>1.3079999999999999E-3</v>
      </c>
      <c r="F371">
        <v>412401765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-0.20634920634920789</v>
      </c>
      <c r="Q371">
        <f t="shared" si="970"/>
        <v>-85098776.904762536</v>
      </c>
      <c r="R371">
        <f t="shared" si="971"/>
        <v>-23933798285.469025</v>
      </c>
      <c r="S371">
        <f t="shared" si="972"/>
        <v>-239337.98285469026</v>
      </c>
      <c r="T371">
        <f t="shared" si="973"/>
        <v>-239.33798285469027</v>
      </c>
    </row>
    <row r="372" spans="1:20" x14ac:dyDescent="0.25">
      <c r="A372" s="5">
        <v>44221</v>
      </c>
      <c r="B372">
        <v>1.358E-3</v>
      </c>
      <c r="C372">
        <v>1.3979999999999999E-3</v>
      </c>
      <c r="D372">
        <v>1.2620000000000001E-3</v>
      </c>
      <c r="E372">
        <v>1.271E-3</v>
      </c>
      <c r="F372">
        <v>665458330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-0.86764705882353077</v>
      </c>
      <c r="Q372">
        <f t="shared" si="970"/>
        <v>-577382962.79411852</v>
      </c>
      <c r="R372">
        <f t="shared" si="971"/>
        <v>-23848699508.564262</v>
      </c>
      <c r="S372">
        <f t="shared" si="972"/>
        <v>-238486.99508564261</v>
      </c>
      <c r="T372">
        <f t="shared" si="973"/>
        <v>-238.4869950856426</v>
      </c>
    </row>
    <row r="373" spans="1:20" x14ac:dyDescent="0.25">
      <c r="A373" s="5">
        <v>44220</v>
      </c>
      <c r="B373">
        <v>1.3829999999999999E-3</v>
      </c>
      <c r="C373">
        <v>1.459E-3</v>
      </c>
      <c r="D373">
        <v>1.2979999999999999E-3</v>
      </c>
      <c r="E373">
        <v>1.3550000000000001E-3</v>
      </c>
      <c r="F373">
        <v>639434592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-0.29192546583850743</v>
      </c>
      <c r="Q373">
        <f t="shared" si="970"/>
        <v>-186667241.14285594</v>
      </c>
      <c r="R373">
        <f t="shared" si="971"/>
        <v>-23271316545.770145</v>
      </c>
      <c r="S373">
        <f t="shared" si="972"/>
        <v>-232713.16545770146</v>
      </c>
      <c r="T373">
        <f t="shared" si="973"/>
        <v>-232.71316545770145</v>
      </c>
    </row>
    <row r="374" spans="1:20" x14ac:dyDescent="0.25">
      <c r="A374" s="5">
        <v>44219</v>
      </c>
      <c r="B374">
        <v>1.474E-3</v>
      </c>
      <c r="C374">
        <v>1.495E-3</v>
      </c>
      <c r="D374">
        <v>1.348E-3</v>
      </c>
      <c r="E374">
        <v>1.384E-3</v>
      </c>
      <c r="F374">
        <v>752541484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-0.51020408163265296</v>
      </c>
      <c r="Q374">
        <f t="shared" si="970"/>
        <v>-383949736.73469383</v>
      </c>
      <c r="R374">
        <f t="shared" si="971"/>
        <v>-23084649304.627289</v>
      </c>
      <c r="S374">
        <f t="shared" si="972"/>
        <v>-230846.4930462729</v>
      </c>
      <c r="T374">
        <f t="shared" si="973"/>
        <v>-230.84649304627288</v>
      </c>
    </row>
    <row r="375" spans="1:20" x14ac:dyDescent="0.25">
      <c r="A375" s="5">
        <v>44218</v>
      </c>
      <c r="B375">
        <v>1.219E-3</v>
      </c>
      <c r="C375">
        <v>1.5100000000000001E-3</v>
      </c>
      <c r="D375">
        <v>1.0839999999999999E-3</v>
      </c>
      <c r="E375">
        <v>1.47E-3</v>
      </c>
      <c r="F375">
        <v>1176322935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0.81220657276995267</v>
      </c>
      <c r="Q375">
        <f t="shared" si="970"/>
        <v>955417219.50704181</v>
      </c>
      <c r="R375">
        <f t="shared" si="971"/>
        <v>-22700699567.892593</v>
      </c>
      <c r="S375">
        <f t="shared" si="972"/>
        <v>-227006.99567892594</v>
      </c>
      <c r="T375">
        <f t="shared" si="973"/>
        <v>-227.00699567892593</v>
      </c>
    </row>
    <row r="376" spans="1:20" x14ac:dyDescent="0.25">
      <c r="A376" s="5">
        <v>44217</v>
      </c>
      <c r="B376">
        <v>1.4120000000000001E-3</v>
      </c>
      <c r="C376">
        <v>1.57E-3</v>
      </c>
      <c r="D376">
        <v>1.17E-3</v>
      </c>
      <c r="E376">
        <v>1.2179999999999999E-3</v>
      </c>
      <c r="F376">
        <v>1559561529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-0.76000000000000068</v>
      </c>
      <c r="Q376">
        <f t="shared" si="970"/>
        <v>-1185266762.0400012</v>
      </c>
      <c r="R376">
        <f t="shared" si="971"/>
        <v>-23656116787.399635</v>
      </c>
      <c r="S376">
        <f t="shared" si="972"/>
        <v>-236561.16787399634</v>
      </c>
      <c r="T376">
        <f t="shared" si="973"/>
        <v>-236.56116787399634</v>
      </c>
    </row>
    <row r="377" spans="1:20" x14ac:dyDescent="0.25">
      <c r="A377" s="5">
        <v>44216</v>
      </c>
      <c r="B377">
        <v>1.42E-3</v>
      </c>
      <c r="C377">
        <v>1.5590000000000001E-3</v>
      </c>
      <c r="D377">
        <v>1.24E-3</v>
      </c>
      <c r="E377">
        <v>1.415E-3</v>
      </c>
      <c r="F377">
        <v>2857219072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9.7178683385579903E-2</v>
      </c>
      <c r="Q377">
        <f t="shared" si="970"/>
        <v>277660787.56112844</v>
      </c>
      <c r="R377">
        <f t="shared" si="971"/>
        <v>-22470850025.359634</v>
      </c>
      <c r="S377">
        <f t="shared" si="972"/>
        <v>-224708.50025359634</v>
      </c>
      <c r="T377">
        <f t="shared" si="973"/>
        <v>-224.70850025359636</v>
      </c>
    </row>
    <row r="378" spans="1:20" x14ac:dyDescent="0.25">
      <c r="A378" s="5">
        <v>44215</v>
      </c>
      <c r="B378">
        <v>1.655E-3</v>
      </c>
      <c r="C378">
        <v>1.869E-3</v>
      </c>
      <c r="D378">
        <v>1.382E-3</v>
      </c>
      <c r="E378">
        <v>1.42E-3</v>
      </c>
      <c r="F378">
        <v>6195410748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-0.84394250513347002</v>
      </c>
      <c r="Q378">
        <f t="shared" si="970"/>
        <v>-5228570466.9979458</v>
      </c>
      <c r="R378">
        <f t="shared" si="971"/>
        <v>-22748510812.920761</v>
      </c>
      <c r="S378">
        <f t="shared" si="972"/>
        <v>-227485.1081292076</v>
      </c>
      <c r="T378">
        <f t="shared" si="973"/>
        <v>-227.48510812920759</v>
      </c>
    </row>
    <row r="379" spans="1:20" x14ac:dyDescent="0.25">
      <c r="A379" s="5">
        <v>44214</v>
      </c>
      <c r="B379">
        <v>8.5700000000000001E-4</v>
      </c>
      <c r="C379">
        <v>2.0709999999999999E-3</v>
      </c>
      <c r="D379">
        <v>8.5099999999999998E-4</v>
      </c>
      <c r="E379">
        <v>1.6509999999999999E-3</v>
      </c>
      <c r="F379">
        <v>13838303502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0.31147540983606553</v>
      </c>
      <c r="Q379">
        <f t="shared" si="970"/>
        <v>4310291254.7213106</v>
      </c>
      <c r="R379">
        <f t="shared" si="971"/>
        <v>-17519940345.922817</v>
      </c>
      <c r="S379">
        <f t="shared" si="972"/>
        <v>-175199.40345922817</v>
      </c>
      <c r="T379">
        <f t="shared" si="973"/>
        <v>-175.19940345922817</v>
      </c>
    </row>
    <row r="380" spans="1:20" x14ac:dyDescent="0.25">
      <c r="A380" s="5">
        <v>44213</v>
      </c>
      <c r="B380">
        <v>8.61E-4</v>
      </c>
      <c r="C380">
        <v>8.9099999999999997E-4</v>
      </c>
      <c r="D380">
        <v>8.0000000000000004E-4</v>
      </c>
      <c r="E380">
        <v>8.4999999999999995E-4</v>
      </c>
      <c r="F380">
        <v>380533306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9.89010989010978E-2</v>
      </c>
      <c r="Q380">
        <f t="shared" si="970"/>
        <v>37635162.131867714</v>
      </c>
      <c r="R380">
        <f t="shared" si="971"/>
        <v>-21830231600.644127</v>
      </c>
      <c r="S380">
        <f t="shared" si="972"/>
        <v>-218302.31600644128</v>
      </c>
      <c r="T380">
        <f t="shared" si="973"/>
        <v>-218.30231600644129</v>
      </c>
    </row>
    <row r="381" spans="1:20" x14ac:dyDescent="0.25">
      <c r="A381" s="5">
        <v>44212</v>
      </c>
      <c r="B381">
        <v>8.12E-4</v>
      </c>
      <c r="C381">
        <v>8.9499999999999996E-4</v>
      </c>
      <c r="D381">
        <v>7.9500000000000003E-4</v>
      </c>
      <c r="E381">
        <v>8.52E-4</v>
      </c>
      <c r="F381">
        <v>480123683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0.14000000000000024</v>
      </c>
      <c r="Q381">
        <f t="shared" si="970"/>
        <v>67217315.620000109</v>
      </c>
      <c r="R381">
        <f t="shared" si="971"/>
        <v>-21867866762.775993</v>
      </c>
      <c r="S381">
        <f t="shared" si="972"/>
        <v>-218678.66762775995</v>
      </c>
      <c r="T381">
        <f t="shared" si="973"/>
        <v>-218.67866762775995</v>
      </c>
    </row>
    <row r="382" spans="1:20" x14ac:dyDescent="0.25">
      <c r="A382" s="5">
        <v>44211</v>
      </c>
      <c r="B382">
        <v>8.2100000000000001E-4</v>
      </c>
      <c r="C382">
        <v>8.5800000000000004E-4</v>
      </c>
      <c r="D382">
        <v>7.8799999999999996E-4</v>
      </c>
      <c r="E382">
        <v>8.1099999999999998E-4</v>
      </c>
      <c r="F382">
        <v>304268094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-0.34285714285714308</v>
      </c>
      <c r="Q382">
        <f t="shared" si="970"/>
        <v>-104320489.37142864</v>
      </c>
      <c r="R382">
        <f t="shared" si="971"/>
        <v>-21935084078.395992</v>
      </c>
      <c r="S382">
        <f t="shared" si="972"/>
        <v>-219350.84078395992</v>
      </c>
      <c r="T382">
        <f t="shared" si="973"/>
        <v>-219.35084078395991</v>
      </c>
    </row>
    <row r="383" spans="1:20" x14ac:dyDescent="0.25">
      <c r="A383" s="5">
        <v>44210</v>
      </c>
      <c r="B383">
        <v>8.2899999999999998E-4</v>
      </c>
      <c r="C383">
        <v>8.4999999999999995E-4</v>
      </c>
      <c r="D383">
        <v>7.9100000000000004E-4</v>
      </c>
      <c r="E383">
        <v>8.2100000000000001E-4</v>
      </c>
      <c r="F383">
        <v>306911514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1.6949152542373318E-2</v>
      </c>
      <c r="Q383">
        <f t="shared" si="970"/>
        <v>5201890.0677967444</v>
      </c>
      <c r="R383">
        <f t="shared" si="971"/>
        <v>-21830763589.024563</v>
      </c>
      <c r="S383">
        <f t="shared" si="972"/>
        <v>-218307.63589024564</v>
      </c>
      <c r="T383">
        <f t="shared" si="973"/>
        <v>-218.30763589024565</v>
      </c>
    </row>
    <row r="384" spans="1:20" x14ac:dyDescent="0.25">
      <c r="A384" s="5">
        <v>44209</v>
      </c>
      <c r="B384">
        <v>7.8799999999999996E-4</v>
      </c>
      <c r="C384">
        <v>8.6899999999999998E-4</v>
      </c>
      <c r="D384">
        <v>7.7099999999999998E-4</v>
      </c>
      <c r="E384">
        <v>8.2899999999999998E-4</v>
      </c>
      <c r="F384">
        <v>252273104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0.18367346938775514</v>
      </c>
      <c r="Q384">
        <f t="shared" si="970"/>
        <v>46335876.244897969</v>
      </c>
      <c r="R384">
        <f t="shared" si="971"/>
        <v>-21835965479.092361</v>
      </c>
      <c r="S384">
        <f t="shared" si="972"/>
        <v>-218359.65479092361</v>
      </c>
      <c r="T384">
        <f t="shared" si="973"/>
        <v>-218.3596547909236</v>
      </c>
    </row>
    <row r="385" spans="1:20" x14ac:dyDescent="0.25">
      <c r="A385" s="5">
        <v>44208</v>
      </c>
      <c r="B385">
        <v>8.1099999999999998E-4</v>
      </c>
      <c r="C385">
        <v>8.6700000000000004E-4</v>
      </c>
      <c r="D385">
        <v>7.6300000000000001E-4</v>
      </c>
      <c r="E385">
        <v>7.85E-4</v>
      </c>
      <c r="F385">
        <v>340645833</v>
      </c>
      <c r="G385">
        <v>0</v>
      </c>
      <c r="L385" t="s">
        <v>7</v>
      </c>
      <c r="M385" t="s">
        <v>8</v>
      </c>
      <c r="N385" t="s">
        <v>7</v>
      </c>
      <c r="P385">
        <f t="shared" si="969"/>
        <v>-0.5769230769230772</v>
      </c>
      <c r="Q385">
        <f t="shared" si="970"/>
        <v>-196526442.1153847</v>
      </c>
      <c r="R385">
        <f t="shared" si="971"/>
        <v>-21882301355.337261</v>
      </c>
      <c r="S385">
        <f t="shared" si="972"/>
        <v>-218823.01355337261</v>
      </c>
      <c r="T385">
        <f t="shared" si="973"/>
        <v>-218.82301355337262</v>
      </c>
    </row>
    <row r="386" spans="1:20" x14ac:dyDescent="0.25">
      <c r="A386" s="5">
        <v>44207</v>
      </c>
      <c r="B386">
        <v>8.2600000000000002E-4</v>
      </c>
      <c r="C386">
        <v>8.2600000000000002E-4</v>
      </c>
      <c r="D386">
        <v>6.9200000000000002E-4</v>
      </c>
      <c r="E386">
        <v>8.1099999999999998E-4</v>
      </c>
      <c r="F386">
        <v>579407669</v>
      </c>
      <c r="G386">
        <v>0</v>
      </c>
      <c r="L386" t="s">
        <v>8</v>
      </c>
      <c r="M386" t="s">
        <v>7</v>
      </c>
      <c r="N386" t="s">
        <v>7</v>
      </c>
      <c r="P386">
        <f t="shared" si="969"/>
        <v>0.77611940298507409</v>
      </c>
      <c r="Q386">
        <f t="shared" si="970"/>
        <v>449689534.14925343</v>
      </c>
      <c r="R386">
        <f t="shared" si="971"/>
        <v>-21685774913.221878</v>
      </c>
      <c r="S386">
        <f t="shared" si="972"/>
        <v>-216857.74913221877</v>
      </c>
      <c r="T386">
        <f t="shared" si="973"/>
        <v>-216.85774913221877</v>
      </c>
    </row>
    <row r="387" spans="1:20" x14ac:dyDescent="0.25">
      <c r="A387" s="5">
        <v>44206</v>
      </c>
      <c r="B387">
        <v>8.8699999999999998E-4</v>
      </c>
      <c r="C387">
        <v>9.3999999999999997E-4</v>
      </c>
      <c r="D387">
        <v>7.7200000000000001E-4</v>
      </c>
      <c r="E387">
        <v>8.2600000000000002E-4</v>
      </c>
      <c r="F387">
        <v>681886413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-0.35714285714285687</v>
      </c>
      <c r="Q387">
        <f t="shared" si="970"/>
        <v>-243530861.78571409</v>
      </c>
      <c r="R387">
        <f t="shared" si="971"/>
        <v>-22135464447.371132</v>
      </c>
      <c r="S387">
        <f t="shared" si="972"/>
        <v>-221354.64447371132</v>
      </c>
      <c r="T387">
        <f t="shared" si="973"/>
        <v>-221.35464447371132</v>
      </c>
    </row>
    <row r="388" spans="1:20" x14ac:dyDescent="0.25">
      <c r="A388" s="5">
        <v>44205</v>
      </c>
      <c r="B388">
        <v>8.0800000000000002E-4</v>
      </c>
      <c r="C388">
        <v>9.9599999999999992E-4</v>
      </c>
      <c r="D388">
        <v>8.0099999999999995E-4</v>
      </c>
      <c r="E388">
        <v>8.8599999999999996E-4</v>
      </c>
      <c r="F388">
        <v>1192291808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-0.128205128205128</v>
      </c>
      <c r="Q388">
        <f t="shared" si="970"/>
        <v>-152857924.10256386</v>
      </c>
      <c r="R388">
        <f t="shared" si="971"/>
        <v>-21891933585.585419</v>
      </c>
      <c r="S388">
        <f t="shared" si="972"/>
        <v>-218919.33585585418</v>
      </c>
      <c r="T388">
        <f t="shared" si="973"/>
        <v>-218.91933585585417</v>
      </c>
    </row>
    <row r="389" spans="1:20" x14ac:dyDescent="0.25">
      <c r="A389" s="5">
        <v>44204</v>
      </c>
      <c r="B389">
        <v>8.4900000000000004E-4</v>
      </c>
      <c r="C389">
        <v>8.6700000000000004E-4</v>
      </c>
      <c r="D389">
        <v>7.7700000000000002E-4</v>
      </c>
      <c r="E389">
        <v>8.0699999999999999E-4</v>
      </c>
      <c r="F389">
        <v>413265783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-0.33333333333333415</v>
      </c>
      <c r="Q389">
        <f t="shared" si="970"/>
        <v>-137755261.00000033</v>
      </c>
      <c r="R389">
        <f t="shared" si="971"/>
        <v>-21739075661.482853</v>
      </c>
      <c r="S389">
        <f t="shared" si="972"/>
        <v>-217390.75661482854</v>
      </c>
      <c r="T389">
        <f t="shared" si="973"/>
        <v>-217.39075661482855</v>
      </c>
    </row>
    <row r="390" spans="1:20" x14ac:dyDescent="0.25">
      <c r="A390" s="5">
        <v>44203</v>
      </c>
      <c r="B390">
        <v>8.1700000000000002E-4</v>
      </c>
      <c r="C390">
        <v>8.5899999999999995E-4</v>
      </c>
      <c r="D390">
        <v>7.8700000000000005E-4</v>
      </c>
      <c r="E390">
        <v>8.4900000000000004E-4</v>
      </c>
      <c r="F390">
        <v>589036471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0.7222222222222241</v>
      </c>
      <c r="Q390">
        <f t="shared" ref="Q390:Q453" si="975">F390*P390</f>
        <v>425415229.05555665</v>
      </c>
      <c r="R390">
        <f t="shared" ref="R390:R453" si="976">R391+Q390</f>
        <v>-21601320400.482853</v>
      </c>
      <c r="S390">
        <f t="shared" ref="S390:S453" si="977">R390/100000</f>
        <v>-216013.20400482853</v>
      </c>
      <c r="T390">
        <f t="shared" ref="T390:T453" si="978">S390/1000</f>
        <v>-216.01320400482854</v>
      </c>
    </row>
    <row r="391" spans="1:20" x14ac:dyDescent="0.25">
      <c r="A391" s="5">
        <v>44202</v>
      </c>
      <c r="B391">
        <v>8.0900000000000004E-4</v>
      </c>
      <c r="C391">
        <v>8.7900000000000001E-4</v>
      </c>
      <c r="D391">
        <v>7.85E-4</v>
      </c>
      <c r="E391">
        <v>8.1700000000000002E-4</v>
      </c>
      <c r="F391">
        <v>570311623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-0.31914893617021245</v>
      </c>
      <c r="Q391">
        <f t="shared" si="975"/>
        <v>-182014347.76595727</v>
      </c>
      <c r="R391">
        <f t="shared" si="976"/>
        <v>-22026735629.53841</v>
      </c>
      <c r="S391">
        <f t="shared" si="977"/>
        <v>-220267.35629538409</v>
      </c>
      <c r="T391">
        <f t="shared" si="978"/>
        <v>-220.26735629538408</v>
      </c>
    </row>
    <row r="392" spans="1:20" x14ac:dyDescent="0.25">
      <c r="A392" s="5">
        <v>44201</v>
      </c>
      <c r="B392">
        <v>7.4600000000000003E-4</v>
      </c>
      <c r="C392">
        <v>8.2799999999999996E-4</v>
      </c>
      <c r="D392">
        <v>7.3999999999999999E-4</v>
      </c>
      <c r="E392">
        <v>8.0500000000000005E-4</v>
      </c>
      <c r="F392">
        <v>504921551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0.47727272727272918</v>
      </c>
      <c r="Q392">
        <f t="shared" si="975"/>
        <v>240985285.70454642</v>
      </c>
      <c r="R392">
        <f t="shared" si="976"/>
        <v>-21844721281.772453</v>
      </c>
      <c r="S392">
        <f t="shared" si="977"/>
        <v>-218447.21281772453</v>
      </c>
      <c r="T392">
        <f t="shared" si="978"/>
        <v>-218.44721281772453</v>
      </c>
    </row>
    <row r="393" spans="1:20" x14ac:dyDescent="0.25">
      <c r="A393" s="5">
        <v>44200</v>
      </c>
      <c r="B393">
        <v>7.9600000000000005E-4</v>
      </c>
      <c r="C393">
        <v>8.1099999999999998E-4</v>
      </c>
      <c r="D393">
        <v>7.0799999999999997E-4</v>
      </c>
      <c r="E393">
        <v>7.4700000000000005E-4</v>
      </c>
      <c r="F393">
        <v>474852294</v>
      </c>
      <c r="G393">
        <v>0</v>
      </c>
      <c r="L393" t="s">
        <v>7</v>
      </c>
      <c r="M393" t="s">
        <v>8</v>
      </c>
      <c r="N393" t="s">
        <v>8</v>
      </c>
      <c r="P393">
        <f t="shared" si="974"/>
        <v>-0.24271844660194025</v>
      </c>
      <c r="Q393">
        <f t="shared" si="975"/>
        <v>-115255411.16504784</v>
      </c>
      <c r="R393">
        <f t="shared" si="976"/>
        <v>-22085706567.477001</v>
      </c>
      <c r="S393">
        <f t="shared" si="977"/>
        <v>-220857.06567477001</v>
      </c>
      <c r="T393">
        <f t="shared" si="978"/>
        <v>-220.85706567477001</v>
      </c>
    </row>
    <row r="394" spans="1:20" x14ac:dyDescent="0.25">
      <c r="A394" s="5">
        <v>44199</v>
      </c>
      <c r="B394">
        <v>7.0399999999999998E-4</v>
      </c>
      <c r="C394">
        <v>8.1999999999999998E-4</v>
      </c>
      <c r="D394">
        <v>6.9999999999999999E-4</v>
      </c>
      <c r="E394">
        <v>7.9600000000000005E-4</v>
      </c>
      <c r="F394">
        <v>849407783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0.60000000000000109</v>
      </c>
      <c r="Q394">
        <f t="shared" si="975"/>
        <v>509644669.80000091</v>
      </c>
      <c r="R394">
        <f t="shared" si="976"/>
        <v>-21970451156.311954</v>
      </c>
      <c r="S394">
        <f t="shared" si="977"/>
        <v>-219704.51156311954</v>
      </c>
      <c r="T394">
        <f t="shared" si="978"/>
        <v>-219.70451156311952</v>
      </c>
    </row>
    <row r="395" spans="1:20" x14ac:dyDescent="0.25">
      <c r="A395" s="5">
        <v>44198</v>
      </c>
      <c r="B395">
        <v>6.9499999999999998E-4</v>
      </c>
      <c r="C395">
        <v>7.2400000000000003E-4</v>
      </c>
      <c r="D395">
        <v>6.8499999999999995E-4</v>
      </c>
      <c r="E395">
        <v>7.0399999999999998E-4</v>
      </c>
      <c r="F395">
        <v>235900332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-2.5641025641026213E-2</v>
      </c>
      <c r="Q395">
        <f t="shared" si="975"/>
        <v>-6048726.4615385961</v>
      </c>
      <c r="R395">
        <f t="shared" si="976"/>
        <v>-22480095826.111954</v>
      </c>
      <c r="S395">
        <f t="shared" si="977"/>
        <v>-224800.95826111955</v>
      </c>
      <c r="T395">
        <f t="shared" si="978"/>
        <v>-224.80095826111955</v>
      </c>
    </row>
    <row r="396" spans="1:20" x14ac:dyDescent="0.25">
      <c r="A396" s="5">
        <v>44197</v>
      </c>
      <c r="B396">
        <v>7.1500000000000003E-4</v>
      </c>
      <c r="C396">
        <v>7.67E-4</v>
      </c>
      <c r="D396">
        <v>6.8599999999999998E-4</v>
      </c>
      <c r="E396">
        <v>6.9499999999999998E-4</v>
      </c>
      <c r="F396">
        <v>235891226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-0.77777777777777779</v>
      </c>
      <c r="Q396">
        <f t="shared" si="975"/>
        <v>-183470953.55555555</v>
      </c>
      <c r="R396">
        <f t="shared" si="976"/>
        <v>-22474047099.650414</v>
      </c>
      <c r="S396">
        <f t="shared" si="977"/>
        <v>-224740.47099650413</v>
      </c>
      <c r="T396">
        <f t="shared" si="978"/>
        <v>-224.74047099650411</v>
      </c>
    </row>
    <row r="397" spans="1:20" x14ac:dyDescent="0.25">
      <c r="A397" s="5">
        <v>44196</v>
      </c>
      <c r="B397">
        <v>7.18E-4</v>
      </c>
      <c r="C397">
        <v>7.1900000000000002E-4</v>
      </c>
      <c r="D397">
        <v>6.7400000000000001E-4</v>
      </c>
      <c r="E397">
        <v>7.1500000000000003E-4</v>
      </c>
      <c r="F397">
        <v>175880710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0.82222222222222274</v>
      </c>
      <c r="Q397">
        <f t="shared" si="975"/>
        <v>144613028.22222233</v>
      </c>
      <c r="R397">
        <f t="shared" si="976"/>
        <v>-22290576146.094856</v>
      </c>
      <c r="S397">
        <f t="shared" si="977"/>
        <v>-222905.76146094856</v>
      </c>
      <c r="T397">
        <f t="shared" si="978"/>
        <v>-222.90576146094855</v>
      </c>
    </row>
    <row r="398" spans="1:20" x14ac:dyDescent="0.25">
      <c r="A398" s="5">
        <v>44195</v>
      </c>
      <c r="B398">
        <v>7.3800000000000005E-4</v>
      </c>
      <c r="C398">
        <v>7.4700000000000005E-4</v>
      </c>
      <c r="D398">
        <v>6.9999999999999999E-4</v>
      </c>
      <c r="E398">
        <v>7.1599999999999995E-4</v>
      </c>
      <c r="F398">
        <v>186115569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-0.3191489361702155</v>
      </c>
      <c r="Q398">
        <f t="shared" si="975"/>
        <v>-59398585.851064339</v>
      </c>
      <c r="R398">
        <f t="shared" si="976"/>
        <v>-22435189174.317078</v>
      </c>
      <c r="S398">
        <f t="shared" si="977"/>
        <v>-224351.89174317077</v>
      </c>
      <c r="T398">
        <f t="shared" si="978"/>
        <v>-224.35189174317077</v>
      </c>
    </row>
    <row r="399" spans="1:20" x14ac:dyDescent="0.25">
      <c r="A399" s="5">
        <v>44194</v>
      </c>
      <c r="B399">
        <v>7.9100000000000004E-4</v>
      </c>
      <c r="C399">
        <v>8.0999999999999996E-4</v>
      </c>
      <c r="D399">
        <v>6.8999999999999997E-4</v>
      </c>
      <c r="E399">
        <v>7.3800000000000005E-4</v>
      </c>
      <c r="F399">
        <v>605901259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-0.19999999999999857</v>
      </c>
      <c r="Q399">
        <f t="shared" si="975"/>
        <v>-121180251.79999913</v>
      </c>
      <c r="R399">
        <f t="shared" si="976"/>
        <v>-22375790588.466015</v>
      </c>
      <c r="S399">
        <f t="shared" si="977"/>
        <v>-223757.90588466014</v>
      </c>
      <c r="T399">
        <f t="shared" si="978"/>
        <v>-223.75790588466015</v>
      </c>
    </row>
    <row r="400" spans="1:20" x14ac:dyDescent="0.25">
      <c r="A400" s="5">
        <v>44193</v>
      </c>
      <c r="B400">
        <v>7.0899999999999999E-4</v>
      </c>
      <c r="C400">
        <v>7.9699999999999997E-4</v>
      </c>
      <c r="D400">
        <v>7.0399999999999998E-4</v>
      </c>
      <c r="E400">
        <v>7.9100000000000004E-4</v>
      </c>
      <c r="F400">
        <v>388618288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0.87096774193548543</v>
      </c>
      <c r="Q400">
        <f t="shared" si="975"/>
        <v>338473992.77419418</v>
      </c>
      <c r="R400">
        <f t="shared" si="976"/>
        <v>-22254610336.666016</v>
      </c>
      <c r="S400">
        <f t="shared" si="977"/>
        <v>-222546.10336666016</v>
      </c>
      <c r="T400">
        <f t="shared" si="978"/>
        <v>-222.54610336666016</v>
      </c>
    </row>
    <row r="401" spans="1:20" x14ac:dyDescent="0.25">
      <c r="A401" s="5">
        <v>44192</v>
      </c>
      <c r="B401">
        <v>7.2099999999999996E-4</v>
      </c>
      <c r="C401">
        <v>8.5300000000000003E-4</v>
      </c>
      <c r="D401">
        <v>6.9099999999999999E-4</v>
      </c>
      <c r="E401">
        <v>7.0899999999999999E-4</v>
      </c>
      <c r="F401">
        <v>1413451815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-0.77777777777777779</v>
      </c>
      <c r="Q401">
        <f t="shared" si="975"/>
        <v>-1099351411.6666667</v>
      </c>
      <c r="R401">
        <f t="shared" si="976"/>
        <v>-22593084329.440208</v>
      </c>
      <c r="S401">
        <f t="shared" si="977"/>
        <v>-225930.84329440209</v>
      </c>
      <c r="T401">
        <f t="shared" si="978"/>
        <v>-225.93084329440208</v>
      </c>
    </row>
    <row r="402" spans="1:20" x14ac:dyDescent="0.25">
      <c r="A402" s="5">
        <v>44191</v>
      </c>
      <c r="B402">
        <v>7.0500000000000001E-4</v>
      </c>
      <c r="C402">
        <v>7.3999999999999999E-4</v>
      </c>
      <c r="D402">
        <v>6.6699999999999995E-4</v>
      </c>
      <c r="E402">
        <v>7.2099999999999996E-4</v>
      </c>
      <c r="F402">
        <v>295726984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0.47945205479452008</v>
      </c>
      <c r="Q402">
        <f t="shared" si="975"/>
        <v>141786910.13698617</v>
      </c>
      <c r="R402">
        <f t="shared" si="976"/>
        <v>-21493732917.77354</v>
      </c>
      <c r="S402">
        <f t="shared" si="977"/>
        <v>-214937.3291777354</v>
      </c>
      <c r="T402">
        <f t="shared" si="978"/>
        <v>-214.93732917773539</v>
      </c>
    </row>
    <row r="403" spans="1:20" x14ac:dyDescent="0.25">
      <c r="A403" s="5">
        <v>44190</v>
      </c>
      <c r="B403">
        <v>7.0500000000000001E-4</v>
      </c>
      <c r="C403">
        <v>7.18E-4</v>
      </c>
      <c r="D403">
        <v>6.7900000000000002E-4</v>
      </c>
      <c r="E403">
        <v>7.0200000000000004E-4</v>
      </c>
      <c r="F403">
        <v>98476961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0.17948717948718121</v>
      </c>
      <c r="Q403">
        <f t="shared" si="975"/>
        <v>17675351.974359144</v>
      </c>
      <c r="R403">
        <f t="shared" si="976"/>
        <v>-21635519827.910526</v>
      </c>
      <c r="S403">
        <f t="shared" si="977"/>
        <v>-216355.19827910527</v>
      </c>
      <c r="T403">
        <f t="shared" si="978"/>
        <v>-216.35519827910528</v>
      </c>
    </row>
    <row r="404" spans="1:20" x14ac:dyDescent="0.25">
      <c r="A404" s="5">
        <v>44189</v>
      </c>
      <c r="B404">
        <v>6.38E-4</v>
      </c>
      <c r="C404">
        <v>7.2000000000000005E-4</v>
      </c>
      <c r="D404">
        <v>6.2799999999999998E-4</v>
      </c>
      <c r="E404">
        <v>7.0299999999999996E-4</v>
      </c>
      <c r="F404">
        <v>252140582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0.63043478260869401</v>
      </c>
      <c r="Q404">
        <f t="shared" si="975"/>
        <v>158958192.99999958</v>
      </c>
      <c r="R404">
        <f t="shared" si="976"/>
        <v>-21653195179.884884</v>
      </c>
      <c r="S404">
        <f t="shared" si="977"/>
        <v>-216531.95179884884</v>
      </c>
      <c r="T404">
        <f t="shared" si="978"/>
        <v>-216.53195179884884</v>
      </c>
    </row>
    <row r="405" spans="1:20" x14ac:dyDescent="0.25">
      <c r="A405" s="5">
        <v>44188</v>
      </c>
      <c r="B405">
        <v>7.3499999999999998E-4</v>
      </c>
      <c r="C405">
        <v>7.4299999999999995E-4</v>
      </c>
      <c r="D405">
        <v>6.2699999999999995E-4</v>
      </c>
      <c r="E405">
        <v>6.38E-4</v>
      </c>
      <c r="F405">
        <v>464686004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-0.81034482758620607</v>
      </c>
      <c r="Q405">
        <f t="shared" si="975"/>
        <v>-376555899.79310304</v>
      </c>
      <c r="R405">
        <f t="shared" si="976"/>
        <v>-21812153372.884884</v>
      </c>
      <c r="S405">
        <f t="shared" si="977"/>
        <v>-218121.53372884885</v>
      </c>
      <c r="T405">
        <f t="shared" si="978"/>
        <v>-218.12153372884885</v>
      </c>
    </row>
    <row r="406" spans="1:20" x14ac:dyDescent="0.25">
      <c r="A406" s="5">
        <v>44187</v>
      </c>
      <c r="B406">
        <v>6.9499999999999998E-4</v>
      </c>
      <c r="C406">
        <v>7.4799999999999997E-4</v>
      </c>
      <c r="D406">
        <v>6.9200000000000002E-4</v>
      </c>
      <c r="E406">
        <v>7.3099999999999999E-4</v>
      </c>
      <c r="F406">
        <v>236292466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0.39285714285714307</v>
      </c>
      <c r="Q406">
        <f t="shared" si="975"/>
        <v>92829183.071428627</v>
      </c>
      <c r="R406">
        <f t="shared" si="976"/>
        <v>-21435597473.091782</v>
      </c>
      <c r="S406">
        <f t="shared" si="977"/>
        <v>-214355.97473091781</v>
      </c>
      <c r="T406">
        <f t="shared" si="978"/>
        <v>-214.35597473091781</v>
      </c>
    </row>
    <row r="407" spans="1:20" x14ac:dyDescent="0.25">
      <c r="A407" s="5">
        <v>44186</v>
      </c>
      <c r="B407">
        <v>7.5500000000000003E-4</v>
      </c>
      <c r="C407">
        <v>7.6499999999999995E-4</v>
      </c>
      <c r="D407">
        <v>6.8000000000000005E-4</v>
      </c>
      <c r="E407">
        <v>6.9800000000000005E-4</v>
      </c>
      <c r="F407">
        <v>273238929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-0.57647058823529351</v>
      </c>
      <c r="Q407">
        <f t="shared" si="975"/>
        <v>-157514206.12941161</v>
      </c>
      <c r="R407">
        <f t="shared" si="976"/>
        <v>-21528426656.163212</v>
      </c>
      <c r="S407">
        <f t="shared" si="977"/>
        <v>-215284.26656163213</v>
      </c>
      <c r="T407">
        <f t="shared" si="978"/>
        <v>-215.28426656163214</v>
      </c>
    </row>
    <row r="408" spans="1:20" x14ac:dyDescent="0.25">
      <c r="A408" s="5">
        <v>44185</v>
      </c>
      <c r="B408">
        <v>7.6900000000000004E-4</v>
      </c>
      <c r="C408">
        <v>7.94E-4</v>
      </c>
      <c r="D408">
        <v>7.3999999999999999E-4</v>
      </c>
      <c r="E408">
        <v>7.5500000000000003E-4</v>
      </c>
      <c r="F408">
        <v>343782881</v>
      </c>
      <c r="G408">
        <v>0</v>
      </c>
      <c r="L408" t="s">
        <v>8</v>
      </c>
      <c r="M408" t="s">
        <v>7</v>
      </c>
      <c r="N408" t="s">
        <v>7</v>
      </c>
      <c r="P408">
        <f t="shared" si="974"/>
        <v>-0.44444444444444309</v>
      </c>
      <c r="Q408">
        <f t="shared" si="975"/>
        <v>-152792391.55555508</v>
      </c>
      <c r="R408">
        <f t="shared" si="976"/>
        <v>-21370912450.033802</v>
      </c>
      <c r="S408">
        <f t="shared" si="977"/>
        <v>-213709.12450033802</v>
      </c>
      <c r="T408">
        <f t="shared" si="978"/>
        <v>-213.70912450033802</v>
      </c>
    </row>
    <row r="409" spans="1:20" x14ac:dyDescent="0.25">
      <c r="A409" s="5">
        <v>44184</v>
      </c>
      <c r="B409">
        <v>7.7499999999999997E-4</v>
      </c>
      <c r="C409">
        <v>7.9799999999999999E-4</v>
      </c>
      <c r="D409">
        <v>7.6099999999999996E-4</v>
      </c>
      <c r="E409">
        <v>7.6999999999999996E-4</v>
      </c>
      <c r="F409">
        <v>376863902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-0.51351351351351382</v>
      </c>
      <c r="Q409">
        <f t="shared" si="975"/>
        <v>-193524706.43243256</v>
      </c>
      <c r="R409">
        <f t="shared" si="976"/>
        <v>-21218120058.478249</v>
      </c>
      <c r="S409">
        <f t="shared" si="977"/>
        <v>-212181.20058478249</v>
      </c>
      <c r="T409">
        <f t="shared" si="978"/>
        <v>-212.18120058478249</v>
      </c>
    </row>
    <row r="410" spans="1:20" x14ac:dyDescent="0.25">
      <c r="A410" s="5">
        <v>44183</v>
      </c>
      <c r="B410">
        <v>7.6300000000000001E-4</v>
      </c>
      <c r="C410">
        <v>7.9799999999999999E-4</v>
      </c>
      <c r="D410">
        <v>7.5500000000000003E-4</v>
      </c>
      <c r="E410">
        <v>7.7800000000000005E-4</v>
      </c>
      <c r="F410">
        <v>257490561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6.9767441860466878E-2</v>
      </c>
      <c r="Q410">
        <f t="shared" si="975"/>
        <v>17964457.744186498</v>
      </c>
      <c r="R410">
        <f t="shared" si="976"/>
        <v>-21024595352.045815</v>
      </c>
      <c r="S410">
        <f t="shared" si="977"/>
        <v>-210245.95352045813</v>
      </c>
      <c r="T410">
        <f t="shared" si="978"/>
        <v>-210.24595352045813</v>
      </c>
    </row>
    <row r="411" spans="1:20" x14ac:dyDescent="0.25">
      <c r="A411" s="5">
        <v>44182</v>
      </c>
      <c r="B411">
        <v>8.0500000000000005E-4</v>
      </c>
      <c r="C411">
        <v>8.5400000000000005E-4</v>
      </c>
      <c r="D411">
        <v>7.5600000000000005E-4</v>
      </c>
      <c r="E411">
        <v>7.6199999999999998E-4</v>
      </c>
      <c r="F411">
        <v>493528679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-0.87755102040816468</v>
      </c>
      <c r="Q411">
        <f t="shared" si="975"/>
        <v>-433096595.85714358</v>
      </c>
      <c r="R411">
        <f t="shared" si="976"/>
        <v>-21042559809.790001</v>
      </c>
      <c r="S411">
        <f t="shared" si="977"/>
        <v>-210425.59809790002</v>
      </c>
      <c r="T411">
        <f t="shared" si="978"/>
        <v>-210.42559809790001</v>
      </c>
    </row>
    <row r="412" spans="1:20" x14ac:dyDescent="0.25">
      <c r="A412" s="5">
        <v>44181</v>
      </c>
      <c r="B412">
        <v>7.7700000000000002E-4</v>
      </c>
      <c r="C412">
        <v>8.5999999999999998E-4</v>
      </c>
      <c r="D412">
        <v>7.6300000000000001E-4</v>
      </c>
      <c r="E412">
        <v>8.0099999999999995E-4</v>
      </c>
      <c r="F412">
        <v>308214906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-0.21649484536082558</v>
      </c>
      <c r="Q412">
        <f t="shared" si="975"/>
        <v>-66726938.41237139</v>
      </c>
      <c r="R412">
        <f t="shared" si="976"/>
        <v>-20609463213.932858</v>
      </c>
      <c r="S412">
        <f t="shared" si="977"/>
        <v>-206094.63213932858</v>
      </c>
      <c r="T412">
        <f t="shared" si="978"/>
        <v>-206.09463213932858</v>
      </c>
    </row>
    <row r="413" spans="1:20" x14ac:dyDescent="0.25">
      <c r="A413" s="5">
        <v>44180</v>
      </c>
      <c r="B413">
        <v>7.7999999999999999E-4</v>
      </c>
      <c r="C413">
        <v>7.9900000000000001E-4</v>
      </c>
      <c r="D413">
        <v>7.6199999999999998E-4</v>
      </c>
      <c r="E413">
        <v>7.7700000000000002E-4</v>
      </c>
      <c r="F413">
        <v>233637367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-0.18918918918918776</v>
      </c>
      <c r="Q413">
        <f t="shared" si="975"/>
        <v>-44201664.027026691</v>
      </c>
      <c r="R413">
        <f t="shared" si="976"/>
        <v>-20542736275.520485</v>
      </c>
      <c r="S413">
        <f t="shared" si="977"/>
        <v>-205427.36275520484</v>
      </c>
      <c r="T413">
        <f t="shared" si="978"/>
        <v>-205.42736275520485</v>
      </c>
    </row>
    <row r="414" spans="1:20" x14ac:dyDescent="0.25">
      <c r="A414" s="5">
        <v>44179</v>
      </c>
      <c r="B414">
        <v>7.8700000000000005E-4</v>
      </c>
      <c r="C414">
        <v>8.0500000000000005E-4</v>
      </c>
      <c r="D414">
        <v>7.5699999999999997E-4</v>
      </c>
      <c r="E414">
        <v>7.7399999999999995E-4</v>
      </c>
      <c r="F414">
        <v>194247701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-0.29166666666666874</v>
      </c>
      <c r="Q414">
        <f t="shared" si="975"/>
        <v>-56655579.458333738</v>
      </c>
      <c r="R414">
        <f t="shared" si="976"/>
        <v>-20498534611.493458</v>
      </c>
      <c r="S414">
        <f t="shared" si="977"/>
        <v>-204985.34611493457</v>
      </c>
      <c r="T414">
        <f t="shared" si="978"/>
        <v>-204.98534611493457</v>
      </c>
    </row>
    <row r="415" spans="1:20" x14ac:dyDescent="0.25">
      <c r="A415" s="5">
        <v>44178</v>
      </c>
      <c r="B415">
        <v>8.12E-4</v>
      </c>
      <c r="C415">
        <v>8.1499999999999997E-4</v>
      </c>
      <c r="D415">
        <v>7.6000000000000004E-4</v>
      </c>
      <c r="E415">
        <v>7.8399999999999997E-4</v>
      </c>
      <c r="F415">
        <v>453337621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-0.12727272727272856</v>
      </c>
      <c r="Q415">
        <f t="shared" si="975"/>
        <v>-57697515.400000587</v>
      </c>
      <c r="R415">
        <f t="shared" si="976"/>
        <v>-20441879032.035126</v>
      </c>
      <c r="S415">
        <f t="shared" si="977"/>
        <v>-204418.79032035125</v>
      </c>
      <c r="T415">
        <f t="shared" si="978"/>
        <v>-204.41879032035126</v>
      </c>
    </row>
    <row r="416" spans="1:20" x14ac:dyDescent="0.25">
      <c r="A416" s="5">
        <v>44177</v>
      </c>
      <c r="B416">
        <v>7.5000000000000002E-4</v>
      </c>
      <c r="C416">
        <v>1.07E-3</v>
      </c>
      <c r="D416">
        <v>7.4700000000000005E-4</v>
      </c>
      <c r="E416">
        <v>8.12E-4</v>
      </c>
      <c r="F416">
        <v>5482701458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-0.59752321981424172</v>
      </c>
      <c r="Q416">
        <f t="shared" si="975"/>
        <v>-3276041428.4643974</v>
      </c>
      <c r="R416">
        <f t="shared" si="976"/>
        <v>-20384181516.635124</v>
      </c>
      <c r="S416">
        <f t="shared" si="977"/>
        <v>-203841.81516635124</v>
      </c>
      <c r="T416">
        <f t="shared" si="978"/>
        <v>-203.84181516635124</v>
      </c>
    </row>
    <row r="417" spans="1:20" x14ac:dyDescent="0.25">
      <c r="A417" s="5">
        <v>44176</v>
      </c>
      <c r="B417">
        <v>7.6499999999999995E-4</v>
      </c>
      <c r="C417">
        <v>7.7800000000000005E-4</v>
      </c>
      <c r="D417">
        <v>7.1299999999999998E-4</v>
      </c>
      <c r="E417">
        <v>7.5000000000000002E-4</v>
      </c>
      <c r="F417">
        <v>158629116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0.13846153846153836</v>
      </c>
      <c r="Q417">
        <f t="shared" si="975"/>
        <v>21964031.446153831</v>
      </c>
      <c r="R417">
        <f t="shared" si="976"/>
        <v>-17108140088.170729</v>
      </c>
      <c r="S417">
        <f t="shared" si="977"/>
        <v>-171081.40088170729</v>
      </c>
      <c r="T417">
        <f t="shared" si="978"/>
        <v>-171.08140088170728</v>
      </c>
    </row>
    <row r="418" spans="1:20" x14ac:dyDescent="0.25">
      <c r="A418" s="5">
        <v>44175</v>
      </c>
      <c r="B418">
        <v>7.76E-4</v>
      </c>
      <c r="C418">
        <v>7.85E-4</v>
      </c>
      <c r="D418">
        <v>7.3800000000000005E-4</v>
      </c>
      <c r="E418">
        <v>7.6099999999999996E-4</v>
      </c>
      <c r="F418">
        <v>125667364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-2.1276595744683699E-2</v>
      </c>
      <c r="Q418">
        <f t="shared" si="975"/>
        <v>-2673773.7021280173</v>
      </c>
      <c r="R418">
        <f t="shared" si="976"/>
        <v>-17130104119.616882</v>
      </c>
      <c r="S418">
        <f t="shared" si="977"/>
        <v>-171301.04119616884</v>
      </c>
      <c r="T418">
        <f t="shared" si="978"/>
        <v>-171.30104119616882</v>
      </c>
    </row>
    <row r="419" spans="1:20" x14ac:dyDescent="0.25">
      <c r="A419" s="5">
        <v>44174</v>
      </c>
      <c r="B419">
        <v>7.7399999999999995E-4</v>
      </c>
      <c r="C419">
        <v>8.0500000000000005E-4</v>
      </c>
      <c r="D419">
        <v>7.6400000000000003E-4</v>
      </c>
      <c r="E419">
        <v>7.7700000000000002E-4</v>
      </c>
      <c r="F419">
        <v>127202254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-0.36585365853658613</v>
      </c>
      <c r="Q419">
        <f t="shared" si="975"/>
        <v>-46537410.000000097</v>
      </c>
      <c r="R419">
        <f t="shared" si="976"/>
        <v>-17127430345.914755</v>
      </c>
      <c r="S419">
        <f t="shared" si="977"/>
        <v>-171274.30345914754</v>
      </c>
      <c r="T419">
        <f t="shared" si="978"/>
        <v>-171.27430345914755</v>
      </c>
    </row>
    <row r="420" spans="1:20" x14ac:dyDescent="0.25">
      <c r="A420" s="5">
        <v>44173</v>
      </c>
      <c r="B420">
        <v>8.2399999999999997E-4</v>
      </c>
      <c r="C420">
        <v>8.25E-4</v>
      </c>
      <c r="D420">
        <v>7.6000000000000004E-4</v>
      </c>
      <c r="E420">
        <v>7.76E-4</v>
      </c>
      <c r="F420">
        <v>186046121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-0.50769230769230866</v>
      </c>
      <c r="Q420">
        <f t="shared" si="975"/>
        <v>-94454184.507692486</v>
      </c>
      <c r="R420">
        <f t="shared" si="976"/>
        <v>-17080892935.914755</v>
      </c>
      <c r="S420">
        <f t="shared" si="977"/>
        <v>-170808.92935914756</v>
      </c>
      <c r="T420">
        <f t="shared" si="978"/>
        <v>-170.80892935914756</v>
      </c>
    </row>
    <row r="421" spans="1:20" x14ac:dyDescent="0.25">
      <c r="A421" s="5">
        <v>44172</v>
      </c>
      <c r="B421">
        <v>8.0900000000000004E-4</v>
      </c>
      <c r="C421">
        <v>8.3900000000000001E-4</v>
      </c>
      <c r="D421">
        <v>7.9199999999999995E-4</v>
      </c>
      <c r="E421">
        <v>8.2399999999999997E-4</v>
      </c>
      <c r="F421">
        <v>167793925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0.3617021276595736</v>
      </c>
      <c r="Q421">
        <f t="shared" si="975"/>
        <v>60691419.680850916</v>
      </c>
      <c r="R421">
        <f t="shared" si="976"/>
        <v>-16986438751.407063</v>
      </c>
      <c r="S421">
        <f t="shared" si="977"/>
        <v>-169864.38751407064</v>
      </c>
      <c r="T421">
        <f t="shared" si="978"/>
        <v>-169.86438751407064</v>
      </c>
    </row>
    <row r="422" spans="1:20" x14ac:dyDescent="0.25">
      <c r="A422" s="5">
        <v>44171</v>
      </c>
      <c r="B422">
        <v>8.1800000000000004E-4</v>
      </c>
      <c r="C422">
        <v>8.4900000000000004E-4</v>
      </c>
      <c r="D422">
        <v>8.0099999999999995E-4</v>
      </c>
      <c r="E422">
        <v>8.0800000000000002E-4</v>
      </c>
      <c r="F422">
        <v>91516838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-0.70833333333333126</v>
      </c>
      <c r="Q422">
        <f t="shared" si="975"/>
        <v>-64824426.916666478</v>
      </c>
      <c r="R422">
        <f t="shared" si="976"/>
        <v>-17047130171.087914</v>
      </c>
      <c r="S422">
        <f t="shared" si="977"/>
        <v>-170471.30171087914</v>
      </c>
      <c r="T422">
        <f t="shared" si="978"/>
        <v>-170.47130171087915</v>
      </c>
    </row>
    <row r="423" spans="1:20" x14ac:dyDescent="0.25">
      <c r="A423" s="5">
        <v>44170</v>
      </c>
      <c r="B423">
        <v>7.9699999999999997E-4</v>
      </c>
      <c r="C423">
        <v>8.3199999999999995E-4</v>
      </c>
      <c r="D423">
        <v>7.94E-4</v>
      </c>
      <c r="E423">
        <v>8.1800000000000004E-4</v>
      </c>
      <c r="F423">
        <v>65291503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0.26315789473684603</v>
      </c>
      <c r="Q423">
        <f t="shared" si="975"/>
        <v>17181974.473684467</v>
      </c>
      <c r="R423">
        <f t="shared" si="976"/>
        <v>-16982305744.171247</v>
      </c>
      <c r="S423">
        <f t="shared" si="977"/>
        <v>-169823.05744171247</v>
      </c>
      <c r="T423">
        <f t="shared" si="978"/>
        <v>-169.82305744171248</v>
      </c>
    </row>
    <row r="424" spans="1:20" x14ac:dyDescent="0.25">
      <c r="A424" s="5">
        <v>44169</v>
      </c>
      <c r="B424">
        <v>8.52E-4</v>
      </c>
      <c r="C424">
        <v>8.7000000000000001E-4</v>
      </c>
      <c r="D424">
        <v>7.8399999999999997E-4</v>
      </c>
      <c r="E424">
        <v>7.9900000000000001E-4</v>
      </c>
      <c r="F424">
        <v>181966154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-0.65116279069767358</v>
      </c>
      <c r="Q424">
        <f t="shared" si="975"/>
        <v>-118489588.65116264</v>
      </c>
      <c r="R424">
        <f t="shared" si="976"/>
        <v>-16999487718.644932</v>
      </c>
      <c r="S424">
        <f t="shared" si="977"/>
        <v>-169994.87718644933</v>
      </c>
      <c r="T424">
        <f t="shared" si="978"/>
        <v>-169.99487718644934</v>
      </c>
    </row>
    <row r="425" spans="1:20" x14ac:dyDescent="0.25">
      <c r="A425" s="5">
        <v>44168</v>
      </c>
      <c r="B425">
        <v>8.12E-4</v>
      </c>
      <c r="C425">
        <v>8.5899999999999995E-4</v>
      </c>
      <c r="D425">
        <v>8.0800000000000002E-4</v>
      </c>
      <c r="E425">
        <v>8.5300000000000003E-4</v>
      </c>
      <c r="F425">
        <v>209490378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0.76470588235294368</v>
      </c>
      <c r="Q425">
        <f t="shared" si="975"/>
        <v>160198524.35294169</v>
      </c>
      <c r="R425">
        <f t="shared" si="976"/>
        <v>-16880998129.993769</v>
      </c>
      <c r="S425">
        <f t="shared" si="977"/>
        <v>-168809.98129993767</v>
      </c>
      <c r="T425">
        <f t="shared" si="978"/>
        <v>-168.80998129993768</v>
      </c>
    </row>
    <row r="426" spans="1:20" x14ac:dyDescent="0.25">
      <c r="A426" s="5">
        <v>44167</v>
      </c>
      <c r="B426">
        <v>7.94E-4</v>
      </c>
      <c r="C426">
        <v>8.3900000000000001E-4</v>
      </c>
      <c r="D426">
        <v>7.6400000000000003E-4</v>
      </c>
      <c r="E426">
        <v>8.1300000000000003E-4</v>
      </c>
      <c r="F426">
        <v>289438322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0.30666666666666698</v>
      </c>
      <c r="Q426">
        <f t="shared" si="975"/>
        <v>88761085.413333416</v>
      </c>
      <c r="R426">
        <f t="shared" si="976"/>
        <v>-17041196654.34671</v>
      </c>
      <c r="S426">
        <f t="shared" si="977"/>
        <v>-170411.9665434671</v>
      </c>
      <c r="T426">
        <f t="shared" si="978"/>
        <v>-170.41196654346712</v>
      </c>
    </row>
    <row r="427" spans="1:20" x14ac:dyDescent="0.25">
      <c r="A427" s="5">
        <v>44166</v>
      </c>
      <c r="B427">
        <v>8.12E-4</v>
      </c>
      <c r="C427">
        <v>8.4000000000000003E-4</v>
      </c>
      <c r="D427">
        <v>7.6800000000000002E-4</v>
      </c>
      <c r="E427">
        <v>7.94E-4</v>
      </c>
      <c r="F427">
        <v>207572747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-0.27777777777777846</v>
      </c>
      <c r="Q427">
        <f t="shared" si="975"/>
        <v>-57659096.38888903</v>
      </c>
      <c r="R427">
        <f t="shared" si="976"/>
        <v>-17129957739.760044</v>
      </c>
      <c r="S427">
        <f t="shared" si="977"/>
        <v>-171299.57739760043</v>
      </c>
      <c r="T427">
        <f t="shared" si="978"/>
        <v>-171.29957739760042</v>
      </c>
    </row>
    <row r="428" spans="1:20" x14ac:dyDescent="0.25">
      <c r="A428" s="5">
        <v>44165</v>
      </c>
      <c r="B428">
        <v>8.0900000000000004E-4</v>
      </c>
      <c r="C428">
        <v>8.2899999999999998E-4</v>
      </c>
      <c r="D428">
        <v>7.9299999999999998E-4</v>
      </c>
      <c r="E428">
        <v>8.12E-4</v>
      </c>
      <c r="F428">
        <v>243457816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5.5555555555556892E-2</v>
      </c>
      <c r="Q428">
        <f t="shared" si="975"/>
        <v>13525434.222222548</v>
      </c>
      <c r="R428">
        <f t="shared" si="976"/>
        <v>-17072298643.371155</v>
      </c>
      <c r="S428">
        <f t="shared" si="977"/>
        <v>-170722.98643371154</v>
      </c>
      <c r="T428">
        <f t="shared" si="978"/>
        <v>-170.72298643371155</v>
      </c>
    </row>
    <row r="429" spans="1:20" x14ac:dyDescent="0.25">
      <c r="A429" s="5">
        <v>44164</v>
      </c>
      <c r="B429">
        <v>8.0800000000000002E-4</v>
      </c>
      <c r="C429">
        <v>8.3500000000000002E-4</v>
      </c>
      <c r="D429">
        <v>7.7800000000000005E-4</v>
      </c>
      <c r="E429">
        <v>8.0900000000000004E-4</v>
      </c>
      <c r="F429">
        <v>182051345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8.7719298245614308E-2</v>
      </c>
      <c r="Q429">
        <f t="shared" si="975"/>
        <v>15969416.228070226</v>
      </c>
      <c r="R429">
        <f t="shared" si="976"/>
        <v>-17085824077.593378</v>
      </c>
      <c r="S429">
        <f t="shared" si="977"/>
        <v>-170858.24077593378</v>
      </c>
      <c r="T429">
        <f t="shared" si="978"/>
        <v>-170.85824077593378</v>
      </c>
    </row>
    <row r="430" spans="1:20" x14ac:dyDescent="0.25">
      <c r="A430" s="5">
        <v>44163</v>
      </c>
      <c r="B430">
        <v>7.6499999999999995E-4</v>
      </c>
      <c r="C430">
        <v>8.9499999999999996E-4</v>
      </c>
      <c r="D430">
        <v>7.4799999999999997E-4</v>
      </c>
      <c r="E430">
        <v>8.0900000000000004E-4</v>
      </c>
      <c r="F430">
        <v>352462678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-0.17006802721088332</v>
      </c>
      <c r="Q430">
        <f t="shared" si="975"/>
        <v>-59942632.31292481</v>
      </c>
      <c r="R430">
        <f t="shared" si="976"/>
        <v>-17101793493.821447</v>
      </c>
      <c r="S430">
        <f t="shared" si="977"/>
        <v>-171017.93493821449</v>
      </c>
      <c r="T430">
        <f t="shared" si="978"/>
        <v>-171.01793493821449</v>
      </c>
    </row>
    <row r="431" spans="1:20" x14ac:dyDescent="0.25">
      <c r="A431" s="5">
        <v>44162</v>
      </c>
      <c r="B431">
        <v>7.4200000000000004E-4</v>
      </c>
      <c r="C431">
        <v>7.9100000000000004E-4</v>
      </c>
      <c r="D431">
        <v>7.2999999999999996E-4</v>
      </c>
      <c r="E431">
        <v>7.6300000000000001E-4</v>
      </c>
      <c r="F431">
        <v>209815401</v>
      </c>
      <c r="G431">
        <v>0</v>
      </c>
      <c r="L431" t="s">
        <v>7</v>
      </c>
      <c r="M431" t="s">
        <v>8</v>
      </c>
      <c r="N431" t="s">
        <v>7</v>
      </c>
      <c r="P431">
        <f t="shared" si="974"/>
        <v>8.1967213114754217E-2</v>
      </c>
      <c r="Q431">
        <f t="shared" si="975"/>
        <v>17197983.688524615</v>
      </c>
      <c r="R431">
        <f t="shared" si="976"/>
        <v>-17041850861.508522</v>
      </c>
      <c r="S431">
        <f t="shared" si="977"/>
        <v>-170418.50861508521</v>
      </c>
      <c r="T431">
        <f t="shared" si="978"/>
        <v>-170.41850861508522</v>
      </c>
    </row>
    <row r="432" spans="1:20" x14ac:dyDescent="0.25">
      <c r="A432" s="5">
        <v>44161</v>
      </c>
      <c r="B432">
        <v>8.4699999999999999E-4</v>
      </c>
      <c r="C432">
        <v>9.3499999999999996E-4</v>
      </c>
      <c r="D432">
        <v>6.7000000000000002E-4</v>
      </c>
      <c r="E432">
        <v>7.4200000000000004E-4</v>
      </c>
      <c r="F432">
        <v>710006303</v>
      </c>
      <c r="G432">
        <v>0</v>
      </c>
      <c r="L432" t="s">
        <v>8</v>
      </c>
      <c r="M432" t="s">
        <v>7</v>
      </c>
      <c r="N432" t="s">
        <v>7</v>
      </c>
      <c r="P432">
        <f t="shared" si="974"/>
        <v>-0.45660377358490539</v>
      </c>
      <c r="Q432">
        <f t="shared" si="975"/>
        <v>-324191557.21886772</v>
      </c>
      <c r="R432">
        <f t="shared" si="976"/>
        <v>-17059048845.197046</v>
      </c>
      <c r="S432">
        <f t="shared" si="977"/>
        <v>-170590.48845197045</v>
      </c>
      <c r="T432">
        <f t="shared" si="978"/>
        <v>-170.59048845197046</v>
      </c>
    </row>
    <row r="433" spans="1:20" x14ac:dyDescent="0.25">
      <c r="A433" s="5">
        <v>44160</v>
      </c>
      <c r="B433">
        <v>8.4800000000000001E-4</v>
      </c>
      <c r="C433">
        <v>1.016E-3</v>
      </c>
      <c r="D433">
        <v>8.1099999999999998E-4</v>
      </c>
      <c r="E433">
        <v>8.4900000000000004E-4</v>
      </c>
      <c r="F433">
        <v>913998059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-0.62926829268292628</v>
      </c>
      <c r="Q433">
        <f t="shared" si="975"/>
        <v>-575149998.10243857</v>
      </c>
      <c r="R433">
        <f t="shared" si="976"/>
        <v>-16734857287.978178</v>
      </c>
      <c r="S433">
        <f t="shared" si="977"/>
        <v>-167348.57287978177</v>
      </c>
      <c r="T433">
        <f t="shared" si="978"/>
        <v>-167.34857287978178</v>
      </c>
    </row>
    <row r="434" spans="1:20" x14ac:dyDescent="0.25">
      <c r="A434" s="5">
        <v>44159</v>
      </c>
      <c r="B434">
        <v>7.9699999999999997E-4</v>
      </c>
      <c r="C434">
        <v>8.8000000000000003E-4</v>
      </c>
      <c r="D434">
        <v>7.9299999999999998E-4</v>
      </c>
      <c r="E434">
        <v>8.4800000000000001E-4</v>
      </c>
      <c r="F434">
        <v>615521575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0.26436781609195403</v>
      </c>
      <c r="Q434">
        <f t="shared" si="975"/>
        <v>162724094.54022989</v>
      </c>
      <c r="R434">
        <f t="shared" si="976"/>
        <v>-16159707289.87574</v>
      </c>
      <c r="S434">
        <f t="shared" si="977"/>
        <v>-161597.07289875741</v>
      </c>
      <c r="T434">
        <f t="shared" si="978"/>
        <v>-161.5970728987574</v>
      </c>
    </row>
    <row r="435" spans="1:20" x14ac:dyDescent="0.25">
      <c r="A435" s="5">
        <v>44158</v>
      </c>
      <c r="B435">
        <v>7.3499999999999998E-4</v>
      </c>
      <c r="C435">
        <v>8.6499999999999999E-4</v>
      </c>
      <c r="D435">
        <v>7.2099999999999996E-4</v>
      </c>
      <c r="E435">
        <v>7.9500000000000003E-4</v>
      </c>
      <c r="F435">
        <v>571344210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2.7777777777778446E-2</v>
      </c>
      <c r="Q435">
        <f t="shared" si="975"/>
        <v>15870672.500000382</v>
      </c>
      <c r="R435">
        <f t="shared" si="976"/>
        <v>-16322431384.41597</v>
      </c>
      <c r="S435">
        <f t="shared" si="977"/>
        <v>-163224.31384415971</v>
      </c>
      <c r="T435">
        <f t="shared" si="978"/>
        <v>-163.22431384415972</v>
      </c>
    </row>
    <row r="436" spans="1:20" x14ac:dyDescent="0.25">
      <c r="A436" s="5">
        <v>44157</v>
      </c>
      <c r="B436">
        <v>7.5799999999999999E-4</v>
      </c>
      <c r="C436">
        <v>7.7999999999999999E-4</v>
      </c>
      <c r="D436">
        <v>6.96E-4</v>
      </c>
      <c r="E436">
        <v>7.3899999999999997E-4</v>
      </c>
      <c r="F436">
        <v>310076171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2.3809523809523104E-2</v>
      </c>
      <c r="Q436">
        <f t="shared" si="975"/>
        <v>7382765.9761902578</v>
      </c>
      <c r="R436">
        <f t="shared" si="976"/>
        <v>-16338302056.91597</v>
      </c>
      <c r="S436">
        <f t="shared" si="977"/>
        <v>-163383.02056915971</v>
      </c>
      <c r="T436">
        <f t="shared" si="978"/>
        <v>-163.3830205691597</v>
      </c>
    </row>
    <row r="437" spans="1:20" x14ac:dyDescent="0.25">
      <c r="A437" s="5">
        <v>44156</v>
      </c>
      <c r="B437">
        <v>6.9499999999999998E-4</v>
      </c>
      <c r="C437">
        <v>7.85E-4</v>
      </c>
      <c r="D437">
        <v>6.8599999999999998E-4</v>
      </c>
      <c r="E437">
        <v>7.5900000000000002E-4</v>
      </c>
      <c r="F437">
        <v>446384948</v>
      </c>
      <c r="G437">
        <v>0</v>
      </c>
      <c r="L437" t="s">
        <v>7</v>
      </c>
      <c r="M437" t="s">
        <v>8</v>
      </c>
      <c r="N437" t="s">
        <v>7</v>
      </c>
      <c r="P437">
        <f t="shared" si="974"/>
        <v>0.47474747474747525</v>
      </c>
      <c r="Q437">
        <f t="shared" si="975"/>
        <v>211920126.82828304</v>
      </c>
      <c r="R437">
        <f t="shared" si="976"/>
        <v>-16345684822.89216</v>
      </c>
      <c r="S437">
        <f t="shared" si="977"/>
        <v>-163456.84822892159</v>
      </c>
      <c r="T437">
        <f t="shared" si="978"/>
        <v>-163.45684822892159</v>
      </c>
    </row>
    <row r="438" spans="1:20" x14ac:dyDescent="0.25">
      <c r="A438" s="5">
        <v>44155</v>
      </c>
      <c r="B438">
        <v>6.9099999999999999E-4</v>
      </c>
      <c r="C438">
        <v>7.0600000000000003E-4</v>
      </c>
      <c r="D438">
        <v>6.8300000000000001E-4</v>
      </c>
      <c r="E438">
        <v>6.9700000000000003E-4</v>
      </c>
      <c r="F438">
        <v>145868594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0.2173913043478265</v>
      </c>
      <c r="Q438">
        <f t="shared" si="975"/>
        <v>31710563.91304354</v>
      </c>
      <c r="R438">
        <f t="shared" si="976"/>
        <v>-16557604949.720444</v>
      </c>
      <c r="S438">
        <f t="shared" si="977"/>
        <v>-165576.04949720443</v>
      </c>
      <c r="T438">
        <f t="shared" si="978"/>
        <v>-165.57604949720442</v>
      </c>
    </row>
    <row r="439" spans="1:20" x14ac:dyDescent="0.25">
      <c r="A439" s="5">
        <v>44154</v>
      </c>
      <c r="B439">
        <v>7.1100000000000004E-4</v>
      </c>
      <c r="C439">
        <v>7.1699999999999997E-4</v>
      </c>
      <c r="D439">
        <v>6.8000000000000005E-4</v>
      </c>
      <c r="E439">
        <v>6.9099999999999999E-4</v>
      </c>
      <c r="F439">
        <v>201182153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-0.40540540540540732</v>
      </c>
      <c r="Q439">
        <f t="shared" si="975"/>
        <v>-81560332.297297686</v>
      </c>
      <c r="R439">
        <f t="shared" si="976"/>
        <v>-16589315513.633488</v>
      </c>
      <c r="S439">
        <f t="shared" si="977"/>
        <v>-165893.15513633488</v>
      </c>
      <c r="T439">
        <f t="shared" si="978"/>
        <v>-165.89315513633488</v>
      </c>
    </row>
    <row r="440" spans="1:20" x14ac:dyDescent="0.25">
      <c r="A440" s="5">
        <v>44153</v>
      </c>
      <c r="B440">
        <v>7.27E-4</v>
      </c>
      <c r="C440">
        <v>7.2999999999999996E-4</v>
      </c>
      <c r="D440">
        <v>6.9499999999999998E-4</v>
      </c>
      <c r="E440">
        <v>7.1100000000000004E-4</v>
      </c>
      <c r="F440">
        <v>119398840</v>
      </c>
      <c r="G440">
        <v>0</v>
      </c>
      <c r="L440" t="s">
        <v>8</v>
      </c>
      <c r="M440" t="s">
        <v>7</v>
      </c>
      <c r="N440" t="s">
        <v>7</v>
      </c>
      <c r="P440">
        <f t="shared" si="974"/>
        <v>-8.5714285714281649E-2</v>
      </c>
      <c r="Q440">
        <f t="shared" si="975"/>
        <v>-10234186.285713801</v>
      </c>
      <c r="R440">
        <f t="shared" si="976"/>
        <v>-16507755181.336189</v>
      </c>
      <c r="S440">
        <f t="shared" si="977"/>
        <v>-165077.5518133619</v>
      </c>
      <c r="T440">
        <f t="shared" si="978"/>
        <v>-165.07755181336191</v>
      </c>
    </row>
    <row r="441" spans="1:20" x14ac:dyDescent="0.25">
      <c r="A441" s="5">
        <v>44152</v>
      </c>
      <c r="B441">
        <v>7.0600000000000003E-4</v>
      </c>
      <c r="C441">
        <v>7.2999999999999996E-4</v>
      </c>
      <c r="D441">
        <v>6.9300000000000004E-4</v>
      </c>
      <c r="E441">
        <v>7.2199999999999999E-4</v>
      </c>
      <c r="F441">
        <v>282852293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0.56756756756756788</v>
      </c>
      <c r="Q441">
        <f t="shared" si="975"/>
        <v>160537787.918919</v>
      </c>
      <c r="R441">
        <f t="shared" si="976"/>
        <v>-16497520995.050476</v>
      </c>
      <c r="S441">
        <f t="shared" si="977"/>
        <v>-164975.20995050477</v>
      </c>
      <c r="T441">
        <f t="shared" si="978"/>
        <v>-164.97520995050476</v>
      </c>
    </row>
    <row r="442" spans="1:20" x14ac:dyDescent="0.25">
      <c r="A442" s="5">
        <v>44151</v>
      </c>
      <c r="B442">
        <v>6.9700000000000003E-4</v>
      </c>
      <c r="C442">
        <v>7.1400000000000001E-4</v>
      </c>
      <c r="D442">
        <v>6.7100000000000005E-4</v>
      </c>
      <c r="E442">
        <v>7.0600000000000003E-4</v>
      </c>
      <c r="F442">
        <v>176374317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0.62790697674418672</v>
      </c>
      <c r="Q442">
        <f t="shared" si="975"/>
        <v>110746664.16279082</v>
      </c>
      <c r="R442">
        <f t="shared" si="976"/>
        <v>-16658058782.969395</v>
      </c>
      <c r="S442">
        <f t="shared" si="977"/>
        <v>-166580.58782969395</v>
      </c>
      <c r="T442">
        <f t="shared" si="978"/>
        <v>-166.58058782969394</v>
      </c>
    </row>
    <row r="443" spans="1:20" x14ac:dyDescent="0.25">
      <c r="A443" s="5">
        <v>44150</v>
      </c>
      <c r="B443">
        <v>7.0200000000000004E-4</v>
      </c>
      <c r="C443">
        <v>7.1400000000000001E-4</v>
      </c>
      <c r="D443">
        <v>6.8999999999999997E-4</v>
      </c>
      <c r="E443">
        <v>6.9700000000000003E-4</v>
      </c>
      <c r="F443">
        <v>78293286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-0.41666666666666252</v>
      </c>
      <c r="Q443">
        <f t="shared" si="975"/>
        <v>-32622202.499999676</v>
      </c>
      <c r="R443">
        <f t="shared" si="976"/>
        <v>-16768805447.132185</v>
      </c>
      <c r="S443">
        <f t="shared" si="977"/>
        <v>-167688.05447132184</v>
      </c>
      <c r="T443">
        <f t="shared" si="978"/>
        <v>-167.68805447132183</v>
      </c>
    </row>
    <row r="444" spans="1:20" x14ac:dyDescent="0.25">
      <c r="A444" s="5">
        <v>44149</v>
      </c>
      <c r="B444">
        <v>7.1900000000000002E-4</v>
      </c>
      <c r="C444">
        <v>7.2300000000000001E-4</v>
      </c>
      <c r="D444">
        <v>6.7500000000000004E-4</v>
      </c>
      <c r="E444">
        <v>7.0200000000000004E-4</v>
      </c>
      <c r="F444">
        <v>103755521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0.12500000000000086</v>
      </c>
      <c r="Q444">
        <f t="shared" si="975"/>
        <v>12969440.125000089</v>
      </c>
      <c r="R444">
        <f t="shared" si="976"/>
        <v>-16736183244.632185</v>
      </c>
      <c r="S444">
        <f t="shared" si="977"/>
        <v>-167361.83244632185</v>
      </c>
      <c r="T444">
        <f t="shared" si="978"/>
        <v>-167.36183244632184</v>
      </c>
    </row>
    <row r="445" spans="1:20" x14ac:dyDescent="0.25">
      <c r="A445" s="5">
        <v>44148</v>
      </c>
      <c r="B445">
        <v>6.8800000000000003E-4</v>
      </c>
      <c r="C445">
        <v>7.3499999999999998E-4</v>
      </c>
      <c r="D445">
        <v>6.6799999999999997E-4</v>
      </c>
      <c r="E445">
        <v>7.1699999999999997E-4</v>
      </c>
      <c r="F445">
        <v>119768837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0.462686567164179</v>
      </c>
      <c r="Q445">
        <f t="shared" si="975"/>
        <v>55415432.044776104</v>
      </c>
      <c r="R445">
        <f t="shared" si="976"/>
        <v>-16749152684.757185</v>
      </c>
      <c r="S445">
        <f t="shared" si="977"/>
        <v>-167491.52684757186</v>
      </c>
      <c r="T445">
        <f t="shared" si="978"/>
        <v>-167.49152684757186</v>
      </c>
    </row>
    <row r="446" spans="1:20" x14ac:dyDescent="0.25">
      <c r="A446" s="5">
        <v>44147</v>
      </c>
      <c r="B446">
        <v>7.3200000000000001E-4</v>
      </c>
      <c r="C446">
        <v>7.3499999999999998E-4</v>
      </c>
      <c r="D446">
        <v>6.4000000000000005E-4</v>
      </c>
      <c r="E446">
        <v>6.87E-4</v>
      </c>
      <c r="F446">
        <v>349050131</v>
      </c>
      <c r="G446">
        <v>0</v>
      </c>
      <c r="L446" t="s">
        <v>8</v>
      </c>
      <c r="M446" t="s">
        <v>7</v>
      </c>
      <c r="N446" t="s">
        <v>7</v>
      </c>
      <c r="P446">
        <f t="shared" si="974"/>
        <v>-1.0526315789473948E-2</v>
      </c>
      <c r="Q446">
        <f t="shared" si="975"/>
        <v>-3674211.9052632498</v>
      </c>
      <c r="R446">
        <f t="shared" si="976"/>
        <v>-16804568116.801962</v>
      </c>
      <c r="S446">
        <f t="shared" si="977"/>
        <v>-168045.68116801963</v>
      </c>
      <c r="T446">
        <f t="shared" si="978"/>
        <v>-168.04568116801963</v>
      </c>
    </row>
    <row r="447" spans="1:20" x14ac:dyDescent="0.25">
      <c r="A447" s="5">
        <v>44146</v>
      </c>
      <c r="B447">
        <v>7.18E-4</v>
      </c>
      <c r="C447">
        <v>7.3899999999999997E-4</v>
      </c>
      <c r="D447">
        <v>7.1400000000000001E-4</v>
      </c>
      <c r="E447">
        <v>7.2599999999999997E-4</v>
      </c>
      <c r="F447">
        <v>199635451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-4.0000000000001042E-2</v>
      </c>
      <c r="Q447">
        <f t="shared" si="975"/>
        <v>-7985418.0400002077</v>
      </c>
      <c r="R447">
        <f t="shared" si="976"/>
        <v>-16800893904.896698</v>
      </c>
      <c r="S447">
        <f t="shared" si="977"/>
        <v>-168008.93904896697</v>
      </c>
      <c r="T447">
        <f t="shared" si="978"/>
        <v>-168.00893904896697</v>
      </c>
    </row>
    <row r="448" spans="1:20" x14ac:dyDescent="0.25">
      <c r="A448" s="5">
        <v>44145</v>
      </c>
      <c r="B448">
        <v>7.1500000000000003E-4</v>
      </c>
      <c r="C448">
        <v>7.7200000000000001E-4</v>
      </c>
      <c r="D448">
        <v>7.0200000000000004E-4</v>
      </c>
      <c r="E448">
        <v>7.1900000000000002E-4</v>
      </c>
      <c r="F448">
        <v>406403709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-0.51428571428571468</v>
      </c>
      <c r="Q448">
        <f t="shared" si="975"/>
        <v>-209007621.77142873</v>
      </c>
      <c r="R448">
        <f t="shared" si="976"/>
        <v>-16792908486.856697</v>
      </c>
      <c r="S448">
        <f t="shared" si="977"/>
        <v>-167929.08486856698</v>
      </c>
      <c r="T448">
        <f t="shared" si="978"/>
        <v>-167.92908486856697</v>
      </c>
    </row>
    <row r="449" spans="1:20" x14ac:dyDescent="0.25">
      <c r="A449" s="5">
        <v>44144</v>
      </c>
      <c r="B449">
        <v>7.2999999999999996E-4</v>
      </c>
      <c r="C449">
        <v>7.9500000000000003E-4</v>
      </c>
      <c r="D449">
        <v>6.8999999999999997E-4</v>
      </c>
      <c r="E449">
        <v>7.1500000000000003E-4</v>
      </c>
      <c r="F449">
        <v>737798041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-0.52380952380952284</v>
      </c>
      <c r="Q449">
        <f t="shared" si="975"/>
        <v>-386465640.52380878</v>
      </c>
      <c r="R449">
        <f t="shared" si="976"/>
        <v>-16583900865.085268</v>
      </c>
      <c r="S449">
        <f t="shared" si="977"/>
        <v>-165839.00865085269</v>
      </c>
      <c r="T449">
        <f t="shared" si="978"/>
        <v>-165.83900865085269</v>
      </c>
    </row>
    <row r="450" spans="1:20" x14ac:dyDescent="0.25">
      <c r="A450" s="5">
        <v>44143</v>
      </c>
      <c r="B450">
        <v>6.8599999999999998E-4</v>
      </c>
      <c r="C450">
        <v>7.4799999999999997E-4</v>
      </c>
      <c r="D450">
        <v>6.7299999999999999E-4</v>
      </c>
      <c r="E450">
        <v>7.2300000000000001E-4</v>
      </c>
      <c r="F450">
        <v>263797194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0.33333333333333431</v>
      </c>
      <c r="Q450">
        <f t="shared" si="975"/>
        <v>87932398.000000253</v>
      </c>
      <c r="R450">
        <f t="shared" si="976"/>
        <v>-16197435224.561459</v>
      </c>
      <c r="S450">
        <f t="shared" si="977"/>
        <v>-161974.35224561457</v>
      </c>
      <c r="T450">
        <f t="shared" si="978"/>
        <v>-161.97435224561457</v>
      </c>
    </row>
    <row r="451" spans="1:20" x14ac:dyDescent="0.25">
      <c r="A451" s="5">
        <v>44142</v>
      </c>
      <c r="B451">
        <v>7.2300000000000001E-4</v>
      </c>
      <c r="C451">
        <v>7.5000000000000002E-4</v>
      </c>
      <c r="D451">
        <v>6.6399999999999999E-4</v>
      </c>
      <c r="E451">
        <v>6.8599999999999998E-4</v>
      </c>
      <c r="F451">
        <v>379231394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-0.48837209302325618</v>
      </c>
      <c r="Q451">
        <f t="shared" si="975"/>
        <v>-185206029.62790713</v>
      </c>
      <c r="R451">
        <f t="shared" si="976"/>
        <v>-16285367622.561459</v>
      </c>
      <c r="S451">
        <f t="shared" si="977"/>
        <v>-162853.67622561459</v>
      </c>
      <c r="T451">
        <f t="shared" si="978"/>
        <v>-162.85367622561458</v>
      </c>
    </row>
    <row r="452" spans="1:20" x14ac:dyDescent="0.25">
      <c r="A452" s="5">
        <v>44141</v>
      </c>
      <c r="B452">
        <v>6.5600000000000001E-4</v>
      </c>
      <c r="C452">
        <v>8.9999999999999998E-4</v>
      </c>
      <c r="D452">
        <v>6.4000000000000005E-4</v>
      </c>
      <c r="E452">
        <v>7.2300000000000001E-4</v>
      </c>
      <c r="F452">
        <v>923060503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-0.3615384615384617</v>
      </c>
      <c r="Q452">
        <f t="shared" si="975"/>
        <v>-333721874.1615386</v>
      </c>
      <c r="R452">
        <f t="shared" si="976"/>
        <v>-16100161592.933552</v>
      </c>
      <c r="S452">
        <f t="shared" si="977"/>
        <v>-161001.61592933553</v>
      </c>
      <c r="T452">
        <f t="shared" si="978"/>
        <v>-161.00161592933554</v>
      </c>
    </row>
    <row r="453" spans="1:20" x14ac:dyDescent="0.25">
      <c r="A453" s="5">
        <v>44140</v>
      </c>
      <c r="B453">
        <v>6.2299999999999996E-4</v>
      </c>
      <c r="C453">
        <v>7.4299999999999995E-4</v>
      </c>
      <c r="D453">
        <v>6.2299999999999996E-4</v>
      </c>
      <c r="E453">
        <v>6.5600000000000001E-4</v>
      </c>
      <c r="F453">
        <v>328047368</v>
      </c>
      <c r="G453">
        <v>0</v>
      </c>
      <c r="L453" t="s">
        <v>7</v>
      </c>
      <c r="M453" t="s">
        <v>8</v>
      </c>
      <c r="N453" t="s">
        <v>8</v>
      </c>
      <c r="P453">
        <f t="shared" si="974"/>
        <v>-0.44999999999999923</v>
      </c>
      <c r="Q453">
        <f t="shared" si="975"/>
        <v>-147621315.59999976</v>
      </c>
      <c r="R453">
        <f t="shared" si="976"/>
        <v>-15766439718.772013</v>
      </c>
      <c r="S453">
        <f t="shared" si="977"/>
        <v>-157664.39718772014</v>
      </c>
      <c r="T453">
        <f t="shared" si="978"/>
        <v>-157.66439718772014</v>
      </c>
    </row>
    <row r="454" spans="1:20" x14ac:dyDescent="0.25">
      <c r="A454" s="5">
        <v>44139</v>
      </c>
      <c r="B454">
        <v>6.3599999999999996E-4</v>
      </c>
      <c r="C454">
        <v>7.2400000000000003E-4</v>
      </c>
      <c r="D454">
        <v>5.9000000000000003E-4</v>
      </c>
      <c r="E454">
        <v>6.2100000000000002E-4</v>
      </c>
      <c r="F454">
        <v>351235764</v>
      </c>
      <c r="G454">
        <v>0</v>
      </c>
      <c r="L454" t="s">
        <v>8</v>
      </c>
      <c r="M454" t="s">
        <v>7</v>
      </c>
      <c r="N454" t="s">
        <v>8</v>
      </c>
      <c r="P454">
        <f t="shared" ref="P454:P517" si="979">IF(C454=D454,0,((E454-D454)-(C454-E454))/(C454-D454))</f>
        <v>-0.537313432835821</v>
      </c>
      <c r="Q454">
        <f t="shared" ref="Q454:Q517" si="980">F454*P454</f>
        <v>-188723694.08955228</v>
      </c>
      <c r="R454">
        <f t="shared" ref="R454:R517" si="981">R455+Q454</f>
        <v>-15618818403.172012</v>
      </c>
      <c r="S454">
        <f t="shared" ref="S454:S517" si="982">R454/100000</f>
        <v>-156188.18403172013</v>
      </c>
      <c r="T454">
        <f t="shared" ref="T454:T517" si="983">S454/1000</f>
        <v>-156.18818403172014</v>
      </c>
    </row>
    <row r="455" spans="1:20" x14ac:dyDescent="0.25">
      <c r="A455" s="5">
        <v>44138</v>
      </c>
      <c r="B455">
        <v>6.8099999999999996E-4</v>
      </c>
      <c r="C455">
        <v>7.2999999999999996E-4</v>
      </c>
      <c r="D455">
        <v>6.1200000000000002E-4</v>
      </c>
      <c r="E455">
        <v>6.3500000000000004E-4</v>
      </c>
      <c r="F455">
        <v>684619918</v>
      </c>
      <c r="G455">
        <v>0</v>
      </c>
      <c r="L455" t="s">
        <v>7</v>
      </c>
      <c r="M455" t="s">
        <v>8</v>
      </c>
      <c r="N455" t="s">
        <v>8</v>
      </c>
      <c r="P455">
        <f t="shared" si="979"/>
        <v>-0.61016949152542321</v>
      </c>
      <c r="Q455">
        <f t="shared" si="980"/>
        <v>-417734187.25423694</v>
      </c>
      <c r="R455">
        <f t="shared" si="981"/>
        <v>-15430094709.08246</v>
      </c>
      <c r="S455">
        <f t="shared" si="982"/>
        <v>-154300.9470908246</v>
      </c>
      <c r="T455">
        <f t="shared" si="983"/>
        <v>-154.30094709082459</v>
      </c>
    </row>
    <row r="456" spans="1:20" x14ac:dyDescent="0.25">
      <c r="A456" s="5">
        <v>44137</v>
      </c>
      <c r="B456">
        <v>6.3599999999999996E-4</v>
      </c>
      <c r="C456">
        <v>7.3899999999999997E-4</v>
      </c>
      <c r="D456">
        <v>6.0599999999999998E-4</v>
      </c>
      <c r="E456">
        <v>6.8099999999999996E-4</v>
      </c>
      <c r="F456">
        <v>1094704980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0.12781954887218031</v>
      </c>
      <c r="Q456">
        <f t="shared" si="980"/>
        <v>139924696.69172916</v>
      </c>
      <c r="R456">
        <f t="shared" si="981"/>
        <v>-15012360521.828224</v>
      </c>
      <c r="S456">
        <f t="shared" si="982"/>
        <v>-150123.60521828223</v>
      </c>
      <c r="T456">
        <f t="shared" si="983"/>
        <v>-150.12360521828222</v>
      </c>
    </row>
    <row r="457" spans="1:20" x14ac:dyDescent="0.25">
      <c r="A457" s="5">
        <v>44136</v>
      </c>
      <c r="B457">
        <v>5.7200000000000003E-4</v>
      </c>
      <c r="C457">
        <v>7.45E-4</v>
      </c>
      <c r="D457">
        <v>5.6300000000000002E-4</v>
      </c>
      <c r="E457">
        <v>6.3599999999999996E-4</v>
      </c>
      <c r="F457">
        <v>609521222</v>
      </c>
      <c r="G457">
        <v>0</v>
      </c>
      <c r="L457" t="s">
        <v>7</v>
      </c>
      <c r="M457" t="s">
        <v>8</v>
      </c>
      <c r="N457" t="s">
        <v>8</v>
      </c>
      <c r="P457">
        <f t="shared" si="979"/>
        <v>-0.19780219780219846</v>
      </c>
      <c r="Q457">
        <f t="shared" si="980"/>
        <v>-120564637.31868172</v>
      </c>
      <c r="R457">
        <f t="shared" si="981"/>
        <v>-15152285218.519953</v>
      </c>
      <c r="S457">
        <f t="shared" si="982"/>
        <v>-151522.85218519953</v>
      </c>
      <c r="T457">
        <f t="shared" si="983"/>
        <v>-151.52285218519953</v>
      </c>
    </row>
    <row r="458" spans="1:20" x14ac:dyDescent="0.25">
      <c r="A458" s="5">
        <v>44135</v>
      </c>
      <c r="B458">
        <v>5.5999999999999995E-4</v>
      </c>
      <c r="C458">
        <v>6.2200000000000005E-4</v>
      </c>
      <c r="D458">
        <v>5.5099999999999995E-4</v>
      </c>
      <c r="E458">
        <v>5.71E-4</v>
      </c>
      <c r="F458">
        <v>177357337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-0.43661971830985846</v>
      </c>
      <c r="Q458">
        <f t="shared" si="980"/>
        <v>-77437710.521126643</v>
      </c>
      <c r="R458">
        <f t="shared" si="981"/>
        <v>-15031720581.201271</v>
      </c>
      <c r="S458">
        <f t="shared" si="982"/>
        <v>-150317.20581201272</v>
      </c>
      <c r="T458">
        <f t="shared" si="983"/>
        <v>-150.31720581201273</v>
      </c>
    </row>
    <row r="459" spans="1:20" x14ac:dyDescent="0.25">
      <c r="A459" s="5">
        <v>44134</v>
      </c>
      <c r="B459">
        <v>5.5500000000000005E-4</v>
      </c>
      <c r="C459">
        <v>5.7499999999999999E-4</v>
      </c>
      <c r="D459">
        <v>5.2499999999999997E-4</v>
      </c>
      <c r="E459">
        <v>5.62E-4</v>
      </c>
      <c r="F459">
        <v>178907080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0.48000000000000059</v>
      </c>
      <c r="Q459">
        <f t="shared" si="980"/>
        <v>85875398.40000011</v>
      </c>
      <c r="R459">
        <f t="shared" si="981"/>
        <v>-14954282870.680145</v>
      </c>
      <c r="S459">
        <f t="shared" si="982"/>
        <v>-149542.82870680146</v>
      </c>
      <c r="T459">
        <f t="shared" si="983"/>
        <v>-149.54282870680146</v>
      </c>
    </row>
    <row r="460" spans="1:20" x14ac:dyDescent="0.25">
      <c r="A460" s="5">
        <v>44133</v>
      </c>
      <c r="B460">
        <v>5.8E-4</v>
      </c>
      <c r="C460">
        <v>5.9999999999999995E-4</v>
      </c>
      <c r="D460">
        <v>5.4199999999999995E-4</v>
      </c>
      <c r="E460">
        <v>5.5500000000000005E-4</v>
      </c>
      <c r="F460">
        <v>238160615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-0.55172413793103103</v>
      </c>
      <c r="Q460">
        <f t="shared" si="980"/>
        <v>-131398959.99999918</v>
      </c>
      <c r="R460">
        <f t="shared" si="981"/>
        <v>-15040158269.080145</v>
      </c>
      <c r="S460">
        <f t="shared" si="982"/>
        <v>-150401.58269080144</v>
      </c>
      <c r="T460">
        <f t="shared" si="983"/>
        <v>-150.40158269080143</v>
      </c>
    </row>
    <row r="461" spans="1:20" x14ac:dyDescent="0.25">
      <c r="A461" s="5">
        <v>44132</v>
      </c>
      <c r="B461">
        <v>6.1899999999999998E-4</v>
      </c>
      <c r="C461">
        <v>6.2799999999999998E-4</v>
      </c>
      <c r="D461">
        <v>5.5999999999999995E-4</v>
      </c>
      <c r="E461">
        <v>5.7700000000000004E-4</v>
      </c>
      <c r="F461">
        <v>189736594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-0.49999999999999761</v>
      </c>
      <c r="Q461">
        <f t="shared" si="980"/>
        <v>-94868296.999999553</v>
      </c>
      <c r="R461">
        <f t="shared" si="981"/>
        <v>-14908759309.080145</v>
      </c>
      <c r="S461">
        <f t="shared" si="982"/>
        <v>-149087.59309080144</v>
      </c>
      <c r="T461">
        <f t="shared" si="983"/>
        <v>-149.08759309080145</v>
      </c>
    </row>
    <row r="462" spans="1:20" x14ac:dyDescent="0.25">
      <c r="A462" s="5">
        <v>44131</v>
      </c>
      <c r="B462">
        <v>6.1700000000000004E-4</v>
      </c>
      <c r="C462">
        <v>6.4400000000000004E-4</v>
      </c>
      <c r="D462">
        <v>6.0700000000000001E-4</v>
      </c>
      <c r="E462">
        <v>6.1899999999999998E-4</v>
      </c>
      <c r="F462">
        <v>185808563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-0.3513513513513537</v>
      </c>
      <c r="Q462">
        <f t="shared" si="980"/>
        <v>-65284089.702703141</v>
      </c>
      <c r="R462">
        <f t="shared" si="981"/>
        <v>-14813891012.080145</v>
      </c>
      <c r="S462">
        <f t="shared" si="982"/>
        <v>-148138.91012080145</v>
      </c>
      <c r="T462">
        <f t="shared" si="983"/>
        <v>-148.13891012080146</v>
      </c>
    </row>
    <row r="463" spans="1:20" x14ac:dyDescent="0.25">
      <c r="A463" s="5">
        <v>44130</v>
      </c>
      <c r="B463">
        <v>6.2E-4</v>
      </c>
      <c r="C463">
        <v>6.29E-4</v>
      </c>
      <c r="D463">
        <v>5.8699999999999996E-4</v>
      </c>
      <c r="E463">
        <v>6.1499999999999999E-4</v>
      </c>
      <c r="F463">
        <v>151273296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0.33333333333333331</v>
      </c>
      <c r="Q463">
        <f t="shared" si="980"/>
        <v>50424432</v>
      </c>
      <c r="R463">
        <f t="shared" si="981"/>
        <v>-14748606922.377441</v>
      </c>
      <c r="S463">
        <f t="shared" si="982"/>
        <v>-147486.06922377442</v>
      </c>
      <c r="T463">
        <f t="shared" si="983"/>
        <v>-147.48606922377442</v>
      </c>
    </row>
    <row r="464" spans="1:20" x14ac:dyDescent="0.25">
      <c r="A464" s="5">
        <v>44129</v>
      </c>
      <c r="B464">
        <v>6.5300000000000004E-4</v>
      </c>
      <c r="C464">
        <v>6.6200000000000005E-4</v>
      </c>
      <c r="D464">
        <v>6.0700000000000001E-4</v>
      </c>
      <c r="E464">
        <v>6.2E-4</v>
      </c>
      <c r="F464">
        <v>134541888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-0.52727272727272789</v>
      </c>
      <c r="Q464">
        <f t="shared" si="980"/>
        <v>-70940268.218181908</v>
      </c>
      <c r="R464">
        <f t="shared" si="981"/>
        <v>-14799031354.377441</v>
      </c>
      <c r="S464">
        <f t="shared" si="982"/>
        <v>-147990.31354377442</v>
      </c>
      <c r="T464">
        <f t="shared" si="983"/>
        <v>-147.99031354377442</v>
      </c>
    </row>
    <row r="465" spans="1:20" x14ac:dyDescent="0.25">
      <c r="A465" s="5">
        <v>44128</v>
      </c>
      <c r="B465">
        <v>6.2200000000000005E-4</v>
      </c>
      <c r="C465">
        <v>6.7500000000000004E-4</v>
      </c>
      <c r="D465">
        <v>6.1399999999999996E-4</v>
      </c>
      <c r="E465">
        <v>6.5099999999999999E-4</v>
      </c>
      <c r="F465">
        <v>134149810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0.21311475409836025</v>
      </c>
      <c r="Q465">
        <f t="shared" si="980"/>
        <v>28589303.770491749</v>
      </c>
      <c r="R465">
        <f t="shared" si="981"/>
        <v>-14728091086.15926</v>
      </c>
      <c r="S465">
        <f t="shared" si="982"/>
        <v>-147280.91086159259</v>
      </c>
      <c r="T465">
        <f t="shared" si="983"/>
        <v>-147.28091086159259</v>
      </c>
    </row>
    <row r="466" spans="1:20" x14ac:dyDescent="0.25">
      <c r="A466" s="5">
        <v>44127</v>
      </c>
      <c r="B466">
        <v>6.3599999999999996E-4</v>
      </c>
      <c r="C466">
        <v>6.4999999999999997E-4</v>
      </c>
      <c r="D466">
        <v>6.0700000000000001E-4</v>
      </c>
      <c r="E466">
        <v>6.2399999999999999E-4</v>
      </c>
      <c r="F466">
        <v>104400490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-0.20930232558139558</v>
      </c>
      <c r="Q466">
        <f t="shared" si="980"/>
        <v>-21851265.348837234</v>
      </c>
      <c r="R466">
        <f t="shared" si="981"/>
        <v>-14756680389.929752</v>
      </c>
      <c r="S466">
        <f t="shared" si="982"/>
        <v>-147566.80389929752</v>
      </c>
      <c r="T466">
        <f t="shared" si="983"/>
        <v>-147.56680389929753</v>
      </c>
    </row>
    <row r="467" spans="1:20" x14ac:dyDescent="0.25">
      <c r="A467" s="5">
        <v>44126</v>
      </c>
      <c r="B467">
        <v>6.0999999999999997E-4</v>
      </c>
      <c r="C467">
        <v>6.4800000000000003E-4</v>
      </c>
      <c r="D467">
        <v>6.0300000000000002E-4</v>
      </c>
      <c r="E467">
        <v>6.3599999999999996E-4</v>
      </c>
      <c r="F467">
        <v>160404153</v>
      </c>
      <c r="G467">
        <v>0</v>
      </c>
      <c r="L467" t="s">
        <v>7</v>
      </c>
      <c r="M467" t="s">
        <v>8</v>
      </c>
      <c r="N467" t="s">
        <v>7</v>
      </c>
      <c r="P467">
        <f t="shared" si="979"/>
        <v>0.46666666666666345</v>
      </c>
      <c r="Q467">
        <f t="shared" si="980"/>
        <v>74855271.399999484</v>
      </c>
      <c r="R467">
        <f t="shared" si="981"/>
        <v>-14734829124.580915</v>
      </c>
      <c r="S467">
        <f t="shared" si="982"/>
        <v>-147348.29124580915</v>
      </c>
      <c r="T467">
        <f t="shared" si="983"/>
        <v>-147.34829124580915</v>
      </c>
    </row>
    <row r="468" spans="1:20" x14ac:dyDescent="0.25">
      <c r="A468" s="5">
        <v>44125</v>
      </c>
      <c r="B468">
        <v>6.0700000000000001E-4</v>
      </c>
      <c r="C468">
        <v>6.4400000000000004E-4</v>
      </c>
      <c r="D468">
        <v>5.8600000000000004E-4</v>
      </c>
      <c r="E468">
        <v>6.0999999999999997E-4</v>
      </c>
      <c r="F468">
        <v>253337254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-0.17241379310345059</v>
      </c>
      <c r="Q468">
        <f t="shared" si="980"/>
        <v>-43678836.896552309</v>
      </c>
      <c r="R468">
        <f t="shared" si="981"/>
        <v>-14809684395.980915</v>
      </c>
      <c r="S468">
        <f t="shared" si="982"/>
        <v>-148096.84395980916</v>
      </c>
      <c r="T468">
        <f t="shared" si="983"/>
        <v>-148.09684395980918</v>
      </c>
    </row>
    <row r="469" spans="1:20" x14ac:dyDescent="0.25">
      <c r="A469" s="5">
        <v>44124</v>
      </c>
      <c r="B469">
        <v>6.7100000000000005E-4</v>
      </c>
      <c r="C469">
        <v>6.7599999999999995E-4</v>
      </c>
      <c r="D469">
        <v>5.1900000000000004E-4</v>
      </c>
      <c r="E469">
        <v>6.0599999999999998E-4</v>
      </c>
      <c r="F469">
        <v>1170843048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0.10828025477707</v>
      </c>
      <c r="Q469">
        <f t="shared" si="980"/>
        <v>126779183.54140119</v>
      </c>
      <c r="R469">
        <f t="shared" si="981"/>
        <v>-14766005559.084362</v>
      </c>
      <c r="S469">
        <f t="shared" si="982"/>
        <v>-147660.05559084361</v>
      </c>
      <c r="T469">
        <f t="shared" si="983"/>
        <v>-147.6600555908436</v>
      </c>
    </row>
    <row r="470" spans="1:20" x14ac:dyDescent="0.25">
      <c r="A470" s="5">
        <v>44123</v>
      </c>
      <c r="B470">
        <v>6.7100000000000005E-4</v>
      </c>
      <c r="C470">
        <v>6.8000000000000005E-4</v>
      </c>
      <c r="D470">
        <v>6.5499999999999998E-4</v>
      </c>
      <c r="E470">
        <v>6.7599999999999995E-4</v>
      </c>
      <c r="F470">
        <v>68323716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0.67999999999999305</v>
      </c>
      <c r="Q470">
        <f t="shared" si="980"/>
        <v>46460126.879999526</v>
      </c>
      <c r="R470">
        <f t="shared" si="981"/>
        <v>-14892784742.625763</v>
      </c>
      <c r="S470">
        <f t="shared" si="982"/>
        <v>-148927.84742625762</v>
      </c>
      <c r="T470">
        <f t="shared" si="983"/>
        <v>-148.92784742625761</v>
      </c>
    </row>
    <row r="471" spans="1:20" x14ac:dyDescent="0.25">
      <c r="A471" s="5">
        <v>44122</v>
      </c>
      <c r="B471">
        <v>6.4800000000000003E-4</v>
      </c>
      <c r="C471">
        <v>6.7699999999999998E-4</v>
      </c>
      <c r="D471">
        <v>6.4800000000000003E-4</v>
      </c>
      <c r="E471">
        <v>6.7100000000000005E-4</v>
      </c>
      <c r="F471">
        <v>87214450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0.58620689655172831</v>
      </c>
      <c r="Q471">
        <f t="shared" si="980"/>
        <v>51125712.068965882</v>
      </c>
      <c r="R471">
        <f t="shared" si="981"/>
        <v>-14939244869.505762</v>
      </c>
      <c r="S471">
        <f t="shared" si="982"/>
        <v>-149392.44869505762</v>
      </c>
      <c r="T471">
        <f t="shared" si="983"/>
        <v>-149.39244869505762</v>
      </c>
    </row>
    <row r="472" spans="1:20" x14ac:dyDescent="0.25">
      <c r="A472" s="5">
        <v>44121</v>
      </c>
      <c r="B472">
        <v>6.7699999999999998E-4</v>
      </c>
      <c r="C472">
        <v>6.7699999999999998E-4</v>
      </c>
      <c r="D472">
        <v>6.29E-4</v>
      </c>
      <c r="E472">
        <v>6.4899999999999995E-4</v>
      </c>
      <c r="F472">
        <v>142107431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-0.16666666666666854</v>
      </c>
      <c r="Q472">
        <f t="shared" si="980"/>
        <v>-23684571.8333336</v>
      </c>
      <c r="R472">
        <f t="shared" si="981"/>
        <v>-14990370581.574728</v>
      </c>
      <c r="S472">
        <f t="shared" si="982"/>
        <v>-149903.70581574729</v>
      </c>
      <c r="T472">
        <f t="shared" si="983"/>
        <v>-149.90370581574729</v>
      </c>
    </row>
    <row r="473" spans="1:20" x14ac:dyDescent="0.25">
      <c r="A473" s="5">
        <v>44120</v>
      </c>
      <c r="B473">
        <v>7.0399999999999998E-4</v>
      </c>
      <c r="C473">
        <v>7.0899999999999999E-4</v>
      </c>
      <c r="D473">
        <v>6.7500000000000004E-4</v>
      </c>
      <c r="E473">
        <v>6.8000000000000005E-4</v>
      </c>
      <c r="F473">
        <v>138364675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-0.7058823529411753</v>
      </c>
      <c r="Q473">
        <f t="shared" si="980"/>
        <v>-97669182.352941006</v>
      </c>
      <c r="R473">
        <f t="shared" si="981"/>
        <v>-14966686009.741394</v>
      </c>
      <c r="S473">
        <f t="shared" si="982"/>
        <v>-149666.86009741394</v>
      </c>
      <c r="T473">
        <f t="shared" si="983"/>
        <v>-149.66686009741395</v>
      </c>
    </row>
    <row r="474" spans="1:20" x14ac:dyDescent="0.25">
      <c r="A474" s="5">
        <v>44119</v>
      </c>
      <c r="B474">
        <v>6.9700000000000003E-4</v>
      </c>
      <c r="C474">
        <v>7.2499999999999995E-4</v>
      </c>
      <c r="D474">
        <v>6.8499999999999995E-4</v>
      </c>
      <c r="E474">
        <v>7.0399999999999998E-4</v>
      </c>
      <c r="F474">
        <v>109152501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-4.9999999999998511E-2</v>
      </c>
      <c r="Q474">
        <f t="shared" si="980"/>
        <v>-5457625.0499998378</v>
      </c>
      <c r="R474">
        <f t="shared" si="981"/>
        <v>-14869016827.388453</v>
      </c>
      <c r="S474">
        <f t="shared" si="982"/>
        <v>-148690.16827388451</v>
      </c>
      <c r="T474">
        <f t="shared" si="983"/>
        <v>-148.69016827388452</v>
      </c>
    </row>
    <row r="475" spans="1:20" x14ac:dyDescent="0.25">
      <c r="A475" s="5">
        <v>44118</v>
      </c>
      <c r="B475">
        <v>7.1299999999999998E-4</v>
      </c>
      <c r="C475">
        <v>7.2499999999999995E-4</v>
      </c>
      <c r="D475">
        <v>6.8499999999999995E-4</v>
      </c>
      <c r="E475">
        <v>6.9700000000000003E-4</v>
      </c>
      <c r="F475">
        <v>129755847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-0.39999999999999619</v>
      </c>
      <c r="Q475">
        <f t="shared" si="980"/>
        <v>-51902338.799999505</v>
      </c>
      <c r="R475">
        <f t="shared" si="981"/>
        <v>-14863559202.338453</v>
      </c>
      <c r="S475">
        <f t="shared" si="982"/>
        <v>-148635.59202338452</v>
      </c>
      <c r="T475">
        <f t="shared" si="983"/>
        <v>-148.63559202338453</v>
      </c>
    </row>
    <row r="476" spans="1:20" x14ac:dyDescent="0.25">
      <c r="A476" s="5">
        <v>44117</v>
      </c>
      <c r="B476">
        <v>7.0100000000000002E-4</v>
      </c>
      <c r="C476">
        <v>7.7499999999999997E-4</v>
      </c>
      <c r="D476">
        <v>6.8099999999999996E-4</v>
      </c>
      <c r="E476">
        <v>7.1000000000000002E-4</v>
      </c>
      <c r="F476">
        <v>379268586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-0.38297872340425421</v>
      </c>
      <c r="Q476">
        <f t="shared" si="980"/>
        <v>-145251798.89361659</v>
      </c>
      <c r="R476">
        <f t="shared" si="981"/>
        <v>-14811656863.538454</v>
      </c>
      <c r="S476">
        <f t="shared" si="982"/>
        <v>-148116.56863538455</v>
      </c>
      <c r="T476">
        <f t="shared" si="983"/>
        <v>-148.11656863538454</v>
      </c>
    </row>
    <row r="477" spans="1:20" x14ac:dyDescent="0.25">
      <c r="A477" s="5">
        <v>44116</v>
      </c>
      <c r="B477">
        <v>6.9200000000000002E-4</v>
      </c>
      <c r="C477">
        <v>7.0899999999999999E-4</v>
      </c>
      <c r="D477">
        <v>6.7500000000000004E-4</v>
      </c>
      <c r="E477">
        <v>7.0100000000000002E-4</v>
      </c>
      <c r="F477">
        <v>136335426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0.52941176470588314</v>
      </c>
      <c r="Q477">
        <f t="shared" si="980"/>
        <v>72177578.470588341</v>
      </c>
      <c r="R477">
        <f t="shared" si="981"/>
        <v>-14666405064.644838</v>
      </c>
      <c r="S477">
        <f t="shared" si="982"/>
        <v>-146664.05064644839</v>
      </c>
      <c r="T477">
        <f t="shared" si="983"/>
        <v>-146.6640506464484</v>
      </c>
    </row>
    <row r="478" spans="1:20" x14ac:dyDescent="0.25">
      <c r="A478" s="5">
        <v>44115</v>
      </c>
      <c r="B478">
        <v>6.8300000000000001E-4</v>
      </c>
      <c r="C478">
        <v>6.9499999999999998E-4</v>
      </c>
      <c r="D478">
        <v>6.7599999999999995E-4</v>
      </c>
      <c r="E478">
        <v>6.8999999999999997E-4</v>
      </c>
      <c r="F478">
        <v>87418076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0.47368421052631521</v>
      </c>
      <c r="Q478">
        <f t="shared" si="980"/>
        <v>41408562.315789424</v>
      </c>
      <c r="R478">
        <f t="shared" si="981"/>
        <v>-14738582643.115427</v>
      </c>
      <c r="S478">
        <f t="shared" si="982"/>
        <v>-147385.82643115427</v>
      </c>
      <c r="T478">
        <f t="shared" si="983"/>
        <v>-147.38582643115427</v>
      </c>
    </row>
    <row r="479" spans="1:20" x14ac:dyDescent="0.25">
      <c r="A479" s="5">
        <v>44114</v>
      </c>
      <c r="B479">
        <v>7.2199999999999999E-4</v>
      </c>
      <c r="C479">
        <v>7.2400000000000003E-4</v>
      </c>
      <c r="D479">
        <v>6.7699999999999998E-4</v>
      </c>
      <c r="E479">
        <v>6.8300000000000001E-4</v>
      </c>
      <c r="F479">
        <v>174251236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-0.74468085106382853</v>
      </c>
      <c r="Q479">
        <f t="shared" si="980"/>
        <v>-129761558.72340403</v>
      </c>
      <c r="R479">
        <f t="shared" si="981"/>
        <v>-14779991205.431217</v>
      </c>
      <c r="S479">
        <f t="shared" si="982"/>
        <v>-147799.91205431218</v>
      </c>
      <c r="T479">
        <f t="shared" si="983"/>
        <v>-147.79991205431219</v>
      </c>
    </row>
    <row r="480" spans="1:20" x14ac:dyDescent="0.25">
      <c r="A480" s="5">
        <v>44113</v>
      </c>
      <c r="B480">
        <v>6.6699999999999995E-4</v>
      </c>
      <c r="C480">
        <v>7.2400000000000003E-4</v>
      </c>
      <c r="D480">
        <v>6.6299999999999996E-4</v>
      </c>
      <c r="E480">
        <v>7.2199999999999999E-4</v>
      </c>
      <c r="F480">
        <v>174608147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0.93442622950819521</v>
      </c>
      <c r="Q480">
        <f t="shared" si="980"/>
        <v>163158432.44262269</v>
      </c>
      <c r="R480">
        <f t="shared" si="981"/>
        <v>-14650229646.707813</v>
      </c>
      <c r="S480">
        <f t="shared" si="982"/>
        <v>-146502.29646707812</v>
      </c>
      <c r="T480">
        <f t="shared" si="983"/>
        <v>-146.50229646707811</v>
      </c>
    </row>
    <row r="481" spans="1:20" x14ac:dyDescent="0.25">
      <c r="A481" s="5">
        <v>44112</v>
      </c>
      <c r="B481">
        <v>6.6600000000000003E-4</v>
      </c>
      <c r="C481">
        <v>6.7599999999999995E-4</v>
      </c>
      <c r="D481">
        <v>6.2299999999999996E-4</v>
      </c>
      <c r="E481">
        <v>6.6500000000000001E-4</v>
      </c>
      <c r="F481">
        <v>169733658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0.58490566037736058</v>
      </c>
      <c r="Q481">
        <f t="shared" si="980"/>
        <v>99278177.320755064</v>
      </c>
      <c r="R481">
        <f t="shared" si="981"/>
        <v>-14813388079.150436</v>
      </c>
      <c r="S481">
        <f t="shared" si="982"/>
        <v>-148133.88079150437</v>
      </c>
      <c r="T481">
        <f t="shared" si="983"/>
        <v>-148.13388079150437</v>
      </c>
    </row>
    <row r="482" spans="1:20" x14ac:dyDescent="0.25">
      <c r="A482" s="5">
        <v>44111</v>
      </c>
      <c r="B482">
        <v>6.2399999999999999E-4</v>
      </c>
      <c r="C482">
        <v>6.8300000000000001E-4</v>
      </c>
      <c r="D482">
        <v>5.9900000000000003E-4</v>
      </c>
      <c r="E482">
        <v>6.69E-4</v>
      </c>
      <c r="F482">
        <v>189683979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0.66666666666666619</v>
      </c>
      <c r="Q482">
        <f t="shared" si="980"/>
        <v>126455985.99999991</v>
      </c>
      <c r="R482">
        <f t="shared" si="981"/>
        <v>-14912666256.471191</v>
      </c>
      <c r="S482">
        <f t="shared" si="982"/>
        <v>-149126.66256471191</v>
      </c>
      <c r="T482">
        <f t="shared" si="983"/>
        <v>-149.12666256471192</v>
      </c>
    </row>
    <row r="483" spans="1:20" x14ac:dyDescent="0.25">
      <c r="A483" s="5">
        <v>44110</v>
      </c>
      <c r="B483">
        <v>6.8000000000000005E-4</v>
      </c>
      <c r="C483">
        <v>6.96E-4</v>
      </c>
      <c r="D483">
        <v>6.1899999999999998E-4</v>
      </c>
      <c r="E483">
        <v>6.2200000000000005E-4</v>
      </c>
      <c r="F483">
        <v>184904158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-0.92207792207792016</v>
      </c>
      <c r="Q483">
        <f t="shared" si="980"/>
        <v>-170496041.79220745</v>
      </c>
      <c r="R483">
        <f t="shared" si="981"/>
        <v>-15039122242.471191</v>
      </c>
      <c r="S483">
        <f t="shared" si="982"/>
        <v>-150391.22242471192</v>
      </c>
      <c r="T483">
        <f t="shared" si="983"/>
        <v>-150.39122242471191</v>
      </c>
    </row>
    <row r="484" spans="1:20" x14ac:dyDescent="0.25">
      <c r="A484" s="5">
        <v>44109</v>
      </c>
      <c r="B484">
        <v>6.9899999999999997E-4</v>
      </c>
      <c r="C484">
        <v>7.0799999999999997E-4</v>
      </c>
      <c r="D484">
        <v>6.6500000000000001E-4</v>
      </c>
      <c r="E484">
        <v>6.8000000000000005E-4</v>
      </c>
      <c r="F484">
        <v>101419020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-0.30232558139534638</v>
      </c>
      <c r="Q484">
        <f t="shared" si="980"/>
        <v>-30661564.186046261</v>
      </c>
      <c r="R484">
        <f t="shared" si="981"/>
        <v>-14868626200.678984</v>
      </c>
      <c r="S484">
        <f t="shared" si="982"/>
        <v>-148686.26200678982</v>
      </c>
      <c r="T484">
        <f t="shared" si="983"/>
        <v>-148.68626200678983</v>
      </c>
    </row>
    <row r="485" spans="1:20" x14ac:dyDescent="0.25">
      <c r="A485" s="5">
        <v>44108</v>
      </c>
      <c r="B485">
        <v>7.1500000000000003E-4</v>
      </c>
      <c r="C485">
        <v>7.2400000000000003E-4</v>
      </c>
      <c r="D485">
        <v>6.7500000000000004E-4</v>
      </c>
      <c r="E485">
        <v>6.9999999999999999E-4</v>
      </c>
      <c r="F485">
        <v>93892465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2.0408163265304407E-2</v>
      </c>
      <c r="Q485">
        <f t="shared" si="980"/>
        <v>1916172.7551018798</v>
      </c>
      <c r="R485">
        <f t="shared" si="981"/>
        <v>-14837964636.492937</v>
      </c>
      <c r="S485">
        <f t="shared" si="982"/>
        <v>-148379.64636492936</v>
      </c>
      <c r="T485">
        <f t="shared" si="983"/>
        <v>-148.37964636492936</v>
      </c>
    </row>
    <row r="486" spans="1:20" x14ac:dyDescent="0.25">
      <c r="A486" s="5">
        <v>44107</v>
      </c>
      <c r="B486">
        <v>6.9700000000000003E-4</v>
      </c>
      <c r="C486">
        <v>7.3099999999999999E-4</v>
      </c>
      <c r="D486">
        <v>6.8999999999999997E-4</v>
      </c>
      <c r="E486">
        <v>7.1500000000000003E-4</v>
      </c>
      <c r="F486">
        <v>63284821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0.2195121951219538</v>
      </c>
      <c r="Q486">
        <f t="shared" si="980"/>
        <v>13891789.975609919</v>
      </c>
      <c r="R486">
        <f t="shared" si="981"/>
        <v>-14839880809.248039</v>
      </c>
      <c r="S486">
        <f t="shared" si="982"/>
        <v>-148398.80809248038</v>
      </c>
      <c r="T486">
        <f t="shared" si="983"/>
        <v>-148.39880809248038</v>
      </c>
    </row>
    <row r="487" spans="1:20" x14ac:dyDescent="0.25">
      <c r="A487" s="5">
        <v>44106</v>
      </c>
      <c r="B487">
        <v>7.1599999999999995E-4</v>
      </c>
      <c r="C487">
        <v>7.4600000000000003E-4</v>
      </c>
      <c r="D487">
        <v>6.7299999999999999E-4</v>
      </c>
      <c r="E487">
        <v>6.9700000000000003E-4</v>
      </c>
      <c r="F487">
        <v>142145054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-0.34246575342465674</v>
      </c>
      <c r="Q487">
        <f t="shared" si="980"/>
        <v>-48679813.013698518</v>
      </c>
      <c r="R487">
        <f t="shared" si="981"/>
        <v>-14853772599.22365</v>
      </c>
      <c r="S487">
        <f t="shared" si="982"/>
        <v>-148537.72599223649</v>
      </c>
      <c r="T487">
        <f t="shared" si="983"/>
        <v>-148.53772599223649</v>
      </c>
    </row>
    <row r="488" spans="1:20" x14ac:dyDescent="0.25">
      <c r="A488" s="5">
        <v>44105</v>
      </c>
      <c r="B488">
        <v>7.4200000000000004E-4</v>
      </c>
      <c r="C488">
        <v>7.9900000000000001E-4</v>
      </c>
      <c r="D488">
        <v>7.0100000000000002E-4</v>
      </c>
      <c r="E488">
        <v>7.1400000000000001E-4</v>
      </c>
      <c r="F488">
        <v>243487823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-0.73469387755102056</v>
      </c>
      <c r="Q488">
        <f t="shared" si="980"/>
        <v>-178889012.81632656</v>
      </c>
      <c r="R488">
        <f t="shared" si="981"/>
        <v>-14805092786.209951</v>
      </c>
      <c r="S488">
        <f t="shared" si="982"/>
        <v>-148050.92786209952</v>
      </c>
      <c r="T488">
        <f t="shared" si="983"/>
        <v>-148.05092786209951</v>
      </c>
    </row>
    <row r="489" spans="1:20" x14ac:dyDescent="0.25">
      <c r="A489" s="5">
        <v>44104</v>
      </c>
      <c r="B489">
        <v>7.6199999999999998E-4</v>
      </c>
      <c r="C489">
        <v>7.6800000000000002E-4</v>
      </c>
      <c r="D489">
        <v>7.3099999999999999E-4</v>
      </c>
      <c r="E489">
        <v>7.4200000000000004E-4</v>
      </c>
      <c r="F489">
        <v>142055909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-0.40540540540540321</v>
      </c>
      <c r="Q489">
        <f t="shared" si="980"/>
        <v>-57590233.378378063</v>
      </c>
      <c r="R489">
        <f t="shared" si="981"/>
        <v>-14626203773.393625</v>
      </c>
      <c r="S489">
        <f t="shared" si="982"/>
        <v>-146262.03773393625</v>
      </c>
      <c r="T489">
        <f t="shared" si="983"/>
        <v>-146.26203773393624</v>
      </c>
    </row>
    <row r="490" spans="1:20" x14ac:dyDescent="0.25">
      <c r="A490" s="5">
        <v>44103</v>
      </c>
      <c r="B490">
        <v>7.7200000000000001E-4</v>
      </c>
      <c r="C490">
        <v>7.7300000000000003E-4</v>
      </c>
      <c r="D490">
        <v>6.0499999999999996E-4</v>
      </c>
      <c r="E490">
        <v>7.6099999999999996E-4</v>
      </c>
      <c r="F490">
        <v>319886676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0.85714285714285632</v>
      </c>
      <c r="Q490">
        <f t="shared" si="980"/>
        <v>274188579.42857116</v>
      </c>
      <c r="R490">
        <f t="shared" si="981"/>
        <v>-14568613540.015247</v>
      </c>
      <c r="S490">
        <f t="shared" si="982"/>
        <v>-145686.13540015247</v>
      </c>
      <c r="T490">
        <f t="shared" si="983"/>
        <v>-145.68613540015247</v>
      </c>
    </row>
    <row r="491" spans="1:20" x14ac:dyDescent="0.25">
      <c r="A491" s="5">
        <v>44102</v>
      </c>
      <c r="B491">
        <v>7.4200000000000004E-4</v>
      </c>
      <c r="C491">
        <v>8.4199999999999998E-4</v>
      </c>
      <c r="D491">
        <v>7.2999999999999996E-4</v>
      </c>
      <c r="E491">
        <v>7.7300000000000003E-4</v>
      </c>
      <c r="F491">
        <v>316438792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-0.23214285714285599</v>
      </c>
      <c r="Q491">
        <f t="shared" si="980"/>
        <v>-73459005.285713926</v>
      </c>
      <c r="R491">
        <f t="shared" si="981"/>
        <v>-14842802119.443819</v>
      </c>
      <c r="S491">
        <f t="shared" si="982"/>
        <v>-148428.02119443819</v>
      </c>
      <c r="T491">
        <f t="shared" si="983"/>
        <v>-148.4280211944382</v>
      </c>
    </row>
    <row r="492" spans="1:20" x14ac:dyDescent="0.25">
      <c r="A492" s="5">
        <v>44101</v>
      </c>
      <c r="B492">
        <v>7.7899999999999996E-4</v>
      </c>
      <c r="C492">
        <v>7.9900000000000001E-4</v>
      </c>
      <c r="D492">
        <v>7.2000000000000005E-4</v>
      </c>
      <c r="E492">
        <v>7.4200000000000004E-4</v>
      </c>
      <c r="F492">
        <v>256471990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-0.44303797468354428</v>
      </c>
      <c r="Q492">
        <f t="shared" si="980"/>
        <v>-113626831.01265822</v>
      </c>
      <c r="R492">
        <f t="shared" si="981"/>
        <v>-14769343114.158106</v>
      </c>
      <c r="S492">
        <f t="shared" si="982"/>
        <v>-147693.43114158107</v>
      </c>
      <c r="T492">
        <f t="shared" si="983"/>
        <v>-147.69343114158107</v>
      </c>
    </row>
    <row r="493" spans="1:20" x14ac:dyDescent="0.25">
      <c r="A493" s="5">
        <v>44100</v>
      </c>
      <c r="B493">
        <v>7.6999999999999996E-4</v>
      </c>
      <c r="C493">
        <v>8.1800000000000004E-4</v>
      </c>
      <c r="D493">
        <v>7.4200000000000004E-4</v>
      </c>
      <c r="E493">
        <v>7.7899999999999996E-4</v>
      </c>
      <c r="F493">
        <v>182571612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-2.6315789473686277E-2</v>
      </c>
      <c r="Q493">
        <f t="shared" si="980"/>
        <v>-4804516.1052635349</v>
      </c>
      <c r="R493">
        <f t="shared" si="981"/>
        <v>-14655716283.145447</v>
      </c>
      <c r="S493">
        <f t="shared" si="982"/>
        <v>-146557.16283145448</v>
      </c>
      <c r="T493">
        <f t="shared" si="983"/>
        <v>-146.55716283145449</v>
      </c>
    </row>
    <row r="494" spans="1:20" x14ac:dyDescent="0.25">
      <c r="A494" s="5">
        <v>44099</v>
      </c>
      <c r="B494">
        <v>7.5000000000000002E-4</v>
      </c>
      <c r="C494">
        <v>8.0000000000000004E-4</v>
      </c>
      <c r="D494">
        <v>7.2900000000000005E-4</v>
      </c>
      <c r="E494">
        <v>7.7200000000000001E-4</v>
      </c>
      <c r="F494">
        <v>231219885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0.21126760563380187</v>
      </c>
      <c r="Q494">
        <f t="shared" si="980"/>
        <v>48849271.478873022</v>
      </c>
      <c r="R494">
        <f t="shared" si="981"/>
        <v>-14650911767.040184</v>
      </c>
      <c r="S494">
        <f t="shared" si="982"/>
        <v>-146509.11767040184</v>
      </c>
      <c r="T494">
        <f t="shared" si="983"/>
        <v>-146.50911767040185</v>
      </c>
    </row>
    <row r="495" spans="1:20" x14ac:dyDescent="0.25">
      <c r="A495" s="5">
        <v>44098</v>
      </c>
      <c r="B495">
        <v>7.0399999999999998E-4</v>
      </c>
      <c r="C495">
        <v>7.6499999999999995E-4</v>
      </c>
      <c r="D495">
        <v>6.8499999999999995E-4</v>
      </c>
      <c r="E495">
        <v>7.5000000000000002E-4</v>
      </c>
      <c r="F495">
        <v>196551477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0.62500000000000167</v>
      </c>
      <c r="Q495">
        <f t="shared" si="980"/>
        <v>122844673.12500033</v>
      </c>
      <c r="R495">
        <f t="shared" si="981"/>
        <v>-14699761038.519056</v>
      </c>
      <c r="S495">
        <f t="shared" si="982"/>
        <v>-146997.61038519055</v>
      </c>
      <c r="T495">
        <f t="shared" si="983"/>
        <v>-146.99761038519054</v>
      </c>
    </row>
    <row r="496" spans="1:20" x14ac:dyDescent="0.25">
      <c r="A496" s="5">
        <v>44097</v>
      </c>
      <c r="B496">
        <v>7.7399999999999995E-4</v>
      </c>
      <c r="C496">
        <v>7.7899999999999996E-4</v>
      </c>
      <c r="D496">
        <v>6.3199999999999997E-4</v>
      </c>
      <c r="E496">
        <v>7.0200000000000004E-4</v>
      </c>
      <c r="F496">
        <v>288224610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-4.7619047619046569E-2</v>
      </c>
      <c r="Q496">
        <f t="shared" si="980"/>
        <v>-13724981.428571125</v>
      </c>
      <c r="R496">
        <f t="shared" si="981"/>
        <v>-14822605711.644056</v>
      </c>
      <c r="S496">
        <f t="shared" si="982"/>
        <v>-148226.05711644056</v>
      </c>
      <c r="T496">
        <f t="shared" si="983"/>
        <v>-148.22605711644056</v>
      </c>
    </row>
    <row r="497" spans="1:20" x14ac:dyDescent="0.25">
      <c r="A497" s="5">
        <v>44096</v>
      </c>
      <c r="B497">
        <v>7.7200000000000001E-4</v>
      </c>
      <c r="C497">
        <v>8.1800000000000004E-4</v>
      </c>
      <c r="D497">
        <v>7.5600000000000005E-4</v>
      </c>
      <c r="E497">
        <v>7.7399999999999995E-4</v>
      </c>
      <c r="F497">
        <v>132727119</v>
      </c>
      <c r="G497">
        <v>0</v>
      </c>
      <c r="L497" t="s">
        <v>7</v>
      </c>
      <c r="M497" t="s">
        <v>7</v>
      </c>
      <c r="N497" t="s">
        <v>8</v>
      </c>
      <c r="P497">
        <f t="shared" si="979"/>
        <v>-0.41935483870968071</v>
      </c>
      <c r="Q497">
        <f t="shared" si="980"/>
        <v>-55659759.580645598</v>
      </c>
      <c r="R497">
        <f t="shared" si="981"/>
        <v>-14808880730.215485</v>
      </c>
      <c r="S497">
        <f t="shared" si="982"/>
        <v>-148088.80730215483</v>
      </c>
      <c r="T497">
        <f t="shared" si="983"/>
        <v>-148.08880730215483</v>
      </c>
    </row>
    <row r="498" spans="1:20" x14ac:dyDescent="0.25">
      <c r="A498" s="5">
        <v>44095</v>
      </c>
      <c r="B498">
        <v>8.4599999999999996E-4</v>
      </c>
      <c r="C498">
        <v>8.5899999999999995E-4</v>
      </c>
      <c r="D498">
        <v>7.5600000000000005E-4</v>
      </c>
      <c r="E498">
        <v>7.7200000000000001E-4</v>
      </c>
      <c r="F498">
        <v>212130418</v>
      </c>
      <c r="G498">
        <v>0</v>
      </c>
      <c r="L498" t="s">
        <v>8</v>
      </c>
      <c r="M498" t="s">
        <v>7</v>
      </c>
      <c r="N498" t="s">
        <v>8</v>
      </c>
      <c r="P498">
        <f t="shared" si="979"/>
        <v>-0.68932038834951515</v>
      </c>
      <c r="Q498">
        <f t="shared" si="980"/>
        <v>-146225822.11650497</v>
      </c>
      <c r="R498">
        <f t="shared" si="981"/>
        <v>-14753220970.634838</v>
      </c>
      <c r="S498">
        <f t="shared" si="982"/>
        <v>-147532.20970634837</v>
      </c>
      <c r="T498">
        <f t="shared" si="983"/>
        <v>-147.53220970634837</v>
      </c>
    </row>
    <row r="499" spans="1:20" x14ac:dyDescent="0.25">
      <c r="A499" s="5">
        <v>44094</v>
      </c>
      <c r="B499">
        <v>8.5499999999999997E-4</v>
      </c>
      <c r="C499">
        <v>9.1500000000000001E-4</v>
      </c>
      <c r="D499">
        <v>8.34E-4</v>
      </c>
      <c r="E499">
        <v>8.4699999999999999E-4</v>
      </c>
      <c r="F499">
        <v>257302120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-0.6790123456790127</v>
      </c>
      <c r="Q499">
        <f t="shared" si="980"/>
        <v>-174711316.04938281</v>
      </c>
      <c r="R499">
        <f t="shared" si="981"/>
        <v>-14606995148.518333</v>
      </c>
      <c r="S499">
        <f t="shared" si="982"/>
        <v>-146069.95148518332</v>
      </c>
      <c r="T499">
        <f t="shared" si="983"/>
        <v>-146.06995148518331</v>
      </c>
    </row>
    <row r="500" spans="1:20" x14ac:dyDescent="0.25">
      <c r="A500" s="5">
        <v>44093</v>
      </c>
      <c r="B500">
        <v>8.6700000000000004E-4</v>
      </c>
      <c r="C500">
        <v>8.7500000000000002E-4</v>
      </c>
      <c r="D500">
        <v>8.3000000000000001E-4</v>
      </c>
      <c r="E500">
        <v>8.5400000000000005E-4</v>
      </c>
      <c r="F500">
        <v>213756015</v>
      </c>
      <c r="G500">
        <v>0</v>
      </c>
      <c r="L500" t="s">
        <v>8</v>
      </c>
      <c r="M500" t="s">
        <v>7</v>
      </c>
      <c r="N500" t="s">
        <v>8</v>
      </c>
      <c r="P500">
        <f t="shared" si="979"/>
        <v>6.6666666666668276E-2</v>
      </c>
      <c r="Q500">
        <f t="shared" si="980"/>
        <v>14250401.000000345</v>
      </c>
      <c r="R500">
        <f t="shared" si="981"/>
        <v>-14432283832.46895</v>
      </c>
      <c r="S500">
        <f t="shared" si="982"/>
        <v>-144322.83832468951</v>
      </c>
      <c r="T500">
        <f t="shared" si="983"/>
        <v>-144.32283832468951</v>
      </c>
    </row>
    <row r="501" spans="1:20" x14ac:dyDescent="0.25">
      <c r="A501" s="5">
        <v>44092</v>
      </c>
      <c r="B501">
        <v>8.3199999999999995E-4</v>
      </c>
      <c r="C501">
        <v>9.8999999999999999E-4</v>
      </c>
      <c r="D501">
        <v>8.3000000000000001E-4</v>
      </c>
      <c r="E501">
        <v>8.6600000000000002E-4</v>
      </c>
      <c r="F501">
        <v>746513373</v>
      </c>
      <c r="G501">
        <v>0</v>
      </c>
      <c r="L501" t="s">
        <v>7</v>
      </c>
      <c r="M501" t="s">
        <v>8</v>
      </c>
      <c r="N501" t="s">
        <v>8</v>
      </c>
      <c r="P501">
        <f t="shared" si="979"/>
        <v>-0.54999999999999982</v>
      </c>
      <c r="Q501">
        <f t="shared" si="980"/>
        <v>-410582355.14999986</v>
      </c>
      <c r="R501">
        <f t="shared" si="981"/>
        <v>-14446534233.46895</v>
      </c>
      <c r="S501">
        <f t="shared" si="982"/>
        <v>-144465.34233468951</v>
      </c>
      <c r="T501">
        <f t="shared" si="983"/>
        <v>-144.46534233468952</v>
      </c>
    </row>
    <row r="502" spans="1:20" x14ac:dyDescent="0.25">
      <c r="A502" s="5">
        <v>44091</v>
      </c>
      <c r="B502">
        <v>7.9600000000000005E-4</v>
      </c>
      <c r="C502">
        <v>8.6200000000000003E-4</v>
      </c>
      <c r="D502">
        <v>7.85E-4</v>
      </c>
      <c r="E502">
        <v>8.3199999999999995E-4</v>
      </c>
      <c r="F502">
        <v>208218702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0.22077922077921902</v>
      </c>
      <c r="Q502">
        <f t="shared" si="980"/>
        <v>45970362.77922041</v>
      </c>
      <c r="R502">
        <f t="shared" si="981"/>
        <v>-14035951878.318951</v>
      </c>
      <c r="S502">
        <f t="shared" si="982"/>
        <v>-140359.5187831895</v>
      </c>
      <c r="T502">
        <f t="shared" si="983"/>
        <v>-140.35951878318951</v>
      </c>
    </row>
    <row r="503" spans="1:20" x14ac:dyDescent="0.25">
      <c r="A503" s="5">
        <v>44090</v>
      </c>
      <c r="B503">
        <v>7.9600000000000005E-4</v>
      </c>
      <c r="C503">
        <v>8.3100000000000003E-4</v>
      </c>
      <c r="D503">
        <v>7.5100000000000004E-4</v>
      </c>
      <c r="E503">
        <v>8.0099999999999995E-4</v>
      </c>
      <c r="F503">
        <v>170738669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0.24999999999999797</v>
      </c>
      <c r="Q503">
        <f t="shared" si="980"/>
        <v>42684667.249999657</v>
      </c>
      <c r="R503">
        <f t="shared" si="981"/>
        <v>-14081922241.098171</v>
      </c>
      <c r="S503">
        <f t="shared" si="982"/>
        <v>-140819.22241098172</v>
      </c>
      <c r="T503">
        <f t="shared" si="983"/>
        <v>-140.81922241098172</v>
      </c>
    </row>
    <row r="504" spans="1:20" x14ac:dyDescent="0.25">
      <c r="A504" s="5">
        <v>44089</v>
      </c>
      <c r="B504">
        <v>8.7699999999999996E-4</v>
      </c>
      <c r="C504">
        <v>8.8900000000000003E-4</v>
      </c>
      <c r="D504">
        <v>7.8799999999999996E-4</v>
      </c>
      <c r="E504">
        <v>7.8799999999999996E-4</v>
      </c>
      <c r="F504">
        <v>268668253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-1</v>
      </c>
      <c r="Q504">
        <f t="shared" si="980"/>
        <v>-268668253</v>
      </c>
      <c r="R504">
        <f t="shared" si="981"/>
        <v>-14124606908.348171</v>
      </c>
      <c r="S504">
        <f t="shared" si="982"/>
        <v>-141246.06908348171</v>
      </c>
      <c r="T504">
        <f t="shared" si="983"/>
        <v>-141.2460690834817</v>
      </c>
    </row>
    <row r="505" spans="1:20" x14ac:dyDescent="0.25">
      <c r="A505" s="5">
        <v>44088</v>
      </c>
      <c r="B505">
        <v>8.83E-4</v>
      </c>
      <c r="C505">
        <v>9.1799999999999998E-4</v>
      </c>
      <c r="D505">
        <v>7.1299999999999998E-4</v>
      </c>
      <c r="E505">
        <v>8.7699999999999996E-4</v>
      </c>
      <c r="F505">
        <v>215095332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0.59999999999999976</v>
      </c>
      <c r="Q505">
        <f t="shared" si="980"/>
        <v>129057199.19999994</v>
      </c>
      <c r="R505">
        <f t="shared" si="981"/>
        <v>-13855938655.348171</v>
      </c>
      <c r="S505">
        <f t="shared" si="982"/>
        <v>-138559.38655348172</v>
      </c>
      <c r="T505">
        <f t="shared" si="983"/>
        <v>-138.55938655348172</v>
      </c>
    </row>
    <row r="506" spans="1:20" x14ac:dyDescent="0.25">
      <c r="A506" s="5">
        <v>44087</v>
      </c>
      <c r="B506">
        <v>9.1299999999999997E-4</v>
      </c>
      <c r="C506">
        <v>9.2699999999999998E-4</v>
      </c>
      <c r="D506">
        <v>8.5099999999999998E-4</v>
      </c>
      <c r="E506">
        <v>8.83E-4</v>
      </c>
      <c r="F506">
        <v>202711338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-0.15789473684210481</v>
      </c>
      <c r="Q506">
        <f t="shared" si="980"/>
        <v>-32007053.368420962</v>
      </c>
      <c r="R506">
        <f t="shared" si="981"/>
        <v>-13984995854.548172</v>
      </c>
      <c r="S506">
        <f t="shared" si="982"/>
        <v>-139849.95854548173</v>
      </c>
      <c r="T506">
        <f t="shared" si="983"/>
        <v>-139.84995854548174</v>
      </c>
    </row>
    <row r="507" spans="1:20" x14ac:dyDescent="0.25">
      <c r="A507" s="5">
        <v>44086</v>
      </c>
      <c r="B507">
        <v>8.8000000000000003E-4</v>
      </c>
      <c r="C507">
        <v>9.2900000000000003E-4</v>
      </c>
      <c r="D507">
        <v>8.6399999999999997E-4</v>
      </c>
      <c r="E507">
        <v>9.1299999999999997E-4</v>
      </c>
      <c r="F507">
        <v>297944491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0.50769230769230622</v>
      </c>
      <c r="Q507">
        <f t="shared" si="980"/>
        <v>151264126.19999957</v>
      </c>
      <c r="R507">
        <f t="shared" si="981"/>
        <v>-13952988801.17975</v>
      </c>
      <c r="S507">
        <f t="shared" si="982"/>
        <v>-139529.88801179751</v>
      </c>
      <c r="T507">
        <f t="shared" si="983"/>
        <v>-139.52988801179751</v>
      </c>
    </row>
    <row r="508" spans="1:20" x14ac:dyDescent="0.25">
      <c r="A508" s="5">
        <v>44085</v>
      </c>
      <c r="B508">
        <v>8.9700000000000001E-4</v>
      </c>
      <c r="C508">
        <v>9.1E-4</v>
      </c>
      <c r="D508">
        <v>8.5899999999999995E-4</v>
      </c>
      <c r="E508">
        <v>8.8199999999999997E-4</v>
      </c>
      <c r="F508">
        <v>208445675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-9.8039215686274675E-2</v>
      </c>
      <c r="Q508">
        <f t="shared" si="980"/>
        <v>-20435850.490196113</v>
      </c>
      <c r="R508">
        <f t="shared" si="981"/>
        <v>-14104252927.379749</v>
      </c>
      <c r="S508">
        <f t="shared" si="982"/>
        <v>-141042.5292737975</v>
      </c>
      <c r="T508">
        <f t="shared" si="983"/>
        <v>-141.0425292737975</v>
      </c>
    </row>
    <row r="509" spans="1:20" x14ac:dyDescent="0.25">
      <c r="A509" s="5">
        <v>44084</v>
      </c>
      <c r="B509">
        <v>8.9999999999999998E-4</v>
      </c>
      <c r="C509">
        <v>9.2599999999999996E-4</v>
      </c>
      <c r="D509">
        <v>8.7500000000000002E-4</v>
      </c>
      <c r="E509">
        <v>8.9899999999999995E-4</v>
      </c>
      <c r="F509">
        <v>450575878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-5.8823529411766204E-2</v>
      </c>
      <c r="Q509">
        <f t="shared" si="980"/>
        <v>-26504463.411765382</v>
      </c>
      <c r="R509">
        <f t="shared" si="981"/>
        <v>-14083817076.889553</v>
      </c>
      <c r="S509">
        <f t="shared" si="982"/>
        <v>-140838.17076889554</v>
      </c>
      <c r="T509">
        <f t="shared" si="983"/>
        <v>-140.83817076889554</v>
      </c>
    </row>
    <row r="510" spans="1:20" x14ac:dyDescent="0.25">
      <c r="A510" s="5">
        <v>44083</v>
      </c>
      <c r="B510">
        <v>8.5899999999999995E-4</v>
      </c>
      <c r="C510">
        <v>9.2800000000000001E-4</v>
      </c>
      <c r="D510">
        <v>8.2200000000000003E-4</v>
      </c>
      <c r="E510">
        <v>8.9999999999999998E-4</v>
      </c>
      <c r="F510">
        <v>468014179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0.47169811320754645</v>
      </c>
      <c r="Q510">
        <f t="shared" si="980"/>
        <v>220761405.18867892</v>
      </c>
      <c r="R510">
        <f t="shared" si="981"/>
        <v>-14057312613.477787</v>
      </c>
      <c r="S510">
        <f t="shared" si="982"/>
        <v>-140573.12613477788</v>
      </c>
      <c r="T510">
        <f t="shared" si="983"/>
        <v>-140.57312613477788</v>
      </c>
    </row>
    <row r="511" spans="1:20" x14ac:dyDescent="0.25">
      <c r="A511" s="5">
        <v>44082</v>
      </c>
      <c r="B511">
        <v>8.92E-4</v>
      </c>
      <c r="C511">
        <v>9.1799999999999998E-4</v>
      </c>
      <c r="D511">
        <v>8.3799999999999999E-4</v>
      </c>
      <c r="E511">
        <v>8.5899999999999995E-4</v>
      </c>
      <c r="F511">
        <v>308277789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-0.47500000000000075</v>
      </c>
      <c r="Q511">
        <f t="shared" si="980"/>
        <v>-146431949.77500024</v>
      </c>
      <c r="R511">
        <f t="shared" si="981"/>
        <v>-14278074018.666466</v>
      </c>
      <c r="S511">
        <f t="shared" si="982"/>
        <v>-142780.74018666465</v>
      </c>
      <c r="T511">
        <f t="shared" si="983"/>
        <v>-142.78074018666464</v>
      </c>
    </row>
    <row r="512" spans="1:20" x14ac:dyDescent="0.25">
      <c r="A512" s="5">
        <v>44081</v>
      </c>
      <c r="B512">
        <v>9.1500000000000001E-4</v>
      </c>
      <c r="C512">
        <v>9.5E-4</v>
      </c>
      <c r="D512">
        <v>7.0299999999999996E-4</v>
      </c>
      <c r="E512">
        <v>8.9099999999999997E-4</v>
      </c>
      <c r="F512">
        <v>492297537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0.52226720647773273</v>
      </c>
      <c r="Q512">
        <f t="shared" si="980"/>
        <v>257110859.40485826</v>
      </c>
      <c r="R512">
        <f t="shared" si="981"/>
        <v>-14131642068.891466</v>
      </c>
      <c r="S512">
        <f t="shared" si="982"/>
        <v>-141316.42068891466</v>
      </c>
      <c r="T512">
        <f t="shared" si="983"/>
        <v>-141.31642068891466</v>
      </c>
    </row>
    <row r="513" spans="1:20" x14ac:dyDescent="0.25">
      <c r="A513" s="5">
        <v>44080</v>
      </c>
      <c r="B513">
        <v>9.01E-4</v>
      </c>
      <c r="C513">
        <v>9.8299999999999993E-4</v>
      </c>
      <c r="D513">
        <v>8.0500000000000005E-4</v>
      </c>
      <c r="E513">
        <v>9.1299999999999997E-4</v>
      </c>
      <c r="F513">
        <v>776141438</v>
      </c>
      <c r="G513">
        <v>0</v>
      </c>
      <c r="L513" t="s">
        <v>7</v>
      </c>
      <c r="M513" t="s">
        <v>7</v>
      </c>
      <c r="N513" t="s">
        <v>8</v>
      </c>
      <c r="P513">
        <f t="shared" si="979"/>
        <v>0.21348314606741559</v>
      </c>
      <c r="Q513">
        <f t="shared" si="980"/>
        <v>165693115.97752798</v>
      </c>
      <c r="R513">
        <f t="shared" si="981"/>
        <v>-14388752928.296324</v>
      </c>
      <c r="S513">
        <f t="shared" si="982"/>
        <v>-143887.52928296322</v>
      </c>
      <c r="T513">
        <f t="shared" si="983"/>
        <v>-143.88752928296321</v>
      </c>
    </row>
    <row r="514" spans="1:20" x14ac:dyDescent="0.25">
      <c r="A514" s="5">
        <v>44079</v>
      </c>
      <c r="B514">
        <v>9.7900000000000005E-4</v>
      </c>
      <c r="C514">
        <v>1.1379999999999999E-3</v>
      </c>
      <c r="D514">
        <v>8.3500000000000002E-4</v>
      </c>
      <c r="E514">
        <v>9.01E-4</v>
      </c>
      <c r="F514">
        <v>1534272087</v>
      </c>
      <c r="G514">
        <v>0</v>
      </c>
      <c r="L514" t="s">
        <v>8</v>
      </c>
      <c r="M514" t="s">
        <v>8</v>
      </c>
      <c r="N514" t="s">
        <v>8</v>
      </c>
      <c r="P514">
        <f t="shared" si="979"/>
        <v>-0.5643564356435643</v>
      </c>
      <c r="Q514">
        <f t="shared" si="980"/>
        <v>-865876326.32673264</v>
      </c>
      <c r="R514">
        <f t="shared" si="981"/>
        <v>-14554446044.273851</v>
      </c>
      <c r="S514">
        <f t="shared" si="982"/>
        <v>-145544.46044273852</v>
      </c>
      <c r="T514">
        <f t="shared" si="983"/>
        <v>-145.54446044273851</v>
      </c>
    </row>
    <row r="515" spans="1:20" x14ac:dyDescent="0.25">
      <c r="A515" s="5">
        <v>44078</v>
      </c>
      <c r="B515">
        <v>8.5899999999999995E-4</v>
      </c>
      <c r="C515">
        <v>1.0610000000000001E-3</v>
      </c>
      <c r="D515">
        <v>7.76E-4</v>
      </c>
      <c r="E515">
        <v>9.7599999999999998E-4</v>
      </c>
      <c r="F515">
        <v>819998179</v>
      </c>
      <c r="G515">
        <v>0</v>
      </c>
      <c r="L515" t="s">
        <v>8</v>
      </c>
      <c r="M515" t="s">
        <v>8</v>
      </c>
      <c r="N515" t="s">
        <v>8</v>
      </c>
      <c r="P515">
        <f t="shared" si="979"/>
        <v>0.40350877192982398</v>
      </c>
      <c r="Q515">
        <f t="shared" si="980"/>
        <v>330876458.19298196</v>
      </c>
      <c r="R515">
        <f t="shared" si="981"/>
        <v>-13688569717.947119</v>
      </c>
      <c r="S515">
        <f t="shared" si="982"/>
        <v>-136885.6971794712</v>
      </c>
      <c r="T515">
        <f t="shared" si="983"/>
        <v>-136.88569717947121</v>
      </c>
    </row>
    <row r="516" spans="1:20" x14ac:dyDescent="0.25">
      <c r="A516" s="5">
        <v>44077</v>
      </c>
      <c r="B516">
        <v>1.1360000000000001E-3</v>
      </c>
      <c r="C516">
        <v>1.163E-3</v>
      </c>
      <c r="D516">
        <v>5.9299999999999999E-4</v>
      </c>
      <c r="E516">
        <v>8.5700000000000001E-4</v>
      </c>
      <c r="F516">
        <v>942767428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-7.3684210526315685E-2</v>
      </c>
      <c r="Q516">
        <f t="shared" si="980"/>
        <v>-69467073.642105162</v>
      </c>
      <c r="R516">
        <f t="shared" si="981"/>
        <v>-14019446176.1401</v>
      </c>
      <c r="S516">
        <f t="shared" si="982"/>
        <v>-140194.46176140101</v>
      </c>
      <c r="T516">
        <f t="shared" si="983"/>
        <v>-140.19446176140102</v>
      </c>
    </row>
    <row r="517" spans="1:20" x14ac:dyDescent="0.25">
      <c r="A517" s="5">
        <v>44076</v>
      </c>
      <c r="B517">
        <v>1.2019999999999999E-3</v>
      </c>
      <c r="C517">
        <v>1.227E-3</v>
      </c>
      <c r="D517">
        <v>1.103E-3</v>
      </c>
      <c r="E517">
        <v>1.1360000000000001E-3</v>
      </c>
      <c r="F517">
        <v>556760436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-0.46774193548387016</v>
      </c>
      <c r="Q517">
        <f t="shared" si="980"/>
        <v>-260420203.93548343</v>
      </c>
      <c r="R517">
        <f t="shared" si="981"/>
        <v>-13949979102.497995</v>
      </c>
      <c r="S517">
        <f t="shared" si="982"/>
        <v>-139499.79102497996</v>
      </c>
      <c r="T517">
        <f t="shared" si="983"/>
        <v>-139.49979102497997</v>
      </c>
    </row>
    <row r="518" spans="1:20" x14ac:dyDescent="0.25">
      <c r="A518" s="5">
        <v>44075</v>
      </c>
      <c r="B518">
        <v>1.284E-3</v>
      </c>
      <c r="C518">
        <v>1.34E-3</v>
      </c>
      <c r="D518">
        <v>1.1999999999999999E-3</v>
      </c>
      <c r="E518">
        <v>1.2019999999999999E-3</v>
      </c>
      <c r="F518">
        <v>722493933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-0.97142857142857075</v>
      </c>
      <c r="Q518">
        <f t="shared" ref="Q518:Q581" si="985">F518*P518</f>
        <v>-701851249.19999957</v>
      </c>
      <c r="R518">
        <f t="shared" ref="R518:R581" si="986">R519+Q518</f>
        <v>-13689558898.562511</v>
      </c>
      <c r="S518">
        <f t="shared" ref="S518:S581" si="987">R518/100000</f>
        <v>-136895.5889856251</v>
      </c>
      <c r="T518">
        <f t="shared" ref="T518:T581" si="988">S518/1000</f>
        <v>-136.8955889856251</v>
      </c>
    </row>
    <row r="519" spans="1:20" x14ac:dyDescent="0.25">
      <c r="A519" s="5">
        <v>44074</v>
      </c>
      <c r="B519">
        <v>1.222E-3</v>
      </c>
      <c r="C519">
        <v>1.33E-3</v>
      </c>
      <c r="D519">
        <v>1.2030000000000001E-3</v>
      </c>
      <c r="E519">
        <v>1.2800000000000001E-3</v>
      </c>
      <c r="F519">
        <v>752367326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0.21259842519685138</v>
      </c>
      <c r="Q519">
        <f t="shared" si="985"/>
        <v>159952108.6771661</v>
      </c>
      <c r="R519">
        <f t="shared" si="986"/>
        <v>-12987707649.362513</v>
      </c>
      <c r="S519">
        <f t="shared" si="987"/>
        <v>-129877.07649362512</v>
      </c>
      <c r="T519">
        <f t="shared" si="988"/>
        <v>-129.87707649362511</v>
      </c>
    </row>
    <row r="520" spans="1:20" x14ac:dyDescent="0.25">
      <c r="A520" s="5">
        <v>44073</v>
      </c>
      <c r="B520">
        <v>1.2210000000000001E-3</v>
      </c>
      <c r="C520">
        <v>1.2459999999999999E-3</v>
      </c>
      <c r="D520">
        <v>1.1999999999999999E-3</v>
      </c>
      <c r="E520">
        <v>1.222E-3</v>
      </c>
      <c r="F520">
        <v>308017336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-4.3478260869561532E-2</v>
      </c>
      <c r="Q520">
        <f t="shared" si="985"/>
        <v>-13392058.086955387</v>
      </c>
      <c r="R520">
        <f t="shared" si="986"/>
        <v>-13147659758.039679</v>
      </c>
      <c r="S520">
        <f t="shared" si="987"/>
        <v>-131476.59758039677</v>
      </c>
      <c r="T520">
        <f t="shared" si="988"/>
        <v>-131.47659758039677</v>
      </c>
    </row>
    <row r="521" spans="1:20" x14ac:dyDescent="0.25">
      <c r="A521" s="5">
        <v>44072</v>
      </c>
      <c r="B521">
        <v>1.2440000000000001E-3</v>
      </c>
      <c r="C521">
        <v>1.2899999999999999E-3</v>
      </c>
      <c r="D521">
        <v>1.2199999999999999E-3</v>
      </c>
      <c r="E521">
        <v>1.2199999999999999E-3</v>
      </c>
      <c r="F521">
        <v>450411359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-1</v>
      </c>
      <c r="Q521">
        <f t="shared" si="985"/>
        <v>-450411359</v>
      </c>
      <c r="R521">
        <f t="shared" si="986"/>
        <v>-13134267699.952723</v>
      </c>
      <c r="S521">
        <f t="shared" si="987"/>
        <v>-131342.67699952723</v>
      </c>
      <c r="T521">
        <f t="shared" si="988"/>
        <v>-131.34267699952724</v>
      </c>
    </row>
    <row r="522" spans="1:20" x14ac:dyDescent="0.25">
      <c r="A522" s="5">
        <v>44071</v>
      </c>
      <c r="B522">
        <v>1.1839999999999999E-3</v>
      </c>
      <c r="C522">
        <v>1.297E-3</v>
      </c>
      <c r="D522">
        <v>1.173E-3</v>
      </c>
      <c r="E522">
        <v>1.243E-3</v>
      </c>
      <c r="F522">
        <v>428834798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0.12903225806451579</v>
      </c>
      <c r="Q522">
        <f t="shared" si="985"/>
        <v>55333522.322580501</v>
      </c>
      <c r="R522">
        <f t="shared" si="986"/>
        <v>-12683856340.952723</v>
      </c>
      <c r="S522">
        <f t="shared" si="987"/>
        <v>-126838.56340952723</v>
      </c>
      <c r="T522">
        <f t="shared" si="988"/>
        <v>-126.83856340952723</v>
      </c>
    </row>
    <row r="523" spans="1:20" x14ac:dyDescent="0.25">
      <c r="A523" s="5">
        <v>44070</v>
      </c>
      <c r="B523">
        <v>1.2589999999999999E-3</v>
      </c>
      <c r="C523">
        <v>1.2589999999999999E-3</v>
      </c>
      <c r="D523">
        <v>1.157E-3</v>
      </c>
      <c r="E523">
        <v>1.1839999999999999E-3</v>
      </c>
      <c r="F523">
        <v>386391749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-0.47058823529411903</v>
      </c>
      <c r="Q523">
        <f t="shared" si="985"/>
        <v>-181831411.29411817</v>
      </c>
      <c r="R523">
        <f t="shared" si="986"/>
        <v>-12739189863.275303</v>
      </c>
      <c r="S523">
        <f t="shared" si="987"/>
        <v>-127391.89863275303</v>
      </c>
      <c r="T523">
        <f t="shared" si="988"/>
        <v>-127.39189863275303</v>
      </c>
    </row>
    <row r="524" spans="1:20" x14ac:dyDescent="0.25">
      <c r="A524" s="5">
        <v>44069</v>
      </c>
      <c r="B524">
        <v>1.2279999999999999E-3</v>
      </c>
      <c r="C524">
        <v>1.2650000000000001E-3</v>
      </c>
      <c r="D524">
        <v>1.183E-3</v>
      </c>
      <c r="E524">
        <v>1.258E-3</v>
      </c>
      <c r="F524">
        <v>480819617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0.82926829268292546</v>
      </c>
      <c r="Q524">
        <f t="shared" si="985"/>
        <v>398728462.87804812</v>
      </c>
      <c r="R524">
        <f t="shared" si="986"/>
        <v>-12557358451.981184</v>
      </c>
      <c r="S524">
        <f t="shared" si="987"/>
        <v>-125573.58451981183</v>
      </c>
      <c r="T524">
        <f t="shared" si="988"/>
        <v>-125.57358451981183</v>
      </c>
    </row>
    <row r="525" spans="1:20" x14ac:dyDescent="0.25">
      <c r="A525" s="5">
        <v>44068</v>
      </c>
      <c r="B525">
        <v>1.3079999999999999E-3</v>
      </c>
      <c r="C525">
        <v>1.32E-3</v>
      </c>
      <c r="D525">
        <v>1.175E-3</v>
      </c>
      <c r="E525">
        <v>1.2210000000000001E-3</v>
      </c>
      <c r="F525">
        <v>559666853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-0.36551724137930963</v>
      </c>
      <c r="Q525">
        <f t="shared" si="985"/>
        <v>-204567884.1999996</v>
      </c>
      <c r="R525">
        <f t="shared" si="986"/>
        <v>-12956086914.859232</v>
      </c>
      <c r="S525">
        <f t="shared" si="987"/>
        <v>-129560.86914859232</v>
      </c>
      <c r="T525">
        <f t="shared" si="988"/>
        <v>-129.56086914859233</v>
      </c>
    </row>
    <row r="526" spans="1:20" x14ac:dyDescent="0.25">
      <c r="A526" s="5">
        <v>44067</v>
      </c>
      <c r="B526">
        <v>1.3619999999999999E-3</v>
      </c>
      <c r="C526">
        <v>1.3749999999999999E-3</v>
      </c>
      <c r="D526">
        <v>1.2719999999999999E-3</v>
      </c>
      <c r="E526">
        <v>1.305E-3</v>
      </c>
      <c r="F526">
        <v>596236574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-0.35922330097087302</v>
      </c>
      <c r="Q526">
        <f t="shared" si="985"/>
        <v>-214182070.27184421</v>
      </c>
      <c r="R526">
        <f t="shared" si="986"/>
        <v>-12751519030.659233</v>
      </c>
      <c r="S526">
        <f t="shared" si="987"/>
        <v>-127515.19030659233</v>
      </c>
      <c r="T526">
        <f t="shared" si="988"/>
        <v>-127.51519030659233</v>
      </c>
    </row>
    <row r="527" spans="1:20" x14ac:dyDescent="0.25">
      <c r="A527" s="5">
        <v>44066</v>
      </c>
      <c r="B527">
        <v>1.225E-3</v>
      </c>
      <c r="C527">
        <v>1.3910000000000001E-3</v>
      </c>
      <c r="D527">
        <v>1.207E-3</v>
      </c>
      <c r="E527">
        <v>1.3619999999999999E-3</v>
      </c>
      <c r="F527">
        <v>603515811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0.68478260869565066</v>
      </c>
      <c r="Q527">
        <f t="shared" si="985"/>
        <v>413277131.44565123</v>
      </c>
      <c r="R527">
        <f t="shared" si="986"/>
        <v>-12537336960.387388</v>
      </c>
      <c r="S527">
        <f t="shared" si="987"/>
        <v>-125373.36960387389</v>
      </c>
      <c r="T527">
        <f t="shared" si="988"/>
        <v>-125.37336960387388</v>
      </c>
    </row>
    <row r="528" spans="1:20" x14ac:dyDescent="0.25">
      <c r="A528" s="5">
        <v>44065</v>
      </c>
      <c r="B528">
        <v>1.2329999999999999E-3</v>
      </c>
      <c r="C528">
        <v>1.292E-3</v>
      </c>
      <c r="D528">
        <v>1.137E-3</v>
      </c>
      <c r="E528">
        <v>1.2290000000000001E-3</v>
      </c>
      <c r="F528">
        <v>425961730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0.18709677419354948</v>
      </c>
      <c r="Q528">
        <f t="shared" si="985"/>
        <v>79696065.612903684</v>
      </c>
      <c r="R528">
        <f t="shared" si="986"/>
        <v>-12950614091.83304</v>
      </c>
      <c r="S528">
        <f t="shared" si="987"/>
        <v>-129506.14091833041</v>
      </c>
      <c r="T528">
        <f t="shared" si="988"/>
        <v>-129.5061409183304</v>
      </c>
    </row>
    <row r="529" spans="1:20" x14ac:dyDescent="0.25">
      <c r="A529" s="5">
        <v>44064</v>
      </c>
      <c r="B529">
        <v>1.3090000000000001E-3</v>
      </c>
      <c r="C529">
        <v>1.384E-3</v>
      </c>
      <c r="D529">
        <v>1.227E-3</v>
      </c>
      <c r="E529">
        <v>1.2329999999999999E-3</v>
      </c>
      <c r="F529">
        <v>513204111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-0.92356687898089262</v>
      </c>
      <c r="Q529">
        <f t="shared" si="985"/>
        <v>-473978319.0764336</v>
      </c>
      <c r="R529">
        <f t="shared" si="986"/>
        <v>-13030310157.445944</v>
      </c>
      <c r="S529">
        <f t="shared" si="987"/>
        <v>-130303.10157445943</v>
      </c>
      <c r="T529">
        <f t="shared" si="988"/>
        <v>-130.30310157445945</v>
      </c>
    </row>
    <row r="530" spans="1:20" x14ac:dyDescent="0.25">
      <c r="A530" s="5">
        <v>44063</v>
      </c>
      <c r="B530">
        <v>1.302E-3</v>
      </c>
      <c r="C530">
        <v>1.358E-3</v>
      </c>
      <c r="D530">
        <v>1.292E-3</v>
      </c>
      <c r="E530">
        <v>1.3029999999999999E-3</v>
      </c>
      <c r="F530">
        <v>402627841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-0.66666666666666885</v>
      </c>
      <c r="Q530">
        <f t="shared" si="985"/>
        <v>-268418560.66666755</v>
      </c>
      <c r="R530">
        <f t="shared" si="986"/>
        <v>-12556331838.369511</v>
      </c>
      <c r="S530">
        <f t="shared" si="987"/>
        <v>-125563.31838369511</v>
      </c>
      <c r="T530">
        <f t="shared" si="988"/>
        <v>-125.5633183836951</v>
      </c>
    </row>
    <row r="531" spans="1:20" x14ac:dyDescent="0.25">
      <c r="A531" s="5">
        <v>44062</v>
      </c>
      <c r="B531">
        <v>1.348E-3</v>
      </c>
      <c r="C531">
        <v>1.4E-3</v>
      </c>
      <c r="D531">
        <v>1.245E-3</v>
      </c>
      <c r="E531">
        <v>1.302E-3</v>
      </c>
      <c r="F531">
        <v>474291078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-0.26451612903225824</v>
      </c>
      <c r="Q531">
        <f t="shared" si="985"/>
        <v>-125457639.98709686</v>
      </c>
      <c r="R531">
        <f t="shared" si="986"/>
        <v>-12287913277.702843</v>
      </c>
      <c r="S531">
        <f t="shared" si="987"/>
        <v>-122879.13277702843</v>
      </c>
      <c r="T531">
        <f t="shared" si="988"/>
        <v>-122.87913277702843</v>
      </c>
    </row>
    <row r="532" spans="1:20" x14ac:dyDescent="0.25">
      <c r="A532" s="5">
        <v>44061</v>
      </c>
      <c r="B532">
        <v>1.4120000000000001E-3</v>
      </c>
      <c r="C532">
        <v>1.4339999999999999E-3</v>
      </c>
      <c r="D532">
        <v>1.291E-3</v>
      </c>
      <c r="E532">
        <v>1.348E-3</v>
      </c>
      <c r="F532">
        <v>573000796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-0.20279720279720256</v>
      </c>
      <c r="Q532">
        <f t="shared" si="985"/>
        <v>-116202958.6293705</v>
      </c>
      <c r="R532">
        <f t="shared" si="986"/>
        <v>-12162455637.715746</v>
      </c>
      <c r="S532">
        <f t="shared" si="987"/>
        <v>-121624.55637715745</v>
      </c>
      <c r="T532">
        <f t="shared" si="988"/>
        <v>-121.62455637715745</v>
      </c>
    </row>
    <row r="533" spans="1:20" x14ac:dyDescent="0.25">
      <c r="A533" s="5">
        <v>44060</v>
      </c>
      <c r="B533">
        <v>1.364E-3</v>
      </c>
      <c r="C533">
        <v>1.4499999999999999E-3</v>
      </c>
      <c r="D533">
        <v>1.348E-3</v>
      </c>
      <c r="E533">
        <v>1.4109999999999999E-3</v>
      </c>
      <c r="F533">
        <v>915054552</v>
      </c>
      <c r="G533">
        <v>0</v>
      </c>
      <c r="L533" t="s">
        <v>8</v>
      </c>
      <c r="M533" t="s">
        <v>7</v>
      </c>
      <c r="N533" t="s">
        <v>7</v>
      </c>
      <c r="P533">
        <f t="shared" si="984"/>
        <v>0.23529411764705846</v>
      </c>
      <c r="Q533">
        <f t="shared" si="985"/>
        <v>215306953.41176438</v>
      </c>
      <c r="R533">
        <f t="shared" si="986"/>
        <v>-12046252679.086376</v>
      </c>
      <c r="S533">
        <f t="shared" si="987"/>
        <v>-120462.52679086376</v>
      </c>
      <c r="T533">
        <f t="shared" si="988"/>
        <v>-120.46252679086376</v>
      </c>
    </row>
    <row r="534" spans="1:20" x14ac:dyDescent="0.25">
      <c r="A534" s="5">
        <v>44059</v>
      </c>
      <c r="B534">
        <v>1.39E-3</v>
      </c>
      <c r="C534">
        <v>1.3979999999999999E-3</v>
      </c>
      <c r="D534">
        <v>1.325E-3</v>
      </c>
      <c r="E534">
        <v>1.359E-3</v>
      </c>
      <c r="F534">
        <v>739991558</v>
      </c>
      <c r="G534">
        <v>0</v>
      </c>
      <c r="L534" t="s">
        <v>7</v>
      </c>
      <c r="M534" t="s">
        <v>7</v>
      </c>
      <c r="N534" t="s">
        <v>7</v>
      </c>
      <c r="P534">
        <f t="shared" si="984"/>
        <v>-6.8493150684931753E-2</v>
      </c>
      <c r="Q534">
        <f t="shared" si="985"/>
        <v>-50684353.287671417</v>
      </c>
      <c r="R534">
        <f t="shared" si="986"/>
        <v>-12261559632.49814</v>
      </c>
      <c r="S534">
        <f t="shared" si="987"/>
        <v>-122615.59632498141</v>
      </c>
      <c r="T534">
        <f t="shared" si="988"/>
        <v>-122.61559632498141</v>
      </c>
    </row>
    <row r="535" spans="1:20" x14ac:dyDescent="0.25">
      <c r="A535" s="5">
        <v>44058</v>
      </c>
      <c r="B535">
        <v>1.454E-3</v>
      </c>
      <c r="C535">
        <v>1.4660000000000001E-3</v>
      </c>
      <c r="D535">
        <v>1.3699999999999999E-3</v>
      </c>
      <c r="E535">
        <v>1.3910000000000001E-3</v>
      </c>
      <c r="F535">
        <v>539539925</v>
      </c>
      <c r="G535">
        <v>0</v>
      </c>
      <c r="L535" t="s">
        <v>7</v>
      </c>
      <c r="M535" t="s">
        <v>7</v>
      </c>
      <c r="N535" t="s">
        <v>7</v>
      </c>
      <c r="P535">
        <f t="shared" si="984"/>
        <v>-0.56249999999999689</v>
      </c>
      <c r="Q535">
        <f t="shared" si="985"/>
        <v>-303491207.81249833</v>
      </c>
      <c r="R535">
        <f t="shared" si="986"/>
        <v>-12210875279.210468</v>
      </c>
      <c r="S535">
        <f t="shared" si="987"/>
        <v>-122108.75279210469</v>
      </c>
      <c r="T535">
        <f t="shared" si="988"/>
        <v>-122.10875279210468</v>
      </c>
    </row>
    <row r="536" spans="1:20" x14ac:dyDescent="0.25">
      <c r="A536" s="5">
        <v>44057</v>
      </c>
      <c r="B536">
        <v>1.4599999999999999E-3</v>
      </c>
      <c r="C536">
        <v>1.485E-3</v>
      </c>
      <c r="D536">
        <v>1.4120000000000001E-3</v>
      </c>
      <c r="E536">
        <v>1.4519999999999999E-3</v>
      </c>
      <c r="F536">
        <v>741738946</v>
      </c>
      <c r="G536">
        <v>0</v>
      </c>
      <c r="L536" t="s">
        <v>7</v>
      </c>
      <c r="M536" t="s">
        <v>7</v>
      </c>
      <c r="N536" t="s">
        <v>7</v>
      </c>
      <c r="P536">
        <f t="shared" si="984"/>
        <v>9.5890410958902078E-2</v>
      </c>
      <c r="Q536">
        <f t="shared" si="985"/>
        <v>71125652.356162876</v>
      </c>
      <c r="R536">
        <f t="shared" si="986"/>
        <v>-11907384071.39797</v>
      </c>
      <c r="S536">
        <f t="shared" si="987"/>
        <v>-119073.84071397971</v>
      </c>
      <c r="T536">
        <f t="shared" si="988"/>
        <v>-119.07384071397971</v>
      </c>
    </row>
    <row r="537" spans="1:20" x14ac:dyDescent="0.25">
      <c r="A537" s="5">
        <v>44056</v>
      </c>
      <c r="B537">
        <v>1.5039999999999999E-3</v>
      </c>
      <c r="C537">
        <v>1.505E-3</v>
      </c>
      <c r="D537">
        <v>1.4E-3</v>
      </c>
      <c r="E537">
        <v>1.4599999999999999E-3</v>
      </c>
      <c r="F537">
        <v>663158067</v>
      </c>
      <c r="G537">
        <v>0</v>
      </c>
      <c r="L537" t="s">
        <v>7</v>
      </c>
      <c r="M537" t="s">
        <v>7</v>
      </c>
      <c r="N537" t="s">
        <v>7</v>
      </c>
      <c r="P537">
        <f t="shared" si="984"/>
        <v>0.1428571428571411</v>
      </c>
      <c r="Q537">
        <f t="shared" si="985"/>
        <v>94736866.714284554</v>
      </c>
      <c r="R537">
        <f t="shared" si="986"/>
        <v>-11978509723.754133</v>
      </c>
      <c r="S537">
        <f t="shared" si="987"/>
        <v>-119785.09723754133</v>
      </c>
      <c r="T537">
        <f t="shared" si="988"/>
        <v>-119.78509723754132</v>
      </c>
    </row>
    <row r="538" spans="1:20" x14ac:dyDescent="0.25">
      <c r="A538" s="5">
        <v>44055</v>
      </c>
      <c r="B538">
        <v>1.524E-3</v>
      </c>
      <c r="C538">
        <v>1.5460000000000001E-3</v>
      </c>
      <c r="D538">
        <v>1.4339999999999999E-3</v>
      </c>
      <c r="E538">
        <v>1.4989999999999999E-3</v>
      </c>
      <c r="F538">
        <v>764101035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0.16071428571428364</v>
      </c>
      <c r="Q538">
        <f t="shared" si="985"/>
        <v>122801952.05356985</v>
      </c>
      <c r="R538">
        <f t="shared" si="986"/>
        <v>-12073246590.468418</v>
      </c>
      <c r="S538">
        <f t="shared" si="987"/>
        <v>-120732.46590468418</v>
      </c>
      <c r="T538">
        <f t="shared" si="988"/>
        <v>-120.73246590468419</v>
      </c>
    </row>
    <row r="539" spans="1:20" x14ac:dyDescent="0.25">
      <c r="A539" s="5">
        <v>44054</v>
      </c>
      <c r="B539">
        <v>1.6149999999999999E-3</v>
      </c>
      <c r="C539">
        <v>1.6199999999999999E-3</v>
      </c>
      <c r="D539">
        <v>1.475E-3</v>
      </c>
      <c r="E539">
        <v>1.524E-3</v>
      </c>
      <c r="F539">
        <v>895749175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-0.32413793103448252</v>
      </c>
      <c r="Q539">
        <f t="shared" si="985"/>
        <v>-290346284.31034464</v>
      </c>
      <c r="R539">
        <f t="shared" si="986"/>
        <v>-12196048542.521988</v>
      </c>
      <c r="S539">
        <f t="shared" si="987"/>
        <v>-121960.48542521989</v>
      </c>
      <c r="T539">
        <f t="shared" si="988"/>
        <v>-121.96048542521989</v>
      </c>
    </row>
    <row r="540" spans="1:20" x14ac:dyDescent="0.25">
      <c r="A540" s="5">
        <v>44053</v>
      </c>
      <c r="B540">
        <v>1.6379999999999999E-3</v>
      </c>
      <c r="C540">
        <v>1.6570000000000001E-3</v>
      </c>
      <c r="D540">
        <v>1.56E-3</v>
      </c>
      <c r="E540">
        <v>1.6149999999999999E-3</v>
      </c>
      <c r="F540">
        <v>1048082701</v>
      </c>
      <c r="G540">
        <v>0</v>
      </c>
      <c r="L540" t="s">
        <v>7</v>
      </c>
      <c r="M540" t="s">
        <v>7</v>
      </c>
      <c r="N540" t="s">
        <v>7</v>
      </c>
      <c r="P540">
        <f t="shared" si="984"/>
        <v>0.13402061855669858</v>
      </c>
      <c r="Q540">
        <f t="shared" si="985"/>
        <v>140464691.88659537</v>
      </c>
      <c r="R540">
        <f t="shared" si="986"/>
        <v>-11905702258.211643</v>
      </c>
      <c r="S540">
        <f t="shared" si="987"/>
        <v>-119057.02258211643</v>
      </c>
      <c r="T540">
        <f t="shared" si="988"/>
        <v>-119.05702258211643</v>
      </c>
    </row>
    <row r="541" spans="1:20" x14ac:dyDescent="0.25">
      <c r="A541" s="5">
        <v>44052</v>
      </c>
      <c r="B541">
        <v>1.601E-3</v>
      </c>
      <c r="C541">
        <v>1.709E-3</v>
      </c>
      <c r="D541">
        <v>1.5770000000000001E-3</v>
      </c>
      <c r="E541">
        <v>1.6379999999999999E-3</v>
      </c>
      <c r="F541">
        <v>1092817449</v>
      </c>
      <c r="G541">
        <v>0</v>
      </c>
      <c r="L541" t="s">
        <v>8</v>
      </c>
      <c r="M541" t="s">
        <v>7</v>
      </c>
      <c r="N541" t="s">
        <v>7</v>
      </c>
      <c r="P541">
        <f t="shared" si="984"/>
        <v>-7.5757575757577619E-2</v>
      </c>
      <c r="Q541">
        <f t="shared" si="985"/>
        <v>-82789200.681820214</v>
      </c>
      <c r="R541">
        <f t="shared" si="986"/>
        <v>-12046166950.098238</v>
      </c>
      <c r="S541">
        <f t="shared" si="987"/>
        <v>-120461.66950098237</v>
      </c>
      <c r="T541">
        <f t="shared" si="988"/>
        <v>-120.46166950098237</v>
      </c>
    </row>
    <row r="542" spans="1:20" x14ac:dyDescent="0.25">
      <c r="A542" s="5">
        <v>44051</v>
      </c>
      <c r="B542">
        <v>1.567E-3</v>
      </c>
      <c r="C542">
        <v>1.6249999999999999E-3</v>
      </c>
      <c r="D542">
        <v>1.542E-3</v>
      </c>
      <c r="E542">
        <v>1.609E-3</v>
      </c>
      <c r="F542">
        <v>791554065</v>
      </c>
      <c r="G542">
        <v>0</v>
      </c>
      <c r="L542" t="s">
        <v>7</v>
      </c>
      <c r="M542" t="s">
        <v>7</v>
      </c>
      <c r="N542" t="s">
        <v>7</v>
      </c>
      <c r="P542">
        <f t="shared" si="984"/>
        <v>0.61445783132530207</v>
      </c>
      <c r="Q542">
        <f t="shared" si="985"/>
        <v>486376594.15662718</v>
      </c>
      <c r="R542">
        <f t="shared" si="986"/>
        <v>-11963377749.416418</v>
      </c>
      <c r="S542">
        <f t="shared" si="987"/>
        <v>-119633.77749416418</v>
      </c>
      <c r="T542">
        <f t="shared" si="988"/>
        <v>-119.63377749416418</v>
      </c>
    </row>
    <row r="543" spans="1:20" x14ac:dyDescent="0.25">
      <c r="A543" s="5">
        <v>44050</v>
      </c>
      <c r="B543">
        <v>1.6199999999999999E-3</v>
      </c>
      <c r="C543">
        <v>1.64E-3</v>
      </c>
      <c r="D543">
        <v>1.5169999999999999E-3</v>
      </c>
      <c r="E543">
        <v>1.567E-3</v>
      </c>
      <c r="F543">
        <v>736973611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-0.18699186991869746</v>
      </c>
      <c r="Q543">
        <f t="shared" si="985"/>
        <v>-137808073.60162473</v>
      </c>
      <c r="R543">
        <f t="shared" si="986"/>
        <v>-12449754343.573046</v>
      </c>
      <c r="S543">
        <f t="shared" si="987"/>
        <v>-124497.54343573046</v>
      </c>
      <c r="T543">
        <f t="shared" si="988"/>
        <v>-124.49754343573046</v>
      </c>
    </row>
    <row r="544" spans="1:20" x14ac:dyDescent="0.25">
      <c r="A544" s="5">
        <v>44049</v>
      </c>
      <c r="B544">
        <v>1.583E-3</v>
      </c>
      <c r="C544">
        <v>1.645E-3</v>
      </c>
      <c r="D544">
        <v>1.575E-3</v>
      </c>
      <c r="E544">
        <v>1.619E-3</v>
      </c>
      <c r="F544">
        <v>1053542771</v>
      </c>
      <c r="G544">
        <v>0</v>
      </c>
      <c r="L544" t="s">
        <v>8</v>
      </c>
      <c r="M544" t="s">
        <v>7</v>
      </c>
      <c r="N544" t="s">
        <v>7</v>
      </c>
      <c r="P544">
        <f t="shared" si="984"/>
        <v>0.25714285714285734</v>
      </c>
      <c r="Q544">
        <f t="shared" si="985"/>
        <v>270910998.25714308</v>
      </c>
      <c r="R544">
        <f t="shared" si="986"/>
        <v>-12311946269.97142</v>
      </c>
      <c r="S544">
        <f t="shared" si="987"/>
        <v>-123119.4626997142</v>
      </c>
      <c r="T544">
        <f t="shared" si="988"/>
        <v>-123.11946269971421</v>
      </c>
    </row>
    <row r="545" spans="1:20" x14ac:dyDescent="0.25">
      <c r="A545" s="5">
        <v>44048</v>
      </c>
      <c r="B545">
        <v>1.6260000000000001E-3</v>
      </c>
      <c r="C545">
        <v>1.6689999999999999E-3</v>
      </c>
      <c r="D545">
        <v>1.5560000000000001E-3</v>
      </c>
      <c r="E545">
        <v>1.583E-3</v>
      </c>
      <c r="F545">
        <v>733503930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-0.52212389380531077</v>
      </c>
      <c r="Q545">
        <f t="shared" si="985"/>
        <v>-382979928.05309808</v>
      </c>
      <c r="R545">
        <f t="shared" si="986"/>
        <v>-12582857268.228563</v>
      </c>
      <c r="S545">
        <f t="shared" si="987"/>
        <v>-125828.57268228564</v>
      </c>
      <c r="T545">
        <f t="shared" si="988"/>
        <v>-125.82857268228564</v>
      </c>
    </row>
    <row r="546" spans="1:20" x14ac:dyDescent="0.25">
      <c r="A546" s="5">
        <v>44047</v>
      </c>
      <c r="B546">
        <v>1.598E-3</v>
      </c>
      <c r="C546">
        <v>1.6590000000000001E-3</v>
      </c>
      <c r="D546">
        <v>1.5770000000000001E-3</v>
      </c>
      <c r="E546">
        <v>1.6280000000000001E-3</v>
      </c>
      <c r="F546">
        <v>664635101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0.24390243902439077</v>
      </c>
      <c r="Q546">
        <f t="shared" si="985"/>
        <v>162106122.1951223</v>
      </c>
      <c r="R546">
        <f t="shared" si="986"/>
        <v>-12199877340.175465</v>
      </c>
      <c r="S546">
        <f t="shared" si="987"/>
        <v>-121998.77340175465</v>
      </c>
      <c r="T546">
        <f t="shared" si="988"/>
        <v>-121.99877340175465</v>
      </c>
    </row>
    <row r="547" spans="1:20" x14ac:dyDescent="0.25">
      <c r="A547" s="5">
        <v>44046</v>
      </c>
      <c r="B547">
        <v>1.5380000000000001E-3</v>
      </c>
      <c r="C547">
        <v>1.75E-3</v>
      </c>
      <c r="D547">
        <v>1.474E-3</v>
      </c>
      <c r="E547">
        <v>1.598E-3</v>
      </c>
      <c r="F547">
        <v>1065753762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-0.10144927536231896</v>
      </c>
      <c r="Q547">
        <f t="shared" si="985"/>
        <v>-108119946.86956534</v>
      </c>
      <c r="R547">
        <f t="shared" si="986"/>
        <v>-12361983462.370586</v>
      </c>
      <c r="S547">
        <f t="shared" si="987"/>
        <v>-123619.83462370586</v>
      </c>
      <c r="T547">
        <f t="shared" si="988"/>
        <v>-123.61983462370586</v>
      </c>
    </row>
    <row r="548" spans="1:20" x14ac:dyDescent="0.25">
      <c r="A548" s="5">
        <v>44045</v>
      </c>
      <c r="B548">
        <v>1.6230000000000001E-3</v>
      </c>
      <c r="C548">
        <v>1.678E-3</v>
      </c>
      <c r="D548">
        <v>1.5039999999999999E-3</v>
      </c>
      <c r="E548">
        <v>1.5380000000000001E-3</v>
      </c>
      <c r="F548">
        <v>850101978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-0.60919540229884883</v>
      </c>
      <c r="Q548">
        <f t="shared" si="985"/>
        <v>-517878216.48275715</v>
      </c>
      <c r="R548">
        <f t="shared" si="986"/>
        <v>-12253863515.50102</v>
      </c>
      <c r="S548">
        <f t="shared" si="987"/>
        <v>-122538.6351550102</v>
      </c>
      <c r="T548">
        <f t="shared" si="988"/>
        <v>-122.5386351550102</v>
      </c>
    </row>
    <row r="549" spans="1:20" x14ac:dyDescent="0.25">
      <c r="A549" s="5">
        <v>44044</v>
      </c>
      <c r="B549">
        <v>1.709E-3</v>
      </c>
      <c r="C549">
        <v>1.7309999999999999E-3</v>
      </c>
      <c r="D549">
        <v>1.6019999999999999E-3</v>
      </c>
      <c r="E549">
        <v>1.6230000000000001E-3</v>
      </c>
      <c r="F549">
        <v>894430077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-0.67441860465115988</v>
      </c>
      <c r="Q549">
        <f t="shared" si="985"/>
        <v>-603220284.48836946</v>
      </c>
      <c r="R549">
        <f t="shared" si="986"/>
        <v>-11735985299.018263</v>
      </c>
      <c r="S549">
        <f t="shared" si="987"/>
        <v>-117359.85299018263</v>
      </c>
      <c r="T549">
        <f t="shared" si="988"/>
        <v>-117.35985299018263</v>
      </c>
    </row>
    <row r="550" spans="1:20" x14ac:dyDescent="0.25">
      <c r="A550" s="5">
        <v>44043</v>
      </c>
      <c r="B550">
        <v>1.7060000000000001E-3</v>
      </c>
      <c r="C550">
        <v>1.8240000000000001E-3</v>
      </c>
      <c r="D550">
        <v>1.6770000000000001E-3</v>
      </c>
      <c r="E550">
        <v>1.7099999999999999E-3</v>
      </c>
      <c r="F550">
        <v>1042881840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-0.55102040816326769</v>
      </c>
      <c r="Q550">
        <f t="shared" si="985"/>
        <v>-574649177.14285958</v>
      </c>
      <c r="R550">
        <f t="shared" si="986"/>
        <v>-11132765014.529894</v>
      </c>
      <c r="S550">
        <f t="shared" si="987"/>
        <v>-111327.65014529893</v>
      </c>
      <c r="T550">
        <f t="shared" si="988"/>
        <v>-111.32765014529893</v>
      </c>
    </row>
    <row r="551" spans="1:20" x14ac:dyDescent="0.25">
      <c r="A551" s="5">
        <v>44042</v>
      </c>
      <c r="B551">
        <v>1.737E-3</v>
      </c>
      <c r="C551">
        <v>1.838E-3</v>
      </c>
      <c r="D551">
        <v>1.619E-3</v>
      </c>
      <c r="E551">
        <v>1.7060000000000001E-3</v>
      </c>
      <c r="F551">
        <v>943822692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-0.20547945205479407</v>
      </c>
      <c r="Q551">
        <f t="shared" si="985"/>
        <v>-193936169.58904067</v>
      </c>
      <c r="R551">
        <f t="shared" si="986"/>
        <v>-10558115837.387033</v>
      </c>
      <c r="S551">
        <f t="shared" si="987"/>
        <v>-105581.15837387033</v>
      </c>
      <c r="T551">
        <f t="shared" si="988"/>
        <v>-105.58115837387034</v>
      </c>
    </row>
    <row r="552" spans="1:20" x14ac:dyDescent="0.25">
      <c r="A552" s="5">
        <v>44041</v>
      </c>
      <c r="B552">
        <v>1.7849999999999999E-3</v>
      </c>
      <c r="C552">
        <v>1.7849999999999999E-3</v>
      </c>
      <c r="D552">
        <v>1.6280000000000001E-3</v>
      </c>
      <c r="E552">
        <v>1.738E-3</v>
      </c>
      <c r="F552">
        <v>1154164269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0.40127388535031838</v>
      </c>
      <c r="Q552">
        <f t="shared" si="985"/>
        <v>463135980.55414003</v>
      </c>
      <c r="R552">
        <f t="shared" si="986"/>
        <v>-10364179667.797993</v>
      </c>
      <c r="S552">
        <f t="shared" si="987"/>
        <v>-103641.79667797993</v>
      </c>
      <c r="T552">
        <f t="shared" si="988"/>
        <v>-103.64179667797993</v>
      </c>
    </row>
    <row r="553" spans="1:20" x14ac:dyDescent="0.25">
      <c r="A553" s="5">
        <v>44040</v>
      </c>
      <c r="B553">
        <v>1.6019999999999999E-3</v>
      </c>
      <c r="C553">
        <v>1.8799999999999999E-3</v>
      </c>
      <c r="D553">
        <v>1.5499999999999999E-3</v>
      </c>
      <c r="E553">
        <v>1.7849999999999999E-3</v>
      </c>
      <c r="F553">
        <v>1593847170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0.42424242424242403</v>
      </c>
      <c r="Q553">
        <f t="shared" si="985"/>
        <v>676177587.27272689</v>
      </c>
      <c r="R553">
        <f t="shared" si="986"/>
        <v>-10827315648.352133</v>
      </c>
      <c r="S553">
        <f t="shared" si="987"/>
        <v>-108273.15648352132</v>
      </c>
      <c r="T553">
        <f t="shared" si="988"/>
        <v>-108.27315648352132</v>
      </c>
    </row>
    <row r="554" spans="1:20" x14ac:dyDescent="0.25">
      <c r="A554" s="5">
        <v>44039</v>
      </c>
      <c r="B554">
        <v>1.993E-3</v>
      </c>
      <c r="C554">
        <v>1.9940000000000001E-3</v>
      </c>
      <c r="D554">
        <v>1.5250000000000001E-3</v>
      </c>
      <c r="E554">
        <v>1.6019999999999999E-3</v>
      </c>
      <c r="F554">
        <v>2388052894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-0.67164179104477695</v>
      </c>
      <c r="Q554">
        <f t="shared" si="985"/>
        <v>-1603916122.8358228</v>
      </c>
      <c r="R554">
        <f t="shared" si="986"/>
        <v>-11503493235.624859</v>
      </c>
      <c r="S554">
        <f t="shared" si="987"/>
        <v>-115034.9323562486</v>
      </c>
      <c r="T554">
        <f t="shared" si="988"/>
        <v>-115.03493235624859</v>
      </c>
    </row>
    <row r="555" spans="1:20" x14ac:dyDescent="0.25">
      <c r="A555" s="5">
        <v>44038</v>
      </c>
      <c r="B555">
        <v>2.101E-3</v>
      </c>
      <c r="C555">
        <v>2.2000000000000001E-3</v>
      </c>
      <c r="D555">
        <v>1.8500000000000001E-3</v>
      </c>
      <c r="E555">
        <v>1.9940000000000001E-3</v>
      </c>
      <c r="F555">
        <v>2035264740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-0.17714285714285707</v>
      </c>
      <c r="Q555">
        <f t="shared" si="985"/>
        <v>-360532611.08571416</v>
      </c>
      <c r="R555">
        <f t="shared" si="986"/>
        <v>-9899577112.7890358</v>
      </c>
      <c r="S555">
        <f t="shared" si="987"/>
        <v>-98995.771127890359</v>
      </c>
      <c r="T555">
        <f t="shared" si="988"/>
        <v>-98.995771127890364</v>
      </c>
    </row>
    <row r="556" spans="1:20" x14ac:dyDescent="0.25">
      <c r="A556" s="5">
        <v>44037</v>
      </c>
      <c r="B556">
        <v>2.15E-3</v>
      </c>
      <c r="C556">
        <v>2.398E-3</v>
      </c>
      <c r="D556">
        <v>1.9889999999999999E-3</v>
      </c>
      <c r="E556">
        <v>2.1020000000000001E-3</v>
      </c>
      <c r="F556">
        <v>3320741065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-0.44743276283618466</v>
      </c>
      <c r="Q556">
        <f t="shared" si="985"/>
        <v>-1485808349.3765242</v>
      </c>
      <c r="R556">
        <f t="shared" si="986"/>
        <v>-9539044501.7033215</v>
      </c>
      <c r="S556">
        <f t="shared" si="987"/>
        <v>-95390.445017033213</v>
      </c>
      <c r="T556">
        <f t="shared" si="988"/>
        <v>-95.390445017033215</v>
      </c>
    </row>
    <row r="557" spans="1:20" x14ac:dyDescent="0.25">
      <c r="A557" s="5">
        <v>44036</v>
      </c>
      <c r="B557">
        <v>1.818E-3</v>
      </c>
      <c r="C557">
        <v>2.5000000000000001E-3</v>
      </c>
      <c r="D557">
        <v>1.817E-3</v>
      </c>
      <c r="E557">
        <v>2.15E-3</v>
      </c>
      <c r="F557">
        <v>8907415266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-2.4890190336749763E-2</v>
      </c>
      <c r="Q557">
        <f t="shared" si="985"/>
        <v>-221707261.37921053</v>
      </c>
      <c r="R557">
        <f t="shared" si="986"/>
        <v>-8053236152.3267975</v>
      </c>
      <c r="S557">
        <f t="shared" si="987"/>
        <v>-80532.361523267973</v>
      </c>
      <c r="T557">
        <f t="shared" si="988"/>
        <v>-80.53236152326798</v>
      </c>
    </row>
    <row r="558" spans="1:20" x14ac:dyDescent="0.25">
      <c r="A558" s="5">
        <v>44035</v>
      </c>
      <c r="B558">
        <v>1.4840000000000001E-3</v>
      </c>
      <c r="C558">
        <v>1.8990000000000001E-3</v>
      </c>
      <c r="D558">
        <v>1.4599999999999999E-3</v>
      </c>
      <c r="E558">
        <v>1.817E-3</v>
      </c>
      <c r="F558">
        <v>2984641591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0.62642369020501132</v>
      </c>
      <c r="Q558">
        <f t="shared" si="985"/>
        <v>1869650199.3735762</v>
      </c>
      <c r="R558">
        <f t="shared" si="986"/>
        <v>-7831528890.947587</v>
      </c>
      <c r="S558">
        <f t="shared" si="987"/>
        <v>-78315.288909475872</v>
      </c>
      <c r="T558">
        <f t="shared" si="988"/>
        <v>-78.315288909475868</v>
      </c>
    </row>
    <row r="559" spans="1:20" x14ac:dyDescent="0.25">
      <c r="A559" s="5">
        <v>44034</v>
      </c>
      <c r="B559">
        <v>1.2999999999999999E-3</v>
      </c>
      <c r="C559">
        <v>1.6000000000000001E-3</v>
      </c>
      <c r="D559">
        <v>1.2949999999999999E-3</v>
      </c>
      <c r="E559">
        <v>1.485E-3</v>
      </c>
      <c r="F559">
        <v>2276175023</v>
      </c>
      <c r="G559">
        <v>0</v>
      </c>
      <c r="L559" t="s">
        <v>8</v>
      </c>
      <c r="M559" t="s">
        <v>8</v>
      </c>
      <c r="N559" t="s">
        <v>7</v>
      </c>
      <c r="P559">
        <f t="shared" si="984"/>
        <v>0.2459016393442621</v>
      </c>
      <c r="Q559">
        <f t="shared" si="985"/>
        <v>559715169.59016347</v>
      </c>
      <c r="R559">
        <f t="shared" si="986"/>
        <v>-9701179090.3211632</v>
      </c>
      <c r="S559">
        <f t="shared" si="987"/>
        <v>-97011.790903211629</v>
      </c>
      <c r="T559">
        <f t="shared" si="988"/>
        <v>-97.011790903211633</v>
      </c>
    </row>
    <row r="560" spans="1:20" x14ac:dyDescent="0.25">
      <c r="A560" s="5">
        <v>44033</v>
      </c>
      <c r="B560">
        <v>1.3060000000000001E-3</v>
      </c>
      <c r="C560">
        <v>1.3500000000000001E-3</v>
      </c>
      <c r="D560">
        <v>1.2520000000000001E-3</v>
      </c>
      <c r="E560">
        <v>1.2949999999999999E-3</v>
      </c>
      <c r="F560">
        <v>601448428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-0.12244897959183972</v>
      </c>
      <c r="Q560">
        <f t="shared" si="985"/>
        <v>-73646746.285716072</v>
      </c>
      <c r="R560">
        <f t="shared" si="986"/>
        <v>-10260894259.911327</v>
      </c>
      <c r="S560">
        <f t="shared" si="987"/>
        <v>-102608.94259911327</v>
      </c>
      <c r="T560">
        <f t="shared" si="988"/>
        <v>-102.60894259911328</v>
      </c>
    </row>
    <row r="561" spans="1:104" x14ac:dyDescent="0.25">
      <c r="A561" s="5">
        <v>44032</v>
      </c>
      <c r="B561">
        <v>1.4189999999999999E-3</v>
      </c>
      <c r="C561">
        <v>1.441E-3</v>
      </c>
      <c r="D561">
        <v>1.2359999999999999E-3</v>
      </c>
      <c r="E561">
        <v>1.3060000000000001E-3</v>
      </c>
      <c r="F561">
        <v>1336596754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-0.31707317073170588</v>
      </c>
      <c r="Q561">
        <f t="shared" si="985"/>
        <v>-423798970.78048587</v>
      </c>
      <c r="R561">
        <f t="shared" si="986"/>
        <v>-10187247513.62561</v>
      </c>
      <c r="S561">
        <f t="shared" si="987"/>
        <v>-101872.47513625611</v>
      </c>
      <c r="T561">
        <f t="shared" si="988"/>
        <v>-101.87247513625611</v>
      </c>
      <c r="CZ561" t="s">
        <v>7</v>
      </c>
    </row>
    <row r="562" spans="1:104" x14ac:dyDescent="0.25">
      <c r="A562" s="5">
        <v>44031</v>
      </c>
      <c r="B562">
        <v>1.4580000000000001E-3</v>
      </c>
      <c r="C562">
        <v>1.5399999999999999E-3</v>
      </c>
      <c r="D562">
        <v>1.361E-3</v>
      </c>
      <c r="E562">
        <v>1.41E-3</v>
      </c>
      <c r="F562">
        <v>1623568922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-0.45251396648044667</v>
      </c>
      <c r="Q562">
        <f t="shared" si="985"/>
        <v>-734687612.74860299</v>
      </c>
      <c r="R562">
        <f t="shared" si="986"/>
        <v>-9763448542.8451252</v>
      </c>
      <c r="S562">
        <f t="shared" si="987"/>
        <v>-97634.485428451255</v>
      </c>
      <c r="T562">
        <f t="shared" si="988"/>
        <v>-97.634485428451256</v>
      </c>
      <c r="CZ562" t="s">
        <v>7</v>
      </c>
    </row>
    <row r="563" spans="1:104" x14ac:dyDescent="0.25">
      <c r="A563" s="5">
        <v>44030</v>
      </c>
      <c r="B563">
        <v>1.5759999999999999E-3</v>
      </c>
      <c r="C563">
        <v>1.717E-3</v>
      </c>
      <c r="D563">
        <v>1.4350000000000001E-3</v>
      </c>
      <c r="E563">
        <v>1.459E-3</v>
      </c>
      <c r="F563">
        <v>2100131099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-0.82978723404255361</v>
      </c>
      <c r="Q563">
        <f t="shared" si="985"/>
        <v>-1742661975.7659583</v>
      </c>
      <c r="R563">
        <f t="shared" si="986"/>
        <v>-9028760930.0965214</v>
      </c>
      <c r="S563">
        <f t="shared" si="987"/>
        <v>-90287.60930096521</v>
      </c>
      <c r="T563">
        <f t="shared" si="988"/>
        <v>-90.287609300965215</v>
      </c>
      <c r="CZ563" t="s">
        <v>7</v>
      </c>
    </row>
    <row r="564" spans="1:104" x14ac:dyDescent="0.25">
      <c r="A564" s="5">
        <v>44029</v>
      </c>
      <c r="B564">
        <v>9.990000000000001E-4</v>
      </c>
      <c r="C564">
        <v>1.303E-2</v>
      </c>
      <c r="D564">
        <v>9.990000000000001E-4</v>
      </c>
      <c r="E564">
        <v>1.575E-3</v>
      </c>
      <c r="F564">
        <v>8057639169</v>
      </c>
      <c r="G564">
        <v>0</v>
      </c>
      <c r="P564">
        <f t="shared" si="984"/>
        <v>-0.90424736098412428</v>
      </c>
      <c r="Q564">
        <f t="shared" si="985"/>
        <v>-7286098954.3305626</v>
      </c>
      <c r="R564">
        <f t="shared" si="986"/>
        <v>-7286098954.3305626</v>
      </c>
      <c r="S564">
        <f t="shared" si="987"/>
        <v>-72860.989543305623</v>
      </c>
      <c r="T564">
        <f t="shared" si="988"/>
        <v>-72.860989543305621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V869" sqref="MV86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$A$868</v>
      </c>
      <c r="D111" s="1" t="str">
        <f>ADDRESS(C121-1,D121,1,1)</f>
        <v>$MV$868</v>
      </c>
      <c r="E111"/>
    </row>
    <row r="112" spans="1:5" x14ac:dyDescent="0.25">
      <c r="A112" s="7">
        <v>12164.144957890772</v>
      </c>
      <c r="C112" s="1" t="str">
        <f>ADDRESS(C121,1,1,1)</f>
        <v>$A$869</v>
      </c>
      <c r="D112" s="1" t="str">
        <f>ADDRESS(C121,D121-1,1,1)</f>
        <v>$MU$869</v>
      </c>
      <c r="E112"/>
    </row>
    <row r="113" spans="1:5" x14ac:dyDescent="0.25">
      <c r="A113" s="7">
        <v>11925.63231165762</v>
      </c>
      <c r="C113" s="1" t="str">
        <f>ADDRESS(C121+1,1,1,1)</f>
        <v>$A$870</v>
      </c>
      <c r="D113" s="1" t="str">
        <f>ADDRESS(C121-1,D121+1,1,1)</f>
        <v>$MW$868</v>
      </c>
    </row>
    <row r="114" spans="1:5" x14ac:dyDescent="0.25">
      <c r="A114" s="7">
        <v>11691.796383978059</v>
      </c>
      <c r="C114" s="1" t="str">
        <f>ADDRESS(C121,D121,1,1)</f>
        <v>$MV$869</v>
      </c>
      <c r="D114" s="1" t="str">
        <f>ADDRESS(C121+1,D121+1,1,1)</f>
        <v>$MW$870</v>
      </c>
    </row>
    <row r="115" spans="1:5" x14ac:dyDescent="0.25">
      <c r="A115" s="7">
        <v>11462.545474488292</v>
      </c>
      <c r="C115" s="1" t="str">
        <f>ADDRESS(C121+1,D121,1,1)</f>
        <v>$MV$870</v>
      </c>
    </row>
    <row r="116" spans="1:5" x14ac:dyDescent="0.25">
      <c r="A116" s="7">
        <v>11237.789680870874</v>
      </c>
      <c r="C116" s="1">
        <f>C117-1</f>
        <v>868</v>
      </c>
    </row>
    <row r="117" spans="1:5" x14ac:dyDescent="0.25">
      <c r="A117" s="7">
        <v>11017.440863598895</v>
      </c>
      <c r="C117" s="1">
        <f>C121</f>
        <v>869</v>
      </c>
      <c r="D117" s="1">
        <f>D121</f>
        <v>360</v>
      </c>
    </row>
    <row r="118" spans="1:5" x14ac:dyDescent="0.25">
      <c r="A118" s="7">
        <v>10801.412611371465</v>
      </c>
      <c r="C118" s="1">
        <f>C117+1</f>
        <v>870</v>
      </c>
      <c r="D118" s="1">
        <f>D117+1</f>
        <v>361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869</v>
      </c>
      <c r="D121" s="19">
        <v>360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R869</v>
      </c>
      <c r="D123" s="1" t="str">
        <f>"C"&amp;D121</f>
        <v>C360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3.7562246910665485E-3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210" x14ac:dyDescent="0.25">
      <c r="A753" s="7">
        <v>3.7356956571232579E-2</v>
      </c>
      <c r="B753"/>
      <c r="C753"/>
      <c r="D753"/>
      <c r="E753"/>
      <c r="F753" s="27" t="s">
        <v>7</v>
      </c>
    </row>
    <row r="754" spans="1:210" x14ac:dyDescent="0.25">
      <c r="A754" s="7">
        <v>3.6624467226698605E-2</v>
      </c>
      <c r="B754"/>
      <c r="C754"/>
      <c r="D754"/>
      <c r="E754"/>
      <c r="F754" s="27" t="s">
        <v>7</v>
      </c>
    </row>
    <row r="755" spans="1:210" x14ac:dyDescent="0.25">
      <c r="A755" s="7">
        <v>3.5906340418331961E-2</v>
      </c>
      <c r="B755"/>
      <c r="C755"/>
      <c r="D755"/>
      <c r="E755"/>
      <c r="F755" s="27" t="s">
        <v>7</v>
      </c>
    </row>
    <row r="756" spans="1:210" x14ac:dyDescent="0.25">
      <c r="A756" s="7">
        <v>3.5202294527776436E-2</v>
      </c>
      <c r="B756"/>
      <c r="C756"/>
      <c r="D756"/>
      <c r="E756"/>
      <c r="F756" s="27" t="s">
        <v>7</v>
      </c>
    </row>
    <row r="757" spans="1:210" x14ac:dyDescent="0.25">
      <c r="A757" s="7">
        <v>3.451205345860435E-2</v>
      </c>
      <c r="B757"/>
      <c r="C757"/>
      <c r="D757"/>
      <c r="E757"/>
      <c r="F757" s="27" t="s">
        <v>7</v>
      </c>
    </row>
    <row r="758" spans="1:210" x14ac:dyDescent="0.25">
      <c r="A758" s="7">
        <v>3.3835346528043479E-2</v>
      </c>
      <c r="B758"/>
      <c r="C758"/>
      <c r="D758"/>
      <c r="E758"/>
      <c r="F758" s="27" t="s">
        <v>7</v>
      </c>
    </row>
    <row r="759" spans="1:210" x14ac:dyDescent="0.25">
      <c r="A759" s="7">
        <v>3.3171908360826938E-2</v>
      </c>
      <c r="B759"/>
      <c r="C759"/>
      <c r="D759"/>
      <c r="E759"/>
      <c r="F759" s="27" t="s">
        <v>7</v>
      </c>
    </row>
    <row r="760" spans="1:210" x14ac:dyDescent="0.25">
      <c r="A760" s="7">
        <v>3.2521478785124451E-2</v>
      </c>
      <c r="B760"/>
      <c r="C760"/>
      <c r="D760"/>
      <c r="E760"/>
      <c r="F760" s="27" t="s">
        <v>7</v>
      </c>
    </row>
    <row r="761" spans="1:210" x14ac:dyDescent="0.25">
      <c r="A761" s="7">
        <v>3.1883802730514173E-2</v>
      </c>
      <c r="B761"/>
      <c r="C761"/>
      <c r="D761"/>
      <c r="E761"/>
      <c r="F761" s="27" t="s">
        <v>7</v>
      </c>
    </row>
    <row r="762" spans="1:210" x14ac:dyDescent="0.25">
      <c r="A762" s="7">
        <v>3.1258630127955073E-2</v>
      </c>
      <c r="B762"/>
      <c r="C762"/>
      <c r="D762"/>
      <c r="E762"/>
      <c r="F762" s="27" t="s">
        <v>7</v>
      </c>
    </row>
    <row r="763" spans="1:210" x14ac:dyDescent="0.25">
      <c r="A763" s="7">
        <v>3.064571581172066E-2</v>
      </c>
      <c r="B763"/>
      <c r="C763"/>
      <c r="D763"/>
      <c r="E763"/>
      <c r="F763" s="27" t="s">
        <v>7</v>
      </c>
    </row>
    <row r="764" spans="1:210" x14ac:dyDescent="0.25">
      <c r="A764" s="7">
        <v>3.0044819423255549E-2</v>
      </c>
      <c r="B764"/>
      <c r="C764"/>
      <c r="D764"/>
      <c r="E764"/>
      <c r="F764" s="27" t="s">
        <v>7</v>
      </c>
    </row>
    <row r="765" spans="1:210" x14ac:dyDescent="0.25">
      <c r="A765" s="7">
        <v>2.9455705316917203E-2</v>
      </c>
      <c r="B765"/>
      <c r="C765"/>
      <c r="D765"/>
      <c r="E765"/>
      <c r="F765" s="27" t="s">
        <v>7</v>
      </c>
    </row>
    <row r="766" spans="1:210" x14ac:dyDescent="0.25">
      <c r="A766" s="7">
        <v>2.8878142467565884E-2</v>
      </c>
      <c r="B766"/>
      <c r="C766"/>
      <c r="D766"/>
      <c r="E766"/>
      <c r="F766" s="27" t="s">
        <v>7</v>
      </c>
    </row>
    <row r="767" spans="1:210" x14ac:dyDescent="0.25">
      <c r="A767" s="7">
        <v>2.8311904379966554E-2</v>
      </c>
      <c r="B767"/>
      <c r="C767"/>
      <c r="D767"/>
      <c r="E767"/>
      <c r="F767" s="27" t="s">
        <v>7</v>
      </c>
      <c r="HA767" s="27" t="s">
        <v>8</v>
      </c>
    </row>
    <row r="768" spans="1:210" x14ac:dyDescent="0.25">
      <c r="A768" s="7">
        <v>2.7756768999967207E-2</v>
      </c>
      <c r="B768"/>
      <c r="C768"/>
      <c r="D768"/>
      <c r="E768"/>
      <c r="F768" s="27" t="s">
        <v>7</v>
      </c>
      <c r="HA768" s="27" t="s">
        <v>8</v>
      </c>
      <c r="HB768" s="27" t="s">
        <v>7</v>
      </c>
    </row>
    <row r="769" spans="1:218" x14ac:dyDescent="0.25">
      <c r="A769" s="7">
        <v>2.7212518627418834E-2</v>
      </c>
      <c r="B769"/>
      <c r="C769"/>
      <c r="D769"/>
      <c r="E769"/>
      <c r="F769" s="27" t="s">
        <v>7</v>
      </c>
      <c r="HA769" s="27" t="s">
        <v>8</v>
      </c>
      <c r="HB769" s="27" t="s">
        <v>7</v>
      </c>
    </row>
    <row r="770" spans="1:218" x14ac:dyDescent="0.25">
      <c r="A770" s="7">
        <v>2.6678939830802779E-2</v>
      </c>
      <c r="B770"/>
      <c r="C770"/>
      <c r="D770"/>
      <c r="E770"/>
      <c r="F770" s="27" t="s">
        <v>7</v>
      </c>
      <c r="HA770" s="27" t="s">
        <v>8</v>
      </c>
      <c r="HB770" s="27" t="s">
        <v>7</v>
      </c>
    </row>
    <row r="771" spans="1:218" x14ac:dyDescent="0.25">
      <c r="A771" s="7">
        <v>2.615582336353214E-2</v>
      </c>
      <c r="B771"/>
      <c r="C771"/>
      <c r="D771"/>
      <c r="E771"/>
      <c r="F771" s="27" t="s">
        <v>7</v>
      </c>
      <c r="HA771" s="27" t="s">
        <v>8</v>
      </c>
      <c r="HB771" s="27" t="s">
        <v>7</v>
      </c>
    </row>
    <row r="772" spans="1:218" x14ac:dyDescent="0.25">
      <c r="A772" s="7">
        <v>2.5642964081894253E-2</v>
      </c>
      <c r="B772"/>
      <c r="C772"/>
      <c r="D772"/>
      <c r="E772"/>
      <c r="F772" s="27" t="s">
        <v>7</v>
      </c>
      <c r="HA772" s="27" t="s">
        <v>8</v>
      </c>
      <c r="HB772" s="27" t="s">
        <v>7</v>
      </c>
    </row>
    <row r="773" spans="1:218" x14ac:dyDescent="0.25">
      <c r="A773" s="7">
        <v>2.5140160864602207E-2</v>
      </c>
      <c r="B773"/>
      <c r="C773"/>
      <c r="D773"/>
      <c r="E773"/>
      <c r="F773" s="27" t="s">
        <v>7</v>
      </c>
      <c r="HA773" s="27" t="s">
        <v>8</v>
      </c>
      <c r="HB773" s="27" t="s">
        <v>7</v>
      </c>
      <c r="HC773" s="27" t="s">
        <v>8</v>
      </c>
    </row>
    <row r="774" spans="1:218" x14ac:dyDescent="0.25">
      <c r="A774" s="7">
        <v>2.4647216533923735E-2</v>
      </c>
      <c r="B774"/>
      <c r="C774"/>
      <c r="D774"/>
      <c r="E774"/>
      <c r="F774" s="27" t="s">
        <v>7</v>
      </c>
      <c r="HA774" s="27" t="s">
        <v>8</v>
      </c>
      <c r="HB774" s="27" t="s">
        <v>7</v>
      </c>
      <c r="HC774" s="27" t="s">
        <v>8</v>
      </c>
      <c r="HD774" s="27" t="s">
        <v>7</v>
      </c>
    </row>
    <row r="775" spans="1:218" x14ac:dyDescent="0.25">
      <c r="A775" s="7">
        <v>2.4163937778356601E-2</v>
      </c>
      <c r="B775"/>
      <c r="C775"/>
      <c r="D775"/>
      <c r="E775"/>
      <c r="F775" s="27" t="s">
        <v>7</v>
      </c>
      <c r="GM775" s="27" t="s">
        <v>8</v>
      </c>
      <c r="HA775" s="27" t="s">
        <v>8</v>
      </c>
      <c r="HB775" s="27" t="s">
        <v>7</v>
      </c>
      <c r="HC775" s="27" t="s">
        <v>8</v>
      </c>
      <c r="HD775" s="27" t="s">
        <v>7</v>
      </c>
    </row>
    <row r="776" spans="1:218" x14ac:dyDescent="0.25">
      <c r="A776" s="7">
        <v>2.3690135076820197E-2</v>
      </c>
      <c r="B776"/>
      <c r="C776"/>
      <c r="D776"/>
      <c r="E776"/>
      <c r="F776" s="27" t="s">
        <v>7</v>
      </c>
      <c r="GM776" s="27" t="s">
        <v>8</v>
      </c>
      <c r="GN776" s="27" t="s">
        <v>7</v>
      </c>
      <c r="HA776" s="27" t="s">
        <v>8</v>
      </c>
      <c r="HB776" s="27" t="s">
        <v>7</v>
      </c>
      <c r="HC776" s="27" t="s">
        <v>8</v>
      </c>
      <c r="HD776" s="27" t="s">
        <v>7</v>
      </c>
    </row>
    <row r="777" spans="1:218" x14ac:dyDescent="0.25">
      <c r="A777" s="7">
        <v>2.3225622624333527E-2</v>
      </c>
      <c r="B777"/>
      <c r="C777"/>
      <c r="D777"/>
      <c r="E777"/>
      <c r="F777" s="27" t="s">
        <v>7</v>
      </c>
      <c r="GM777" s="27" t="s">
        <v>8</v>
      </c>
      <c r="GN777" s="27" t="s">
        <v>7</v>
      </c>
      <c r="HA777" s="27" t="s">
        <v>8</v>
      </c>
      <c r="HB777" s="27" t="s">
        <v>7</v>
      </c>
      <c r="HC777" s="27" t="s">
        <v>8</v>
      </c>
      <c r="HD777" s="27" t="s">
        <v>7</v>
      </c>
    </row>
    <row r="778" spans="1:218" x14ac:dyDescent="0.25">
      <c r="A778" s="7">
        <v>2.2770218259150519E-2</v>
      </c>
      <c r="B778"/>
      <c r="C778"/>
      <c r="D778"/>
      <c r="E778"/>
      <c r="F778" s="27" t="s">
        <v>7</v>
      </c>
      <c r="GM778" s="27" t="s">
        <v>8</v>
      </c>
      <c r="GN778" s="27" t="s">
        <v>7</v>
      </c>
      <c r="HA778" s="27" t="s">
        <v>8</v>
      </c>
      <c r="HB778" s="27" t="s">
        <v>7</v>
      </c>
      <c r="HC778" s="27" t="s">
        <v>8</v>
      </c>
      <c r="HD778" s="27" t="s">
        <v>7</v>
      </c>
    </row>
    <row r="779" spans="1:218" x14ac:dyDescent="0.25">
      <c r="A779" s="7">
        <v>2.2323743391324039E-2</v>
      </c>
      <c r="B779"/>
      <c r="C779"/>
      <c r="D779"/>
      <c r="E779"/>
      <c r="F779" s="27" t="s">
        <v>7</v>
      </c>
      <c r="GM779" s="27" t="s">
        <v>8</v>
      </c>
      <c r="GN779" s="27" t="s">
        <v>7</v>
      </c>
      <c r="HA779" s="27" t="s">
        <v>8</v>
      </c>
      <c r="HB779" s="27" t="s">
        <v>7</v>
      </c>
      <c r="HC779" s="27" t="s">
        <v>8</v>
      </c>
      <c r="HD779" s="27" t="s">
        <v>7</v>
      </c>
    </row>
    <row r="780" spans="1:218" x14ac:dyDescent="0.25">
      <c r="A780" s="7">
        <v>2.188602293267063E-2</v>
      </c>
      <c r="B780"/>
      <c r="C780"/>
      <c r="D780"/>
      <c r="E780"/>
      <c r="F780" s="27" t="s">
        <v>7</v>
      </c>
      <c r="GM780" s="27" t="s">
        <v>8</v>
      </c>
      <c r="GN780" s="27" t="s">
        <v>7</v>
      </c>
      <c r="HA780" s="27" t="s">
        <v>8</v>
      </c>
      <c r="HB780" s="27" t="s">
        <v>7</v>
      </c>
      <c r="HC780" s="27" t="s">
        <v>8</v>
      </c>
      <c r="HD780" s="27" t="s">
        <v>7</v>
      </c>
    </row>
    <row r="781" spans="1:218" x14ac:dyDescent="0.25">
      <c r="A781" s="7">
        <v>2.1456885228108461E-2</v>
      </c>
      <c r="B781"/>
      <c r="C781"/>
      <c r="D781"/>
      <c r="E781"/>
      <c r="F781" s="27" t="s">
        <v>7</v>
      </c>
      <c r="GM781" s="27" t="s">
        <v>8</v>
      </c>
      <c r="GN781" s="27" t="s">
        <v>7</v>
      </c>
      <c r="HA781" s="27" t="s">
        <v>8</v>
      </c>
      <c r="HB781" s="27" t="s">
        <v>7</v>
      </c>
      <c r="HC781" s="27" t="s">
        <v>8</v>
      </c>
      <c r="HD781" s="27" t="s">
        <v>7</v>
      </c>
      <c r="HE781" s="27" t="s">
        <v>8</v>
      </c>
      <c r="HI781" s="27" t="s">
        <v>8</v>
      </c>
    </row>
    <row r="782" spans="1:218" x14ac:dyDescent="0.25">
      <c r="A782" s="7">
        <v>2.1036161988341632E-2</v>
      </c>
      <c r="B782"/>
      <c r="C782"/>
      <c r="D782"/>
      <c r="E782"/>
      <c r="F782" s="27" t="s">
        <v>7</v>
      </c>
      <c r="GM782" s="27" t="s">
        <v>8</v>
      </c>
      <c r="GN782" s="27" t="s">
        <v>7</v>
      </c>
      <c r="HA782" s="27" t="s">
        <v>8</v>
      </c>
      <c r="HB782" s="27" t="s">
        <v>7</v>
      </c>
      <c r="HC782" s="27" t="s">
        <v>8</v>
      </c>
      <c r="HD782" s="27" t="s">
        <v>7</v>
      </c>
      <c r="HE782" s="27" t="s">
        <v>8</v>
      </c>
      <c r="HF782" s="27" t="s">
        <v>7</v>
      </c>
      <c r="HI782" s="27" t="s">
        <v>8</v>
      </c>
      <c r="HJ782" s="27" t="s">
        <v>7</v>
      </c>
    </row>
    <row r="783" spans="1:218" x14ac:dyDescent="0.25">
      <c r="A783" s="7">
        <v>2.0623688223864345E-2</v>
      </c>
      <c r="B783"/>
      <c r="C783"/>
      <c r="D783"/>
      <c r="E783"/>
      <c r="F783" s="27" t="s">
        <v>7</v>
      </c>
      <c r="GM783" s="27" t="s">
        <v>8</v>
      </c>
      <c r="GN783" s="27" t="s">
        <v>7</v>
      </c>
      <c r="GO783" s="27" t="s">
        <v>8</v>
      </c>
      <c r="HA783" s="27" t="s">
        <v>8</v>
      </c>
      <c r="HB783" s="27" t="s">
        <v>7</v>
      </c>
      <c r="HC783" s="27" t="s">
        <v>8</v>
      </c>
      <c r="HD783" s="27" t="s">
        <v>7</v>
      </c>
      <c r="HE783" s="27" t="s">
        <v>8</v>
      </c>
      <c r="HF783" s="27" t="s">
        <v>7</v>
      </c>
      <c r="HI783" s="27" t="s">
        <v>8</v>
      </c>
      <c r="HJ783" s="27" t="s">
        <v>7</v>
      </c>
    </row>
    <row r="784" spans="1:218" x14ac:dyDescent="0.25">
      <c r="A784" s="7">
        <v>2.021930218025916E-2</v>
      </c>
      <c r="B784"/>
      <c r="C784"/>
      <c r="D784"/>
      <c r="E784"/>
      <c r="F784" s="27" t="s">
        <v>7</v>
      </c>
      <c r="GM784" s="27" t="s">
        <v>8</v>
      </c>
      <c r="GN784" s="27" t="s">
        <v>7</v>
      </c>
      <c r="GO784" s="27" t="s">
        <v>8</v>
      </c>
      <c r="GP784" s="27" t="s">
        <v>7</v>
      </c>
      <c r="HA784" s="27" t="s">
        <v>8</v>
      </c>
      <c r="HB784" s="27" t="s">
        <v>7</v>
      </c>
      <c r="HC784" s="27" t="s">
        <v>8</v>
      </c>
      <c r="HD784" s="27" t="s">
        <v>7</v>
      </c>
      <c r="HE784" s="27" t="s">
        <v>8</v>
      </c>
      <c r="HF784" s="27" t="s">
        <v>7</v>
      </c>
      <c r="HI784" s="27" t="s">
        <v>8</v>
      </c>
      <c r="HJ784" s="27" t="s">
        <v>7</v>
      </c>
    </row>
    <row r="785" spans="1:276" x14ac:dyDescent="0.25">
      <c r="A785" s="7">
        <v>1.9822845274763884E-2</v>
      </c>
      <c r="B785"/>
      <c r="C785"/>
      <c r="D785"/>
      <c r="E785"/>
      <c r="F785" s="27" t="s">
        <v>7</v>
      </c>
      <c r="GM785" s="27" t="s">
        <v>8</v>
      </c>
      <c r="GN785" s="27" t="s">
        <v>7</v>
      </c>
      <c r="GO785" s="27" t="s">
        <v>8</v>
      </c>
      <c r="GP785" s="27" t="s">
        <v>7</v>
      </c>
      <c r="GQ785" s="27" t="s">
        <v>8</v>
      </c>
      <c r="HA785" s="27" t="s">
        <v>8</v>
      </c>
      <c r="HB785" s="27" t="s">
        <v>7</v>
      </c>
      <c r="HC785" s="27" t="s">
        <v>8</v>
      </c>
      <c r="HD785" s="27" t="s">
        <v>7</v>
      </c>
      <c r="HE785" s="27" t="s">
        <v>8</v>
      </c>
      <c r="HF785" s="27" t="s">
        <v>7</v>
      </c>
      <c r="HI785" s="27" t="s">
        <v>8</v>
      </c>
      <c r="HJ785" s="27" t="s">
        <v>7</v>
      </c>
      <c r="HK785" s="27" t="s">
        <v>8</v>
      </c>
    </row>
    <row r="786" spans="1:276" x14ac:dyDescent="0.25">
      <c r="A786" s="7">
        <v>1.9434162034082238E-2</v>
      </c>
      <c r="B786"/>
      <c r="C786"/>
      <c r="D786"/>
      <c r="E786"/>
      <c r="F786" s="27" t="s">
        <v>7</v>
      </c>
      <c r="GM786" s="27" t="s">
        <v>8</v>
      </c>
      <c r="GN786" s="27" t="s">
        <v>7</v>
      </c>
      <c r="GO786" s="27" t="s">
        <v>8</v>
      </c>
      <c r="GP786" s="27" t="s">
        <v>7</v>
      </c>
      <c r="GQ786" s="27" t="s">
        <v>8</v>
      </c>
      <c r="GR786" s="27" t="s">
        <v>7</v>
      </c>
      <c r="GS786" s="27" t="s">
        <v>8</v>
      </c>
      <c r="HA786" s="27" t="s">
        <v>8</v>
      </c>
      <c r="HB786" s="27" t="s">
        <v>7</v>
      </c>
      <c r="HC786" s="27" t="s">
        <v>8</v>
      </c>
      <c r="HD786" s="27" t="s">
        <v>7</v>
      </c>
      <c r="HE786" s="27" t="s">
        <v>8</v>
      </c>
      <c r="HF786" s="27" t="s">
        <v>7</v>
      </c>
      <c r="HI786" s="27" t="s">
        <v>8</v>
      </c>
      <c r="HJ786" s="27" t="s">
        <v>7</v>
      </c>
      <c r="HK786" s="27" t="s">
        <v>8</v>
      </c>
      <c r="HL786" s="27" t="s">
        <v>7</v>
      </c>
      <c r="HO786" s="27" t="s">
        <v>8</v>
      </c>
    </row>
    <row r="787" spans="1:276" x14ac:dyDescent="0.25">
      <c r="A787" s="7">
        <v>1.9053100033413959E-2</v>
      </c>
      <c r="B787"/>
      <c r="C787"/>
      <c r="D787"/>
      <c r="E787"/>
      <c r="F787" s="27" t="s">
        <v>7</v>
      </c>
      <c r="GM787" s="27" t="s">
        <v>8</v>
      </c>
      <c r="GN787" s="27" t="s">
        <v>7</v>
      </c>
      <c r="GO787" s="27" t="s">
        <v>8</v>
      </c>
      <c r="GP787" s="27" t="s">
        <v>7</v>
      </c>
      <c r="GQ787" s="27" t="s">
        <v>8</v>
      </c>
      <c r="GR787" s="27" t="s">
        <v>7</v>
      </c>
      <c r="GS787" s="27" t="s">
        <v>8</v>
      </c>
      <c r="GT787" s="27" t="s">
        <v>7</v>
      </c>
      <c r="HA787" s="27" t="s">
        <v>8</v>
      </c>
      <c r="HB787" s="27" t="s">
        <v>7</v>
      </c>
      <c r="HC787" s="27" t="s">
        <v>8</v>
      </c>
      <c r="HD787" s="27" t="s">
        <v>7</v>
      </c>
      <c r="HE787" s="27" t="s">
        <v>8</v>
      </c>
      <c r="HF787" s="27" t="s">
        <v>7</v>
      </c>
      <c r="HI787" s="27" t="s">
        <v>8</v>
      </c>
      <c r="HJ787" s="27" t="s">
        <v>7</v>
      </c>
      <c r="HK787" s="27" t="s">
        <v>8</v>
      </c>
      <c r="HL787" s="27" t="s">
        <v>7</v>
      </c>
      <c r="HO787" s="27" t="s">
        <v>8</v>
      </c>
      <c r="HP787" s="27" t="s">
        <v>7</v>
      </c>
    </row>
    <row r="788" spans="1:276" x14ac:dyDescent="0.25">
      <c r="A788" s="7">
        <v>1.867950983668035E-2</v>
      </c>
      <c r="B788"/>
      <c r="C788"/>
      <c r="D788"/>
      <c r="E788"/>
      <c r="F788" s="27" t="s">
        <v>7</v>
      </c>
      <c r="GM788" s="27" t="s">
        <v>8</v>
      </c>
      <c r="GN788" s="27" t="s">
        <v>7</v>
      </c>
      <c r="GO788" s="27" t="s">
        <v>8</v>
      </c>
      <c r="GP788" s="27" t="s">
        <v>7</v>
      </c>
      <c r="GQ788" s="27" t="s">
        <v>8</v>
      </c>
      <c r="GR788" s="27" t="s">
        <v>7</v>
      </c>
      <c r="GS788" s="27" t="s">
        <v>8</v>
      </c>
      <c r="GT788" s="27" t="s">
        <v>7</v>
      </c>
      <c r="GW788" s="27" t="s">
        <v>8</v>
      </c>
      <c r="GY788" s="27" t="s">
        <v>8</v>
      </c>
      <c r="HA788" s="27" t="s">
        <v>8</v>
      </c>
      <c r="HB788" s="27" t="s">
        <v>7</v>
      </c>
      <c r="HC788" s="27" t="s">
        <v>8</v>
      </c>
      <c r="HD788" s="27" t="s">
        <v>7</v>
      </c>
      <c r="HF788" s="27" t="s">
        <v>7</v>
      </c>
      <c r="HI788" s="27" t="s">
        <v>8</v>
      </c>
      <c r="HJ788" s="27" t="s">
        <v>7</v>
      </c>
      <c r="HK788" s="27" t="s">
        <v>8</v>
      </c>
      <c r="HL788" s="27" t="s">
        <v>7</v>
      </c>
      <c r="HM788" s="27" t="s">
        <v>8</v>
      </c>
      <c r="HO788" s="27" t="s">
        <v>8</v>
      </c>
      <c r="HP788" s="27" t="s">
        <v>7</v>
      </c>
    </row>
    <row r="789" spans="1:276" x14ac:dyDescent="0.25">
      <c r="A789" s="7">
        <v>1.8313244937921913E-2</v>
      </c>
      <c r="B789"/>
      <c r="C789"/>
      <c r="D789"/>
      <c r="E789"/>
      <c r="F789" s="27" t="s">
        <v>7</v>
      </c>
      <c r="GM789" s="27" t="s">
        <v>8</v>
      </c>
      <c r="GN789" s="27" t="s">
        <v>7</v>
      </c>
      <c r="GO789" s="27" t="s">
        <v>8</v>
      </c>
      <c r="GP789" s="27" t="s">
        <v>7</v>
      </c>
      <c r="GQ789" s="27" t="s">
        <v>8</v>
      </c>
      <c r="GR789" s="27" t="s">
        <v>7</v>
      </c>
      <c r="GS789" s="27" t="s">
        <v>8</v>
      </c>
      <c r="GT789" s="27" t="s">
        <v>7</v>
      </c>
      <c r="GW789" s="27" t="s">
        <v>8</v>
      </c>
      <c r="GX789" s="27" t="s">
        <v>7</v>
      </c>
      <c r="GY789" s="27" t="s">
        <v>8</v>
      </c>
      <c r="GZ789" s="27" t="s">
        <v>7</v>
      </c>
      <c r="HA789" s="27" t="s">
        <v>8</v>
      </c>
      <c r="HB789" s="27" t="s">
        <v>7</v>
      </c>
      <c r="HC789" s="27" t="s">
        <v>8</v>
      </c>
      <c r="HF789" s="27" t="s">
        <v>7</v>
      </c>
      <c r="HI789" s="27" t="s">
        <v>8</v>
      </c>
      <c r="HJ789" s="27" t="s">
        <v>7</v>
      </c>
      <c r="HK789" s="27" t="s">
        <v>8</v>
      </c>
      <c r="HL789" s="27" t="s">
        <v>7</v>
      </c>
      <c r="HM789" s="27" t="s">
        <v>8</v>
      </c>
      <c r="HN789" s="27" t="s">
        <v>7</v>
      </c>
      <c r="HO789" s="27" t="s">
        <v>8</v>
      </c>
      <c r="HP789" s="27" t="s">
        <v>7</v>
      </c>
    </row>
    <row r="790" spans="1:276" x14ac:dyDescent="0.25">
      <c r="A790" s="7">
        <v>1.7954161703845013E-2</v>
      </c>
      <c r="B790"/>
      <c r="C790"/>
      <c r="D790"/>
      <c r="E790"/>
      <c r="F790" s="27" t="s">
        <v>7</v>
      </c>
      <c r="GM790" s="27" t="s">
        <v>8</v>
      </c>
      <c r="GN790" s="27" t="s">
        <v>7</v>
      </c>
      <c r="GO790" s="27" t="s">
        <v>8</v>
      </c>
      <c r="GP790" s="27" t="s">
        <v>7</v>
      </c>
      <c r="GQ790" s="27" t="s">
        <v>8</v>
      </c>
      <c r="GR790" s="27" t="s">
        <v>7</v>
      </c>
      <c r="GS790" s="27" t="s">
        <v>8</v>
      </c>
      <c r="GT790" s="27" t="s">
        <v>7</v>
      </c>
      <c r="GW790" s="27" t="s">
        <v>8</v>
      </c>
      <c r="GX790" s="27" t="s">
        <v>7</v>
      </c>
      <c r="GY790" s="27" t="s">
        <v>8</v>
      </c>
      <c r="GZ790" s="27" t="s">
        <v>7</v>
      </c>
      <c r="HA790" s="27" t="s">
        <v>8</v>
      </c>
      <c r="HB790" s="27" t="s">
        <v>7</v>
      </c>
      <c r="HC790" s="27" t="s">
        <v>8</v>
      </c>
      <c r="HF790" s="27" t="s">
        <v>7</v>
      </c>
      <c r="HI790" s="27" t="s">
        <v>8</v>
      </c>
      <c r="HJ790" s="27" t="s">
        <v>7</v>
      </c>
      <c r="HK790" s="27" t="s">
        <v>8</v>
      </c>
      <c r="HL790" s="27" t="s">
        <v>7</v>
      </c>
      <c r="HM790" s="27" t="s">
        <v>8</v>
      </c>
      <c r="HN790" s="27" t="s">
        <v>7</v>
      </c>
      <c r="HO790" s="27" t="s">
        <v>8</v>
      </c>
      <c r="HP790" s="27" t="s">
        <v>7</v>
      </c>
    </row>
    <row r="791" spans="1:276" x14ac:dyDescent="0.25">
      <c r="A791" s="7">
        <v>1.7602119317495109E-2</v>
      </c>
      <c r="B791"/>
      <c r="C791"/>
      <c r="D791"/>
      <c r="E791"/>
      <c r="F791" s="27" t="s">
        <v>7</v>
      </c>
      <c r="GM791" s="27" t="s">
        <v>8</v>
      </c>
      <c r="GN791" s="27" t="s">
        <v>7</v>
      </c>
      <c r="GO791" s="27" t="s">
        <v>8</v>
      </c>
      <c r="GP791" s="27" t="s">
        <v>7</v>
      </c>
      <c r="GQ791" s="27" t="s">
        <v>8</v>
      </c>
      <c r="GR791" s="27" t="s">
        <v>7</v>
      </c>
      <c r="GT791" s="27" t="s">
        <v>7</v>
      </c>
      <c r="GW791" s="27" t="s">
        <v>8</v>
      </c>
      <c r="GX791" s="27" t="s">
        <v>7</v>
      </c>
      <c r="GY791" s="27" t="s">
        <v>8</v>
      </c>
      <c r="GZ791" s="27" t="s">
        <v>7</v>
      </c>
      <c r="HA791" s="27" t="s">
        <v>8</v>
      </c>
      <c r="HB791" s="27" t="s">
        <v>7</v>
      </c>
      <c r="HC791" s="27" t="s">
        <v>8</v>
      </c>
      <c r="HF791" s="27" t="s">
        <v>7</v>
      </c>
      <c r="HI791" s="27" t="s">
        <v>8</v>
      </c>
      <c r="HJ791" s="27" t="s">
        <v>7</v>
      </c>
      <c r="HK791" s="27" t="s">
        <v>8</v>
      </c>
      <c r="HL791" s="27" t="s">
        <v>7</v>
      </c>
      <c r="HM791" s="27" t="s">
        <v>8</v>
      </c>
      <c r="HN791" s="27" t="s">
        <v>7</v>
      </c>
      <c r="HO791" s="27" t="s">
        <v>8</v>
      </c>
      <c r="HP791" s="27" t="s">
        <v>7</v>
      </c>
    </row>
    <row r="792" spans="1:276" x14ac:dyDescent="0.25">
      <c r="A792" s="7">
        <v>1.7256979723034419E-2</v>
      </c>
      <c r="B792"/>
      <c r="C792"/>
      <c r="D792"/>
      <c r="E792"/>
      <c r="F792" s="27" t="s">
        <v>7</v>
      </c>
      <c r="GM792" s="27" t="s">
        <v>8</v>
      </c>
      <c r="GN792" s="27" t="s">
        <v>7</v>
      </c>
      <c r="GO792" s="27" t="s">
        <v>8</v>
      </c>
      <c r="GP792" s="27" t="s">
        <v>7</v>
      </c>
      <c r="GQ792" s="27" t="s">
        <v>8</v>
      </c>
      <c r="GT792" s="27" t="s">
        <v>7</v>
      </c>
      <c r="GW792" s="27" t="s">
        <v>8</v>
      </c>
      <c r="GX792" s="27" t="s">
        <v>7</v>
      </c>
      <c r="GY792" s="27" t="s">
        <v>8</v>
      </c>
      <c r="GZ792" s="27" t="s">
        <v>7</v>
      </c>
      <c r="HA792" s="27" t="s">
        <v>8</v>
      </c>
      <c r="HB792" s="27" t="s">
        <v>7</v>
      </c>
      <c r="HF792" s="27" t="s">
        <v>7</v>
      </c>
      <c r="HG792" s="27" t="s">
        <v>8</v>
      </c>
      <c r="HI792" s="27" t="s">
        <v>8</v>
      </c>
      <c r="HJ792" s="27" t="s">
        <v>7</v>
      </c>
      <c r="HL792" s="27" t="s">
        <v>7</v>
      </c>
      <c r="HM792" s="27" t="s">
        <v>8</v>
      </c>
      <c r="HN792" s="27" t="s">
        <v>7</v>
      </c>
      <c r="HO792" s="27" t="s">
        <v>8</v>
      </c>
      <c r="HP792" s="27" t="s">
        <v>7</v>
      </c>
    </row>
    <row r="793" spans="1:276" x14ac:dyDescent="0.25">
      <c r="A793" s="7">
        <v>1.6918607571602372E-2</v>
      </c>
      <c r="B793"/>
      <c r="C793"/>
      <c r="D793"/>
      <c r="E793"/>
      <c r="F793" s="27" t="s">
        <v>7</v>
      </c>
      <c r="GM793" s="27" t="s">
        <v>8</v>
      </c>
      <c r="GN793" s="27" t="s">
        <v>7</v>
      </c>
      <c r="GO793" s="27" t="s">
        <v>8</v>
      </c>
      <c r="GP793" s="27" t="s">
        <v>7</v>
      </c>
      <c r="GQ793" s="27" t="s">
        <v>8</v>
      </c>
      <c r="GT793" s="27" t="s">
        <v>7</v>
      </c>
      <c r="GU793" s="27" t="s">
        <v>8</v>
      </c>
      <c r="GW793" s="27" t="s">
        <v>8</v>
      </c>
      <c r="GX793" s="27" t="s">
        <v>7</v>
      </c>
      <c r="GY793" s="27" t="s">
        <v>8</v>
      </c>
      <c r="GZ793" s="27" t="s">
        <v>7</v>
      </c>
      <c r="HA793" s="27" t="s">
        <v>8</v>
      </c>
      <c r="HF793" s="27" t="s">
        <v>7</v>
      </c>
      <c r="HG793" s="27" t="s">
        <v>8</v>
      </c>
      <c r="HH793" s="27" t="s">
        <v>7</v>
      </c>
      <c r="HI793" s="27" t="s">
        <v>8</v>
      </c>
      <c r="HL793" s="27" t="s">
        <v>7</v>
      </c>
      <c r="HM793" s="27" t="s">
        <v>8</v>
      </c>
      <c r="HN793" s="27" t="s">
        <v>7</v>
      </c>
      <c r="HO793" s="27" t="s">
        <v>8</v>
      </c>
      <c r="HP793" s="27" t="s">
        <v>7</v>
      </c>
      <c r="JO793" s="27" t="s">
        <v>8</v>
      </c>
    </row>
    <row r="794" spans="1:276" x14ac:dyDescent="0.25">
      <c r="A794" s="7">
        <v>1.6586870168237622E-2</v>
      </c>
      <c r="B794"/>
      <c r="C794"/>
      <c r="D794"/>
      <c r="E794"/>
      <c r="F794" s="27" t="s">
        <v>7</v>
      </c>
      <c r="GM794" s="27" t="s">
        <v>8</v>
      </c>
      <c r="GN794" s="27" t="s">
        <v>7</v>
      </c>
      <c r="GO794" s="27" t="s">
        <v>8</v>
      </c>
      <c r="GP794" s="27" t="s">
        <v>7</v>
      </c>
      <c r="GQ794" s="27" t="s">
        <v>8</v>
      </c>
      <c r="GT794" s="27" t="s">
        <v>7</v>
      </c>
      <c r="GU794" s="27" t="s">
        <v>8</v>
      </c>
      <c r="GV794" s="27" t="s">
        <v>7</v>
      </c>
      <c r="GW794" s="27" t="s">
        <v>8</v>
      </c>
      <c r="GX794" s="27" t="s">
        <v>7</v>
      </c>
      <c r="GY794" s="27" t="s">
        <v>8</v>
      </c>
      <c r="GZ794" s="27" t="s">
        <v>7</v>
      </c>
      <c r="HA794" s="27" t="s">
        <v>8</v>
      </c>
      <c r="HF794" s="27" t="s">
        <v>7</v>
      </c>
      <c r="HG794" s="27" t="s">
        <v>8</v>
      </c>
      <c r="HH794" s="27" t="s">
        <v>7</v>
      </c>
      <c r="HI794" s="27" t="s">
        <v>8</v>
      </c>
      <c r="HL794" s="27" t="s">
        <v>7</v>
      </c>
      <c r="HM794" s="27" t="s">
        <v>8</v>
      </c>
      <c r="HN794" s="27" t="s">
        <v>7</v>
      </c>
      <c r="HP794" s="27" t="s">
        <v>7</v>
      </c>
      <c r="HQ794" s="27" t="s">
        <v>8</v>
      </c>
      <c r="JO794" s="27" t="s">
        <v>8</v>
      </c>
      <c r="JP794" s="27" t="s">
        <v>7</v>
      </c>
    </row>
    <row r="795" spans="1:276" x14ac:dyDescent="0.25">
      <c r="A795" s="7">
        <v>1.6261637419840807E-2</v>
      </c>
      <c r="B795"/>
      <c r="C795"/>
      <c r="D795"/>
      <c r="E795"/>
      <c r="F795" s="27" t="s">
        <v>7</v>
      </c>
      <c r="GM795" s="27" t="s">
        <v>8</v>
      </c>
      <c r="GN795" s="27" t="s">
        <v>7</v>
      </c>
      <c r="GO795" s="27" t="s">
        <v>8</v>
      </c>
      <c r="GP795" s="27" t="s">
        <v>7</v>
      </c>
      <c r="GT795" s="27" t="s">
        <v>7</v>
      </c>
      <c r="GU795" s="27" t="s">
        <v>8</v>
      </c>
      <c r="GV795" s="27" t="s">
        <v>7</v>
      </c>
      <c r="GW795" s="27" t="s">
        <v>8</v>
      </c>
      <c r="GX795" s="27" t="s">
        <v>7</v>
      </c>
      <c r="GY795" s="27" t="s">
        <v>8</v>
      </c>
      <c r="GZ795" s="27" t="s">
        <v>7</v>
      </c>
      <c r="HA795" s="27" t="s">
        <v>8</v>
      </c>
      <c r="HF795" s="27" t="s">
        <v>7</v>
      </c>
      <c r="HG795" s="27" t="s">
        <v>8</v>
      </c>
      <c r="HH795" s="27" t="s">
        <v>7</v>
      </c>
      <c r="HI795" s="27" t="s">
        <v>8</v>
      </c>
      <c r="HL795" s="27" t="s">
        <v>7</v>
      </c>
      <c r="HP795" s="27" t="s">
        <v>7</v>
      </c>
      <c r="HQ795" s="27" t="s">
        <v>8</v>
      </c>
      <c r="HR795" s="27" t="s">
        <v>7</v>
      </c>
      <c r="JO795" s="27" t="s">
        <v>8</v>
      </c>
      <c r="JP795" s="27" t="s">
        <v>7</v>
      </c>
    </row>
    <row r="796" spans="1:276" x14ac:dyDescent="0.25">
      <c r="A796" s="7">
        <v>1.5942781784157655E-2</v>
      </c>
      <c r="B796"/>
      <c r="C796"/>
      <c r="D796"/>
      <c r="E796"/>
      <c r="F796" s="27" t="s">
        <v>7</v>
      </c>
      <c r="GM796" s="27" t="s">
        <v>8</v>
      </c>
      <c r="GN796" s="27" t="s">
        <v>7</v>
      </c>
      <c r="GO796" s="27" t="s">
        <v>8</v>
      </c>
      <c r="GT796" s="27" t="s">
        <v>7</v>
      </c>
      <c r="GU796" s="27" t="s">
        <v>8</v>
      </c>
      <c r="GV796" s="27" t="s">
        <v>7</v>
      </c>
      <c r="GW796" s="27" t="s">
        <v>8</v>
      </c>
      <c r="GX796" s="27" t="s">
        <v>7</v>
      </c>
      <c r="GY796" s="27" t="s">
        <v>8</v>
      </c>
      <c r="GZ796" s="27" t="s">
        <v>7</v>
      </c>
      <c r="HA796" s="27" t="s">
        <v>8</v>
      </c>
      <c r="HF796" s="27" t="s">
        <v>7</v>
      </c>
      <c r="HG796" s="27" t="s">
        <v>8</v>
      </c>
      <c r="HH796" s="27" t="s">
        <v>7</v>
      </c>
      <c r="HI796" s="27" t="s">
        <v>8</v>
      </c>
      <c r="HP796" s="27" t="s">
        <v>7</v>
      </c>
      <c r="HQ796" s="27" t="s">
        <v>8</v>
      </c>
      <c r="HR796" s="27" t="s">
        <v>7</v>
      </c>
      <c r="JO796" s="27" t="s">
        <v>8</v>
      </c>
      <c r="JP796" s="27" t="s">
        <v>7</v>
      </c>
    </row>
    <row r="797" spans="1:276" x14ac:dyDescent="0.25">
      <c r="A797" s="7">
        <v>1.5630178219762408E-2</v>
      </c>
      <c r="B797"/>
      <c r="C797"/>
      <c r="D797"/>
      <c r="E797"/>
      <c r="F797" s="27" t="s">
        <v>7</v>
      </c>
      <c r="GM797" s="27" t="s">
        <v>8</v>
      </c>
      <c r="GN797" s="27" t="s">
        <v>7</v>
      </c>
      <c r="GT797" s="27" t="s">
        <v>7</v>
      </c>
      <c r="GU797" s="27" t="s">
        <v>8</v>
      </c>
      <c r="GV797" s="27" t="s">
        <v>7</v>
      </c>
      <c r="GW797" s="27" t="s">
        <v>8</v>
      </c>
      <c r="GX797" s="27" t="s">
        <v>7</v>
      </c>
      <c r="GY797" s="27" t="s">
        <v>8</v>
      </c>
      <c r="GZ797" s="27" t="s">
        <v>7</v>
      </c>
      <c r="HA797" s="27" t="s">
        <v>8</v>
      </c>
      <c r="HF797" s="27" t="s">
        <v>7</v>
      </c>
      <c r="HG797" s="27" t="s">
        <v>8</v>
      </c>
      <c r="HH797" s="27" t="s">
        <v>7</v>
      </c>
      <c r="HI797" s="27" t="s">
        <v>8</v>
      </c>
      <c r="HP797" s="27" t="s">
        <v>7</v>
      </c>
      <c r="HQ797" s="27" t="s">
        <v>8</v>
      </c>
      <c r="HR797" s="27" t="s">
        <v>7</v>
      </c>
      <c r="JO797" s="27" t="s">
        <v>8</v>
      </c>
      <c r="JP797" s="27" t="s">
        <v>7</v>
      </c>
    </row>
    <row r="798" spans="1:276" x14ac:dyDescent="0.25">
      <c r="A798" s="7">
        <v>1.5323704137021967E-2</v>
      </c>
      <c r="B798"/>
      <c r="C798"/>
      <c r="D798"/>
      <c r="E798"/>
      <c r="F798" s="27" t="s">
        <v>7</v>
      </c>
      <c r="GM798" s="27" t="s">
        <v>8</v>
      </c>
      <c r="GT798" s="27" t="s">
        <v>7</v>
      </c>
      <c r="GU798" s="27" t="s">
        <v>8</v>
      </c>
      <c r="GV798" s="27" t="s">
        <v>7</v>
      </c>
      <c r="GW798" s="27" t="s">
        <v>8</v>
      </c>
      <c r="GX798" s="27" t="s">
        <v>7</v>
      </c>
      <c r="GY798" s="27" t="s">
        <v>8</v>
      </c>
      <c r="GZ798" s="27" t="s">
        <v>7</v>
      </c>
      <c r="HA798" s="27" t="s">
        <v>8</v>
      </c>
      <c r="HF798" s="27" t="s">
        <v>7</v>
      </c>
      <c r="HG798" s="27" t="s">
        <v>8</v>
      </c>
      <c r="HH798" s="27" t="s">
        <v>7</v>
      </c>
      <c r="HI798" s="27" t="s">
        <v>8</v>
      </c>
      <c r="HP798" s="27" t="s">
        <v>7</v>
      </c>
      <c r="HQ798" s="27" t="s">
        <v>8</v>
      </c>
      <c r="HR798" s="27" t="s">
        <v>7</v>
      </c>
      <c r="JO798" s="27" t="s">
        <v>8</v>
      </c>
      <c r="JP798" s="27" t="s">
        <v>7</v>
      </c>
    </row>
    <row r="799" spans="1:276" x14ac:dyDescent="0.25">
      <c r="A799" s="7">
        <v>1.5023239350021535E-2</v>
      </c>
      <c r="B799"/>
      <c r="C799"/>
      <c r="D799"/>
      <c r="E799"/>
      <c r="F799" s="27" t="s">
        <v>7</v>
      </c>
      <c r="GM799" s="27" t="s">
        <v>8</v>
      </c>
      <c r="GT799" s="27" t="s">
        <v>7</v>
      </c>
      <c r="GU799" s="27" t="s">
        <v>8</v>
      </c>
      <c r="GV799" s="27" t="s">
        <v>7</v>
      </c>
      <c r="GW799" s="27" t="s">
        <v>8</v>
      </c>
      <c r="GX799" s="27" t="s">
        <v>7</v>
      </c>
      <c r="GY799" s="27" t="s">
        <v>8</v>
      </c>
      <c r="GZ799" s="27" t="s">
        <v>7</v>
      </c>
      <c r="HF799" s="27" t="s">
        <v>7</v>
      </c>
      <c r="HG799" s="27" t="s">
        <v>8</v>
      </c>
      <c r="HH799" s="27" t="s">
        <v>7</v>
      </c>
      <c r="HI799" s="27" t="s">
        <v>8</v>
      </c>
      <c r="HP799" s="27" t="s">
        <v>7</v>
      </c>
      <c r="HQ799" s="27" t="s">
        <v>8</v>
      </c>
      <c r="HR799" s="27" t="s">
        <v>7</v>
      </c>
      <c r="HS799" s="27" t="s">
        <v>8</v>
      </c>
      <c r="IG799" s="27" t="s">
        <v>8</v>
      </c>
      <c r="JO799" s="27" t="s">
        <v>8</v>
      </c>
      <c r="JP799" s="27" t="s">
        <v>7</v>
      </c>
    </row>
    <row r="800" spans="1:276" x14ac:dyDescent="0.25">
      <c r="A800" s="7">
        <v>1.4728666029432878E-2</v>
      </c>
      <c r="B800"/>
      <c r="C800"/>
      <c r="D800"/>
      <c r="E800"/>
      <c r="F800" s="27" t="s">
        <v>7</v>
      </c>
      <c r="GM800" s="27" t="s">
        <v>8</v>
      </c>
      <c r="GT800" s="27" t="s">
        <v>7</v>
      </c>
      <c r="GU800" s="27" t="s">
        <v>8</v>
      </c>
      <c r="GV800" s="27" t="s">
        <v>7</v>
      </c>
      <c r="GW800" s="27" t="s">
        <v>8</v>
      </c>
      <c r="GX800" s="27" t="s">
        <v>7</v>
      </c>
      <c r="GY800" s="27" t="s">
        <v>8</v>
      </c>
      <c r="HF800" s="27" t="s">
        <v>7</v>
      </c>
      <c r="HG800" s="27" t="s">
        <v>8</v>
      </c>
      <c r="HH800" s="27" t="s">
        <v>7</v>
      </c>
      <c r="HI800" s="27" t="s">
        <v>8</v>
      </c>
      <c r="HP800" s="27" t="s">
        <v>7</v>
      </c>
      <c r="HR800" s="27" t="s">
        <v>7</v>
      </c>
      <c r="HS800" s="27" t="s">
        <v>8</v>
      </c>
      <c r="HT800" s="27" t="s">
        <v>7</v>
      </c>
      <c r="IG800" s="27" t="s">
        <v>8</v>
      </c>
      <c r="IH800" s="27" t="s">
        <v>7</v>
      </c>
      <c r="JO800" s="27" t="s">
        <v>8</v>
      </c>
      <c r="JP800" s="27" t="s">
        <v>7</v>
      </c>
    </row>
    <row r="801" spans="1:330" x14ac:dyDescent="0.25">
      <c r="A801" s="7">
        <v>1.4439868656306743E-2</v>
      </c>
      <c r="B801"/>
      <c r="C801"/>
      <c r="D801"/>
      <c r="E801"/>
      <c r="F801" s="27" t="s">
        <v>7</v>
      </c>
      <c r="GM801" s="27" t="s">
        <v>8</v>
      </c>
      <c r="GT801" s="27" t="s">
        <v>7</v>
      </c>
      <c r="GU801" s="27" t="s">
        <v>8</v>
      </c>
      <c r="GV801" s="27" t="s">
        <v>7</v>
      </c>
      <c r="GX801" s="27" t="s">
        <v>7</v>
      </c>
      <c r="GY801" s="27" t="s">
        <v>8</v>
      </c>
      <c r="HF801" s="27" t="s">
        <v>7</v>
      </c>
      <c r="HG801" s="27" t="s">
        <v>8</v>
      </c>
      <c r="HH801" s="27" t="s">
        <v>7</v>
      </c>
      <c r="HI801" s="27" t="s">
        <v>8</v>
      </c>
      <c r="HR801" s="27" t="s">
        <v>7</v>
      </c>
      <c r="HS801" s="27" t="s">
        <v>8</v>
      </c>
      <c r="HT801" s="27" t="s">
        <v>7</v>
      </c>
      <c r="HW801" s="27" t="s">
        <v>8</v>
      </c>
      <c r="IG801" s="27" t="s">
        <v>8</v>
      </c>
      <c r="IH801" s="27" t="s">
        <v>7</v>
      </c>
      <c r="JO801" s="27" t="s">
        <v>8</v>
      </c>
      <c r="JP801" s="27" t="s">
        <v>7</v>
      </c>
    </row>
    <row r="802" spans="1:330" x14ac:dyDescent="0.25">
      <c r="A802" s="7">
        <v>1.4156733976771318E-2</v>
      </c>
      <c r="B802"/>
      <c r="C802"/>
      <c r="D802"/>
      <c r="E802"/>
      <c r="F802" s="27" t="s">
        <v>7</v>
      </c>
      <c r="GM802" s="27" t="s">
        <v>8</v>
      </c>
      <c r="GT802" s="27" t="s">
        <v>7</v>
      </c>
      <c r="GU802" s="27" t="s">
        <v>8</v>
      </c>
      <c r="GX802" s="27" t="s">
        <v>7</v>
      </c>
      <c r="HF802" s="27" t="s">
        <v>7</v>
      </c>
      <c r="HG802" s="27" t="s">
        <v>8</v>
      </c>
      <c r="HH802" s="27" t="s">
        <v>7</v>
      </c>
      <c r="HI802" s="27" t="s">
        <v>8</v>
      </c>
      <c r="HR802" s="27" t="s">
        <v>7</v>
      </c>
      <c r="HS802" s="27" t="s">
        <v>8</v>
      </c>
      <c r="HT802" s="27" t="s">
        <v>7</v>
      </c>
      <c r="HW802" s="27" t="s">
        <v>8</v>
      </c>
      <c r="HX802" s="27" t="s">
        <v>7</v>
      </c>
      <c r="IG802" s="27" t="s">
        <v>8</v>
      </c>
      <c r="IH802" s="27" t="s">
        <v>7</v>
      </c>
      <c r="JO802" s="27" t="s">
        <v>8</v>
      </c>
      <c r="JP802" s="27" t="s">
        <v>7</v>
      </c>
      <c r="JQ802" s="27" t="s">
        <v>8</v>
      </c>
    </row>
    <row r="803" spans="1:330" x14ac:dyDescent="0.25">
      <c r="A803" s="7">
        <v>1.3879150957618939E-2</v>
      </c>
      <c r="B803"/>
      <c r="C803"/>
      <c r="D803"/>
      <c r="E803"/>
      <c r="F803" s="27" t="s">
        <v>7</v>
      </c>
      <c r="GM803" s="27" t="s">
        <v>8</v>
      </c>
      <c r="GT803" s="27" t="s">
        <v>7</v>
      </c>
      <c r="GU803" s="27" t="s">
        <v>8</v>
      </c>
      <c r="HF803" s="27" t="s">
        <v>7</v>
      </c>
      <c r="HG803" s="27" t="s">
        <v>8</v>
      </c>
      <c r="HH803" s="27" t="s">
        <v>7</v>
      </c>
      <c r="HI803" s="27" t="s">
        <v>8</v>
      </c>
      <c r="HR803" s="27" t="s">
        <v>7</v>
      </c>
      <c r="HS803" s="27" t="s">
        <v>8</v>
      </c>
      <c r="HT803" s="27" t="s">
        <v>7</v>
      </c>
      <c r="HW803" s="27" t="s">
        <v>8</v>
      </c>
      <c r="HX803" s="27" t="s">
        <v>7</v>
      </c>
      <c r="IG803" s="27" t="s">
        <v>8</v>
      </c>
      <c r="IH803" s="27" t="s">
        <v>7</v>
      </c>
      <c r="JO803" s="27" t="s">
        <v>8</v>
      </c>
      <c r="JP803" s="27" t="s">
        <v>7</v>
      </c>
      <c r="JQ803" s="27" t="s">
        <v>8</v>
      </c>
      <c r="JR803" s="27" t="s">
        <v>7</v>
      </c>
    </row>
    <row r="804" spans="1:330" x14ac:dyDescent="0.25">
      <c r="A804" s="7">
        <v>1.3607010742763666E-2</v>
      </c>
      <c r="B804"/>
      <c r="C804"/>
      <c r="D804"/>
      <c r="E804"/>
      <c r="F804" s="27" t="s">
        <v>7</v>
      </c>
      <c r="GM804" s="27" t="s">
        <v>8</v>
      </c>
      <c r="GT804" s="27" t="s">
        <v>7</v>
      </c>
      <c r="GU804" s="27" t="s">
        <v>8</v>
      </c>
      <c r="HF804" s="27" t="s">
        <v>7</v>
      </c>
      <c r="HG804" s="27" t="s">
        <v>8</v>
      </c>
      <c r="HH804" s="27" t="s">
        <v>7</v>
      </c>
      <c r="HR804" s="27" t="s">
        <v>7</v>
      </c>
      <c r="HS804" s="27" t="s">
        <v>8</v>
      </c>
      <c r="HT804" s="27" t="s">
        <v>7</v>
      </c>
      <c r="HW804" s="27" t="s">
        <v>8</v>
      </c>
      <c r="HX804" s="27" t="s">
        <v>7</v>
      </c>
      <c r="IG804" s="27" t="s">
        <v>8</v>
      </c>
      <c r="IH804" s="27" t="s">
        <v>7</v>
      </c>
      <c r="JO804" s="27" t="s">
        <v>8</v>
      </c>
      <c r="JP804" s="27" t="s">
        <v>7</v>
      </c>
      <c r="JQ804" s="27" t="s">
        <v>8</v>
      </c>
      <c r="JR804" s="27" t="s">
        <v>7</v>
      </c>
      <c r="JS804" s="27" t="s">
        <v>8</v>
      </c>
    </row>
    <row r="805" spans="1:330" x14ac:dyDescent="0.25">
      <c r="A805" s="7">
        <v>1.3340206610552614E-2</v>
      </c>
      <c r="B805"/>
      <c r="C805"/>
      <c r="D805"/>
      <c r="E805"/>
      <c r="F805" s="27" t="s">
        <v>7</v>
      </c>
      <c r="GK805" s="27" t="s">
        <v>8</v>
      </c>
      <c r="GM805" s="27" t="s">
        <v>8</v>
      </c>
      <c r="GT805" s="27" t="s">
        <v>7</v>
      </c>
      <c r="HF805" s="27" t="s">
        <v>7</v>
      </c>
      <c r="HG805" s="27" t="s">
        <v>8</v>
      </c>
      <c r="HR805" s="27" t="s">
        <v>7</v>
      </c>
      <c r="HS805" s="27" t="s">
        <v>8</v>
      </c>
      <c r="HT805" s="27" t="s">
        <v>7</v>
      </c>
      <c r="HW805" s="27" t="s">
        <v>8</v>
      </c>
      <c r="HX805" s="27" t="s">
        <v>7</v>
      </c>
      <c r="IG805" s="27" t="s">
        <v>8</v>
      </c>
      <c r="IH805" s="27" t="s">
        <v>7</v>
      </c>
      <c r="JO805" s="27" t="s">
        <v>8</v>
      </c>
      <c r="JP805" s="27" t="s">
        <v>7</v>
      </c>
      <c r="JQ805" s="27" t="s">
        <v>8</v>
      </c>
      <c r="JR805" s="27" t="s">
        <v>7</v>
      </c>
      <c r="JS805" s="27" t="s">
        <v>8</v>
      </c>
      <c r="JT805" s="27" t="s">
        <v>7</v>
      </c>
    </row>
    <row r="806" spans="1:330" x14ac:dyDescent="0.25">
      <c r="A806" s="7">
        <v>1.3078633931914328E-2</v>
      </c>
      <c r="B806"/>
      <c r="C806"/>
      <c r="D806"/>
      <c r="E806"/>
      <c r="F806" s="27" t="s">
        <v>7</v>
      </c>
      <c r="GK806" s="27" t="s">
        <v>8</v>
      </c>
      <c r="GL806" s="27" t="s">
        <v>7</v>
      </c>
      <c r="GM806" s="27" t="s">
        <v>8</v>
      </c>
      <c r="HF806" s="27" t="s">
        <v>7</v>
      </c>
      <c r="HG806" s="27" t="s">
        <v>8</v>
      </c>
      <c r="HR806" s="27" t="s">
        <v>7</v>
      </c>
      <c r="HS806" s="27" t="s">
        <v>8</v>
      </c>
      <c r="HT806" s="27" t="s">
        <v>7</v>
      </c>
      <c r="HW806" s="27" t="s">
        <v>8</v>
      </c>
      <c r="HX806" s="27" t="s">
        <v>7</v>
      </c>
      <c r="IG806" s="27" t="s">
        <v>8</v>
      </c>
      <c r="IH806" s="27" t="s">
        <v>7</v>
      </c>
      <c r="JO806" s="27" t="s">
        <v>8</v>
      </c>
      <c r="JP806" s="27" t="s">
        <v>7</v>
      </c>
      <c r="JQ806" s="27" t="s">
        <v>8</v>
      </c>
      <c r="JR806" s="27" t="s">
        <v>7</v>
      </c>
      <c r="JS806" s="27" t="s">
        <v>8</v>
      </c>
      <c r="JT806" s="27" t="s">
        <v>7</v>
      </c>
      <c r="JY806" s="27" t="s">
        <v>8</v>
      </c>
      <c r="KA806" s="27" t="s">
        <v>8</v>
      </c>
    </row>
    <row r="807" spans="1:330" x14ac:dyDescent="0.25">
      <c r="A807" s="7">
        <v>1.2822190129327771E-2</v>
      </c>
      <c r="B807"/>
      <c r="C807"/>
      <c r="D807"/>
      <c r="E807"/>
      <c r="F807" s="27" t="s">
        <v>7</v>
      </c>
      <c r="GK807" s="27" t="s">
        <v>8</v>
      </c>
      <c r="GL807" s="27" t="s">
        <v>7</v>
      </c>
      <c r="GM807" s="27" t="s">
        <v>8</v>
      </c>
      <c r="HF807" s="27" t="s">
        <v>7</v>
      </c>
      <c r="HG807" s="27" t="s">
        <v>8</v>
      </c>
      <c r="HR807" s="27" t="s">
        <v>7</v>
      </c>
      <c r="HS807" s="27" t="s">
        <v>8</v>
      </c>
      <c r="HT807" s="27" t="s">
        <v>7</v>
      </c>
      <c r="HU807" s="27" t="s">
        <v>8</v>
      </c>
      <c r="HW807" s="27" t="s">
        <v>8</v>
      </c>
      <c r="HX807" s="27" t="s">
        <v>7</v>
      </c>
      <c r="IG807" s="27" t="s">
        <v>8</v>
      </c>
      <c r="IH807" s="27" t="s">
        <v>7</v>
      </c>
      <c r="JO807" s="27" t="s">
        <v>8</v>
      </c>
      <c r="JP807" s="27" t="s">
        <v>7</v>
      </c>
      <c r="JQ807" s="27" t="s">
        <v>8</v>
      </c>
      <c r="JR807" s="27" t="s">
        <v>7</v>
      </c>
      <c r="JT807" s="27" t="s">
        <v>7</v>
      </c>
      <c r="JY807" s="27" t="s">
        <v>8</v>
      </c>
      <c r="JZ807" s="27" t="s">
        <v>7</v>
      </c>
      <c r="KA807" s="27" t="s">
        <v>8</v>
      </c>
      <c r="KB807" s="27" t="s">
        <v>7</v>
      </c>
      <c r="LG807" s="27" t="s">
        <v>8</v>
      </c>
      <c r="LQ807" s="27" t="s">
        <v>8</v>
      </c>
    </row>
    <row r="808" spans="1:330" x14ac:dyDescent="0.25">
      <c r="A808" s="7">
        <v>1.2570774636595854E-2</v>
      </c>
      <c r="B808"/>
      <c r="C808"/>
      <c r="D808"/>
      <c r="E808"/>
      <c r="F808" s="27" t="s">
        <v>7</v>
      </c>
      <c r="GK808" s="27" t="s">
        <v>8</v>
      </c>
      <c r="GL808" s="27" t="s">
        <v>7</v>
      </c>
      <c r="GM808" s="27" t="s">
        <v>8</v>
      </c>
      <c r="HF808" s="27" t="s">
        <v>7</v>
      </c>
      <c r="HG808" s="27" t="s">
        <v>8</v>
      </c>
      <c r="HR808" s="27" t="s">
        <v>7</v>
      </c>
      <c r="HS808" s="27" t="s">
        <v>8</v>
      </c>
      <c r="HT808" s="27" t="s">
        <v>7</v>
      </c>
      <c r="HU808" s="27" t="s">
        <v>8</v>
      </c>
      <c r="HV808" s="27" t="s">
        <v>7</v>
      </c>
      <c r="HW808" s="27" t="s">
        <v>8</v>
      </c>
      <c r="HX808" s="27" t="s">
        <v>7</v>
      </c>
      <c r="IG808" s="27" t="s">
        <v>8</v>
      </c>
      <c r="IH808" s="27" t="s">
        <v>7</v>
      </c>
      <c r="JO808" s="27" t="s">
        <v>8</v>
      </c>
      <c r="JP808" s="27" t="s">
        <v>7</v>
      </c>
      <c r="JQ808" s="27" t="s">
        <v>8</v>
      </c>
      <c r="JT808" s="27" t="s">
        <v>7</v>
      </c>
      <c r="JY808" s="27" t="s">
        <v>8</v>
      </c>
      <c r="JZ808" s="27" t="s">
        <v>7</v>
      </c>
      <c r="KA808" s="27" t="s">
        <v>8</v>
      </c>
      <c r="KB808" s="27" t="s">
        <v>7</v>
      </c>
      <c r="LG808" s="27" t="s">
        <v>8</v>
      </c>
      <c r="LH808" s="27" t="s">
        <v>7</v>
      </c>
      <c r="LI808" s="27" t="s">
        <v>8</v>
      </c>
      <c r="LQ808" s="27" t="s">
        <v>8</v>
      </c>
      <c r="LR808" s="27" t="s">
        <v>7</v>
      </c>
    </row>
    <row r="809" spans="1:330" x14ac:dyDescent="0.25">
      <c r="A809" s="7">
        <v>1.23242888594077E-2</v>
      </c>
      <c r="B809"/>
      <c r="C809"/>
      <c r="D809"/>
      <c r="E809"/>
      <c r="F809" s="27" t="s">
        <v>7</v>
      </c>
      <c r="GK809" s="27" t="s">
        <v>8</v>
      </c>
      <c r="GL809" s="27" t="s">
        <v>7</v>
      </c>
      <c r="GM809" s="27" t="s">
        <v>8</v>
      </c>
      <c r="HF809" s="27" t="s">
        <v>7</v>
      </c>
      <c r="HG809" s="27" t="s">
        <v>8</v>
      </c>
      <c r="HR809" s="27" t="s">
        <v>7</v>
      </c>
      <c r="HS809" s="27" t="s">
        <v>8</v>
      </c>
      <c r="HT809" s="27" t="s">
        <v>7</v>
      </c>
      <c r="HU809" s="27" t="s">
        <v>8</v>
      </c>
      <c r="HV809" s="27" t="s">
        <v>7</v>
      </c>
      <c r="HW809" s="27" t="s">
        <v>8</v>
      </c>
      <c r="HX809" s="27" t="s">
        <v>7</v>
      </c>
      <c r="IG809" s="27" t="s">
        <v>8</v>
      </c>
      <c r="IH809" s="27" t="s">
        <v>7</v>
      </c>
      <c r="JO809" s="27" t="s">
        <v>8</v>
      </c>
      <c r="JP809" s="27" t="s">
        <v>7</v>
      </c>
      <c r="JQ809" s="27" t="s">
        <v>8</v>
      </c>
      <c r="JT809" s="27" t="s">
        <v>7</v>
      </c>
      <c r="JY809" s="27" t="s">
        <v>8</v>
      </c>
      <c r="JZ809" s="27" t="s">
        <v>7</v>
      </c>
      <c r="KA809" s="27" t="s">
        <v>8</v>
      </c>
      <c r="KB809" s="27" t="s">
        <v>7</v>
      </c>
      <c r="LG809" s="27" t="s">
        <v>8</v>
      </c>
      <c r="LH809" s="27" t="s">
        <v>7</v>
      </c>
      <c r="LI809" s="27" t="s">
        <v>8</v>
      </c>
      <c r="LJ809" s="27" t="s">
        <v>7</v>
      </c>
      <c r="LQ809" s="27" t="s">
        <v>8</v>
      </c>
      <c r="LR809" s="27" t="s">
        <v>7</v>
      </c>
    </row>
    <row r="810" spans="1:330" x14ac:dyDescent="0.25">
      <c r="A810" s="7">
        <v>1.2082636136674216E-2</v>
      </c>
      <c r="B810"/>
      <c r="C810"/>
      <c r="D810"/>
      <c r="E810"/>
      <c r="F810" s="27" t="s">
        <v>7</v>
      </c>
      <c r="GK810" s="27" t="s">
        <v>8</v>
      </c>
      <c r="GL810" s="27" t="s">
        <v>7</v>
      </c>
      <c r="GM810" s="27" t="s">
        <v>8</v>
      </c>
      <c r="HF810" s="27" t="s">
        <v>7</v>
      </c>
      <c r="HG810" s="27" t="s">
        <v>8</v>
      </c>
      <c r="HR810" s="27" t="s">
        <v>7</v>
      </c>
      <c r="HT810" s="27" t="s">
        <v>7</v>
      </c>
      <c r="HU810" s="27" t="s">
        <v>8</v>
      </c>
      <c r="HV810" s="27" t="s">
        <v>7</v>
      </c>
      <c r="HW810" s="27" t="s">
        <v>8</v>
      </c>
      <c r="HX810" s="27" t="s">
        <v>7</v>
      </c>
      <c r="IG810" s="27" t="s">
        <v>8</v>
      </c>
      <c r="IH810" s="27" t="s">
        <v>7</v>
      </c>
      <c r="JO810" s="27" t="s">
        <v>8</v>
      </c>
      <c r="JP810" s="27" t="s">
        <v>7</v>
      </c>
      <c r="JT810" s="27" t="s">
        <v>7</v>
      </c>
      <c r="JU810" s="27" t="s">
        <v>8</v>
      </c>
      <c r="JY810" s="27" t="s">
        <v>8</v>
      </c>
      <c r="JZ810" s="27" t="s">
        <v>7</v>
      </c>
      <c r="KB810" s="27" t="s">
        <v>7</v>
      </c>
      <c r="LE810" s="27" t="s">
        <v>8</v>
      </c>
      <c r="LG810" s="27" t="s">
        <v>8</v>
      </c>
      <c r="LH810" s="27" t="s">
        <v>7</v>
      </c>
      <c r="LI810" s="27" t="s">
        <v>8</v>
      </c>
      <c r="LJ810" s="27" t="s">
        <v>7</v>
      </c>
      <c r="LQ810" s="27" t="s">
        <v>8</v>
      </c>
      <c r="LR810" s="27" t="s">
        <v>7</v>
      </c>
    </row>
    <row r="811" spans="1:330" x14ac:dyDescent="0.25">
      <c r="A811" s="7">
        <v>1.184572170262178E-2</v>
      </c>
      <c r="B811"/>
      <c r="C811"/>
      <c r="D811"/>
      <c r="E811"/>
      <c r="F811" s="27" t="s">
        <v>7</v>
      </c>
      <c r="GK811" s="27" t="s">
        <v>8</v>
      </c>
      <c r="GL811" s="27" t="s">
        <v>7</v>
      </c>
      <c r="GM811" s="27" t="s">
        <v>8</v>
      </c>
      <c r="HF811" s="27" t="s">
        <v>7</v>
      </c>
      <c r="HG811" s="27" t="s">
        <v>8</v>
      </c>
      <c r="HT811" s="27" t="s">
        <v>7</v>
      </c>
      <c r="HU811" s="27" t="s">
        <v>8</v>
      </c>
      <c r="HV811" s="27" t="s">
        <v>7</v>
      </c>
      <c r="HW811" s="27" t="s">
        <v>8</v>
      </c>
      <c r="HX811" s="27" t="s">
        <v>7</v>
      </c>
      <c r="IG811" s="27" t="s">
        <v>8</v>
      </c>
      <c r="IH811" s="27" t="s">
        <v>7</v>
      </c>
      <c r="JO811" s="27" t="s">
        <v>8</v>
      </c>
      <c r="JT811" s="27" t="s">
        <v>7</v>
      </c>
      <c r="JU811" s="27" t="s">
        <v>8</v>
      </c>
      <c r="JV811" s="27" t="s">
        <v>7</v>
      </c>
      <c r="JY811" s="27" t="s">
        <v>8</v>
      </c>
      <c r="KB811" s="27" t="s">
        <v>7</v>
      </c>
      <c r="LE811" s="27" t="s">
        <v>8</v>
      </c>
      <c r="LF811" s="27" t="s">
        <v>7</v>
      </c>
      <c r="LG811" s="27" t="s">
        <v>8</v>
      </c>
      <c r="LH811" s="27" t="s">
        <v>7</v>
      </c>
      <c r="LI811" s="27" t="s">
        <v>8</v>
      </c>
      <c r="LJ811" s="27" t="s">
        <v>7</v>
      </c>
      <c r="LQ811" s="27" t="s">
        <v>8</v>
      </c>
      <c r="LR811" s="27" t="s">
        <v>7</v>
      </c>
    </row>
    <row r="812" spans="1:330" x14ac:dyDescent="0.25">
      <c r="A812" s="7">
        <v>1.1613452649629196E-2</v>
      </c>
      <c r="B812"/>
      <c r="C812"/>
      <c r="D812"/>
      <c r="E812"/>
      <c r="F812" s="27" t="s">
        <v>7</v>
      </c>
      <c r="GK812" s="27" t="s">
        <v>8</v>
      </c>
      <c r="GL812" s="27" t="s">
        <v>7</v>
      </c>
      <c r="GM812" s="27" t="s">
        <v>8</v>
      </c>
      <c r="HF812" s="27" t="s">
        <v>7</v>
      </c>
      <c r="HT812" s="27" t="s">
        <v>7</v>
      </c>
      <c r="HV812" s="27" t="s">
        <v>7</v>
      </c>
      <c r="HW812" s="27" t="s">
        <v>8</v>
      </c>
      <c r="HX812" s="27" t="s">
        <v>7</v>
      </c>
      <c r="IG812" s="27" t="s">
        <v>8</v>
      </c>
      <c r="IH812" s="27" t="s">
        <v>7</v>
      </c>
      <c r="JM812" s="27" t="s">
        <v>8</v>
      </c>
      <c r="JO812" s="27" t="s">
        <v>8</v>
      </c>
      <c r="JT812" s="27" t="s">
        <v>7</v>
      </c>
      <c r="JU812" s="27" t="s">
        <v>8</v>
      </c>
      <c r="JV812" s="27" t="s">
        <v>7</v>
      </c>
      <c r="JW812" s="27" t="s">
        <v>8</v>
      </c>
      <c r="JY812" s="27" t="s">
        <v>8</v>
      </c>
      <c r="KB812" s="27" t="s">
        <v>7</v>
      </c>
      <c r="LE812" s="27" t="s">
        <v>8</v>
      </c>
      <c r="LF812" s="27" t="s">
        <v>7</v>
      </c>
      <c r="LG812" s="27" t="s">
        <v>8</v>
      </c>
      <c r="LH812" s="27" t="s">
        <v>7</v>
      </c>
      <c r="LI812" s="27" t="s">
        <v>8</v>
      </c>
      <c r="LJ812" s="27" t="s">
        <v>7</v>
      </c>
      <c r="LQ812" s="27" t="s">
        <v>8</v>
      </c>
      <c r="LR812" s="27" t="s">
        <v>7</v>
      </c>
    </row>
    <row r="813" spans="1:330" x14ac:dyDescent="0.25">
      <c r="A813" s="7">
        <v>1.138573789179333E-2</v>
      </c>
      <c r="B813"/>
      <c r="C813"/>
      <c r="D813"/>
      <c r="E813"/>
      <c r="F813" s="27" t="s">
        <v>7</v>
      </c>
      <c r="GK813" s="27" t="s">
        <v>8</v>
      </c>
      <c r="GL813" s="27" t="s">
        <v>7</v>
      </c>
      <c r="GM813" s="27" t="s">
        <v>8</v>
      </c>
      <c r="HV813" s="27" t="s">
        <v>7</v>
      </c>
      <c r="HW813" s="27" t="s">
        <v>8</v>
      </c>
      <c r="HX813" s="27" t="s">
        <v>7</v>
      </c>
      <c r="IG813" s="27" t="s">
        <v>8</v>
      </c>
      <c r="IH813" s="27" t="s">
        <v>7</v>
      </c>
      <c r="JM813" s="27" t="s">
        <v>8</v>
      </c>
      <c r="JN813" s="27" t="s">
        <v>7</v>
      </c>
      <c r="JO813" s="27" t="s">
        <v>8</v>
      </c>
      <c r="JT813" s="27" t="s">
        <v>7</v>
      </c>
      <c r="JU813" s="27" t="s">
        <v>8</v>
      </c>
      <c r="JV813" s="27" t="s">
        <v>7</v>
      </c>
      <c r="JW813" s="27" t="s">
        <v>8</v>
      </c>
      <c r="JX813" s="27" t="s">
        <v>7</v>
      </c>
      <c r="JY813" s="27" t="s">
        <v>8</v>
      </c>
      <c r="KB813" s="27" t="s">
        <v>7</v>
      </c>
      <c r="KS813" s="27" t="s">
        <v>8</v>
      </c>
      <c r="LE813" s="27" t="s">
        <v>8</v>
      </c>
      <c r="LF813" s="27" t="s">
        <v>7</v>
      </c>
      <c r="LG813" s="27" t="s">
        <v>8</v>
      </c>
      <c r="LH813" s="27" t="s">
        <v>7</v>
      </c>
      <c r="LI813" s="27" t="s">
        <v>8</v>
      </c>
      <c r="LJ813" s="27" t="s">
        <v>7</v>
      </c>
      <c r="LQ813" s="27" t="s">
        <v>8</v>
      </c>
      <c r="LR813" s="27" t="s">
        <v>7</v>
      </c>
    </row>
    <row r="814" spans="1:330" x14ac:dyDescent="0.25">
      <c r="A814" s="7">
        <v>1.1162488129209149E-2</v>
      </c>
      <c r="B814"/>
      <c r="C814"/>
      <c r="D814"/>
      <c r="E814"/>
      <c r="F814" s="27" t="s">
        <v>7</v>
      </c>
      <c r="GK814" s="27" t="s">
        <v>8</v>
      </c>
      <c r="GL814" s="27" t="s">
        <v>7</v>
      </c>
      <c r="GM814" s="27" t="s">
        <v>8</v>
      </c>
      <c r="HV814" s="27" t="s">
        <v>7</v>
      </c>
      <c r="HW814" s="27" t="s">
        <v>8</v>
      </c>
      <c r="HX814" s="27" t="s">
        <v>7</v>
      </c>
      <c r="IG814" s="27" t="s">
        <v>8</v>
      </c>
      <c r="IH814" s="27" t="s">
        <v>7</v>
      </c>
      <c r="JM814" s="27" t="s">
        <v>8</v>
      </c>
      <c r="JN814" s="27" t="s">
        <v>7</v>
      </c>
      <c r="JO814" s="27" t="s">
        <v>8</v>
      </c>
      <c r="JT814" s="27" t="s">
        <v>7</v>
      </c>
      <c r="JU814" s="27" t="s">
        <v>8</v>
      </c>
      <c r="JV814" s="27" t="s">
        <v>7</v>
      </c>
      <c r="JW814" s="27" t="s">
        <v>8</v>
      </c>
      <c r="JX814" s="27" t="s">
        <v>7</v>
      </c>
      <c r="JY814" s="27" t="s">
        <v>8</v>
      </c>
      <c r="KB814" s="27" t="s">
        <v>7</v>
      </c>
      <c r="KS814" s="27" t="s">
        <v>8</v>
      </c>
      <c r="KT814" s="27" t="s">
        <v>7</v>
      </c>
      <c r="LE814" s="27" t="s">
        <v>8</v>
      </c>
      <c r="LF814" s="27" t="s">
        <v>7</v>
      </c>
      <c r="LG814" s="27" t="s">
        <v>8</v>
      </c>
      <c r="LH814" s="27" t="s">
        <v>7</v>
      </c>
      <c r="LI814" s="27" t="s">
        <v>8</v>
      </c>
      <c r="LJ814" s="27" t="s">
        <v>7</v>
      </c>
      <c r="LQ814" s="27" t="s">
        <v>8</v>
      </c>
      <c r="LR814" s="27" t="s">
        <v>7</v>
      </c>
    </row>
    <row r="815" spans="1:330" x14ac:dyDescent="0.25">
      <c r="A815" s="7">
        <v>1.0943615812950145E-2</v>
      </c>
      <c r="B815"/>
      <c r="C815"/>
      <c r="D815"/>
      <c r="E815"/>
      <c r="F815" s="27" t="s">
        <v>7</v>
      </c>
      <c r="GK815" s="27" t="s">
        <v>8</v>
      </c>
      <c r="GL815" s="27" t="s">
        <v>7</v>
      </c>
      <c r="GM815" s="27" t="s">
        <v>8</v>
      </c>
      <c r="HV815" s="27" t="s">
        <v>7</v>
      </c>
      <c r="HW815" s="27" t="s">
        <v>8</v>
      </c>
      <c r="HX815" s="27" t="s">
        <v>7</v>
      </c>
      <c r="IG815" s="27" t="s">
        <v>8</v>
      </c>
      <c r="IH815" s="27" t="s">
        <v>7</v>
      </c>
      <c r="JM815" s="27" t="s">
        <v>8</v>
      </c>
      <c r="JN815" s="27" t="s">
        <v>7</v>
      </c>
      <c r="JO815" s="27" t="s">
        <v>8</v>
      </c>
      <c r="JT815" s="27" t="s">
        <v>7</v>
      </c>
      <c r="JU815" s="27" t="s">
        <v>8</v>
      </c>
      <c r="JV815" s="27" t="s">
        <v>7</v>
      </c>
      <c r="JX815" s="27" t="s">
        <v>7</v>
      </c>
      <c r="JY815" s="27" t="s">
        <v>8</v>
      </c>
      <c r="KB815" s="27" t="s">
        <v>7</v>
      </c>
      <c r="KC815" s="27" t="s">
        <v>8</v>
      </c>
      <c r="KS815" s="27" t="s">
        <v>8</v>
      </c>
      <c r="KT815" s="27" t="s">
        <v>7</v>
      </c>
      <c r="KY815" s="27" t="s">
        <v>8</v>
      </c>
      <c r="LE815" s="27" t="s">
        <v>8</v>
      </c>
      <c r="LF815" s="27" t="s">
        <v>7</v>
      </c>
      <c r="LG815" s="27" t="s">
        <v>8</v>
      </c>
      <c r="LH815" s="27" t="s">
        <v>7</v>
      </c>
      <c r="LJ815" s="27" t="s">
        <v>7</v>
      </c>
      <c r="LK815" s="27" t="s">
        <v>8</v>
      </c>
      <c r="LQ815" s="27" t="s">
        <v>8</v>
      </c>
      <c r="LR815" s="27" t="s">
        <v>7</v>
      </c>
    </row>
    <row r="816" spans="1:330" x14ac:dyDescent="0.25">
      <c r="A816" s="7">
        <v>1.0729035110735436E-2</v>
      </c>
      <c r="B816"/>
      <c r="C816"/>
      <c r="D816"/>
      <c r="E816"/>
      <c r="F816" s="27" t="s">
        <v>7</v>
      </c>
      <c r="GK816" s="27" t="s">
        <v>8</v>
      </c>
      <c r="GL816" s="27" t="s">
        <v>7</v>
      </c>
      <c r="GM816" s="27" t="s">
        <v>8</v>
      </c>
      <c r="HV816" s="27" t="s">
        <v>7</v>
      </c>
      <c r="HW816" s="27" t="s">
        <v>8</v>
      </c>
      <c r="HX816" s="27" t="s">
        <v>7</v>
      </c>
      <c r="IA816" s="27" t="s">
        <v>8</v>
      </c>
      <c r="IG816" s="27" t="s">
        <v>8</v>
      </c>
      <c r="IH816" s="27" t="s">
        <v>7</v>
      </c>
      <c r="JM816" s="27" t="s">
        <v>8</v>
      </c>
      <c r="JN816" s="27" t="s">
        <v>7</v>
      </c>
      <c r="JO816" s="27" t="s">
        <v>8</v>
      </c>
      <c r="JT816" s="27" t="s">
        <v>7</v>
      </c>
      <c r="JX816" s="27" t="s">
        <v>7</v>
      </c>
      <c r="JY816" s="27" t="s">
        <v>8</v>
      </c>
      <c r="KB816" s="27" t="s">
        <v>7</v>
      </c>
      <c r="KC816" s="27" t="s">
        <v>8</v>
      </c>
      <c r="KD816" s="27" t="s">
        <v>7</v>
      </c>
      <c r="KS816" s="27" t="s">
        <v>8</v>
      </c>
      <c r="KT816" s="27" t="s">
        <v>7</v>
      </c>
      <c r="KY816" s="27" t="s">
        <v>8</v>
      </c>
      <c r="KZ816" s="27" t="s">
        <v>7</v>
      </c>
      <c r="LE816" s="27" t="s">
        <v>8</v>
      </c>
      <c r="LF816" s="27" t="s">
        <v>7</v>
      </c>
      <c r="LG816" s="27" t="s">
        <v>8</v>
      </c>
      <c r="LJ816" s="27" t="s">
        <v>7</v>
      </c>
      <c r="LK816" s="27" t="s">
        <v>8</v>
      </c>
      <c r="LL816" s="27" t="s">
        <v>7</v>
      </c>
      <c r="LM816" s="27" t="s">
        <v>8</v>
      </c>
      <c r="LQ816" s="27" t="s">
        <v>8</v>
      </c>
      <c r="LR816" s="27" t="s">
        <v>7</v>
      </c>
    </row>
    <row r="817" spans="1:348" x14ac:dyDescent="0.25">
      <c r="A817" s="7">
        <v>1.0518661873270036E-2</v>
      </c>
      <c r="B817"/>
      <c r="C817"/>
      <c r="D817"/>
      <c r="E817"/>
      <c r="F817" s="27" t="s">
        <v>7</v>
      </c>
      <c r="GK817" s="27" t="s">
        <v>8</v>
      </c>
      <c r="GL817" s="27" t="s">
        <v>7</v>
      </c>
      <c r="GM817" s="27" t="s">
        <v>8</v>
      </c>
      <c r="HV817" s="27" t="s">
        <v>7</v>
      </c>
      <c r="HW817" s="27" t="s">
        <v>8</v>
      </c>
      <c r="HX817" s="27" t="s">
        <v>7</v>
      </c>
      <c r="IA817" s="27" t="s">
        <v>8</v>
      </c>
      <c r="IB817" s="27" t="s">
        <v>7</v>
      </c>
      <c r="IG817" s="27" t="s">
        <v>8</v>
      </c>
      <c r="IH817" s="27" t="s">
        <v>7</v>
      </c>
      <c r="JM817" s="27" t="s">
        <v>8</v>
      </c>
      <c r="JN817" s="27" t="s">
        <v>7</v>
      </c>
      <c r="JO817" s="27" t="s">
        <v>8</v>
      </c>
      <c r="JX817" s="27" t="s">
        <v>7</v>
      </c>
      <c r="KB817" s="27" t="s">
        <v>7</v>
      </c>
      <c r="KC817" s="27" t="s">
        <v>8</v>
      </c>
      <c r="KD817" s="27" t="s">
        <v>7</v>
      </c>
      <c r="KG817" s="27" t="s">
        <v>8</v>
      </c>
      <c r="KS817" s="27" t="s">
        <v>8</v>
      </c>
      <c r="KT817" s="27" t="s">
        <v>7</v>
      </c>
      <c r="KU817" s="27" t="s">
        <v>8</v>
      </c>
      <c r="KY817" s="27" t="s">
        <v>8</v>
      </c>
      <c r="KZ817" s="27" t="s">
        <v>7</v>
      </c>
      <c r="LE817" s="27" t="s">
        <v>8</v>
      </c>
      <c r="LF817" s="27" t="s">
        <v>7</v>
      </c>
      <c r="LG817" s="27" t="s">
        <v>8</v>
      </c>
      <c r="LJ817" s="27" t="s">
        <v>7</v>
      </c>
      <c r="LK817" s="27" t="s">
        <v>8</v>
      </c>
      <c r="LL817" s="27" t="s">
        <v>7</v>
      </c>
      <c r="LM817" s="27" t="s">
        <v>8</v>
      </c>
      <c r="LN817" s="27" t="s">
        <v>7</v>
      </c>
      <c r="LQ817" s="27" t="s">
        <v>8</v>
      </c>
      <c r="LR817" s="27" t="s">
        <v>7</v>
      </c>
    </row>
    <row r="818" spans="1:348" x14ac:dyDescent="0.25">
      <c r="A818" s="7">
        <v>1.0312413601245135E-2</v>
      </c>
      <c r="B818"/>
      <c r="C818"/>
      <c r="D818"/>
      <c r="E818"/>
      <c r="F818" s="27" t="s">
        <v>7</v>
      </c>
      <c r="GK818" s="27" t="s">
        <v>8</v>
      </c>
      <c r="GL818" s="27" t="s">
        <v>7</v>
      </c>
      <c r="GM818" s="27" t="s">
        <v>8</v>
      </c>
      <c r="HV818" s="27" t="s">
        <v>7</v>
      </c>
      <c r="HW818" s="27" t="s">
        <v>8</v>
      </c>
      <c r="HX818" s="27" t="s">
        <v>7</v>
      </c>
      <c r="HY818" s="27" t="s">
        <v>8</v>
      </c>
      <c r="IA818" s="27" t="s">
        <v>8</v>
      </c>
      <c r="IB818" s="27" t="s">
        <v>7</v>
      </c>
      <c r="IG818" s="27" t="s">
        <v>8</v>
      </c>
      <c r="IH818" s="27" t="s">
        <v>7</v>
      </c>
      <c r="JM818" s="27" t="s">
        <v>8</v>
      </c>
      <c r="JN818" s="27" t="s">
        <v>7</v>
      </c>
      <c r="JO818" s="27" t="s">
        <v>8</v>
      </c>
      <c r="KB818" s="27" t="s">
        <v>7</v>
      </c>
      <c r="KC818" s="27" t="s">
        <v>8</v>
      </c>
      <c r="KD818" s="27" t="s">
        <v>7</v>
      </c>
      <c r="KE818" s="27" t="s">
        <v>8</v>
      </c>
      <c r="KG818" s="27" t="s">
        <v>8</v>
      </c>
      <c r="KH818" s="27" t="s">
        <v>7</v>
      </c>
      <c r="KS818" s="27" t="s">
        <v>8</v>
      </c>
      <c r="KT818" s="27" t="s">
        <v>7</v>
      </c>
      <c r="KU818" s="27" t="s">
        <v>8</v>
      </c>
      <c r="KV818" s="27" t="s">
        <v>7</v>
      </c>
      <c r="KY818" s="27" t="s">
        <v>8</v>
      </c>
      <c r="KZ818" s="27" t="s">
        <v>7</v>
      </c>
      <c r="LE818" s="27" t="s">
        <v>8</v>
      </c>
      <c r="LF818" s="27" t="s">
        <v>7</v>
      </c>
      <c r="LG818" s="27" t="s">
        <v>8</v>
      </c>
      <c r="LJ818" s="27" t="s">
        <v>7</v>
      </c>
      <c r="LK818" s="27" t="s">
        <v>8</v>
      </c>
      <c r="LL818" s="27" t="s">
        <v>7</v>
      </c>
      <c r="LM818" s="27" t="s">
        <v>8</v>
      </c>
      <c r="LN818" s="27" t="s">
        <v>7</v>
      </c>
      <c r="LQ818" s="27" t="s">
        <v>8</v>
      </c>
      <c r="LR818" s="27" t="s">
        <v>7</v>
      </c>
    </row>
    <row r="819" spans="1:348" x14ac:dyDescent="0.25">
      <c r="A819" s="7">
        <v>1.0110209412985426E-2</v>
      </c>
      <c r="B819"/>
      <c r="C819"/>
      <c r="D819"/>
      <c r="E819"/>
      <c r="F819" s="27" t="s">
        <v>7</v>
      </c>
      <c r="GK819" s="27" t="s">
        <v>8</v>
      </c>
      <c r="GL819" s="27" t="s">
        <v>7</v>
      </c>
      <c r="GM819" s="27" t="s">
        <v>8</v>
      </c>
      <c r="HV819" s="27" t="s">
        <v>7</v>
      </c>
      <c r="HW819" s="27" t="s">
        <v>8</v>
      </c>
      <c r="HX819" s="27" t="s">
        <v>7</v>
      </c>
      <c r="HY819" s="27" t="s">
        <v>8</v>
      </c>
      <c r="HZ819" s="27" t="s">
        <v>7</v>
      </c>
      <c r="IA819" s="27" t="s">
        <v>8</v>
      </c>
      <c r="IB819" s="27" t="s">
        <v>7</v>
      </c>
      <c r="IC819" s="27" t="s">
        <v>8</v>
      </c>
      <c r="IG819" s="27" t="s">
        <v>8</v>
      </c>
      <c r="IH819" s="27" t="s">
        <v>7</v>
      </c>
      <c r="JM819" s="27" t="s">
        <v>8</v>
      </c>
      <c r="JN819" s="27" t="s">
        <v>7</v>
      </c>
      <c r="JO819" s="27" t="s">
        <v>8</v>
      </c>
      <c r="KB819" s="27" t="s">
        <v>7</v>
      </c>
      <c r="KC819" s="27" t="s">
        <v>8</v>
      </c>
      <c r="KD819" s="27" t="s">
        <v>7</v>
      </c>
      <c r="KE819" s="27" t="s">
        <v>8</v>
      </c>
      <c r="KF819" s="27" t="s">
        <v>7</v>
      </c>
      <c r="KG819" s="27" t="s">
        <v>8</v>
      </c>
      <c r="KH819" s="27" t="s">
        <v>7</v>
      </c>
      <c r="KQ819" s="27" t="s">
        <v>8</v>
      </c>
      <c r="KS819" s="27" t="s">
        <v>8</v>
      </c>
      <c r="KT819" s="27" t="s">
        <v>7</v>
      </c>
      <c r="KU819" s="27" t="s">
        <v>8</v>
      </c>
      <c r="KV819" s="27" t="s">
        <v>7</v>
      </c>
      <c r="KY819" s="27" t="s">
        <v>8</v>
      </c>
      <c r="KZ819" s="27" t="s">
        <v>7</v>
      </c>
      <c r="LA819" s="27" t="s">
        <v>8</v>
      </c>
      <c r="LE819" s="27" t="s">
        <v>8</v>
      </c>
      <c r="LF819" s="27" t="s">
        <v>7</v>
      </c>
      <c r="LJ819" s="27" t="s">
        <v>7</v>
      </c>
      <c r="LL819" s="27" t="s">
        <v>7</v>
      </c>
      <c r="LM819" s="27" t="s">
        <v>8</v>
      </c>
      <c r="LN819" s="27" t="s">
        <v>7</v>
      </c>
      <c r="LQ819" s="27" t="s">
        <v>8</v>
      </c>
      <c r="LR819" s="27" t="s">
        <v>7</v>
      </c>
    </row>
    <row r="820" spans="1:348" x14ac:dyDescent="0.25">
      <c r="A820" s="7">
        <v>9.9119700127308103E-3</v>
      </c>
      <c r="B820"/>
      <c r="C820"/>
      <c r="D820"/>
      <c r="E820"/>
      <c r="F820" s="27" t="s">
        <v>7</v>
      </c>
      <c r="GK820" s="27" t="s">
        <v>8</v>
      </c>
      <c r="GL820" s="27" t="s">
        <v>7</v>
      </c>
      <c r="HV820" s="27" t="s">
        <v>7</v>
      </c>
      <c r="HW820" s="27" t="s">
        <v>8</v>
      </c>
      <c r="HX820" s="27" t="s">
        <v>7</v>
      </c>
      <c r="HY820" s="27" t="s">
        <v>8</v>
      </c>
      <c r="HZ820" s="27" t="s">
        <v>7</v>
      </c>
      <c r="IA820" s="27" t="s">
        <v>8</v>
      </c>
      <c r="IB820" s="27" t="s">
        <v>7</v>
      </c>
      <c r="IC820" s="27" t="s">
        <v>8</v>
      </c>
      <c r="ID820" s="27" t="s">
        <v>7</v>
      </c>
      <c r="IE820" s="27" t="s">
        <v>8</v>
      </c>
      <c r="IG820" s="27" t="s">
        <v>8</v>
      </c>
      <c r="IH820" s="27" t="s">
        <v>7</v>
      </c>
      <c r="JM820" s="27" t="s">
        <v>8</v>
      </c>
      <c r="JN820" s="27" t="s">
        <v>7</v>
      </c>
      <c r="JO820" s="27" t="s">
        <v>8</v>
      </c>
      <c r="KB820" s="27" t="s">
        <v>7</v>
      </c>
      <c r="KC820" s="27" t="s">
        <v>8</v>
      </c>
      <c r="KD820" s="27" t="s">
        <v>7</v>
      </c>
      <c r="KE820" s="27" t="s">
        <v>8</v>
      </c>
      <c r="KF820" s="27" t="s">
        <v>7</v>
      </c>
      <c r="KG820" s="27" t="s">
        <v>8</v>
      </c>
      <c r="KH820" s="27" t="s">
        <v>7</v>
      </c>
      <c r="KQ820" s="27" t="s">
        <v>8</v>
      </c>
      <c r="KR820" s="27" t="s">
        <v>7</v>
      </c>
      <c r="KS820" s="27" t="s">
        <v>8</v>
      </c>
      <c r="KT820" s="27" t="s">
        <v>7</v>
      </c>
      <c r="KU820" s="27" t="s">
        <v>8</v>
      </c>
      <c r="KV820" s="27" t="s">
        <v>7</v>
      </c>
      <c r="KW820" s="27" t="s">
        <v>8</v>
      </c>
      <c r="KY820" s="27" t="s">
        <v>8</v>
      </c>
      <c r="KZ820" s="27" t="s">
        <v>7</v>
      </c>
      <c r="LA820" s="27" t="s">
        <v>8</v>
      </c>
      <c r="LB820" s="27" t="s">
        <v>7</v>
      </c>
      <c r="LC820" s="27" t="s">
        <v>8</v>
      </c>
      <c r="LE820" s="27" t="s">
        <v>8</v>
      </c>
      <c r="LL820" s="27" t="s">
        <v>7</v>
      </c>
      <c r="LN820" s="27" t="s">
        <v>7</v>
      </c>
      <c r="LQ820" s="27" t="s">
        <v>8</v>
      </c>
      <c r="LR820" s="27" t="s">
        <v>7</v>
      </c>
      <c r="MI820" s="27" t="s">
        <v>8</v>
      </c>
    </row>
    <row r="821" spans="1:348" x14ac:dyDescent="0.25">
      <c r="A821" s="7">
        <v>9.717617659540009E-3</v>
      </c>
      <c r="B821"/>
      <c r="C821"/>
      <c r="D821"/>
      <c r="E821"/>
      <c r="F821" s="27" t="s">
        <v>7</v>
      </c>
      <c r="GK821" s="27" t="s">
        <v>8</v>
      </c>
      <c r="HV821" s="27" t="s">
        <v>7</v>
      </c>
      <c r="HW821" s="27" t="s">
        <v>8</v>
      </c>
      <c r="HX821" s="27" t="s">
        <v>7</v>
      </c>
      <c r="HY821" s="27" t="s">
        <v>8</v>
      </c>
      <c r="HZ821" s="27" t="s">
        <v>7</v>
      </c>
      <c r="IA821" s="27" t="s">
        <v>8</v>
      </c>
      <c r="IB821" s="27" t="s">
        <v>7</v>
      </c>
      <c r="IC821" s="27" t="s">
        <v>8</v>
      </c>
      <c r="ID821" s="27" t="s">
        <v>7</v>
      </c>
      <c r="IE821" s="27" t="s">
        <v>8</v>
      </c>
      <c r="IF821" s="27" t="s">
        <v>7</v>
      </c>
      <c r="IG821" s="27" t="s">
        <v>8</v>
      </c>
      <c r="IH821" s="27" t="s">
        <v>7</v>
      </c>
      <c r="JM821" s="27" t="s">
        <v>8</v>
      </c>
      <c r="JN821" s="27" t="s">
        <v>7</v>
      </c>
      <c r="JO821" s="27" t="s">
        <v>8</v>
      </c>
      <c r="KB821" s="27" t="s">
        <v>7</v>
      </c>
      <c r="KC821" s="27" t="s">
        <v>8</v>
      </c>
      <c r="KD821" s="27" t="s">
        <v>7</v>
      </c>
      <c r="KE821" s="27" t="s">
        <v>8</v>
      </c>
      <c r="KF821" s="27" t="s">
        <v>7</v>
      </c>
      <c r="KG821" s="27" t="s">
        <v>8</v>
      </c>
      <c r="KH821" s="27" t="s">
        <v>7</v>
      </c>
      <c r="KI821" s="27" t="s">
        <v>8</v>
      </c>
      <c r="KQ821" s="27" t="s">
        <v>8</v>
      </c>
      <c r="KR821" s="27" t="s">
        <v>7</v>
      </c>
      <c r="KS821" s="27" t="s">
        <v>8</v>
      </c>
      <c r="KT821" s="27" t="s">
        <v>7</v>
      </c>
      <c r="KU821" s="27" t="s">
        <v>8</v>
      </c>
      <c r="KV821" s="27" t="s">
        <v>7</v>
      </c>
      <c r="KW821" s="27" t="s">
        <v>8</v>
      </c>
      <c r="KX821" s="27" t="s">
        <v>7</v>
      </c>
      <c r="KY821" s="27" t="s">
        <v>8</v>
      </c>
      <c r="KZ821" s="27" t="s">
        <v>7</v>
      </c>
      <c r="LA821" s="27" t="s">
        <v>8</v>
      </c>
      <c r="LB821" s="27" t="s">
        <v>7</v>
      </c>
      <c r="LC821" s="27" t="s">
        <v>8</v>
      </c>
      <c r="LD821" s="27" t="s">
        <v>7</v>
      </c>
      <c r="LE821" s="27" t="s">
        <v>8</v>
      </c>
      <c r="LN821" s="27" t="s">
        <v>7</v>
      </c>
      <c r="LQ821" s="27" t="s">
        <v>8</v>
      </c>
      <c r="LR821" s="27" t="s">
        <v>7</v>
      </c>
      <c r="MI821" s="27" t="s">
        <v>8</v>
      </c>
      <c r="MJ821" s="27" t="s">
        <v>7</v>
      </c>
    </row>
    <row r="822" spans="1:348" x14ac:dyDescent="0.25">
      <c r="A822" s="7">
        <v>9.5270761368039299E-3</v>
      </c>
      <c r="B822"/>
      <c r="C822"/>
      <c r="D822"/>
      <c r="E822"/>
      <c r="F822" s="27" t="s">
        <v>7</v>
      </c>
      <c r="GK822" s="27" t="s">
        <v>8</v>
      </c>
      <c r="HV822" s="27" t="s">
        <v>7</v>
      </c>
      <c r="HW822" s="27" t="s">
        <v>8</v>
      </c>
      <c r="HX822" s="27" t="s">
        <v>7</v>
      </c>
      <c r="HY822" s="27" t="s">
        <v>8</v>
      </c>
      <c r="HZ822" s="27" t="s">
        <v>7</v>
      </c>
      <c r="IA822" s="27" t="s">
        <v>8</v>
      </c>
      <c r="IB822" s="27" t="s">
        <v>7</v>
      </c>
      <c r="IC822" s="27" t="s">
        <v>8</v>
      </c>
      <c r="ID822" s="27" t="s">
        <v>7</v>
      </c>
      <c r="IE822" s="27" t="s">
        <v>8</v>
      </c>
      <c r="IF822" s="27" t="s">
        <v>7</v>
      </c>
      <c r="IG822" s="27" t="s">
        <v>8</v>
      </c>
      <c r="IH822" s="27" t="s">
        <v>7</v>
      </c>
      <c r="JM822" s="27" t="s">
        <v>8</v>
      </c>
      <c r="JN822" s="27" t="s">
        <v>7</v>
      </c>
      <c r="KB822" s="27" t="s">
        <v>7</v>
      </c>
      <c r="KC822" s="27" t="s">
        <v>8</v>
      </c>
      <c r="KD822" s="27" t="s">
        <v>7</v>
      </c>
      <c r="KE822" s="27" t="s">
        <v>8</v>
      </c>
      <c r="KF822" s="27" t="s">
        <v>7</v>
      </c>
      <c r="KG822" s="27" t="s">
        <v>8</v>
      </c>
      <c r="KH822" s="27" t="s">
        <v>7</v>
      </c>
      <c r="KI822" s="27" t="s">
        <v>8</v>
      </c>
      <c r="KJ822" s="27" t="s">
        <v>7</v>
      </c>
      <c r="KQ822" s="27" t="s">
        <v>8</v>
      </c>
      <c r="KR822" s="27" t="s">
        <v>7</v>
      </c>
      <c r="KS822" s="27" t="s">
        <v>8</v>
      </c>
      <c r="KT822" s="27" t="s">
        <v>7</v>
      </c>
      <c r="KU822" s="27" t="s">
        <v>8</v>
      </c>
      <c r="KV822" s="27" t="s">
        <v>7</v>
      </c>
      <c r="KW822" s="27" t="s">
        <v>8</v>
      </c>
      <c r="KX822" s="27" t="s">
        <v>7</v>
      </c>
      <c r="KY822" s="27" t="s">
        <v>8</v>
      </c>
      <c r="KZ822" s="27" t="s">
        <v>7</v>
      </c>
      <c r="LA822" s="27" t="s">
        <v>8</v>
      </c>
      <c r="LB822" s="27" t="s">
        <v>7</v>
      </c>
      <c r="LC822" s="27" t="s">
        <v>8</v>
      </c>
      <c r="LD822" s="27" t="s">
        <v>7</v>
      </c>
      <c r="LE822" s="27" t="s">
        <v>8</v>
      </c>
      <c r="LN822" s="27" t="s">
        <v>7</v>
      </c>
      <c r="LQ822" s="27" t="s">
        <v>8</v>
      </c>
      <c r="LR822" s="27" t="s">
        <v>7</v>
      </c>
      <c r="MI822" s="27" t="s">
        <v>8</v>
      </c>
      <c r="MJ822" s="27" t="s">
        <v>7</v>
      </c>
    </row>
    <row r="823" spans="1:348" x14ac:dyDescent="0.25">
      <c r="A823" s="7">
        <v>9.3402707223567936E-3</v>
      </c>
      <c r="B823"/>
      <c r="C823"/>
      <c r="D823"/>
      <c r="E823"/>
      <c r="F823" s="27" t="s">
        <v>7</v>
      </c>
      <c r="GK823" s="27" t="s">
        <v>8</v>
      </c>
      <c r="HV823" s="27" t="s">
        <v>7</v>
      </c>
      <c r="HW823" s="27" t="s">
        <v>8</v>
      </c>
      <c r="HX823" s="27" t="s">
        <v>7</v>
      </c>
      <c r="HY823" s="27" t="s">
        <v>8</v>
      </c>
      <c r="HZ823" s="27" t="s">
        <v>7</v>
      </c>
      <c r="IA823" s="27" t="s">
        <v>8</v>
      </c>
      <c r="IB823" s="27" t="s">
        <v>7</v>
      </c>
      <c r="IC823" s="27" t="s">
        <v>8</v>
      </c>
      <c r="ID823" s="27" t="s">
        <v>7</v>
      </c>
      <c r="IE823" s="27" t="s">
        <v>8</v>
      </c>
      <c r="IF823" s="27" t="s">
        <v>7</v>
      </c>
      <c r="IG823" s="27" t="s">
        <v>8</v>
      </c>
      <c r="IH823" s="27" t="s">
        <v>7</v>
      </c>
      <c r="JM823" s="27" t="s">
        <v>8</v>
      </c>
      <c r="KB823" s="27" t="s">
        <v>7</v>
      </c>
      <c r="KC823" s="27" t="s">
        <v>8</v>
      </c>
      <c r="KD823" s="27" t="s">
        <v>7</v>
      </c>
      <c r="KF823" s="27" t="s">
        <v>7</v>
      </c>
      <c r="KH823" s="27" t="s">
        <v>7</v>
      </c>
      <c r="KI823" s="27" t="s">
        <v>8</v>
      </c>
      <c r="KJ823" s="27" t="s">
        <v>7</v>
      </c>
      <c r="KQ823" s="27" t="s">
        <v>8</v>
      </c>
      <c r="KR823" s="27" t="s">
        <v>7</v>
      </c>
      <c r="KS823" s="27" t="s">
        <v>8</v>
      </c>
      <c r="KT823" s="27" t="s">
        <v>7</v>
      </c>
      <c r="KU823" s="27" t="s">
        <v>8</v>
      </c>
      <c r="KV823" s="27" t="s">
        <v>7</v>
      </c>
      <c r="KW823" s="27" t="s">
        <v>8</v>
      </c>
      <c r="KX823" s="27" t="s">
        <v>7</v>
      </c>
      <c r="KY823" s="27" t="s">
        <v>8</v>
      </c>
      <c r="KZ823" s="27" t="s">
        <v>7</v>
      </c>
      <c r="LB823" s="27" t="s">
        <v>7</v>
      </c>
      <c r="LC823" s="27" t="s">
        <v>8</v>
      </c>
      <c r="LD823" s="27" t="s">
        <v>7</v>
      </c>
      <c r="LN823" s="27" t="s">
        <v>7</v>
      </c>
      <c r="LO823" s="27" t="s">
        <v>8</v>
      </c>
      <c r="LQ823" s="27" t="s">
        <v>8</v>
      </c>
      <c r="LR823" s="27" t="s">
        <v>7</v>
      </c>
      <c r="MI823" s="27" t="s">
        <v>8</v>
      </c>
      <c r="MJ823" s="27" t="s">
        <v>7</v>
      </c>
    </row>
    <row r="824" spans="1:348" x14ac:dyDescent="0.25">
      <c r="A824" s="7">
        <v>9.1571281591733261E-3</v>
      </c>
      <c r="B824"/>
      <c r="C824"/>
      <c r="D824"/>
      <c r="E824"/>
      <c r="F824" s="27" t="s">
        <v>7</v>
      </c>
      <c r="GK824" s="27" t="s">
        <v>8</v>
      </c>
      <c r="HV824" s="27" t="s">
        <v>7</v>
      </c>
      <c r="HW824" s="27" t="s">
        <v>8</v>
      </c>
      <c r="HX824" s="27" t="s">
        <v>7</v>
      </c>
      <c r="HY824" s="27" t="s">
        <v>8</v>
      </c>
      <c r="HZ824" s="27" t="s">
        <v>7</v>
      </c>
      <c r="IA824" s="27" t="s">
        <v>8</v>
      </c>
      <c r="IB824" s="27" t="s">
        <v>7</v>
      </c>
      <c r="IC824" s="27" t="s">
        <v>8</v>
      </c>
      <c r="ID824" s="27" t="s">
        <v>7</v>
      </c>
      <c r="IE824" s="27" t="s">
        <v>8</v>
      </c>
      <c r="IF824" s="27" t="s">
        <v>7</v>
      </c>
      <c r="IG824" s="27" t="s">
        <v>8</v>
      </c>
      <c r="IH824" s="27" t="s">
        <v>7</v>
      </c>
      <c r="JM824" s="27" t="s">
        <v>8</v>
      </c>
      <c r="KB824" s="27" t="s">
        <v>7</v>
      </c>
      <c r="KC824" s="27" t="s">
        <v>8</v>
      </c>
      <c r="KH824" s="27" t="s">
        <v>7</v>
      </c>
      <c r="KI824" s="27" t="s">
        <v>8</v>
      </c>
      <c r="KJ824" s="27" t="s">
        <v>7</v>
      </c>
      <c r="KQ824" s="27" t="s">
        <v>8</v>
      </c>
      <c r="KR824" s="27" t="s">
        <v>7</v>
      </c>
      <c r="KT824" s="27" t="s">
        <v>7</v>
      </c>
      <c r="KU824" s="27" t="s">
        <v>8</v>
      </c>
      <c r="KV824" s="27" t="s">
        <v>7</v>
      </c>
      <c r="KX824" s="27" t="s">
        <v>7</v>
      </c>
      <c r="LB824" s="27" t="s">
        <v>7</v>
      </c>
      <c r="LN824" s="27" t="s">
        <v>7</v>
      </c>
      <c r="LO824" s="27" t="s">
        <v>8</v>
      </c>
      <c r="LP824" s="27" t="s">
        <v>7</v>
      </c>
      <c r="LQ824" s="27" t="s">
        <v>8</v>
      </c>
      <c r="LR824" s="27" t="s">
        <v>7</v>
      </c>
      <c r="MI824" s="27" t="s">
        <v>8</v>
      </c>
      <c r="MJ824" s="27" t="s">
        <v>7</v>
      </c>
    </row>
    <row r="825" spans="1:348" x14ac:dyDescent="0.25">
      <c r="A825" s="7">
        <v>8.9775766266405148E-3</v>
      </c>
      <c r="B825"/>
      <c r="C825"/>
      <c r="D825"/>
      <c r="E825"/>
      <c r="F825" s="27" t="s">
        <v>7</v>
      </c>
      <c r="GK825" s="27" t="s">
        <v>8</v>
      </c>
      <c r="HV825" s="27" t="s">
        <v>7</v>
      </c>
      <c r="HW825" s="27" t="s">
        <v>8</v>
      </c>
      <c r="HX825" s="27" t="s">
        <v>7</v>
      </c>
      <c r="HY825" s="27" t="s">
        <v>8</v>
      </c>
      <c r="HZ825" s="27" t="s">
        <v>7</v>
      </c>
      <c r="IA825" s="27" t="s">
        <v>8</v>
      </c>
      <c r="IB825" s="27" t="s">
        <v>7</v>
      </c>
      <c r="IC825" s="27" t="s">
        <v>8</v>
      </c>
      <c r="ID825" s="27" t="s">
        <v>7</v>
      </c>
      <c r="IF825" s="27" t="s">
        <v>7</v>
      </c>
      <c r="IG825" s="27" t="s">
        <v>8</v>
      </c>
      <c r="IH825" s="27" t="s">
        <v>7</v>
      </c>
      <c r="JM825" s="27" t="s">
        <v>8</v>
      </c>
      <c r="KB825" s="27" t="s">
        <v>7</v>
      </c>
      <c r="KC825" s="27" t="s">
        <v>8</v>
      </c>
      <c r="KH825" s="27" t="s">
        <v>7</v>
      </c>
      <c r="KI825" s="27" t="s">
        <v>8</v>
      </c>
      <c r="KJ825" s="27" t="s">
        <v>7</v>
      </c>
      <c r="KQ825" s="27" t="s">
        <v>8</v>
      </c>
      <c r="KT825" s="27" t="s">
        <v>7</v>
      </c>
      <c r="KU825" s="27" t="s">
        <v>8</v>
      </c>
      <c r="LN825" s="27" t="s">
        <v>7</v>
      </c>
      <c r="LO825" s="27" t="s">
        <v>8</v>
      </c>
      <c r="LP825" s="27" t="s">
        <v>7</v>
      </c>
      <c r="LQ825" s="27" t="s">
        <v>8</v>
      </c>
      <c r="LR825" s="27" t="s">
        <v>7</v>
      </c>
      <c r="MI825" s="27" t="s">
        <v>8</v>
      </c>
      <c r="MJ825" s="27" t="s">
        <v>7</v>
      </c>
    </row>
    <row r="826" spans="1:348" x14ac:dyDescent="0.25">
      <c r="A826" s="7">
        <v>8.8015457123926614E-3</v>
      </c>
      <c r="B826"/>
      <c r="C826"/>
      <c r="D826"/>
      <c r="E826"/>
      <c r="F826" s="27" t="s">
        <v>7</v>
      </c>
      <c r="FU826" s="27" t="s">
        <v>8</v>
      </c>
      <c r="GK826" s="27" t="s">
        <v>8</v>
      </c>
      <c r="HV826" s="27" t="s">
        <v>7</v>
      </c>
      <c r="HW826" s="27" t="s">
        <v>8</v>
      </c>
      <c r="HX826" s="27" t="s">
        <v>7</v>
      </c>
      <c r="HY826" s="27" t="s">
        <v>8</v>
      </c>
      <c r="HZ826" s="27" t="s">
        <v>7</v>
      </c>
      <c r="IA826" s="27" t="s">
        <v>8</v>
      </c>
      <c r="IB826" s="27" t="s">
        <v>7</v>
      </c>
      <c r="IC826" s="27" t="s">
        <v>8</v>
      </c>
      <c r="IF826" s="27" t="s">
        <v>7</v>
      </c>
      <c r="IG826" s="27" t="s">
        <v>8</v>
      </c>
      <c r="IH826" s="27" t="s">
        <v>7</v>
      </c>
      <c r="JM826" s="27" t="s">
        <v>8</v>
      </c>
      <c r="KB826" s="27" t="s">
        <v>7</v>
      </c>
      <c r="KC826" s="27" t="s">
        <v>8</v>
      </c>
      <c r="KH826" s="27" t="s">
        <v>7</v>
      </c>
      <c r="KI826" s="27" t="s">
        <v>8</v>
      </c>
      <c r="KJ826" s="27" t="s">
        <v>7</v>
      </c>
      <c r="KQ826" s="27" t="s">
        <v>8</v>
      </c>
      <c r="KT826" s="27" t="s">
        <v>7</v>
      </c>
      <c r="KU826" s="27" t="s">
        <v>8</v>
      </c>
      <c r="LN826" s="27" t="s">
        <v>7</v>
      </c>
      <c r="LP826" s="27" t="s">
        <v>7</v>
      </c>
      <c r="LQ826" s="27" t="s">
        <v>8</v>
      </c>
      <c r="LR826" s="27" t="s">
        <v>7</v>
      </c>
      <c r="MI826" s="27" t="s">
        <v>8</v>
      </c>
      <c r="MJ826" s="27" t="s">
        <v>7</v>
      </c>
    </row>
    <row r="827" spans="1:348" x14ac:dyDescent="0.25">
      <c r="A827" s="7">
        <v>8.6289663846986879E-3</v>
      </c>
      <c r="B827"/>
      <c r="C827"/>
      <c r="D827"/>
      <c r="E827"/>
      <c r="F827" s="27" t="s">
        <v>7</v>
      </c>
      <c r="FU827" s="27" t="s">
        <v>8</v>
      </c>
      <c r="FV827" s="27" t="s">
        <v>7</v>
      </c>
      <c r="GK827" s="27" t="s">
        <v>8</v>
      </c>
      <c r="HV827" s="27" t="s">
        <v>7</v>
      </c>
      <c r="HW827" s="27" t="s">
        <v>8</v>
      </c>
      <c r="HX827" s="27" t="s">
        <v>7</v>
      </c>
      <c r="HY827" s="27" t="s">
        <v>8</v>
      </c>
      <c r="HZ827" s="27" t="s">
        <v>7</v>
      </c>
      <c r="IB827" s="27" t="s">
        <v>7</v>
      </c>
      <c r="IC827" s="27" t="s">
        <v>8</v>
      </c>
      <c r="IF827" s="27" t="s">
        <v>7</v>
      </c>
      <c r="IG827" s="27" t="s">
        <v>8</v>
      </c>
      <c r="IH827" s="27" t="s">
        <v>7</v>
      </c>
      <c r="JM827" s="27" t="s">
        <v>8</v>
      </c>
      <c r="KB827" s="27" t="s">
        <v>7</v>
      </c>
      <c r="KC827" s="27" t="s">
        <v>8</v>
      </c>
      <c r="KH827" s="27" t="s">
        <v>7</v>
      </c>
      <c r="KI827" s="27" t="s">
        <v>8</v>
      </c>
      <c r="KJ827" s="27" t="s">
        <v>7</v>
      </c>
      <c r="KQ827" s="27" t="s">
        <v>8</v>
      </c>
      <c r="KT827" s="27" t="s">
        <v>7</v>
      </c>
      <c r="KU827" s="27" t="s">
        <v>8</v>
      </c>
      <c r="LP827" s="27" t="s">
        <v>7</v>
      </c>
      <c r="LQ827" s="27" t="s">
        <v>8</v>
      </c>
      <c r="LR827" s="27" t="s">
        <v>7</v>
      </c>
      <c r="LS827" s="27" t="s">
        <v>8</v>
      </c>
      <c r="LU827" s="27" t="s">
        <v>8</v>
      </c>
      <c r="MI827" s="27" t="s">
        <v>8</v>
      </c>
      <c r="MJ827" s="27" t="s">
        <v>7</v>
      </c>
    </row>
    <row r="828" spans="1:348" x14ac:dyDescent="0.25">
      <c r="A828" s="7">
        <v>8.4597709653908715E-3</v>
      </c>
      <c r="B828"/>
      <c r="C828"/>
      <c r="D828"/>
      <c r="E828"/>
      <c r="F828" s="27" t="s">
        <v>7</v>
      </c>
      <c r="FU828" s="27" t="s">
        <v>8</v>
      </c>
      <c r="FV828" s="27" t="s">
        <v>7</v>
      </c>
      <c r="GK828" s="27" t="s">
        <v>8</v>
      </c>
      <c r="HV828" s="27" t="s">
        <v>7</v>
      </c>
      <c r="HW828" s="27" t="s">
        <v>8</v>
      </c>
      <c r="HX828" s="27" t="s">
        <v>7</v>
      </c>
      <c r="HY828" s="27" t="s">
        <v>8</v>
      </c>
      <c r="IB828" s="27" t="s">
        <v>7</v>
      </c>
      <c r="IC828" s="27" t="s">
        <v>8</v>
      </c>
      <c r="IF828" s="27" t="s">
        <v>7</v>
      </c>
      <c r="IG828" s="27" t="s">
        <v>8</v>
      </c>
      <c r="IH828" s="27" t="s">
        <v>7</v>
      </c>
      <c r="JM828" s="27" t="s">
        <v>8</v>
      </c>
      <c r="KB828" s="27" t="s">
        <v>7</v>
      </c>
      <c r="KC828" s="27" t="s">
        <v>8</v>
      </c>
      <c r="KH828" s="27" t="s">
        <v>7</v>
      </c>
      <c r="KI828" s="27" t="s">
        <v>8</v>
      </c>
      <c r="KJ828" s="27" t="s">
        <v>7</v>
      </c>
      <c r="KK828" s="27" t="s">
        <v>8</v>
      </c>
      <c r="KO828" s="27" t="s">
        <v>8</v>
      </c>
      <c r="KQ828" s="27" t="s">
        <v>8</v>
      </c>
      <c r="KT828" s="27" t="s">
        <v>7</v>
      </c>
      <c r="LP828" s="27" t="s">
        <v>7</v>
      </c>
      <c r="LQ828" s="27" t="s">
        <v>8</v>
      </c>
      <c r="LR828" s="27" t="s">
        <v>7</v>
      </c>
      <c r="LS828" s="27" t="s">
        <v>8</v>
      </c>
      <c r="LT828" s="27" t="s">
        <v>7</v>
      </c>
      <c r="LU828" s="27" t="s">
        <v>8</v>
      </c>
      <c r="LV828" s="27" t="s">
        <v>7</v>
      </c>
      <c r="MI828" s="27" t="s">
        <v>8</v>
      </c>
      <c r="MJ828" s="27" t="s">
        <v>7</v>
      </c>
    </row>
    <row r="829" spans="1:348" x14ac:dyDescent="0.25">
      <c r="A829" s="7">
        <v>8.2938931033243839E-3</v>
      </c>
      <c r="B829"/>
      <c r="C829"/>
      <c r="D829"/>
      <c r="E829"/>
      <c r="F829" s="27" t="s">
        <v>7</v>
      </c>
      <c r="FU829" s="27" t="s">
        <v>8</v>
      </c>
      <c r="FV829" s="27" t="s">
        <v>7</v>
      </c>
      <c r="GK829" s="27" t="s">
        <v>8</v>
      </c>
      <c r="HV829" s="27" t="s">
        <v>7</v>
      </c>
      <c r="HW829" s="27" t="s">
        <v>8</v>
      </c>
      <c r="HX829" s="27" t="s">
        <v>7</v>
      </c>
      <c r="HY829" s="27" t="s">
        <v>8</v>
      </c>
      <c r="IB829" s="27" t="s">
        <v>7</v>
      </c>
      <c r="IC829" s="27" t="s">
        <v>8</v>
      </c>
      <c r="IF829" s="27" t="s">
        <v>7</v>
      </c>
      <c r="IG829" s="27" t="s">
        <v>8</v>
      </c>
      <c r="IH829" s="27" t="s">
        <v>7</v>
      </c>
      <c r="II829" s="27" t="s">
        <v>8</v>
      </c>
      <c r="JM829" s="27" t="s">
        <v>8</v>
      </c>
      <c r="KB829" s="27" t="s">
        <v>7</v>
      </c>
      <c r="KC829" s="27" t="s">
        <v>8</v>
      </c>
      <c r="KH829" s="27" t="s">
        <v>7</v>
      </c>
      <c r="KI829" s="27" t="s">
        <v>8</v>
      </c>
      <c r="KJ829" s="27" t="s">
        <v>7</v>
      </c>
      <c r="KK829" s="27" t="s">
        <v>8</v>
      </c>
      <c r="KL829" s="27" t="s">
        <v>7</v>
      </c>
      <c r="KM829" s="27" t="s">
        <v>8</v>
      </c>
      <c r="KO829" s="27" t="s">
        <v>8</v>
      </c>
      <c r="KP829" s="27" t="s">
        <v>7</v>
      </c>
      <c r="KQ829" s="27" t="s">
        <v>8</v>
      </c>
      <c r="LP829" s="27" t="s">
        <v>7</v>
      </c>
      <c r="LQ829" s="27" t="s">
        <v>8</v>
      </c>
      <c r="LR829" s="27" t="s">
        <v>7</v>
      </c>
      <c r="LS829" s="27" t="s">
        <v>8</v>
      </c>
      <c r="LT829" s="27" t="s">
        <v>7</v>
      </c>
      <c r="LU829" s="27" t="s">
        <v>8</v>
      </c>
      <c r="LV829" s="27" t="s">
        <v>7</v>
      </c>
      <c r="MI829" s="27" t="s">
        <v>8</v>
      </c>
      <c r="MJ829" s="27" t="s">
        <v>7</v>
      </c>
    </row>
    <row r="830" spans="1:348" x14ac:dyDescent="0.25">
      <c r="A830" s="7">
        <v>8.1312677483572383E-3</v>
      </c>
      <c r="B830"/>
      <c r="C830"/>
      <c r="D830"/>
      <c r="E830"/>
      <c r="F830" s="27" t="s">
        <v>7</v>
      </c>
      <c r="FU830" s="27" t="s">
        <v>8</v>
      </c>
      <c r="FV830" s="27" t="s">
        <v>7</v>
      </c>
      <c r="GK830" s="27" t="s">
        <v>8</v>
      </c>
      <c r="HV830" s="27" t="s">
        <v>7</v>
      </c>
      <c r="HW830" s="27" t="s">
        <v>8</v>
      </c>
      <c r="HX830" s="27" t="s">
        <v>7</v>
      </c>
      <c r="HY830" s="27" t="s">
        <v>8</v>
      </c>
      <c r="IB830" s="27" t="s">
        <v>7</v>
      </c>
      <c r="IC830" s="27" t="s">
        <v>8</v>
      </c>
      <c r="IF830" s="27" t="s">
        <v>7</v>
      </c>
      <c r="IG830" s="27" t="s">
        <v>8</v>
      </c>
      <c r="IH830" s="27" t="s">
        <v>7</v>
      </c>
      <c r="II830" s="27" t="s">
        <v>8</v>
      </c>
      <c r="IJ830" s="27" t="s">
        <v>7</v>
      </c>
      <c r="JM830" s="27" t="s">
        <v>8</v>
      </c>
      <c r="KB830" s="27" t="s">
        <v>7</v>
      </c>
      <c r="KC830" s="27" t="s">
        <v>8</v>
      </c>
      <c r="KH830" s="27" t="s">
        <v>7</v>
      </c>
      <c r="KI830" s="27" t="s">
        <v>8</v>
      </c>
      <c r="KJ830" s="27" t="s">
        <v>7</v>
      </c>
      <c r="KK830" s="27" t="s">
        <v>8</v>
      </c>
      <c r="KL830" s="27" t="s">
        <v>7</v>
      </c>
      <c r="KM830" s="27" t="s">
        <v>8</v>
      </c>
      <c r="KN830" s="27" t="s">
        <v>7</v>
      </c>
      <c r="KO830" s="27" t="s">
        <v>8</v>
      </c>
      <c r="KP830" s="27" t="s">
        <v>7</v>
      </c>
      <c r="KQ830" s="27" t="s">
        <v>8</v>
      </c>
      <c r="LP830" s="27" t="s">
        <v>7</v>
      </c>
      <c r="LQ830" s="27" t="s">
        <v>8</v>
      </c>
      <c r="LR830" s="27" t="s">
        <v>7</v>
      </c>
      <c r="LT830" s="27" t="s">
        <v>7</v>
      </c>
      <c r="LU830" s="27" t="s">
        <v>8</v>
      </c>
      <c r="LV830" s="27" t="s">
        <v>7</v>
      </c>
      <c r="MI830" s="27" t="s">
        <v>8</v>
      </c>
      <c r="MJ830" s="27" t="s">
        <v>7</v>
      </c>
    </row>
    <row r="831" spans="1:348" x14ac:dyDescent="0.25">
      <c r="A831" s="7">
        <v>7.9718311258404305E-3</v>
      </c>
      <c r="B831"/>
      <c r="C831"/>
      <c r="D831"/>
      <c r="E831"/>
      <c r="F831" s="27" t="s">
        <v>7</v>
      </c>
      <c r="FU831" s="27" t="s">
        <v>8</v>
      </c>
      <c r="FV831" s="27" t="s">
        <v>7</v>
      </c>
      <c r="GK831" s="27" t="s">
        <v>8</v>
      </c>
      <c r="HV831" s="27" t="s">
        <v>7</v>
      </c>
      <c r="HW831" s="27" t="s">
        <v>8</v>
      </c>
      <c r="HX831" s="27" t="s">
        <v>7</v>
      </c>
      <c r="HY831" s="27" t="s">
        <v>8</v>
      </c>
      <c r="IB831" s="27" t="s">
        <v>7</v>
      </c>
      <c r="IC831" s="27" t="s">
        <v>8</v>
      </c>
      <c r="IF831" s="27" t="s">
        <v>7</v>
      </c>
      <c r="IG831" s="27" t="s">
        <v>8</v>
      </c>
      <c r="IH831" s="27" t="s">
        <v>7</v>
      </c>
      <c r="II831" s="27" t="s">
        <v>8</v>
      </c>
      <c r="IJ831" s="27" t="s">
        <v>7</v>
      </c>
      <c r="JM831" s="27" t="s">
        <v>8</v>
      </c>
      <c r="KB831" s="27" t="s">
        <v>7</v>
      </c>
      <c r="KC831" s="27" t="s">
        <v>8</v>
      </c>
      <c r="KH831" s="27" t="s">
        <v>7</v>
      </c>
      <c r="KI831" s="27" t="s">
        <v>8</v>
      </c>
      <c r="KJ831" s="27" t="s">
        <v>7</v>
      </c>
      <c r="KK831" s="27" t="s">
        <v>8</v>
      </c>
      <c r="KL831" s="27" t="s">
        <v>7</v>
      </c>
      <c r="KM831" s="27" t="s">
        <v>8</v>
      </c>
      <c r="KN831" s="27" t="s">
        <v>7</v>
      </c>
      <c r="KO831" s="27" t="s">
        <v>8</v>
      </c>
      <c r="KP831" s="27" t="s">
        <v>7</v>
      </c>
      <c r="LP831" s="27" t="s">
        <v>7</v>
      </c>
      <c r="LQ831" s="27" t="s">
        <v>8</v>
      </c>
      <c r="LT831" s="27" t="s">
        <v>7</v>
      </c>
      <c r="LU831" s="27" t="s">
        <v>8</v>
      </c>
      <c r="LV831" s="27" t="s">
        <v>7</v>
      </c>
      <c r="MI831" s="27" t="s">
        <v>8</v>
      </c>
      <c r="MJ831" s="27" t="s">
        <v>7</v>
      </c>
    </row>
    <row r="832" spans="1:348" x14ac:dyDescent="0.25">
      <c r="A832" s="7">
        <v>7.8155207116082648E-3</v>
      </c>
      <c r="B832"/>
      <c r="C832"/>
      <c r="D832"/>
      <c r="E832"/>
      <c r="F832" s="27" t="s">
        <v>7</v>
      </c>
      <c r="FU832" s="27" t="s">
        <v>8</v>
      </c>
      <c r="FV832" s="27" t="s">
        <v>7</v>
      </c>
      <c r="GK832" s="27" t="s">
        <v>8</v>
      </c>
      <c r="HV832" s="27" t="s">
        <v>7</v>
      </c>
      <c r="HW832" s="27" t="s">
        <v>8</v>
      </c>
      <c r="HX832" s="27" t="s">
        <v>7</v>
      </c>
      <c r="HY832" s="27" t="s">
        <v>8</v>
      </c>
      <c r="IB832" s="27" t="s">
        <v>7</v>
      </c>
      <c r="IF832" s="27" t="s">
        <v>7</v>
      </c>
      <c r="IG832" s="27" t="s">
        <v>8</v>
      </c>
      <c r="IH832" s="27" t="s">
        <v>7</v>
      </c>
      <c r="II832" s="27" t="s">
        <v>8</v>
      </c>
      <c r="IJ832" s="27" t="s">
        <v>7</v>
      </c>
      <c r="JM832" s="27" t="s">
        <v>8</v>
      </c>
      <c r="KB832" s="27" t="s">
        <v>7</v>
      </c>
      <c r="KC832" s="27" t="s">
        <v>8</v>
      </c>
      <c r="KH832" s="27" t="s">
        <v>7</v>
      </c>
      <c r="KI832" s="27" t="s">
        <v>8</v>
      </c>
      <c r="KJ832" s="27" t="s">
        <v>7</v>
      </c>
      <c r="KL832" s="27" t="s">
        <v>7</v>
      </c>
      <c r="KM832" s="27" t="s">
        <v>8</v>
      </c>
      <c r="KN832" s="27" t="s">
        <v>7</v>
      </c>
      <c r="KO832" s="27" t="s">
        <v>8</v>
      </c>
      <c r="LP832" s="27" t="s">
        <v>7</v>
      </c>
      <c r="LT832" s="27" t="s">
        <v>7</v>
      </c>
      <c r="LV832" s="27" t="s">
        <v>7</v>
      </c>
      <c r="MI832" s="27" t="s">
        <v>8</v>
      </c>
      <c r="MJ832" s="27" t="s">
        <v>7</v>
      </c>
    </row>
    <row r="833" spans="1:355" x14ac:dyDescent="0.25">
      <c r="A833" s="7">
        <v>7.6622752074590825E-3</v>
      </c>
      <c r="B833"/>
      <c r="C833"/>
      <c r="D833"/>
      <c r="E833"/>
      <c r="F833" s="27" t="s">
        <v>7</v>
      </c>
      <c r="FU833" s="27" t="s">
        <v>8</v>
      </c>
      <c r="FV833" s="27" t="s">
        <v>7</v>
      </c>
      <c r="GK833" s="27" t="s">
        <v>8</v>
      </c>
      <c r="HV833" s="27" t="s">
        <v>7</v>
      </c>
      <c r="HW833" s="27" t="s">
        <v>8</v>
      </c>
      <c r="HX833" s="27" t="s">
        <v>7</v>
      </c>
      <c r="HY833" s="27" t="s">
        <v>8</v>
      </c>
      <c r="IF833" s="27" t="s">
        <v>7</v>
      </c>
      <c r="IG833" s="27" t="s">
        <v>8</v>
      </c>
      <c r="IH833" s="27" t="s">
        <v>7</v>
      </c>
      <c r="II833" s="27" t="s">
        <v>8</v>
      </c>
      <c r="IJ833" s="27" t="s">
        <v>7</v>
      </c>
      <c r="JK833" s="27" t="s">
        <v>8</v>
      </c>
      <c r="JM833" s="27" t="s">
        <v>8</v>
      </c>
      <c r="KB833" s="27" t="s">
        <v>7</v>
      </c>
      <c r="KC833" s="27" t="s">
        <v>8</v>
      </c>
      <c r="KH833" s="27" t="s">
        <v>7</v>
      </c>
      <c r="KI833" s="27" t="s">
        <v>8</v>
      </c>
      <c r="KL833" s="27" t="s">
        <v>7</v>
      </c>
      <c r="KN833" s="27" t="s">
        <v>7</v>
      </c>
      <c r="KO833" s="27" t="s">
        <v>8</v>
      </c>
      <c r="LV833" s="27" t="s">
        <v>7</v>
      </c>
      <c r="MI833" s="27" t="s">
        <v>8</v>
      </c>
      <c r="MJ833" s="27" t="s">
        <v>7</v>
      </c>
    </row>
    <row r="834" spans="1:355" x14ac:dyDescent="0.25">
      <c r="A834" s="7">
        <v>7.5120345171167469E-3</v>
      </c>
      <c r="B834"/>
      <c r="C834"/>
      <c r="D834"/>
      <c r="E834"/>
      <c r="F834" s="27" t="s">
        <v>7</v>
      </c>
      <c r="FU834" s="27" t="s">
        <v>8</v>
      </c>
      <c r="FV834" s="27" t="s">
        <v>7</v>
      </c>
      <c r="GK834" s="27" t="s">
        <v>8</v>
      </c>
      <c r="HV834" s="27" t="s">
        <v>7</v>
      </c>
      <c r="HW834" s="27" t="s">
        <v>8</v>
      </c>
      <c r="HX834" s="27" t="s">
        <v>7</v>
      </c>
      <c r="HY834" s="27" t="s">
        <v>8</v>
      </c>
      <c r="IF834" s="27" t="s">
        <v>7</v>
      </c>
      <c r="IG834" s="27" t="s">
        <v>8</v>
      </c>
      <c r="IH834" s="27" t="s">
        <v>7</v>
      </c>
      <c r="II834" s="27" t="s">
        <v>8</v>
      </c>
      <c r="IJ834" s="27" t="s">
        <v>7</v>
      </c>
      <c r="JK834" s="27" t="s">
        <v>8</v>
      </c>
      <c r="JL834" s="27" t="s">
        <v>7</v>
      </c>
      <c r="JM834" s="27" t="s">
        <v>8</v>
      </c>
      <c r="KB834" s="27" t="s">
        <v>7</v>
      </c>
      <c r="KC834" s="27" t="s">
        <v>8</v>
      </c>
      <c r="KH834" s="27" t="s">
        <v>7</v>
      </c>
      <c r="KI834" s="27" t="s">
        <v>8</v>
      </c>
      <c r="KN834" s="27" t="s">
        <v>7</v>
      </c>
      <c r="LV834" s="27" t="s">
        <v>7</v>
      </c>
      <c r="LY834" s="27" t="s">
        <v>8</v>
      </c>
      <c r="MI834" s="27" t="s">
        <v>8</v>
      </c>
      <c r="MJ834" s="27" t="s">
        <v>7</v>
      </c>
    </row>
    <row r="835" spans="1:355" x14ac:dyDescent="0.25">
      <c r="A835" s="7">
        <v>7.3647397226634772E-3</v>
      </c>
      <c r="B835"/>
      <c r="C835"/>
      <c r="D835"/>
      <c r="E835"/>
      <c r="F835" s="27" t="s">
        <v>7</v>
      </c>
      <c r="FU835" s="27" t="s">
        <v>8</v>
      </c>
      <c r="FV835" s="27" t="s">
        <v>7</v>
      </c>
      <c r="FW835" s="27" t="s">
        <v>8</v>
      </c>
      <c r="GK835" s="27" t="s">
        <v>8</v>
      </c>
      <c r="HV835" s="27" t="s">
        <v>7</v>
      </c>
      <c r="HW835" s="27" t="s">
        <v>8</v>
      </c>
      <c r="HX835" s="27" t="s">
        <v>7</v>
      </c>
      <c r="HY835" s="27" t="s">
        <v>8</v>
      </c>
      <c r="IF835" s="27" t="s">
        <v>7</v>
      </c>
      <c r="IH835" s="27" t="s">
        <v>7</v>
      </c>
      <c r="II835" s="27" t="s">
        <v>8</v>
      </c>
      <c r="IJ835" s="27" t="s">
        <v>7</v>
      </c>
      <c r="JK835" s="27" t="s">
        <v>8</v>
      </c>
      <c r="JL835" s="27" t="s">
        <v>7</v>
      </c>
      <c r="JM835" s="27" t="s">
        <v>8</v>
      </c>
      <c r="KB835" s="27" t="s">
        <v>7</v>
      </c>
      <c r="KC835" s="27" t="s">
        <v>8</v>
      </c>
      <c r="KH835" s="27" t="s">
        <v>7</v>
      </c>
      <c r="KI835" s="27" t="s">
        <v>8</v>
      </c>
      <c r="LV835" s="27" t="s">
        <v>7</v>
      </c>
      <c r="LY835" s="27" t="s">
        <v>8</v>
      </c>
      <c r="LZ835" s="27" t="s">
        <v>7</v>
      </c>
      <c r="MI835" s="27" t="s">
        <v>8</v>
      </c>
      <c r="MJ835" s="27" t="s">
        <v>7</v>
      </c>
    </row>
    <row r="836" spans="1:355" x14ac:dyDescent="0.25">
      <c r="A836" s="7">
        <v>7.2203330614347815E-3</v>
      </c>
      <c r="B836"/>
      <c r="C836"/>
      <c r="D836"/>
      <c r="E836"/>
      <c r="F836" s="27" t="s">
        <v>7</v>
      </c>
      <c r="FU836" s="27" t="s">
        <v>8</v>
      </c>
      <c r="FV836" s="27" t="s">
        <v>7</v>
      </c>
      <c r="FW836" s="27" t="s">
        <v>8</v>
      </c>
      <c r="FX836" s="27" t="s">
        <v>7</v>
      </c>
      <c r="GA836" s="27" t="s">
        <v>8</v>
      </c>
      <c r="GG836" s="27" t="s">
        <v>8</v>
      </c>
      <c r="GK836" s="27" t="s">
        <v>8</v>
      </c>
      <c r="HV836" s="27" t="s">
        <v>7</v>
      </c>
      <c r="HW836" s="27" t="s">
        <v>8</v>
      </c>
      <c r="HX836" s="27" t="s">
        <v>7</v>
      </c>
      <c r="HY836" s="27" t="s">
        <v>8</v>
      </c>
      <c r="IH836" s="27" t="s">
        <v>7</v>
      </c>
      <c r="IJ836" s="27" t="s">
        <v>7</v>
      </c>
      <c r="JK836" s="27" t="s">
        <v>8</v>
      </c>
      <c r="JL836" s="27" t="s">
        <v>7</v>
      </c>
      <c r="JM836" s="27" t="s">
        <v>8</v>
      </c>
      <c r="KB836" s="27" t="s">
        <v>7</v>
      </c>
      <c r="KC836" s="27" t="s">
        <v>8</v>
      </c>
      <c r="KH836" s="27" t="s">
        <v>7</v>
      </c>
      <c r="LV836" s="27" t="s">
        <v>7</v>
      </c>
      <c r="LY836" s="27" t="s">
        <v>8</v>
      </c>
      <c r="LZ836" s="27" t="s">
        <v>7</v>
      </c>
      <c r="MI836" s="27" t="s">
        <v>8</v>
      </c>
      <c r="MJ836" s="27" t="s">
        <v>7</v>
      </c>
    </row>
    <row r="837" spans="1:355" x14ac:dyDescent="0.25">
      <c r="A837" s="7">
        <v>7.0787579033674327E-3</v>
      </c>
      <c r="B837"/>
      <c r="C837"/>
      <c r="D837"/>
      <c r="E837"/>
      <c r="F837" s="27" t="s">
        <v>7</v>
      </c>
      <c r="FU837" s="27" t="s">
        <v>8</v>
      </c>
      <c r="FV837" s="27" t="s">
        <v>7</v>
      </c>
      <c r="FW837" s="27" t="s">
        <v>8</v>
      </c>
      <c r="FX837" s="27" t="s">
        <v>7</v>
      </c>
      <c r="GA837" s="27" t="s">
        <v>8</v>
      </c>
      <c r="GB837" s="27" t="s">
        <v>7</v>
      </c>
      <c r="GG837" s="27" t="s">
        <v>8</v>
      </c>
      <c r="GH837" s="27" t="s">
        <v>7</v>
      </c>
      <c r="GK837" s="27" t="s">
        <v>8</v>
      </c>
      <c r="HV837" s="27" t="s">
        <v>7</v>
      </c>
      <c r="HW837" s="27" t="s">
        <v>8</v>
      </c>
      <c r="HX837" s="27" t="s">
        <v>7</v>
      </c>
      <c r="HY837" s="27" t="s">
        <v>8</v>
      </c>
      <c r="IJ837" s="27" t="s">
        <v>7</v>
      </c>
      <c r="IM837" s="27" t="s">
        <v>8</v>
      </c>
      <c r="JK837" s="27" t="s">
        <v>8</v>
      </c>
      <c r="JL837" s="27" t="s">
        <v>7</v>
      </c>
      <c r="JM837" s="27" t="s">
        <v>8</v>
      </c>
      <c r="KB837" s="27" t="s">
        <v>7</v>
      </c>
      <c r="LV837" s="27" t="s">
        <v>7</v>
      </c>
      <c r="LW837" s="27" t="s">
        <v>8</v>
      </c>
      <c r="LY837" s="27" t="s">
        <v>8</v>
      </c>
      <c r="LZ837" s="27" t="s">
        <v>7</v>
      </c>
      <c r="MI837" s="27" t="s">
        <v>8</v>
      </c>
      <c r="MJ837" s="27" t="s">
        <v>7</v>
      </c>
    </row>
    <row r="838" spans="1:355" x14ac:dyDescent="0.25">
      <c r="A838" s="7">
        <v>6.9399587287916013E-3</v>
      </c>
      <c r="B838"/>
      <c r="C838"/>
      <c r="D838"/>
      <c r="E838"/>
      <c r="F838" s="27" t="s">
        <v>7</v>
      </c>
      <c r="FU838" s="27" t="s">
        <v>8</v>
      </c>
      <c r="FV838" s="27" t="s">
        <v>7</v>
      </c>
      <c r="FW838" s="27" t="s">
        <v>8</v>
      </c>
      <c r="FX838" s="27" t="s">
        <v>7</v>
      </c>
      <c r="GA838" s="27" t="s">
        <v>8</v>
      </c>
      <c r="GB838" s="27" t="s">
        <v>7</v>
      </c>
      <c r="GG838" s="27" t="s">
        <v>8</v>
      </c>
      <c r="GH838" s="27" t="s">
        <v>7</v>
      </c>
      <c r="GK838" s="27" t="s">
        <v>8</v>
      </c>
      <c r="HV838" s="27" t="s">
        <v>7</v>
      </c>
      <c r="HW838" s="27" t="s">
        <v>8</v>
      </c>
      <c r="HX838" s="27" t="s">
        <v>7</v>
      </c>
      <c r="HY838" s="27" t="s">
        <v>8</v>
      </c>
      <c r="IJ838" s="27" t="s">
        <v>7</v>
      </c>
      <c r="IK838" s="27" t="s">
        <v>8</v>
      </c>
      <c r="IM838" s="27" t="s">
        <v>8</v>
      </c>
      <c r="IN838" s="27" t="s">
        <v>7</v>
      </c>
      <c r="IO838" s="27" t="s">
        <v>8</v>
      </c>
      <c r="IQ838" s="27" t="s">
        <v>8</v>
      </c>
      <c r="JC838" s="27" t="s">
        <v>8</v>
      </c>
      <c r="JK838" s="27" t="s">
        <v>8</v>
      </c>
      <c r="JL838" s="27" t="s">
        <v>7</v>
      </c>
      <c r="JM838" s="27" t="s">
        <v>8</v>
      </c>
      <c r="LV838" s="27" t="s">
        <v>7</v>
      </c>
      <c r="LW838" s="27" t="s">
        <v>8</v>
      </c>
      <c r="LX838" s="27" t="s">
        <v>7</v>
      </c>
      <c r="LY838" s="27" t="s">
        <v>8</v>
      </c>
      <c r="LZ838" s="27" t="s">
        <v>7</v>
      </c>
      <c r="MI838" s="27" t="s">
        <v>8</v>
      </c>
      <c r="MJ838" s="27" t="s">
        <v>7</v>
      </c>
    </row>
    <row r="839" spans="1:355" x14ac:dyDescent="0.25">
      <c r="A839" s="7">
        <v>6.8038811066584333E-3</v>
      </c>
      <c r="B839"/>
      <c r="C839"/>
      <c r="D839"/>
      <c r="E839"/>
      <c r="F839" s="27" t="s">
        <v>7</v>
      </c>
      <c r="FU839" s="27" t="s">
        <v>8</v>
      </c>
      <c r="FV839" s="27" t="s">
        <v>7</v>
      </c>
      <c r="FW839" s="27" t="s">
        <v>8</v>
      </c>
      <c r="FX839" s="27" t="s">
        <v>7</v>
      </c>
      <c r="GA839" s="27" t="s">
        <v>8</v>
      </c>
      <c r="GB839" s="27" t="s">
        <v>7</v>
      </c>
      <c r="GG839" s="27" t="s">
        <v>8</v>
      </c>
      <c r="GH839" s="27" t="s">
        <v>7</v>
      </c>
      <c r="GK839" s="27" t="s">
        <v>8</v>
      </c>
      <c r="HV839" s="27" t="s">
        <v>7</v>
      </c>
      <c r="HW839" s="27" t="s">
        <v>8</v>
      </c>
      <c r="HX839" s="27" t="s">
        <v>7</v>
      </c>
      <c r="HY839" s="27" t="s">
        <v>8</v>
      </c>
      <c r="IJ839" s="27" t="s">
        <v>7</v>
      </c>
      <c r="IK839" s="27" t="s">
        <v>8</v>
      </c>
      <c r="IL839" s="27" t="s">
        <v>7</v>
      </c>
      <c r="IM839" s="27" t="s">
        <v>8</v>
      </c>
      <c r="IN839" s="27" t="s">
        <v>7</v>
      </c>
      <c r="IO839" s="27" t="s">
        <v>8</v>
      </c>
      <c r="IP839" s="27" t="s">
        <v>7</v>
      </c>
      <c r="IQ839" s="27" t="s">
        <v>8</v>
      </c>
      <c r="IR839" s="27" t="s">
        <v>7</v>
      </c>
      <c r="IS839" s="27" t="s">
        <v>8</v>
      </c>
      <c r="JC839" s="27" t="s">
        <v>8</v>
      </c>
      <c r="JD839" s="27" t="s">
        <v>7</v>
      </c>
      <c r="JK839" s="27" t="s">
        <v>8</v>
      </c>
      <c r="JL839" s="27" t="s">
        <v>7</v>
      </c>
      <c r="LV839" s="27" t="s">
        <v>7</v>
      </c>
      <c r="LW839" s="27" t="s">
        <v>8</v>
      </c>
      <c r="LX839" s="27" t="s">
        <v>7</v>
      </c>
      <c r="LY839" s="27" t="s">
        <v>8</v>
      </c>
      <c r="LZ839" s="27" t="s">
        <v>7</v>
      </c>
      <c r="MI839" s="27" t="s">
        <v>8</v>
      </c>
      <c r="MJ839" s="27" t="s">
        <v>7</v>
      </c>
      <c r="MM839" s="27" t="s">
        <v>8</v>
      </c>
    </row>
    <row r="840" spans="1:355" x14ac:dyDescent="0.25">
      <c r="A840" s="7">
        <v>6.6704716731945425E-3</v>
      </c>
      <c r="B840"/>
      <c r="C840"/>
      <c r="D840"/>
      <c r="E840"/>
      <c r="F840" s="27" t="s">
        <v>7</v>
      </c>
      <c r="FU840" s="27" t="s">
        <v>8</v>
      </c>
      <c r="FV840" s="27" t="s">
        <v>7</v>
      </c>
      <c r="FW840" s="27" t="s">
        <v>8</v>
      </c>
      <c r="FX840" s="27" t="s">
        <v>7</v>
      </c>
      <c r="GA840" s="27" t="s">
        <v>8</v>
      </c>
      <c r="GB840" s="27" t="s">
        <v>7</v>
      </c>
      <c r="GG840" s="27" t="s">
        <v>8</v>
      </c>
      <c r="GH840" s="27" t="s">
        <v>7</v>
      </c>
      <c r="GK840" s="27" t="s">
        <v>8</v>
      </c>
      <c r="HV840" s="27" t="s">
        <v>7</v>
      </c>
      <c r="HW840" s="27" t="s">
        <v>8</v>
      </c>
      <c r="HX840" s="27" t="s">
        <v>7</v>
      </c>
      <c r="IJ840" s="27" t="s">
        <v>7</v>
      </c>
      <c r="IK840" s="27" t="s">
        <v>8</v>
      </c>
      <c r="IL840" s="27" t="s">
        <v>7</v>
      </c>
      <c r="IM840" s="27" t="s">
        <v>8</v>
      </c>
      <c r="IN840" s="27" t="s">
        <v>7</v>
      </c>
      <c r="IO840" s="27" t="s">
        <v>8</v>
      </c>
      <c r="IP840" s="27" t="s">
        <v>7</v>
      </c>
      <c r="IQ840" s="27" t="s">
        <v>8</v>
      </c>
      <c r="IR840" s="27" t="s">
        <v>7</v>
      </c>
      <c r="IS840" s="27" t="s">
        <v>8</v>
      </c>
      <c r="IT840" s="27" t="s">
        <v>7</v>
      </c>
      <c r="JC840" s="27" t="s">
        <v>8</v>
      </c>
      <c r="JD840" s="27" t="s">
        <v>7</v>
      </c>
      <c r="JG840" s="27" t="s">
        <v>8</v>
      </c>
      <c r="JI840" s="27" t="s">
        <v>8</v>
      </c>
      <c r="JK840" s="27" t="s">
        <v>8</v>
      </c>
      <c r="LV840" s="27" t="s">
        <v>7</v>
      </c>
      <c r="LW840" s="27" t="s">
        <v>8</v>
      </c>
      <c r="LX840" s="27" t="s">
        <v>7</v>
      </c>
      <c r="LY840" s="27" t="s">
        <v>8</v>
      </c>
      <c r="LZ840" s="27" t="s">
        <v>7</v>
      </c>
      <c r="MI840" s="27" t="s">
        <v>8</v>
      </c>
      <c r="MJ840" s="27" t="s">
        <v>7</v>
      </c>
      <c r="MM840" s="27" t="s">
        <v>8</v>
      </c>
      <c r="MN840" s="27" t="s">
        <v>7</v>
      </c>
    </row>
    <row r="841" spans="1:355" x14ac:dyDescent="0.25">
      <c r="A841" s="7">
        <v>6.5396781109750427E-3</v>
      </c>
      <c r="B841"/>
      <c r="C841"/>
      <c r="D841"/>
      <c r="E841"/>
      <c r="F841" s="27" t="s">
        <v>7</v>
      </c>
      <c r="FU841" s="27" t="s">
        <v>8</v>
      </c>
      <c r="FV841" s="27" t="s">
        <v>7</v>
      </c>
      <c r="FW841" s="27" t="s">
        <v>8</v>
      </c>
      <c r="FX841" s="27" t="s">
        <v>7</v>
      </c>
      <c r="GA841" s="27" t="s">
        <v>8</v>
      </c>
      <c r="GB841" s="27" t="s">
        <v>7</v>
      </c>
      <c r="GG841" s="27" t="s">
        <v>8</v>
      </c>
      <c r="GH841" s="27" t="s">
        <v>7</v>
      </c>
      <c r="GI841" s="27" t="s">
        <v>8</v>
      </c>
      <c r="GK841" s="27" t="s">
        <v>8</v>
      </c>
      <c r="HV841" s="27" t="s">
        <v>7</v>
      </c>
      <c r="HW841" s="27" t="s">
        <v>8</v>
      </c>
      <c r="IJ841" s="27" t="s">
        <v>7</v>
      </c>
      <c r="IK841" s="27" t="s">
        <v>8</v>
      </c>
      <c r="IL841" s="27" t="s">
        <v>7</v>
      </c>
      <c r="IM841" s="27" t="s">
        <v>8</v>
      </c>
      <c r="IN841" s="27" t="s">
        <v>7</v>
      </c>
      <c r="IO841" s="27" t="s">
        <v>8</v>
      </c>
      <c r="IP841" s="27" t="s">
        <v>7</v>
      </c>
      <c r="IR841" s="27" t="s">
        <v>7</v>
      </c>
      <c r="IS841" s="27" t="s">
        <v>8</v>
      </c>
      <c r="IT841" s="27" t="s">
        <v>7</v>
      </c>
      <c r="JC841" s="27" t="s">
        <v>8</v>
      </c>
      <c r="JD841" s="27" t="s">
        <v>7</v>
      </c>
      <c r="JE841" s="27" t="s">
        <v>8</v>
      </c>
      <c r="JG841" s="27" t="s">
        <v>8</v>
      </c>
      <c r="JH841" s="27" t="s">
        <v>7</v>
      </c>
      <c r="JI841" s="27" t="s">
        <v>8</v>
      </c>
      <c r="JJ841" s="27" t="s">
        <v>7</v>
      </c>
      <c r="JK841" s="27" t="s">
        <v>8</v>
      </c>
      <c r="LV841" s="27" t="s">
        <v>7</v>
      </c>
      <c r="LW841" s="27" t="s">
        <v>8</v>
      </c>
      <c r="LX841" s="27" t="s">
        <v>7</v>
      </c>
      <c r="LY841" s="27" t="s">
        <v>8</v>
      </c>
      <c r="LZ841" s="27" t="s">
        <v>7</v>
      </c>
      <c r="MG841" s="27" t="s">
        <v>8</v>
      </c>
      <c r="MI841" s="27" t="s">
        <v>8</v>
      </c>
      <c r="MJ841" s="27" t="s">
        <v>7</v>
      </c>
      <c r="MK841" s="27" t="s">
        <v>8</v>
      </c>
      <c r="MM841" s="27" t="s">
        <v>8</v>
      </c>
      <c r="MN841" s="27" t="s">
        <v>7</v>
      </c>
    </row>
    <row r="842" spans="1:355" x14ac:dyDescent="0.25">
      <c r="A842" s="7">
        <v>6.4114491284069045E-3</v>
      </c>
      <c r="B842"/>
      <c r="C842"/>
      <c r="D842"/>
      <c r="E842"/>
      <c r="F842" s="27" t="s">
        <v>7</v>
      </c>
      <c r="FU842" s="27" t="s">
        <v>8</v>
      </c>
      <c r="FV842" s="27" t="s">
        <v>7</v>
      </c>
      <c r="FW842" s="27" t="s">
        <v>8</v>
      </c>
      <c r="FX842" s="27" t="s">
        <v>7</v>
      </c>
      <c r="FY842" s="27" t="s">
        <v>8</v>
      </c>
      <c r="GA842" s="27" t="s">
        <v>8</v>
      </c>
      <c r="GB842" s="27" t="s">
        <v>7</v>
      </c>
      <c r="GG842" s="27" t="s">
        <v>8</v>
      </c>
      <c r="GH842" s="27" t="s">
        <v>7</v>
      </c>
      <c r="GI842" s="27" t="s">
        <v>8</v>
      </c>
      <c r="GJ842" s="27" t="s">
        <v>7</v>
      </c>
      <c r="GK842" s="27" t="s">
        <v>8</v>
      </c>
      <c r="HV842" s="27" t="s">
        <v>7</v>
      </c>
      <c r="HW842" s="27" t="s">
        <v>8</v>
      </c>
      <c r="IJ842" s="27" t="s">
        <v>7</v>
      </c>
      <c r="IK842" s="27" t="s">
        <v>8</v>
      </c>
      <c r="IL842" s="27" t="s">
        <v>7</v>
      </c>
      <c r="IM842" s="27" t="s">
        <v>8</v>
      </c>
      <c r="IN842" s="27" t="s">
        <v>7</v>
      </c>
      <c r="IR842" s="27" t="s">
        <v>7</v>
      </c>
      <c r="IT842" s="27" t="s">
        <v>7</v>
      </c>
      <c r="JC842" s="27" t="s">
        <v>8</v>
      </c>
      <c r="JD842" s="27" t="s">
        <v>7</v>
      </c>
      <c r="JE842" s="27" t="s">
        <v>8</v>
      </c>
      <c r="JF842" s="27" t="s">
        <v>7</v>
      </c>
      <c r="JG842" s="27" t="s">
        <v>8</v>
      </c>
      <c r="JH842" s="27" t="s">
        <v>7</v>
      </c>
      <c r="JI842" s="27" t="s">
        <v>8</v>
      </c>
      <c r="JJ842" s="27" t="s">
        <v>7</v>
      </c>
      <c r="JK842" s="27" t="s">
        <v>8</v>
      </c>
      <c r="LV842" s="27" t="s">
        <v>7</v>
      </c>
      <c r="LW842" s="27" t="s">
        <v>8</v>
      </c>
      <c r="LX842" s="27" t="s">
        <v>7</v>
      </c>
      <c r="LY842" s="27" t="s">
        <v>8</v>
      </c>
      <c r="LZ842" s="27" t="s">
        <v>7</v>
      </c>
      <c r="MA842" s="27" t="s">
        <v>8</v>
      </c>
      <c r="MG842" s="27" t="s">
        <v>8</v>
      </c>
      <c r="MH842" s="27" t="s">
        <v>7</v>
      </c>
      <c r="MI842" s="27" t="s">
        <v>8</v>
      </c>
      <c r="MJ842" s="27" t="s">
        <v>7</v>
      </c>
      <c r="MK842" s="27" t="s">
        <v>8</v>
      </c>
      <c r="ML842" s="27" t="s">
        <v>7</v>
      </c>
      <c r="MM842" s="27" t="s">
        <v>8</v>
      </c>
      <c r="MN842" s="27" t="s">
        <v>7</v>
      </c>
    </row>
    <row r="843" spans="1:355" x14ac:dyDescent="0.25">
      <c r="A843" s="7">
        <v>6.2857344396146115E-3</v>
      </c>
      <c r="B843"/>
      <c r="C843"/>
      <c r="D843"/>
      <c r="E843"/>
      <c r="F843" s="27" t="s">
        <v>7</v>
      </c>
      <c r="FU843" s="27" t="s">
        <v>8</v>
      </c>
      <c r="FV843" s="27" t="s">
        <v>7</v>
      </c>
      <c r="FW843" s="27" t="s">
        <v>8</v>
      </c>
      <c r="FX843" s="27" t="s">
        <v>7</v>
      </c>
      <c r="FY843" s="27" t="s">
        <v>8</v>
      </c>
      <c r="FZ843" s="27" t="s">
        <v>7</v>
      </c>
      <c r="GA843" s="27" t="s">
        <v>8</v>
      </c>
      <c r="GB843" s="27" t="s">
        <v>7</v>
      </c>
      <c r="GG843" s="27" t="s">
        <v>8</v>
      </c>
      <c r="GH843" s="27" t="s">
        <v>7</v>
      </c>
      <c r="GI843" s="27" t="s">
        <v>8</v>
      </c>
      <c r="GJ843" s="27" t="s">
        <v>7</v>
      </c>
      <c r="GK843" s="27" t="s">
        <v>8</v>
      </c>
      <c r="HV843" s="27" t="s">
        <v>7</v>
      </c>
      <c r="HW843" s="27" t="s">
        <v>8</v>
      </c>
      <c r="IJ843" s="27" t="s">
        <v>7</v>
      </c>
      <c r="IK843" s="27" t="s">
        <v>8</v>
      </c>
      <c r="IL843" s="27" t="s">
        <v>7</v>
      </c>
      <c r="IM843" s="27" t="s">
        <v>8</v>
      </c>
      <c r="IT843" s="27" t="s">
        <v>7</v>
      </c>
      <c r="IU843" s="27" t="s">
        <v>8</v>
      </c>
      <c r="JC843" s="27" t="s">
        <v>8</v>
      </c>
      <c r="JD843" s="27" t="s">
        <v>7</v>
      </c>
      <c r="JE843" s="27" t="s">
        <v>8</v>
      </c>
      <c r="JF843" s="27" t="s">
        <v>7</v>
      </c>
      <c r="JG843" s="27" t="s">
        <v>8</v>
      </c>
      <c r="JH843" s="27" t="s">
        <v>7</v>
      </c>
      <c r="JI843" s="27" t="s">
        <v>8</v>
      </c>
      <c r="JJ843" s="27" t="s">
        <v>7</v>
      </c>
      <c r="JK843" s="27" t="s">
        <v>8</v>
      </c>
      <c r="LV843" s="27" t="s">
        <v>7</v>
      </c>
      <c r="LW843" s="27" t="s">
        <v>8</v>
      </c>
      <c r="LX843" s="27" t="s">
        <v>7</v>
      </c>
      <c r="LY843" s="27" t="s">
        <v>8</v>
      </c>
      <c r="LZ843" s="27" t="s">
        <v>7</v>
      </c>
      <c r="MA843" s="27" t="s">
        <v>8</v>
      </c>
      <c r="MB843" s="27" t="s">
        <v>7</v>
      </c>
      <c r="MG843" s="27" t="s">
        <v>8</v>
      </c>
      <c r="MH843" s="27" t="s">
        <v>7</v>
      </c>
      <c r="MI843" s="27" t="s">
        <v>8</v>
      </c>
      <c r="MJ843" s="27" t="s">
        <v>7</v>
      </c>
      <c r="MK843" s="27" t="s">
        <v>8</v>
      </c>
      <c r="ML843" s="27" t="s">
        <v>7</v>
      </c>
      <c r="MM843" s="27" t="s">
        <v>8</v>
      </c>
      <c r="MN843" s="27" t="s">
        <v>7</v>
      </c>
    </row>
    <row r="844" spans="1:355" x14ac:dyDescent="0.25">
      <c r="A844" s="7">
        <v>6.1624847447202076E-3</v>
      </c>
      <c r="B844"/>
      <c r="C844"/>
      <c r="D844"/>
      <c r="E844"/>
      <c r="F844" s="27" t="s">
        <v>7</v>
      </c>
      <c r="FU844" s="27" t="s">
        <v>8</v>
      </c>
      <c r="FV844" s="27" t="s">
        <v>7</v>
      </c>
      <c r="FW844" s="27" t="s">
        <v>8</v>
      </c>
      <c r="FX844" s="27" t="s">
        <v>7</v>
      </c>
      <c r="FY844" s="27" t="s">
        <v>8</v>
      </c>
      <c r="FZ844" s="27" t="s">
        <v>7</v>
      </c>
      <c r="GA844" s="27" t="s">
        <v>8</v>
      </c>
      <c r="GB844" s="27" t="s">
        <v>7</v>
      </c>
      <c r="GG844" s="27" t="s">
        <v>8</v>
      </c>
      <c r="GH844" s="27" t="s">
        <v>7</v>
      </c>
      <c r="GI844" s="27" t="s">
        <v>8</v>
      </c>
      <c r="GJ844" s="27" t="s">
        <v>7</v>
      </c>
      <c r="GK844" s="27" t="s">
        <v>8</v>
      </c>
      <c r="HV844" s="27" t="s">
        <v>7</v>
      </c>
      <c r="HW844" s="27" t="s">
        <v>8</v>
      </c>
      <c r="IJ844" s="27" t="s">
        <v>7</v>
      </c>
      <c r="IK844" s="27" t="s">
        <v>8</v>
      </c>
      <c r="IL844" s="27" t="s">
        <v>7</v>
      </c>
      <c r="IM844" s="27" t="s">
        <v>8</v>
      </c>
      <c r="IT844" s="27" t="s">
        <v>7</v>
      </c>
      <c r="IU844" s="27" t="s">
        <v>8</v>
      </c>
      <c r="IV844" s="27" t="s">
        <v>7</v>
      </c>
      <c r="JC844" s="27" t="s">
        <v>8</v>
      </c>
      <c r="JD844" s="27" t="s">
        <v>7</v>
      </c>
      <c r="JE844" s="27" t="s">
        <v>8</v>
      </c>
      <c r="JF844" s="27" t="s">
        <v>7</v>
      </c>
      <c r="JH844" s="27" t="s">
        <v>7</v>
      </c>
      <c r="JI844" s="27" t="s">
        <v>8</v>
      </c>
      <c r="JJ844" s="27" t="s">
        <v>7</v>
      </c>
      <c r="LV844" s="27" t="s">
        <v>7</v>
      </c>
      <c r="LW844" s="27" t="s">
        <v>8</v>
      </c>
      <c r="LX844" s="27" t="s">
        <v>7</v>
      </c>
      <c r="LY844" s="27" t="s">
        <v>8</v>
      </c>
      <c r="LZ844" s="27" t="s">
        <v>7</v>
      </c>
      <c r="MA844" s="27" t="s">
        <v>8</v>
      </c>
      <c r="MB844" s="27" t="s">
        <v>7</v>
      </c>
      <c r="MC844" s="27" t="s">
        <v>8</v>
      </c>
      <c r="MG844" s="27" t="s">
        <v>8</v>
      </c>
      <c r="MH844" s="27" t="s">
        <v>7</v>
      </c>
      <c r="MJ844" s="27" t="s">
        <v>7</v>
      </c>
      <c r="MK844" s="27" t="s">
        <v>8</v>
      </c>
      <c r="ML844" s="27" t="s">
        <v>7</v>
      </c>
      <c r="MN844" s="27" t="s">
        <v>7</v>
      </c>
    </row>
    <row r="845" spans="1:355" x14ac:dyDescent="0.25">
      <c r="A845" s="7">
        <v>6.0416517105100079E-3</v>
      </c>
      <c r="B845"/>
      <c r="C845"/>
      <c r="D845"/>
      <c r="E845"/>
      <c r="F845" s="27" t="s">
        <v>7</v>
      </c>
      <c r="FU845" s="27" t="s">
        <v>8</v>
      </c>
      <c r="FV845" s="27" t="s">
        <v>7</v>
      </c>
      <c r="FW845" s="27" t="s">
        <v>8</v>
      </c>
      <c r="FX845" s="27" t="s">
        <v>7</v>
      </c>
      <c r="FY845" s="27" t="s">
        <v>8</v>
      </c>
      <c r="FZ845" s="27" t="s">
        <v>7</v>
      </c>
      <c r="GA845" s="27" t="s">
        <v>8</v>
      </c>
      <c r="GB845" s="27" t="s">
        <v>7</v>
      </c>
      <c r="GG845" s="27" t="s">
        <v>8</v>
      </c>
      <c r="GH845" s="27" t="s">
        <v>7</v>
      </c>
      <c r="GI845" s="27" t="s">
        <v>8</v>
      </c>
      <c r="GJ845" s="27" t="s">
        <v>7</v>
      </c>
      <c r="GK845" s="27" t="s">
        <v>8</v>
      </c>
      <c r="HV845" s="27" t="s">
        <v>7</v>
      </c>
      <c r="HW845" s="27" t="s">
        <v>8</v>
      </c>
      <c r="IJ845" s="27" t="s">
        <v>7</v>
      </c>
      <c r="IK845" s="27" t="s">
        <v>8</v>
      </c>
      <c r="IL845" s="27" t="s">
        <v>7</v>
      </c>
      <c r="IM845" s="27" t="s">
        <v>8</v>
      </c>
      <c r="IT845" s="27" t="s">
        <v>7</v>
      </c>
      <c r="IU845" s="27" t="s">
        <v>8</v>
      </c>
      <c r="IV845" s="27" t="s">
        <v>7</v>
      </c>
      <c r="JC845" s="27" t="s">
        <v>8</v>
      </c>
      <c r="JD845" s="27" t="s">
        <v>7</v>
      </c>
      <c r="JE845" s="27" t="s">
        <v>8</v>
      </c>
      <c r="JH845" s="27" t="s">
        <v>7</v>
      </c>
      <c r="LV845" s="27" t="s">
        <v>7</v>
      </c>
      <c r="LW845" s="27" t="s">
        <v>8</v>
      </c>
      <c r="LX845" s="27" t="s">
        <v>7</v>
      </c>
      <c r="LZ845" s="27" t="s">
        <v>7</v>
      </c>
      <c r="MB845" s="27" t="s">
        <v>7</v>
      </c>
      <c r="MC845" s="27" t="s">
        <v>8</v>
      </c>
      <c r="MD845" s="27" t="s">
        <v>7</v>
      </c>
      <c r="MG845" s="27" t="s">
        <v>8</v>
      </c>
      <c r="MJ845" s="27" t="s">
        <v>7</v>
      </c>
      <c r="MN845" s="27" t="s">
        <v>7</v>
      </c>
    </row>
    <row r="846" spans="1:355" x14ac:dyDescent="0.25">
      <c r="A846" s="7">
        <v>5.9231879514803996E-3</v>
      </c>
      <c r="B846"/>
      <c r="C846"/>
      <c r="D846"/>
      <c r="E846"/>
      <c r="F846" s="27" t="s">
        <v>7</v>
      </c>
      <c r="FU846" s="27" t="s">
        <v>8</v>
      </c>
      <c r="FV846" s="27" t="s">
        <v>7</v>
      </c>
      <c r="FW846" s="27" t="s">
        <v>8</v>
      </c>
      <c r="FX846" s="27" t="s">
        <v>7</v>
      </c>
      <c r="FY846" s="27" t="s">
        <v>8</v>
      </c>
      <c r="FZ846" s="27" t="s">
        <v>7</v>
      </c>
      <c r="GA846" s="27" t="s">
        <v>8</v>
      </c>
      <c r="GB846" s="27" t="s">
        <v>7</v>
      </c>
      <c r="GG846" s="27" t="s">
        <v>8</v>
      </c>
      <c r="GH846" s="27" t="s">
        <v>7</v>
      </c>
      <c r="GI846" s="27" t="s">
        <v>8</v>
      </c>
      <c r="GJ846" s="27" t="s">
        <v>7</v>
      </c>
      <c r="GK846" s="27" t="s">
        <v>8</v>
      </c>
      <c r="HV846" s="27" t="s">
        <v>7</v>
      </c>
      <c r="HW846" s="27" t="s">
        <v>8</v>
      </c>
      <c r="IJ846" s="27" t="s">
        <v>7</v>
      </c>
      <c r="IK846" s="27" t="s">
        <v>8</v>
      </c>
      <c r="IL846" s="27" t="s">
        <v>7</v>
      </c>
      <c r="IM846" s="27" t="s">
        <v>8</v>
      </c>
      <c r="IT846" s="27" t="s">
        <v>7</v>
      </c>
      <c r="IU846" s="27" t="s">
        <v>8</v>
      </c>
      <c r="IV846" s="27" t="s">
        <v>7</v>
      </c>
      <c r="JC846" s="27" t="s">
        <v>8</v>
      </c>
      <c r="JD846" s="27" t="s">
        <v>7</v>
      </c>
      <c r="LV846" s="27" t="s">
        <v>7</v>
      </c>
      <c r="LW846" s="27" t="s">
        <v>8</v>
      </c>
      <c r="MB846" s="27" t="s">
        <v>7</v>
      </c>
      <c r="MC846" s="27" t="s">
        <v>8</v>
      </c>
      <c r="MD846" s="27" t="s">
        <v>7</v>
      </c>
      <c r="MG846" s="27" t="s">
        <v>8</v>
      </c>
      <c r="MN846" s="27" t="s">
        <v>7</v>
      </c>
    </row>
    <row r="847" spans="1:355" x14ac:dyDescent="0.25">
      <c r="A847" s="7">
        <v>5.8070470112552936E-3</v>
      </c>
      <c r="B847"/>
      <c r="C847"/>
      <c r="D847"/>
      <c r="E847"/>
      <c r="F847" s="27" t="s">
        <v>7</v>
      </c>
      <c r="FU847" s="27" t="s">
        <v>8</v>
      </c>
      <c r="FV847" s="27" t="s">
        <v>7</v>
      </c>
      <c r="FW847" s="27" t="s">
        <v>8</v>
      </c>
      <c r="FX847" s="27" t="s">
        <v>7</v>
      </c>
      <c r="FY847" s="27" t="s">
        <v>8</v>
      </c>
      <c r="FZ847" s="27" t="s">
        <v>7</v>
      </c>
      <c r="GA847" s="27" t="s">
        <v>8</v>
      </c>
      <c r="GB847" s="27" t="s">
        <v>7</v>
      </c>
      <c r="GG847" s="27" t="s">
        <v>8</v>
      </c>
      <c r="GH847" s="27" t="s">
        <v>7</v>
      </c>
      <c r="GI847" s="27" t="s">
        <v>8</v>
      </c>
      <c r="GJ847" s="27" t="s">
        <v>7</v>
      </c>
      <c r="GK847" s="27" t="s">
        <v>8</v>
      </c>
      <c r="HV847" s="27" t="s">
        <v>7</v>
      </c>
      <c r="HW847" s="27" t="s">
        <v>8</v>
      </c>
      <c r="IJ847" s="27" t="s">
        <v>7</v>
      </c>
      <c r="IK847" s="27" t="s">
        <v>8</v>
      </c>
      <c r="IL847" s="27" t="s">
        <v>7</v>
      </c>
      <c r="IM847" s="27" t="s">
        <v>8</v>
      </c>
      <c r="IT847" s="27" t="s">
        <v>7</v>
      </c>
      <c r="IV847" s="27" t="s">
        <v>7</v>
      </c>
      <c r="JC847" s="27" t="s">
        <v>8</v>
      </c>
      <c r="LV847" s="27" t="s">
        <v>7</v>
      </c>
      <c r="LW847" s="27" t="s">
        <v>8</v>
      </c>
      <c r="MB847" s="27" t="s">
        <v>7</v>
      </c>
      <c r="MC847" s="27" t="s">
        <v>8</v>
      </c>
      <c r="MD847" s="27" t="s">
        <v>7</v>
      </c>
      <c r="ME847" s="27" t="s">
        <v>8</v>
      </c>
      <c r="MG847" s="27" t="s">
        <v>8</v>
      </c>
      <c r="MN847" s="27" t="s">
        <v>7</v>
      </c>
    </row>
    <row r="848" spans="1:355" x14ac:dyDescent="0.25">
      <c r="A848" s="7">
        <v>5.6931833443679353E-3</v>
      </c>
      <c r="B848"/>
      <c r="C848"/>
      <c r="D848"/>
      <c r="E848"/>
      <c r="F848" s="27" t="s">
        <v>7</v>
      </c>
      <c r="FU848" s="27" t="s">
        <v>8</v>
      </c>
      <c r="FV848" s="27" t="s">
        <v>7</v>
      </c>
      <c r="FW848" s="27" t="s">
        <v>8</v>
      </c>
      <c r="FX848" s="27" t="s">
        <v>7</v>
      </c>
      <c r="FY848" s="27" t="s">
        <v>8</v>
      </c>
      <c r="FZ848" s="27" t="s">
        <v>7</v>
      </c>
      <c r="GA848" s="27" t="s">
        <v>8</v>
      </c>
      <c r="GB848" s="27" t="s">
        <v>7</v>
      </c>
      <c r="GG848" s="27" t="s">
        <v>8</v>
      </c>
      <c r="GH848" s="27" t="s">
        <v>7</v>
      </c>
      <c r="GI848" s="27" t="s">
        <v>8</v>
      </c>
      <c r="GJ848" s="27" t="s">
        <v>7</v>
      </c>
      <c r="HV848" s="27" t="s">
        <v>7</v>
      </c>
      <c r="HW848" s="27" t="s">
        <v>8</v>
      </c>
      <c r="IJ848" s="27" t="s">
        <v>7</v>
      </c>
      <c r="IK848" s="27" t="s">
        <v>8</v>
      </c>
      <c r="IL848" s="27" t="s">
        <v>7</v>
      </c>
      <c r="IV848" s="27" t="s">
        <v>7</v>
      </c>
      <c r="IW848" s="27" t="s">
        <v>8</v>
      </c>
      <c r="JC848" s="27" t="s">
        <v>8</v>
      </c>
      <c r="LV848" s="27" t="s">
        <v>7</v>
      </c>
      <c r="LW848" s="27" t="s">
        <v>8</v>
      </c>
      <c r="MB848" s="27" t="s">
        <v>7</v>
      </c>
      <c r="MC848" s="27" t="s">
        <v>8</v>
      </c>
      <c r="MD848" s="27" t="s">
        <v>7</v>
      </c>
      <c r="ME848" s="27" t="s">
        <v>8</v>
      </c>
      <c r="MF848" s="27" t="s">
        <v>7</v>
      </c>
      <c r="MG848" s="27" t="s">
        <v>8</v>
      </c>
      <c r="MN848" s="27" t="s">
        <v>7</v>
      </c>
      <c r="MQ848" s="27" t="s">
        <v>8</v>
      </c>
    </row>
    <row r="849" spans="1:360" x14ac:dyDescent="0.25">
      <c r="A849" s="7">
        <v>5.5815522983999367E-3</v>
      </c>
      <c r="B849"/>
      <c r="C849"/>
      <c r="D849"/>
      <c r="E849"/>
      <c r="F849" s="27" t="s">
        <v>7</v>
      </c>
      <c r="FU849" s="27" t="s">
        <v>8</v>
      </c>
      <c r="FV849" s="27" t="s">
        <v>7</v>
      </c>
      <c r="FW849" s="27" t="s">
        <v>8</v>
      </c>
      <c r="FX849" s="27" t="s">
        <v>7</v>
      </c>
      <c r="FZ849" s="27" t="s">
        <v>7</v>
      </c>
      <c r="GA849" s="27" t="s">
        <v>8</v>
      </c>
      <c r="GB849" s="27" t="s">
        <v>7</v>
      </c>
      <c r="GC849" s="27" t="s">
        <v>8</v>
      </c>
      <c r="GG849" s="27" t="s">
        <v>8</v>
      </c>
      <c r="GH849" s="27" t="s">
        <v>7</v>
      </c>
      <c r="GI849" s="27" t="s">
        <v>8</v>
      </c>
      <c r="HV849" s="27" t="s">
        <v>7</v>
      </c>
      <c r="IJ849" s="27" t="s">
        <v>7</v>
      </c>
      <c r="IK849" s="27" t="s">
        <v>8</v>
      </c>
      <c r="IV849" s="27" t="s">
        <v>7</v>
      </c>
      <c r="IW849" s="27" t="s">
        <v>8</v>
      </c>
      <c r="IX849" s="27" t="s">
        <v>7</v>
      </c>
      <c r="JC849" s="27" t="s">
        <v>8</v>
      </c>
      <c r="LV849" s="27" t="s">
        <v>7</v>
      </c>
      <c r="LW849" s="27" t="s">
        <v>8</v>
      </c>
      <c r="MB849" s="27" t="s">
        <v>7</v>
      </c>
      <c r="MC849" s="27" t="s">
        <v>8</v>
      </c>
      <c r="MD849" s="27" t="s">
        <v>7</v>
      </c>
      <c r="ME849" s="27" t="s">
        <v>8</v>
      </c>
      <c r="MF849" s="27" t="s">
        <v>7</v>
      </c>
      <c r="MG849" s="27" t="s">
        <v>8</v>
      </c>
      <c r="MN849" s="27" t="s">
        <v>7</v>
      </c>
      <c r="MQ849" s="27" t="s">
        <v>8</v>
      </c>
      <c r="MR849" s="27" t="s">
        <v>7</v>
      </c>
    </row>
    <row r="850" spans="1:360" x14ac:dyDescent="0.25">
      <c r="A850" s="7">
        <v>5.4721100964705257E-3</v>
      </c>
      <c r="B850"/>
      <c r="C850"/>
      <c r="D850"/>
      <c r="E850"/>
      <c r="F850" s="27" t="s">
        <v>7</v>
      </c>
      <c r="FU850" s="27" t="s">
        <v>8</v>
      </c>
      <c r="FV850" s="27" t="s">
        <v>7</v>
      </c>
      <c r="FW850" s="27" t="s">
        <v>8</v>
      </c>
      <c r="FZ850" s="27" t="s">
        <v>7</v>
      </c>
      <c r="GA850" s="27" t="s">
        <v>8</v>
      </c>
      <c r="GB850" s="27" t="s">
        <v>7</v>
      </c>
      <c r="GC850" s="27" t="s">
        <v>8</v>
      </c>
      <c r="GD850" s="27" t="s">
        <v>7</v>
      </c>
      <c r="GG850" s="27" t="s">
        <v>8</v>
      </c>
      <c r="GH850" s="27" t="s">
        <v>7</v>
      </c>
      <c r="GI850" s="27" t="s">
        <v>8</v>
      </c>
      <c r="IJ850" s="27" t="s">
        <v>7</v>
      </c>
      <c r="IK850" s="27" t="s">
        <v>8</v>
      </c>
      <c r="IV850" s="27" t="s">
        <v>7</v>
      </c>
      <c r="IW850" s="27" t="s">
        <v>8</v>
      </c>
      <c r="IX850" s="27" t="s">
        <v>7</v>
      </c>
      <c r="JA850" s="27" t="s">
        <v>8</v>
      </c>
      <c r="JC850" s="27" t="s">
        <v>8</v>
      </c>
      <c r="LV850" s="27" t="s">
        <v>7</v>
      </c>
      <c r="LW850" s="27" t="s">
        <v>8</v>
      </c>
      <c r="MB850" s="27" t="s">
        <v>7</v>
      </c>
      <c r="MC850" s="27" t="s">
        <v>8</v>
      </c>
      <c r="MD850" s="27" t="s">
        <v>7</v>
      </c>
      <c r="MF850" s="27" t="s">
        <v>7</v>
      </c>
      <c r="MG850" s="27" t="s">
        <v>8</v>
      </c>
      <c r="MN850" s="27" t="s">
        <v>7</v>
      </c>
      <c r="MO850" s="27" t="s">
        <v>8</v>
      </c>
      <c r="MQ850" s="27" t="s">
        <v>8</v>
      </c>
      <c r="MR850" s="27" t="s">
        <v>7</v>
      </c>
    </row>
    <row r="851" spans="1:360" x14ac:dyDescent="0.25">
      <c r="A851" s="7">
        <v>5.3648138200691423E-3</v>
      </c>
      <c r="B851"/>
      <c r="C851"/>
      <c r="D851"/>
      <c r="E851"/>
      <c r="F851" s="27" t="s">
        <v>7</v>
      </c>
      <c r="FU851" s="27" t="s">
        <v>8</v>
      </c>
      <c r="FV851" s="27" t="s">
        <v>7</v>
      </c>
      <c r="FZ851" s="27" t="s">
        <v>7</v>
      </c>
      <c r="GA851" s="27" t="s">
        <v>8</v>
      </c>
      <c r="GB851" s="27" t="s">
        <v>7</v>
      </c>
      <c r="GC851" s="27" t="s">
        <v>8</v>
      </c>
      <c r="GD851" s="27" t="s">
        <v>7</v>
      </c>
      <c r="GG851" s="27" t="s">
        <v>8</v>
      </c>
      <c r="GH851" s="27" t="s">
        <v>7</v>
      </c>
      <c r="GI851" s="27" t="s">
        <v>8</v>
      </c>
      <c r="IJ851" s="27" t="s">
        <v>7</v>
      </c>
      <c r="IK851" s="27" t="s">
        <v>8</v>
      </c>
      <c r="IV851" s="27" t="s">
        <v>7</v>
      </c>
      <c r="IW851" s="27" t="s">
        <v>8</v>
      </c>
      <c r="IX851" s="27" t="s">
        <v>7</v>
      </c>
      <c r="IY851" s="27" t="s">
        <v>8</v>
      </c>
      <c r="JA851" s="27" t="s">
        <v>8</v>
      </c>
      <c r="JB851" s="27" t="s">
        <v>7</v>
      </c>
      <c r="JC851" s="27" t="s">
        <v>8</v>
      </c>
      <c r="LV851" s="27" t="s">
        <v>7</v>
      </c>
      <c r="LW851" s="27" t="s">
        <v>8</v>
      </c>
      <c r="MB851" s="27" t="s">
        <v>7</v>
      </c>
      <c r="MC851" s="27" t="s">
        <v>8</v>
      </c>
      <c r="MF851" s="27" t="s">
        <v>7</v>
      </c>
      <c r="MN851" s="27" t="s">
        <v>7</v>
      </c>
      <c r="MO851" s="27" t="s">
        <v>8</v>
      </c>
      <c r="MP851" s="27" t="s">
        <v>7</v>
      </c>
      <c r="MQ851" s="27" t="s">
        <v>8</v>
      </c>
      <c r="MR851" s="27" t="s">
        <v>7</v>
      </c>
    </row>
    <row r="852" spans="1:360" x14ac:dyDescent="0.25">
      <c r="A852" s="7">
        <v>5.2596213922246494E-3</v>
      </c>
      <c r="B852"/>
      <c r="C852"/>
      <c r="D852"/>
      <c r="E852"/>
      <c r="F852" s="27" t="s">
        <v>7</v>
      </c>
      <c r="FU852" s="27" t="s">
        <v>8</v>
      </c>
      <c r="FZ852" s="27" t="s">
        <v>7</v>
      </c>
      <c r="GA852" s="27" t="s">
        <v>8</v>
      </c>
      <c r="GB852" s="27" t="s">
        <v>7</v>
      </c>
      <c r="GC852" s="27" t="s">
        <v>8</v>
      </c>
      <c r="GD852" s="27" t="s">
        <v>7</v>
      </c>
      <c r="GG852" s="27" t="s">
        <v>8</v>
      </c>
      <c r="GH852" s="27" t="s">
        <v>7</v>
      </c>
      <c r="GI852" s="27" t="s">
        <v>8</v>
      </c>
      <c r="IJ852" s="27" t="s">
        <v>7</v>
      </c>
      <c r="IK852" s="27" t="s">
        <v>8</v>
      </c>
      <c r="IV852" s="27" t="s">
        <v>7</v>
      </c>
      <c r="IX852" s="27" t="s">
        <v>7</v>
      </c>
      <c r="IY852" s="27" t="s">
        <v>8</v>
      </c>
      <c r="IZ852" s="27" t="s">
        <v>7</v>
      </c>
      <c r="JA852" s="27" t="s">
        <v>8</v>
      </c>
      <c r="JB852" s="27" t="s">
        <v>7</v>
      </c>
      <c r="JC852" s="27" t="s">
        <v>8</v>
      </c>
      <c r="LV852" s="27" t="s">
        <v>7</v>
      </c>
      <c r="LW852" s="27" t="s">
        <v>8</v>
      </c>
      <c r="MB852" s="27" t="s">
        <v>7</v>
      </c>
      <c r="MN852" s="27" t="s">
        <v>7</v>
      </c>
      <c r="MO852" s="27" t="s">
        <v>8</v>
      </c>
      <c r="MP852" s="27" t="s">
        <v>7</v>
      </c>
      <c r="MQ852" s="27" t="s">
        <v>8</v>
      </c>
      <c r="MR852" s="27" t="s">
        <v>7</v>
      </c>
    </row>
    <row r="853" spans="1:360" x14ac:dyDescent="0.25">
      <c r="A853" s="7">
        <v>5.1564915610045588E-3</v>
      </c>
      <c r="B853"/>
      <c r="C853"/>
      <c r="D853"/>
      <c r="E853"/>
      <c r="F853" s="27" t="s">
        <v>7</v>
      </c>
      <c r="FU853" s="27" t="s">
        <v>8</v>
      </c>
      <c r="FZ853" s="27" t="s">
        <v>7</v>
      </c>
      <c r="GB853" s="27" t="s">
        <v>7</v>
      </c>
      <c r="GC853" s="27" t="s">
        <v>8</v>
      </c>
      <c r="GD853" s="27" t="s">
        <v>7</v>
      </c>
      <c r="GG853" s="27" t="s">
        <v>8</v>
      </c>
      <c r="GH853" s="27" t="s">
        <v>7</v>
      </c>
      <c r="GI853" s="27" t="s">
        <v>8</v>
      </c>
      <c r="IJ853" s="27" t="s">
        <v>7</v>
      </c>
      <c r="IK853" s="27" t="s">
        <v>8</v>
      </c>
      <c r="IX853" s="27" t="s">
        <v>7</v>
      </c>
      <c r="IY853" s="27" t="s">
        <v>8</v>
      </c>
      <c r="IZ853" s="27" t="s">
        <v>7</v>
      </c>
      <c r="JA853" s="27" t="s">
        <v>8</v>
      </c>
      <c r="JB853" s="27" t="s">
        <v>7</v>
      </c>
      <c r="JC853" s="27" t="s">
        <v>8</v>
      </c>
      <c r="LV853" s="27" t="s">
        <v>7</v>
      </c>
      <c r="LW853" s="27" t="s">
        <v>8</v>
      </c>
      <c r="MN853" s="27" t="s">
        <v>7</v>
      </c>
      <c r="MP853" s="27" t="s">
        <v>7</v>
      </c>
      <c r="MQ853" s="27" t="s">
        <v>8</v>
      </c>
      <c r="MR853" s="27" t="s">
        <v>7</v>
      </c>
    </row>
    <row r="854" spans="1:360" x14ac:dyDescent="0.25">
      <c r="A854" s="7">
        <v>5.0553838833378023E-3</v>
      </c>
      <c r="B854"/>
      <c r="C854"/>
      <c r="D854"/>
      <c r="E854"/>
      <c r="F854" s="27" t="s">
        <v>7</v>
      </c>
      <c r="FU854" s="27" t="s">
        <v>8</v>
      </c>
      <c r="GB854" s="27" t="s">
        <v>7</v>
      </c>
      <c r="GC854" s="27" t="s">
        <v>8</v>
      </c>
      <c r="GD854" s="27" t="s">
        <v>7</v>
      </c>
      <c r="GG854" s="27" t="s">
        <v>8</v>
      </c>
      <c r="GH854" s="27" t="s">
        <v>7</v>
      </c>
      <c r="IJ854" s="27" t="s">
        <v>7</v>
      </c>
      <c r="IK854" s="27" t="s">
        <v>8</v>
      </c>
      <c r="IX854" s="27" t="s">
        <v>7</v>
      </c>
      <c r="IZ854" s="27" t="s">
        <v>7</v>
      </c>
      <c r="JA854" s="27" t="s">
        <v>8</v>
      </c>
      <c r="JB854" s="27" t="s">
        <v>7</v>
      </c>
      <c r="LV854" s="27" t="s">
        <v>7</v>
      </c>
      <c r="MP854" s="27" t="s">
        <v>7</v>
      </c>
      <c r="MR854" s="27" t="s">
        <v>7</v>
      </c>
    </row>
    <row r="855" spans="1:360" x14ac:dyDescent="0.25">
      <c r="A855" s="7">
        <v>4.9562587091547079E-3</v>
      </c>
      <c r="B855"/>
      <c r="C855"/>
      <c r="D855"/>
      <c r="E855"/>
      <c r="F855" s="27" t="s">
        <v>7</v>
      </c>
      <c r="FU855" s="27" t="s">
        <v>8</v>
      </c>
      <c r="GB855" s="27" t="s">
        <v>7</v>
      </c>
      <c r="GC855" s="27" t="s">
        <v>8</v>
      </c>
      <c r="GD855" s="27" t="s">
        <v>7</v>
      </c>
      <c r="GG855" s="27" t="s">
        <v>8</v>
      </c>
      <c r="IJ855" s="27" t="s">
        <v>7</v>
      </c>
      <c r="IK855" s="27" t="s">
        <v>8</v>
      </c>
      <c r="IZ855" s="27" t="s">
        <v>7</v>
      </c>
      <c r="JA855" s="27" t="s">
        <v>8</v>
      </c>
      <c r="MR855" s="27" t="s">
        <v>7</v>
      </c>
    </row>
    <row r="856" spans="1:360" x14ac:dyDescent="0.25">
      <c r="A856" s="7">
        <v>4.8590771658379491E-3</v>
      </c>
      <c r="B856"/>
      <c r="C856"/>
      <c r="D856"/>
      <c r="E856"/>
      <c r="F856" s="27" t="s">
        <v>7</v>
      </c>
      <c r="FU856" s="27" t="s">
        <v>8</v>
      </c>
      <c r="GB856" s="27" t="s">
        <v>7</v>
      </c>
      <c r="GC856" s="27" t="s">
        <v>8</v>
      </c>
      <c r="GD856" s="27" t="s">
        <v>7</v>
      </c>
      <c r="GG856" s="27" t="s">
        <v>8</v>
      </c>
      <c r="IJ856" s="27" t="s">
        <v>7</v>
      </c>
      <c r="IK856" s="27" t="s">
        <v>8</v>
      </c>
      <c r="IZ856" s="27" t="s">
        <v>7</v>
      </c>
      <c r="JA856" s="27" t="s">
        <v>8</v>
      </c>
      <c r="MR856" s="27" t="s">
        <v>7</v>
      </c>
    </row>
    <row r="857" spans="1:360" x14ac:dyDescent="0.25">
      <c r="A857" s="7">
        <v>4.7638011429783815E-3</v>
      </c>
      <c r="B857"/>
      <c r="C857"/>
      <c r="D857"/>
      <c r="E857"/>
      <c r="F857" s="27" t="s">
        <v>7</v>
      </c>
      <c r="FU857" s="27" t="s">
        <v>8</v>
      </c>
      <c r="GB857" s="27" t="s">
        <v>7</v>
      </c>
      <c r="GC857" s="27" t="s">
        <v>8</v>
      </c>
      <c r="GD857" s="27" t="s">
        <v>7</v>
      </c>
      <c r="GE857" s="27" t="s">
        <v>8</v>
      </c>
      <c r="GG857" s="27" t="s">
        <v>8</v>
      </c>
      <c r="IJ857" s="27" t="s">
        <v>7</v>
      </c>
      <c r="IK857" s="27" t="s">
        <v>8</v>
      </c>
      <c r="IZ857" s="18" t="s">
        <v>7</v>
      </c>
      <c r="JA857" s="27" t="s">
        <v>8</v>
      </c>
      <c r="MR857" s="27" t="s">
        <v>7</v>
      </c>
    </row>
    <row r="858" spans="1:360" x14ac:dyDescent="0.25">
      <c r="A858" s="7">
        <v>4.6703932774297859E-3</v>
      </c>
      <c r="B858"/>
      <c r="C858"/>
      <c r="D858"/>
      <c r="E858"/>
      <c r="F858" s="27" t="s">
        <v>7</v>
      </c>
      <c r="FU858" s="27" t="s">
        <v>8</v>
      </c>
      <c r="GB858" s="27" t="s">
        <v>7</v>
      </c>
      <c r="GC858" s="27" t="s">
        <v>8</v>
      </c>
      <c r="GD858" s="27" t="s">
        <v>7</v>
      </c>
      <c r="GE858" s="27" t="s">
        <v>8</v>
      </c>
      <c r="GF858" s="27" t="s">
        <v>7</v>
      </c>
      <c r="GG858" s="27" t="s">
        <v>8</v>
      </c>
      <c r="IJ858" s="27" t="s">
        <v>7</v>
      </c>
      <c r="IK858" s="27" t="s">
        <v>8</v>
      </c>
      <c r="IZ858" s="27" t="s">
        <v>7</v>
      </c>
      <c r="JA858" s="27" t="s">
        <v>8</v>
      </c>
      <c r="MR858" s="27" t="s">
        <v>7</v>
      </c>
    </row>
    <row r="859" spans="1:360" x14ac:dyDescent="0.25">
      <c r="A859" s="7">
        <v>4.5788169386566527E-3</v>
      </c>
      <c r="B859"/>
      <c r="C859"/>
      <c r="D859"/>
      <c r="E859"/>
      <c r="F859" s="27" t="s">
        <v>7</v>
      </c>
      <c r="FU859" s="27" t="s">
        <v>8</v>
      </c>
      <c r="GB859" s="27" t="s">
        <v>7</v>
      </c>
      <c r="GC859" s="27" t="s">
        <v>8</v>
      </c>
      <c r="GD859" s="27" t="s">
        <v>7</v>
      </c>
      <c r="GE859" s="27" t="s">
        <v>8</v>
      </c>
      <c r="GF859" s="27" t="s">
        <v>7</v>
      </c>
      <c r="GG859" s="27" t="s">
        <v>8</v>
      </c>
      <c r="IJ859" s="27" t="s">
        <v>7</v>
      </c>
      <c r="IK859" s="27" t="s">
        <v>8</v>
      </c>
      <c r="IZ859" s="27" t="s">
        <v>7</v>
      </c>
      <c r="JA859" s="27" t="s">
        <v>8</v>
      </c>
      <c r="MR859" s="27" t="s">
        <v>7</v>
      </c>
    </row>
    <row r="860" spans="1:360" x14ac:dyDescent="0.25">
      <c r="A860" s="7">
        <v>4.4890362143692672E-3</v>
      </c>
      <c r="B860"/>
      <c r="C860"/>
      <c r="D860"/>
      <c r="E860"/>
      <c r="F860" s="27" t="s">
        <v>7</v>
      </c>
      <c r="FU860" s="27" t="s">
        <v>8</v>
      </c>
      <c r="GB860" s="27" t="s">
        <v>7</v>
      </c>
      <c r="GC860" s="27" t="s">
        <v>8</v>
      </c>
      <c r="GD860" s="27" t="s">
        <v>7</v>
      </c>
      <c r="GE860" s="27" t="s">
        <v>8</v>
      </c>
      <c r="GF860" s="27" t="s">
        <v>7</v>
      </c>
      <c r="GG860" s="27" t="s">
        <v>8</v>
      </c>
      <c r="IJ860" s="27" t="s">
        <v>7</v>
      </c>
      <c r="IK860" s="27" t="s">
        <v>8</v>
      </c>
      <c r="IZ860" s="27" t="s">
        <v>7</v>
      </c>
      <c r="JA860" s="27" t="s">
        <v>8</v>
      </c>
      <c r="MR860" s="27" t="s">
        <v>7</v>
      </c>
    </row>
    <row r="861" spans="1:360" x14ac:dyDescent="0.25">
      <c r="A861" s="7">
        <v>4.4010158964404578E-3</v>
      </c>
      <c r="B861"/>
      <c r="C861"/>
      <c r="D861"/>
      <c r="E861"/>
      <c r="F861" s="27" t="s">
        <v>7</v>
      </c>
      <c r="FU861" s="27" t="s">
        <v>8</v>
      </c>
      <c r="GB861" s="27" t="s">
        <v>7</v>
      </c>
      <c r="GC861" s="27" t="s">
        <v>8</v>
      </c>
      <c r="GD861" s="27" t="s">
        <v>7</v>
      </c>
      <c r="GE861" s="27" t="s">
        <v>8</v>
      </c>
      <c r="GF861" s="27" t="s">
        <v>7</v>
      </c>
      <c r="GG861" s="27" t="s">
        <v>8</v>
      </c>
      <c r="IJ861" s="27" t="s">
        <v>7</v>
      </c>
      <c r="IK861" s="27" t="s">
        <v>8</v>
      </c>
      <c r="IZ861" s="27" t="s">
        <v>7</v>
      </c>
      <c r="JA861" s="27" t="s">
        <v>8</v>
      </c>
      <c r="MR861" s="27" t="s">
        <v>7</v>
      </c>
    </row>
    <row r="862" spans="1:360" x14ac:dyDescent="0.25">
      <c r="A862" s="7">
        <v>4.314721467098488E-3</v>
      </c>
      <c r="B862"/>
      <c r="C862"/>
      <c r="D862"/>
      <c r="E862"/>
      <c r="F862" s="27" t="s">
        <v>7</v>
      </c>
      <c r="FU862" s="27" t="s">
        <v>8</v>
      </c>
      <c r="GB862" s="27" t="s">
        <v>7</v>
      </c>
      <c r="GC862" s="27" t="s">
        <v>8</v>
      </c>
      <c r="GD862" s="27" t="s">
        <v>7</v>
      </c>
      <c r="GE862" s="27" t="s">
        <v>8</v>
      </c>
      <c r="GF862" s="27" t="s">
        <v>7</v>
      </c>
      <c r="GG862" s="27" t="s">
        <v>8</v>
      </c>
      <c r="IJ862" s="27" t="s">
        <v>7</v>
      </c>
      <c r="IZ862" s="27" t="s">
        <v>7</v>
      </c>
      <c r="MR862" s="27" t="s">
        <v>7</v>
      </c>
      <c r="MU862" s="27" t="s">
        <v>8</v>
      </c>
    </row>
    <row r="863" spans="1:360" x14ac:dyDescent="0.25">
      <c r="A863" s="7">
        <v>4.2301190853906746E-3</v>
      </c>
      <c r="B863"/>
      <c r="C863"/>
      <c r="D863"/>
      <c r="E863"/>
      <c r="F863" s="27" t="s">
        <v>7</v>
      </c>
      <c r="FU863" s="27" t="s">
        <v>8</v>
      </c>
      <c r="GB863" s="27" t="s">
        <v>7</v>
      </c>
      <c r="GC863" s="27" t="s">
        <v>8</v>
      </c>
      <c r="GD863" s="27" t="s">
        <v>7</v>
      </c>
      <c r="GE863" s="27" t="s">
        <v>8</v>
      </c>
      <c r="GF863" s="27" t="s">
        <v>7</v>
      </c>
      <c r="GG863" s="27" t="s">
        <v>8</v>
      </c>
      <c r="MR863" s="27" t="s">
        <v>7</v>
      </c>
      <c r="MU863" s="27" t="s">
        <v>8</v>
      </c>
      <c r="MV863" s="27" t="s">
        <v>7</v>
      </c>
    </row>
    <row r="864" spans="1:360" x14ac:dyDescent="0.25">
      <c r="A864" s="7">
        <v>4.1471755739124266E-3</v>
      </c>
      <c r="B864"/>
      <c r="C864"/>
      <c r="D864"/>
      <c r="E864"/>
      <c r="F864" s="27" t="s">
        <v>7</v>
      </c>
      <c r="FU864" s="27" t="s">
        <v>8</v>
      </c>
      <c r="GB864" s="27" t="s">
        <v>7</v>
      </c>
      <c r="GC864" s="27" t="s">
        <v>8</v>
      </c>
      <c r="GD864" s="27" t="s">
        <v>7</v>
      </c>
      <c r="GF864" s="27" t="s">
        <v>7</v>
      </c>
      <c r="GG864" s="27" t="s">
        <v>8</v>
      </c>
      <c r="MR864" s="27" t="s">
        <v>7</v>
      </c>
      <c r="MU864" s="27" t="s">
        <v>8</v>
      </c>
      <c r="MV864" s="27" t="s">
        <v>7</v>
      </c>
    </row>
    <row r="865" spans="1:360" x14ac:dyDescent="0.25">
      <c r="A865" s="7">
        <v>4.0658584057964966E-3</v>
      </c>
      <c r="B865"/>
      <c r="C865"/>
      <c r="D865"/>
      <c r="E865"/>
      <c r="F865" s="27" t="s">
        <v>7</v>
      </c>
      <c r="FU865" s="27" t="s">
        <v>8</v>
      </c>
      <c r="GB865" s="27" t="s">
        <v>7</v>
      </c>
      <c r="GC865" s="27" t="s">
        <v>8</v>
      </c>
      <c r="GF865" s="27" t="s">
        <v>7</v>
      </c>
      <c r="GG865" s="27" t="s">
        <v>8</v>
      </c>
      <c r="MR865" s="27" t="s">
        <v>7</v>
      </c>
      <c r="MU865" s="27" t="s">
        <v>8</v>
      </c>
      <c r="MV865" s="27" t="s">
        <v>7</v>
      </c>
    </row>
    <row r="866" spans="1:360" x14ac:dyDescent="0.25">
      <c r="A866" s="7">
        <v>3.9861356919573491E-3</v>
      </c>
      <c r="B866"/>
      <c r="C866"/>
      <c r="D866"/>
      <c r="E866"/>
      <c r="F866" s="27" t="s">
        <v>7</v>
      </c>
      <c r="FU866" s="27" t="s">
        <v>8</v>
      </c>
      <c r="GB866" s="27" t="s">
        <v>7</v>
      </c>
      <c r="GC866" s="27" t="s">
        <v>8</v>
      </c>
      <c r="GF866" s="27" t="s">
        <v>7</v>
      </c>
      <c r="GG866" s="27" t="s">
        <v>8</v>
      </c>
      <c r="MR866" s="27" t="s">
        <v>7</v>
      </c>
      <c r="MS866" s="27" t="s">
        <v>8</v>
      </c>
      <c r="MU866" s="27" t="s">
        <v>8</v>
      </c>
      <c r="MV866" s="27" t="s">
        <v>7</v>
      </c>
    </row>
    <row r="867" spans="1:360" x14ac:dyDescent="0.25">
      <c r="A867" s="7">
        <v>3.9079761685856364E-3</v>
      </c>
      <c r="B867"/>
      <c r="C867"/>
      <c r="D867"/>
      <c r="E867"/>
      <c r="F867" s="27" t="s">
        <v>7</v>
      </c>
      <c r="FU867" s="27" t="s">
        <v>8</v>
      </c>
      <c r="GB867" s="27" t="s">
        <v>7</v>
      </c>
      <c r="GC867" s="27" t="s">
        <v>8</v>
      </c>
      <c r="GF867" s="27" t="s">
        <v>7</v>
      </c>
      <c r="GG867" s="27" t="s">
        <v>8</v>
      </c>
      <c r="MR867" s="27" t="s">
        <v>7</v>
      </c>
      <c r="MS867" s="27" t="s">
        <v>8</v>
      </c>
      <c r="MT867" s="27" t="s">
        <v>7</v>
      </c>
      <c r="MU867" s="27" t="s">
        <v>8</v>
      </c>
      <c r="MV867" s="27" t="s">
        <v>7</v>
      </c>
    </row>
    <row r="868" spans="1:360" x14ac:dyDescent="0.25">
      <c r="A868" s="7">
        <v>3.8313491848878793E-3</v>
      </c>
      <c r="B868"/>
      <c r="C868"/>
      <c r="D868"/>
      <c r="E868"/>
      <c r="F868" s="27" t="s">
        <v>7</v>
      </c>
      <c r="FU868" s="27" t="s">
        <v>8</v>
      </c>
      <c r="GB868" s="27" t="s">
        <v>7</v>
      </c>
      <c r="GC868" s="27" t="s">
        <v>8</v>
      </c>
      <c r="GF868" s="27" t="s">
        <v>7</v>
      </c>
      <c r="MR868" s="27" t="s">
        <v>7</v>
      </c>
      <c r="MS868" s="27" t="s">
        <v>8</v>
      </c>
      <c r="MT868" s="27" t="s">
        <v>7</v>
      </c>
      <c r="MU868" s="27" t="s">
        <v>8</v>
      </c>
      <c r="MV868" s="27" t="s">
        <v>7</v>
      </c>
    </row>
    <row r="869" spans="1:360" x14ac:dyDescent="0.25">
      <c r="A869" s="7">
        <v>3.7562246910665485E-3</v>
      </c>
      <c r="B869"/>
      <c r="C869"/>
      <c r="D869"/>
      <c r="E869"/>
      <c r="F869" s="27" t="s">
        <v>7</v>
      </c>
      <c r="FU869" s="27" t="s">
        <v>8</v>
      </c>
      <c r="GB869" s="27" t="s">
        <v>7</v>
      </c>
      <c r="MR869" s="27" t="s">
        <v>7</v>
      </c>
      <c r="MS869" s="27" t="s">
        <v>8</v>
      </c>
      <c r="MT869" s="27" t="s">
        <v>7</v>
      </c>
      <c r="MU869" s="27" t="s">
        <v>8</v>
      </c>
      <c r="MV869" s="27" t="s">
        <v>7</v>
      </c>
    </row>
    <row r="870" spans="1:360" x14ac:dyDescent="0.25">
      <c r="A870" s="7">
        <v>3.6825732265358315E-3</v>
      </c>
      <c r="B870"/>
      <c r="C870"/>
      <c r="D870"/>
      <c r="E870"/>
      <c r="F870" s="27" t="s">
        <v>7</v>
      </c>
      <c r="FS870" s="27" t="s">
        <v>8</v>
      </c>
      <c r="FU870" s="27" t="s">
        <v>8</v>
      </c>
      <c r="MR870" s="27" t="s">
        <v>7</v>
      </c>
      <c r="MS870" s="27" t="s">
        <v>8</v>
      </c>
      <c r="MT870" s="27" t="s">
        <v>7</v>
      </c>
      <c r="MU870" s="27" t="s">
        <v>8</v>
      </c>
    </row>
    <row r="871" spans="1:360" x14ac:dyDescent="0.25">
      <c r="A871" s="7">
        <v>3.6103659083684624E-3</v>
      </c>
      <c r="B871"/>
      <c r="C871"/>
      <c r="D871"/>
      <c r="E871"/>
      <c r="F871" s="27" t="s">
        <v>7</v>
      </c>
      <c r="FS871" s="27" t="s">
        <v>8</v>
      </c>
      <c r="FT871" s="27" t="s">
        <v>7</v>
      </c>
      <c r="FU871" s="27" t="s">
        <v>8</v>
      </c>
      <c r="MR871" s="27" t="s">
        <v>7</v>
      </c>
      <c r="MS871" s="27" t="s">
        <v>8</v>
      </c>
      <c r="MT871" s="27" t="s">
        <v>7</v>
      </c>
      <c r="MU871" s="27" t="s">
        <v>8</v>
      </c>
    </row>
    <row r="872" spans="1:360" x14ac:dyDescent="0.25">
      <c r="A872" s="7">
        <v>3.539574419969081E-3</v>
      </c>
      <c r="B872"/>
      <c r="C872"/>
      <c r="D872"/>
      <c r="E872"/>
      <c r="F872" s="27" t="s">
        <v>7</v>
      </c>
      <c r="FS872" s="27" t="s">
        <v>8</v>
      </c>
      <c r="FT872" s="27" t="s">
        <v>7</v>
      </c>
      <c r="FU872" s="27" t="s">
        <v>8</v>
      </c>
      <c r="MR872" s="27" t="s">
        <v>7</v>
      </c>
      <c r="MS872" s="27" t="s">
        <v>8</v>
      </c>
      <c r="MT872" s="27" t="s">
        <v>7</v>
      </c>
      <c r="MU872" s="27" t="s">
        <v>8</v>
      </c>
    </row>
    <row r="873" spans="1:360" x14ac:dyDescent="0.25">
      <c r="A873" s="7">
        <v>3.4701709999696872E-3</v>
      </c>
      <c r="B873"/>
      <c r="C873"/>
      <c r="D873"/>
      <c r="E873"/>
      <c r="F873" s="27" t="s">
        <v>7</v>
      </c>
      <c r="FS873" s="27" t="s">
        <v>8</v>
      </c>
      <c r="FT873" s="27" t="s">
        <v>7</v>
      </c>
      <c r="FU873" s="27" t="s">
        <v>8</v>
      </c>
      <c r="MR873" s="27" t="s">
        <v>7</v>
      </c>
      <c r="MS873" s="27" t="s">
        <v>8</v>
      </c>
      <c r="MT873" s="27" t="s">
        <v>7</v>
      </c>
      <c r="MU873" s="27" t="s">
        <v>8</v>
      </c>
    </row>
    <row r="874" spans="1:360" x14ac:dyDescent="0.25">
      <c r="A874" s="7">
        <v>3.4021284313428307E-3</v>
      </c>
      <c r="B874"/>
      <c r="C874"/>
      <c r="D874"/>
      <c r="E874"/>
      <c r="F874" s="27" t="s">
        <v>7</v>
      </c>
      <c r="FS874" s="27" t="s">
        <v>8</v>
      </c>
      <c r="FT874" s="27" t="s">
        <v>7</v>
      </c>
      <c r="FU874" s="27" t="s">
        <v>8</v>
      </c>
      <c r="MR874" s="27" t="s">
        <v>7</v>
      </c>
      <c r="MS874" s="27" t="s">
        <v>8</v>
      </c>
      <c r="MT874" s="27" t="s">
        <v>7</v>
      </c>
      <c r="MU874" s="27" t="s">
        <v>8</v>
      </c>
    </row>
    <row r="875" spans="1:360" x14ac:dyDescent="0.25">
      <c r="A875" s="7">
        <v>3.3354200307282654E-3</v>
      </c>
      <c r="B875"/>
      <c r="C875"/>
      <c r="D875"/>
      <c r="E875"/>
      <c r="F875" s="27" t="s">
        <v>7</v>
      </c>
      <c r="FS875" s="27" t="s">
        <v>8</v>
      </c>
      <c r="FT875" s="27" t="s">
        <v>7</v>
      </c>
      <c r="FU875" s="27" t="s">
        <v>8</v>
      </c>
      <c r="MR875" s="27" t="s">
        <v>7</v>
      </c>
      <c r="MT875" s="27" t="s">
        <v>7</v>
      </c>
      <c r="MU875" s="27" t="s">
        <v>8</v>
      </c>
    </row>
    <row r="876" spans="1:360" x14ac:dyDescent="0.25">
      <c r="A876" s="7">
        <v>3.2700196379688881E-3</v>
      </c>
      <c r="B876"/>
      <c r="C876"/>
      <c r="D876"/>
      <c r="E876"/>
      <c r="F876" s="27" t="s">
        <v>7</v>
      </c>
      <c r="FS876" s="27" t="s">
        <v>8</v>
      </c>
      <c r="FT876" s="27" t="s">
        <v>7</v>
      </c>
      <c r="FU876" s="27" t="s">
        <v>8</v>
      </c>
      <c r="MT876" s="27" t="s">
        <v>7</v>
      </c>
    </row>
    <row r="877" spans="1:360" x14ac:dyDescent="0.25">
      <c r="A877" s="7">
        <v>3.205901605851851E-3</v>
      </c>
      <c r="B877"/>
      <c r="C877"/>
      <c r="D877"/>
      <c r="E877"/>
      <c r="F877" s="27" t="s">
        <v>7</v>
      </c>
      <c r="FS877" s="27" t="s">
        <v>8</v>
      </c>
      <c r="FT877" s="27" t="s">
        <v>7</v>
      </c>
      <c r="FU877" s="27" t="s">
        <v>8</v>
      </c>
    </row>
    <row r="878" spans="1:360" x14ac:dyDescent="0.25">
      <c r="A878" s="7">
        <v>3.1430407900508344E-3</v>
      </c>
      <c r="B878"/>
      <c r="C878"/>
      <c r="D878"/>
      <c r="E878"/>
      <c r="F878" s="27" t="s">
        <v>7</v>
      </c>
      <c r="FS878" s="27" t="s">
        <v>8</v>
      </c>
      <c r="FT878" s="27" t="s">
        <v>7</v>
      </c>
      <c r="FU878" s="27" t="s">
        <v>8</v>
      </c>
    </row>
    <row r="879" spans="1:360" x14ac:dyDescent="0.25">
      <c r="A879" s="7">
        <v>3.0814125392655241E-3</v>
      </c>
      <c r="B879"/>
      <c r="C879"/>
      <c r="D879"/>
      <c r="E879"/>
      <c r="F879" s="27" t="s">
        <v>7</v>
      </c>
      <c r="FS879" s="27" t="s">
        <v>8</v>
      </c>
      <c r="FT879" s="27" t="s">
        <v>7</v>
      </c>
      <c r="FU879" s="27" t="s">
        <v>8</v>
      </c>
    </row>
    <row r="880" spans="1:360" x14ac:dyDescent="0.25">
      <c r="A880" s="7">
        <v>3.0209926855544354E-3</v>
      </c>
      <c r="B880"/>
      <c r="C880"/>
      <c r="D880"/>
      <c r="E880"/>
      <c r="F880" s="27" t="s">
        <v>7</v>
      </c>
      <c r="FS880" s="27" t="s">
        <v>8</v>
      </c>
      <c r="FT880" s="27" t="s">
        <v>7</v>
      </c>
      <c r="FU880" s="27" t="s">
        <v>8</v>
      </c>
    </row>
    <row r="881" spans="1:177" x14ac:dyDescent="0.25">
      <c r="A881" s="7">
        <v>2.9617575348572897E-3</v>
      </c>
      <c r="B881"/>
      <c r="C881"/>
      <c r="D881"/>
      <c r="E881"/>
      <c r="F881" s="27" t="s">
        <v>7</v>
      </c>
      <c r="FS881" s="27" t="s">
        <v>8</v>
      </c>
      <c r="FT881" s="27" t="s">
        <v>7</v>
      </c>
      <c r="FU881" s="27" t="s">
        <v>8</v>
      </c>
    </row>
    <row r="882" spans="1:177" x14ac:dyDescent="0.25">
      <c r="A882" s="7">
        <v>2.9036838577032251E-3</v>
      </c>
      <c r="B882"/>
      <c r="C882"/>
      <c r="D882"/>
      <c r="E882"/>
      <c r="F882" s="27" t="s">
        <v>7</v>
      </c>
      <c r="FS882" s="27" t="s">
        <v>8</v>
      </c>
      <c r="FT882" s="27" t="s">
        <v>7</v>
      </c>
      <c r="FU882" s="27" t="s">
        <v>8</v>
      </c>
    </row>
    <row r="883" spans="1:177" x14ac:dyDescent="0.25">
      <c r="A883" s="7">
        <v>2.8467488801012012E-3</v>
      </c>
      <c r="B883"/>
      <c r="C883"/>
      <c r="D883"/>
      <c r="E883"/>
      <c r="F883" s="27" t="s">
        <v>7</v>
      </c>
      <c r="FS883" s="27" t="s">
        <v>8</v>
      </c>
      <c r="FT883" s="27" t="s">
        <v>7</v>
      </c>
      <c r="FU883" s="27" t="s">
        <v>8</v>
      </c>
    </row>
    <row r="884" spans="1:177" x14ac:dyDescent="0.25">
      <c r="A884" s="7">
        <v>2.7909302746090209E-3</v>
      </c>
      <c r="B884"/>
      <c r="C884"/>
      <c r="D884"/>
      <c r="E884"/>
      <c r="F884" s="27" t="s">
        <v>7</v>
      </c>
      <c r="FS884" s="27" t="s">
        <v>8</v>
      </c>
      <c r="FT884" s="27" t="s">
        <v>7</v>
      </c>
      <c r="FU884" s="27" t="s">
        <v>8</v>
      </c>
    </row>
    <row r="885" spans="1:177" x14ac:dyDescent="0.25">
      <c r="A885" s="7">
        <v>2.7362061515774716E-3</v>
      </c>
      <c r="B885"/>
      <c r="C885"/>
      <c r="D885"/>
      <c r="E885"/>
      <c r="F885" s="27" t="s">
        <v>7</v>
      </c>
      <c r="FS885" s="27" t="s">
        <v>8</v>
      </c>
      <c r="FT885" s="27" t="s">
        <v>7</v>
      </c>
      <c r="FU885" s="27" t="s">
        <v>8</v>
      </c>
    </row>
    <row r="886" spans="1:177" x14ac:dyDescent="0.25">
      <c r="A886" s="7">
        <v>2.6825550505661486E-3</v>
      </c>
      <c r="B886"/>
      <c r="C886"/>
      <c r="D886"/>
      <c r="E886"/>
      <c r="F886" s="27" t="s">
        <v>7</v>
      </c>
      <c r="FS886" s="27" t="s">
        <v>8</v>
      </c>
      <c r="FT886" s="27" t="s">
        <v>7</v>
      </c>
      <c r="FU886" s="27" t="s">
        <v>8</v>
      </c>
    </row>
    <row r="887" spans="1:177" x14ac:dyDescent="0.25">
      <c r="A887" s="7">
        <v>2.6299559319275965E-3</v>
      </c>
      <c r="B887"/>
      <c r="C887"/>
      <c r="D887"/>
      <c r="E887"/>
      <c r="F887" s="27" t="s">
        <v>7</v>
      </c>
      <c r="FS887" s="27" t="s">
        <v>8</v>
      </c>
      <c r="FT887" s="27" t="s">
        <v>7</v>
      </c>
      <c r="FU887" s="27" t="s">
        <v>8</v>
      </c>
    </row>
    <row r="888" spans="1:177" x14ac:dyDescent="0.25">
      <c r="A888" s="7">
        <v>2.578388168556467E-3</v>
      </c>
      <c r="B888"/>
      <c r="C888"/>
      <c r="D888"/>
      <c r="E888"/>
      <c r="F888" s="27" t="s">
        <v>7</v>
      </c>
      <c r="FS888" s="27" t="s">
        <v>8</v>
      </c>
      <c r="FT888" s="27" t="s">
        <v>7</v>
      </c>
      <c r="FU888" s="27" t="s">
        <v>8</v>
      </c>
    </row>
    <row r="889" spans="1:177" x14ac:dyDescent="0.25">
      <c r="A889" s="7">
        <v>2.5278315378004577E-3</v>
      </c>
      <c r="B889"/>
      <c r="C889"/>
      <c r="D889"/>
      <c r="E889"/>
      <c r="F889" s="27" t="s">
        <v>7</v>
      </c>
      <c r="FS889" s="27" t="s">
        <v>8</v>
      </c>
      <c r="FT889" s="27" t="s">
        <v>7</v>
      </c>
    </row>
    <row r="890" spans="1:177" x14ac:dyDescent="0.25">
      <c r="A890" s="7">
        <v>2.4782662135298603E-3</v>
      </c>
      <c r="B890"/>
      <c r="C890"/>
      <c r="D890"/>
      <c r="E890"/>
      <c r="F890" s="27" t="s">
        <v>7</v>
      </c>
      <c r="G890" s="27" t="s">
        <v>8</v>
      </c>
      <c r="FS890" s="27" t="s">
        <v>8</v>
      </c>
    </row>
    <row r="891" spans="1:177" x14ac:dyDescent="0.25">
      <c r="A891" s="7">
        <v>2.4296727583626083E-3</v>
      </c>
      <c r="B891"/>
      <c r="C891"/>
      <c r="D891"/>
      <c r="E891"/>
      <c r="F891" s="27" t="s">
        <v>7</v>
      </c>
      <c r="G891" s="27" t="s">
        <v>8</v>
      </c>
      <c r="H891" s="27" t="s">
        <v>7</v>
      </c>
      <c r="FS891" s="27" t="s">
        <v>8</v>
      </c>
    </row>
    <row r="892" spans="1:177" x14ac:dyDescent="0.25">
      <c r="A892" s="7">
        <v>2.3820321160417726E-3</v>
      </c>
      <c r="B892"/>
      <c r="C892"/>
      <c r="D892"/>
      <c r="E892"/>
      <c r="F892" s="27" t="s">
        <v>7</v>
      </c>
      <c r="G892" s="27" t="s">
        <v>8</v>
      </c>
      <c r="H892" s="27" t="s">
        <v>7</v>
      </c>
      <c r="FS892" s="27" t="s">
        <v>8</v>
      </c>
    </row>
    <row r="893" spans="1:177" x14ac:dyDescent="0.25">
      <c r="A893" s="7">
        <v>2.3353256039625224E-3</v>
      </c>
      <c r="B893"/>
      <c r="C893"/>
      <c r="D893"/>
      <c r="E893"/>
      <c r="F893" s="27" t="s">
        <v>7</v>
      </c>
      <c r="G893" s="27" t="s">
        <v>8</v>
      </c>
      <c r="H893" s="27" t="s">
        <v>7</v>
      </c>
      <c r="FS893" s="27" t="s">
        <v>8</v>
      </c>
    </row>
    <row r="894" spans="1:177" x14ac:dyDescent="0.25">
      <c r="A894" s="7">
        <v>2.2895349058456101E-3</v>
      </c>
      <c r="B894"/>
      <c r="C894"/>
      <c r="D894"/>
      <c r="E894"/>
      <c r="F894" s="27" t="s">
        <v>7</v>
      </c>
      <c r="G894" s="27" t="s">
        <v>8</v>
      </c>
      <c r="H894" s="27" t="s">
        <v>7</v>
      </c>
      <c r="FS894" s="27" t="s">
        <v>8</v>
      </c>
    </row>
    <row r="895" spans="1:177" x14ac:dyDescent="0.25">
      <c r="A895" s="7">
        <v>2.24464206455452E-3</v>
      </c>
      <c r="B895"/>
      <c r="C895"/>
      <c r="D895"/>
      <c r="E895"/>
      <c r="F895" s="27" t="s">
        <v>7</v>
      </c>
      <c r="G895" s="27" t="s">
        <v>8</v>
      </c>
      <c r="H895" s="27" t="s">
        <v>7</v>
      </c>
      <c r="FS895" s="27" t="s">
        <v>8</v>
      </c>
    </row>
    <row r="896" spans="1:177" x14ac:dyDescent="0.25">
      <c r="A896" s="7">
        <v>2.200629475053451E-3</v>
      </c>
      <c r="B896"/>
      <c r="C896"/>
      <c r="D896"/>
      <c r="E896"/>
      <c r="F896" s="27" t="s">
        <v>7</v>
      </c>
      <c r="G896" s="27" t="s">
        <v>8</v>
      </c>
      <c r="H896" s="27" t="s">
        <v>7</v>
      </c>
      <c r="FS896" s="27" t="s">
        <v>8</v>
      </c>
    </row>
    <row r="897" spans="1:175" x14ac:dyDescent="0.25">
      <c r="A897" s="7">
        <v>2.1574798775033832E-3</v>
      </c>
      <c r="B897"/>
      <c r="C897"/>
      <c r="D897"/>
      <c r="E897"/>
      <c r="F897" s="27" t="s">
        <v>7</v>
      </c>
      <c r="G897" s="27" t="s">
        <v>8</v>
      </c>
      <c r="H897" s="27" t="s">
        <v>7</v>
      </c>
      <c r="FS897" s="27" t="s">
        <v>8</v>
      </c>
    </row>
    <row r="898" spans="1:175" x14ac:dyDescent="0.25">
      <c r="A898" s="7">
        <v>2.115176350493513E-3</v>
      </c>
      <c r="B898"/>
      <c r="C898"/>
      <c r="D898"/>
      <c r="E898"/>
      <c r="F898" s="27" t="s">
        <v>7</v>
      </c>
      <c r="G898" s="27" t="s">
        <v>8</v>
      </c>
      <c r="H898" s="27" t="s">
        <v>7</v>
      </c>
      <c r="FS898" s="27" t="s">
        <v>8</v>
      </c>
    </row>
    <row r="899" spans="1:175" x14ac:dyDescent="0.25">
      <c r="A899" s="7">
        <v>2.0737023044054047E-3</v>
      </c>
      <c r="B899"/>
      <c r="C899"/>
      <c r="D899"/>
      <c r="E899"/>
      <c r="F899" s="27" t="s">
        <v>7</v>
      </c>
      <c r="G899" s="27" t="s">
        <v>8</v>
      </c>
      <c r="H899" s="27" t="s">
        <v>7</v>
      </c>
      <c r="FS899" s="27" t="s">
        <v>8</v>
      </c>
    </row>
    <row r="900" spans="1:175" x14ac:dyDescent="0.25">
      <c r="A900" s="7">
        <v>2.0330414749072595E-3</v>
      </c>
      <c r="B900"/>
      <c r="C900"/>
      <c r="D900"/>
      <c r="E900"/>
      <c r="F900" s="27" t="s">
        <v>7</v>
      </c>
      <c r="G900" s="27" t="s">
        <v>8</v>
      </c>
      <c r="H900" s="27" t="s">
        <v>7</v>
      </c>
      <c r="FG900" s="27" t="s">
        <v>8</v>
      </c>
      <c r="FS900" s="27" t="s">
        <v>8</v>
      </c>
    </row>
    <row r="901" spans="1:175" x14ac:dyDescent="0.25">
      <c r="A901" s="7">
        <v>1.9931779165757446E-3</v>
      </c>
      <c r="B901"/>
      <c r="C901"/>
      <c r="D901"/>
      <c r="E901"/>
      <c r="F901" s="27" t="s">
        <v>7</v>
      </c>
      <c r="G901" s="27" t="s">
        <v>8</v>
      </c>
      <c r="H901" s="27" t="s">
        <v>7</v>
      </c>
      <c r="FG901" s="27" t="s">
        <v>8</v>
      </c>
      <c r="FH901" s="27" t="s">
        <v>7</v>
      </c>
      <c r="FS901" s="27" t="s">
        <v>8</v>
      </c>
    </row>
    <row r="902" spans="1:175" x14ac:dyDescent="0.25">
      <c r="A902" s="7">
        <v>1.954095996642887E-3</v>
      </c>
      <c r="B902"/>
      <c r="C902"/>
      <c r="D902"/>
      <c r="E902"/>
      <c r="F902" s="27" t="s">
        <v>7</v>
      </c>
      <c r="G902" s="27" t="s">
        <v>8</v>
      </c>
      <c r="H902" s="27" t="s">
        <v>7</v>
      </c>
      <c r="FG902" s="27" t="s">
        <v>8</v>
      </c>
      <c r="FH902" s="27" t="s">
        <v>7</v>
      </c>
      <c r="FS902" s="27" t="s">
        <v>8</v>
      </c>
    </row>
    <row r="903" spans="1:175" x14ac:dyDescent="0.25">
      <c r="A903" s="7">
        <v>1.9157803888655755E-3</v>
      </c>
      <c r="B903"/>
      <c r="C903"/>
      <c r="D903"/>
      <c r="E903"/>
      <c r="F903" s="27" t="s">
        <v>7</v>
      </c>
      <c r="G903" s="27" t="s">
        <v>8</v>
      </c>
      <c r="H903" s="27" t="s">
        <v>7</v>
      </c>
      <c r="FG903" s="27" t="s">
        <v>8</v>
      </c>
      <c r="FH903" s="27" t="s">
        <v>7</v>
      </c>
      <c r="FS903" s="27" t="s">
        <v>8</v>
      </c>
    </row>
    <row r="904" spans="1:175" x14ac:dyDescent="0.25">
      <c r="A904" s="7">
        <v>1.8782160675152703E-3</v>
      </c>
      <c r="B904"/>
      <c r="C904"/>
      <c r="D904"/>
      <c r="E904"/>
      <c r="F904" s="27" t="s">
        <v>7</v>
      </c>
      <c r="G904" s="27" t="s">
        <v>8</v>
      </c>
      <c r="H904" s="27" t="s">
        <v>7</v>
      </c>
      <c r="I904" s="27" t="s">
        <v>8</v>
      </c>
      <c r="FG904" s="27" t="s">
        <v>8</v>
      </c>
      <c r="FH904" s="27" t="s">
        <v>7</v>
      </c>
      <c r="FM904" s="27" t="s">
        <v>8</v>
      </c>
      <c r="FS904" s="27" t="s">
        <v>8</v>
      </c>
    </row>
    <row r="905" spans="1:175" x14ac:dyDescent="0.25">
      <c r="A905" s="7">
        <v>1.8413883014855592E-3</v>
      </c>
      <c r="B905"/>
      <c r="C905"/>
      <c r="D905"/>
      <c r="E905"/>
      <c r="F905" s="27" t="s">
        <v>7</v>
      </c>
      <c r="G905" s="27" t="s">
        <v>8</v>
      </c>
      <c r="H905" s="27" t="s">
        <v>7</v>
      </c>
      <c r="I905" s="27" t="s">
        <v>8</v>
      </c>
      <c r="J905" s="27" t="s">
        <v>7</v>
      </c>
      <c r="FG905" s="27" t="s">
        <v>8</v>
      </c>
      <c r="FH905" s="27" t="s">
        <v>7</v>
      </c>
      <c r="FM905" s="27" t="s">
        <v>8</v>
      </c>
      <c r="FN905" s="27" t="s">
        <v>7</v>
      </c>
      <c r="FS905" s="27" t="s">
        <v>8</v>
      </c>
    </row>
    <row r="906" spans="1:175" x14ac:dyDescent="0.25">
      <c r="A906" s="7">
        <v>1.8052826485152542E-3</v>
      </c>
      <c r="B906"/>
      <c r="C906"/>
      <c r="D906"/>
      <c r="E906"/>
      <c r="F906" s="27" t="s">
        <v>7</v>
      </c>
      <c r="G906" s="27" t="s">
        <v>8</v>
      </c>
      <c r="H906" s="27" t="s">
        <v>7</v>
      </c>
      <c r="I906" s="27" t="s">
        <v>8</v>
      </c>
      <c r="J906" s="27" t="s">
        <v>7</v>
      </c>
      <c r="K906" s="27" t="s">
        <v>8</v>
      </c>
      <c r="FG906" s="27" t="s">
        <v>8</v>
      </c>
      <c r="FH906" s="27" t="s">
        <v>7</v>
      </c>
      <c r="FM906" s="27" t="s">
        <v>8</v>
      </c>
      <c r="FN906" s="27" t="s">
        <v>7</v>
      </c>
      <c r="FS906" s="27" t="s">
        <v>8</v>
      </c>
    </row>
    <row r="907" spans="1:175" x14ac:dyDescent="0.25">
      <c r="A907" s="7">
        <v>1.7698849495247592E-3</v>
      </c>
      <c r="B907"/>
      <c r="C907"/>
      <c r="D907"/>
      <c r="E907"/>
      <c r="F907" s="27" t="s">
        <v>7</v>
      </c>
      <c r="G907" s="27" t="s">
        <v>8</v>
      </c>
      <c r="H907" s="27" t="s">
        <v>7</v>
      </c>
      <c r="I907" s="27" t="s">
        <v>8</v>
      </c>
      <c r="J907" s="27" t="s">
        <v>7</v>
      </c>
      <c r="K907" s="27" t="s">
        <v>8</v>
      </c>
      <c r="L907" s="27" t="s">
        <v>7</v>
      </c>
      <c r="FG907" s="27" t="s">
        <v>8</v>
      </c>
      <c r="FH907" s="27" t="s">
        <v>7</v>
      </c>
      <c r="FM907" s="27" t="s">
        <v>8</v>
      </c>
      <c r="FN907" s="27" t="s">
        <v>7</v>
      </c>
      <c r="FS907" s="27" t="s">
        <v>8</v>
      </c>
    </row>
    <row r="908" spans="1:175" x14ac:dyDescent="0.25">
      <c r="A908" s="7">
        <v>1.7351813230634893E-3</v>
      </c>
      <c r="B908"/>
      <c r="C908"/>
      <c r="D908"/>
      <c r="E908"/>
      <c r="F908" s="27" t="s">
        <v>7</v>
      </c>
      <c r="G908" s="27" t="s">
        <v>8</v>
      </c>
      <c r="H908" s="27" t="s">
        <v>7</v>
      </c>
      <c r="I908" s="27" t="s">
        <v>8</v>
      </c>
      <c r="J908" s="27" t="s">
        <v>7</v>
      </c>
      <c r="K908" s="27" t="s">
        <v>8</v>
      </c>
      <c r="L908" s="27" t="s">
        <v>7</v>
      </c>
      <c r="FG908" s="27" t="s">
        <v>8</v>
      </c>
      <c r="FH908" s="27" t="s">
        <v>7</v>
      </c>
      <c r="FM908" s="27" t="s">
        <v>8</v>
      </c>
      <c r="FN908" s="27" t="s">
        <v>7</v>
      </c>
      <c r="FS908" s="27" t="s">
        <v>8</v>
      </c>
    </row>
    <row r="909" spans="1:175" x14ac:dyDescent="0.25">
      <c r="A909" s="7">
        <v>1.701158159866166E-3</v>
      </c>
      <c r="B909"/>
      <c r="C909"/>
      <c r="D909"/>
      <c r="E909"/>
      <c r="F909" s="27" t="s">
        <v>7</v>
      </c>
      <c r="G909" s="27" t="s">
        <v>8</v>
      </c>
      <c r="H909" s="27" t="s">
        <v>7</v>
      </c>
      <c r="I909" s="27" t="s">
        <v>8</v>
      </c>
      <c r="J909" s="27" t="s">
        <v>7</v>
      </c>
      <c r="K909" s="27" t="s">
        <v>8</v>
      </c>
      <c r="L909" s="27" t="s">
        <v>7</v>
      </c>
      <c r="O909" s="27" t="s">
        <v>8</v>
      </c>
      <c r="FG909" s="27" t="s">
        <v>8</v>
      </c>
      <c r="FH909" s="27" t="s">
        <v>7</v>
      </c>
      <c r="FM909" s="27" t="s">
        <v>8</v>
      </c>
      <c r="FN909" s="27" t="s">
        <v>7</v>
      </c>
      <c r="FS909" s="27" t="s">
        <v>8</v>
      </c>
    </row>
    <row r="910" spans="1:175" x14ac:dyDescent="0.25">
      <c r="A910" s="7">
        <v>1.6678021175158492E-3</v>
      </c>
      <c r="B910"/>
      <c r="C910"/>
      <c r="D910"/>
      <c r="E910"/>
      <c r="F910" s="27" t="s">
        <v>7</v>
      </c>
      <c r="G910" s="27" t="s">
        <v>8</v>
      </c>
      <c r="H910" s="27" t="s">
        <v>7</v>
      </c>
      <c r="I910" s="27" t="s">
        <v>8</v>
      </c>
      <c r="J910" s="27" t="s">
        <v>7</v>
      </c>
      <c r="K910" s="27" t="s">
        <v>8</v>
      </c>
      <c r="L910" s="27" t="s">
        <v>7</v>
      </c>
      <c r="M910" s="27" t="s">
        <v>8</v>
      </c>
      <c r="O910" s="27" t="s">
        <v>8</v>
      </c>
      <c r="P910" s="27" t="s">
        <v>7</v>
      </c>
      <c r="FG910" s="27" t="s">
        <v>8</v>
      </c>
      <c r="FH910" s="27" t="s">
        <v>7</v>
      </c>
      <c r="FM910" s="27" t="s">
        <v>8</v>
      </c>
      <c r="FN910" s="27" t="s">
        <v>7</v>
      </c>
      <c r="FS910" s="27" t="s">
        <v>8</v>
      </c>
    </row>
    <row r="911" spans="1:175" x14ac:dyDescent="0.25">
      <c r="A911" s="7">
        <v>1.6351001152116167E-3</v>
      </c>
      <c r="B911"/>
      <c r="C911"/>
      <c r="D911"/>
      <c r="E911"/>
      <c r="F911" s="27" t="s">
        <v>7</v>
      </c>
      <c r="G911" s="27" t="s">
        <v>8</v>
      </c>
      <c r="H911" s="27" t="s">
        <v>7</v>
      </c>
      <c r="I911" s="27" t="s">
        <v>8</v>
      </c>
      <c r="J911" s="27" t="s">
        <v>7</v>
      </c>
      <c r="L911" s="27" t="s">
        <v>7</v>
      </c>
      <c r="M911" s="27" t="s">
        <v>8</v>
      </c>
      <c r="N911" s="27" t="s">
        <v>7</v>
      </c>
      <c r="O911" s="27" t="s">
        <v>8</v>
      </c>
      <c r="P911" s="27" t="s">
        <v>7</v>
      </c>
      <c r="FG911" s="27" t="s">
        <v>8</v>
      </c>
      <c r="FH911" s="27" t="s">
        <v>7</v>
      </c>
      <c r="FM911" s="27" t="s">
        <v>8</v>
      </c>
      <c r="FN911" s="27" t="s">
        <v>7</v>
      </c>
      <c r="FS911" s="27" t="s">
        <v>8</v>
      </c>
    </row>
    <row r="912" spans="1:175" x14ac:dyDescent="0.25">
      <c r="A912" s="7">
        <v>1.60303932863884E-3</v>
      </c>
      <c r="B912"/>
      <c r="C912"/>
      <c r="D912"/>
      <c r="E912"/>
      <c r="F912" s="27" t="s">
        <v>7</v>
      </c>
      <c r="G912" s="27" t="s">
        <v>8</v>
      </c>
      <c r="H912" s="27" t="s">
        <v>7</v>
      </c>
      <c r="I912" s="27" t="s">
        <v>8</v>
      </c>
      <c r="L912" s="27" t="s">
        <v>7</v>
      </c>
      <c r="M912" s="27" t="s">
        <v>8</v>
      </c>
      <c r="N912" s="27" t="s">
        <v>7</v>
      </c>
      <c r="O912" s="27" t="s">
        <v>8</v>
      </c>
      <c r="P912" s="27" t="s">
        <v>7</v>
      </c>
      <c r="FG912" s="27" t="s">
        <v>8</v>
      </c>
      <c r="FH912" s="27" t="s">
        <v>7</v>
      </c>
      <c r="FM912" s="27" t="s">
        <v>8</v>
      </c>
      <c r="FN912" s="27" t="s">
        <v>7</v>
      </c>
      <c r="FS912" s="27" t="s">
        <v>8</v>
      </c>
    </row>
    <row r="913" spans="1:175" x14ac:dyDescent="0.25">
      <c r="A913" s="7">
        <v>1.5716071849400392E-3</v>
      </c>
      <c r="B913"/>
      <c r="C913"/>
      <c r="D913"/>
      <c r="E913"/>
      <c r="F913" s="27" t="s">
        <v>7</v>
      </c>
      <c r="G913" s="27" t="s">
        <v>8</v>
      </c>
      <c r="H913" s="27" t="s">
        <v>7</v>
      </c>
      <c r="I913" s="27" t="s">
        <v>8</v>
      </c>
      <c r="L913" s="27" t="s">
        <v>7</v>
      </c>
      <c r="M913" s="27" t="s">
        <v>8</v>
      </c>
      <c r="N913" s="27" t="s">
        <v>7</v>
      </c>
      <c r="O913" s="27" t="s">
        <v>8</v>
      </c>
      <c r="P913" s="27" t="s">
        <v>7</v>
      </c>
      <c r="FG913" s="27" t="s">
        <v>8</v>
      </c>
      <c r="FH913" s="27" t="s">
        <v>7</v>
      </c>
      <c r="FM913" s="27" t="s">
        <v>8</v>
      </c>
      <c r="FN913" s="27" t="s">
        <v>7</v>
      </c>
      <c r="FO913" s="27" t="s">
        <v>8</v>
      </c>
      <c r="FS913" s="27" t="s">
        <v>8</v>
      </c>
    </row>
    <row r="914" spans="1:175" x14ac:dyDescent="0.25">
      <c r="A914" s="7">
        <v>1.5407913577843522E-3</v>
      </c>
      <c r="B914"/>
      <c r="C914"/>
      <c r="D914"/>
      <c r="E914"/>
      <c r="F914" s="27" t="s">
        <v>7</v>
      </c>
      <c r="G914" s="27" t="s">
        <v>8</v>
      </c>
      <c r="H914" s="27" t="s">
        <v>7</v>
      </c>
      <c r="L914" s="27" t="s">
        <v>7</v>
      </c>
      <c r="M914" s="27" t="s">
        <v>8</v>
      </c>
      <c r="N914" s="27" t="s">
        <v>7</v>
      </c>
      <c r="P914" s="27" t="s">
        <v>7</v>
      </c>
      <c r="FG914" s="27" t="s">
        <v>8</v>
      </c>
      <c r="FH914" s="27" t="s">
        <v>7</v>
      </c>
      <c r="FM914" s="27" t="s">
        <v>8</v>
      </c>
      <c r="FN914" s="27" t="s">
        <v>7</v>
      </c>
      <c r="FO914" s="27" t="s">
        <v>8</v>
      </c>
      <c r="FP914" s="27" t="s">
        <v>7</v>
      </c>
      <c r="FQ914" s="27" t="s">
        <v>8</v>
      </c>
      <c r="FS914" s="27" t="s">
        <v>8</v>
      </c>
    </row>
    <row r="915" spans="1:175" x14ac:dyDescent="0.25">
      <c r="A915" s="7">
        <v>1.5105797625336785E-3</v>
      </c>
      <c r="B915"/>
      <c r="C915"/>
      <c r="D915"/>
      <c r="E915"/>
      <c r="F915" s="27" t="s">
        <v>7</v>
      </c>
      <c r="G915" s="27" t="s">
        <v>8</v>
      </c>
      <c r="L915" s="27" t="s">
        <v>7</v>
      </c>
      <c r="M915" s="27" t="s">
        <v>8</v>
      </c>
      <c r="P915" s="27" t="s">
        <v>7</v>
      </c>
      <c r="FG915" s="27" t="s">
        <v>8</v>
      </c>
      <c r="FH915" s="27" t="s">
        <v>7</v>
      </c>
      <c r="FM915" s="27" t="s">
        <v>8</v>
      </c>
      <c r="FN915" s="27" t="s">
        <v>7</v>
      </c>
      <c r="FO915" s="27" t="s">
        <v>8</v>
      </c>
      <c r="FP915" s="27" t="s">
        <v>7</v>
      </c>
      <c r="FQ915" s="27" t="s">
        <v>8</v>
      </c>
      <c r="FR915" s="27" t="s">
        <v>7</v>
      </c>
      <c r="FS915" s="27" t="s">
        <v>8</v>
      </c>
    </row>
    <row r="916" spans="1:175" x14ac:dyDescent="0.25">
      <c r="A916" s="7">
        <v>1.4809605515036064E-3</v>
      </c>
      <c r="B916"/>
      <c r="C916"/>
      <c r="D916"/>
      <c r="E916"/>
      <c r="F916" s="27" t="s">
        <v>7</v>
      </c>
      <c r="G916" s="27" t="s">
        <v>8</v>
      </c>
      <c r="L916" s="27" t="s">
        <v>7</v>
      </c>
      <c r="P916" s="27" t="s">
        <v>7</v>
      </c>
      <c r="FG916" s="27" t="s">
        <v>8</v>
      </c>
      <c r="FH916" s="27" t="s">
        <v>7</v>
      </c>
      <c r="FI916" s="27" t="s">
        <v>8</v>
      </c>
      <c r="FM916" s="27" t="s">
        <v>8</v>
      </c>
      <c r="FN916" s="27" t="s">
        <v>7</v>
      </c>
      <c r="FO916" s="27" t="s">
        <v>8</v>
      </c>
      <c r="FP916" s="27" t="s">
        <v>7</v>
      </c>
      <c r="FQ916" s="27" t="s">
        <v>8</v>
      </c>
      <c r="FR916" s="27" t="s">
        <v>7</v>
      </c>
      <c r="FS916" s="27" t="s">
        <v>8</v>
      </c>
    </row>
    <row r="917" spans="1:175" x14ac:dyDescent="0.25">
      <c r="A917" s="7">
        <v>1.4519221093172612E-3</v>
      </c>
      <c r="B917"/>
      <c r="C917"/>
      <c r="D917"/>
      <c r="E917"/>
      <c r="F917" s="27" t="s">
        <v>7</v>
      </c>
      <c r="G917" s="27" t="s">
        <v>8</v>
      </c>
      <c r="P917" s="27" t="s">
        <v>7</v>
      </c>
      <c r="FG917" s="27" t="s">
        <v>8</v>
      </c>
      <c r="FH917" s="27" t="s">
        <v>7</v>
      </c>
      <c r="FI917" s="27" t="s">
        <v>8</v>
      </c>
      <c r="FJ917" s="27" t="s">
        <v>7</v>
      </c>
      <c r="FM917" s="27" t="s">
        <v>8</v>
      </c>
      <c r="FN917" s="27" t="s">
        <v>7</v>
      </c>
      <c r="FO917" s="27" t="s">
        <v>8</v>
      </c>
      <c r="FP917" s="27" t="s">
        <v>7</v>
      </c>
      <c r="FR917" s="27" t="s">
        <v>7</v>
      </c>
      <c r="FS917" s="27" t="s">
        <v>8</v>
      </c>
    </row>
    <row r="918" spans="1:175" x14ac:dyDescent="0.25">
      <c r="A918" s="7">
        <v>1.423453048350256E-3</v>
      </c>
      <c r="B918"/>
      <c r="C918"/>
      <c r="D918"/>
      <c r="E918"/>
      <c r="F918" s="27" t="s">
        <v>7</v>
      </c>
      <c r="G918" s="27" t="s">
        <v>8</v>
      </c>
      <c r="P918" s="27" t="s">
        <v>7</v>
      </c>
      <c r="Q918" s="27" t="s">
        <v>8</v>
      </c>
      <c r="FG918" s="27" t="s">
        <v>8</v>
      </c>
      <c r="FH918" s="27" t="s">
        <v>7</v>
      </c>
      <c r="FI918" s="27" t="s">
        <v>8</v>
      </c>
      <c r="FJ918" s="27" t="s">
        <v>7</v>
      </c>
      <c r="FM918" s="27" t="s">
        <v>8</v>
      </c>
      <c r="FN918" s="27" t="s">
        <v>7</v>
      </c>
      <c r="FO918" s="27" t="s">
        <v>8</v>
      </c>
      <c r="FR918" s="27" t="s">
        <v>7</v>
      </c>
      <c r="FS918" s="27" t="s">
        <v>8</v>
      </c>
    </row>
    <row r="919" spans="1:175" x14ac:dyDescent="0.25">
      <c r="A919" s="7">
        <v>1.3955422042649568E-3</v>
      </c>
      <c r="B919"/>
      <c r="C919"/>
      <c r="D919"/>
      <c r="E919"/>
      <c r="F919" s="27" t="s">
        <v>7</v>
      </c>
      <c r="G919" s="27" t="s">
        <v>8</v>
      </c>
      <c r="P919" s="27" t="s">
        <v>7</v>
      </c>
      <c r="Q919" s="27" t="s">
        <v>8</v>
      </c>
      <c r="R919" s="27" t="s">
        <v>7</v>
      </c>
      <c r="FG919" s="27" t="s">
        <v>8</v>
      </c>
      <c r="FH919" s="27" t="s">
        <v>7</v>
      </c>
      <c r="FI919" s="27" t="s">
        <v>8</v>
      </c>
      <c r="FJ919" s="27" t="s">
        <v>7</v>
      </c>
      <c r="FM919" s="27" t="s">
        <v>8</v>
      </c>
      <c r="FN919" s="27" t="s">
        <v>7</v>
      </c>
      <c r="FO919" s="27" t="s">
        <v>8</v>
      </c>
      <c r="FR919" s="27" t="s">
        <v>7</v>
      </c>
    </row>
    <row r="920" spans="1:175" x14ac:dyDescent="0.25">
      <c r="A920" s="7">
        <v>1.3681786316323105E-3</v>
      </c>
      <c r="B920"/>
      <c r="C920"/>
      <c r="D920"/>
      <c r="E920"/>
      <c r="F920" s="27" t="s">
        <v>7</v>
      </c>
      <c r="G920" s="27" t="s">
        <v>8</v>
      </c>
      <c r="P920" s="27" t="s">
        <v>7</v>
      </c>
      <c r="Q920" s="27" t="s">
        <v>8</v>
      </c>
      <c r="R920" s="27" t="s">
        <v>7</v>
      </c>
      <c r="S920" s="27" t="s">
        <v>8</v>
      </c>
      <c r="U920" s="27" t="s">
        <v>8</v>
      </c>
      <c r="FG920" s="27" t="s">
        <v>8</v>
      </c>
      <c r="FH920" s="27" t="s">
        <v>7</v>
      </c>
      <c r="FI920" s="27" t="s">
        <v>8</v>
      </c>
      <c r="FJ920" s="27" t="s">
        <v>7</v>
      </c>
      <c r="FK920" s="27" t="s">
        <v>8</v>
      </c>
      <c r="FM920" s="27" t="s">
        <v>8</v>
      </c>
      <c r="FN920" s="27" t="s">
        <v>7</v>
      </c>
      <c r="FO920" s="27" t="s">
        <v>8</v>
      </c>
    </row>
    <row r="921" spans="1:175" x14ac:dyDescent="0.25">
      <c r="A921" s="7">
        <v>1.3413515996395203E-3</v>
      </c>
      <c r="B921"/>
      <c r="C921"/>
      <c r="D921"/>
      <c r="E921"/>
      <c r="F921" s="27" t="s">
        <v>7</v>
      </c>
      <c r="G921" s="27" t="s">
        <v>8</v>
      </c>
      <c r="P921" s="27" t="s">
        <v>7</v>
      </c>
      <c r="R921" s="27" t="s">
        <v>7</v>
      </c>
      <c r="S921" s="27" t="s">
        <v>8</v>
      </c>
      <c r="T921" s="27" t="s">
        <v>7</v>
      </c>
      <c r="U921" s="27" t="s">
        <v>8</v>
      </c>
      <c r="V921" s="27" t="s">
        <v>7</v>
      </c>
      <c r="FG921" s="27" t="s">
        <v>8</v>
      </c>
      <c r="FH921" s="27" t="s">
        <v>7</v>
      </c>
      <c r="FI921" s="27" t="s">
        <v>8</v>
      </c>
      <c r="FJ921" s="27" t="s">
        <v>7</v>
      </c>
      <c r="FK921" s="27" t="s">
        <v>8</v>
      </c>
      <c r="FL921" s="27" t="s">
        <v>7</v>
      </c>
      <c r="FM921" s="27" t="s">
        <v>8</v>
      </c>
      <c r="FN921" s="27" t="s">
        <v>7</v>
      </c>
      <c r="FO921" s="27" t="s">
        <v>8</v>
      </c>
    </row>
    <row r="922" spans="1:175" x14ac:dyDescent="0.25">
      <c r="A922" s="7">
        <v>1.3150505878818826E-3</v>
      </c>
      <c r="B922"/>
      <c r="C922"/>
      <c r="D922"/>
      <c r="E922"/>
      <c r="F922" s="27" t="s">
        <v>7</v>
      </c>
      <c r="G922" s="27" t="s">
        <v>8</v>
      </c>
      <c r="R922" s="27" t="s">
        <v>7</v>
      </c>
      <c r="S922" s="27" t="s">
        <v>8</v>
      </c>
      <c r="T922" s="27" t="s">
        <v>7</v>
      </c>
      <c r="U922" s="27" t="s">
        <v>8</v>
      </c>
      <c r="V922" s="27" t="s">
        <v>7</v>
      </c>
      <c r="AA922" s="27" t="s">
        <v>8</v>
      </c>
      <c r="FG922" s="27" t="s">
        <v>8</v>
      </c>
      <c r="FH922" s="27" t="s">
        <v>7</v>
      </c>
      <c r="FI922" s="27" t="s">
        <v>8</v>
      </c>
      <c r="FJ922" s="27" t="s">
        <v>7</v>
      </c>
      <c r="FK922" s="27" t="s">
        <v>8</v>
      </c>
      <c r="FL922" s="27" t="s">
        <v>7</v>
      </c>
      <c r="FM922" s="27" t="s">
        <v>8</v>
      </c>
      <c r="FN922" s="27" t="s">
        <v>7</v>
      </c>
      <c r="FO922" s="27" t="s">
        <v>8</v>
      </c>
    </row>
    <row r="923" spans="1:175" x14ac:dyDescent="0.25">
      <c r="A923" s="7">
        <v>1.2892652822371396E-3</v>
      </c>
      <c r="B923"/>
      <c r="C923"/>
      <c r="D923"/>
      <c r="E923"/>
      <c r="F923" s="27" t="s">
        <v>7</v>
      </c>
      <c r="G923" s="27" t="s">
        <v>8</v>
      </c>
      <c r="R923" s="27" t="s">
        <v>7</v>
      </c>
      <c r="S923" s="27" t="s">
        <v>8</v>
      </c>
      <c r="T923" s="27" t="s">
        <v>7</v>
      </c>
      <c r="U923" s="27" t="s">
        <v>8</v>
      </c>
      <c r="V923" s="27" t="s">
        <v>7</v>
      </c>
      <c r="Y923" s="27" t="s">
        <v>8</v>
      </c>
      <c r="AA923" s="27" t="s">
        <v>8</v>
      </c>
      <c r="AB923" s="27" t="s">
        <v>7</v>
      </c>
      <c r="FG923" s="27" t="s">
        <v>8</v>
      </c>
      <c r="FH923" s="27" t="s">
        <v>7</v>
      </c>
      <c r="FI923" s="27" t="s">
        <v>8</v>
      </c>
      <c r="FJ923" s="27" t="s">
        <v>7</v>
      </c>
      <c r="FK923" s="27" t="s">
        <v>8</v>
      </c>
      <c r="FL923" s="27" t="s">
        <v>7</v>
      </c>
      <c r="FM923" s="27" t="s">
        <v>8</v>
      </c>
      <c r="FN923" s="27" t="s">
        <v>7</v>
      </c>
    </row>
    <row r="924" spans="1:175" x14ac:dyDescent="0.25">
      <c r="A924" s="7">
        <v>1.2639855708207251E-3</v>
      </c>
      <c r="B924"/>
      <c r="C924"/>
      <c r="D924"/>
      <c r="E924"/>
      <c r="F924" s="27" t="s">
        <v>7</v>
      </c>
      <c r="G924" s="27" t="s">
        <v>8</v>
      </c>
      <c r="R924" s="27" t="s">
        <v>7</v>
      </c>
      <c r="T924" s="27" t="s">
        <v>7</v>
      </c>
      <c r="U924" s="27" t="s">
        <v>8</v>
      </c>
      <c r="V924" s="27" t="s">
        <v>7</v>
      </c>
      <c r="W924" s="27" t="s">
        <v>8</v>
      </c>
      <c r="Y924" s="27" t="s">
        <v>8</v>
      </c>
      <c r="Z924" s="27" t="s">
        <v>7</v>
      </c>
      <c r="AA924" s="27" t="s">
        <v>8</v>
      </c>
      <c r="AB924" s="27" t="s">
        <v>7</v>
      </c>
      <c r="FG924" s="27" t="s">
        <v>8</v>
      </c>
      <c r="FH924" s="27" t="s">
        <v>7</v>
      </c>
      <c r="FI924" s="27" t="s">
        <v>8</v>
      </c>
      <c r="FJ924" s="27" t="s">
        <v>7</v>
      </c>
      <c r="FL924" s="27" t="s">
        <v>7</v>
      </c>
      <c r="FM924" s="27" t="s">
        <v>8</v>
      </c>
    </row>
    <row r="925" spans="1:175" x14ac:dyDescent="0.25">
      <c r="A925" s="7">
        <v>1.2392015400203187E-3</v>
      </c>
      <c r="B925"/>
      <c r="C925"/>
      <c r="D925"/>
      <c r="E925"/>
      <c r="F925" s="27" t="s">
        <v>7</v>
      </c>
      <c r="T925" s="27" t="s">
        <v>7</v>
      </c>
      <c r="U925" s="27" t="s">
        <v>8</v>
      </c>
      <c r="V925" s="27" t="s">
        <v>7</v>
      </c>
      <c r="W925" s="27" t="s">
        <v>8</v>
      </c>
      <c r="X925" s="27" t="s">
        <v>7</v>
      </c>
      <c r="Y925" s="27" t="s">
        <v>8</v>
      </c>
      <c r="Z925" s="27" t="s">
        <v>7</v>
      </c>
      <c r="AA925" s="27" t="s">
        <v>8</v>
      </c>
      <c r="AB925" s="27" t="s">
        <v>7</v>
      </c>
      <c r="FG925" s="27" t="s">
        <v>8</v>
      </c>
      <c r="FH925" s="27" t="s">
        <v>7</v>
      </c>
      <c r="FI925" s="27" t="s">
        <v>8</v>
      </c>
      <c r="FL925" s="27" t="s">
        <v>7</v>
      </c>
      <c r="FM925" s="27" t="s">
        <v>8</v>
      </c>
    </row>
    <row r="926" spans="1:175" x14ac:dyDescent="0.25">
      <c r="A926" s="7">
        <v>1.2149034706081556E-3</v>
      </c>
      <c r="B926"/>
      <c r="C926"/>
      <c r="D926"/>
      <c r="E926"/>
      <c r="T926" s="27" t="s">
        <v>7</v>
      </c>
      <c r="U926" s="27" t="s">
        <v>8</v>
      </c>
      <c r="V926" s="27" t="s">
        <v>7</v>
      </c>
      <c r="W926" s="27" t="s">
        <v>8</v>
      </c>
      <c r="X926" s="27" t="s">
        <v>7</v>
      </c>
      <c r="Y926" s="27" t="s">
        <v>8</v>
      </c>
      <c r="Z926" s="27" t="s">
        <v>7</v>
      </c>
      <c r="AB926" s="27" t="s">
        <v>7</v>
      </c>
      <c r="FG926" s="27" t="s">
        <v>8</v>
      </c>
      <c r="FH926" s="27" t="s">
        <v>7</v>
      </c>
      <c r="FI926" s="27" t="s">
        <v>8</v>
      </c>
      <c r="FL926" s="27" t="s">
        <v>7</v>
      </c>
      <c r="FM926" s="27" t="s">
        <v>8</v>
      </c>
    </row>
    <row r="927" spans="1:175" x14ac:dyDescent="0.25">
      <c r="A927" s="7">
        <v>1.1910818339295644E-3</v>
      </c>
      <c r="B927"/>
      <c r="C927"/>
      <c r="D927"/>
      <c r="E927"/>
      <c r="T927" s="27" t="s">
        <v>7</v>
      </c>
      <c r="U927" s="27" t="s">
        <v>8</v>
      </c>
      <c r="V927" s="27" t="s">
        <v>7</v>
      </c>
      <c r="X927" s="27" t="s">
        <v>7</v>
      </c>
      <c r="Y927" s="27" t="s">
        <v>8</v>
      </c>
      <c r="AB927" s="27" t="s">
        <v>7</v>
      </c>
      <c r="FG927" s="27" t="s">
        <v>8</v>
      </c>
      <c r="FH927" s="27" t="s">
        <v>7</v>
      </c>
      <c r="FI927" s="27" t="s">
        <v>8</v>
      </c>
      <c r="FL927" s="27" t="s">
        <v>7</v>
      </c>
      <c r="FM927" s="27" t="s">
        <v>8</v>
      </c>
    </row>
    <row r="928" spans="1:175" x14ac:dyDescent="0.25">
      <c r="A928" s="7">
        <v>1.1677272881662395E-3</v>
      </c>
      <c r="B928"/>
      <c r="C928"/>
      <c r="D928"/>
      <c r="E928"/>
      <c r="T928" s="27" t="s">
        <v>7</v>
      </c>
      <c r="U928" s="27" t="s">
        <v>8</v>
      </c>
      <c r="X928" s="27" t="s">
        <v>7</v>
      </c>
      <c r="AB928" s="27" t="s">
        <v>7</v>
      </c>
      <c r="FG928" s="27" t="s">
        <v>8</v>
      </c>
      <c r="FH928" s="27" t="s">
        <v>7</v>
      </c>
      <c r="FI928" s="27" t="s">
        <v>8</v>
      </c>
      <c r="FL928" s="27" t="s">
        <v>7</v>
      </c>
    </row>
    <row r="929" spans="1:165" x14ac:dyDescent="0.25">
      <c r="A929" s="7">
        <v>1.1448306746727837E-3</v>
      </c>
      <c r="B929"/>
      <c r="C929"/>
      <c r="D929"/>
      <c r="E929"/>
      <c r="T929" s="27" t="s">
        <v>7</v>
      </c>
      <c r="AB929" s="27" t="s">
        <v>7</v>
      </c>
      <c r="FG929" s="27" t="s">
        <v>8</v>
      </c>
      <c r="FH929" s="27" t="s">
        <v>7</v>
      </c>
      <c r="FI929" s="27" t="s">
        <v>8</v>
      </c>
    </row>
    <row r="930" spans="1:165" x14ac:dyDescent="0.25">
      <c r="A930" s="7">
        <v>1.1223830143850821E-3</v>
      </c>
      <c r="B930"/>
      <c r="C930"/>
      <c r="D930"/>
      <c r="E930"/>
      <c r="AB930" s="27" t="s">
        <v>7</v>
      </c>
      <c r="AC930" s="27" t="s">
        <v>8</v>
      </c>
      <c r="FG930" s="27" t="s">
        <v>8</v>
      </c>
      <c r="FH930" s="27" t="s">
        <v>7</v>
      </c>
      <c r="FI930" s="27" t="s">
        <v>8</v>
      </c>
    </row>
    <row r="931" spans="1:165" x14ac:dyDescent="0.25">
      <c r="A931" s="7">
        <v>1.1003755042991001E-3</v>
      </c>
      <c r="B931"/>
      <c r="C931"/>
      <c r="D931"/>
      <c r="E931"/>
      <c r="AB931" s="27" t="s">
        <v>7</v>
      </c>
      <c r="AC931" s="27" t="s">
        <v>8</v>
      </c>
      <c r="AD931" s="27" t="s">
        <v>7</v>
      </c>
      <c r="FG931" s="27" t="s">
        <v>8</v>
      </c>
      <c r="FH931" s="27" t="s">
        <v>7</v>
      </c>
    </row>
    <row r="932" spans="1:165" x14ac:dyDescent="0.25">
      <c r="A932" s="7">
        <v>1.0787995140187257E-3</v>
      </c>
      <c r="B932"/>
      <c r="C932"/>
      <c r="D932"/>
      <c r="E932"/>
      <c r="AB932" s="27" t="s">
        <v>7</v>
      </c>
      <c r="AC932" s="27" t="s">
        <v>8</v>
      </c>
      <c r="AD932" s="27" t="s">
        <v>7</v>
      </c>
      <c r="FG932" s="27" t="s">
        <v>8</v>
      </c>
    </row>
    <row r="933" spans="1:165" x14ac:dyDescent="0.25">
      <c r="A933" s="7">
        <v>1.0576465823712996E-3</v>
      </c>
      <c r="B933"/>
      <c r="C933"/>
      <c r="D933"/>
      <c r="E933"/>
      <c r="AB933" s="27" t="s">
        <v>7</v>
      </c>
      <c r="AC933" s="27" t="s">
        <v>8</v>
      </c>
      <c r="AD933" s="27" t="s">
        <v>7</v>
      </c>
      <c r="DW933" s="27" t="s">
        <v>8</v>
      </c>
      <c r="FG933" s="27" t="s">
        <v>8</v>
      </c>
    </row>
    <row r="934" spans="1:165" x14ac:dyDescent="0.25">
      <c r="A934" s="7">
        <v>1.0369084140895094E-3</v>
      </c>
      <c r="B934"/>
      <c r="C934"/>
      <c r="D934"/>
      <c r="E934"/>
      <c r="AB934" s="27" t="s">
        <v>7</v>
      </c>
      <c r="AC934" s="27" t="s">
        <v>8</v>
      </c>
      <c r="AD934" s="27" t="s">
        <v>7</v>
      </c>
      <c r="DW934" s="27" t="s">
        <v>8</v>
      </c>
      <c r="DX934" s="27" t="s">
        <v>7</v>
      </c>
      <c r="FG934" s="27" t="s">
        <v>8</v>
      </c>
    </row>
    <row r="935" spans="1:165" x14ac:dyDescent="0.25">
      <c r="A935" s="7">
        <v>1.0165768765583426E-3</v>
      </c>
      <c r="B935"/>
      <c r="C935"/>
      <c r="D935"/>
      <c r="E935"/>
      <c r="AB935" s="27" t="s">
        <v>7</v>
      </c>
      <c r="AC935" s="27" t="s">
        <v>8</v>
      </c>
      <c r="AD935" s="27" t="s">
        <v>7</v>
      </c>
      <c r="DW935" s="27" t="s">
        <v>8</v>
      </c>
      <c r="DX935" s="27" t="s">
        <v>7</v>
      </c>
      <c r="FG935" s="27" t="s">
        <v>8</v>
      </c>
    </row>
    <row r="936" spans="1:165" x14ac:dyDescent="0.25">
      <c r="A936" s="7">
        <v>9.966439966258261E-4</v>
      </c>
      <c r="B936"/>
      <c r="C936"/>
      <c r="D936"/>
      <c r="E936"/>
      <c r="AB936" s="27" t="s">
        <v>7</v>
      </c>
      <c r="AC936" s="27" t="s">
        <v>8</v>
      </c>
      <c r="AD936" s="27" t="s">
        <v>7</v>
      </c>
      <c r="AE936" s="27" t="s">
        <v>8</v>
      </c>
      <c r="AG936" s="27" t="s">
        <v>8</v>
      </c>
      <c r="AI936" s="27" t="s">
        <v>8</v>
      </c>
      <c r="AK936" s="27" t="s">
        <v>8</v>
      </c>
      <c r="AM936" s="27" t="s">
        <v>8</v>
      </c>
      <c r="AO936" s="27" t="s">
        <v>8</v>
      </c>
      <c r="AQ936" s="27" t="s">
        <v>8</v>
      </c>
      <c r="AS936" s="27" t="s">
        <v>8</v>
      </c>
      <c r="AU936" s="27" t="s">
        <v>8</v>
      </c>
      <c r="AW936" s="27" t="s">
        <v>8</v>
      </c>
      <c r="AY936" s="27" t="s">
        <v>8</v>
      </c>
      <c r="BA936" s="27" t="s">
        <v>8</v>
      </c>
      <c r="BC936" s="27" t="s">
        <v>8</v>
      </c>
      <c r="BE936" s="27" t="s">
        <v>8</v>
      </c>
      <c r="BG936" s="27" t="s">
        <v>8</v>
      </c>
      <c r="BI936" s="27" t="s">
        <v>8</v>
      </c>
      <c r="BK936" s="27" t="s">
        <v>8</v>
      </c>
      <c r="BM936" s="27" t="s">
        <v>8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27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G936" s="27" t="s">
        <v>8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X936" s="27" t="s">
        <v>7</v>
      </c>
      <c r="DY936" s="27" t="s">
        <v>8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</row>
    <row r="937" spans="1:165" x14ac:dyDescent="0.25">
      <c r="AB937" s="27" t="s">
        <v>7</v>
      </c>
      <c r="AD937" s="27" t="s">
        <v>7</v>
      </c>
      <c r="AF937" s="27" t="s">
        <v>7</v>
      </c>
      <c r="AH937" s="27" t="s">
        <v>7</v>
      </c>
      <c r="AJ937" s="27" t="s">
        <v>7</v>
      </c>
      <c r="AL937" s="27" t="s">
        <v>7</v>
      </c>
      <c r="AN937" s="27" t="s">
        <v>7</v>
      </c>
      <c r="AP937" s="27" t="s">
        <v>7</v>
      </c>
      <c r="AR937" s="27" t="s">
        <v>7</v>
      </c>
      <c r="AT937" s="27" t="s">
        <v>7</v>
      </c>
      <c r="AV937" s="27" t="s">
        <v>7</v>
      </c>
      <c r="AX937" s="27" t="s">
        <v>7</v>
      </c>
      <c r="AZ937" s="27" t="s">
        <v>7</v>
      </c>
      <c r="BB937" s="27" t="s">
        <v>7</v>
      </c>
      <c r="BD937" s="27" t="s">
        <v>7</v>
      </c>
      <c r="BF937" s="27" t="s">
        <v>7</v>
      </c>
      <c r="BH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F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</row>
  </sheetData>
  <conditionalFormatting sqref="C27">
    <cfRule type="cellIs" dxfId="90" priority="965" operator="equal">
      <formula>$U$1</formula>
    </cfRule>
    <cfRule type="cellIs" dxfId="89" priority="966" operator="equal">
      <formula>$S$1</formula>
    </cfRule>
  </conditionalFormatting>
  <conditionalFormatting sqref="D27">
    <cfRule type="cellIs" dxfId="88" priority="963" operator="equal">
      <formula>$S$1</formula>
    </cfRule>
    <cfRule type="cellIs" dxfId="87" priority="964" operator="equal">
      <formula>$U$1</formula>
    </cfRule>
  </conditionalFormatting>
  <conditionalFormatting sqref="C164">
    <cfRule type="cellIs" dxfId="86" priority="961" operator="equal">
      <formula>$U$1</formula>
    </cfRule>
    <cfRule type="cellIs" dxfId="85" priority="962" operator="equal">
      <formula>$S$1</formula>
    </cfRule>
  </conditionalFormatting>
  <conditionalFormatting sqref="D164">
    <cfRule type="cellIs" dxfId="84" priority="959" operator="equal">
      <formula>$S$1</formula>
    </cfRule>
    <cfRule type="cellIs" dxfId="83" priority="960" operator="equal">
      <formula>$U$1</formula>
    </cfRule>
  </conditionalFormatting>
  <conditionalFormatting sqref="C55">
    <cfRule type="cellIs" dxfId="82" priority="957" operator="equal">
      <formula>$U$1</formula>
    </cfRule>
    <cfRule type="cellIs" dxfId="81" priority="958" operator="equal">
      <formula>$S$1</formula>
    </cfRule>
  </conditionalFormatting>
  <conditionalFormatting sqref="D55">
    <cfRule type="cellIs" dxfId="80" priority="955" operator="equal">
      <formula>$S$1</formula>
    </cfRule>
    <cfRule type="cellIs" dxfId="79" priority="956" operator="equal">
      <formula>$U$1</formula>
    </cfRule>
  </conditionalFormatting>
  <conditionalFormatting sqref="C89">
    <cfRule type="cellIs" dxfId="78" priority="953" operator="equal">
      <formula>$U$1</formula>
    </cfRule>
    <cfRule type="cellIs" dxfId="77" priority="954" operator="equal">
      <formula>$S$1</formula>
    </cfRule>
  </conditionalFormatting>
  <conditionalFormatting sqref="D89">
    <cfRule type="cellIs" dxfId="76" priority="951" operator="equal">
      <formula>$S$1</formula>
    </cfRule>
    <cfRule type="cellIs" dxfId="75" priority="952" operator="equal">
      <formula>$U$1</formula>
    </cfRule>
  </conditionalFormatting>
  <conditionalFormatting sqref="C136">
    <cfRule type="cellIs" dxfId="74" priority="949" operator="equal">
      <formula>$U$1</formula>
    </cfRule>
    <cfRule type="cellIs" dxfId="73" priority="950" operator="equal">
      <formula>$S$1</formula>
    </cfRule>
  </conditionalFormatting>
  <conditionalFormatting sqref="D136">
    <cfRule type="cellIs" dxfId="72" priority="947" operator="equal">
      <formula>$S$1</formula>
    </cfRule>
    <cfRule type="cellIs" dxfId="71" priority="948" operator="equal">
      <formula>$U$1</formula>
    </cfRule>
  </conditionalFormatting>
  <conditionalFormatting sqref="C1">
    <cfRule type="cellIs" dxfId="70" priority="94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I352" sqref="EI3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$A$351</v>
      </c>
      <c r="D111" s="1" t="str">
        <f>ADDRESS(C121-1,D121,1,1)</f>
        <v>$EI$351</v>
      </c>
      <c r="E111"/>
    </row>
    <row r="112" spans="1:5" x14ac:dyDescent="0.25">
      <c r="A112" s="30">
        <v>515.50191262726139</v>
      </c>
      <c r="C112" s="1" t="str">
        <f>ADDRESS(C121,1,1,1)</f>
        <v>$A$352</v>
      </c>
      <c r="D112" s="1" t="str">
        <f>ADDRESS(C121,D121-1,1,1)</f>
        <v>$EH$352</v>
      </c>
      <c r="E112"/>
    </row>
    <row r="113" spans="1:5" x14ac:dyDescent="0.25">
      <c r="A113" s="30">
        <v>490.95420250215363</v>
      </c>
      <c r="C113" s="1" t="str">
        <f>ADDRESS(C121+1,1,1,1)</f>
        <v>$A$353</v>
      </c>
      <c r="D113" s="1" t="str">
        <f>ADDRESS(C121-1,D121+1,1,1)</f>
        <v>$EJ$351</v>
      </c>
    </row>
    <row r="114" spans="1:5" x14ac:dyDescent="0.25">
      <c r="A114" s="30">
        <v>467.57543095443202</v>
      </c>
      <c r="C114" s="1" t="str">
        <f>ADDRESS(C121,D121,1,1)</f>
        <v>$EI$352</v>
      </c>
      <c r="D114" s="1" t="str">
        <f>ADDRESS(C121+1,D121+1,1,1)</f>
        <v>$EJ$353</v>
      </c>
    </row>
    <row r="115" spans="1:5" x14ac:dyDescent="0.25">
      <c r="A115" s="30">
        <v>445.30993424231622</v>
      </c>
      <c r="C115" s="1" t="str">
        <f>ADDRESS(C121+1,D121,1,1)</f>
        <v>$EI$353</v>
      </c>
    </row>
    <row r="116" spans="1:5" x14ac:dyDescent="0.25">
      <c r="A116" s="30">
        <v>424.10469927839637</v>
      </c>
      <c r="C116" s="1">
        <f>C117-1</f>
        <v>351</v>
      </c>
    </row>
    <row r="117" spans="1:5" x14ac:dyDescent="0.25">
      <c r="A117" s="30">
        <v>403.9092374079965</v>
      </c>
      <c r="C117" s="1">
        <f>C121</f>
        <v>352</v>
      </c>
      <c r="D117" s="1">
        <f>D121</f>
        <v>139</v>
      </c>
    </row>
    <row r="118" spans="1:5" x14ac:dyDescent="0.25">
      <c r="A118" s="30">
        <v>384.6754641980919</v>
      </c>
      <c r="C118" s="1">
        <f>C117+1</f>
        <v>353</v>
      </c>
      <c r="D118" s="1">
        <f>D117+1</f>
        <v>140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352</v>
      </c>
      <c r="D121" s="19">
        <v>139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R352</v>
      </c>
      <c r="D123" s="1" t="str">
        <f>"C"&amp;D121</f>
        <v>C139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4.2344645769727711E-3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88" x14ac:dyDescent="0.25">
      <c r="A305" s="30">
        <v>4.1946483690970725E-2</v>
      </c>
      <c r="B305"/>
      <c r="C305"/>
      <c r="D305"/>
      <c r="E305"/>
      <c r="F305" s="27" t="s">
        <v>7</v>
      </c>
    </row>
    <row r="306" spans="1:88" x14ac:dyDescent="0.25">
      <c r="A306" s="30">
        <v>3.9949032086638768E-2</v>
      </c>
      <c r="B306"/>
      <c r="C306"/>
      <c r="D306"/>
      <c r="E306"/>
      <c r="F306" s="27" t="s">
        <v>7</v>
      </c>
    </row>
    <row r="307" spans="1:88" x14ac:dyDescent="0.25">
      <c r="A307" s="30">
        <v>3.8046697225370241E-2</v>
      </c>
      <c r="B307"/>
      <c r="C307"/>
      <c r="D307"/>
      <c r="E307"/>
      <c r="F307" s="27" t="s">
        <v>7</v>
      </c>
    </row>
    <row r="308" spans="1:88" x14ac:dyDescent="0.25">
      <c r="A308" s="30">
        <v>3.6234949738447833E-2</v>
      </c>
      <c r="B308"/>
      <c r="C308"/>
      <c r="D308"/>
      <c r="E308"/>
      <c r="F308" s="27" t="s">
        <v>7</v>
      </c>
    </row>
    <row r="309" spans="1:88" x14ac:dyDescent="0.25">
      <c r="A309" s="30">
        <v>3.4509475941378875E-2</v>
      </c>
      <c r="B309"/>
      <c r="C309"/>
      <c r="D309"/>
      <c r="E309"/>
      <c r="F309" s="27" t="s">
        <v>7</v>
      </c>
    </row>
    <row r="310" spans="1:88" x14ac:dyDescent="0.25">
      <c r="A310" s="30">
        <v>3.286616756321796E-2</v>
      </c>
      <c r="B310"/>
      <c r="C310"/>
      <c r="D310"/>
      <c r="E310"/>
      <c r="F310" s="27" t="s">
        <v>7</v>
      </c>
    </row>
    <row r="311" spans="1:88" x14ac:dyDescent="0.25">
      <c r="A311" s="30">
        <v>3.1301111964969472E-2</v>
      </c>
      <c r="B311"/>
      <c r="C311"/>
      <c r="D311"/>
      <c r="E311"/>
      <c r="F311" s="27" t="s">
        <v>7</v>
      </c>
    </row>
    <row r="312" spans="1:88" x14ac:dyDescent="0.25">
      <c r="A312" s="30">
        <v>2.9810582823780438E-2</v>
      </c>
      <c r="B312"/>
      <c r="C312"/>
      <c r="D312"/>
      <c r="E312"/>
      <c r="F312" s="27" t="s">
        <v>7</v>
      </c>
    </row>
    <row r="313" spans="1:88" x14ac:dyDescent="0.25">
      <c r="A313" s="30">
        <v>2.8391031260743264E-2</v>
      </c>
      <c r="B313"/>
      <c r="C313"/>
      <c r="D313"/>
      <c r="E313"/>
      <c r="F313" s="27" t="s">
        <v>7</v>
      </c>
      <c r="CC313" s="27" t="s">
        <v>8</v>
      </c>
    </row>
    <row r="314" spans="1:88" x14ac:dyDescent="0.25">
      <c r="A314" s="30">
        <v>2.7039077391184052E-2</v>
      </c>
      <c r="B314"/>
      <c r="C314"/>
      <c r="D314"/>
      <c r="E314"/>
      <c r="F314" s="27" t="s">
        <v>7</v>
      </c>
      <c r="CC314" s="27" t="s">
        <v>8</v>
      </c>
      <c r="CD314" s="27" t="s">
        <v>7</v>
      </c>
    </row>
    <row r="315" spans="1:88" x14ac:dyDescent="0.25">
      <c r="A315" s="30">
        <v>2.5751502277318133E-2</v>
      </c>
      <c r="B315"/>
      <c r="C315"/>
      <c r="D315"/>
      <c r="E315"/>
      <c r="F315" s="27" t="s">
        <v>7</v>
      </c>
      <c r="CC315" s="27" t="s">
        <v>8</v>
      </c>
      <c r="CD315" s="27" t="s">
        <v>7</v>
      </c>
    </row>
    <row r="316" spans="1:88" x14ac:dyDescent="0.25">
      <c r="A316" s="30">
        <v>2.4525240264112496E-2</v>
      </c>
      <c r="B316"/>
      <c r="C316"/>
      <c r="D316"/>
      <c r="E316"/>
      <c r="F316" s="27" t="s">
        <v>7</v>
      </c>
      <c r="CC316" s="27" t="s">
        <v>8</v>
      </c>
      <c r="CD316" s="27" t="s">
        <v>7</v>
      </c>
      <c r="CE316" s="27" t="s">
        <v>8</v>
      </c>
    </row>
    <row r="317" spans="1:88" x14ac:dyDescent="0.25">
      <c r="A317" s="30">
        <v>2.3357371680107129E-2</v>
      </c>
      <c r="B317"/>
      <c r="C317"/>
      <c r="D317"/>
      <c r="E317"/>
      <c r="F317" s="27" t="s">
        <v>7</v>
      </c>
      <c r="BQ317" s="27" t="s">
        <v>8</v>
      </c>
      <c r="CC317" s="27" t="s">
        <v>8</v>
      </c>
      <c r="CD317" s="27" t="s">
        <v>7</v>
      </c>
      <c r="CE317" s="27" t="s">
        <v>8</v>
      </c>
      <c r="CF317" s="27" t="s">
        <v>7</v>
      </c>
    </row>
    <row r="318" spans="1:88" x14ac:dyDescent="0.25">
      <c r="A318" s="30">
        <v>2.2245115885816305E-2</v>
      </c>
      <c r="B318"/>
      <c r="C318"/>
      <c r="D318"/>
      <c r="E318"/>
      <c r="F318" s="27" t="s">
        <v>7</v>
      </c>
      <c r="BQ318" s="27" t="s">
        <v>8</v>
      </c>
      <c r="BR318" s="27" t="s">
        <v>7</v>
      </c>
      <c r="CC318" s="27" t="s">
        <v>8</v>
      </c>
      <c r="CD318" s="27" t="s">
        <v>7</v>
      </c>
      <c r="CE318" s="27" t="s">
        <v>8</v>
      </c>
      <c r="CF318" s="27" t="s">
        <v>7</v>
      </c>
    </row>
    <row r="319" spans="1:88" x14ac:dyDescent="0.25">
      <c r="A319" s="30">
        <v>2.1185824653158377E-2</v>
      </c>
      <c r="B319"/>
      <c r="C319"/>
      <c r="D319"/>
      <c r="E319"/>
      <c r="F319" s="27" t="s">
        <v>7</v>
      </c>
      <c r="BQ319" s="27" t="s">
        <v>8</v>
      </c>
      <c r="BR319" s="27" t="s">
        <v>7</v>
      </c>
      <c r="CC319" s="27" t="s">
        <v>8</v>
      </c>
      <c r="CD319" s="27" t="s">
        <v>7</v>
      </c>
      <c r="CE319" s="27" t="s">
        <v>8</v>
      </c>
      <c r="CF319" s="27" t="s">
        <v>7</v>
      </c>
      <c r="CI319" s="27" t="s">
        <v>8</v>
      </c>
    </row>
    <row r="320" spans="1:88" x14ac:dyDescent="0.25">
      <c r="A320" s="30">
        <v>2.0176975860150829E-2</v>
      </c>
      <c r="B320"/>
      <c r="C320"/>
      <c r="D320"/>
      <c r="E320"/>
      <c r="F320" s="27" t="s">
        <v>7</v>
      </c>
      <c r="BQ320" s="27" t="s">
        <v>8</v>
      </c>
      <c r="BR320" s="27" t="s">
        <v>7</v>
      </c>
      <c r="BS320" s="27" t="s">
        <v>8</v>
      </c>
      <c r="CC320" s="27" t="s">
        <v>8</v>
      </c>
      <c r="CD320" s="27" t="s">
        <v>7</v>
      </c>
      <c r="CE320" s="27" t="s">
        <v>8</v>
      </c>
      <c r="CF320" s="27" t="s">
        <v>7</v>
      </c>
      <c r="CI320" s="27" t="s">
        <v>8</v>
      </c>
      <c r="CJ320" s="27" t="s">
        <v>7</v>
      </c>
    </row>
    <row r="321" spans="1:136" x14ac:dyDescent="0.25">
      <c r="A321" s="30">
        <v>1.9216167485857926E-2</v>
      </c>
      <c r="B321"/>
      <c r="C321"/>
      <c r="D321"/>
      <c r="E321"/>
      <c r="F321" s="27" t="s">
        <v>7</v>
      </c>
      <c r="BQ321" s="27" t="s">
        <v>8</v>
      </c>
      <c r="BR321" s="27" t="s">
        <v>7</v>
      </c>
      <c r="BS321" s="27" t="s">
        <v>8</v>
      </c>
      <c r="BT321" s="27" t="s">
        <v>7</v>
      </c>
      <c r="BU321" s="27" t="s">
        <v>8</v>
      </c>
      <c r="CC321" s="27" t="s">
        <v>8</v>
      </c>
      <c r="CD321" s="27" t="s">
        <v>7</v>
      </c>
      <c r="CE321" s="27" t="s">
        <v>8</v>
      </c>
      <c r="CF321" s="27" t="s">
        <v>7</v>
      </c>
      <c r="CI321" s="27" t="s">
        <v>8</v>
      </c>
      <c r="CJ321" s="27" t="s">
        <v>7</v>
      </c>
      <c r="CK321" s="27" t="s">
        <v>8</v>
      </c>
    </row>
    <row r="322" spans="1:136" x14ac:dyDescent="0.25">
      <c r="A322" s="30">
        <v>1.8301111891293256E-2</v>
      </c>
      <c r="B322"/>
      <c r="C322"/>
      <c r="D322"/>
      <c r="E322"/>
      <c r="F322" s="27" t="s">
        <v>7</v>
      </c>
      <c r="BQ322" s="27" t="s">
        <v>8</v>
      </c>
      <c r="BR322" s="27" t="s">
        <v>7</v>
      </c>
      <c r="BS322" s="27" t="s">
        <v>8</v>
      </c>
      <c r="BT322" s="27" t="s">
        <v>7</v>
      </c>
      <c r="BU322" s="27" t="s">
        <v>8</v>
      </c>
      <c r="BV322" s="27" t="s">
        <v>7</v>
      </c>
      <c r="BY322" s="27" t="s">
        <v>8</v>
      </c>
      <c r="CA322" s="27" t="s">
        <v>8</v>
      </c>
      <c r="CC322" s="27" t="s">
        <v>8</v>
      </c>
      <c r="CD322" s="27" t="s">
        <v>7</v>
      </c>
      <c r="CE322" s="27" t="s">
        <v>8</v>
      </c>
      <c r="CF322" s="27" t="s">
        <v>7</v>
      </c>
      <c r="CI322" s="27" t="s">
        <v>8</v>
      </c>
      <c r="CJ322" s="27" t="s">
        <v>7</v>
      </c>
      <c r="CK322" s="27" t="s">
        <v>8</v>
      </c>
      <c r="CL322" s="27" t="s">
        <v>7</v>
      </c>
    </row>
    <row r="323" spans="1:136" x14ac:dyDescent="0.25">
      <c r="A323" s="30">
        <v>1.7429630372660238E-2</v>
      </c>
      <c r="B323"/>
      <c r="C323"/>
      <c r="D323"/>
      <c r="E323"/>
      <c r="F323" s="27" t="s">
        <v>7</v>
      </c>
      <c r="BQ323" s="27" t="s">
        <v>8</v>
      </c>
      <c r="BR323" s="27" t="s">
        <v>7</v>
      </c>
      <c r="BS323" s="27" t="s">
        <v>8</v>
      </c>
      <c r="BT323" s="27" t="s">
        <v>7</v>
      </c>
      <c r="BU323" s="27" t="s">
        <v>8</v>
      </c>
      <c r="BV323" s="27" t="s">
        <v>7</v>
      </c>
      <c r="BW323" s="27" t="s">
        <v>8</v>
      </c>
      <c r="BY323" s="27" t="s">
        <v>8</v>
      </c>
      <c r="BZ323" s="27" t="s">
        <v>7</v>
      </c>
      <c r="CA323" s="27" t="s">
        <v>8</v>
      </c>
      <c r="CB323" s="27" t="s">
        <v>7</v>
      </c>
      <c r="CC323" s="27" t="s">
        <v>8</v>
      </c>
      <c r="CD323" s="27" t="s">
        <v>7</v>
      </c>
      <c r="CF323" s="27" t="s">
        <v>7</v>
      </c>
      <c r="CG323" s="27" t="s">
        <v>8</v>
      </c>
      <c r="CI323" s="27" t="s">
        <v>8</v>
      </c>
      <c r="CJ323" s="27" t="s">
        <v>7</v>
      </c>
      <c r="CK323" s="27" t="s">
        <v>8</v>
      </c>
      <c r="CL323" s="27" t="s">
        <v>7</v>
      </c>
    </row>
    <row r="324" spans="1:136" x14ac:dyDescent="0.25">
      <c r="A324" s="30">
        <v>1.6599647973962125E-2</v>
      </c>
      <c r="B324"/>
      <c r="C324"/>
      <c r="D324"/>
      <c r="E324"/>
      <c r="F324" s="27" t="s">
        <v>7</v>
      </c>
      <c r="BQ324" s="27" t="s">
        <v>8</v>
      </c>
      <c r="BR324" s="27" t="s">
        <v>7</v>
      </c>
      <c r="BS324" s="27" t="s">
        <v>8</v>
      </c>
      <c r="BT324" s="27" t="s">
        <v>7</v>
      </c>
      <c r="BV324" s="27" t="s">
        <v>7</v>
      </c>
      <c r="BW324" s="27" t="s">
        <v>8</v>
      </c>
      <c r="BX324" s="27" t="s">
        <v>7</v>
      </c>
      <c r="BY324" s="27" t="s">
        <v>8</v>
      </c>
      <c r="BZ324" s="27" t="s">
        <v>7</v>
      </c>
      <c r="CA324" s="27" t="s">
        <v>8</v>
      </c>
      <c r="CB324" s="27" t="s">
        <v>7</v>
      </c>
      <c r="CC324" s="27" t="s">
        <v>8</v>
      </c>
      <c r="CF324" s="27" t="s">
        <v>7</v>
      </c>
      <c r="CG324" s="27" t="s">
        <v>8</v>
      </c>
      <c r="CH324" s="27" t="s">
        <v>7</v>
      </c>
      <c r="CI324" s="27" t="s">
        <v>8</v>
      </c>
      <c r="CJ324" s="27" t="s">
        <v>7</v>
      </c>
      <c r="CL324" s="27" t="s">
        <v>7</v>
      </c>
      <c r="DI324" s="27" t="s">
        <v>8</v>
      </c>
    </row>
    <row r="325" spans="1:136" x14ac:dyDescent="0.25">
      <c r="A325" s="30">
        <v>1.580918854663059E-2</v>
      </c>
      <c r="B325"/>
      <c r="C325"/>
      <c r="D325"/>
      <c r="E325"/>
      <c r="F325" s="27" t="s">
        <v>7</v>
      </c>
      <c r="BQ325" s="27" t="s">
        <v>8</v>
      </c>
      <c r="BR325" s="27" t="s">
        <v>7</v>
      </c>
      <c r="BV325" s="27" t="s">
        <v>7</v>
      </c>
      <c r="BW325" s="27" t="s">
        <v>8</v>
      </c>
      <c r="BX325" s="27" t="s">
        <v>7</v>
      </c>
      <c r="BY325" s="27" t="s">
        <v>8</v>
      </c>
      <c r="BZ325" s="27" t="s">
        <v>7</v>
      </c>
      <c r="CA325" s="27" t="s">
        <v>8</v>
      </c>
      <c r="CB325" s="27" t="s">
        <v>7</v>
      </c>
      <c r="CC325" s="27" t="s">
        <v>8</v>
      </c>
      <c r="CF325" s="27" t="s">
        <v>7</v>
      </c>
      <c r="CG325" s="27" t="s">
        <v>8</v>
      </c>
      <c r="CH325" s="27" t="s">
        <v>7</v>
      </c>
      <c r="CI325" s="27" t="s">
        <v>8</v>
      </c>
      <c r="CL325" s="27" t="s">
        <v>7</v>
      </c>
      <c r="DI325" s="27" t="s">
        <v>8</v>
      </c>
      <c r="DJ325" s="27" t="s">
        <v>7</v>
      </c>
    </row>
    <row r="326" spans="1:136" x14ac:dyDescent="0.25">
      <c r="A326" s="30">
        <v>1.5056370044410079E-2</v>
      </c>
      <c r="B326"/>
      <c r="C326"/>
      <c r="D326"/>
      <c r="E326"/>
      <c r="F326" s="27" t="s">
        <v>7</v>
      </c>
      <c r="BQ326" s="27" t="s">
        <v>8</v>
      </c>
      <c r="BV326" s="27" t="s">
        <v>7</v>
      </c>
      <c r="BW326" s="27" t="s">
        <v>8</v>
      </c>
      <c r="BX326" s="27" t="s">
        <v>7</v>
      </c>
      <c r="BZ326" s="27" t="s">
        <v>7</v>
      </c>
      <c r="CA326" s="27" t="s">
        <v>8</v>
      </c>
      <c r="CB326" s="27" t="s">
        <v>7</v>
      </c>
      <c r="CF326" s="27" t="s">
        <v>7</v>
      </c>
      <c r="CG326" s="27" t="s">
        <v>8</v>
      </c>
      <c r="CH326" s="27" t="s">
        <v>7</v>
      </c>
      <c r="CI326" s="27" t="s">
        <v>8</v>
      </c>
      <c r="CL326" s="27" t="s">
        <v>7</v>
      </c>
      <c r="CM326" s="27" t="s">
        <v>8</v>
      </c>
      <c r="CW326" s="27" t="s">
        <v>8</v>
      </c>
      <c r="DI326" s="27" t="s">
        <v>8</v>
      </c>
      <c r="DJ326" s="27" t="s">
        <v>7</v>
      </c>
    </row>
    <row r="327" spans="1:136" x14ac:dyDescent="0.25">
      <c r="A327" s="30">
        <v>1.4339400042295308E-2</v>
      </c>
      <c r="B327"/>
      <c r="C327"/>
      <c r="D327"/>
      <c r="E327"/>
      <c r="F327" s="27" t="s">
        <v>7</v>
      </c>
      <c r="BQ327" s="27" t="s">
        <v>8</v>
      </c>
      <c r="BV327" s="27" t="s">
        <v>7</v>
      </c>
      <c r="BW327" s="27" t="s">
        <v>8</v>
      </c>
      <c r="BZ327" s="27" t="s">
        <v>7</v>
      </c>
      <c r="CF327" s="27" t="s">
        <v>7</v>
      </c>
      <c r="CG327" s="27" t="s">
        <v>8</v>
      </c>
      <c r="CH327" s="27" t="s">
        <v>7</v>
      </c>
      <c r="CI327" s="27" t="s">
        <v>8</v>
      </c>
      <c r="CL327" s="27" t="s">
        <v>7</v>
      </c>
      <c r="CM327" s="27" t="s">
        <v>8</v>
      </c>
      <c r="CN327" s="27" t="s">
        <v>7</v>
      </c>
      <c r="CO327" s="27" t="s">
        <v>8</v>
      </c>
      <c r="CW327" s="27" t="s">
        <v>8</v>
      </c>
      <c r="CX327" s="27" t="s">
        <v>7</v>
      </c>
      <c r="DI327" s="27" t="s">
        <v>8</v>
      </c>
      <c r="DJ327" s="27" t="s">
        <v>7</v>
      </c>
      <c r="DK327" s="27" t="s">
        <v>8</v>
      </c>
    </row>
    <row r="328" spans="1:136" x14ac:dyDescent="0.25">
      <c r="A328" s="30">
        <v>1.365657146885267E-2</v>
      </c>
      <c r="B328"/>
      <c r="C328"/>
      <c r="D328"/>
      <c r="E328"/>
      <c r="F328" s="27" t="s">
        <v>7</v>
      </c>
      <c r="BQ328" s="27" t="s">
        <v>8</v>
      </c>
      <c r="BV328" s="27" t="s">
        <v>7</v>
      </c>
      <c r="CF328" s="27" t="s">
        <v>7</v>
      </c>
      <c r="CG328" s="27" t="s">
        <v>8</v>
      </c>
      <c r="CH328" s="27" t="s">
        <v>7</v>
      </c>
      <c r="CL328" s="27" t="s">
        <v>7</v>
      </c>
      <c r="CM328" s="27" t="s">
        <v>8</v>
      </c>
      <c r="CN328" s="27" t="s">
        <v>7</v>
      </c>
      <c r="CO328" s="27" t="s">
        <v>8</v>
      </c>
      <c r="CP328" s="27" t="s">
        <v>7</v>
      </c>
      <c r="CW328" s="27" t="s">
        <v>8</v>
      </c>
      <c r="CX328" s="27" t="s">
        <v>7</v>
      </c>
      <c r="DI328" s="27" t="s">
        <v>8</v>
      </c>
      <c r="DJ328" s="27" t="s">
        <v>7</v>
      </c>
      <c r="DK328" s="27" t="s">
        <v>8</v>
      </c>
      <c r="DL328" s="27" t="s">
        <v>7</v>
      </c>
    </row>
    <row r="329" spans="1:136" x14ac:dyDescent="0.25">
      <c r="A329" s="30">
        <v>1.3006258541764442E-2</v>
      </c>
      <c r="B329"/>
      <c r="C329"/>
      <c r="D329"/>
      <c r="E329"/>
      <c r="F329" s="27" t="s">
        <v>7</v>
      </c>
      <c r="BO329" s="27" t="s">
        <v>8</v>
      </c>
      <c r="BQ329" s="27" t="s">
        <v>8</v>
      </c>
      <c r="CF329" s="27" t="s">
        <v>7</v>
      </c>
      <c r="CG329" s="27" t="s">
        <v>8</v>
      </c>
      <c r="CL329" s="27" t="s">
        <v>7</v>
      </c>
      <c r="CM329" s="27" t="s">
        <v>8</v>
      </c>
      <c r="CN329" s="27" t="s">
        <v>7</v>
      </c>
      <c r="CO329" s="27" t="s">
        <v>8</v>
      </c>
      <c r="CP329" s="27" t="s">
        <v>7</v>
      </c>
      <c r="CW329" s="27" t="s">
        <v>8</v>
      </c>
      <c r="CX329" s="27" t="s">
        <v>7</v>
      </c>
      <c r="DI329" s="27" t="s">
        <v>8</v>
      </c>
      <c r="DJ329" s="27" t="s">
        <v>7</v>
      </c>
      <c r="DK329" s="27" t="s">
        <v>8</v>
      </c>
      <c r="DL329" s="27" t="s">
        <v>7</v>
      </c>
      <c r="DM329" s="27" t="s">
        <v>8</v>
      </c>
    </row>
    <row r="330" spans="1:136" x14ac:dyDescent="0.25">
      <c r="A330" s="30">
        <v>1.2386912896918512E-2</v>
      </c>
      <c r="B330"/>
      <c r="C330"/>
      <c r="D330"/>
      <c r="E330"/>
      <c r="F330" s="27" t="s">
        <v>7</v>
      </c>
      <c r="BO330" s="27" t="s">
        <v>8</v>
      </c>
      <c r="BP330" s="27" t="s">
        <v>7</v>
      </c>
      <c r="BQ330" s="27" t="s">
        <v>8</v>
      </c>
      <c r="CF330" s="27" t="s">
        <v>7</v>
      </c>
      <c r="CG330" s="27" t="s">
        <v>8</v>
      </c>
      <c r="CL330" s="27" t="s">
        <v>7</v>
      </c>
      <c r="CN330" s="27" t="s">
        <v>7</v>
      </c>
      <c r="CO330" s="27" t="s">
        <v>8</v>
      </c>
      <c r="CP330" s="27" t="s">
        <v>7</v>
      </c>
      <c r="CW330" s="27" t="s">
        <v>8</v>
      </c>
      <c r="CX330" s="27" t="s">
        <v>7</v>
      </c>
      <c r="DI330" s="27" t="s">
        <v>8</v>
      </c>
      <c r="DJ330" s="27" t="s">
        <v>7</v>
      </c>
      <c r="DL330" s="27" t="s">
        <v>7</v>
      </c>
      <c r="DM330" s="27" t="s">
        <v>8</v>
      </c>
      <c r="DN330" s="27" t="s">
        <v>7</v>
      </c>
      <c r="DY330" s="27" t="s">
        <v>8</v>
      </c>
      <c r="EA330" s="27" t="s">
        <v>8</v>
      </c>
    </row>
    <row r="331" spans="1:136" x14ac:dyDescent="0.25">
      <c r="A331" s="30">
        <v>1.179705990182715E-2</v>
      </c>
      <c r="B331"/>
      <c r="C331"/>
      <c r="D331"/>
      <c r="E331"/>
      <c r="F331" s="27" t="s">
        <v>7</v>
      </c>
      <c r="BO331" s="27" t="s">
        <v>8</v>
      </c>
      <c r="BP331" s="27" t="s">
        <v>7</v>
      </c>
      <c r="BQ331" s="27" t="s">
        <v>8</v>
      </c>
      <c r="CF331" s="27" t="s">
        <v>7</v>
      </c>
      <c r="CN331" s="27" t="s">
        <v>7</v>
      </c>
      <c r="CO331" s="27" t="s">
        <v>8</v>
      </c>
      <c r="CP331" s="27" t="s">
        <v>7</v>
      </c>
      <c r="CW331" s="27" t="s">
        <v>8</v>
      </c>
      <c r="CX331" s="27" t="s">
        <v>7</v>
      </c>
      <c r="DI331" s="27" t="s">
        <v>8</v>
      </c>
      <c r="DL331" s="27" t="s">
        <v>7</v>
      </c>
      <c r="DM331" s="27" t="s">
        <v>8</v>
      </c>
      <c r="DN331" s="27" t="s">
        <v>7</v>
      </c>
      <c r="DW331" s="27" t="s">
        <v>8</v>
      </c>
      <c r="DY331" s="27" t="s">
        <v>8</v>
      </c>
      <c r="DZ331" s="27" t="s">
        <v>7</v>
      </c>
      <c r="EA331" s="27" t="s">
        <v>8</v>
      </c>
      <c r="EB331" s="27" t="s">
        <v>7</v>
      </c>
    </row>
    <row r="332" spans="1:136" x14ac:dyDescent="0.25">
      <c r="A332" s="30">
        <v>1.1235295144597281E-2</v>
      </c>
      <c r="B332"/>
      <c r="C332"/>
      <c r="D332"/>
      <c r="E332"/>
      <c r="F332" s="27" t="s">
        <v>7</v>
      </c>
      <c r="BO332" s="27" t="s">
        <v>8</v>
      </c>
      <c r="BP332" s="27" t="s">
        <v>7</v>
      </c>
      <c r="BQ332" s="27" t="s">
        <v>8</v>
      </c>
      <c r="CN332" s="27" t="s">
        <v>7</v>
      </c>
      <c r="CO332" s="27" t="s">
        <v>8</v>
      </c>
      <c r="CP332" s="27" t="s">
        <v>7</v>
      </c>
      <c r="CW332" s="27" t="s">
        <v>8</v>
      </c>
      <c r="CX332" s="27" t="s">
        <v>7</v>
      </c>
      <c r="DG332" s="27" t="s">
        <v>8</v>
      </c>
      <c r="DI332" s="27" t="s">
        <v>8</v>
      </c>
      <c r="DL332" s="27" t="s">
        <v>7</v>
      </c>
      <c r="DM332" s="27" t="s">
        <v>8</v>
      </c>
      <c r="DN332" s="27" t="s">
        <v>7</v>
      </c>
      <c r="DS332" s="27" t="s">
        <v>8</v>
      </c>
      <c r="DW332" s="27" t="s">
        <v>8</v>
      </c>
      <c r="DX332" s="27" t="s">
        <v>7</v>
      </c>
      <c r="DY332" s="27" t="s">
        <v>8</v>
      </c>
      <c r="DZ332" s="27" t="s">
        <v>7</v>
      </c>
      <c r="EA332" s="27" t="s">
        <v>8</v>
      </c>
      <c r="EB332" s="27" t="s">
        <v>7</v>
      </c>
    </row>
    <row r="333" spans="1:136" x14ac:dyDescent="0.25">
      <c r="A333" s="30">
        <v>1.0700281090092644E-2</v>
      </c>
      <c r="B333"/>
      <c r="C333"/>
      <c r="D333"/>
      <c r="E333"/>
      <c r="F333" s="27" t="s">
        <v>7</v>
      </c>
      <c r="BO333" s="27" t="s">
        <v>8</v>
      </c>
      <c r="BP333" s="27" t="s">
        <v>7</v>
      </c>
      <c r="BQ333" s="27" t="s">
        <v>8</v>
      </c>
      <c r="CN333" s="27" t="s">
        <v>7</v>
      </c>
      <c r="CO333" s="27" t="s">
        <v>8</v>
      </c>
      <c r="CP333" s="27" t="s">
        <v>7</v>
      </c>
      <c r="CS333" s="27" t="s">
        <v>8</v>
      </c>
      <c r="CW333" s="27" t="s">
        <v>8</v>
      </c>
      <c r="CX333" s="27" t="s">
        <v>7</v>
      </c>
      <c r="DG333" s="27" t="s">
        <v>8</v>
      </c>
      <c r="DH333" s="27" t="s">
        <v>7</v>
      </c>
      <c r="DI333" s="27" t="s">
        <v>8</v>
      </c>
      <c r="DL333" s="27" t="s">
        <v>7</v>
      </c>
      <c r="DN333" s="27" t="s">
        <v>7</v>
      </c>
      <c r="DO333" s="27" t="s">
        <v>8</v>
      </c>
      <c r="DS333" s="27" t="s">
        <v>8</v>
      </c>
      <c r="DT333" s="27" t="s">
        <v>7</v>
      </c>
      <c r="DU333" s="27" t="s">
        <v>8</v>
      </c>
      <c r="DW333" s="27" t="s">
        <v>8</v>
      </c>
      <c r="DX333" s="27" t="s">
        <v>7</v>
      </c>
      <c r="DY333" s="27" t="s">
        <v>8</v>
      </c>
      <c r="DZ333" s="27" t="s">
        <v>7</v>
      </c>
      <c r="EA333" s="27" t="s">
        <v>8</v>
      </c>
      <c r="EB333" s="27" t="s">
        <v>7</v>
      </c>
    </row>
    <row r="334" spans="1:136" x14ac:dyDescent="0.25">
      <c r="A334" s="30">
        <v>1.0190743895326324E-2</v>
      </c>
      <c r="B334"/>
      <c r="C334"/>
      <c r="D334"/>
      <c r="E334"/>
      <c r="F334" s="27" t="s">
        <v>7</v>
      </c>
      <c r="BO334" s="27" t="s">
        <v>8</v>
      </c>
      <c r="BP334" s="27" t="s">
        <v>7</v>
      </c>
      <c r="CN334" s="27" t="s">
        <v>7</v>
      </c>
      <c r="CO334" s="27" t="s">
        <v>8</v>
      </c>
      <c r="CP334" s="27" t="s">
        <v>7</v>
      </c>
      <c r="CQ334" s="27" t="s">
        <v>8</v>
      </c>
      <c r="CS334" s="27" t="s">
        <v>8</v>
      </c>
      <c r="CT334" s="27" t="s">
        <v>7</v>
      </c>
      <c r="CW334" s="27" t="s">
        <v>8</v>
      </c>
      <c r="CX334" s="27" t="s">
        <v>7</v>
      </c>
      <c r="DG334" s="27" t="s">
        <v>8</v>
      </c>
      <c r="DH334" s="27" t="s">
        <v>7</v>
      </c>
      <c r="DI334" s="27" t="s">
        <v>8</v>
      </c>
      <c r="DN334" s="27" t="s">
        <v>7</v>
      </c>
      <c r="DO334" s="27" t="s">
        <v>8</v>
      </c>
      <c r="DP334" s="27" t="s">
        <v>7</v>
      </c>
      <c r="DS334" s="27" t="s">
        <v>8</v>
      </c>
      <c r="DT334" s="27" t="s">
        <v>7</v>
      </c>
      <c r="DU334" s="27" t="s">
        <v>8</v>
      </c>
      <c r="DV334" s="27" t="s">
        <v>7</v>
      </c>
      <c r="DW334" s="27" t="s">
        <v>8</v>
      </c>
      <c r="DX334" s="27" t="s">
        <v>7</v>
      </c>
      <c r="DZ334" s="27" t="s">
        <v>7</v>
      </c>
      <c r="EA334" s="27" t="s">
        <v>8</v>
      </c>
      <c r="EB334" s="27" t="s">
        <v>7</v>
      </c>
    </row>
    <row r="335" spans="1:136" x14ac:dyDescent="0.25">
      <c r="A335" s="30">
        <v>9.7054703765012563E-3</v>
      </c>
      <c r="B335"/>
      <c r="C335"/>
      <c r="D335"/>
      <c r="E335"/>
      <c r="F335" s="27" t="s">
        <v>7</v>
      </c>
      <c r="BO335" s="27" t="s">
        <v>8</v>
      </c>
      <c r="CN335" s="27" t="s">
        <v>7</v>
      </c>
      <c r="CO335" s="27" t="s">
        <v>8</v>
      </c>
      <c r="CP335" s="27" t="s">
        <v>7</v>
      </c>
      <c r="CQ335" s="27" t="s">
        <v>8</v>
      </c>
      <c r="CR335" s="27" t="s">
        <v>7</v>
      </c>
      <c r="CS335" s="27" t="s">
        <v>8</v>
      </c>
      <c r="CT335" s="27" t="s">
        <v>7</v>
      </c>
      <c r="CU335" s="27" t="s">
        <v>8</v>
      </c>
      <c r="CW335" s="27" t="s">
        <v>8</v>
      </c>
      <c r="CX335" s="27" t="s">
        <v>7</v>
      </c>
      <c r="DG335" s="27" t="s">
        <v>8</v>
      </c>
      <c r="DH335" s="27" t="s">
        <v>7</v>
      </c>
      <c r="DI335" s="27" t="s">
        <v>8</v>
      </c>
      <c r="DN335" s="27" t="s">
        <v>7</v>
      </c>
      <c r="DO335" s="27" t="s">
        <v>8</v>
      </c>
      <c r="DP335" s="27" t="s">
        <v>7</v>
      </c>
      <c r="DQ335" s="27" t="s">
        <v>8</v>
      </c>
      <c r="DS335" s="27" t="s">
        <v>8</v>
      </c>
      <c r="DT335" s="27" t="s">
        <v>7</v>
      </c>
      <c r="DU335" s="27" t="s">
        <v>8</v>
      </c>
      <c r="DV335" s="27" t="s">
        <v>7</v>
      </c>
      <c r="DW335" s="27" t="s">
        <v>8</v>
      </c>
      <c r="DZ335" s="27" t="s">
        <v>7</v>
      </c>
      <c r="EA335" s="27" t="s">
        <v>8</v>
      </c>
      <c r="EB335" s="27" t="s">
        <v>7</v>
      </c>
      <c r="EE335" s="27" t="s">
        <v>8</v>
      </c>
    </row>
    <row r="336" spans="1:136" x14ac:dyDescent="0.25">
      <c r="A336" s="30">
        <v>9.2433051204773835E-3</v>
      </c>
      <c r="B336"/>
      <c r="C336"/>
      <c r="D336"/>
      <c r="E336"/>
      <c r="F336" s="27" t="s">
        <v>7</v>
      </c>
      <c r="BO336" s="27" t="s">
        <v>8</v>
      </c>
      <c r="CN336" s="27" t="s">
        <v>7</v>
      </c>
      <c r="CO336" s="27" t="s">
        <v>8</v>
      </c>
      <c r="CP336" s="27" t="s">
        <v>7</v>
      </c>
      <c r="CQ336" s="27" t="s">
        <v>8</v>
      </c>
      <c r="CR336" s="27" t="s">
        <v>7</v>
      </c>
      <c r="CS336" s="27" t="s">
        <v>8</v>
      </c>
      <c r="CT336" s="27" t="s">
        <v>7</v>
      </c>
      <c r="CU336" s="27" t="s">
        <v>8</v>
      </c>
      <c r="CV336" s="27" t="s">
        <v>7</v>
      </c>
      <c r="CW336" s="27" t="s">
        <v>8</v>
      </c>
      <c r="CX336" s="27" t="s">
        <v>7</v>
      </c>
      <c r="DG336" s="27" t="s">
        <v>8</v>
      </c>
      <c r="DH336" s="27" t="s">
        <v>7</v>
      </c>
      <c r="DN336" s="27" t="s">
        <v>7</v>
      </c>
      <c r="DO336" s="27" t="s">
        <v>8</v>
      </c>
      <c r="DP336" s="27" t="s">
        <v>7</v>
      </c>
      <c r="DQ336" s="27" t="s">
        <v>8</v>
      </c>
      <c r="DR336" s="27" t="s">
        <v>7</v>
      </c>
      <c r="DS336" s="27" t="s">
        <v>8</v>
      </c>
      <c r="DT336" s="27" t="s">
        <v>7</v>
      </c>
      <c r="DU336" s="27" t="s">
        <v>8</v>
      </c>
      <c r="DV336" s="27" t="s">
        <v>7</v>
      </c>
      <c r="DZ336" s="27" t="s">
        <v>7</v>
      </c>
      <c r="EA336" s="27" t="s">
        <v>8</v>
      </c>
      <c r="EB336" s="27" t="s">
        <v>7</v>
      </c>
      <c r="EE336" s="27" t="s">
        <v>8</v>
      </c>
      <c r="EF336" s="27" t="s">
        <v>7</v>
      </c>
    </row>
    <row r="337" spans="1:139" x14ac:dyDescent="0.25">
      <c r="A337" s="30">
        <v>8.8031477337879808E-3</v>
      </c>
      <c r="B337"/>
      <c r="C337"/>
      <c r="D337"/>
      <c r="E337"/>
      <c r="F337" s="27" t="s">
        <v>7</v>
      </c>
      <c r="BC337" s="27" t="s">
        <v>8</v>
      </c>
      <c r="BO337" s="27" t="s">
        <v>8</v>
      </c>
      <c r="CN337" s="27" t="s">
        <v>7</v>
      </c>
      <c r="CO337" s="27" t="s">
        <v>8</v>
      </c>
      <c r="CP337" s="27" t="s">
        <v>7</v>
      </c>
      <c r="CQ337" s="27" t="s">
        <v>8</v>
      </c>
      <c r="CR337" s="27" t="s">
        <v>7</v>
      </c>
      <c r="CT337" s="27" t="s">
        <v>7</v>
      </c>
      <c r="CU337" s="27" t="s">
        <v>8</v>
      </c>
      <c r="CV337" s="27" t="s">
        <v>7</v>
      </c>
      <c r="CW337" s="27" t="s">
        <v>8</v>
      </c>
      <c r="CX337" s="27" t="s">
        <v>7</v>
      </c>
      <c r="DG337" s="27" t="s">
        <v>8</v>
      </c>
      <c r="DN337" s="27" t="s">
        <v>7</v>
      </c>
      <c r="DO337" s="27" t="s">
        <v>8</v>
      </c>
      <c r="DP337" s="27" t="s">
        <v>7</v>
      </c>
      <c r="DQ337" s="27" t="s">
        <v>8</v>
      </c>
      <c r="DR337" s="27" t="s">
        <v>7</v>
      </c>
      <c r="DS337" s="27" t="s">
        <v>8</v>
      </c>
      <c r="DT337" s="27" t="s">
        <v>7</v>
      </c>
      <c r="DU337" s="27" t="s">
        <v>8</v>
      </c>
      <c r="DZ337" s="27" t="s">
        <v>7</v>
      </c>
      <c r="EA337" s="27" t="s">
        <v>8</v>
      </c>
      <c r="EB337" s="27" t="s">
        <v>7</v>
      </c>
      <c r="EE337" s="27" t="s">
        <v>8</v>
      </c>
      <c r="EF337" s="27" t="s">
        <v>7</v>
      </c>
    </row>
    <row r="338" spans="1:139" x14ac:dyDescent="0.25">
      <c r="A338" s="30">
        <v>8.3839502226552166E-3</v>
      </c>
      <c r="B338"/>
      <c r="C338"/>
      <c r="D338"/>
      <c r="E338"/>
      <c r="F338" s="27" t="s">
        <v>7</v>
      </c>
      <c r="BC338" s="27" t="s">
        <v>8</v>
      </c>
      <c r="BD338" s="27" t="s">
        <v>7</v>
      </c>
      <c r="BO338" s="27" t="s">
        <v>8</v>
      </c>
      <c r="CN338" s="27" t="s">
        <v>7</v>
      </c>
      <c r="CO338" s="27" t="s">
        <v>8</v>
      </c>
      <c r="CP338" s="27" t="s">
        <v>7</v>
      </c>
      <c r="CQ338" s="27" t="s">
        <v>8</v>
      </c>
      <c r="CT338" s="27" t="s">
        <v>7</v>
      </c>
      <c r="CU338" s="27" t="s">
        <v>8</v>
      </c>
      <c r="CV338" s="27" t="s">
        <v>7</v>
      </c>
      <c r="CW338" s="27" t="s">
        <v>8</v>
      </c>
      <c r="CX338" s="27" t="s">
        <v>7</v>
      </c>
      <c r="CY338" s="27" t="s">
        <v>8</v>
      </c>
      <c r="DG338" s="27" t="s">
        <v>8</v>
      </c>
      <c r="DN338" s="27" t="s">
        <v>7</v>
      </c>
      <c r="DO338" s="27" t="s">
        <v>8</v>
      </c>
      <c r="DP338" s="27" t="s">
        <v>7</v>
      </c>
      <c r="DQ338" s="27" t="s">
        <v>8</v>
      </c>
      <c r="DR338" s="27" t="s">
        <v>7</v>
      </c>
      <c r="DS338" s="27" t="s">
        <v>8</v>
      </c>
      <c r="DT338" s="27" t="s">
        <v>7</v>
      </c>
      <c r="DZ338" s="27" t="s">
        <v>7</v>
      </c>
      <c r="EA338" s="27" t="s">
        <v>8</v>
      </c>
      <c r="EB338" s="27" t="s">
        <v>7</v>
      </c>
      <c r="EE338" s="27" t="s">
        <v>8</v>
      </c>
      <c r="EF338" s="27" t="s">
        <v>7</v>
      </c>
    </row>
    <row r="339" spans="1:139" x14ac:dyDescent="0.25">
      <c r="A339" s="30">
        <v>7.9847144977668698E-3</v>
      </c>
      <c r="B339"/>
      <c r="C339"/>
      <c r="D339"/>
      <c r="E339"/>
      <c r="F339" s="27" t="s">
        <v>7</v>
      </c>
      <c r="BC339" s="27" t="s">
        <v>8</v>
      </c>
      <c r="BD339" s="27" t="s">
        <v>7</v>
      </c>
      <c r="BO339" s="27" t="s">
        <v>8</v>
      </c>
      <c r="CN339" s="27" t="s">
        <v>7</v>
      </c>
      <c r="CO339" s="27" t="s">
        <v>8</v>
      </c>
      <c r="CP339" s="27" t="s">
        <v>7</v>
      </c>
      <c r="CQ339" s="27" t="s">
        <v>8</v>
      </c>
      <c r="CT339" s="27" t="s">
        <v>7</v>
      </c>
      <c r="CV339" s="27" t="s">
        <v>7</v>
      </c>
      <c r="CW339" s="27" t="s">
        <v>8</v>
      </c>
      <c r="CX339" s="27" t="s">
        <v>7</v>
      </c>
      <c r="CY339" s="27" t="s">
        <v>8</v>
      </c>
      <c r="CZ339" s="27" t="s">
        <v>7</v>
      </c>
      <c r="DG339" s="27" t="s">
        <v>8</v>
      </c>
      <c r="DN339" s="27" t="s">
        <v>7</v>
      </c>
      <c r="DO339" s="27" t="s">
        <v>8</v>
      </c>
      <c r="DP339" s="27" t="s">
        <v>7</v>
      </c>
      <c r="DQ339" s="27" t="s">
        <v>8</v>
      </c>
      <c r="DR339" s="27" t="s">
        <v>7</v>
      </c>
      <c r="DS339" s="27" t="s">
        <v>8</v>
      </c>
      <c r="DZ339" s="27" t="s">
        <v>7</v>
      </c>
      <c r="EB339" s="27" t="s">
        <v>7</v>
      </c>
      <c r="EE339" s="27" t="s">
        <v>8</v>
      </c>
      <c r="EF339" s="27" t="s">
        <v>7</v>
      </c>
    </row>
    <row r="340" spans="1:139" x14ac:dyDescent="0.25">
      <c r="A340" s="30">
        <v>7.6044899978732058E-3</v>
      </c>
      <c r="B340"/>
      <c r="C340"/>
      <c r="D340"/>
      <c r="E340"/>
      <c r="F340" s="27" t="s">
        <v>7</v>
      </c>
      <c r="BC340" s="27" t="s">
        <v>8</v>
      </c>
      <c r="BD340" s="27" t="s">
        <v>7</v>
      </c>
      <c r="BO340" s="27" t="s">
        <v>8</v>
      </c>
      <c r="CN340" s="27" t="s">
        <v>7</v>
      </c>
      <c r="CO340" s="27" t="s">
        <v>8</v>
      </c>
      <c r="CP340" s="27" t="s">
        <v>7</v>
      </c>
      <c r="CQ340" s="27" t="s">
        <v>8</v>
      </c>
      <c r="CV340" s="27" t="s">
        <v>7</v>
      </c>
      <c r="CX340" s="27" t="s">
        <v>7</v>
      </c>
      <c r="CY340" s="27" t="s">
        <v>8</v>
      </c>
      <c r="CZ340" s="27" t="s">
        <v>7</v>
      </c>
      <c r="DG340" s="27" t="s">
        <v>8</v>
      </c>
      <c r="DN340" s="27" t="s">
        <v>7</v>
      </c>
      <c r="DO340" s="27" t="s">
        <v>8</v>
      </c>
      <c r="DP340" s="27" t="s">
        <v>7</v>
      </c>
      <c r="DQ340" s="27" t="s">
        <v>8</v>
      </c>
      <c r="DR340" s="27" t="s">
        <v>7</v>
      </c>
      <c r="EB340" s="27" t="s">
        <v>7</v>
      </c>
      <c r="EE340" s="27" t="s">
        <v>8</v>
      </c>
      <c r="EF340" s="27" t="s">
        <v>7</v>
      </c>
    </row>
    <row r="341" spans="1:139" x14ac:dyDescent="0.25">
      <c r="A341" s="30">
        <v>7.2423714265459072E-3</v>
      </c>
      <c r="B341"/>
      <c r="C341"/>
      <c r="D341"/>
      <c r="E341"/>
      <c r="F341" s="27" t="s">
        <v>7</v>
      </c>
      <c r="BC341" s="27" t="s">
        <v>8</v>
      </c>
      <c r="BD341" s="27" t="s">
        <v>7</v>
      </c>
      <c r="BE341" s="27" t="s">
        <v>8</v>
      </c>
      <c r="BG341" s="27" t="s">
        <v>8</v>
      </c>
      <c r="BK341" s="27" t="s">
        <v>8</v>
      </c>
      <c r="BO341" s="27" t="s">
        <v>8</v>
      </c>
      <c r="CN341" s="27" t="s">
        <v>7</v>
      </c>
      <c r="CO341" s="27" t="s">
        <v>8</v>
      </c>
      <c r="CP341" s="27" t="s">
        <v>7</v>
      </c>
      <c r="CQ341" s="27" t="s">
        <v>8</v>
      </c>
      <c r="CX341" s="27" t="s">
        <v>7</v>
      </c>
      <c r="CZ341" s="27" t="s">
        <v>7</v>
      </c>
      <c r="DG341" s="27" t="s">
        <v>8</v>
      </c>
      <c r="DN341" s="27" t="s">
        <v>7</v>
      </c>
      <c r="DP341" s="27" t="s">
        <v>7</v>
      </c>
      <c r="EB341" s="27" t="s">
        <v>7</v>
      </c>
      <c r="EC341" s="27" t="s">
        <v>8</v>
      </c>
      <c r="EE341" s="27" t="s">
        <v>8</v>
      </c>
      <c r="EF341" s="27" t="s">
        <v>7</v>
      </c>
    </row>
    <row r="342" spans="1:139" x14ac:dyDescent="0.25">
      <c r="A342" s="30">
        <v>6.8974965967103846E-3</v>
      </c>
      <c r="B342"/>
      <c r="C342"/>
      <c r="D342"/>
      <c r="E342"/>
      <c r="F342" s="27" t="s">
        <v>7</v>
      </c>
      <c r="BC342" s="27" t="s">
        <v>8</v>
      </c>
      <c r="BD342" s="27" t="s">
        <v>7</v>
      </c>
      <c r="BE342" s="27" t="s">
        <v>8</v>
      </c>
      <c r="BF342" s="27" t="s">
        <v>7</v>
      </c>
      <c r="BG342" s="27" t="s">
        <v>8</v>
      </c>
      <c r="BH342" s="27" t="s">
        <v>7</v>
      </c>
      <c r="BK342" s="27" t="s">
        <v>8</v>
      </c>
      <c r="BL342" s="27" t="s">
        <v>7</v>
      </c>
      <c r="BO342" s="27" t="s">
        <v>8</v>
      </c>
      <c r="CN342" s="27" t="s">
        <v>7</v>
      </c>
      <c r="CO342" s="27" t="s">
        <v>8</v>
      </c>
      <c r="CP342" s="27" t="s">
        <v>7</v>
      </c>
      <c r="CZ342" s="27" t="s">
        <v>7</v>
      </c>
      <c r="DA342" s="27" t="s">
        <v>8</v>
      </c>
      <c r="DC342" s="27" t="s">
        <v>8</v>
      </c>
      <c r="DE342" s="27" t="s">
        <v>8</v>
      </c>
      <c r="DG342" s="27" t="s">
        <v>8</v>
      </c>
      <c r="EB342" s="27" t="s">
        <v>7</v>
      </c>
      <c r="EC342" s="27" t="s">
        <v>8</v>
      </c>
      <c r="ED342" s="27" t="s">
        <v>7</v>
      </c>
      <c r="EE342" s="27" t="s">
        <v>8</v>
      </c>
      <c r="EF342" s="27" t="s">
        <v>7</v>
      </c>
    </row>
    <row r="343" spans="1:139" x14ac:dyDescent="0.25">
      <c r="A343" s="30">
        <v>6.5690443778194116E-3</v>
      </c>
      <c r="B343"/>
      <c r="C343"/>
      <c r="D343"/>
      <c r="E343"/>
      <c r="F343" s="27" t="s">
        <v>7</v>
      </c>
      <c r="BC343" s="27" t="s">
        <v>8</v>
      </c>
      <c r="BD343" s="27" t="s">
        <v>7</v>
      </c>
      <c r="BE343" s="27" t="s">
        <v>8</v>
      </c>
      <c r="BF343" s="27" t="s">
        <v>7</v>
      </c>
      <c r="BG343" s="27" t="s">
        <v>8</v>
      </c>
      <c r="BH343" s="27" t="s">
        <v>7</v>
      </c>
      <c r="BK343" s="27" t="s">
        <v>8</v>
      </c>
      <c r="BL343" s="27" t="s">
        <v>7</v>
      </c>
      <c r="BM343" s="27" t="s">
        <v>8</v>
      </c>
      <c r="BO343" s="27" t="s">
        <v>8</v>
      </c>
      <c r="CN343" s="27" t="s">
        <v>7</v>
      </c>
      <c r="CO343" s="27" t="s">
        <v>8</v>
      </c>
      <c r="CZ343" s="27" t="s">
        <v>7</v>
      </c>
      <c r="DA343" s="27" t="s">
        <v>8</v>
      </c>
      <c r="DB343" s="27" t="s">
        <v>7</v>
      </c>
      <c r="DC343" s="27" t="s">
        <v>8</v>
      </c>
      <c r="DD343" s="27" t="s">
        <v>7</v>
      </c>
      <c r="DE343" s="27" t="s">
        <v>8</v>
      </c>
      <c r="DF343" s="27" t="s">
        <v>7</v>
      </c>
      <c r="DG343" s="27" t="s">
        <v>8</v>
      </c>
      <c r="EB343" s="27" t="s">
        <v>7</v>
      </c>
      <c r="EC343" s="27" t="s">
        <v>8</v>
      </c>
      <c r="ED343" s="27" t="s">
        <v>7</v>
      </c>
      <c r="EE343" s="27" t="s">
        <v>8</v>
      </c>
      <c r="EF343" s="27" t="s">
        <v>7</v>
      </c>
    </row>
    <row r="344" spans="1:139" x14ac:dyDescent="0.25">
      <c r="A344" s="30">
        <v>6.2562327407803897E-3</v>
      </c>
      <c r="B344"/>
      <c r="C344"/>
      <c r="D344"/>
      <c r="E344"/>
      <c r="F344" s="27" t="s">
        <v>7</v>
      </c>
      <c r="BC344" s="27" t="s">
        <v>8</v>
      </c>
      <c r="BD344" s="27" t="s">
        <v>7</v>
      </c>
      <c r="BE344" s="27" t="s">
        <v>8</v>
      </c>
      <c r="BF344" s="27" t="s">
        <v>7</v>
      </c>
      <c r="BG344" s="27" t="s">
        <v>8</v>
      </c>
      <c r="BH344" s="27" t="s">
        <v>7</v>
      </c>
      <c r="BK344" s="27" t="s">
        <v>8</v>
      </c>
      <c r="BL344" s="27" t="s">
        <v>7</v>
      </c>
      <c r="BM344" s="27" t="s">
        <v>8</v>
      </c>
      <c r="BN344" s="27" t="s">
        <v>7</v>
      </c>
      <c r="BO344" s="27" t="s">
        <v>8</v>
      </c>
      <c r="CN344" s="27" t="s">
        <v>7</v>
      </c>
      <c r="CO344" s="27" t="s">
        <v>8</v>
      </c>
      <c r="CZ344" s="27" t="s">
        <v>7</v>
      </c>
      <c r="DA344" s="27" t="s">
        <v>8</v>
      </c>
      <c r="DB344" s="27" t="s">
        <v>7</v>
      </c>
      <c r="DC344" s="27" t="s">
        <v>8</v>
      </c>
      <c r="DD344" s="27" t="s">
        <v>7</v>
      </c>
      <c r="DE344" s="27" t="s">
        <v>8</v>
      </c>
      <c r="DF344" s="27" t="s">
        <v>7</v>
      </c>
      <c r="DG344" s="27" t="s">
        <v>8</v>
      </c>
      <c r="EB344" s="27" t="s">
        <v>7</v>
      </c>
      <c r="EC344" s="27" t="s">
        <v>8</v>
      </c>
      <c r="ED344" s="27" t="s">
        <v>7</v>
      </c>
      <c r="EE344" s="27" t="s">
        <v>8</v>
      </c>
      <c r="EF344" s="27" t="s">
        <v>7</v>
      </c>
    </row>
    <row r="345" spans="1:139" x14ac:dyDescent="0.25">
      <c r="A345" s="30">
        <v>5.9583168959813212E-3</v>
      </c>
      <c r="B345"/>
      <c r="C345"/>
      <c r="D345"/>
      <c r="E345"/>
      <c r="F345" s="27" t="s">
        <v>7</v>
      </c>
      <c r="BC345" s="27" t="s">
        <v>8</v>
      </c>
      <c r="BD345" s="27" t="s">
        <v>7</v>
      </c>
      <c r="BE345" s="27" t="s">
        <v>8</v>
      </c>
      <c r="BF345" s="27" t="s">
        <v>7</v>
      </c>
      <c r="BG345" s="27" t="s">
        <v>8</v>
      </c>
      <c r="BH345" s="27" t="s">
        <v>7</v>
      </c>
      <c r="BK345" s="27" t="s">
        <v>8</v>
      </c>
      <c r="BL345" s="27" t="s">
        <v>7</v>
      </c>
      <c r="BM345" s="27" t="s">
        <v>8</v>
      </c>
      <c r="BN345" s="27" t="s">
        <v>7</v>
      </c>
      <c r="BO345" s="27" t="s">
        <v>8</v>
      </c>
      <c r="CN345" s="27" t="s">
        <v>7</v>
      </c>
      <c r="CO345" s="27" t="s">
        <v>8</v>
      </c>
      <c r="CZ345" s="27" t="s">
        <v>7</v>
      </c>
      <c r="DA345" s="27" t="s">
        <v>8</v>
      </c>
      <c r="DB345" s="27" t="s">
        <v>7</v>
      </c>
      <c r="DD345" s="27" t="s">
        <v>7</v>
      </c>
      <c r="DE345" s="27" t="s">
        <v>8</v>
      </c>
      <c r="DF345" s="27" t="s">
        <v>7</v>
      </c>
      <c r="EB345" s="27" t="s">
        <v>7</v>
      </c>
      <c r="EC345" s="27" t="s">
        <v>8</v>
      </c>
      <c r="ED345" s="27" t="s">
        <v>7</v>
      </c>
      <c r="EE345" s="27" t="s">
        <v>8</v>
      </c>
      <c r="EF345" s="27" t="s">
        <v>7</v>
      </c>
    </row>
    <row r="346" spans="1:139" x14ac:dyDescent="0.25">
      <c r="A346" s="30">
        <v>5.6745875199822084E-3</v>
      </c>
      <c r="B346"/>
      <c r="C346"/>
      <c r="D346"/>
      <c r="E346"/>
      <c r="F346" s="27" t="s">
        <v>7</v>
      </c>
      <c r="BC346" s="27" t="s">
        <v>8</v>
      </c>
      <c r="BD346" s="27" t="s">
        <v>7</v>
      </c>
      <c r="BE346" s="27" t="s">
        <v>8</v>
      </c>
      <c r="BF346" s="27" t="s">
        <v>7</v>
      </c>
      <c r="BG346" s="27" t="s">
        <v>8</v>
      </c>
      <c r="BH346" s="27" t="s">
        <v>7</v>
      </c>
      <c r="BK346" s="27" t="s">
        <v>8</v>
      </c>
      <c r="BL346" s="27" t="s">
        <v>7</v>
      </c>
      <c r="BM346" s="27" t="s">
        <v>8</v>
      </c>
      <c r="BN346" s="27" t="s">
        <v>7</v>
      </c>
      <c r="CN346" s="27" t="s">
        <v>7</v>
      </c>
      <c r="CZ346" s="27" t="s">
        <v>7</v>
      </c>
      <c r="DA346" s="27" t="s">
        <v>8</v>
      </c>
      <c r="DD346" s="27" t="s">
        <v>7</v>
      </c>
      <c r="DE346" s="27" t="s">
        <v>8</v>
      </c>
      <c r="EB346" s="27" t="s">
        <v>7</v>
      </c>
      <c r="EC346" s="27" t="s">
        <v>8</v>
      </c>
      <c r="ED346" s="27" t="s">
        <v>7</v>
      </c>
      <c r="EE346" s="27" t="s">
        <v>8</v>
      </c>
      <c r="EF346" s="27" t="s">
        <v>7</v>
      </c>
    </row>
    <row r="347" spans="1:139" x14ac:dyDescent="0.25">
      <c r="A347" s="30">
        <v>5.4043690666497205E-3</v>
      </c>
      <c r="B347"/>
      <c r="C347"/>
      <c r="D347"/>
      <c r="E347"/>
      <c r="F347" s="27" t="s">
        <v>7</v>
      </c>
      <c r="BC347" s="27" t="s">
        <v>8</v>
      </c>
      <c r="BD347" s="27" t="s">
        <v>7</v>
      </c>
      <c r="BF347" s="27" t="s">
        <v>7</v>
      </c>
      <c r="BG347" s="27" t="s">
        <v>8</v>
      </c>
      <c r="BH347" s="27" t="s">
        <v>7</v>
      </c>
      <c r="BI347" s="27" t="s">
        <v>8</v>
      </c>
      <c r="BK347" s="27" t="s">
        <v>8</v>
      </c>
      <c r="BL347" s="27" t="s">
        <v>7</v>
      </c>
      <c r="BM347" s="27" t="s">
        <v>8</v>
      </c>
      <c r="CZ347" s="27" t="s">
        <v>7</v>
      </c>
      <c r="DA347" s="27" t="s">
        <v>8</v>
      </c>
      <c r="DD347" s="27" t="s">
        <v>7</v>
      </c>
      <c r="DE347" s="27" t="s">
        <v>8</v>
      </c>
      <c r="EB347" s="27" t="s">
        <v>7</v>
      </c>
      <c r="EC347" s="27" t="s">
        <v>8</v>
      </c>
      <c r="ED347" s="27" t="s">
        <v>7</v>
      </c>
      <c r="EF347" s="27" t="s">
        <v>7</v>
      </c>
    </row>
    <row r="348" spans="1:139" x14ac:dyDescent="0.25">
      <c r="A348" s="30">
        <v>5.1470181587140174E-3</v>
      </c>
      <c r="B348"/>
      <c r="C348"/>
      <c r="D348"/>
      <c r="E348"/>
      <c r="F348" s="27" t="s">
        <v>7</v>
      </c>
      <c r="BC348" s="27" t="s">
        <v>8</v>
      </c>
      <c r="BF348" s="27" t="s">
        <v>7</v>
      </c>
      <c r="BH348" s="27" t="s">
        <v>7</v>
      </c>
      <c r="BI348" s="27" t="s">
        <v>8</v>
      </c>
      <c r="BJ348" s="27" t="s">
        <v>7</v>
      </c>
      <c r="BK348" s="27" t="s">
        <v>8</v>
      </c>
      <c r="BL348" s="27" t="s">
        <v>7</v>
      </c>
      <c r="CZ348" s="27" t="s">
        <v>7</v>
      </c>
      <c r="DA348" s="27" t="s">
        <v>8</v>
      </c>
      <c r="DD348" s="27" t="s">
        <v>7</v>
      </c>
      <c r="DE348" s="27" t="s">
        <v>8</v>
      </c>
      <c r="EB348" s="27" t="s">
        <v>7</v>
      </c>
      <c r="EF348" s="27" t="s">
        <v>7</v>
      </c>
    </row>
    <row r="349" spans="1:139" x14ac:dyDescent="0.25">
      <c r="A349" s="30">
        <v>4.9019220559181099E-3</v>
      </c>
      <c r="B349"/>
      <c r="C349"/>
      <c r="D349"/>
      <c r="E349"/>
      <c r="F349" s="27" t="s">
        <v>7</v>
      </c>
      <c r="BC349" s="27" t="s">
        <v>8</v>
      </c>
      <c r="BH349" s="27" t="s">
        <v>7</v>
      </c>
      <c r="BI349" s="27" t="s">
        <v>8</v>
      </c>
      <c r="BJ349" s="27" t="s">
        <v>7</v>
      </c>
      <c r="BK349" s="27" t="s">
        <v>8</v>
      </c>
      <c r="CZ349" s="27" t="s">
        <v>7</v>
      </c>
      <c r="DA349" s="27" t="s">
        <v>8</v>
      </c>
      <c r="DD349" s="18" t="s">
        <v>7</v>
      </c>
      <c r="DE349" s="27" t="s">
        <v>8</v>
      </c>
      <c r="EF349" s="27" t="s">
        <v>7</v>
      </c>
    </row>
    <row r="350" spans="1:139" x14ac:dyDescent="0.25">
      <c r="A350" s="30">
        <v>4.6684971961124836E-3</v>
      </c>
      <c r="B350"/>
      <c r="C350"/>
      <c r="D350"/>
      <c r="E350"/>
      <c r="F350" s="27" t="s">
        <v>7</v>
      </c>
      <c r="BC350" s="27" t="s">
        <v>8</v>
      </c>
      <c r="BH350" s="27" t="s">
        <v>7</v>
      </c>
      <c r="BI350" s="27" t="s">
        <v>8</v>
      </c>
      <c r="BJ350" s="27" t="s">
        <v>7</v>
      </c>
      <c r="BK350" s="27" t="s">
        <v>8</v>
      </c>
      <c r="CZ350" s="27" t="s">
        <v>7</v>
      </c>
      <c r="DA350" s="27" t="s">
        <v>8</v>
      </c>
      <c r="DD350" s="27" t="s">
        <v>7</v>
      </c>
      <c r="DE350" s="27" t="s">
        <v>8</v>
      </c>
      <c r="EF350" s="27" t="s">
        <v>7</v>
      </c>
    </row>
    <row r="351" spans="1:139" x14ac:dyDescent="0.25">
      <c r="A351" s="30">
        <v>4.4461878058214112E-3</v>
      </c>
      <c r="B351"/>
      <c r="C351"/>
      <c r="D351"/>
      <c r="E351"/>
      <c r="F351" s="27" t="s">
        <v>7</v>
      </c>
      <c r="BC351" s="27" t="s">
        <v>8</v>
      </c>
      <c r="BH351" s="27" t="s">
        <v>7</v>
      </c>
      <c r="BI351" s="27" t="s">
        <v>8</v>
      </c>
      <c r="BJ351" s="27" t="s">
        <v>7</v>
      </c>
      <c r="BK351" s="27" t="s">
        <v>8</v>
      </c>
      <c r="CZ351" s="27" t="s">
        <v>7</v>
      </c>
      <c r="DD351" s="27" t="s">
        <v>7</v>
      </c>
      <c r="EF351" s="27" t="s">
        <v>7</v>
      </c>
    </row>
    <row r="352" spans="1:139" x14ac:dyDescent="0.25">
      <c r="A352" s="30">
        <v>4.2344645769727711E-3</v>
      </c>
      <c r="B352"/>
      <c r="C352"/>
      <c r="D352"/>
      <c r="E352"/>
      <c r="F352" s="27" t="s">
        <v>7</v>
      </c>
      <c r="BC352" s="27" t="s">
        <v>8</v>
      </c>
      <c r="BH352" s="27" t="s">
        <v>7</v>
      </c>
      <c r="BI352" s="27" t="s">
        <v>8</v>
      </c>
      <c r="BJ352" s="27" t="s">
        <v>7</v>
      </c>
      <c r="BK352" s="27" t="s">
        <v>8</v>
      </c>
      <c r="EF352" s="27" t="s">
        <v>7</v>
      </c>
      <c r="EI352" s="27" t="s">
        <v>8</v>
      </c>
    </row>
    <row r="353" spans="1:139" x14ac:dyDescent="0.25">
      <c r="A353" s="30">
        <v>4.0328234066407329E-3</v>
      </c>
      <c r="B353"/>
      <c r="C353"/>
      <c r="D353"/>
      <c r="E353"/>
      <c r="F353" s="27" t="s">
        <v>7</v>
      </c>
      <c r="BC353" s="27" t="s">
        <v>8</v>
      </c>
      <c r="BH353" s="27" t="s">
        <v>7</v>
      </c>
      <c r="BI353" s="27" t="s">
        <v>8</v>
      </c>
      <c r="BJ353" s="27" t="s">
        <v>7</v>
      </c>
      <c r="BK353" s="27" t="s">
        <v>8</v>
      </c>
      <c r="EF353" s="27" t="s">
        <v>7</v>
      </c>
      <c r="EI353" s="27" t="s">
        <v>8</v>
      </c>
    </row>
    <row r="354" spans="1:139" x14ac:dyDescent="0.25">
      <c r="A354" s="30">
        <v>3.8407841968006963E-3</v>
      </c>
      <c r="B354"/>
      <c r="C354"/>
      <c r="D354"/>
      <c r="E354"/>
      <c r="F354" s="27" t="s">
        <v>7</v>
      </c>
      <c r="BC354" s="27" t="s">
        <v>8</v>
      </c>
      <c r="BH354" s="27" t="s">
        <v>7</v>
      </c>
      <c r="BJ354" s="27" t="s">
        <v>7</v>
      </c>
      <c r="EF354" s="27" t="s">
        <v>7</v>
      </c>
      <c r="EG354" s="27" t="s">
        <v>8</v>
      </c>
      <c r="EI354" s="27" t="s">
        <v>8</v>
      </c>
    </row>
    <row r="355" spans="1:139" x14ac:dyDescent="0.25">
      <c r="A355" s="30">
        <v>3.6578897112387568E-3</v>
      </c>
      <c r="B355"/>
      <c r="C355"/>
      <c r="D355"/>
      <c r="E355"/>
      <c r="F355" s="27" t="s">
        <v>7</v>
      </c>
      <c r="BA355" s="27" t="s">
        <v>8</v>
      </c>
      <c r="BC355" s="27" t="s">
        <v>8</v>
      </c>
      <c r="EF355" s="27" t="s">
        <v>7</v>
      </c>
      <c r="EG355" s="27" t="s">
        <v>8</v>
      </c>
      <c r="EH355" s="27" t="s">
        <v>7</v>
      </c>
      <c r="EI355" s="27" t="s">
        <v>8</v>
      </c>
    </row>
    <row r="356" spans="1:139" x14ac:dyDescent="0.25">
      <c r="A356" s="30">
        <v>3.4837044868940526E-3</v>
      </c>
      <c r="B356"/>
      <c r="C356"/>
      <c r="D356"/>
      <c r="E356"/>
      <c r="F356" s="27" t="s">
        <v>7</v>
      </c>
      <c r="BA356" s="27" t="s">
        <v>8</v>
      </c>
      <c r="BB356" s="27" t="s">
        <v>7</v>
      </c>
      <c r="BC356" s="27" t="s">
        <v>8</v>
      </c>
      <c r="EF356" s="27" t="s">
        <v>7</v>
      </c>
      <c r="EG356" s="27" t="s">
        <v>8</v>
      </c>
      <c r="EH356" s="27" t="s">
        <v>7</v>
      </c>
      <c r="EI356" s="27" t="s">
        <v>8</v>
      </c>
    </row>
    <row r="357" spans="1:139" x14ac:dyDescent="0.25">
      <c r="A357" s="30">
        <v>3.3178137970419535E-3</v>
      </c>
      <c r="B357"/>
      <c r="C357"/>
      <c r="D357"/>
      <c r="E357"/>
      <c r="F357" s="27" t="s">
        <v>7</v>
      </c>
      <c r="BA357" s="27" t="s">
        <v>8</v>
      </c>
      <c r="BB357" s="27" t="s">
        <v>7</v>
      </c>
      <c r="BC357" s="27" t="s">
        <v>8</v>
      </c>
      <c r="EF357" s="27" t="s">
        <v>7</v>
      </c>
      <c r="EH357" s="27" t="s">
        <v>7</v>
      </c>
    </row>
    <row r="358" spans="1:139" x14ac:dyDescent="0.25">
      <c r="A358" s="30">
        <v>3.1598226638494781E-3</v>
      </c>
      <c r="B358"/>
      <c r="C358"/>
      <c r="D358"/>
      <c r="E358"/>
      <c r="F358" s="27" t="s">
        <v>7</v>
      </c>
      <c r="BA358" s="27" t="s">
        <v>8</v>
      </c>
      <c r="BB358" s="27" t="s">
        <v>7</v>
      </c>
      <c r="BC358" s="27" t="s">
        <v>8</v>
      </c>
    </row>
    <row r="359" spans="1:139" x14ac:dyDescent="0.25">
      <c r="A359" s="30">
        <v>3.0093549179518826E-3</v>
      </c>
      <c r="B359"/>
      <c r="C359"/>
      <c r="D359"/>
      <c r="E359"/>
      <c r="F359" s="27" t="s">
        <v>7</v>
      </c>
      <c r="BA359" s="27" t="s">
        <v>8</v>
      </c>
      <c r="BB359" s="27" t="s">
        <v>7</v>
      </c>
      <c r="BC359" s="27" t="s">
        <v>8</v>
      </c>
    </row>
    <row r="360" spans="1:139" x14ac:dyDescent="0.25">
      <c r="A360" s="30">
        <v>2.8660523028113155E-3</v>
      </c>
      <c r="B360"/>
      <c r="C360"/>
      <c r="D360"/>
      <c r="E360"/>
      <c r="F360" s="27" t="s">
        <v>7</v>
      </c>
      <c r="BA360" s="27" t="s">
        <v>8</v>
      </c>
      <c r="BB360" s="27" t="s">
        <v>7</v>
      </c>
      <c r="BC360" s="27" t="s">
        <v>8</v>
      </c>
    </row>
    <row r="361" spans="1:139" x14ac:dyDescent="0.25">
      <c r="A361" s="30">
        <v>2.7295736217250611E-3</v>
      </c>
      <c r="B361"/>
      <c r="C361"/>
      <c r="D361"/>
      <c r="E361"/>
      <c r="F361" s="27" t="s">
        <v>7</v>
      </c>
      <c r="BA361" s="27" t="s">
        <v>8</v>
      </c>
      <c r="BB361" s="27" t="s">
        <v>7</v>
      </c>
      <c r="BC361" s="27" t="s">
        <v>8</v>
      </c>
    </row>
    <row r="362" spans="1:139" x14ac:dyDescent="0.25">
      <c r="A362" s="30">
        <v>2.5995939254524381E-3</v>
      </c>
      <c r="B362"/>
      <c r="C362"/>
      <c r="D362"/>
      <c r="E362"/>
      <c r="F362" s="27" t="s">
        <v>7</v>
      </c>
      <c r="BA362" s="27" t="s">
        <v>8</v>
      </c>
      <c r="BB362" s="27" t="s">
        <v>7</v>
      </c>
    </row>
    <row r="363" spans="1:139" x14ac:dyDescent="0.25">
      <c r="A363" s="30">
        <v>2.4758037385261304E-3</v>
      </c>
      <c r="B363"/>
      <c r="C363"/>
      <c r="D363"/>
      <c r="E363"/>
      <c r="F363" s="27" t="s">
        <v>7</v>
      </c>
      <c r="G363" s="27" t="s">
        <v>8</v>
      </c>
      <c r="BA363" s="27" t="s">
        <v>8</v>
      </c>
    </row>
    <row r="364" spans="1:139" x14ac:dyDescent="0.25">
      <c r="A364" s="30">
        <v>2.3579083224058374E-3</v>
      </c>
      <c r="B364"/>
      <c r="C364"/>
      <c r="D364"/>
      <c r="E364"/>
      <c r="F364" s="27" t="s">
        <v>7</v>
      </c>
      <c r="G364" s="27" t="s">
        <v>8</v>
      </c>
      <c r="H364" s="27" t="s">
        <v>7</v>
      </c>
      <c r="BA364" s="27" t="s">
        <v>8</v>
      </c>
    </row>
    <row r="365" spans="1:139" x14ac:dyDescent="0.25">
      <c r="A365" s="30">
        <v>2.245626973719844E-3</v>
      </c>
      <c r="B365"/>
      <c r="C365"/>
      <c r="D365"/>
      <c r="E365"/>
      <c r="F365" s="27" t="s">
        <v>7</v>
      </c>
      <c r="G365" s="27" t="s">
        <v>8</v>
      </c>
      <c r="H365" s="27" t="s">
        <v>7</v>
      </c>
      <c r="BA365" s="27" t="s">
        <v>8</v>
      </c>
    </row>
    <row r="366" spans="1:139" x14ac:dyDescent="0.25">
      <c r="A366" s="30">
        <v>2.1386923559236601E-3</v>
      </c>
      <c r="B366"/>
      <c r="C366"/>
      <c r="D366"/>
      <c r="E366"/>
      <c r="F366" s="27" t="s">
        <v>7</v>
      </c>
      <c r="G366" s="27" t="s">
        <v>8</v>
      </c>
      <c r="H366" s="27" t="s">
        <v>7</v>
      </c>
      <c r="BA366" s="27" t="s">
        <v>8</v>
      </c>
    </row>
    <row r="367" spans="1:139" x14ac:dyDescent="0.25">
      <c r="A367" s="30">
        <v>2.0368498627844375E-3</v>
      </c>
      <c r="B367"/>
      <c r="C367"/>
      <c r="D367"/>
      <c r="E367"/>
      <c r="F367" s="27" t="s">
        <v>7</v>
      </c>
      <c r="G367" s="27" t="s">
        <v>8</v>
      </c>
      <c r="H367" s="27" t="s">
        <v>7</v>
      </c>
      <c r="AU367" s="27" t="s">
        <v>8</v>
      </c>
      <c r="BA367" s="27" t="s">
        <v>8</v>
      </c>
    </row>
    <row r="368" spans="1:139" x14ac:dyDescent="0.25">
      <c r="A368" s="30">
        <v>1.9398570121756541E-3</v>
      </c>
      <c r="B368"/>
      <c r="C368"/>
      <c r="D368"/>
      <c r="E368"/>
      <c r="F368" s="27" t="s">
        <v>7</v>
      </c>
      <c r="G368" s="27" t="s">
        <v>8</v>
      </c>
      <c r="H368" s="27" t="s">
        <v>7</v>
      </c>
      <c r="AU368" s="27" t="s">
        <v>8</v>
      </c>
      <c r="AV368" s="27" t="s">
        <v>7</v>
      </c>
      <c r="BA368" s="27" t="s">
        <v>8</v>
      </c>
    </row>
    <row r="369" spans="1:53" x14ac:dyDescent="0.25">
      <c r="A369" s="30">
        <v>1.8474828687387174E-3</v>
      </c>
      <c r="B369"/>
      <c r="C369"/>
      <c r="D369"/>
      <c r="E369"/>
      <c r="F369" s="27" t="s">
        <v>7</v>
      </c>
      <c r="G369" s="27" t="s">
        <v>8</v>
      </c>
      <c r="H369" s="27" t="s">
        <v>7</v>
      </c>
      <c r="I369" s="27" t="s">
        <v>8</v>
      </c>
      <c r="AU369" s="27" t="s">
        <v>8</v>
      </c>
      <c r="AV369" s="27" t="s">
        <v>7</v>
      </c>
      <c r="AY369" s="27" t="s">
        <v>8</v>
      </c>
      <c r="BA369" s="27" t="s">
        <v>8</v>
      </c>
    </row>
    <row r="370" spans="1:53" x14ac:dyDescent="0.25">
      <c r="A370" s="30">
        <v>1.759507494036873E-3</v>
      </c>
      <c r="B370"/>
      <c r="C370"/>
      <c r="D370"/>
      <c r="E370"/>
      <c r="F370" s="27" t="s">
        <v>7</v>
      </c>
      <c r="G370" s="27" t="s">
        <v>8</v>
      </c>
      <c r="H370" s="27" t="s">
        <v>7</v>
      </c>
      <c r="I370" s="27" t="s">
        <v>8</v>
      </c>
      <c r="J370" s="27" t="s">
        <v>7</v>
      </c>
      <c r="AU370" s="27" t="s">
        <v>8</v>
      </c>
      <c r="AV370" s="27" t="s">
        <v>7</v>
      </c>
      <c r="AY370" s="27" t="s">
        <v>8</v>
      </c>
      <c r="AZ370" s="27" t="s">
        <v>7</v>
      </c>
      <c r="BA370" s="27" t="s">
        <v>8</v>
      </c>
    </row>
    <row r="371" spans="1:53" x14ac:dyDescent="0.25">
      <c r="A371" s="30">
        <v>1.6757214228922594E-3</v>
      </c>
      <c r="B371"/>
      <c r="C371"/>
      <c r="D371"/>
      <c r="E371"/>
      <c r="F371" s="27" t="s">
        <v>7</v>
      </c>
      <c r="G371" s="27" t="s">
        <v>8</v>
      </c>
      <c r="H371" s="27" t="s">
        <v>7</v>
      </c>
      <c r="I371" s="27" t="s">
        <v>8</v>
      </c>
      <c r="J371" s="27" t="s">
        <v>7</v>
      </c>
      <c r="AU371" s="27" t="s">
        <v>8</v>
      </c>
      <c r="AV371" s="27" t="s">
        <v>7</v>
      </c>
      <c r="AY371" s="27" t="s">
        <v>8</v>
      </c>
      <c r="AZ371" s="27" t="s">
        <v>7</v>
      </c>
      <c r="BA371" s="27" t="s">
        <v>8</v>
      </c>
    </row>
    <row r="372" spans="1:53" x14ac:dyDescent="0.25">
      <c r="A372" s="30">
        <v>1.595925164659294E-3</v>
      </c>
      <c r="B372"/>
      <c r="C372"/>
      <c r="D372"/>
      <c r="E372"/>
      <c r="F372" s="27" t="s">
        <v>7</v>
      </c>
      <c r="G372" s="27" t="s">
        <v>8</v>
      </c>
      <c r="H372" s="27" t="s">
        <v>7</v>
      </c>
      <c r="J372" s="27" t="s">
        <v>7</v>
      </c>
      <c r="AU372" s="27" t="s">
        <v>8</v>
      </c>
      <c r="AV372" s="27" t="s">
        <v>7</v>
      </c>
      <c r="AY372" s="27" t="s">
        <v>8</v>
      </c>
      <c r="AZ372" s="27" t="s">
        <v>7</v>
      </c>
      <c r="BA372" s="27" t="s">
        <v>8</v>
      </c>
    </row>
    <row r="373" spans="1:53" x14ac:dyDescent="0.25">
      <c r="A373" s="30">
        <v>1.5199287282469461E-3</v>
      </c>
      <c r="B373"/>
      <c r="C373"/>
      <c r="D373"/>
      <c r="E373"/>
      <c r="F373" s="27" t="s">
        <v>7</v>
      </c>
      <c r="G373" s="27" t="s">
        <v>8</v>
      </c>
      <c r="J373" s="27" t="s">
        <v>7</v>
      </c>
      <c r="AU373" s="27" t="s">
        <v>8</v>
      </c>
      <c r="AV373" s="27" t="s">
        <v>7</v>
      </c>
      <c r="AY373" s="27" t="s">
        <v>8</v>
      </c>
      <c r="AZ373" s="27" t="s">
        <v>7</v>
      </c>
      <c r="BA373" s="27" t="s">
        <v>8</v>
      </c>
    </row>
    <row r="374" spans="1:53" x14ac:dyDescent="0.25">
      <c r="A374" s="30">
        <v>1.4475511697589958E-3</v>
      </c>
      <c r="B374"/>
      <c r="C374"/>
      <c r="D374"/>
      <c r="E374"/>
      <c r="F374" s="27" t="s">
        <v>7</v>
      </c>
      <c r="G374" s="27" t="s">
        <v>8</v>
      </c>
      <c r="J374" s="27" t="s">
        <v>7</v>
      </c>
      <c r="AU374" s="27" t="s">
        <v>8</v>
      </c>
      <c r="AV374" s="27" t="s">
        <v>7</v>
      </c>
      <c r="AW374" s="27" t="s">
        <v>8</v>
      </c>
      <c r="AY374" s="27" t="s">
        <v>8</v>
      </c>
      <c r="AZ374" s="27" t="s">
        <v>7</v>
      </c>
      <c r="BA374" s="27" t="s">
        <v>8</v>
      </c>
    </row>
    <row r="375" spans="1:53" x14ac:dyDescent="0.25">
      <c r="A375" s="30">
        <v>1.3786201616752334E-3</v>
      </c>
      <c r="B375"/>
      <c r="C375"/>
      <c r="D375"/>
      <c r="E375"/>
      <c r="F375" s="27" t="s">
        <v>7</v>
      </c>
      <c r="G375" s="27" t="s">
        <v>8</v>
      </c>
      <c r="J375" s="27" t="s">
        <v>7</v>
      </c>
      <c r="K375" s="27" t="s">
        <v>8</v>
      </c>
      <c r="AU375" s="27" t="s">
        <v>8</v>
      </c>
      <c r="AV375" s="27" t="s">
        <v>7</v>
      </c>
      <c r="AW375" s="27" t="s">
        <v>8</v>
      </c>
      <c r="AX375" s="27" t="s">
        <v>7</v>
      </c>
      <c r="AY375" s="27" t="s">
        <v>8</v>
      </c>
      <c r="AZ375" s="27" t="s">
        <v>7</v>
      </c>
      <c r="BA375" s="27" t="s">
        <v>8</v>
      </c>
    </row>
    <row r="376" spans="1:53" x14ac:dyDescent="0.25">
      <c r="A376" s="30">
        <v>1.3129715825478407E-3</v>
      </c>
      <c r="B376"/>
      <c r="C376"/>
      <c r="D376"/>
      <c r="E376"/>
      <c r="F376" s="27" t="s">
        <v>7</v>
      </c>
      <c r="G376" s="27" t="s">
        <v>8</v>
      </c>
      <c r="J376" s="27" t="s">
        <v>7</v>
      </c>
      <c r="K376" s="27" t="s">
        <v>8</v>
      </c>
      <c r="L376" s="27" t="s">
        <v>7</v>
      </c>
      <c r="AU376" s="27" t="s">
        <v>8</v>
      </c>
      <c r="AV376" s="27" t="s">
        <v>7</v>
      </c>
      <c r="AW376" s="27" t="s">
        <v>8</v>
      </c>
      <c r="AX376" s="27" t="s">
        <v>7</v>
      </c>
      <c r="AY376" s="27" t="s">
        <v>8</v>
      </c>
      <c r="AZ376" s="27" t="s">
        <v>7</v>
      </c>
    </row>
    <row r="377" spans="1:53" x14ac:dyDescent="0.25">
      <c r="A377" s="30">
        <v>1.2504491262360382E-3</v>
      </c>
      <c r="B377"/>
      <c r="C377"/>
      <c r="D377"/>
      <c r="E377"/>
      <c r="F377" s="27" t="s">
        <v>7</v>
      </c>
      <c r="J377" s="27" t="s">
        <v>7</v>
      </c>
      <c r="K377" s="27" t="s">
        <v>8</v>
      </c>
      <c r="L377" s="27" t="s">
        <v>7</v>
      </c>
      <c r="AU377" s="27" t="s">
        <v>8</v>
      </c>
      <c r="AV377" s="27" t="s">
        <v>7</v>
      </c>
      <c r="AW377" s="27" t="s">
        <v>8</v>
      </c>
      <c r="AX377" s="27" t="s">
        <v>7</v>
      </c>
      <c r="AY377" s="27" t="s">
        <v>8</v>
      </c>
    </row>
    <row r="378" spans="1:53" x14ac:dyDescent="0.25">
      <c r="A378" s="30">
        <v>1.1909039297486072E-3</v>
      </c>
      <c r="B378"/>
      <c r="C378"/>
      <c r="D378"/>
      <c r="E378"/>
      <c r="J378" s="27" t="s">
        <v>7</v>
      </c>
      <c r="L378" s="27" t="s">
        <v>7</v>
      </c>
      <c r="AU378" s="27" t="s">
        <v>8</v>
      </c>
      <c r="AV378" s="27" t="s">
        <v>7</v>
      </c>
      <c r="AW378" s="27" t="s">
        <v>8</v>
      </c>
      <c r="AX378" s="27" t="s">
        <v>7</v>
      </c>
    </row>
    <row r="379" spans="1:53" x14ac:dyDescent="0.25">
      <c r="A379" s="30">
        <v>1.1341942188081969E-3</v>
      </c>
      <c r="B379"/>
      <c r="C379"/>
      <c r="D379"/>
      <c r="E379"/>
      <c r="L379" s="27" t="s">
        <v>7</v>
      </c>
      <c r="M379" s="27" t="s">
        <v>8</v>
      </c>
      <c r="AU379" s="27" t="s">
        <v>8</v>
      </c>
      <c r="AV379" s="27" t="s">
        <v>7</v>
      </c>
    </row>
    <row r="380" spans="1:53" x14ac:dyDescent="0.25">
      <c r="A380" s="30">
        <v>1.0801849702935203E-3</v>
      </c>
      <c r="B380"/>
      <c r="C380"/>
      <c r="D380"/>
      <c r="E380"/>
      <c r="L380" s="27" t="s">
        <v>7</v>
      </c>
      <c r="M380" s="27" t="s">
        <v>8</v>
      </c>
      <c r="N380" s="27" t="s">
        <v>7</v>
      </c>
      <c r="AU380" s="27" t="s">
        <v>8</v>
      </c>
    </row>
    <row r="381" spans="1:53" x14ac:dyDescent="0.25">
      <c r="A381" s="30">
        <v>1.0287475907557332E-3</v>
      </c>
      <c r="B381"/>
      <c r="C381"/>
      <c r="D381"/>
      <c r="E381"/>
      <c r="L381" s="27" t="s">
        <v>7</v>
      </c>
      <c r="M381" s="27" t="s">
        <v>8</v>
      </c>
      <c r="N381" s="27" t="s">
        <v>7</v>
      </c>
      <c r="AO381" s="27" t="s">
        <v>8</v>
      </c>
      <c r="AU381" s="27" t="s">
        <v>8</v>
      </c>
    </row>
    <row r="382" spans="1:53" x14ac:dyDescent="0.25">
      <c r="A382" s="30">
        <v>9.7731021121794646E-4</v>
      </c>
      <c r="L382" s="27" t="s">
        <v>7</v>
      </c>
      <c r="M382" s="27" t="s">
        <v>8</v>
      </c>
      <c r="N382" s="27" t="s">
        <v>7</v>
      </c>
      <c r="S382" s="27" t="s">
        <v>8</v>
      </c>
      <c r="AK382" s="27" t="s">
        <v>8</v>
      </c>
      <c r="AO382" s="27" t="s">
        <v>8</v>
      </c>
      <c r="AP382" s="27" t="s">
        <v>7</v>
      </c>
      <c r="AS382" s="27" t="s">
        <v>8</v>
      </c>
      <c r="AU382" s="27" t="s">
        <v>8</v>
      </c>
    </row>
    <row r="383" spans="1:53" x14ac:dyDescent="0.25">
      <c r="A383" s="30">
        <v>9.2844470065704904E-4</v>
      </c>
      <c r="L383" s="27" t="s">
        <v>7</v>
      </c>
      <c r="M383" s="27" t="s">
        <v>8</v>
      </c>
      <c r="N383" s="27" t="s">
        <v>7</v>
      </c>
      <c r="O383" s="27" t="s">
        <v>8</v>
      </c>
      <c r="S383" s="27" t="s">
        <v>8</v>
      </c>
      <c r="T383" s="27" t="s">
        <v>7</v>
      </c>
      <c r="AK383" s="27" t="s">
        <v>8</v>
      </c>
      <c r="AL383" s="27" t="s">
        <v>7</v>
      </c>
      <c r="AO383" s="27" t="s">
        <v>8</v>
      </c>
      <c r="AP383" s="27" t="s">
        <v>7</v>
      </c>
      <c r="AS383" s="27" t="s">
        <v>8</v>
      </c>
      <c r="AT383" s="27" t="s">
        <v>7</v>
      </c>
      <c r="AU383" s="27" t="s">
        <v>8</v>
      </c>
    </row>
    <row r="384" spans="1:53" x14ac:dyDescent="0.25">
      <c r="A384" s="30">
        <v>8.8202246562419653E-4</v>
      </c>
      <c r="L384" s="27" t="s">
        <v>7</v>
      </c>
      <c r="M384" s="27" t="s">
        <v>8</v>
      </c>
      <c r="N384" s="27" t="s">
        <v>7</v>
      </c>
      <c r="O384" s="27" t="s">
        <v>8</v>
      </c>
      <c r="P384" s="27" t="s">
        <v>7</v>
      </c>
      <c r="Q384" s="27" t="s">
        <v>8</v>
      </c>
      <c r="S384" s="27" t="s">
        <v>8</v>
      </c>
      <c r="T384" s="27" t="s">
        <v>7</v>
      </c>
      <c r="AG384" s="27" t="s">
        <v>8</v>
      </c>
      <c r="AK384" s="27" t="s">
        <v>8</v>
      </c>
      <c r="AL384" s="27" t="s">
        <v>7</v>
      </c>
      <c r="AM384" s="27" t="s">
        <v>8</v>
      </c>
      <c r="AO384" s="27" t="s">
        <v>8</v>
      </c>
      <c r="AP384" s="27" t="s">
        <v>7</v>
      </c>
      <c r="AS384" s="27" t="s">
        <v>8</v>
      </c>
      <c r="AT384" s="27" t="s">
        <v>7</v>
      </c>
      <c r="AU384" s="27" t="s">
        <v>8</v>
      </c>
    </row>
    <row r="385" spans="1:47" x14ac:dyDescent="0.25">
      <c r="A385" s="30">
        <v>8.3792134234298668E-4</v>
      </c>
      <c r="L385" s="27" t="s">
        <v>7</v>
      </c>
      <c r="M385" s="27" t="s">
        <v>8</v>
      </c>
      <c r="N385" s="27" t="s">
        <v>7</v>
      </c>
      <c r="O385" s="27" t="s">
        <v>8</v>
      </c>
      <c r="P385" s="27" t="s">
        <v>7</v>
      </c>
      <c r="Q385" s="27" t="s">
        <v>8</v>
      </c>
      <c r="R385" s="27" t="s">
        <v>7</v>
      </c>
      <c r="S385" s="27" t="s">
        <v>8</v>
      </c>
      <c r="T385" s="27" t="s">
        <v>7</v>
      </c>
      <c r="U385" s="27" t="s">
        <v>8</v>
      </c>
      <c r="AG385" s="27" t="s">
        <v>8</v>
      </c>
      <c r="AH385" s="27" t="s">
        <v>7</v>
      </c>
      <c r="AK385" s="27" t="s">
        <v>8</v>
      </c>
      <c r="AL385" s="27" t="s">
        <v>7</v>
      </c>
      <c r="AM385" s="27" t="s">
        <v>8</v>
      </c>
      <c r="AN385" s="27" t="s">
        <v>7</v>
      </c>
      <c r="AO385" s="27" t="s">
        <v>8</v>
      </c>
      <c r="AP385" s="27" t="s">
        <v>7</v>
      </c>
      <c r="AQ385" s="27" t="s">
        <v>8</v>
      </c>
      <c r="AS385" s="27" t="s">
        <v>8</v>
      </c>
      <c r="AT385" s="27" t="s">
        <v>7</v>
      </c>
      <c r="AU385" s="27" t="s">
        <v>8</v>
      </c>
    </row>
    <row r="386" spans="1:47" x14ac:dyDescent="0.25">
      <c r="A386" s="30">
        <v>7.9602527522583736E-4</v>
      </c>
      <c r="L386" s="27" t="s">
        <v>7</v>
      </c>
      <c r="M386" s="27" t="s">
        <v>8</v>
      </c>
      <c r="N386" s="27" t="s">
        <v>7</v>
      </c>
      <c r="O386" s="27" t="s">
        <v>8</v>
      </c>
      <c r="P386" s="27" t="s">
        <v>7</v>
      </c>
      <c r="Q386" s="27" t="s">
        <v>8</v>
      </c>
      <c r="R386" s="27" t="s">
        <v>7</v>
      </c>
      <c r="S386" s="27" t="s">
        <v>8</v>
      </c>
      <c r="T386" s="27" t="s">
        <v>7</v>
      </c>
      <c r="U386" s="27" t="s">
        <v>8</v>
      </c>
      <c r="V386" s="27" t="s">
        <v>7</v>
      </c>
      <c r="W386" s="27" t="s">
        <v>8</v>
      </c>
      <c r="AG386" s="27" t="s">
        <v>8</v>
      </c>
      <c r="AH386" s="27" t="s">
        <v>7</v>
      </c>
      <c r="AI386" s="27" t="s">
        <v>8</v>
      </c>
      <c r="AK386" s="27" t="s">
        <v>8</v>
      </c>
      <c r="AL386" s="27" t="s">
        <v>7</v>
      </c>
      <c r="AM386" s="27" t="s">
        <v>8</v>
      </c>
      <c r="AN386" s="27" t="s">
        <v>7</v>
      </c>
      <c r="AO386" s="27" t="s">
        <v>8</v>
      </c>
      <c r="AP386" s="27" t="s">
        <v>7</v>
      </c>
      <c r="AQ386" s="27" t="s">
        <v>8</v>
      </c>
      <c r="AR386" s="27" t="s">
        <v>7</v>
      </c>
      <c r="AS386" s="27" t="s">
        <v>8</v>
      </c>
      <c r="AT386" s="27" t="s">
        <v>7</v>
      </c>
      <c r="AU386" s="27" t="s">
        <v>8</v>
      </c>
    </row>
    <row r="387" spans="1:47" x14ac:dyDescent="0.25">
      <c r="A387" s="30">
        <v>7.5622401146454546E-4</v>
      </c>
      <c r="L387" s="27" t="s">
        <v>7</v>
      </c>
      <c r="M387" s="27" t="s">
        <v>8</v>
      </c>
      <c r="N387" s="27" t="s">
        <v>7</v>
      </c>
      <c r="O387" s="27" t="s">
        <v>8</v>
      </c>
      <c r="P387" s="27" t="s">
        <v>7</v>
      </c>
      <c r="Q387" s="27" t="s">
        <v>8</v>
      </c>
      <c r="R387" s="27" t="s">
        <v>7</v>
      </c>
      <c r="T387" s="27" t="s">
        <v>7</v>
      </c>
      <c r="U387" s="27" t="s">
        <v>8</v>
      </c>
      <c r="V387" s="27" t="s">
        <v>7</v>
      </c>
      <c r="W387" s="27" t="s">
        <v>8</v>
      </c>
      <c r="X387" s="27" t="s">
        <v>7</v>
      </c>
      <c r="Y387" s="27" t="s">
        <v>8</v>
      </c>
      <c r="AG387" s="27" t="s">
        <v>8</v>
      </c>
      <c r="AH387" s="27" t="s">
        <v>7</v>
      </c>
      <c r="AI387" s="27" t="s">
        <v>8</v>
      </c>
      <c r="AJ387" s="27" t="s">
        <v>7</v>
      </c>
      <c r="AK387" s="27" t="s">
        <v>8</v>
      </c>
      <c r="AL387" s="27" t="s">
        <v>7</v>
      </c>
      <c r="AM387" s="27" t="s">
        <v>8</v>
      </c>
      <c r="AN387" s="27" t="s">
        <v>7</v>
      </c>
      <c r="AO387" s="27" t="s">
        <v>8</v>
      </c>
      <c r="AP387" s="27" t="s">
        <v>7</v>
      </c>
      <c r="AQ387" s="27" t="s">
        <v>8</v>
      </c>
      <c r="AR387" s="27" t="s">
        <v>7</v>
      </c>
      <c r="AS387" s="27" t="s">
        <v>8</v>
      </c>
      <c r="AT387" s="27" t="s">
        <v>7</v>
      </c>
      <c r="AU387" s="27" t="s">
        <v>8</v>
      </c>
    </row>
    <row r="388" spans="1:47" x14ac:dyDescent="0.25">
      <c r="A388" s="30">
        <v>7.1841281089131816E-4</v>
      </c>
      <c r="L388" s="27" t="s">
        <v>7</v>
      </c>
      <c r="M388" s="27" t="s">
        <v>8</v>
      </c>
      <c r="N388" s="27" t="s">
        <v>7</v>
      </c>
      <c r="P388" s="27" t="s">
        <v>7</v>
      </c>
      <c r="T388" s="27" t="s">
        <v>7</v>
      </c>
      <c r="U388" s="27" t="s">
        <v>8</v>
      </c>
      <c r="V388" s="27" t="s">
        <v>7</v>
      </c>
      <c r="W388" s="27" t="s">
        <v>8</v>
      </c>
      <c r="X388" s="27" t="s">
        <v>7</v>
      </c>
      <c r="Y388" s="27" t="s">
        <v>8</v>
      </c>
      <c r="Z388" s="27" t="s">
        <v>7</v>
      </c>
      <c r="AC388" s="27" t="s">
        <v>8</v>
      </c>
      <c r="AE388" s="27" t="s">
        <v>8</v>
      </c>
      <c r="AG388" s="27" t="s">
        <v>8</v>
      </c>
      <c r="AH388" s="27" t="s">
        <v>7</v>
      </c>
      <c r="AI388" s="27" t="s">
        <v>8</v>
      </c>
      <c r="AJ388" s="27" t="s">
        <v>7</v>
      </c>
      <c r="AK388" s="27" t="s">
        <v>8</v>
      </c>
      <c r="AL388" s="27" t="s">
        <v>7</v>
      </c>
      <c r="AM388" s="27" t="s">
        <v>8</v>
      </c>
      <c r="AN388" s="27" t="s">
        <v>7</v>
      </c>
      <c r="AP388" s="27" t="s">
        <v>7</v>
      </c>
      <c r="AQ388" s="27" t="s">
        <v>8</v>
      </c>
      <c r="AR388" s="27" t="s">
        <v>7</v>
      </c>
      <c r="AS388" s="27" t="s">
        <v>8</v>
      </c>
      <c r="AT388" s="27" t="s">
        <v>7</v>
      </c>
    </row>
    <row r="389" spans="1:47" x14ac:dyDescent="0.25">
      <c r="A389" s="30">
        <v>6.8249217034675226E-4</v>
      </c>
      <c r="L389" s="27" t="s">
        <v>7</v>
      </c>
      <c r="M389" s="27" t="s">
        <v>8</v>
      </c>
      <c r="T389" s="27" t="s">
        <v>7</v>
      </c>
      <c r="U389" s="27" t="s">
        <v>8</v>
      </c>
      <c r="V389" s="27" t="s">
        <v>7</v>
      </c>
      <c r="W389" s="27" t="s">
        <v>8</v>
      </c>
      <c r="X389" s="27" t="s">
        <v>7</v>
      </c>
      <c r="Y389" s="27" t="s">
        <v>8</v>
      </c>
      <c r="Z389" s="27" t="s">
        <v>7</v>
      </c>
      <c r="AC389" s="27" t="s">
        <v>8</v>
      </c>
      <c r="AD389" s="27" t="s">
        <v>7</v>
      </c>
      <c r="AE389" s="27" t="s">
        <v>8</v>
      </c>
      <c r="AF389" s="27" t="s">
        <v>7</v>
      </c>
      <c r="AG389" s="27" t="s">
        <v>8</v>
      </c>
      <c r="AH389" s="27" t="s">
        <v>7</v>
      </c>
      <c r="AJ389" s="27" t="s">
        <v>7</v>
      </c>
      <c r="AK389" s="27" t="s">
        <v>8</v>
      </c>
      <c r="AL389" s="27" t="s">
        <v>7</v>
      </c>
      <c r="AP389" s="27" t="s">
        <v>7</v>
      </c>
      <c r="AQ389" s="27" t="s">
        <v>8</v>
      </c>
      <c r="AR389" s="27" t="s">
        <v>7</v>
      </c>
    </row>
    <row r="390" spans="1:47" x14ac:dyDescent="0.25">
      <c r="A390" s="30">
        <v>6.4836756182941465E-4</v>
      </c>
      <c r="L390" s="27" t="s">
        <v>7</v>
      </c>
      <c r="M390" s="27" t="s">
        <v>8</v>
      </c>
      <c r="T390" s="27" t="s">
        <v>7</v>
      </c>
      <c r="V390" s="27" t="s">
        <v>7</v>
      </c>
      <c r="W390" s="27" t="s">
        <v>8</v>
      </c>
      <c r="X390" s="27" t="s">
        <v>7</v>
      </c>
      <c r="Y390" s="27" t="s">
        <v>8</v>
      </c>
      <c r="Z390" s="27" t="s">
        <v>7</v>
      </c>
      <c r="AA390" s="27" t="s">
        <v>8</v>
      </c>
      <c r="AC390" s="27" t="s">
        <v>8</v>
      </c>
      <c r="AD390" s="27" t="s">
        <v>7</v>
      </c>
      <c r="AE390" s="27" t="s">
        <v>8</v>
      </c>
      <c r="AF390" s="27" t="s">
        <v>7</v>
      </c>
      <c r="AG390" s="27" t="s">
        <v>8</v>
      </c>
      <c r="AJ390" s="27" t="s">
        <v>7</v>
      </c>
      <c r="AP390" s="27" t="s">
        <v>7</v>
      </c>
    </row>
    <row r="391" spans="1:47" x14ac:dyDescent="0.25">
      <c r="A391" s="30">
        <v>6.1594918373794388E-4</v>
      </c>
      <c r="L391" s="27" t="s">
        <v>7</v>
      </c>
      <c r="V391" s="27" t="s">
        <v>7</v>
      </c>
      <c r="X391" s="27" t="s">
        <v>7</v>
      </c>
      <c r="Z391" s="27" t="s">
        <v>7</v>
      </c>
      <c r="AA391" s="27" t="s">
        <v>8</v>
      </c>
      <c r="AB391" s="27" t="s">
        <v>7</v>
      </c>
      <c r="AC391" s="27" t="s">
        <v>8</v>
      </c>
      <c r="AD391" s="27" t="s">
        <v>7</v>
      </c>
      <c r="AF391" s="27" t="s">
        <v>7</v>
      </c>
    </row>
    <row r="392" spans="1:47" x14ac:dyDescent="0.25">
      <c r="A392" s="30">
        <v>5.8515172455104666E-4</v>
      </c>
      <c r="Z392" s="27" t="s">
        <v>7</v>
      </c>
      <c r="AA392" s="27" t="s">
        <v>8</v>
      </c>
      <c r="AB392" s="27" t="s">
        <v>7</v>
      </c>
      <c r="AC392" s="27" t="s">
        <v>8</v>
      </c>
    </row>
    <row r="393" spans="1:47" x14ac:dyDescent="0.25">
      <c r="A393" s="30">
        <v>5.5589413832349429E-4</v>
      </c>
      <c r="Z393" s="27" t="s">
        <v>7</v>
      </c>
      <c r="AA393" s="27" t="s">
        <v>8</v>
      </c>
      <c r="AB393" s="27" t="s">
        <v>7</v>
      </c>
      <c r="AC393" s="27" t="s">
        <v>8</v>
      </c>
    </row>
    <row r="394" spans="1:47" x14ac:dyDescent="0.25">
      <c r="A394" s="30">
        <v>5.2809943140731956E-4</v>
      </c>
      <c r="Z394" s="27" t="s">
        <v>7</v>
      </c>
      <c r="AB394" s="27" t="s">
        <v>7</v>
      </c>
    </row>
    <row r="395" spans="1:47" x14ac:dyDescent="0.25">
      <c r="A395" s="30">
        <v>5.0169445983695357E-4</v>
      </c>
    </row>
    <row r="396" spans="1:47" x14ac:dyDescent="0.25">
      <c r="A396" s="30">
        <v>4.7660973684510589E-4</v>
      </c>
    </row>
    <row r="397" spans="1:47" x14ac:dyDescent="0.25">
      <c r="A397" s="30">
        <v>4.5277925000285056E-4</v>
      </c>
    </row>
    <row r="398" spans="1:47" x14ac:dyDescent="0.25">
      <c r="A398" s="30">
        <v>4.3014028750270803E-4</v>
      </c>
    </row>
    <row r="399" spans="1:47" x14ac:dyDescent="0.25">
      <c r="A399" s="30">
        <v>4.0863327312757263E-4</v>
      </c>
    </row>
    <row r="400" spans="1:47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80" operator="equal">
      <formula>$U$1</formula>
    </cfRule>
    <cfRule type="cellIs" dxfId="67" priority="981" operator="equal">
      <formula>$S$1</formula>
    </cfRule>
  </conditionalFormatting>
  <conditionalFormatting sqref="D136">
    <cfRule type="cellIs" dxfId="66" priority="978" operator="equal">
      <formula>$S$1</formula>
    </cfRule>
    <cfRule type="cellIs" dxfId="65" priority="979" operator="equal">
      <formula>$U$1</formula>
    </cfRule>
  </conditionalFormatting>
  <conditionalFormatting sqref="C162">
    <cfRule type="cellIs" dxfId="64" priority="976" operator="equal">
      <formula>$U$1</formula>
    </cfRule>
    <cfRule type="cellIs" dxfId="63" priority="977" operator="equal">
      <formula>$S$1</formula>
    </cfRule>
  </conditionalFormatting>
  <conditionalFormatting sqref="D162">
    <cfRule type="cellIs" dxfId="62" priority="974" operator="equal">
      <formula>$S$1</formula>
    </cfRule>
    <cfRule type="cellIs" dxfId="61" priority="975" operator="equal">
      <formula>$U$1</formula>
    </cfRule>
  </conditionalFormatting>
  <conditionalFormatting sqref="C187">
    <cfRule type="cellIs" dxfId="60" priority="972" operator="equal">
      <formula>$U$1</formula>
    </cfRule>
    <cfRule type="cellIs" dxfId="59" priority="973" operator="equal">
      <formula>$S$1</formula>
    </cfRule>
  </conditionalFormatting>
  <conditionalFormatting sqref="D187">
    <cfRule type="cellIs" dxfId="58" priority="970" operator="equal">
      <formula>$S$1</formula>
    </cfRule>
    <cfRule type="cellIs" dxfId="57" priority="971" operator="equal">
      <formula>$U$1</formula>
    </cfRule>
  </conditionalFormatting>
  <conditionalFormatting sqref="C212">
    <cfRule type="cellIs" dxfId="56" priority="968" operator="equal">
      <formula>$U$1</formula>
    </cfRule>
    <cfRule type="cellIs" dxfId="55" priority="969" operator="equal">
      <formula>$S$1</formula>
    </cfRule>
  </conditionalFormatting>
  <conditionalFormatting sqref="D212">
    <cfRule type="cellIs" dxfId="54" priority="966" operator="equal">
      <formula>$S$1</formula>
    </cfRule>
    <cfRule type="cellIs" dxfId="53" priority="967" operator="equal">
      <formula>$U$1</formula>
    </cfRule>
  </conditionalFormatting>
  <conditionalFormatting sqref="C237">
    <cfRule type="cellIs" dxfId="52" priority="964" operator="equal">
      <formula>$U$1</formula>
    </cfRule>
    <cfRule type="cellIs" dxfId="51" priority="965" operator="equal">
      <formula>$S$1</formula>
    </cfRule>
  </conditionalFormatting>
  <conditionalFormatting sqref="D237">
    <cfRule type="cellIs" dxfId="50" priority="962" operator="equal">
      <formula>$S$1</formula>
    </cfRule>
    <cfRule type="cellIs" dxfId="49" priority="963" operator="equal">
      <formula>$U$1</formula>
    </cfRule>
  </conditionalFormatting>
  <conditionalFormatting sqref="C106">
    <cfRule type="cellIs" dxfId="48" priority="960" operator="equal">
      <formula>$U$1</formula>
    </cfRule>
    <cfRule type="cellIs" dxfId="47" priority="961" operator="equal">
      <formula>$S$1</formula>
    </cfRule>
  </conditionalFormatting>
  <conditionalFormatting sqref="D106">
    <cfRule type="cellIs" dxfId="46" priority="958" operator="equal">
      <formula>$S$1</formula>
    </cfRule>
    <cfRule type="cellIs" dxfId="45" priority="959" operator="equal">
      <formula>$U$1</formula>
    </cfRule>
  </conditionalFormatting>
  <conditionalFormatting sqref="C81">
    <cfRule type="cellIs" dxfId="44" priority="956" operator="equal">
      <formula>$U$1</formula>
    </cfRule>
    <cfRule type="cellIs" dxfId="43" priority="957" operator="equal">
      <formula>$S$1</formula>
    </cfRule>
  </conditionalFormatting>
  <conditionalFormatting sqref="D81">
    <cfRule type="cellIs" dxfId="42" priority="954" operator="equal">
      <formula>$S$1</formula>
    </cfRule>
    <cfRule type="cellIs" dxfId="41" priority="955" operator="equal">
      <formula>$U$1</formula>
    </cfRule>
  </conditionalFormatting>
  <conditionalFormatting sqref="C56">
    <cfRule type="cellIs" dxfId="40" priority="952" operator="equal">
      <formula>$U$1</formula>
    </cfRule>
    <cfRule type="cellIs" dxfId="39" priority="953" operator="equal">
      <formula>$S$1</formula>
    </cfRule>
  </conditionalFormatting>
  <conditionalFormatting sqref="D56">
    <cfRule type="cellIs" dxfId="38" priority="950" operator="equal">
      <formula>$S$1</formula>
    </cfRule>
    <cfRule type="cellIs" dxfId="37" priority="951" operator="equal">
      <formula>$U$1</formula>
    </cfRule>
  </conditionalFormatting>
  <conditionalFormatting sqref="C31">
    <cfRule type="cellIs" dxfId="36" priority="948" operator="equal">
      <formula>$U$1</formula>
    </cfRule>
    <cfRule type="cellIs" dxfId="35" priority="949" operator="equal">
      <formula>$S$1</formula>
    </cfRule>
  </conditionalFormatting>
  <conditionalFormatting sqref="D31">
    <cfRule type="cellIs" dxfId="34" priority="946" operator="equal">
      <formula>$S$1</formula>
    </cfRule>
    <cfRule type="cellIs" dxfId="33" priority="94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L181" sqref="BL18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$A$180</v>
      </c>
      <c r="D111" s="1" t="str">
        <f>ADDRESS(C121-1,D121,1,1)</f>
        <v>$BL$180</v>
      </c>
      <c r="E111"/>
    </row>
    <row r="112" spans="1:5" x14ac:dyDescent="0.25">
      <c r="A112" s="30">
        <v>2.3579476910000019</v>
      </c>
      <c r="C112" s="1" t="str">
        <f>ADDRESS(C121,1,1,1)</f>
        <v>$A$181</v>
      </c>
      <c r="D112" s="1" t="str">
        <f>ADDRESS(C121,D121-1,1,1)</f>
        <v>$BK$181</v>
      </c>
      <c r="E112"/>
    </row>
    <row r="113" spans="1:6" x14ac:dyDescent="0.25">
      <c r="A113" s="30">
        <v>2.1435888100000016</v>
      </c>
      <c r="C113" s="1" t="str">
        <f>ADDRESS(C121+1,1,1,1)</f>
        <v>$A$182</v>
      </c>
      <c r="D113" s="1" t="str">
        <f>ADDRESS(C121-1,D121+1,1,1)</f>
        <v>$BM$180</v>
      </c>
    </row>
    <row r="114" spans="1:6" x14ac:dyDescent="0.25">
      <c r="A114" s="30">
        <v>1.9487171000000014</v>
      </c>
      <c r="C114" s="1" t="str">
        <f>ADDRESS(C121,D121,1,1)</f>
        <v>$BL$181</v>
      </c>
      <c r="D114" s="1" t="str">
        <f>ADDRESS(C121+1,D121+1,1,1)</f>
        <v>$BM$182</v>
      </c>
    </row>
    <row r="115" spans="1:6" x14ac:dyDescent="0.25">
      <c r="A115" s="30">
        <v>1.7715610000000011</v>
      </c>
      <c r="C115" s="1" t="str">
        <f>ADDRESS(C121+1,D121,1,1)</f>
        <v>$BL$182</v>
      </c>
    </row>
    <row r="116" spans="1:6" x14ac:dyDescent="0.25">
      <c r="A116" s="30">
        <v>1.6105100000000008</v>
      </c>
      <c r="C116" s="1">
        <f>C117-1</f>
        <v>180</v>
      </c>
    </row>
    <row r="117" spans="1:6" x14ac:dyDescent="0.25">
      <c r="A117" s="30">
        <v>1.4641000000000006</v>
      </c>
      <c r="C117" s="1">
        <f>C121</f>
        <v>181</v>
      </c>
      <c r="D117" s="1">
        <f>D121</f>
        <v>64</v>
      </c>
    </row>
    <row r="118" spans="1:6" x14ac:dyDescent="0.25">
      <c r="A118" s="30">
        <v>1.3310000000000004</v>
      </c>
      <c r="C118" s="1">
        <f>C117+1</f>
        <v>182</v>
      </c>
      <c r="D118" s="1">
        <f>D117+1</f>
        <v>65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181</v>
      </c>
      <c r="D121" s="19">
        <v>64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R181</v>
      </c>
      <c r="D123" s="1" t="str">
        <f>"C"&amp;D121</f>
        <v>C64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3.2842702814727962E-3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39" x14ac:dyDescent="0.25">
      <c r="A145" s="30">
        <v>0.10152559799477026</v>
      </c>
      <c r="B145"/>
      <c r="C145"/>
      <c r="D145"/>
      <c r="E145"/>
      <c r="F145" s="27" t="s">
        <v>7</v>
      </c>
    </row>
    <row r="146" spans="1:39" x14ac:dyDescent="0.25">
      <c r="A146" s="30">
        <v>9.2295998177063854E-2</v>
      </c>
      <c r="B146"/>
      <c r="C146"/>
      <c r="D146"/>
      <c r="E146"/>
      <c r="F146" s="27" t="s">
        <v>7</v>
      </c>
    </row>
    <row r="147" spans="1:39" x14ac:dyDescent="0.25">
      <c r="A147" s="30">
        <v>8.3905452888239848E-2</v>
      </c>
      <c r="B147"/>
      <c r="C147"/>
      <c r="D147"/>
      <c r="E147"/>
      <c r="F147" s="27" t="s">
        <v>7</v>
      </c>
    </row>
    <row r="148" spans="1:39" x14ac:dyDescent="0.25">
      <c r="A148" s="30">
        <v>7.6277684443854396E-2</v>
      </c>
      <c r="B148"/>
      <c r="C148"/>
      <c r="D148"/>
      <c r="E148"/>
      <c r="F148" s="27" t="s">
        <v>7</v>
      </c>
    </row>
    <row r="149" spans="1:39" x14ac:dyDescent="0.25">
      <c r="A149" s="30">
        <v>6.9343349494413078E-2</v>
      </c>
      <c r="B149"/>
      <c r="C149"/>
      <c r="D149"/>
      <c r="E149"/>
      <c r="F149" s="27" t="s">
        <v>7</v>
      </c>
    </row>
    <row r="150" spans="1:39" x14ac:dyDescent="0.25">
      <c r="A150" s="30">
        <v>6.3039408631284613E-2</v>
      </c>
      <c r="B150"/>
      <c r="C150"/>
      <c r="D150"/>
      <c r="E150"/>
      <c r="F150" s="27" t="s">
        <v>7</v>
      </c>
    </row>
    <row r="151" spans="1:39" x14ac:dyDescent="0.25">
      <c r="A151" s="30">
        <v>5.7308553301167818E-2</v>
      </c>
      <c r="B151"/>
      <c r="C151"/>
      <c r="D151"/>
      <c r="E151"/>
      <c r="F151" s="27" t="s">
        <v>7</v>
      </c>
    </row>
    <row r="152" spans="1:39" x14ac:dyDescent="0.25">
      <c r="A152" s="30">
        <v>5.2098684819243464E-2</v>
      </c>
      <c r="B152"/>
      <c r="C152"/>
      <c r="D152"/>
      <c r="E152"/>
      <c r="F152" s="27" t="s">
        <v>7</v>
      </c>
    </row>
    <row r="153" spans="1:39" x14ac:dyDescent="0.25">
      <c r="A153" s="30">
        <v>4.7362440744766775E-2</v>
      </c>
      <c r="B153"/>
      <c r="C153"/>
      <c r="D153"/>
      <c r="E153"/>
      <c r="F153" s="27" t="s">
        <v>7</v>
      </c>
    </row>
    <row r="154" spans="1:39" x14ac:dyDescent="0.25">
      <c r="A154" s="30">
        <v>4.3056764313424332E-2</v>
      </c>
      <c r="B154"/>
      <c r="C154"/>
      <c r="D154"/>
      <c r="E154"/>
      <c r="F154" s="27" t="s">
        <v>7</v>
      </c>
    </row>
    <row r="155" spans="1:39" x14ac:dyDescent="0.25">
      <c r="A155" s="30">
        <v>3.9142513012203929E-2</v>
      </c>
      <c r="B155"/>
      <c r="C155"/>
      <c r="D155"/>
      <c r="E155"/>
      <c r="F155" s="27" t="s">
        <v>7</v>
      </c>
    </row>
    <row r="156" spans="1:39" x14ac:dyDescent="0.25">
      <c r="A156" s="30">
        <v>3.55841027383672E-2</v>
      </c>
      <c r="B156"/>
      <c r="C156"/>
      <c r="D156"/>
      <c r="E156"/>
      <c r="F156" s="27" t="s">
        <v>7</v>
      </c>
    </row>
    <row r="157" spans="1:39" x14ac:dyDescent="0.25">
      <c r="A157" s="30">
        <v>3.2349184307606541E-2</v>
      </c>
      <c r="B157"/>
      <c r="C157"/>
      <c r="D157"/>
      <c r="E157"/>
      <c r="F157" s="27" t="s">
        <v>7</v>
      </c>
    </row>
    <row r="158" spans="1:39" x14ac:dyDescent="0.25">
      <c r="A158" s="30">
        <v>2.9408349370551395E-2</v>
      </c>
      <c r="B158"/>
      <c r="C158"/>
      <c r="D158"/>
      <c r="E158"/>
      <c r="F158" s="27" t="s">
        <v>7</v>
      </c>
    </row>
    <row r="159" spans="1:39" x14ac:dyDescent="0.25">
      <c r="A159" s="30">
        <v>2.6734863064137627E-2</v>
      </c>
      <c r="B159"/>
      <c r="C159"/>
      <c r="D159"/>
      <c r="E159"/>
      <c r="F159" s="27" t="s">
        <v>7</v>
      </c>
      <c r="AK159" s="27" t="s">
        <v>8</v>
      </c>
    </row>
    <row r="160" spans="1:39" x14ac:dyDescent="0.25">
      <c r="A160" s="30">
        <v>2.4304420967397839E-2</v>
      </c>
      <c r="B160"/>
      <c r="C160"/>
      <c r="D160"/>
      <c r="E160"/>
      <c r="F160" s="27" t="s">
        <v>7</v>
      </c>
      <c r="AI160" s="27" t="s">
        <v>8</v>
      </c>
      <c r="AK160" s="27" t="s">
        <v>8</v>
      </c>
      <c r="AL160" s="27" t="s">
        <v>7</v>
      </c>
      <c r="AM160" s="27" t="s">
        <v>8</v>
      </c>
    </row>
    <row r="161" spans="1:64" x14ac:dyDescent="0.25">
      <c r="A161" s="30">
        <v>2.2094928152179852E-2</v>
      </c>
      <c r="B161"/>
      <c r="C161"/>
      <c r="D161"/>
      <c r="E161"/>
      <c r="F161" s="27" t="s">
        <v>7</v>
      </c>
      <c r="AI161" s="27" t="s">
        <v>8</v>
      </c>
      <c r="AJ161" s="27" t="s">
        <v>7</v>
      </c>
      <c r="AK161" s="27" t="s">
        <v>8</v>
      </c>
      <c r="AL161" s="27" t="s">
        <v>7</v>
      </c>
      <c r="AM161" s="27" t="s">
        <v>8</v>
      </c>
      <c r="AN161" s="27" t="s">
        <v>7</v>
      </c>
    </row>
    <row r="162" spans="1:64" x14ac:dyDescent="0.25">
      <c r="A162" s="30">
        <v>2.0086298320163499E-2</v>
      </c>
      <c r="B162"/>
      <c r="C162"/>
      <c r="D162"/>
      <c r="E162"/>
      <c r="F162" s="27" t="s">
        <v>7</v>
      </c>
      <c r="AI162" s="27" t="s">
        <v>8</v>
      </c>
      <c r="AJ162" s="27" t="s">
        <v>7</v>
      </c>
      <c r="AK162" s="27" t="s">
        <v>8</v>
      </c>
      <c r="AL162" s="27" t="s">
        <v>7</v>
      </c>
      <c r="AM162" s="27" t="s">
        <v>8</v>
      </c>
      <c r="AN162" s="27" t="s">
        <v>7</v>
      </c>
      <c r="AO162" s="27" t="s">
        <v>8</v>
      </c>
    </row>
    <row r="163" spans="1:64" x14ac:dyDescent="0.25">
      <c r="A163" s="30">
        <v>1.8260271200148632E-2</v>
      </c>
      <c r="B163"/>
      <c r="C163"/>
      <c r="D163"/>
      <c r="E163"/>
      <c r="F163" s="27" t="s">
        <v>7</v>
      </c>
      <c r="AI163" s="27" t="s">
        <v>8</v>
      </c>
      <c r="AJ163" s="27" t="s">
        <v>7</v>
      </c>
      <c r="AK163" s="27" t="s">
        <v>8</v>
      </c>
      <c r="AL163" s="27" t="s">
        <v>7</v>
      </c>
      <c r="AN163" s="27" t="s">
        <v>7</v>
      </c>
      <c r="AO163" s="27" t="s">
        <v>8</v>
      </c>
      <c r="AP163" s="27" t="s">
        <v>7</v>
      </c>
    </row>
    <row r="164" spans="1:64" x14ac:dyDescent="0.25">
      <c r="A164" s="30">
        <v>1.6600246545589663E-2</v>
      </c>
      <c r="B164"/>
      <c r="C164"/>
      <c r="D164"/>
      <c r="E164"/>
      <c r="F164" s="27" t="s">
        <v>7</v>
      </c>
      <c r="AI164" s="27" t="s">
        <v>8</v>
      </c>
      <c r="AJ164" s="27" t="s">
        <v>7</v>
      </c>
      <c r="AK164" s="27" t="s">
        <v>8</v>
      </c>
      <c r="AN164" s="27" t="s">
        <v>7</v>
      </c>
      <c r="AO164" s="27" t="s">
        <v>8</v>
      </c>
      <c r="AP164" s="27" t="s">
        <v>7</v>
      </c>
      <c r="AY164" s="27" t="s">
        <v>8</v>
      </c>
    </row>
    <row r="165" spans="1:64" x14ac:dyDescent="0.25">
      <c r="A165" s="30">
        <v>1.5091133223263328E-2</v>
      </c>
      <c r="B165"/>
      <c r="C165"/>
      <c r="D165"/>
      <c r="E165"/>
      <c r="F165" s="27" t="s">
        <v>7</v>
      </c>
      <c r="AI165" s="27" t="s">
        <v>8</v>
      </c>
      <c r="AJ165" s="27" t="s">
        <v>7</v>
      </c>
      <c r="AK165" s="27" t="s">
        <v>8</v>
      </c>
      <c r="AN165" s="27" t="s">
        <v>7</v>
      </c>
      <c r="AO165" s="27" t="s">
        <v>8</v>
      </c>
      <c r="AP165" s="27" t="s">
        <v>7</v>
      </c>
      <c r="AU165" s="27" t="s">
        <v>8</v>
      </c>
      <c r="AY165" s="27" t="s">
        <v>8</v>
      </c>
      <c r="AZ165" s="27" t="s">
        <v>7</v>
      </c>
    </row>
    <row r="166" spans="1:64" x14ac:dyDescent="0.25">
      <c r="A166" s="30">
        <v>1.3719212021148477E-2</v>
      </c>
      <c r="B166"/>
      <c r="C166"/>
      <c r="D166"/>
      <c r="E166"/>
      <c r="F166" s="27" t="s">
        <v>7</v>
      </c>
      <c r="AI166" s="27" t="s">
        <v>8</v>
      </c>
      <c r="AJ166" s="27" t="s">
        <v>7</v>
      </c>
      <c r="AN166" s="27" t="s">
        <v>7</v>
      </c>
      <c r="AO166" s="27" t="s">
        <v>8</v>
      </c>
      <c r="AP166" s="27" t="s">
        <v>7</v>
      </c>
      <c r="AQ166" s="27" t="s">
        <v>8</v>
      </c>
      <c r="AU166" s="27" t="s">
        <v>8</v>
      </c>
      <c r="AV166" s="27" t="s">
        <v>7</v>
      </c>
      <c r="AY166" s="27" t="s">
        <v>8</v>
      </c>
      <c r="AZ166" s="27" t="s">
        <v>7</v>
      </c>
    </row>
    <row r="167" spans="1:64" x14ac:dyDescent="0.25">
      <c r="A167" s="30">
        <v>1.2472010928316795E-2</v>
      </c>
      <c r="B167"/>
      <c r="C167"/>
      <c r="D167"/>
      <c r="E167"/>
      <c r="F167" s="27" t="s">
        <v>7</v>
      </c>
      <c r="AI167" s="27" t="s">
        <v>8</v>
      </c>
      <c r="AN167" s="27" t="s">
        <v>7</v>
      </c>
      <c r="AP167" s="27" t="s">
        <v>7</v>
      </c>
      <c r="AQ167" s="27" t="s">
        <v>8</v>
      </c>
      <c r="AR167" s="27" t="s">
        <v>7</v>
      </c>
      <c r="AU167" s="27" t="s">
        <v>8</v>
      </c>
      <c r="AV167" s="27" t="s">
        <v>7</v>
      </c>
      <c r="AY167" s="27" t="s">
        <v>8</v>
      </c>
      <c r="AZ167" s="27" t="s">
        <v>7</v>
      </c>
      <c r="BE167" s="27" t="s">
        <v>8</v>
      </c>
      <c r="BG167" s="27" t="s">
        <v>8</v>
      </c>
    </row>
    <row r="168" spans="1:64" x14ac:dyDescent="0.25">
      <c r="A168" s="30">
        <v>1.1338191753015267E-2</v>
      </c>
      <c r="B168"/>
      <c r="C168"/>
      <c r="D168"/>
      <c r="E168"/>
      <c r="F168" s="27" t="s">
        <v>7</v>
      </c>
      <c r="AI168" s="27" t="s">
        <v>8</v>
      </c>
      <c r="AP168" s="27" t="s">
        <v>7</v>
      </c>
      <c r="AQ168" s="27" t="s">
        <v>8</v>
      </c>
      <c r="AR168" s="27" t="s">
        <v>7</v>
      </c>
      <c r="AU168" s="27" t="s">
        <v>8</v>
      </c>
      <c r="AV168" s="27" t="s">
        <v>7</v>
      </c>
      <c r="AY168" s="27" t="s">
        <v>8</v>
      </c>
      <c r="AZ168" s="27" t="s">
        <v>7</v>
      </c>
      <c r="BC168" s="27" t="s">
        <v>8</v>
      </c>
      <c r="BE168" s="27" t="s">
        <v>8</v>
      </c>
      <c r="BF168" s="27" t="s">
        <v>7</v>
      </c>
      <c r="BG168" s="27" t="s">
        <v>8</v>
      </c>
      <c r="BH168" s="27" t="s">
        <v>7</v>
      </c>
    </row>
    <row r="169" spans="1:64" x14ac:dyDescent="0.25">
      <c r="A169" s="30">
        <v>1.0307447048195697E-2</v>
      </c>
      <c r="B169"/>
      <c r="C169"/>
      <c r="D169"/>
      <c r="E169"/>
      <c r="F169" s="27" t="s">
        <v>7</v>
      </c>
      <c r="AI169" s="27" t="s">
        <v>8</v>
      </c>
      <c r="AP169" s="27" t="s">
        <v>7</v>
      </c>
      <c r="AQ169" s="27" t="s">
        <v>8</v>
      </c>
      <c r="AR169" s="27" t="s">
        <v>7</v>
      </c>
      <c r="AS169" s="27" t="s">
        <v>8</v>
      </c>
      <c r="AU169" s="27" t="s">
        <v>8</v>
      </c>
      <c r="AV169" s="27" t="s">
        <v>7</v>
      </c>
      <c r="AY169" s="27" t="s">
        <v>8</v>
      </c>
      <c r="AZ169" s="27" t="s">
        <v>7</v>
      </c>
      <c r="BA169" s="27" t="s">
        <v>8</v>
      </c>
      <c r="BC169" s="27" t="s">
        <v>8</v>
      </c>
      <c r="BD169" s="27" t="s">
        <v>7</v>
      </c>
      <c r="BE169" s="27" t="s">
        <v>8</v>
      </c>
      <c r="BF169" s="27" t="s">
        <v>7</v>
      </c>
      <c r="BG169" s="27" t="s">
        <v>8</v>
      </c>
      <c r="BH169" s="27" t="s">
        <v>7</v>
      </c>
    </row>
    <row r="170" spans="1:64" x14ac:dyDescent="0.25">
      <c r="A170" s="30">
        <v>9.3704064074506318E-3</v>
      </c>
      <c r="B170"/>
      <c r="C170"/>
      <c r="D170"/>
      <c r="E170"/>
      <c r="F170" s="27" t="s">
        <v>7</v>
      </c>
      <c r="AI170" s="27" t="s">
        <v>8</v>
      </c>
      <c r="AP170" s="27" t="s">
        <v>7</v>
      </c>
      <c r="AQ170" s="27" t="s">
        <v>8</v>
      </c>
      <c r="AR170" s="27" t="s">
        <v>7</v>
      </c>
      <c r="AS170" s="27" t="s">
        <v>8</v>
      </c>
      <c r="AT170" s="27" t="s">
        <v>7</v>
      </c>
      <c r="AU170" s="27" t="s">
        <v>8</v>
      </c>
      <c r="AV170" s="27" t="s">
        <v>7</v>
      </c>
      <c r="AY170" s="27" t="s">
        <v>8</v>
      </c>
      <c r="AZ170" s="27" t="s">
        <v>7</v>
      </c>
      <c r="BA170" s="27" t="s">
        <v>8</v>
      </c>
      <c r="BB170" s="27" t="s">
        <v>7</v>
      </c>
      <c r="BC170" s="27" t="s">
        <v>8</v>
      </c>
      <c r="BD170" s="27" t="s">
        <v>7</v>
      </c>
      <c r="BE170" s="27" t="s">
        <v>8</v>
      </c>
      <c r="BF170" s="27" t="s">
        <v>7</v>
      </c>
      <c r="BG170" s="27" t="s">
        <v>8</v>
      </c>
      <c r="BH170" s="27" t="s">
        <v>7</v>
      </c>
      <c r="BK170" s="27" t="s">
        <v>8</v>
      </c>
    </row>
    <row r="171" spans="1:64" x14ac:dyDescent="0.25">
      <c r="A171" s="30">
        <v>8.5185512795005747E-3</v>
      </c>
      <c r="F171" s="27" t="s">
        <v>7</v>
      </c>
      <c r="AA171" s="27" t="s">
        <v>8</v>
      </c>
      <c r="AI171" s="27" t="s">
        <v>8</v>
      </c>
      <c r="AP171" s="27" t="s">
        <v>7</v>
      </c>
      <c r="AQ171" s="27" t="s">
        <v>8</v>
      </c>
      <c r="AR171" s="27" t="s">
        <v>7</v>
      </c>
      <c r="AS171" s="27" t="s">
        <v>8</v>
      </c>
      <c r="AT171" s="27" t="s">
        <v>7</v>
      </c>
      <c r="AU171" s="27" t="s">
        <v>8</v>
      </c>
      <c r="AV171" s="27" t="s">
        <v>7</v>
      </c>
      <c r="AY171" s="27" t="s">
        <v>8</v>
      </c>
      <c r="AZ171" s="27" t="s">
        <v>7</v>
      </c>
      <c r="BA171" s="27" t="s">
        <v>8</v>
      </c>
      <c r="BB171" s="27" t="s">
        <v>7</v>
      </c>
      <c r="BC171" s="27" t="s">
        <v>8</v>
      </c>
      <c r="BD171" s="27" t="s">
        <v>7</v>
      </c>
      <c r="BF171" s="27" t="s">
        <v>7</v>
      </c>
      <c r="BH171" s="27" t="s">
        <v>7</v>
      </c>
      <c r="BK171" s="27" t="s">
        <v>8</v>
      </c>
      <c r="BL171" s="27" t="s">
        <v>7</v>
      </c>
    </row>
    <row r="172" spans="1:64" x14ac:dyDescent="0.25">
      <c r="A172" s="30">
        <v>7.744137526818704E-3</v>
      </c>
      <c r="F172" s="27" t="s">
        <v>7</v>
      </c>
      <c r="AA172" s="27" t="s">
        <v>8</v>
      </c>
      <c r="AB172" s="27" t="s">
        <v>7</v>
      </c>
      <c r="AI172" s="27" t="s">
        <v>8</v>
      </c>
      <c r="AP172" s="27" t="s">
        <v>7</v>
      </c>
      <c r="AQ172" s="27" t="s">
        <v>8</v>
      </c>
      <c r="AR172" s="27" t="s">
        <v>7</v>
      </c>
      <c r="AS172" s="27" t="s">
        <v>8</v>
      </c>
      <c r="AT172" s="27" t="s">
        <v>7</v>
      </c>
      <c r="AV172" s="27" t="s">
        <v>7</v>
      </c>
      <c r="AY172" s="27" t="s">
        <v>8</v>
      </c>
      <c r="AZ172" s="27" t="s">
        <v>7</v>
      </c>
      <c r="BA172" s="27" t="s">
        <v>8</v>
      </c>
      <c r="BB172" s="27" t="s">
        <v>7</v>
      </c>
      <c r="BH172" s="27" t="s">
        <v>7</v>
      </c>
      <c r="BK172" s="27" t="s">
        <v>8</v>
      </c>
      <c r="BL172" s="27" t="s">
        <v>7</v>
      </c>
    </row>
    <row r="173" spans="1:64" x14ac:dyDescent="0.25">
      <c r="A173" s="30">
        <v>7.0401250243806394E-3</v>
      </c>
      <c r="F173" s="27" t="s">
        <v>7</v>
      </c>
      <c r="AA173" s="27" t="s">
        <v>8</v>
      </c>
      <c r="AB173" s="27" t="s">
        <v>7</v>
      </c>
      <c r="AC173" s="27" t="s">
        <v>8</v>
      </c>
      <c r="AG173" s="27" t="s">
        <v>8</v>
      </c>
      <c r="AI173" s="27" t="s">
        <v>8</v>
      </c>
      <c r="AP173" s="27" t="s">
        <v>7</v>
      </c>
      <c r="AQ173" s="27" t="s">
        <v>8</v>
      </c>
      <c r="AR173" s="27" t="s">
        <v>7</v>
      </c>
      <c r="AV173" s="27" t="s">
        <v>7</v>
      </c>
      <c r="AW173" s="27" t="s">
        <v>8</v>
      </c>
      <c r="AY173" s="27" t="s">
        <v>8</v>
      </c>
      <c r="AZ173" s="27" t="s">
        <v>7</v>
      </c>
      <c r="BH173" s="27" t="s">
        <v>7</v>
      </c>
      <c r="BI173" s="27" t="s">
        <v>8</v>
      </c>
      <c r="BK173" s="27" t="s">
        <v>8</v>
      </c>
      <c r="BL173" s="27" t="s">
        <v>7</v>
      </c>
    </row>
    <row r="174" spans="1:64" x14ac:dyDescent="0.25">
      <c r="A174" s="30">
        <v>6.4001136585278536E-3</v>
      </c>
      <c r="F174" s="27" t="s">
        <v>7</v>
      </c>
      <c r="AA174" s="27" t="s">
        <v>8</v>
      </c>
      <c r="AB174" s="27" t="s">
        <v>7</v>
      </c>
      <c r="AC174" s="27" t="s">
        <v>8</v>
      </c>
      <c r="AD174" s="27" t="s">
        <v>7</v>
      </c>
      <c r="AG174" s="27" t="s">
        <v>8</v>
      </c>
      <c r="AH174" s="27" t="s">
        <v>7</v>
      </c>
      <c r="AI174" s="27" t="s">
        <v>8</v>
      </c>
      <c r="AP174" s="27" t="s">
        <v>7</v>
      </c>
      <c r="AQ174" s="27" t="s">
        <v>8</v>
      </c>
      <c r="AV174" s="27" t="s">
        <v>7</v>
      </c>
      <c r="AW174" s="27" t="s">
        <v>8</v>
      </c>
      <c r="AX174" s="27" t="s">
        <v>7</v>
      </c>
      <c r="AY174" s="27" t="s">
        <v>8</v>
      </c>
      <c r="BH174" s="27" t="s">
        <v>7</v>
      </c>
      <c r="BI174" s="27" t="s">
        <v>8</v>
      </c>
      <c r="BJ174" s="27" t="s">
        <v>7</v>
      </c>
      <c r="BK174" s="27" t="s">
        <v>8</v>
      </c>
      <c r="BL174" s="27" t="s">
        <v>7</v>
      </c>
    </row>
    <row r="175" spans="1:64" x14ac:dyDescent="0.25">
      <c r="A175" s="30">
        <v>5.8182851441162305E-3</v>
      </c>
      <c r="F175" s="27" t="s">
        <v>7</v>
      </c>
      <c r="AA175" s="27" t="s">
        <v>8</v>
      </c>
      <c r="AB175" s="27" t="s">
        <v>7</v>
      </c>
      <c r="AC175" s="27" t="s">
        <v>8</v>
      </c>
      <c r="AD175" s="27" t="s">
        <v>7</v>
      </c>
      <c r="AG175" s="27" t="s">
        <v>8</v>
      </c>
      <c r="AH175" s="27" t="s">
        <v>7</v>
      </c>
      <c r="AI175" s="27" t="s">
        <v>8</v>
      </c>
      <c r="AP175" s="27" t="s">
        <v>7</v>
      </c>
      <c r="AV175" s="27" t="s">
        <v>7</v>
      </c>
      <c r="AW175" s="27" t="s">
        <v>8</v>
      </c>
      <c r="AX175" s="27" t="s">
        <v>7</v>
      </c>
      <c r="AY175" s="27" t="s">
        <v>8</v>
      </c>
      <c r="BH175" s="27" t="s">
        <v>7</v>
      </c>
      <c r="BI175" s="27" t="s">
        <v>8</v>
      </c>
      <c r="BJ175" s="27" t="s">
        <v>7</v>
      </c>
      <c r="BK175" s="27" t="s">
        <v>8</v>
      </c>
      <c r="BL175" s="27" t="s">
        <v>7</v>
      </c>
    </row>
    <row r="176" spans="1:64" x14ac:dyDescent="0.25">
      <c r="A176" s="30">
        <v>5.2893501310147546E-3</v>
      </c>
      <c r="F176" s="27" t="s">
        <v>7</v>
      </c>
      <c r="AA176" s="27" t="s">
        <v>8</v>
      </c>
      <c r="AB176" s="27" t="s">
        <v>7</v>
      </c>
      <c r="AD176" s="27" t="s">
        <v>7</v>
      </c>
      <c r="AE176" s="27" t="s">
        <v>8</v>
      </c>
      <c r="AG176" s="27" t="s">
        <v>8</v>
      </c>
      <c r="AH176" s="27" t="s">
        <v>7</v>
      </c>
      <c r="AV176" s="27" t="s">
        <v>7</v>
      </c>
      <c r="AW176" s="27" t="s">
        <v>8</v>
      </c>
      <c r="AX176" s="27" t="s">
        <v>7</v>
      </c>
      <c r="AY176" s="27" t="s">
        <v>8</v>
      </c>
      <c r="BH176" s="27" t="s">
        <v>7</v>
      </c>
      <c r="BJ176" s="27" t="s">
        <v>7</v>
      </c>
      <c r="BL176" s="27" t="s">
        <v>7</v>
      </c>
    </row>
    <row r="177" spans="1:64" x14ac:dyDescent="0.25">
      <c r="A177" s="30">
        <v>4.8085001191043222E-3</v>
      </c>
      <c r="F177" s="27" t="s">
        <v>7</v>
      </c>
      <c r="AA177" s="27" t="s">
        <v>8</v>
      </c>
      <c r="AD177" s="27" t="s">
        <v>7</v>
      </c>
      <c r="AE177" s="27" t="s">
        <v>8</v>
      </c>
      <c r="AF177" s="27" t="s">
        <v>7</v>
      </c>
      <c r="AG177" s="27" t="s">
        <v>8</v>
      </c>
      <c r="AV177" s="27" t="s">
        <v>7</v>
      </c>
      <c r="AW177" s="27" t="s">
        <v>8</v>
      </c>
      <c r="AX177" s="18" t="s">
        <v>7</v>
      </c>
      <c r="AY177" s="27" t="s">
        <v>8</v>
      </c>
      <c r="BL177" s="27" t="s">
        <v>7</v>
      </c>
    </row>
    <row r="178" spans="1:64" x14ac:dyDescent="0.25">
      <c r="A178" s="30">
        <v>4.3713637446402926E-3</v>
      </c>
      <c r="F178" s="27" t="s">
        <v>7</v>
      </c>
      <c r="AA178" s="27" t="s">
        <v>8</v>
      </c>
      <c r="AD178" s="27" t="s">
        <v>7</v>
      </c>
      <c r="AE178" s="27" t="s">
        <v>8</v>
      </c>
      <c r="AF178" s="27" t="s">
        <v>7</v>
      </c>
      <c r="AG178" s="27" t="s">
        <v>8</v>
      </c>
      <c r="AV178" s="27" t="s">
        <v>7</v>
      </c>
      <c r="AX178" s="27" t="s">
        <v>7</v>
      </c>
      <c r="BL178" s="27" t="s">
        <v>7</v>
      </c>
    </row>
    <row r="179" spans="1:64" x14ac:dyDescent="0.25">
      <c r="A179" s="30">
        <v>3.9739670405820838E-3</v>
      </c>
      <c r="F179" s="27" t="s">
        <v>7</v>
      </c>
      <c r="AA179" s="27" t="s">
        <v>8</v>
      </c>
      <c r="AD179" s="27" t="s">
        <v>7</v>
      </c>
      <c r="AF179" s="27" t="s">
        <v>7</v>
      </c>
      <c r="BL179" s="27" t="s">
        <v>7</v>
      </c>
    </row>
    <row r="180" spans="1:64" x14ac:dyDescent="0.25">
      <c r="A180" s="30">
        <v>3.6126973096200759E-3</v>
      </c>
      <c r="F180" s="27" t="s">
        <v>7</v>
      </c>
      <c r="Y180" s="27" t="s">
        <v>8</v>
      </c>
      <c r="AA180" s="27" t="s">
        <v>8</v>
      </c>
      <c r="BL180" s="27" t="s">
        <v>7</v>
      </c>
    </row>
    <row r="181" spans="1:64" x14ac:dyDescent="0.25">
      <c r="A181" s="30">
        <v>3.2842702814727962E-3</v>
      </c>
      <c r="F181" s="27" t="s">
        <v>7</v>
      </c>
      <c r="Y181" s="27" t="s">
        <v>8</v>
      </c>
      <c r="Z181" s="27" t="s">
        <v>7</v>
      </c>
      <c r="AA181" s="27" t="s">
        <v>8</v>
      </c>
      <c r="BL181" s="27" t="s">
        <v>7</v>
      </c>
    </row>
    <row r="182" spans="1:64" x14ac:dyDescent="0.25">
      <c r="A182" s="30">
        <v>2.9857002558843601E-3</v>
      </c>
      <c r="F182" s="27" t="s">
        <v>7</v>
      </c>
      <c r="Y182" s="27" t="s">
        <v>8</v>
      </c>
      <c r="Z182" s="27" t="s">
        <v>7</v>
      </c>
      <c r="AA182" s="27" t="s">
        <v>8</v>
      </c>
    </row>
    <row r="183" spans="1:64" x14ac:dyDescent="0.25">
      <c r="A183" s="30">
        <v>2.7142729598948726E-3</v>
      </c>
      <c r="F183" s="27" t="s">
        <v>7</v>
      </c>
      <c r="Y183" s="27" t="s">
        <v>8</v>
      </c>
      <c r="Z183" s="27" t="s">
        <v>7</v>
      </c>
    </row>
    <row r="184" spans="1:64" x14ac:dyDescent="0.25">
      <c r="A184" s="30">
        <v>2.4675208726317021E-3</v>
      </c>
      <c r="F184" s="27" t="s">
        <v>7</v>
      </c>
      <c r="G184" s="27" t="s">
        <v>8</v>
      </c>
      <c r="Y184" s="27" t="s">
        <v>8</v>
      </c>
    </row>
    <row r="185" spans="1:64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Y185" s="27" t="s">
        <v>8</v>
      </c>
    </row>
    <row r="186" spans="1:64" x14ac:dyDescent="0.25">
      <c r="A186" s="30">
        <v>2.0392734484559519E-3</v>
      </c>
      <c r="F186" s="27" t="s">
        <v>7</v>
      </c>
      <c r="G186" s="27" t="s">
        <v>8</v>
      </c>
      <c r="H186" s="27" t="s">
        <v>7</v>
      </c>
      <c r="U186" s="27" t="s">
        <v>8</v>
      </c>
      <c r="Y186" s="27" t="s">
        <v>8</v>
      </c>
    </row>
    <row r="187" spans="1:64" x14ac:dyDescent="0.25">
      <c r="A187" s="30">
        <v>1.8538849531417744E-3</v>
      </c>
      <c r="F187" s="27" t="s">
        <v>7</v>
      </c>
      <c r="G187" s="27" t="s">
        <v>8</v>
      </c>
      <c r="H187" s="27" t="s">
        <v>7</v>
      </c>
      <c r="U187" s="27" t="s">
        <v>8</v>
      </c>
      <c r="V187" s="27" t="s">
        <v>7</v>
      </c>
      <c r="W187" s="27" t="s">
        <v>8</v>
      </c>
      <c r="Y187" s="27" t="s">
        <v>8</v>
      </c>
    </row>
    <row r="188" spans="1:64" x14ac:dyDescent="0.25">
      <c r="A188" s="30">
        <v>1.6853499574016129E-3</v>
      </c>
      <c r="F188" s="27" t="s">
        <v>7</v>
      </c>
      <c r="G188" s="27" t="s">
        <v>8</v>
      </c>
      <c r="H188" s="27" t="s">
        <v>7</v>
      </c>
      <c r="U188" s="27" t="s">
        <v>8</v>
      </c>
      <c r="V188" s="27" t="s">
        <v>7</v>
      </c>
      <c r="W188" s="27" t="s">
        <v>8</v>
      </c>
      <c r="X188" s="27" t="s">
        <v>7</v>
      </c>
      <c r="Y188" s="27" t="s">
        <v>8</v>
      </c>
    </row>
    <row r="189" spans="1:64" x14ac:dyDescent="0.25">
      <c r="A189" s="30">
        <v>1.5321363249105571E-3</v>
      </c>
      <c r="F189" s="27" t="s">
        <v>7</v>
      </c>
      <c r="G189" s="27" t="s">
        <v>8</v>
      </c>
      <c r="H189" s="27" t="s">
        <v>7</v>
      </c>
      <c r="U189" s="27" t="s">
        <v>8</v>
      </c>
      <c r="V189" s="27" t="s">
        <v>7</v>
      </c>
      <c r="W189" s="27" t="s">
        <v>8</v>
      </c>
      <c r="X189" s="27" t="s">
        <v>7</v>
      </c>
      <c r="Y189" s="27" t="s">
        <v>8</v>
      </c>
    </row>
    <row r="190" spans="1:64" x14ac:dyDescent="0.25">
      <c r="A190" s="30">
        <v>1.3928512044641427E-3</v>
      </c>
      <c r="F190" s="27" t="s">
        <v>7</v>
      </c>
      <c r="G190" s="27" t="s">
        <v>8</v>
      </c>
      <c r="H190" s="27" t="s">
        <v>7</v>
      </c>
      <c r="U190" s="27" t="s">
        <v>8</v>
      </c>
      <c r="V190" s="27" t="s">
        <v>7</v>
      </c>
      <c r="W190" s="27" t="s">
        <v>8</v>
      </c>
      <c r="X190" s="27" t="s">
        <v>7</v>
      </c>
    </row>
    <row r="191" spans="1:64" x14ac:dyDescent="0.25">
      <c r="A191" s="30">
        <v>1.2662283676946752E-3</v>
      </c>
      <c r="F191" s="27" t="s">
        <v>7</v>
      </c>
      <c r="H191" s="27" t="s">
        <v>7</v>
      </c>
      <c r="U191" s="27" t="s">
        <v>8</v>
      </c>
      <c r="V191" s="27" t="s">
        <v>7</v>
      </c>
      <c r="W191" s="27" t="s">
        <v>8</v>
      </c>
    </row>
    <row r="192" spans="1:64" x14ac:dyDescent="0.25">
      <c r="A192" s="30">
        <v>1.15111669790425E-3</v>
      </c>
      <c r="H192" s="27" t="s">
        <v>7</v>
      </c>
      <c r="U192" s="27" t="s">
        <v>8</v>
      </c>
      <c r="V192" s="27" t="s">
        <v>7</v>
      </c>
    </row>
    <row r="193" spans="1:21" x14ac:dyDescent="0.25">
      <c r="A193" s="30">
        <v>1.0464697253675E-3</v>
      </c>
      <c r="H193" s="27" t="s">
        <v>7</v>
      </c>
      <c r="I193" s="27" t="s">
        <v>8</v>
      </c>
      <c r="Q193" s="27" t="s">
        <v>8</v>
      </c>
      <c r="U193" s="27" t="s">
        <v>8</v>
      </c>
    </row>
    <row r="194" spans="1:21" x14ac:dyDescent="0.25">
      <c r="A194" s="30">
        <v>9.5133611397045449E-4</v>
      </c>
      <c r="H194" s="27" t="s">
        <v>7</v>
      </c>
      <c r="I194" s="27" t="s">
        <v>8</v>
      </c>
      <c r="J194" s="27" t="s">
        <v>7</v>
      </c>
      <c r="K194" s="27" t="s">
        <v>8</v>
      </c>
      <c r="O194" s="27" t="s">
        <v>8</v>
      </c>
      <c r="Q194" s="27" t="s">
        <v>8</v>
      </c>
      <c r="R194" s="27" t="s">
        <v>7</v>
      </c>
      <c r="S194" s="27" t="s">
        <v>8</v>
      </c>
      <c r="U194" s="27" t="s">
        <v>8</v>
      </c>
    </row>
    <row r="195" spans="1:21" x14ac:dyDescent="0.25">
      <c r="A195" s="30">
        <v>8.6485101270041313E-4</v>
      </c>
      <c r="H195" s="27" t="s">
        <v>7</v>
      </c>
      <c r="I195" s="27" t="s">
        <v>8</v>
      </c>
      <c r="J195" s="27" t="s">
        <v>7</v>
      </c>
      <c r="K195" s="27" t="s">
        <v>8</v>
      </c>
      <c r="L195" s="27" t="s">
        <v>7</v>
      </c>
      <c r="M195" s="27" t="s">
        <v>8</v>
      </c>
      <c r="O195" s="27" t="s">
        <v>8</v>
      </c>
      <c r="P195" s="27" t="s">
        <v>7</v>
      </c>
      <c r="Q195" s="27" t="s">
        <v>8</v>
      </c>
      <c r="R195" s="27" t="s">
        <v>7</v>
      </c>
      <c r="S195" s="27" t="s">
        <v>8</v>
      </c>
      <c r="T195" s="27" t="s">
        <v>7</v>
      </c>
      <c r="U195" s="27" t="s">
        <v>8</v>
      </c>
    </row>
    <row r="196" spans="1:21" x14ac:dyDescent="0.25">
      <c r="A196" s="30">
        <v>7.862281933640119E-4</v>
      </c>
      <c r="H196" s="27" t="s">
        <v>7</v>
      </c>
      <c r="I196" s="27" t="s">
        <v>8</v>
      </c>
      <c r="J196" s="27" t="s">
        <v>7</v>
      </c>
      <c r="K196" s="27" t="s">
        <v>8</v>
      </c>
      <c r="L196" s="27" t="s">
        <v>7</v>
      </c>
      <c r="M196" s="27" t="s">
        <v>8</v>
      </c>
      <c r="N196" s="27" t="s">
        <v>7</v>
      </c>
      <c r="O196" s="27" t="s">
        <v>8</v>
      </c>
      <c r="P196" s="27" t="s">
        <v>7</v>
      </c>
      <c r="Q196" s="27" t="s">
        <v>8</v>
      </c>
      <c r="R196" s="27" t="s">
        <v>7</v>
      </c>
      <c r="S196" s="27" t="s">
        <v>8</v>
      </c>
      <c r="T196" s="27" t="s">
        <v>7</v>
      </c>
      <c r="U196" s="27" t="s">
        <v>8</v>
      </c>
    </row>
    <row r="197" spans="1:21" x14ac:dyDescent="0.25">
      <c r="A197" s="30">
        <v>7.0760537402761068E-4</v>
      </c>
      <c r="H197" s="27" t="s">
        <v>7</v>
      </c>
      <c r="I197" s="27" t="s">
        <v>8</v>
      </c>
      <c r="J197" s="27" t="s">
        <v>7</v>
      </c>
      <c r="L197" s="27" t="s">
        <v>7</v>
      </c>
      <c r="M197" s="27" t="s">
        <v>8</v>
      </c>
      <c r="N197" s="27" t="s">
        <v>7</v>
      </c>
      <c r="O197" s="27" t="s">
        <v>8</v>
      </c>
      <c r="P197" s="27" t="s">
        <v>7</v>
      </c>
      <c r="R197" s="27" t="s">
        <v>7</v>
      </c>
      <c r="S197" s="27" t="s">
        <v>8</v>
      </c>
      <c r="T197" s="27" t="s">
        <v>7</v>
      </c>
    </row>
    <row r="198" spans="1:21" x14ac:dyDescent="0.25">
      <c r="A198" s="30">
        <v>6.368448366248496E-4</v>
      </c>
      <c r="H198" s="27" t="s">
        <v>7</v>
      </c>
      <c r="L198" s="27" t="s">
        <v>7</v>
      </c>
      <c r="M198" s="27" t="s">
        <v>8</v>
      </c>
      <c r="N198" s="27" t="s">
        <v>7</v>
      </c>
      <c r="R198" s="27" t="s">
        <v>7</v>
      </c>
    </row>
    <row r="199" spans="1:21" x14ac:dyDescent="0.25">
      <c r="A199" s="30">
        <v>5.7316035296236471E-4</v>
      </c>
      <c r="L199" s="27" t="s">
        <v>7</v>
      </c>
      <c r="M199" s="27" t="s">
        <v>8</v>
      </c>
    </row>
    <row r="200" spans="1:21" x14ac:dyDescent="0.25">
      <c r="A200" s="30">
        <v>5.1584431766612821E-4</v>
      </c>
      <c r="L200" s="27" t="s">
        <v>7</v>
      </c>
    </row>
    <row r="201" spans="1:21" x14ac:dyDescent="0.25">
      <c r="A201" s="30">
        <v>4.6425988589951538E-4</v>
      </c>
    </row>
    <row r="202" spans="1:21" x14ac:dyDescent="0.25">
      <c r="A202" s="30">
        <v>4.1783389730956383E-4</v>
      </c>
    </row>
    <row r="203" spans="1:21" x14ac:dyDescent="0.25">
      <c r="A203" s="30">
        <v>3.7605050757860746E-4</v>
      </c>
    </row>
    <row r="204" spans="1:21" x14ac:dyDescent="0.25">
      <c r="A204" s="30">
        <v>3.3844545682074675E-4</v>
      </c>
    </row>
    <row r="205" spans="1:21" x14ac:dyDescent="0.25">
      <c r="A205" s="30">
        <v>3.0460091113867208E-4</v>
      </c>
    </row>
    <row r="206" spans="1:21" x14ac:dyDescent="0.25">
      <c r="A206" s="30">
        <v>2.7414082002480487E-4</v>
      </c>
    </row>
    <row r="207" spans="1:21" x14ac:dyDescent="0.25">
      <c r="A207" s="30">
        <v>2.4672673802232442E-4</v>
      </c>
    </row>
    <row r="208" spans="1:2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64" operator="equal">
      <formula>$U$1</formula>
    </cfRule>
    <cfRule type="cellIs" dxfId="30" priority="965" operator="equal">
      <formula>$S$1</formula>
    </cfRule>
  </conditionalFormatting>
  <conditionalFormatting sqref="D136">
    <cfRule type="cellIs" dxfId="29" priority="962" operator="equal">
      <formula>$S$1</formula>
    </cfRule>
    <cfRule type="cellIs" dxfId="28" priority="963" operator="equal">
      <formula>$U$1</formula>
    </cfRule>
  </conditionalFormatting>
  <conditionalFormatting sqref="C102">
    <cfRule type="cellIs" dxfId="27" priority="960" operator="equal">
      <formula>$U$1</formula>
    </cfRule>
    <cfRule type="cellIs" dxfId="26" priority="961" operator="equal">
      <formula>$S$1</formula>
    </cfRule>
  </conditionalFormatting>
  <conditionalFormatting sqref="D102">
    <cfRule type="cellIs" dxfId="25" priority="958" operator="equal">
      <formula>$S$1</formula>
    </cfRule>
    <cfRule type="cellIs" dxfId="24" priority="959" operator="equal">
      <formula>$U$1</formula>
    </cfRule>
  </conditionalFormatting>
  <conditionalFormatting sqref="C77">
    <cfRule type="cellIs" dxfId="23" priority="956" operator="equal">
      <formula>$U$1</formula>
    </cfRule>
    <cfRule type="cellIs" dxfId="22" priority="957" operator="equal">
      <formula>$S$1</formula>
    </cfRule>
  </conditionalFormatting>
  <conditionalFormatting sqref="D77">
    <cfRule type="cellIs" dxfId="21" priority="954" operator="equal">
      <formula>$S$1</formula>
    </cfRule>
    <cfRule type="cellIs" dxfId="20" priority="955" operator="equal">
      <formula>$U$1</formula>
    </cfRule>
  </conditionalFormatting>
  <conditionalFormatting sqref="C52">
    <cfRule type="cellIs" dxfId="19" priority="952" operator="equal">
      <formula>$U$1</formula>
    </cfRule>
    <cfRule type="cellIs" dxfId="18" priority="953" operator="equal">
      <formula>$S$1</formula>
    </cfRule>
  </conditionalFormatting>
  <conditionalFormatting sqref="D52">
    <cfRule type="cellIs" dxfId="17" priority="950" operator="equal">
      <formula>$S$1</formula>
    </cfRule>
    <cfRule type="cellIs" dxfId="16" priority="951" operator="equal">
      <formula>$U$1</formula>
    </cfRule>
  </conditionalFormatting>
  <conditionalFormatting sqref="C26">
    <cfRule type="cellIs" dxfId="15" priority="948" operator="equal">
      <formula>$U$1</formula>
    </cfRule>
    <cfRule type="cellIs" dxfId="14" priority="949" operator="equal">
      <formula>$S$1</formula>
    </cfRule>
  </conditionalFormatting>
  <conditionalFormatting sqref="D26">
    <cfRule type="cellIs" dxfId="13" priority="946" operator="equal">
      <formula>$S$1</formula>
    </cfRule>
    <cfRule type="cellIs" dxfId="12" priority="94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2022-01-28T01:22:53Z</dcterms:modified>
</cp:coreProperties>
</file>