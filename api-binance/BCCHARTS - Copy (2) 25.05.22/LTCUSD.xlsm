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E5ACC49-B4CF-4849-B281-D7E636334BC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5"/>
  <c r="C116" i="4"/>
  <c r="C122" i="4"/>
  <c r="C133" i="4" s="1"/>
  <c r="C136" i="4" s="1"/>
  <c r="R1194" i="1"/>
  <c r="C122" i="3"/>
  <c r="C133" i="3" s="1"/>
  <c r="C136" i="3" s="1"/>
  <c r="C116" i="3"/>
  <c r="C118" i="3"/>
  <c r="C136" i="5" l="1"/>
  <c r="C138" i="5" s="1"/>
  <c r="D136" i="4"/>
  <c r="C138" i="4" s="1"/>
  <c r="R1193" i="1"/>
  <c r="S1194" i="1"/>
  <c r="T1194" i="1" s="1"/>
  <c r="D136" i="3"/>
  <c r="C138" i="3" s="1"/>
  <c r="S1193" i="1" l="1"/>
  <c r="T1193" i="1" s="1"/>
  <c r="R1192" i="1"/>
  <c r="R1191" i="1" l="1"/>
  <c r="S1192" i="1"/>
  <c r="T1192" i="1" s="1"/>
  <c r="R1190" i="1" l="1"/>
  <c r="S1191" i="1"/>
  <c r="T1191" i="1" s="1"/>
  <c r="R1189" i="1" l="1"/>
  <c r="S1190" i="1"/>
  <c r="T1190" i="1" s="1"/>
  <c r="S1189" i="1" l="1"/>
  <c r="T1189" i="1" s="1"/>
  <c r="R1188" i="1"/>
  <c r="S1188" i="1" l="1"/>
  <c r="T1188" i="1" s="1"/>
  <c r="R1187" i="1"/>
  <c r="R1186" i="1" l="1"/>
  <c r="S1187" i="1"/>
  <c r="T1187" i="1" s="1"/>
  <c r="S1186" i="1" l="1"/>
  <c r="T1186" i="1" s="1"/>
  <c r="R1185" i="1"/>
  <c r="S1185" i="1" l="1"/>
  <c r="T1185" i="1" s="1"/>
  <c r="R1184" i="1"/>
  <c r="S1184" i="1" l="1"/>
  <c r="T1184" i="1" s="1"/>
  <c r="R1183" i="1"/>
  <c r="R1182" i="1" l="1"/>
  <c r="S1183" i="1"/>
  <c r="T1183" i="1" s="1"/>
  <c r="S1182" i="1" l="1"/>
  <c r="T1182" i="1" s="1"/>
  <c r="R1181" i="1"/>
  <c r="S1181" i="1" l="1"/>
  <c r="T1181" i="1" s="1"/>
  <c r="R1180" i="1"/>
  <c r="R1179" i="1" l="1"/>
  <c r="S1180" i="1"/>
  <c r="T1180" i="1" s="1"/>
  <c r="S1179" i="1" l="1"/>
  <c r="T1179" i="1" s="1"/>
  <c r="R1178" i="1"/>
  <c r="S1178" i="1" l="1"/>
  <c r="T1178" i="1" s="1"/>
  <c r="R1177" i="1"/>
  <c r="R1176" i="1" l="1"/>
  <c r="S1177" i="1"/>
  <c r="T1177" i="1" s="1"/>
  <c r="R1175" i="1" l="1"/>
  <c r="S1176" i="1"/>
  <c r="T1176" i="1" s="1"/>
  <c r="S1175" i="1" l="1"/>
  <c r="T1175" i="1" s="1"/>
  <c r="R1174" i="1"/>
  <c r="R1173" i="1" l="1"/>
  <c r="S1174" i="1"/>
  <c r="T1174" i="1" s="1"/>
  <c r="R1172" i="1" l="1"/>
  <c r="S1173" i="1"/>
  <c r="T1173" i="1" s="1"/>
  <c r="S1172" i="1" l="1"/>
  <c r="T1172" i="1" s="1"/>
  <c r="R1171" i="1"/>
  <c r="S1171" i="1" l="1"/>
  <c r="T1171" i="1" s="1"/>
  <c r="R1170" i="1"/>
  <c r="S1170" i="1" l="1"/>
  <c r="T1170" i="1" s="1"/>
  <c r="R1169" i="1"/>
  <c r="R1168" i="1" l="1"/>
  <c r="S1169" i="1"/>
  <c r="T1169" i="1" s="1"/>
  <c r="R1167" i="1" l="1"/>
  <c r="S1168" i="1"/>
  <c r="T1168" i="1" s="1"/>
  <c r="S1167" i="1" l="1"/>
  <c r="T1167" i="1" s="1"/>
  <c r="R1166" i="1"/>
  <c r="S1166" i="1" l="1"/>
  <c r="T1166" i="1" s="1"/>
  <c r="R1165" i="1"/>
  <c r="R1164" i="1" l="1"/>
  <c r="S1165" i="1"/>
  <c r="T1165" i="1" s="1"/>
  <c r="R1163" i="1" l="1"/>
  <c r="S1164" i="1"/>
  <c r="T1164" i="1" s="1"/>
  <c r="S1163" i="1" l="1"/>
  <c r="T1163" i="1" s="1"/>
  <c r="R1162" i="1"/>
  <c r="S1162" i="1" l="1"/>
  <c r="T1162" i="1" s="1"/>
  <c r="R1161" i="1"/>
  <c r="R1160" i="1" l="1"/>
  <c r="S1161" i="1"/>
  <c r="T1161" i="1" s="1"/>
  <c r="S1160" i="1" l="1"/>
  <c r="T1160" i="1" s="1"/>
  <c r="R1159" i="1"/>
  <c r="S1159" i="1" l="1"/>
  <c r="T1159" i="1" s="1"/>
  <c r="R1158" i="1"/>
  <c r="R1157" i="1" l="1"/>
  <c r="S1158" i="1"/>
  <c r="T1158" i="1" s="1"/>
  <c r="R1156" i="1" l="1"/>
  <c r="S1157" i="1"/>
  <c r="T1157" i="1" s="1"/>
  <c r="S1156" i="1" l="1"/>
  <c r="T1156" i="1" s="1"/>
  <c r="R1155" i="1"/>
  <c r="S1155" i="1" l="1"/>
  <c r="T1155" i="1" s="1"/>
  <c r="R1154" i="1"/>
  <c r="R1153" i="1" l="1"/>
  <c r="S1154" i="1"/>
  <c r="T1154" i="1" s="1"/>
  <c r="R1152" i="1" l="1"/>
  <c r="S1153" i="1"/>
  <c r="T1153" i="1" s="1"/>
  <c r="S1152" i="1" l="1"/>
  <c r="T1152" i="1" s="1"/>
  <c r="R1151" i="1"/>
  <c r="S1151" i="1" l="1"/>
  <c r="T1151" i="1" s="1"/>
  <c r="R1150" i="1"/>
  <c r="R1149" i="1" l="1"/>
  <c r="S1150" i="1"/>
  <c r="T1150" i="1" s="1"/>
  <c r="R1148" i="1" l="1"/>
  <c r="S1149" i="1"/>
  <c r="T1149" i="1" s="1"/>
  <c r="S1148" i="1" l="1"/>
  <c r="T1148" i="1" s="1"/>
  <c r="R1147" i="1"/>
  <c r="S1147" i="1" l="1"/>
  <c r="T1147" i="1" s="1"/>
  <c r="R1146" i="1"/>
  <c r="R1145" i="1" l="1"/>
  <c r="S1146" i="1"/>
  <c r="T1146" i="1" s="1"/>
  <c r="R1144" i="1" l="1"/>
  <c r="S1145" i="1"/>
  <c r="T1145" i="1" s="1"/>
  <c r="S1144" i="1" l="1"/>
  <c r="T1144" i="1" s="1"/>
  <c r="R1143" i="1"/>
  <c r="S1143" i="1" l="1"/>
  <c r="T1143" i="1" s="1"/>
  <c r="R1142" i="1"/>
  <c r="R1141" i="1" l="1"/>
  <c r="S1142" i="1"/>
  <c r="T1142" i="1" s="1"/>
  <c r="R1140" i="1" l="1"/>
  <c r="S1141" i="1"/>
  <c r="T1141" i="1" s="1"/>
  <c r="S1140" i="1" l="1"/>
  <c r="T1140" i="1" s="1"/>
  <c r="R1139" i="1"/>
  <c r="R1138" i="1" l="1"/>
  <c r="S1139" i="1"/>
  <c r="T1139" i="1" s="1"/>
  <c r="R1137" i="1" l="1"/>
  <c r="S1138" i="1"/>
  <c r="T1138" i="1" s="1"/>
  <c r="S1137" i="1" l="1"/>
  <c r="T1137" i="1" s="1"/>
  <c r="R1136" i="1"/>
  <c r="R1135" i="1" l="1"/>
  <c r="S1136" i="1"/>
  <c r="T1136" i="1" s="1"/>
  <c r="R1134" i="1" l="1"/>
  <c r="S1135" i="1"/>
  <c r="T1135" i="1" s="1"/>
  <c r="S1134" i="1" l="1"/>
  <c r="T1134" i="1" s="1"/>
  <c r="R1133" i="1"/>
  <c r="S1133" i="1" l="1"/>
  <c r="T1133" i="1" s="1"/>
  <c r="R1132" i="1"/>
  <c r="R1131" i="1" l="1"/>
  <c r="S1132" i="1"/>
  <c r="T1132" i="1" s="1"/>
  <c r="S1131" i="1" l="1"/>
  <c r="T1131" i="1" s="1"/>
  <c r="R1130" i="1"/>
  <c r="R1129" i="1" l="1"/>
  <c r="S1130" i="1"/>
  <c r="T1130" i="1" s="1"/>
  <c r="R1128" i="1" l="1"/>
  <c r="S1129" i="1"/>
  <c r="T1129" i="1" s="1"/>
  <c r="S1128" i="1" l="1"/>
  <c r="T1128" i="1" s="1"/>
  <c r="R1127" i="1"/>
  <c r="R1126" i="1" l="1"/>
  <c r="S1127" i="1"/>
  <c r="T1127" i="1" s="1"/>
  <c r="R1125" i="1" l="1"/>
  <c r="S1126" i="1"/>
  <c r="T1126" i="1" s="1"/>
  <c r="S1125" i="1" l="1"/>
  <c r="T1125" i="1" s="1"/>
  <c r="R1124" i="1"/>
  <c r="S1124" i="1" l="1"/>
  <c r="T1124" i="1" s="1"/>
  <c r="R1123" i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S1119" i="1" l="1"/>
  <c r="T1119" i="1" s="1"/>
  <c r="R1118" i="1"/>
  <c r="S1118" i="1" l="1"/>
  <c r="T1118" i="1" s="1"/>
  <c r="R1117" i="1"/>
  <c r="R1116" i="1" l="1"/>
  <c r="S1117" i="1"/>
  <c r="T1117" i="1" s="1"/>
  <c r="R1115" i="1" l="1"/>
  <c r="S1116" i="1"/>
  <c r="T1116" i="1" s="1"/>
  <c r="S1115" i="1" l="1"/>
  <c r="T1115" i="1" s="1"/>
  <c r="R1114" i="1"/>
  <c r="S1114" i="1" l="1"/>
  <c r="T1114" i="1" s="1"/>
  <c r="R1113" i="1"/>
  <c r="R1112" i="1" l="1"/>
  <c r="S1113" i="1"/>
  <c r="T1113" i="1" s="1"/>
  <c r="R1111" i="1" l="1"/>
  <c r="S1112" i="1"/>
  <c r="T1112" i="1" s="1"/>
  <c r="S1111" i="1" l="1"/>
  <c r="T1111" i="1" s="1"/>
  <c r="R1110" i="1"/>
  <c r="S1110" i="1" l="1"/>
  <c r="T1110" i="1" s="1"/>
  <c r="R1109" i="1"/>
  <c r="R1108" i="1" l="1"/>
  <c r="S1109" i="1"/>
  <c r="T1109" i="1" s="1"/>
  <c r="R1107" i="1" l="1"/>
  <c r="S1108" i="1"/>
  <c r="T1108" i="1" s="1"/>
  <c r="S1107" i="1" l="1"/>
  <c r="T1107" i="1" s="1"/>
  <c r="R1106" i="1"/>
  <c r="S1106" i="1" l="1"/>
  <c r="T1106" i="1" s="1"/>
  <c r="R1105" i="1"/>
  <c r="R1104" i="1" l="1"/>
  <c r="S1105" i="1"/>
  <c r="T1105" i="1" s="1"/>
  <c r="R1103" i="1" l="1"/>
  <c r="S1104" i="1"/>
  <c r="T1104" i="1" s="1"/>
  <c r="S1103" i="1" l="1"/>
  <c r="T1103" i="1" s="1"/>
  <c r="R1102" i="1"/>
  <c r="S1102" i="1" l="1"/>
  <c r="T1102" i="1" s="1"/>
  <c r="R1101" i="1"/>
  <c r="R1100" i="1" l="1"/>
  <c r="S1101" i="1"/>
  <c r="T1101" i="1" s="1"/>
  <c r="R1099" i="1" l="1"/>
  <c r="S1100" i="1"/>
  <c r="T1100" i="1" s="1"/>
  <c r="S1099" i="1" l="1"/>
  <c r="T1099" i="1" s="1"/>
  <c r="R1098" i="1"/>
  <c r="S1098" i="1" l="1"/>
  <c r="T1098" i="1" s="1"/>
  <c r="R1097" i="1"/>
  <c r="R1096" i="1" l="1"/>
  <c r="S1097" i="1"/>
  <c r="T1097" i="1" s="1"/>
  <c r="R1095" i="1" l="1"/>
  <c r="S1096" i="1"/>
  <c r="T1096" i="1" s="1"/>
  <c r="S1095" i="1" l="1"/>
  <c r="T1095" i="1" s="1"/>
  <c r="R1094" i="1"/>
  <c r="R1093" i="1" l="1"/>
  <c r="S1094" i="1"/>
  <c r="T1094" i="1" s="1"/>
  <c r="R1092" i="1" l="1"/>
  <c r="S1093" i="1"/>
  <c r="T1093" i="1" s="1"/>
  <c r="S1092" i="1" l="1"/>
  <c r="T1092" i="1" s="1"/>
  <c r="R1091" i="1"/>
  <c r="S1091" i="1" l="1"/>
  <c r="T1091" i="1" s="1"/>
  <c r="R1090" i="1"/>
  <c r="R1089" i="1" l="1"/>
  <c r="S1090" i="1"/>
  <c r="T1090" i="1" s="1"/>
  <c r="R1088" i="1" l="1"/>
  <c r="S1089" i="1"/>
  <c r="T1089" i="1" s="1"/>
  <c r="S1088" i="1" l="1"/>
  <c r="T1088" i="1" s="1"/>
  <c r="R1087" i="1"/>
  <c r="S1087" i="1" l="1"/>
  <c r="T1087" i="1" s="1"/>
  <c r="R1086" i="1"/>
  <c r="R1085" i="1" l="1"/>
  <c r="S1086" i="1"/>
  <c r="T1086" i="1" s="1"/>
  <c r="R1084" i="1" l="1"/>
  <c r="S1085" i="1"/>
  <c r="T1085" i="1" s="1"/>
  <c r="S1084" i="1" l="1"/>
  <c r="T1084" i="1" s="1"/>
  <c r="R1083" i="1"/>
  <c r="R1082" i="1" l="1"/>
  <c r="S1083" i="1"/>
  <c r="T1083" i="1" s="1"/>
  <c r="R1081" i="1" l="1"/>
  <c r="S1082" i="1"/>
  <c r="T1082" i="1" s="1"/>
  <c r="S1081" i="1" l="1"/>
  <c r="T1081" i="1" s="1"/>
  <c r="R1080" i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S1074" i="1" l="1"/>
  <c r="T1074" i="1" s="1"/>
  <c r="R1073" i="1"/>
  <c r="R1072" i="1" l="1"/>
  <c r="S1073" i="1"/>
  <c r="T1073" i="1" s="1"/>
  <c r="R1071" i="1" l="1"/>
  <c r="S1072" i="1"/>
  <c r="T1072" i="1" s="1"/>
  <c r="S1071" i="1" l="1"/>
  <c r="T1071" i="1" s="1"/>
  <c r="R1070" i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S1065" i="1" l="1"/>
  <c r="T1065" i="1" s="1"/>
  <c r="R1064" i="1"/>
  <c r="R1063" i="1" l="1"/>
  <c r="S1064" i="1"/>
  <c r="T1064" i="1" s="1"/>
  <c r="R1062" i="1" l="1"/>
  <c r="S1063" i="1"/>
  <c r="T1063" i="1" s="1"/>
  <c r="S1062" i="1" l="1"/>
  <c r="T1062" i="1" s="1"/>
  <c r="R1061" i="1"/>
  <c r="S1061" i="1" l="1"/>
  <c r="T1061" i="1" s="1"/>
  <c r="R1060" i="1"/>
  <c r="R1059" i="1" l="1"/>
  <c r="S1060" i="1"/>
  <c r="T1060" i="1" s="1"/>
  <c r="R1058" i="1" l="1"/>
  <c r="S1059" i="1"/>
  <c r="T1059" i="1" s="1"/>
  <c r="S1058" i="1" l="1"/>
  <c r="T1058" i="1" s="1"/>
  <c r="R1057" i="1"/>
  <c r="S1057" i="1" l="1"/>
  <c r="T1057" i="1" s="1"/>
  <c r="R1056" i="1"/>
  <c r="S1056" i="1" l="1"/>
  <c r="T1056" i="1" s="1"/>
  <c r="R1055" i="1"/>
  <c r="R1054" i="1" l="1"/>
  <c r="S1055" i="1"/>
  <c r="T1055" i="1" s="1"/>
  <c r="R1053" i="1" l="1"/>
  <c r="S1054" i="1"/>
  <c r="T1054" i="1" s="1"/>
  <c r="R1052" i="1" l="1"/>
  <c r="S1053" i="1"/>
  <c r="T1053" i="1" s="1"/>
  <c r="S1052" i="1" l="1"/>
  <c r="T1052" i="1" s="1"/>
  <c r="R1051" i="1"/>
  <c r="S1051" i="1" l="1"/>
  <c r="T1051" i="1" s="1"/>
  <c r="R1050" i="1"/>
  <c r="S1050" i="1" l="1"/>
  <c r="T1050" i="1" s="1"/>
  <c r="R1049" i="1"/>
  <c r="S1049" i="1" l="1"/>
  <c r="T1049" i="1" s="1"/>
  <c r="R1048" i="1"/>
  <c r="S1048" i="1" l="1"/>
  <c r="T1048" i="1" s="1"/>
  <c r="R1047" i="1"/>
  <c r="S1047" i="1" l="1"/>
  <c r="T1047" i="1" s="1"/>
  <c r="R1046" i="1"/>
  <c r="S1046" i="1" l="1"/>
  <c r="T1046" i="1" s="1"/>
  <c r="R1045" i="1"/>
  <c r="R1044" i="1" l="1"/>
  <c r="S1045" i="1"/>
  <c r="T1045" i="1" s="1"/>
  <c r="R1043" i="1" l="1"/>
  <c r="S1044" i="1"/>
  <c r="T1044" i="1" s="1"/>
  <c r="S1043" i="1" l="1"/>
  <c r="T1043" i="1" s="1"/>
  <c r="R1042" i="1"/>
  <c r="R1041" i="1" l="1"/>
  <c r="S1042" i="1"/>
  <c r="T1042" i="1" s="1"/>
  <c r="S1041" i="1" l="1"/>
  <c r="T1041" i="1" s="1"/>
  <c r="R1040" i="1"/>
  <c r="R1039" i="1" l="1"/>
  <c r="S1040" i="1"/>
  <c r="T1040" i="1" s="1"/>
  <c r="R1038" i="1" l="1"/>
  <c r="S1039" i="1"/>
  <c r="T1039" i="1" s="1"/>
  <c r="S1038" i="1" l="1"/>
  <c r="T1038" i="1" s="1"/>
  <c r="R1037" i="1"/>
  <c r="R1036" i="1" l="1"/>
  <c r="S1037" i="1"/>
  <c r="T1037" i="1" s="1"/>
  <c r="R1035" i="1" l="1"/>
  <c r="S1036" i="1"/>
  <c r="T1036" i="1" s="1"/>
  <c r="S1035" i="1" l="1"/>
  <c r="T1035" i="1" s="1"/>
  <c r="R1034" i="1"/>
  <c r="S1034" i="1" l="1"/>
  <c r="T1034" i="1" s="1"/>
  <c r="R1033" i="1"/>
  <c r="R1032" i="1" l="1"/>
  <c r="S1033" i="1"/>
  <c r="T1033" i="1" s="1"/>
  <c r="S1032" i="1" l="1"/>
  <c r="T1032" i="1" s="1"/>
  <c r="R1031" i="1"/>
  <c r="S1031" i="1" l="1"/>
  <c r="T1031" i="1" s="1"/>
  <c r="R1030" i="1"/>
  <c r="R1029" i="1" l="1"/>
  <c r="S1030" i="1"/>
  <c r="T1030" i="1" s="1"/>
  <c r="R1028" i="1" l="1"/>
  <c r="S1029" i="1"/>
  <c r="T1029" i="1" s="1"/>
  <c r="R1027" i="1" l="1"/>
  <c r="S1028" i="1"/>
  <c r="T1028" i="1" s="1"/>
  <c r="S1027" i="1" l="1"/>
  <c r="T1027" i="1" s="1"/>
  <c r="R1026" i="1"/>
  <c r="R1025" i="1" l="1"/>
  <c r="S1026" i="1"/>
  <c r="T1026" i="1" s="1"/>
  <c r="R1024" i="1" l="1"/>
  <c r="S1025" i="1"/>
  <c r="T1025" i="1" s="1"/>
  <c r="R1023" i="1" l="1"/>
  <c r="S1024" i="1"/>
  <c r="T1024" i="1" s="1"/>
  <c r="S1023" i="1" l="1"/>
  <c r="T1023" i="1" s="1"/>
  <c r="R1022" i="1"/>
  <c r="S1022" i="1" l="1"/>
  <c r="T1022" i="1" s="1"/>
  <c r="R1021" i="1"/>
  <c r="S1021" i="1" l="1"/>
  <c r="T1021" i="1" s="1"/>
  <c r="R1020" i="1"/>
  <c r="R1019" i="1" l="1"/>
  <c r="S1020" i="1"/>
  <c r="T1020" i="1" s="1"/>
  <c r="R1018" i="1" l="1"/>
  <c r="S1019" i="1"/>
  <c r="T1019" i="1" s="1"/>
  <c r="R1017" i="1" l="1"/>
  <c r="S1018" i="1"/>
  <c r="T1018" i="1" s="1"/>
  <c r="S1017" i="1" l="1"/>
  <c r="T1017" i="1" s="1"/>
  <c r="R1016" i="1"/>
  <c r="S1016" i="1" l="1"/>
  <c r="T1016" i="1" s="1"/>
  <c r="R1015" i="1"/>
  <c r="R1014" i="1" l="1"/>
  <c r="S1015" i="1"/>
  <c r="T1015" i="1" s="1"/>
  <c r="S1014" i="1" l="1"/>
  <c r="T1014" i="1" s="1"/>
  <c r="R1013" i="1"/>
  <c r="R1012" i="1" l="1"/>
  <c r="S1013" i="1"/>
  <c r="T1013" i="1" s="1"/>
  <c r="S1012" i="1" l="1"/>
  <c r="T1012" i="1" s="1"/>
  <c r="R1011" i="1"/>
  <c r="S1011" i="1" l="1"/>
  <c r="T1011" i="1" s="1"/>
  <c r="R1010" i="1"/>
  <c r="S1010" i="1" l="1"/>
  <c r="T1010" i="1" s="1"/>
  <c r="R1009" i="1"/>
  <c r="R1008" i="1" l="1"/>
  <c r="S1009" i="1"/>
  <c r="T1009" i="1" s="1"/>
  <c r="R1007" i="1" l="1"/>
  <c r="S1008" i="1"/>
  <c r="T1008" i="1" s="1"/>
  <c r="S1007" i="1" l="1"/>
  <c r="T1007" i="1" s="1"/>
  <c r="R1006" i="1"/>
  <c r="S1006" i="1" l="1"/>
  <c r="T1006" i="1" s="1"/>
  <c r="R1005" i="1"/>
  <c r="R1004" i="1" l="1"/>
  <c r="S1005" i="1"/>
  <c r="T1005" i="1" s="1"/>
  <c r="R1003" i="1" l="1"/>
  <c r="S1004" i="1"/>
  <c r="T1004" i="1" s="1"/>
  <c r="S1003" i="1" l="1"/>
  <c r="T1003" i="1" s="1"/>
  <c r="R1002" i="1"/>
  <c r="S1002" i="1" l="1"/>
  <c r="T1002" i="1" s="1"/>
  <c r="R1001" i="1"/>
  <c r="R1000" i="1" l="1"/>
  <c r="S1001" i="1"/>
  <c r="T1001" i="1" s="1"/>
  <c r="R999" i="1" l="1"/>
  <c r="S1000" i="1"/>
  <c r="T1000" i="1" s="1"/>
  <c r="R998" i="1" l="1"/>
  <c r="S999" i="1"/>
  <c r="T999" i="1" s="1"/>
  <c r="S998" i="1" l="1"/>
  <c r="T998" i="1" s="1"/>
  <c r="R997" i="1"/>
  <c r="S997" i="1" l="1"/>
  <c r="T997" i="1" s="1"/>
  <c r="R996" i="1"/>
  <c r="R995" i="1" l="1"/>
  <c r="S996" i="1"/>
  <c r="T996" i="1" s="1"/>
  <c r="R994" i="1" l="1"/>
  <c r="S995" i="1"/>
  <c r="T995" i="1" s="1"/>
  <c r="S994" i="1" l="1"/>
  <c r="T994" i="1" s="1"/>
  <c r="R993" i="1"/>
  <c r="S993" i="1" l="1"/>
  <c r="T993" i="1" s="1"/>
  <c r="R992" i="1"/>
  <c r="R991" i="1" l="1"/>
  <c r="S992" i="1"/>
  <c r="T992" i="1" s="1"/>
  <c r="R990" i="1" l="1"/>
  <c r="S991" i="1"/>
  <c r="T991" i="1" s="1"/>
  <c r="S990" i="1" l="1"/>
  <c r="T990" i="1" s="1"/>
  <c r="R989" i="1"/>
  <c r="S989" i="1" l="1"/>
  <c r="T989" i="1" s="1"/>
  <c r="R988" i="1"/>
  <c r="R987" i="1" l="1"/>
  <c r="S988" i="1"/>
  <c r="T988" i="1" s="1"/>
  <c r="S987" i="1" l="1"/>
  <c r="T987" i="1" s="1"/>
  <c r="R986" i="1"/>
  <c r="S986" i="1" l="1"/>
  <c r="T986" i="1" s="1"/>
  <c r="R985" i="1"/>
  <c r="R984" i="1" l="1"/>
  <c r="S985" i="1"/>
  <c r="T985" i="1" s="1"/>
  <c r="R983" i="1" l="1"/>
  <c r="S984" i="1"/>
  <c r="T984" i="1" s="1"/>
  <c r="S983" i="1" l="1"/>
  <c r="T983" i="1" s="1"/>
  <c r="R982" i="1"/>
  <c r="S982" i="1" l="1"/>
  <c r="T982" i="1" s="1"/>
  <c r="R981" i="1"/>
  <c r="R980" i="1" l="1"/>
  <c r="S981" i="1"/>
  <c r="T981" i="1" s="1"/>
  <c r="R979" i="1" l="1"/>
  <c r="S980" i="1"/>
  <c r="T980" i="1" s="1"/>
  <c r="S979" i="1" l="1"/>
  <c r="T979" i="1" s="1"/>
  <c r="R978" i="1"/>
  <c r="S978" i="1" l="1"/>
  <c r="T978" i="1" s="1"/>
  <c r="R977" i="1"/>
  <c r="S977" i="1" l="1"/>
  <c r="T977" i="1" s="1"/>
  <c r="R976" i="1"/>
  <c r="R975" i="1" l="1"/>
  <c r="S976" i="1"/>
  <c r="T976" i="1" s="1"/>
  <c r="R974" i="1" l="1"/>
  <c r="S975" i="1"/>
  <c r="T975" i="1" s="1"/>
  <c r="R973" i="1" l="1"/>
  <c r="S974" i="1"/>
  <c r="T974" i="1" s="1"/>
  <c r="S973" i="1" l="1"/>
  <c r="T973" i="1" s="1"/>
  <c r="R972" i="1"/>
  <c r="S972" i="1" l="1"/>
  <c r="T972" i="1" s="1"/>
  <c r="R971" i="1"/>
  <c r="R970" i="1" l="1"/>
  <c r="S971" i="1"/>
  <c r="T971" i="1" s="1"/>
  <c r="R969" i="1" l="1"/>
  <c r="S970" i="1"/>
  <c r="T970" i="1" s="1"/>
  <c r="S969" i="1" l="1"/>
  <c r="T969" i="1" s="1"/>
  <c r="R968" i="1"/>
  <c r="S968" i="1" l="1"/>
  <c r="T968" i="1" s="1"/>
  <c r="R967" i="1"/>
  <c r="R966" i="1" l="1"/>
  <c r="S967" i="1"/>
  <c r="T967" i="1" s="1"/>
  <c r="R965" i="1" l="1"/>
  <c r="S966" i="1"/>
  <c r="T966" i="1" s="1"/>
  <c r="S965" i="1" l="1"/>
  <c r="T965" i="1" s="1"/>
  <c r="R964" i="1"/>
  <c r="S964" i="1" l="1"/>
  <c r="T964" i="1" s="1"/>
  <c r="R963" i="1"/>
  <c r="S963" i="1" l="1"/>
  <c r="T963" i="1" s="1"/>
  <c r="R962" i="1"/>
  <c r="R961" i="1" l="1"/>
  <c r="S962" i="1"/>
  <c r="T962" i="1" s="1"/>
  <c r="R960" i="1" l="1"/>
  <c r="S961" i="1"/>
  <c r="T961" i="1" s="1"/>
  <c r="S960" i="1" l="1"/>
  <c r="T960" i="1" s="1"/>
  <c r="R959" i="1"/>
  <c r="S959" i="1" l="1"/>
  <c r="T959" i="1" s="1"/>
  <c r="R958" i="1"/>
  <c r="R957" i="1" l="1"/>
  <c r="S958" i="1"/>
  <c r="T958" i="1" s="1"/>
  <c r="S957" i="1" l="1"/>
  <c r="T957" i="1" s="1"/>
  <c r="R956" i="1"/>
  <c r="S956" i="1" l="1"/>
  <c r="T956" i="1" s="1"/>
  <c r="R955" i="1"/>
  <c r="S955" i="1" l="1"/>
  <c r="T955" i="1" s="1"/>
  <c r="R954" i="1"/>
  <c r="R953" i="1" l="1"/>
  <c r="S954" i="1"/>
  <c r="T954" i="1" s="1"/>
  <c r="R952" i="1" l="1"/>
  <c r="S953" i="1"/>
  <c r="T953" i="1" s="1"/>
  <c r="S952" i="1" l="1"/>
  <c r="T952" i="1" s="1"/>
  <c r="R951" i="1"/>
  <c r="R950" i="1" l="1"/>
  <c r="S951" i="1"/>
  <c r="T951" i="1" s="1"/>
  <c r="R949" i="1" l="1"/>
  <c r="S950" i="1"/>
  <c r="T950" i="1" s="1"/>
  <c r="R948" i="1" l="1"/>
  <c r="S949" i="1"/>
  <c r="T949" i="1" s="1"/>
  <c r="S948" i="1" l="1"/>
  <c r="T948" i="1" s="1"/>
  <c r="R947" i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S942" i="1" l="1"/>
  <c r="T942" i="1" s="1"/>
  <c r="R941" i="1"/>
  <c r="R940" i="1" l="1"/>
  <c r="S941" i="1"/>
  <c r="T941" i="1" s="1"/>
  <c r="R939" i="1" l="1"/>
  <c r="S940" i="1"/>
  <c r="T940" i="1" s="1"/>
  <c r="S939" i="1" l="1"/>
  <c r="T939" i="1" s="1"/>
  <c r="R938" i="1"/>
  <c r="S938" i="1" l="1"/>
  <c r="T938" i="1" s="1"/>
  <c r="R937" i="1"/>
  <c r="R936" i="1" l="1"/>
  <c r="S937" i="1"/>
  <c r="T937" i="1" s="1"/>
  <c r="R935" i="1" l="1"/>
  <c r="S936" i="1"/>
  <c r="T936" i="1" s="1"/>
  <c r="S935" i="1" l="1"/>
  <c r="T935" i="1" s="1"/>
  <c r="R934" i="1"/>
  <c r="R933" i="1" l="1"/>
  <c r="S934" i="1"/>
  <c r="T934" i="1" s="1"/>
  <c r="R932" i="1" l="1"/>
  <c r="S933" i="1"/>
  <c r="T933" i="1" s="1"/>
  <c r="S932" i="1" l="1"/>
  <c r="T932" i="1" s="1"/>
  <c r="R931" i="1"/>
  <c r="S931" i="1" l="1"/>
  <c r="T931" i="1" s="1"/>
  <c r="R930" i="1"/>
  <c r="S930" i="1" l="1"/>
  <c r="T930" i="1" s="1"/>
  <c r="R929" i="1"/>
  <c r="R928" i="1" l="1"/>
  <c r="S929" i="1"/>
  <c r="T929" i="1" s="1"/>
  <c r="S928" i="1" l="1"/>
  <c r="T928" i="1" s="1"/>
  <c r="R927" i="1"/>
  <c r="S927" i="1" l="1"/>
  <c r="T927" i="1" s="1"/>
  <c r="R926" i="1"/>
  <c r="R925" i="1" l="1"/>
  <c r="S926" i="1"/>
  <c r="T926" i="1" s="1"/>
  <c r="R924" i="1" l="1"/>
  <c r="S925" i="1"/>
  <c r="T925" i="1" s="1"/>
  <c r="S924" i="1" l="1"/>
  <c r="T924" i="1" s="1"/>
  <c r="R923" i="1"/>
  <c r="S923" i="1" l="1"/>
  <c r="T923" i="1" s="1"/>
  <c r="R922" i="1"/>
  <c r="S922" i="1" l="1"/>
  <c r="T922" i="1" s="1"/>
  <c r="R921" i="1"/>
  <c r="R920" i="1" l="1"/>
  <c r="S921" i="1"/>
  <c r="T921" i="1" s="1"/>
  <c r="R919" i="1" l="1"/>
  <c r="S920" i="1"/>
  <c r="T920" i="1" s="1"/>
  <c r="S919" i="1" l="1"/>
  <c r="T919" i="1" s="1"/>
  <c r="R918" i="1"/>
  <c r="S918" i="1" l="1"/>
  <c r="T918" i="1" s="1"/>
  <c r="R917" i="1"/>
  <c r="R916" i="1" l="1"/>
  <c r="S917" i="1"/>
  <c r="T917" i="1" s="1"/>
  <c r="R915" i="1" l="1"/>
  <c r="S916" i="1"/>
  <c r="T916" i="1" s="1"/>
  <c r="S915" i="1" l="1"/>
  <c r="T915" i="1" s="1"/>
  <c r="R914" i="1"/>
  <c r="S914" i="1" l="1"/>
  <c r="T914" i="1" s="1"/>
  <c r="R913" i="1"/>
  <c r="S913" i="1" l="1"/>
  <c r="T913" i="1" s="1"/>
  <c r="R912" i="1"/>
  <c r="R911" i="1" l="1"/>
  <c r="S912" i="1"/>
  <c r="T912" i="1" s="1"/>
  <c r="S911" i="1" l="1"/>
  <c r="T911" i="1" s="1"/>
  <c r="R910" i="1"/>
  <c r="S910" i="1" l="1"/>
  <c r="T910" i="1" s="1"/>
  <c r="R909" i="1"/>
  <c r="R908" i="1" l="1"/>
  <c r="S909" i="1"/>
  <c r="T909" i="1" s="1"/>
  <c r="R907" i="1" l="1"/>
  <c r="S908" i="1"/>
  <c r="T908" i="1" s="1"/>
  <c r="R906" i="1" l="1"/>
  <c r="S907" i="1"/>
  <c r="T907" i="1" s="1"/>
  <c r="S906" i="1" l="1"/>
  <c r="T906" i="1" s="1"/>
  <c r="R905" i="1"/>
  <c r="R904" i="1" l="1"/>
  <c r="S905" i="1"/>
  <c r="T905" i="1" s="1"/>
  <c r="R903" i="1" l="1"/>
  <c r="S904" i="1"/>
  <c r="T904" i="1" s="1"/>
  <c r="S903" i="1" l="1"/>
  <c r="T903" i="1" s="1"/>
  <c r="R902" i="1"/>
  <c r="S902" i="1" l="1"/>
  <c r="T902" i="1" s="1"/>
  <c r="R901" i="1"/>
  <c r="R900" i="1" l="1"/>
  <c r="S901" i="1"/>
  <c r="T901" i="1" s="1"/>
  <c r="R899" i="1" l="1"/>
  <c r="S900" i="1"/>
  <c r="T900" i="1" s="1"/>
  <c r="S899" i="1" l="1"/>
  <c r="T899" i="1" s="1"/>
  <c r="R898" i="1"/>
  <c r="S898" i="1" l="1"/>
  <c r="T898" i="1" s="1"/>
  <c r="R897" i="1"/>
  <c r="R896" i="1" l="1"/>
  <c r="S897" i="1"/>
  <c r="T897" i="1" s="1"/>
  <c r="R895" i="1" l="1"/>
  <c r="S896" i="1"/>
  <c r="T896" i="1" s="1"/>
  <c r="S895" i="1" l="1"/>
  <c r="T895" i="1" s="1"/>
  <c r="R894" i="1"/>
  <c r="S894" i="1" l="1"/>
  <c r="T894" i="1" s="1"/>
  <c r="R893" i="1"/>
  <c r="S893" i="1" l="1"/>
  <c r="T893" i="1" s="1"/>
  <c r="R892" i="1"/>
  <c r="R891" i="1" l="1"/>
  <c r="S892" i="1"/>
  <c r="T892" i="1" s="1"/>
  <c r="R890" i="1" l="1"/>
  <c r="S891" i="1"/>
  <c r="T891" i="1" s="1"/>
  <c r="S890" i="1" l="1"/>
  <c r="T890" i="1" s="1"/>
  <c r="R889" i="1"/>
  <c r="R888" i="1" l="1"/>
  <c r="S889" i="1"/>
  <c r="T889" i="1" s="1"/>
  <c r="R887" i="1" l="1"/>
  <c r="S888" i="1"/>
  <c r="T888" i="1" s="1"/>
  <c r="S887" i="1" l="1"/>
  <c r="T887" i="1" s="1"/>
  <c r="R886" i="1"/>
  <c r="S886" i="1" l="1"/>
  <c r="T886" i="1" s="1"/>
  <c r="R885" i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S879" i="1" l="1"/>
  <c r="T879" i="1" s="1"/>
  <c r="R878" i="1"/>
  <c r="S878" i="1" l="1"/>
  <c r="T878" i="1" s="1"/>
  <c r="R877" i="1"/>
  <c r="S877" i="1" l="1"/>
  <c r="T877" i="1" s="1"/>
  <c r="R876" i="1"/>
  <c r="R875" i="1" l="1"/>
  <c r="S876" i="1"/>
  <c r="T876" i="1" s="1"/>
  <c r="R874" i="1" l="1"/>
  <c r="S875" i="1"/>
  <c r="T875" i="1" s="1"/>
  <c r="S874" i="1" l="1"/>
  <c r="T874" i="1" s="1"/>
  <c r="R873" i="1"/>
  <c r="R872" i="1" l="1"/>
  <c r="S873" i="1"/>
  <c r="T873" i="1" s="1"/>
  <c r="R871" i="1" l="1"/>
  <c r="S872" i="1"/>
  <c r="T872" i="1" s="1"/>
  <c r="S871" i="1" l="1"/>
  <c r="T871" i="1" s="1"/>
  <c r="R870" i="1"/>
  <c r="S870" i="1" l="1"/>
  <c r="T870" i="1" s="1"/>
  <c r="R869" i="1"/>
  <c r="R868" i="1" l="1"/>
  <c r="S869" i="1"/>
  <c r="T869" i="1" s="1"/>
  <c r="S868" i="1" l="1"/>
  <c r="T868" i="1" s="1"/>
  <c r="R867" i="1"/>
  <c r="S867" i="1" l="1"/>
  <c r="T867" i="1" s="1"/>
  <c r="R866" i="1"/>
  <c r="R865" i="1" l="1"/>
  <c r="S866" i="1"/>
  <c r="T866" i="1" s="1"/>
  <c r="S865" i="1" l="1"/>
  <c r="T865" i="1" s="1"/>
  <c r="R864" i="1"/>
  <c r="S864" i="1" l="1"/>
  <c r="T864" i="1" s="1"/>
  <c r="R863" i="1"/>
  <c r="S863" i="1" l="1"/>
  <c r="T863" i="1" s="1"/>
  <c r="R862" i="1"/>
  <c r="S862" i="1" l="1"/>
  <c r="T862" i="1" s="1"/>
  <c r="R861" i="1"/>
  <c r="R860" i="1" l="1"/>
  <c r="S861" i="1"/>
  <c r="T861" i="1" s="1"/>
  <c r="R859" i="1" l="1"/>
  <c r="S860" i="1"/>
  <c r="T860" i="1" s="1"/>
  <c r="S859" i="1" l="1"/>
  <c r="T859" i="1" s="1"/>
  <c r="R858" i="1"/>
  <c r="R857" i="1" l="1"/>
  <c r="S858" i="1"/>
  <c r="T858" i="1" s="1"/>
  <c r="R856" i="1" l="1"/>
  <c r="S857" i="1"/>
  <c r="T857" i="1" s="1"/>
  <c r="S856" i="1" l="1"/>
  <c r="T856" i="1" s="1"/>
  <c r="R855" i="1"/>
  <c r="S855" i="1" l="1"/>
  <c r="T855" i="1" s="1"/>
  <c r="R854" i="1"/>
  <c r="R853" i="1" l="1"/>
  <c r="S854" i="1"/>
  <c r="T854" i="1" s="1"/>
  <c r="R852" i="1" l="1"/>
  <c r="S853" i="1"/>
  <c r="T853" i="1" s="1"/>
  <c r="S852" i="1" l="1"/>
  <c r="T852" i="1" s="1"/>
  <c r="R851" i="1"/>
  <c r="S851" i="1" l="1"/>
  <c r="T851" i="1" s="1"/>
  <c r="R850" i="1"/>
  <c r="S850" i="1" l="1"/>
  <c r="T850" i="1" s="1"/>
  <c r="R849" i="1"/>
  <c r="S849" i="1" l="1"/>
  <c r="T849" i="1" s="1"/>
  <c r="R848" i="1"/>
  <c r="R847" i="1" l="1"/>
  <c r="S848" i="1"/>
  <c r="T848" i="1" s="1"/>
  <c r="R846" i="1" l="1"/>
  <c r="S847" i="1"/>
  <c r="T847" i="1" s="1"/>
  <c r="S846" i="1" l="1"/>
  <c r="T846" i="1" s="1"/>
  <c r="R845" i="1"/>
  <c r="R844" i="1" l="1"/>
  <c r="S845" i="1"/>
  <c r="T845" i="1" s="1"/>
  <c r="R843" i="1" l="1"/>
  <c r="S844" i="1"/>
  <c r="T844" i="1" s="1"/>
  <c r="R842" i="1" l="1"/>
  <c r="S843" i="1"/>
  <c r="T843" i="1" s="1"/>
  <c r="S842" i="1" l="1"/>
  <c r="T842" i="1" s="1"/>
  <c r="R841" i="1"/>
  <c r="R840" i="1" l="1"/>
  <c r="S841" i="1"/>
  <c r="T841" i="1" s="1"/>
  <c r="R839" i="1" l="1"/>
  <c r="S840" i="1"/>
  <c r="T840" i="1" s="1"/>
  <c r="R838" i="1" l="1"/>
  <c r="S839" i="1"/>
  <c r="T839" i="1" s="1"/>
  <c r="S838" i="1" l="1"/>
  <c r="T838" i="1" s="1"/>
  <c r="R837" i="1"/>
  <c r="S837" i="1" l="1"/>
  <c r="T837" i="1" s="1"/>
  <c r="R836" i="1"/>
  <c r="S836" i="1" l="1"/>
  <c r="T836" i="1" s="1"/>
  <c r="R835" i="1"/>
  <c r="R834" i="1" l="1"/>
  <c r="S835" i="1"/>
  <c r="T835" i="1" s="1"/>
  <c r="R833" i="1" l="1"/>
  <c r="S834" i="1"/>
  <c r="T834" i="1" s="1"/>
  <c r="S833" i="1" l="1"/>
  <c r="T833" i="1" s="1"/>
  <c r="R832" i="1"/>
  <c r="S832" i="1" l="1"/>
  <c r="T832" i="1" s="1"/>
  <c r="R831" i="1"/>
  <c r="R830" i="1" l="1"/>
  <c r="S831" i="1"/>
  <c r="T831" i="1" s="1"/>
  <c r="R829" i="1" l="1"/>
  <c r="S830" i="1"/>
  <c r="T830" i="1" s="1"/>
  <c r="S829" i="1" l="1"/>
  <c r="T829" i="1" s="1"/>
  <c r="R828" i="1"/>
  <c r="S828" i="1" l="1"/>
  <c r="T828" i="1" s="1"/>
  <c r="R827" i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S814" i="1" l="1"/>
  <c r="T814" i="1" s="1"/>
  <c r="R813" i="1"/>
  <c r="S813" i="1" l="1"/>
  <c r="T813" i="1" s="1"/>
  <c r="R812" i="1"/>
  <c r="R811" i="1" l="1"/>
  <c r="S812" i="1"/>
  <c r="T812" i="1" s="1"/>
  <c r="S811" i="1" l="1"/>
  <c r="T811" i="1" s="1"/>
  <c r="R810" i="1"/>
  <c r="S810" i="1" l="1"/>
  <c r="T810" i="1" s="1"/>
  <c r="R809" i="1"/>
  <c r="R808" i="1" l="1"/>
  <c r="S809" i="1"/>
  <c r="T809" i="1" s="1"/>
  <c r="R807" i="1" l="1"/>
  <c r="S808" i="1"/>
  <c r="T808" i="1" s="1"/>
  <c r="S807" i="1" l="1"/>
  <c r="T807" i="1" s="1"/>
  <c r="R806" i="1"/>
  <c r="S806" i="1" l="1"/>
  <c r="T806" i="1" s="1"/>
  <c r="R805" i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S800" i="1" l="1"/>
  <c r="T800" i="1" s="1"/>
  <c r="R799" i="1"/>
  <c r="S799" i="1" l="1"/>
  <c r="T799" i="1" s="1"/>
  <c r="R798" i="1"/>
  <c r="R797" i="1" l="1"/>
  <c r="S798" i="1"/>
  <c r="T798" i="1" s="1"/>
  <c r="R796" i="1" l="1"/>
  <c r="S797" i="1"/>
  <c r="T797" i="1" s="1"/>
  <c r="S796" i="1" l="1"/>
  <c r="T796" i="1" s="1"/>
  <c r="R795" i="1"/>
  <c r="S795" i="1" l="1"/>
  <c r="T795" i="1" s="1"/>
  <c r="R794" i="1"/>
  <c r="R793" i="1" l="1"/>
  <c r="S794" i="1"/>
  <c r="T794" i="1" s="1"/>
  <c r="R792" i="1" l="1"/>
  <c r="S793" i="1"/>
  <c r="T793" i="1" s="1"/>
  <c r="S792" i="1" l="1"/>
  <c r="T792" i="1" s="1"/>
  <c r="R791" i="1"/>
  <c r="S791" i="1" l="1"/>
  <c r="T791" i="1" s="1"/>
  <c r="R790" i="1"/>
  <c r="R789" i="1" l="1"/>
  <c r="S790" i="1"/>
  <c r="T790" i="1" s="1"/>
  <c r="S789" i="1" l="1"/>
  <c r="T789" i="1" s="1"/>
  <c r="R788" i="1"/>
  <c r="S788" i="1" l="1"/>
  <c r="T788" i="1" s="1"/>
  <c r="R787" i="1"/>
  <c r="R786" i="1" l="1"/>
  <c r="S787" i="1"/>
  <c r="T787" i="1" s="1"/>
  <c r="R785" i="1" l="1"/>
  <c r="S786" i="1"/>
  <c r="T786" i="1" s="1"/>
  <c r="S785" i="1" l="1"/>
  <c r="T785" i="1" s="1"/>
  <c r="R784" i="1"/>
  <c r="S784" i="1" l="1"/>
  <c r="T784" i="1" s="1"/>
  <c r="R783" i="1"/>
  <c r="R782" i="1" l="1"/>
  <c r="S783" i="1"/>
  <c r="T783" i="1" s="1"/>
  <c r="R781" i="1" l="1"/>
  <c r="S782" i="1"/>
  <c r="T782" i="1" s="1"/>
  <c r="S781" i="1" l="1"/>
  <c r="T781" i="1" s="1"/>
  <c r="R780" i="1"/>
  <c r="R779" i="1" l="1"/>
  <c r="S780" i="1"/>
  <c r="T780" i="1" s="1"/>
  <c r="R778" i="1" l="1"/>
  <c r="S779" i="1"/>
  <c r="T779" i="1" s="1"/>
  <c r="S778" i="1" l="1"/>
  <c r="T778" i="1" s="1"/>
  <c r="R777" i="1"/>
  <c r="S777" i="1" l="1"/>
  <c r="T777" i="1" s="1"/>
  <c r="R776" i="1"/>
  <c r="S776" i="1" l="1"/>
  <c r="T776" i="1" s="1"/>
  <c r="R775" i="1"/>
  <c r="R774" i="1" l="1"/>
  <c r="S775" i="1"/>
  <c r="T775" i="1" s="1"/>
  <c r="S774" i="1" l="1"/>
  <c r="T774" i="1" s="1"/>
  <c r="R773" i="1"/>
  <c r="R772" i="1" l="1"/>
  <c r="S773" i="1"/>
  <c r="T773" i="1" s="1"/>
  <c r="R771" i="1" l="1"/>
  <c r="S772" i="1"/>
  <c r="T772" i="1" s="1"/>
  <c r="S771" i="1" l="1"/>
  <c r="T771" i="1" s="1"/>
  <c r="R770" i="1"/>
  <c r="S770" i="1" l="1"/>
  <c r="T770" i="1" s="1"/>
  <c r="R769" i="1"/>
  <c r="S769" i="1" l="1"/>
  <c r="T769" i="1" s="1"/>
  <c r="R768" i="1"/>
  <c r="S768" i="1" l="1"/>
  <c r="T768" i="1" s="1"/>
  <c r="R767" i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S746" i="1" l="1"/>
  <c r="T746" i="1" s="1"/>
  <c r="R745" i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R725" i="1" l="1"/>
  <c r="S726" i="1"/>
  <c r="T726" i="1" s="1"/>
  <c r="S725" i="1" l="1"/>
  <c r="T725" i="1" s="1"/>
  <c r="R724" i="1"/>
  <c r="R723" i="1" l="1"/>
  <c r="S724" i="1"/>
  <c r="T724" i="1" s="1"/>
  <c r="R722" i="1" l="1"/>
  <c r="S723" i="1"/>
  <c r="T723" i="1" s="1"/>
  <c r="R721" i="1" l="1"/>
  <c r="S722" i="1"/>
  <c r="T722" i="1" s="1"/>
  <c r="S721" i="1" l="1"/>
  <c r="T721" i="1" s="1"/>
  <c r="R720" i="1"/>
  <c r="R719" i="1" l="1"/>
  <c r="S720" i="1"/>
  <c r="T720" i="1" s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S713" i="1" l="1"/>
  <c r="T713" i="1" s="1"/>
  <c r="R712" i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R687" i="1" l="1"/>
  <c r="S688" i="1"/>
  <c r="T688" i="1" s="1"/>
  <c r="S687" i="1" l="1"/>
  <c r="T687" i="1" s="1"/>
  <c r="R686" i="1"/>
  <c r="S686" i="1" l="1"/>
  <c r="T686" i="1" s="1"/>
  <c r="R685" i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S666" i="1" l="1"/>
  <c r="T666" i="1" s="1"/>
  <c r="R665" i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S638" i="1" l="1"/>
  <c r="T638" i="1" s="1"/>
  <c r="R637" i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S628" i="1" l="1"/>
  <c r="T628" i="1" s="1"/>
  <c r="R627" i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S616" i="1" l="1"/>
  <c r="T616" i="1" s="1"/>
  <c r="R615" i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R567" i="1" l="1"/>
  <c r="S568" i="1"/>
  <c r="T568" i="1" s="1"/>
  <c r="S567" i="1" l="1"/>
  <c r="T567" i="1" s="1"/>
  <c r="R566" i="1"/>
  <c r="S566" i="1" l="1"/>
  <c r="T566" i="1" s="1"/>
  <c r="R565" i="1"/>
  <c r="S565" i="1" l="1"/>
  <c r="T565" i="1" s="1"/>
  <c r="R564" i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S493" i="1" l="1"/>
  <c r="T493" i="1" s="1"/>
  <c r="R492" i="1"/>
  <c r="R491" i="1" l="1"/>
  <c r="S492" i="1"/>
  <c r="T492" i="1" s="1"/>
  <c r="R490" i="1" l="1"/>
  <c r="S491" i="1"/>
  <c r="T491" i="1" s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S383" i="1" l="1"/>
  <c r="T383" i="1" s="1"/>
  <c r="R382" i="1"/>
  <c r="S382" i="1" l="1"/>
  <c r="T382" i="1" s="1"/>
  <c r="R381" i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S341" i="1" l="1"/>
  <c r="T341" i="1" s="1"/>
  <c r="R340" i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S313" i="1" l="1"/>
  <c r="T313" i="1" s="1"/>
  <c r="R312" i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R302" i="1" l="1"/>
  <c r="S303" i="1"/>
  <c r="T303" i="1" s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R281" i="1" l="1"/>
  <c r="S282" i="1"/>
  <c r="T282" i="1" s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S220" i="1" l="1"/>
  <c r="T220" i="1" s="1"/>
  <c r="R219" i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S122" i="1" l="1"/>
  <c r="T122" i="1" s="1"/>
  <c r="R121" i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S115" i="1" l="1"/>
  <c r="T115" i="1" s="1"/>
  <c r="R114" i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S110" i="1" l="1"/>
  <c r="T110" i="1" s="1"/>
  <c r="R109" i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S105" i="1" l="1"/>
  <c r="T105" i="1" s="1"/>
  <c r="R104" i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<sst xmlns="http://schemas.openxmlformats.org/spreadsheetml/2006/main" count="8465" uniqueCount="34">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</sst>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105.2</c:v>
                </c:pt>
                <c:pt idx="1">
                  <c:v>106.9</c:v>
                </c:pt>
                <c:pt idx="2">
                  <c:v>107.8</c:v>
                </c:pt>
                <c:pt idx="3">
                  <c:v>109.5</c:v>
                </c:pt>
                <c:pt idx="4">
                  <c:v>112.3</c:v>
                </c:pt>
                <c:pt idx="5">
                  <c:v>108.4</c:v>
                </c:pt>
                <c:pt idx="6">
                  <c:v>114.5</c:v>
                </c:pt>
                <c:pt idx="7">
                  <c:v>129.69999999999999</c:v>
                </c:pt>
                <c:pt idx="8">
                  <c:v>136.19999999999999</c:v>
                </c:pt>
                <c:pt idx="9">
                  <c:v>141.4</c:v>
                </c:pt>
                <c:pt idx="10">
                  <c:v>151.19999999999999</c:v>
                </c:pt>
                <c:pt idx="11">
                  <c:v>146.4</c:v>
                </c:pt>
                <c:pt idx="12">
                  <c:v>147.69999999999999</c:v>
                </c:pt>
                <c:pt idx="13">
                  <c:v>144.69999999999999</c:v>
                </c:pt>
                <c:pt idx="14">
                  <c:v>136.69999999999999</c:v>
                </c:pt>
                <c:pt idx="15">
                  <c:v>141.9</c:v>
                </c:pt>
                <c:pt idx="16">
                  <c:v>131.6</c:v>
                </c:pt>
                <c:pt idx="17">
                  <c:v>126.5</c:v>
                </c:pt>
                <c:pt idx="18">
                  <c:v>130.9</c:v>
                </c:pt>
                <c:pt idx="19">
                  <c:v>129.4</c:v>
                </c:pt>
                <c:pt idx="20">
                  <c:v>131.4</c:v>
                </c:pt>
                <c:pt idx="21">
                  <c:v>135.9</c:v>
                </c:pt>
                <c:pt idx="22">
                  <c:v>135.4</c:v>
                </c:pt>
                <c:pt idx="23">
                  <c:v>146.5</c:v>
                </c:pt>
                <c:pt idx="24">
                  <c:v>148.5</c:v>
                </c:pt>
                <c:pt idx="25">
                  <c:v>151.19999999999999</c:v>
                </c:pt>
                <c:pt idx="26">
                  <c:v>150.80000000000001</c:v>
                </c:pt>
                <c:pt idx="27">
                  <c:v>146.30000000000001</c:v>
                </c:pt>
                <c:pt idx="28">
                  <c:v>148</c:v>
                </c:pt>
                <c:pt idx="29">
                  <c:v>145.5</c:v>
                </c:pt>
                <c:pt idx="30">
                  <c:v>145.69999999999999</c:v>
                </c:pt>
                <c:pt idx="31">
                  <c:v>155.9</c:v>
                </c:pt>
                <c:pt idx="32">
                  <c:v>155.69999999999999</c:v>
                </c:pt>
                <c:pt idx="33">
                  <c:v>157.80000000000001</c:v>
                </c:pt>
                <c:pt idx="34">
                  <c:v>161.19999999999999</c:v>
                </c:pt>
                <c:pt idx="35">
                  <c:v>163.6</c:v>
                </c:pt>
                <c:pt idx="36">
                  <c:v>155.4</c:v>
                </c:pt>
                <c:pt idx="37">
                  <c:v>154.69999999999999</c:v>
                </c:pt>
                <c:pt idx="38">
                  <c:v>152.6</c:v>
                </c:pt>
                <c:pt idx="39">
                  <c:v>153.19999999999999</c:v>
                </c:pt>
                <c:pt idx="40">
                  <c:v>148.6</c:v>
                </c:pt>
                <c:pt idx="41">
                  <c:v>144.1</c:v>
                </c:pt>
                <c:pt idx="42">
                  <c:v>148.9</c:v>
                </c:pt>
                <c:pt idx="43">
                  <c:v>153.6</c:v>
                </c:pt>
                <c:pt idx="44">
                  <c:v>150.4</c:v>
                </c:pt>
                <c:pt idx="45">
                  <c:v>144.6</c:v>
                </c:pt>
                <c:pt idx="46">
                  <c:v>159</c:v>
                </c:pt>
                <c:pt idx="47">
                  <c:v>150.6</c:v>
                </c:pt>
                <c:pt idx="48">
                  <c:v>148.30000000000001</c:v>
                </c:pt>
                <c:pt idx="49">
                  <c:v>151.30000000000001</c:v>
                </c:pt>
                <c:pt idx="50">
                  <c:v>165.1</c:v>
                </c:pt>
                <c:pt idx="51">
                  <c:v>161.80000000000001</c:v>
                </c:pt>
                <c:pt idx="52">
                  <c:v>161.30000000000001</c:v>
                </c:pt>
                <c:pt idx="53">
                  <c:v>156.30000000000001</c:v>
                </c:pt>
                <c:pt idx="54">
                  <c:v>162.69999999999999</c:v>
                </c:pt>
                <c:pt idx="55">
                  <c:v>188</c:v>
                </c:pt>
                <c:pt idx="56">
                  <c:v>203.5</c:v>
                </c:pt>
                <c:pt idx="57">
                  <c:v>208.8</c:v>
                </c:pt>
                <c:pt idx="58">
                  <c:v>207.8</c:v>
                </c:pt>
                <c:pt idx="59">
                  <c:v>205.5</c:v>
                </c:pt>
                <c:pt idx="60">
                  <c:v>199.5</c:v>
                </c:pt>
                <c:pt idx="61">
                  <c:v>195.1</c:v>
                </c:pt>
                <c:pt idx="62">
                  <c:v>195.7</c:v>
                </c:pt>
                <c:pt idx="63">
                  <c:v>222.9</c:v>
                </c:pt>
                <c:pt idx="64">
                  <c:v>213.5</c:v>
                </c:pt>
                <c:pt idx="65">
                  <c:v>216.2</c:v>
                </c:pt>
                <c:pt idx="66">
                  <c:v>209.1</c:v>
                </c:pt>
                <c:pt idx="67">
                  <c:v>221.1</c:v>
                </c:pt>
                <c:pt idx="68">
                  <c:v>226.8</c:v>
                </c:pt>
                <c:pt idx="69">
                  <c:v>217.9</c:v>
                </c:pt>
                <c:pt idx="70">
                  <c:v>204.2</c:v>
                </c:pt>
                <c:pt idx="71">
                  <c:v>229.6</c:v>
                </c:pt>
                <c:pt idx="72">
                  <c:v>230.2</c:v>
                </c:pt>
                <c:pt idx="73">
                  <c:v>263</c:v>
                </c:pt>
                <c:pt idx="74">
                  <c:v>279.3</c:v>
                </c:pt>
                <c:pt idx="75">
                  <c:v>257.7</c:v>
                </c:pt>
                <c:pt idx="76">
                  <c:v>251.2</c:v>
                </c:pt>
                <c:pt idx="77">
                  <c:v>262.3</c:v>
                </c:pt>
                <c:pt idx="78">
                  <c:v>260.39999999999998</c:v>
                </c:pt>
                <c:pt idx="79">
                  <c:v>262</c:v>
                </c:pt>
                <c:pt idx="80">
                  <c:v>229</c:v>
                </c:pt>
                <c:pt idx="81">
                  <c:v>202</c:v>
                </c:pt>
                <c:pt idx="82">
                  <c:v>197.6</c:v>
                </c:pt>
                <c:pt idx="83">
                  <c:v>198.9</c:v>
                </c:pt>
                <c:pt idx="84">
                  <c:v>202.6</c:v>
                </c:pt>
                <c:pt idx="85">
                  <c:v>207.3</c:v>
                </c:pt>
                <c:pt idx="86">
                  <c:v>200.9</c:v>
                </c:pt>
                <c:pt idx="87">
                  <c:v>197.6</c:v>
                </c:pt>
                <c:pt idx="88">
                  <c:v>191.9</c:v>
                </c:pt>
                <c:pt idx="89">
                  <c:v>190.2</c:v>
                </c:pt>
                <c:pt idx="90">
                  <c:v>196.7</c:v>
                </c:pt>
                <c:pt idx="91">
                  <c:v>189.8</c:v>
                </c:pt>
                <c:pt idx="92">
                  <c:v>179.3</c:v>
                </c:pt>
                <c:pt idx="93">
                  <c:v>197.6</c:v>
                </c:pt>
                <c:pt idx="94">
                  <c:v>195.5</c:v>
                </c:pt>
                <c:pt idx="95">
                  <c:v>190.4</c:v>
                </c:pt>
                <c:pt idx="96">
                  <c:v>196.3</c:v>
                </c:pt>
                <c:pt idx="97">
                  <c:v>191</c:v>
                </c:pt>
                <c:pt idx="98">
                  <c:v>196.8</c:v>
                </c:pt>
                <c:pt idx="99">
                  <c:v>207.3</c:v>
                </c:pt>
                <c:pt idx="100">
                  <c:v>188.8</c:v>
                </c:pt>
                <c:pt idx="101">
                  <c:v>185.6</c:v>
                </c:pt>
                <c:pt idx="102">
                  <c:v>183.7</c:v>
                </c:pt>
                <c:pt idx="103">
                  <c:v>186</c:v>
                </c:pt>
                <c:pt idx="104">
                  <c:v>189.6</c:v>
                </c:pt>
                <c:pt idx="105">
                  <c:v>181.3</c:v>
                </c:pt>
                <c:pt idx="106">
                  <c:v>177.6</c:v>
                </c:pt>
                <c:pt idx="107">
                  <c:v>172.6</c:v>
                </c:pt>
                <c:pt idx="108">
                  <c:v>179.1</c:v>
                </c:pt>
                <c:pt idx="109">
                  <c:v>174.8</c:v>
                </c:pt>
                <c:pt idx="110">
                  <c:v>179.9</c:v>
                </c:pt>
                <c:pt idx="111">
                  <c:v>175.9</c:v>
                </c:pt>
                <c:pt idx="112">
                  <c:v>178.6</c:v>
                </c:pt>
                <c:pt idx="113">
                  <c:v>178.5</c:v>
                </c:pt>
                <c:pt idx="114">
                  <c:v>173.8</c:v>
                </c:pt>
                <c:pt idx="115">
                  <c:v>168</c:v>
                </c:pt>
                <c:pt idx="116">
                  <c:v>170.6</c:v>
                </c:pt>
                <c:pt idx="117">
                  <c:v>168.9</c:v>
                </c:pt>
                <c:pt idx="118">
                  <c:v>166.2</c:v>
                </c:pt>
                <c:pt idx="119">
                  <c:v>153.30000000000001</c:v>
                </c:pt>
                <c:pt idx="120">
                  <c:v>144.69999999999999</c:v>
                </c:pt>
                <c:pt idx="121">
                  <c:v>140.6</c:v>
                </c:pt>
                <c:pt idx="122">
                  <c:v>145</c:v>
                </c:pt>
                <c:pt idx="123">
                  <c:v>150.69999999999999</c:v>
                </c:pt>
                <c:pt idx="124">
                  <c:v>151</c:v>
                </c:pt>
                <c:pt idx="125">
                  <c:v>152.1</c:v>
                </c:pt>
                <c:pt idx="126">
                  <c:v>163.9</c:v>
                </c:pt>
                <c:pt idx="127">
                  <c:v>161.4</c:v>
                </c:pt>
                <c:pt idx="128">
                  <c:v>148.5</c:v>
                </c:pt>
                <c:pt idx="129">
                  <c:v>164.1</c:v>
                </c:pt>
                <c:pt idx="130">
                  <c:v>175.6</c:v>
                </c:pt>
                <c:pt idx="131">
                  <c:v>181.4</c:v>
                </c:pt>
                <c:pt idx="132">
                  <c:v>180</c:v>
                </c:pt>
                <c:pt idx="133">
                  <c:v>185.2</c:v>
                </c:pt>
                <c:pt idx="134">
                  <c:v>189</c:v>
                </c:pt>
                <c:pt idx="135">
                  <c:v>183.1</c:v>
                </c:pt>
                <c:pt idx="136">
                  <c:v>179.4</c:v>
                </c:pt>
                <c:pt idx="137">
                  <c:v>183</c:v>
                </c:pt>
                <c:pt idx="138">
                  <c:v>178.6</c:v>
                </c:pt>
                <c:pt idx="139">
                  <c:v>174.1</c:v>
                </c:pt>
                <c:pt idx="140">
                  <c:v>180.5</c:v>
                </c:pt>
                <c:pt idx="141">
                  <c:v>179.7</c:v>
                </c:pt>
                <c:pt idx="142">
                  <c:v>178.5</c:v>
                </c:pt>
                <c:pt idx="143">
                  <c:v>219.4</c:v>
                </c:pt>
                <c:pt idx="144">
                  <c:v>232.2</c:v>
                </c:pt>
                <c:pt idx="145">
                  <c:v>211.9</c:v>
                </c:pt>
                <c:pt idx="146">
                  <c:v>212.9</c:v>
                </c:pt>
                <c:pt idx="147">
                  <c:v>183.3</c:v>
                </c:pt>
                <c:pt idx="148">
                  <c:v>180.9</c:v>
                </c:pt>
                <c:pt idx="149">
                  <c:v>171.5</c:v>
                </c:pt>
                <c:pt idx="150">
                  <c:v>167.3</c:v>
                </c:pt>
                <c:pt idx="151">
                  <c:v>174.3</c:v>
                </c:pt>
                <c:pt idx="152">
                  <c:v>175.6</c:v>
                </c:pt>
                <c:pt idx="153">
                  <c:v>176.2</c:v>
                </c:pt>
                <c:pt idx="154">
                  <c:v>167.7</c:v>
                </c:pt>
                <c:pt idx="155">
                  <c:v>177.75</c:v>
                </c:pt>
                <c:pt idx="156">
                  <c:v>173.42</c:v>
                </c:pt>
                <c:pt idx="157">
                  <c:v>187.01</c:v>
                </c:pt>
                <c:pt idx="158">
                  <c:v>187.77</c:v>
                </c:pt>
                <c:pt idx="159">
                  <c:v>179.63</c:v>
                </c:pt>
                <c:pt idx="160">
                  <c:v>183.59</c:v>
                </c:pt>
                <c:pt idx="161">
                  <c:v>175.59</c:v>
                </c:pt>
                <c:pt idx="162">
                  <c:v>166.65</c:v>
                </c:pt>
                <c:pt idx="163">
                  <c:v>168.61</c:v>
                </c:pt>
                <c:pt idx="164">
                  <c:v>177.93</c:v>
                </c:pt>
                <c:pt idx="165">
                  <c:v>184.6</c:v>
                </c:pt>
                <c:pt idx="166">
                  <c:v>182.76</c:v>
                </c:pt>
                <c:pt idx="167">
                  <c:v>183.31</c:v>
                </c:pt>
                <c:pt idx="168">
                  <c:v>165.38</c:v>
                </c:pt>
                <c:pt idx="169">
                  <c:v>170.6</c:v>
                </c:pt>
                <c:pt idx="170">
                  <c:v>165.38</c:v>
                </c:pt>
                <c:pt idx="171">
                  <c:v>166.31</c:v>
                </c:pt>
                <c:pt idx="172">
                  <c:v>149.69</c:v>
                </c:pt>
                <c:pt idx="173">
                  <c:v>155.91999999999999</c:v>
                </c:pt>
                <c:pt idx="174">
                  <c:v>147.94999999999999</c:v>
                </c:pt>
                <c:pt idx="175">
                  <c:v>143.53</c:v>
                </c:pt>
                <c:pt idx="176">
                  <c:v>142.57</c:v>
                </c:pt>
                <c:pt idx="177">
                  <c:v>138.49</c:v>
                </c:pt>
                <c:pt idx="178">
                  <c:v>141.35</c:v>
                </c:pt>
                <c:pt idx="179">
                  <c:v>140.31</c:v>
                </c:pt>
                <c:pt idx="180">
                  <c:v>144.37</c:v>
                </c:pt>
                <c:pt idx="181">
                  <c:v>145.51</c:v>
                </c:pt>
                <c:pt idx="182">
                  <c:v>141.44</c:v>
                </c:pt>
                <c:pt idx="183">
                  <c:v>140.41999999999999</c:v>
                </c:pt>
                <c:pt idx="184">
                  <c:v>134.74</c:v>
                </c:pt>
                <c:pt idx="185">
                  <c:v>131.06</c:v>
                </c:pt>
                <c:pt idx="186">
                  <c:v>127.68</c:v>
                </c:pt>
                <c:pt idx="187">
                  <c:v>125.99</c:v>
                </c:pt>
                <c:pt idx="188">
                  <c:v>124.24</c:v>
                </c:pt>
                <c:pt idx="189">
                  <c:v>120.67</c:v>
                </c:pt>
                <c:pt idx="190">
                  <c:v>117.74</c:v>
                </c:pt>
                <c:pt idx="191">
                  <c:v>107.29</c:v>
                </c:pt>
                <c:pt idx="192">
                  <c:v>113.13</c:v>
                </c:pt>
                <c:pt idx="193">
                  <c:v>119.17</c:v>
                </c:pt>
                <c:pt idx="194">
                  <c:v>119.95</c:v>
                </c:pt>
                <c:pt idx="195">
                  <c:v>120.65</c:v>
                </c:pt>
                <c:pt idx="196">
                  <c:v>125.86</c:v>
                </c:pt>
                <c:pt idx="197">
                  <c:v>131.07</c:v>
                </c:pt>
                <c:pt idx="198">
                  <c:v>131.44</c:v>
                </c:pt>
                <c:pt idx="199">
                  <c:v>133.38</c:v>
                </c:pt>
                <c:pt idx="200">
                  <c:v>134.28</c:v>
                </c:pt>
                <c:pt idx="201">
                  <c:v>133.99</c:v>
                </c:pt>
                <c:pt idx="202">
                  <c:v>134.58000000000001</c:v>
                </c:pt>
                <c:pt idx="203">
                  <c:v>132.15</c:v>
                </c:pt>
                <c:pt idx="204">
                  <c:v>137.41</c:v>
                </c:pt>
                <c:pt idx="205">
                  <c:v>138.87</c:v>
                </c:pt>
                <c:pt idx="206">
                  <c:v>137.71</c:v>
                </c:pt>
                <c:pt idx="207">
                  <c:v>144.94999999999999</c:v>
                </c:pt>
                <c:pt idx="208">
                  <c:v>140.16999999999999</c:v>
                </c:pt>
                <c:pt idx="209">
                  <c:v>136.85</c:v>
                </c:pt>
                <c:pt idx="210">
                  <c:v>137.02000000000001</c:v>
                </c:pt>
                <c:pt idx="211">
                  <c:v>144.26</c:v>
                </c:pt>
                <c:pt idx="212">
                  <c:v>144.19999999999999</c:v>
                </c:pt>
                <c:pt idx="213">
                  <c:v>137.69</c:v>
                </c:pt>
                <c:pt idx="214">
                  <c:v>132.6</c:v>
                </c:pt>
                <c:pt idx="215">
                  <c:v>126.89</c:v>
                </c:pt>
                <c:pt idx="216">
                  <c:v>125</c:v>
                </c:pt>
                <c:pt idx="217">
                  <c:v>134.58000000000001</c:v>
                </c:pt>
                <c:pt idx="218">
                  <c:v>129.1</c:v>
                </c:pt>
                <c:pt idx="219">
                  <c:v>119.64</c:v>
                </c:pt>
                <c:pt idx="220">
                  <c:v>124.46</c:v>
                </c:pt>
                <c:pt idx="221">
                  <c:v>154.88</c:v>
                </c:pt>
                <c:pt idx="222">
                  <c:v>152.49</c:v>
                </c:pt>
                <c:pt idx="223">
                  <c:v>156.34</c:v>
                </c:pt>
                <c:pt idx="224">
                  <c:v>167.08</c:v>
                </c:pt>
                <c:pt idx="225">
                  <c:v>166.57</c:v>
                </c:pt>
                <c:pt idx="226">
                  <c:v>175.15</c:v>
                </c:pt>
                <c:pt idx="227">
                  <c:v>179.89</c:v>
                </c:pt>
                <c:pt idx="228">
                  <c:v>170.85</c:v>
                </c:pt>
                <c:pt idx="229">
                  <c:v>161.80000000000001</c:v>
                </c:pt>
                <c:pt idx="230">
                  <c:v>162.83000000000001</c:v>
                </c:pt>
                <c:pt idx="231">
                  <c:v>168.16</c:v>
                </c:pt>
                <c:pt idx="232">
                  <c:v>172.56</c:v>
                </c:pt>
                <c:pt idx="233">
                  <c:v>160.63</c:v>
                </c:pt>
                <c:pt idx="234">
                  <c:v>161.94999999999999</c:v>
                </c:pt>
                <c:pt idx="235">
                  <c:v>176.41</c:v>
                </c:pt>
                <c:pt idx="236">
                  <c:v>172.94</c:v>
                </c:pt>
                <c:pt idx="237">
                  <c:v>178.44</c:v>
                </c:pt>
                <c:pt idx="238">
                  <c:v>193.5</c:v>
                </c:pt>
                <c:pt idx="239">
                  <c:v>187.14</c:v>
                </c:pt>
                <c:pt idx="240">
                  <c:v>182.99</c:v>
                </c:pt>
                <c:pt idx="241">
                  <c:v>187.97</c:v>
                </c:pt>
                <c:pt idx="242">
                  <c:v>170.51</c:v>
                </c:pt>
                <c:pt idx="243">
                  <c:v>164.01</c:v>
                </c:pt>
                <c:pt idx="244">
                  <c:v>177.33</c:v>
                </c:pt>
                <c:pt idx="245">
                  <c:v>194.32</c:v>
                </c:pt>
                <c:pt idx="246">
                  <c:v>198.91</c:v>
                </c:pt>
                <c:pt idx="247">
                  <c:v>183.76</c:v>
                </c:pt>
                <c:pt idx="248">
                  <c:v>185.32</c:v>
                </c:pt>
                <c:pt idx="249">
                  <c:v>142.38999999999999</c:v>
                </c:pt>
                <c:pt idx="250">
                  <c:v>169.32</c:v>
                </c:pt>
                <c:pt idx="251">
                  <c:v>179.97</c:v>
                </c:pt>
                <c:pt idx="252">
                  <c:v>210.74</c:v>
                </c:pt>
                <c:pt idx="253">
                  <c:v>185.93</c:v>
                </c:pt>
                <c:pt idx="254">
                  <c:v>293.98</c:v>
                </c:pt>
                <c:pt idx="255">
                  <c:v>281.52999999999997</c:v>
                </c:pt>
                <c:pt idx="256">
                  <c:v>295.89</c:v>
                </c:pt>
                <c:pt idx="257">
                  <c:v>300.3</c:v>
                </c:pt>
                <c:pt idx="258">
                  <c:v>326.23</c:v>
                </c:pt>
                <c:pt idx="259">
                  <c:v>317.95</c:v>
                </c:pt>
                <c:pt idx="260">
                  <c:v>310.39999999999998</c:v>
                </c:pt>
                <c:pt idx="261">
                  <c:v>377.6</c:v>
                </c:pt>
                <c:pt idx="262">
                  <c:v>358.89</c:v>
                </c:pt>
                <c:pt idx="263">
                  <c:v>387.8</c:v>
                </c:pt>
                <c:pt idx="264">
                  <c:v>347.1</c:v>
                </c:pt>
                <c:pt idx="265">
                  <c:v>344.89</c:v>
                </c:pt>
                <c:pt idx="266">
                  <c:v>354.67</c:v>
                </c:pt>
                <c:pt idx="267">
                  <c:v>356.04</c:v>
                </c:pt>
                <c:pt idx="268">
                  <c:v>305.23</c:v>
                </c:pt>
                <c:pt idx="269">
                  <c:v>294.87</c:v>
                </c:pt>
                <c:pt idx="270">
                  <c:v>268.88</c:v>
                </c:pt>
                <c:pt idx="271">
                  <c:v>276.77999999999997</c:v>
                </c:pt>
                <c:pt idx="272">
                  <c:v>271.13</c:v>
                </c:pt>
                <c:pt idx="273">
                  <c:v>255.31</c:v>
                </c:pt>
                <c:pt idx="274">
                  <c:v>258.51</c:v>
                </c:pt>
                <c:pt idx="275">
                  <c:v>259.77</c:v>
                </c:pt>
                <c:pt idx="276">
                  <c:v>247.42</c:v>
                </c:pt>
                <c:pt idx="277">
                  <c:v>223.88</c:v>
                </c:pt>
                <c:pt idx="278">
                  <c:v>224.75</c:v>
                </c:pt>
                <c:pt idx="279">
                  <c:v>241.31</c:v>
                </c:pt>
                <c:pt idx="280">
                  <c:v>252.5</c:v>
                </c:pt>
                <c:pt idx="281">
                  <c:v>257.69</c:v>
                </c:pt>
                <c:pt idx="282">
                  <c:v>260.68</c:v>
                </c:pt>
                <c:pt idx="283">
                  <c:v>261.38</c:v>
                </c:pt>
                <c:pt idx="284">
                  <c:v>273.36</c:v>
                </c:pt>
                <c:pt idx="285">
                  <c:v>300.86</c:v>
                </c:pt>
                <c:pt idx="286">
                  <c:v>308.43</c:v>
                </c:pt>
                <c:pt idx="287">
                  <c:v>285.63</c:v>
                </c:pt>
                <c:pt idx="288">
                  <c:v>278.86</c:v>
                </c:pt>
                <c:pt idx="289">
                  <c:v>267.58999999999997</c:v>
                </c:pt>
                <c:pt idx="290">
                  <c:v>244.42</c:v>
                </c:pt>
                <c:pt idx="291">
                  <c:v>252.31</c:v>
                </c:pt>
                <c:pt idx="292">
                  <c:v>256.33999999999997</c:v>
                </c:pt>
                <c:pt idx="293">
                  <c:v>221.12</c:v>
                </c:pt>
                <c:pt idx="294">
                  <c:v>226.11</c:v>
                </c:pt>
                <c:pt idx="295">
                  <c:v>219.05</c:v>
                </c:pt>
                <c:pt idx="296">
                  <c:v>237.04</c:v>
                </c:pt>
                <c:pt idx="297">
                  <c:v>221.48</c:v>
                </c:pt>
                <c:pt idx="298">
                  <c:v>202.21</c:v>
                </c:pt>
                <c:pt idx="299">
                  <c:v>195.23</c:v>
                </c:pt>
                <c:pt idx="300">
                  <c:v>211.46</c:v>
                </c:pt>
                <c:pt idx="301">
                  <c:v>202.86</c:v>
                </c:pt>
                <c:pt idx="302">
                  <c:v>196.7</c:v>
                </c:pt>
                <c:pt idx="303">
                  <c:v>195.74</c:v>
                </c:pt>
                <c:pt idx="304">
                  <c:v>193.73</c:v>
                </c:pt>
                <c:pt idx="305">
                  <c:v>184.24</c:v>
                </c:pt>
                <c:pt idx="306">
                  <c:v>184.06</c:v>
                </c:pt>
                <c:pt idx="307">
                  <c:v>183.45</c:v>
                </c:pt>
                <c:pt idx="308">
                  <c:v>171.53</c:v>
                </c:pt>
                <c:pt idx="309">
                  <c:v>176.05</c:v>
                </c:pt>
                <c:pt idx="310">
                  <c:v>185.83</c:v>
                </c:pt>
                <c:pt idx="311">
                  <c:v>185.67</c:v>
                </c:pt>
                <c:pt idx="312">
                  <c:v>195.31</c:v>
                </c:pt>
                <c:pt idx="313">
                  <c:v>200.17</c:v>
                </c:pt>
                <c:pt idx="314">
                  <c:v>199.96</c:v>
                </c:pt>
                <c:pt idx="315">
                  <c:v>199.7</c:v>
                </c:pt>
                <c:pt idx="316">
                  <c:v>205.98</c:v>
                </c:pt>
                <c:pt idx="317">
                  <c:v>201.6</c:v>
                </c:pt>
                <c:pt idx="318">
                  <c:v>200.59</c:v>
                </c:pt>
                <c:pt idx="319">
                  <c:v>213.94</c:v>
                </c:pt>
                <c:pt idx="320">
                  <c:v>226.06</c:v>
                </c:pt>
                <c:pt idx="321">
                  <c:v>220.84</c:v>
                </c:pt>
                <c:pt idx="322">
                  <c:v>201.36</c:v>
                </c:pt>
                <c:pt idx="323">
                  <c:v>200.29</c:v>
                </c:pt>
                <c:pt idx="324">
                  <c:v>203.81</c:v>
                </c:pt>
                <c:pt idx="325">
                  <c:v>191.85</c:v>
                </c:pt>
                <c:pt idx="326">
                  <c:v>190.75</c:v>
                </c:pt>
                <c:pt idx="327">
                  <c:v>182.85</c:v>
                </c:pt>
                <c:pt idx="328">
                  <c:v>180.23</c:v>
                </c:pt>
                <c:pt idx="329">
                  <c:v>180.67</c:v>
                </c:pt>
                <c:pt idx="330">
                  <c:v>187.64</c:v>
                </c:pt>
                <c:pt idx="331">
                  <c:v>179.08</c:v>
                </c:pt>
                <c:pt idx="332">
                  <c:v>175.89</c:v>
                </c:pt>
                <c:pt idx="333">
                  <c:v>165.22</c:v>
                </c:pt>
                <c:pt idx="334">
                  <c:v>171.76</c:v>
                </c:pt>
                <c:pt idx="335">
                  <c:v>170.25</c:v>
                </c:pt>
                <c:pt idx="336">
                  <c:v>179.36</c:v>
                </c:pt>
                <c:pt idx="337">
                  <c:v>181.43</c:v>
                </c:pt>
                <c:pt idx="338">
                  <c:v>177.34</c:v>
                </c:pt>
                <c:pt idx="339">
                  <c:v>208.32</c:v>
                </c:pt>
                <c:pt idx="340">
                  <c:v>227.13</c:v>
                </c:pt>
                <c:pt idx="341">
                  <c:v>226.65</c:v>
                </c:pt>
                <c:pt idx="342">
                  <c:v>236.5</c:v>
                </c:pt>
                <c:pt idx="343">
                  <c:v>226.59</c:v>
                </c:pt>
                <c:pt idx="344">
                  <c:v>237.49</c:v>
                </c:pt>
                <c:pt idx="345">
                  <c:v>210.26</c:v>
                </c:pt>
                <c:pt idx="346">
                  <c:v>207.83</c:v>
                </c:pt>
                <c:pt idx="347">
                  <c:v>213.49</c:v>
                </c:pt>
                <c:pt idx="348">
                  <c:v>225.76</c:v>
                </c:pt>
                <c:pt idx="349">
                  <c:v>196.69</c:v>
                </c:pt>
                <c:pt idx="350">
                  <c:v>183.62</c:v>
                </c:pt>
                <c:pt idx="351">
                  <c:v>181.56</c:v>
                </c:pt>
                <c:pt idx="352">
                  <c:v>181.49</c:v>
                </c:pt>
                <c:pt idx="353">
                  <c:v>167.28</c:v>
                </c:pt>
                <c:pt idx="354">
                  <c:v>150.76</c:v>
                </c:pt>
                <c:pt idx="355">
                  <c:v>155.57</c:v>
                </c:pt>
                <c:pt idx="356">
                  <c:v>155.05000000000001</c:v>
                </c:pt>
                <c:pt idx="357">
                  <c:v>145.07</c:v>
                </c:pt>
                <c:pt idx="358">
                  <c:v>155.93</c:v>
                </c:pt>
                <c:pt idx="359">
                  <c:v>141.97999999999999</c:v>
                </c:pt>
                <c:pt idx="360">
                  <c:v>132</c:v>
                </c:pt>
                <c:pt idx="361">
                  <c:v>129.36000000000001</c:v>
                </c:pt>
                <c:pt idx="362">
                  <c:v>133.36000000000001</c:v>
                </c:pt>
                <c:pt idx="363">
                  <c:v>134.65</c:v>
                </c:pt>
                <c:pt idx="364">
                  <c:v>133.27000000000001</c:v>
                </c:pt>
                <c:pt idx="365">
                  <c:v>122.44</c:v>
                </c:pt>
                <c:pt idx="366">
                  <c:v>134.66999999999999</c:v>
                </c:pt>
                <c:pt idx="367">
                  <c:v>137.07</c:v>
                </c:pt>
                <c:pt idx="368">
                  <c:v>141.01</c:v>
                </c:pt>
                <c:pt idx="369">
                  <c:v>137.66999999999999</c:v>
                </c:pt>
                <c:pt idx="370">
                  <c:v>137.66</c:v>
                </c:pt>
                <c:pt idx="371">
                  <c:v>129.72</c:v>
                </c:pt>
                <c:pt idx="372">
                  <c:v>149.69</c:v>
                </c:pt>
                <c:pt idx="373">
                  <c:v>151.86000000000001</c:v>
                </c:pt>
                <c:pt idx="374">
                  <c:v>151.96</c:v>
                </c:pt>
                <c:pt idx="375">
                  <c:v>142.80000000000001</c:v>
                </c:pt>
                <c:pt idx="376">
                  <c:v>143.52000000000001</c:v>
                </c:pt>
                <c:pt idx="377">
                  <c:v>143.65</c:v>
                </c:pt>
                <c:pt idx="378">
                  <c:v>152.5</c:v>
                </c:pt>
                <c:pt idx="379">
                  <c:v>147.38</c:v>
                </c:pt>
                <c:pt idx="380">
                  <c:v>133.41999999999999</c:v>
                </c:pt>
                <c:pt idx="381">
                  <c:v>138.87</c:v>
                </c:pt>
                <c:pt idx="382">
                  <c:v>170.07</c:v>
                </c:pt>
                <c:pt idx="383">
                  <c:v>177.26</c:v>
                </c:pt>
                <c:pt idx="384">
                  <c:v>172.19</c:v>
                </c:pt>
                <c:pt idx="385">
                  <c:v>169.35</c:v>
                </c:pt>
                <c:pt idx="386">
                  <c:v>168.92</c:v>
                </c:pt>
                <c:pt idx="387">
                  <c:v>158.43</c:v>
                </c:pt>
                <c:pt idx="388">
                  <c:v>155.34</c:v>
                </c:pt>
                <c:pt idx="389">
                  <c:v>161.24</c:v>
                </c:pt>
                <c:pt idx="390">
                  <c:v>136.96</c:v>
                </c:pt>
                <c:pt idx="391">
                  <c:v>126.24</c:v>
                </c:pt>
                <c:pt idx="392">
                  <c:v>124.21</c:v>
                </c:pt>
                <c:pt idx="393">
                  <c:v>130.05000000000001</c:v>
                </c:pt>
                <c:pt idx="394">
                  <c:v>128.80000000000001</c:v>
                </c:pt>
                <c:pt idx="395">
                  <c:v>129.83000000000001</c:v>
                </c:pt>
                <c:pt idx="396">
                  <c:v>127.88</c:v>
                </c:pt>
                <c:pt idx="397">
                  <c:v>129.61000000000001</c:v>
                </c:pt>
                <c:pt idx="398">
                  <c:v>127.78</c:v>
                </c:pt>
                <c:pt idx="399">
                  <c:v>111.13</c:v>
                </c:pt>
                <c:pt idx="400">
                  <c:v>102.45</c:v>
                </c:pt>
                <c:pt idx="401">
                  <c:v>114.32</c:v>
                </c:pt>
                <c:pt idx="402">
                  <c:v>104.45</c:v>
                </c:pt>
                <c:pt idx="403">
                  <c:v>114.58</c:v>
                </c:pt>
                <c:pt idx="404">
                  <c:v>119.85</c:v>
                </c:pt>
                <c:pt idx="405">
                  <c:v>109.34</c:v>
                </c:pt>
                <c:pt idx="406">
                  <c:v>101.01</c:v>
                </c:pt>
                <c:pt idx="407">
                  <c:v>92.94</c:v>
                </c:pt>
                <c:pt idx="408">
                  <c:v>81.319999999999993</c:v>
                </c:pt>
                <c:pt idx="409">
                  <c:v>82.35</c:v>
                </c:pt>
                <c:pt idx="410">
                  <c:v>82.28</c:v>
                </c:pt>
                <c:pt idx="411">
                  <c:v>76.67</c:v>
                </c:pt>
                <c:pt idx="412">
                  <c:v>72.2</c:v>
                </c:pt>
                <c:pt idx="413">
                  <c:v>74.7</c:v>
                </c:pt>
                <c:pt idx="414">
                  <c:v>77.41</c:v>
                </c:pt>
                <c:pt idx="415">
                  <c:v>76.760000000000005</c:v>
                </c:pt>
                <c:pt idx="416">
                  <c:v>83.37</c:v>
                </c:pt>
                <c:pt idx="417">
                  <c:v>83.55</c:v>
                </c:pt>
                <c:pt idx="418">
                  <c:v>83.14</c:v>
                </c:pt>
                <c:pt idx="419">
                  <c:v>79.52</c:v>
                </c:pt>
                <c:pt idx="420">
                  <c:v>89</c:v>
                </c:pt>
                <c:pt idx="421">
                  <c:v>88.9</c:v>
                </c:pt>
                <c:pt idx="422">
                  <c:v>85.08</c:v>
                </c:pt>
                <c:pt idx="423">
                  <c:v>87.65</c:v>
                </c:pt>
                <c:pt idx="424">
                  <c:v>78.91</c:v>
                </c:pt>
                <c:pt idx="425">
                  <c:v>72.7</c:v>
                </c:pt>
                <c:pt idx="426">
                  <c:v>69.150000000000006</c:v>
                </c:pt>
                <c:pt idx="427">
                  <c:v>71</c:v>
                </c:pt>
                <c:pt idx="428">
                  <c:v>81.75</c:v>
                </c:pt>
                <c:pt idx="429">
                  <c:v>89.25</c:v>
                </c:pt>
                <c:pt idx="430">
                  <c:v>89.03</c:v>
                </c:pt>
                <c:pt idx="431">
                  <c:v>82.87</c:v>
                </c:pt>
                <c:pt idx="432">
                  <c:v>87.14</c:v>
                </c:pt>
                <c:pt idx="433">
                  <c:v>82.53</c:v>
                </c:pt>
                <c:pt idx="434">
                  <c:v>81.53</c:v>
                </c:pt>
                <c:pt idx="435">
                  <c:v>73.42</c:v>
                </c:pt>
                <c:pt idx="436">
                  <c:v>76.319999999999993</c:v>
                </c:pt>
                <c:pt idx="437">
                  <c:v>73.84</c:v>
                </c:pt>
                <c:pt idx="438">
                  <c:v>62.28</c:v>
                </c:pt>
                <c:pt idx="439">
                  <c:v>63.85</c:v>
                </c:pt>
                <c:pt idx="440">
                  <c:v>65.959999999999994</c:v>
                </c:pt>
                <c:pt idx="441">
                  <c:v>60.72</c:v>
                </c:pt>
                <c:pt idx="442">
                  <c:v>59.27</c:v>
                </c:pt>
                <c:pt idx="443">
                  <c:v>57.93</c:v>
                </c:pt>
                <c:pt idx="444">
                  <c:v>59.23</c:v>
                </c:pt>
                <c:pt idx="445">
                  <c:v>61.02</c:v>
                </c:pt>
                <c:pt idx="446">
                  <c:v>58.9</c:v>
                </c:pt>
                <c:pt idx="447">
                  <c:v>63.2</c:v>
                </c:pt>
                <c:pt idx="448">
                  <c:v>58.95</c:v>
                </c:pt>
                <c:pt idx="449">
                  <c:v>54.67</c:v>
                </c:pt>
                <c:pt idx="450">
                  <c:v>53.96</c:v>
                </c:pt>
                <c:pt idx="451">
                  <c:v>53.8</c:v>
                </c:pt>
                <c:pt idx="452">
                  <c:v>55.6</c:v>
                </c:pt>
                <c:pt idx="453">
                  <c:v>55.72</c:v>
                </c:pt>
                <c:pt idx="454">
                  <c:v>54.01</c:v>
                </c:pt>
                <c:pt idx="455">
                  <c:v>54.87</c:v>
                </c:pt>
                <c:pt idx="456">
                  <c:v>55.77</c:v>
                </c:pt>
                <c:pt idx="457">
                  <c:v>57.91</c:v>
                </c:pt>
                <c:pt idx="458">
                  <c:v>56.82</c:v>
                </c:pt>
                <c:pt idx="459">
                  <c:v>58.84</c:v>
                </c:pt>
                <c:pt idx="460">
                  <c:v>59.23</c:v>
                </c:pt>
                <c:pt idx="461">
                  <c:v>55.42</c:v>
                </c:pt>
                <c:pt idx="462">
                  <c:v>54.35</c:v>
                </c:pt>
                <c:pt idx="463">
                  <c:v>52.98</c:v>
                </c:pt>
                <c:pt idx="464">
                  <c:v>46.88</c:v>
                </c:pt>
                <c:pt idx="465">
                  <c:v>47.99</c:v>
                </c:pt>
                <c:pt idx="466">
                  <c:v>47.54</c:v>
                </c:pt>
                <c:pt idx="467">
                  <c:v>46.93</c:v>
                </c:pt>
                <c:pt idx="468">
                  <c:v>47.6</c:v>
                </c:pt>
                <c:pt idx="469">
                  <c:v>49.53</c:v>
                </c:pt>
                <c:pt idx="470">
                  <c:v>49.79</c:v>
                </c:pt>
                <c:pt idx="471">
                  <c:v>49.89</c:v>
                </c:pt>
                <c:pt idx="472">
                  <c:v>50.58</c:v>
                </c:pt>
                <c:pt idx="473">
                  <c:v>50.48</c:v>
                </c:pt>
                <c:pt idx="474">
                  <c:v>48.88</c:v>
                </c:pt>
                <c:pt idx="475">
                  <c:v>47.78</c:v>
                </c:pt>
                <c:pt idx="476">
                  <c:v>47.21</c:v>
                </c:pt>
                <c:pt idx="477">
                  <c:v>46.55</c:v>
                </c:pt>
                <c:pt idx="478">
                  <c:v>45.99</c:v>
                </c:pt>
                <c:pt idx="479">
                  <c:v>46.34</c:v>
                </c:pt>
                <c:pt idx="480">
                  <c:v>46.69</c:v>
                </c:pt>
                <c:pt idx="481">
                  <c:v>45.51</c:v>
                </c:pt>
                <c:pt idx="482">
                  <c:v>44.88</c:v>
                </c:pt>
                <c:pt idx="483">
                  <c:v>46.25</c:v>
                </c:pt>
                <c:pt idx="484">
                  <c:v>46.24</c:v>
                </c:pt>
                <c:pt idx="485">
                  <c:v>45.69</c:v>
                </c:pt>
                <c:pt idx="486">
                  <c:v>45.23</c:v>
                </c:pt>
                <c:pt idx="487">
                  <c:v>46.05</c:v>
                </c:pt>
                <c:pt idx="488">
                  <c:v>46.03</c:v>
                </c:pt>
                <c:pt idx="489">
                  <c:v>46.02</c:v>
                </c:pt>
                <c:pt idx="490">
                  <c:v>44.92</c:v>
                </c:pt>
                <c:pt idx="491">
                  <c:v>42.96</c:v>
                </c:pt>
                <c:pt idx="492">
                  <c:v>44.47</c:v>
                </c:pt>
                <c:pt idx="493">
                  <c:v>43.16</c:v>
                </c:pt>
                <c:pt idx="494">
                  <c:v>47.09</c:v>
                </c:pt>
                <c:pt idx="495">
                  <c:v>48.52</c:v>
                </c:pt>
                <c:pt idx="496">
                  <c:v>48.54</c:v>
                </c:pt>
                <c:pt idx="497">
                  <c:v>48.85</c:v>
                </c:pt>
                <c:pt idx="498">
                  <c:v>47.76</c:v>
                </c:pt>
                <c:pt idx="499">
                  <c:v>48.31</c:v>
                </c:pt>
                <c:pt idx="500">
                  <c:v>49.08</c:v>
                </c:pt>
                <c:pt idx="501">
                  <c:v>48.15</c:v>
                </c:pt>
                <c:pt idx="502">
                  <c:v>50.8</c:v>
                </c:pt>
                <c:pt idx="503">
                  <c:v>48.96</c:v>
                </c:pt>
                <c:pt idx="504">
                  <c:v>48.67</c:v>
                </c:pt>
                <c:pt idx="505">
                  <c:v>47.82</c:v>
                </c:pt>
                <c:pt idx="506">
                  <c:v>47.47</c:v>
                </c:pt>
                <c:pt idx="507">
                  <c:v>48.84</c:v>
                </c:pt>
                <c:pt idx="508">
                  <c:v>47.92</c:v>
                </c:pt>
                <c:pt idx="509">
                  <c:v>47.83</c:v>
                </c:pt>
                <c:pt idx="510">
                  <c:v>50.32</c:v>
                </c:pt>
                <c:pt idx="511">
                  <c:v>47.28</c:v>
                </c:pt>
                <c:pt idx="512">
                  <c:v>58.06</c:v>
                </c:pt>
                <c:pt idx="513">
                  <c:v>62.69</c:v>
                </c:pt>
                <c:pt idx="514">
                  <c:v>60.92</c:v>
                </c:pt>
                <c:pt idx="515">
                  <c:v>62.89</c:v>
                </c:pt>
                <c:pt idx="516">
                  <c:v>56.97</c:v>
                </c:pt>
                <c:pt idx="517">
                  <c:v>57.38</c:v>
                </c:pt>
                <c:pt idx="518">
                  <c:v>56.1</c:v>
                </c:pt>
                <c:pt idx="519">
                  <c:v>58.1</c:v>
                </c:pt>
                <c:pt idx="520">
                  <c:v>58.34</c:v>
                </c:pt>
                <c:pt idx="521">
                  <c:v>62.02</c:v>
                </c:pt>
                <c:pt idx="522">
                  <c:v>60.55</c:v>
                </c:pt>
                <c:pt idx="523">
                  <c:v>60.21</c:v>
                </c:pt>
                <c:pt idx="524">
                  <c:v>59.2</c:v>
                </c:pt>
                <c:pt idx="525">
                  <c:v>62.8</c:v>
                </c:pt>
                <c:pt idx="526">
                  <c:v>62.12</c:v>
                </c:pt>
                <c:pt idx="527">
                  <c:v>65.400000000000006</c:v>
                </c:pt>
                <c:pt idx="528">
                  <c:v>67.22</c:v>
                </c:pt>
                <c:pt idx="529">
                  <c:v>63.87</c:v>
                </c:pt>
                <c:pt idx="530">
                  <c:v>59.85</c:v>
                </c:pt>
                <c:pt idx="531">
                  <c:v>56.78</c:v>
                </c:pt>
                <c:pt idx="532">
                  <c:v>57.14</c:v>
                </c:pt>
                <c:pt idx="533">
                  <c:v>54.52</c:v>
                </c:pt>
                <c:pt idx="534">
                  <c:v>54.1</c:v>
                </c:pt>
                <c:pt idx="535">
                  <c:v>58.27</c:v>
                </c:pt>
                <c:pt idx="536">
                  <c:v>56.96</c:v>
                </c:pt>
                <c:pt idx="537">
                  <c:v>58.46</c:v>
                </c:pt>
                <c:pt idx="538">
                  <c:v>57.17</c:v>
                </c:pt>
                <c:pt idx="539">
                  <c:v>59.03</c:v>
                </c:pt>
                <c:pt idx="540">
                  <c:v>58.88</c:v>
                </c:pt>
                <c:pt idx="541">
                  <c:v>57.61</c:v>
                </c:pt>
                <c:pt idx="542">
                  <c:v>58.48</c:v>
                </c:pt>
                <c:pt idx="543">
                  <c:v>56.77</c:v>
                </c:pt>
                <c:pt idx="544">
                  <c:v>61.65</c:v>
                </c:pt>
                <c:pt idx="545">
                  <c:v>58.13</c:v>
                </c:pt>
                <c:pt idx="546">
                  <c:v>56.75</c:v>
                </c:pt>
                <c:pt idx="547">
                  <c:v>55.16</c:v>
                </c:pt>
                <c:pt idx="548">
                  <c:v>55.75</c:v>
                </c:pt>
                <c:pt idx="549">
                  <c:v>53.28</c:v>
                </c:pt>
                <c:pt idx="550">
                  <c:v>48.1</c:v>
                </c:pt>
                <c:pt idx="551">
                  <c:v>49.16</c:v>
                </c:pt>
                <c:pt idx="552">
                  <c:v>44.11</c:v>
                </c:pt>
                <c:pt idx="553">
                  <c:v>44.94</c:v>
                </c:pt>
                <c:pt idx="554">
                  <c:v>44.96</c:v>
                </c:pt>
                <c:pt idx="555">
                  <c:v>43.77</c:v>
                </c:pt>
                <c:pt idx="556">
                  <c:v>41.94</c:v>
                </c:pt>
                <c:pt idx="557">
                  <c:v>42.64</c:v>
                </c:pt>
                <c:pt idx="558">
                  <c:v>42.45</c:v>
                </c:pt>
                <c:pt idx="559">
                  <c:v>41.9</c:v>
                </c:pt>
                <c:pt idx="560">
                  <c:v>42.09</c:v>
                </c:pt>
                <c:pt idx="561">
                  <c:v>43.33</c:v>
                </c:pt>
                <c:pt idx="562">
                  <c:v>43.88</c:v>
                </c:pt>
                <c:pt idx="563">
                  <c:v>43.92</c:v>
                </c:pt>
                <c:pt idx="564">
                  <c:v>44.7</c:v>
                </c:pt>
                <c:pt idx="565">
                  <c:v>44.69</c:v>
                </c:pt>
                <c:pt idx="566">
                  <c:v>44.3</c:v>
                </c:pt>
                <c:pt idx="567">
                  <c:v>44.33</c:v>
                </c:pt>
                <c:pt idx="568">
                  <c:v>45.35</c:v>
                </c:pt>
                <c:pt idx="569">
                  <c:v>43.39</c:v>
                </c:pt>
                <c:pt idx="570">
                  <c:v>44.06</c:v>
                </c:pt>
                <c:pt idx="571">
                  <c:v>41.58</c:v>
                </c:pt>
                <c:pt idx="572">
                  <c:v>42.11</c:v>
                </c:pt>
                <c:pt idx="573">
                  <c:v>41.14</c:v>
                </c:pt>
                <c:pt idx="574">
                  <c:v>41.05</c:v>
                </c:pt>
                <c:pt idx="575">
                  <c:v>41.77</c:v>
                </c:pt>
                <c:pt idx="576">
                  <c:v>41.17</c:v>
                </c:pt>
                <c:pt idx="577">
                  <c:v>41.87</c:v>
                </c:pt>
                <c:pt idx="578">
                  <c:v>41.37</c:v>
                </c:pt>
                <c:pt idx="579">
                  <c:v>41.06</c:v>
                </c:pt>
                <c:pt idx="580">
                  <c:v>43.09</c:v>
                </c:pt>
                <c:pt idx="581">
                  <c:v>42.35</c:v>
                </c:pt>
                <c:pt idx="582">
                  <c:v>42.65</c:v>
                </c:pt>
                <c:pt idx="583">
                  <c:v>44.18</c:v>
                </c:pt>
                <c:pt idx="584">
                  <c:v>44.3</c:v>
                </c:pt>
                <c:pt idx="585">
                  <c:v>43</c:v>
                </c:pt>
                <c:pt idx="586">
                  <c:v>43.57</c:v>
                </c:pt>
                <c:pt idx="587">
                  <c:v>42.89</c:v>
                </c:pt>
                <c:pt idx="588">
                  <c:v>43.43</c:v>
                </c:pt>
                <c:pt idx="589">
                  <c:v>44.07</c:v>
                </c:pt>
                <c:pt idx="590">
                  <c:v>43.88</c:v>
                </c:pt>
                <c:pt idx="591">
                  <c:v>43.73</c:v>
                </c:pt>
                <c:pt idx="592">
                  <c:v>44.05</c:v>
                </c:pt>
                <c:pt idx="593">
                  <c:v>45.08</c:v>
                </c:pt>
                <c:pt idx="594">
                  <c:v>44.72</c:v>
                </c:pt>
                <c:pt idx="595">
                  <c:v>43.22</c:v>
                </c:pt>
                <c:pt idx="596">
                  <c:v>46.63</c:v>
                </c:pt>
                <c:pt idx="597">
                  <c:v>45.87</c:v>
                </c:pt>
                <c:pt idx="598">
                  <c:v>46.43</c:v>
                </c:pt>
                <c:pt idx="599">
                  <c:v>46.63</c:v>
                </c:pt>
                <c:pt idx="600">
                  <c:v>46.79</c:v>
                </c:pt>
                <c:pt idx="601">
                  <c:v>46.83</c:v>
                </c:pt>
                <c:pt idx="602">
                  <c:v>47.43</c:v>
                </c:pt>
                <c:pt idx="603">
                  <c:v>47.16</c:v>
                </c:pt>
                <c:pt idx="604">
                  <c:v>45.99</c:v>
                </c:pt>
                <c:pt idx="605">
                  <c:v>48.25</c:v>
                </c:pt>
                <c:pt idx="606">
                  <c:v>45.61</c:v>
                </c:pt>
                <c:pt idx="607">
                  <c:v>47.72</c:v>
                </c:pt>
                <c:pt idx="608">
                  <c:v>44.47</c:v>
                </c:pt>
                <c:pt idx="609">
                  <c:v>44.77</c:v>
                </c:pt>
                <c:pt idx="610">
                  <c:v>43.85</c:v>
                </c:pt>
                <c:pt idx="611">
                  <c:v>42.27</c:v>
                </c:pt>
                <c:pt idx="612">
                  <c:v>42.97</c:v>
                </c:pt>
                <c:pt idx="613">
                  <c:v>42.08</c:v>
                </c:pt>
                <c:pt idx="614">
                  <c:v>43.85</c:v>
                </c:pt>
                <c:pt idx="615">
                  <c:v>44.23</c:v>
                </c:pt>
                <c:pt idx="616">
                  <c:v>42.73</c:v>
                </c:pt>
                <c:pt idx="617">
                  <c:v>44.25</c:v>
                </c:pt>
                <c:pt idx="618">
                  <c:v>45.73</c:v>
                </c:pt>
                <c:pt idx="619">
                  <c:v>45.32</c:v>
                </c:pt>
                <c:pt idx="620">
                  <c:v>43.71</c:v>
                </c:pt>
                <c:pt idx="621">
                  <c:v>43.25</c:v>
                </c:pt>
                <c:pt idx="622">
                  <c:v>42.74</c:v>
                </c:pt>
                <c:pt idx="623">
                  <c:v>43.98</c:v>
                </c:pt>
                <c:pt idx="624">
                  <c:v>43.18</c:v>
                </c:pt>
                <c:pt idx="625">
                  <c:v>42.18</c:v>
                </c:pt>
                <c:pt idx="626">
                  <c:v>41.51</c:v>
                </c:pt>
                <c:pt idx="627">
                  <c:v>42.06</c:v>
                </c:pt>
                <c:pt idx="628">
                  <c:v>46.95</c:v>
                </c:pt>
                <c:pt idx="629">
                  <c:v>47.69</c:v>
                </c:pt>
                <c:pt idx="630">
                  <c:v>47.37</c:v>
                </c:pt>
                <c:pt idx="631">
                  <c:v>44.94</c:v>
                </c:pt>
                <c:pt idx="632">
                  <c:v>46.54</c:v>
                </c:pt>
                <c:pt idx="633">
                  <c:v>46.96</c:v>
                </c:pt>
                <c:pt idx="634">
                  <c:v>48.05</c:v>
                </c:pt>
                <c:pt idx="635">
                  <c:v>49.2</c:v>
                </c:pt>
                <c:pt idx="636">
                  <c:v>47.07</c:v>
                </c:pt>
                <c:pt idx="637">
                  <c:v>46.33</c:v>
                </c:pt>
                <c:pt idx="638">
                  <c:v>48.81</c:v>
                </c:pt>
                <c:pt idx="639">
                  <c:v>45.69</c:v>
                </c:pt>
                <c:pt idx="640">
                  <c:v>44.46</c:v>
                </c:pt>
                <c:pt idx="641">
                  <c:v>44.52</c:v>
                </c:pt>
                <c:pt idx="642">
                  <c:v>44.38</c:v>
                </c:pt>
                <c:pt idx="643">
                  <c:v>44.53</c:v>
                </c:pt>
                <c:pt idx="644">
                  <c:v>42.98</c:v>
                </c:pt>
                <c:pt idx="645">
                  <c:v>41.8</c:v>
                </c:pt>
                <c:pt idx="646">
                  <c:v>40.590000000000003</c:v>
                </c:pt>
                <c:pt idx="647">
                  <c:v>40.21</c:v>
                </c:pt>
                <c:pt idx="648">
                  <c:v>42.23</c:v>
                </c:pt>
                <c:pt idx="649">
                  <c:v>44.14</c:v>
                </c:pt>
                <c:pt idx="650">
                  <c:v>42.19</c:v>
                </c:pt>
                <c:pt idx="651">
                  <c:v>42.53</c:v>
                </c:pt>
                <c:pt idx="652">
                  <c:v>39.22</c:v>
                </c:pt>
                <c:pt idx="653">
                  <c:v>41.22</c:v>
                </c:pt>
                <c:pt idx="654">
                  <c:v>41.22</c:v>
                </c:pt>
                <c:pt idx="655">
                  <c:v>42</c:v>
                </c:pt>
                <c:pt idx="656">
                  <c:v>42.54</c:v>
                </c:pt>
                <c:pt idx="657">
                  <c:v>42.25</c:v>
                </c:pt>
                <c:pt idx="658">
                  <c:v>46.21</c:v>
                </c:pt>
                <c:pt idx="659">
                  <c:v>46.55</c:v>
                </c:pt>
                <c:pt idx="660">
                  <c:v>44.77</c:v>
                </c:pt>
                <c:pt idx="661">
                  <c:v>45.04</c:v>
                </c:pt>
                <c:pt idx="662">
                  <c:v>40.31</c:v>
                </c:pt>
                <c:pt idx="663">
                  <c:v>40.71</c:v>
                </c:pt>
                <c:pt idx="664">
                  <c:v>40.46</c:v>
                </c:pt>
                <c:pt idx="665">
                  <c:v>39.86</c:v>
                </c:pt>
                <c:pt idx="666">
                  <c:v>39.229999999999997</c:v>
                </c:pt>
                <c:pt idx="667">
                  <c:v>39.08</c:v>
                </c:pt>
                <c:pt idx="668">
                  <c:v>38.909999999999997</c:v>
                </c:pt>
                <c:pt idx="669">
                  <c:v>37.11</c:v>
                </c:pt>
                <c:pt idx="670">
                  <c:v>38.869999999999997</c:v>
                </c:pt>
                <c:pt idx="671">
                  <c:v>38.04</c:v>
                </c:pt>
                <c:pt idx="672">
                  <c:v>40.409999999999997</c:v>
                </c:pt>
                <c:pt idx="673">
                  <c:v>39.17</c:v>
                </c:pt>
                <c:pt idx="674">
                  <c:v>40.57</c:v>
                </c:pt>
                <c:pt idx="675">
                  <c:v>38.94</c:v>
                </c:pt>
                <c:pt idx="676">
                  <c:v>35.4</c:v>
                </c:pt>
                <c:pt idx="677">
                  <c:v>38.32</c:v>
                </c:pt>
                <c:pt idx="678">
                  <c:v>38.08</c:v>
                </c:pt>
                <c:pt idx="679">
                  <c:v>38.9</c:v>
                </c:pt>
                <c:pt idx="680">
                  <c:v>34.71</c:v>
                </c:pt>
                <c:pt idx="681">
                  <c:v>34.07</c:v>
                </c:pt>
                <c:pt idx="682">
                  <c:v>33.200000000000003</c:v>
                </c:pt>
                <c:pt idx="683">
                  <c:v>36.380000000000003</c:v>
                </c:pt>
                <c:pt idx="684">
                  <c:v>34.4</c:v>
                </c:pt>
                <c:pt idx="685">
                  <c:v>37.520000000000003</c:v>
                </c:pt>
                <c:pt idx="686">
                  <c:v>29.83</c:v>
                </c:pt>
                <c:pt idx="687">
                  <c:v>48.53</c:v>
                </c:pt>
                <c:pt idx="688">
                  <c:v>50.26</c:v>
                </c:pt>
                <c:pt idx="689">
                  <c:v>50.39</c:v>
                </c:pt>
                <c:pt idx="690">
                  <c:v>51</c:v>
                </c:pt>
                <c:pt idx="691">
                  <c:v>60.46</c:v>
                </c:pt>
                <c:pt idx="692">
                  <c:v>63.22</c:v>
                </c:pt>
                <c:pt idx="693">
                  <c:v>62.06</c:v>
                </c:pt>
                <c:pt idx="694">
                  <c:v>60.38</c:v>
                </c:pt>
                <c:pt idx="695">
                  <c:v>61.01</c:v>
                </c:pt>
                <c:pt idx="696">
                  <c:v>61.42</c:v>
                </c:pt>
                <c:pt idx="697">
                  <c:v>57.7</c:v>
                </c:pt>
                <c:pt idx="698">
                  <c:v>58.05</c:v>
                </c:pt>
                <c:pt idx="699">
                  <c:v>59.89</c:v>
                </c:pt>
                <c:pt idx="700">
                  <c:v>61.77</c:v>
                </c:pt>
                <c:pt idx="701">
                  <c:v>60.53</c:v>
                </c:pt>
                <c:pt idx="702">
                  <c:v>70.98</c:v>
                </c:pt>
                <c:pt idx="703">
                  <c:v>75.59</c:v>
                </c:pt>
                <c:pt idx="704">
                  <c:v>79.52</c:v>
                </c:pt>
                <c:pt idx="705">
                  <c:v>74.790000000000006</c:v>
                </c:pt>
                <c:pt idx="706">
                  <c:v>73.25</c:v>
                </c:pt>
                <c:pt idx="707">
                  <c:v>69.400000000000006</c:v>
                </c:pt>
                <c:pt idx="708">
                  <c:v>70.61</c:v>
                </c:pt>
                <c:pt idx="709">
                  <c:v>77.25</c:v>
                </c:pt>
                <c:pt idx="710">
                  <c:v>73.41</c:v>
                </c:pt>
                <c:pt idx="711">
                  <c:v>74.67</c:v>
                </c:pt>
                <c:pt idx="712">
                  <c:v>76.7</c:v>
                </c:pt>
                <c:pt idx="713">
                  <c:v>83.14</c:v>
                </c:pt>
                <c:pt idx="714">
                  <c:v>80.55</c:v>
                </c:pt>
                <c:pt idx="715">
                  <c:v>81.17</c:v>
                </c:pt>
                <c:pt idx="716">
                  <c:v>76.459999999999994</c:v>
                </c:pt>
                <c:pt idx="717">
                  <c:v>74.02</c:v>
                </c:pt>
                <c:pt idx="718">
                  <c:v>77</c:v>
                </c:pt>
                <c:pt idx="719">
                  <c:v>76.56</c:v>
                </c:pt>
                <c:pt idx="720">
                  <c:v>74.3</c:v>
                </c:pt>
                <c:pt idx="721">
                  <c:v>73.599999999999994</c:v>
                </c:pt>
                <c:pt idx="722">
                  <c:v>72.59</c:v>
                </c:pt>
                <c:pt idx="723">
                  <c:v>68.069999999999993</c:v>
                </c:pt>
                <c:pt idx="724">
                  <c:v>69.650000000000006</c:v>
                </c:pt>
                <c:pt idx="725">
                  <c:v>69.930000000000007</c:v>
                </c:pt>
                <c:pt idx="726">
                  <c:v>70.72</c:v>
                </c:pt>
                <c:pt idx="727">
                  <c:v>68</c:v>
                </c:pt>
                <c:pt idx="728">
                  <c:v>67.98</c:v>
                </c:pt>
                <c:pt idx="729">
                  <c:v>59.8</c:v>
                </c:pt>
                <c:pt idx="730">
                  <c:v>60.52</c:v>
                </c:pt>
                <c:pt idx="731">
                  <c:v>58.55</c:v>
                </c:pt>
                <c:pt idx="732">
                  <c:v>56.24</c:v>
                </c:pt>
                <c:pt idx="733">
                  <c:v>53.25</c:v>
                </c:pt>
                <c:pt idx="734">
                  <c:v>54.38</c:v>
                </c:pt>
                <c:pt idx="735">
                  <c:v>54.52</c:v>
                </c:pt>
                <c:pt idx="736">
                  <c:v>58.33</c:v>
                </c:pt>
                <c:pt idx="737">
                  <c:v>57.57</c:v>
                </c:pt>
                <c:pt idx="738">
                  <c:v>57.19</c:v>
                </c:pt>
                <c:pt idx="739">
                  <c:v>57.6</c:v>
                </c:pt>
                <c:pt idx="740">
                  <c:v>59.32</c:v>
                </c:pt>
                <c:pt idx="741">
                  <c:v>61.02</c:v>
                </c:pt>
                <c:pt idx="742">
                  <c:v>57.56</c:v>
                </c:pt>
                <c:pt idx="743">
                  <c:v>58.16</c:v>
                </c:pt>
                <c:pt idx="744">
                  <c:v>58.39</c:v>
                </c:pt>
                <c:pt idx="745">
                  <c:v>49.6</c:v>
                </c:pt>
                <c:pt idx="746">
                  <c:v>51.43</c:v>
                </c:pt>
                <c:pt idx="747">
                  <c:v>49.3</c:v>
                </c:pt>
                <c:pt idx="748">
                  <c:v>49.06</c:v>
                </c:pt>
                <c:pt idx="749">
                  <c:v>44.74</c:v>
                </c:pt>
                <c:pt idx="750">
                  <c:v>45.35</c:v>
                </c:pt>
                <c:pt idx="751">
                  <c:v>46.3</c:v>
                </c:pt>
                <c:pt idx="752">
                  <c:v>45.8</c:v>
                </c:pt>
                <c:pt idx="753">
                  <c:v>43.3</c:v>
                </c:pt>
                <c:pt idx="754">
                  <c:v>42.78</c:v>
                </c:pt>
                <c:pt idx="755">
                  <c:v>42.23</c:v>
                </c:pt>
                <c:pt idx="756">
                  <c:v>39.43</c:v>
                </c:pt>
                <c:pt idx="757">
                  <c:v>41.62</c:v>
                </c:pt>
                <c:pt idx="758">
                  <c:v>41.3</c:v>
                </c:pt>
                <c:pt idx="759">
                  <c:v>42.38</c:v>
                </c:pt>
                <c:pt idx="760">
                  <c:v>43.08</c:v>
                </c:pt>
                <c:pt idx="761">
                  <c:v>42.83</c:v>
                </c:pt>
                <c:pt idx="762">
                  <c:v>40.950000000000003</c:v>
                </c:pt>
                <c:pt idx="763">
                  <c:v>40.01</c:v>
                </c:pt>
                <c:pt idx="764">
                  <c:v>40.08</c:v>
                </c:pt>
                <c:pt idx="765">
                  <c:v>40.340000000000003</c:v>
                </c:pt>
                <c:pt idx="766">
                  <c:v>40.56</c:v>
                </c:pt>
                <c:pt idx="767">
                  <c:v>41.82</c:v>
                </c:pt>
                <c:pt idx="768">
                  <c:v>39.67</c:v>
                </c:pt>
                <c:pt idx="769">
                  <c:v>40.17</c:v>
                </c:pt>
                <c:pt idx="770">
                  <c:v>39.65</c:v>
                </c:pt>
                <c:pt idx="771">
                  <c:v>40.79</c:v>
                </c:pt>
                <c:pt idx="772">
                  <c:v>36.92</c:v>
                </c:pt>
                <c:pt idx="773">
                  <c:v>39.99</c:v>
                </c:pt>
                <c:pt idx="774">
                  <c:v>43.44</c:v>
                </c:pt>
                <c:pt idx="775">
                  <c:v>43.25</c:v>
                </c:pt>
                <c:pt idx="776">
                  <c:v>44.44</c:v>
                </c:pt>
                <c:pt idx="777">
                  <c:v>43.65</c:v>
                </c:pt>
                <c:pt idx="778">
                  <c:v>43.7</c:v>
                </c:pt>
                <c:pt idx="779">
                  <c:v>44.09</c:v>
                </c:pt>
                <c:pt idx="780">
                  <c:v>44.45</c:v>
                </c:pt>
                <c:pt idx="781">
                  <c:v>45.56</c:v>
                </c:pt>
                <c:pt idx="782">
                  <c:v>45.15</c:v>
                </c:pt>
                <c:pt idx="783">
                  <c:v>45.28</c:v>
                </c:pt>
                <c:pt idx="784">
                  <c:v>44.81</c:v>
                </c:pt>
                <c:pt idx="785">
                  <c:v>44.67</c:v>
                </c:pt>
                <c:pt idx="786">
                  <c:v>44.75</c:v>
                </c:pt>
                <c:pt idx="787">
                  <c:v>45.45</c:v>
                </c:pt>
                <c:pt idx="788">
                  <c:v>47.45</c:v>
                </c:pt>
                <c:pt idx="789">
                  <c:v>47.21</c:v>
                </c:pt>
                <c:pt idx="790">
                  <c:v>48.54</c:v>
                </c:pt>
                <c:pt idx="791">
                  <c:v>46.79</c:v>
                </c:pt>
                <c:pt idx="792">
                  <c:v>47.7</c:v>
                </c:pt>
                <c:pt idx="793">
                  <c:v>46.91</c:v>
                </c:pt>
                <c:pt idx="794">
                  <c:v>45.47</c:v>
                </c:pt>
                <c:pt idx="795">
                  <c:v>43.86</c:v>
                </c:pt>
                <c:pt idx="796">
                  <c:v>48.1</c:v>
                </c:pt>
                <c:pt idx="797">
                  <c:v>47.32</c:v>
                </c:pt>
                <c:pt idx="798">
                  <c:v>50.61</c:v>
                </c:pt>
                <c:pt idx="799">
                  <c:v>54.98</c:v>
                </c:pt>
                <c:pt idx="800">
                  <c:v>55.13</c:v>
                </c:pt>
                <c:pt idx="801">
                  <c:v>55.81</c:v>
                </c:pt>
                <c:pt idx="802">
                  <c:v>59.22</c:v>
                </c:pt>
                <c:pt idx="803">
                  <c:v>58.3</c:v>
                </c:pt>
                <c:pt idx="804">
                  <c:v>57.6</c:v>
                </c:pt>
                <c:pt idx="805">
                  <c:v>59</c:v>
                </c:pt>
                <c:pt idx="806">
                  <c:v>60.96</c:v>
                </c:pt>
                <c:pt idx="807">
                  <c:v>61.42</c:v>
                </c:pt>
                <c:pt idx="808">
                  <c:v>61.84</c:v>
                </c:pt>
                <c:pt idx="809">
                  <c:v>63.65</c:v>
                </c:pt>
                <c:pt idx="810">
                  <c:v>62.04</c:v>
                </c:pt>
                <c:pt idx="811">
                  <c:v>60.38</c:v>
                </c:pt>
                <c:pt idx="812">
                  <c:v>61.39</c:v>
                </c:pt>
                <c:pt idx="813">
                  <c:v>64.11</c:v>
                </c:pt>
                <c:pt idx="814">
                  <c:v>63.12</c:v>
                </c:pt>
                <c:pt idx="815">
                  <c:v>61.29</c:v>
                </c:pt>
                <c:pt idx="816">
                  <c:v>58.29</c:v>
                </c:pt>
                <c:pt idx="817">
                  <c:v>58.25</c:v>
                </c:pt>
                <c:pt idx="818">
                  <c:v>58.23</c:v>
                </c:pt>
                <c:pt idx="819">
                  <c:v>58.29</c:v>
                </c:pt>
                <c:pt idx="820">
                  <c:v>57.89</c:v>
                </c:pt>
                <c:pt idx="821">
                  <c:v>59.75</c:v>
                </c:pt>
                <c:pt idx="822">
                  <c:v>57.7</c:v>
                </c:pt>
                <c:pt idx="823">
                  <c:v>59.78</c:v>
                </c:pt>
                <c:pt idx="824">
                  <c:v>56.71</c:v>
                </c:pt>
                <c:pt idx="825">
                  <c:v>56.93</c:v>
                </c:pt>
                <c:pt idx="826">
                  <c:v>49.54</c:v>
                </c:pt>
                <c:pt idx="827">
                  <c:v>49.5</c:v>
                </c:pt>
                <c:pt idx="828">
                  <c:v>53.39</c:v>
                </c:pt>
                <c:pt idx="829">
                  <c:v>54.57</c:v>
                </c:pt>
                <c:pt idx="830">
                  <c:v>54.85</c:v>
                </c:pt>
                <c:pt idx="831">
                  <c:v>53.72</c:v>
                </c:pt>
                <c:pt idx="832">
                  <c:v>53.21</c:v>
                </c:pt>
                <c:pt idx="833">
                  <c:v>54.94</c:v>
                </c:pt>
                <c:pt idx="834">
                  <c:v>52.45</c:v>
                </c:pt>
                <c:pt idx="835">
                  <c:v>54.58</c:v>
                </c:pt>
                <c:pt idx="836">
                  <c:v>56.83</c:v>
                </c:pt>
                <c:pt idx="837">
                  <c:v>56.46</c:v>
                </c:pt>
                <c:pt idx="838">
                  <c:v>55.7</c:v>
                </c:pt>
                <c:pt idx="839">
                  <c:v>55.85</c:v>
                </c:pt>
                <c:pt idx="840">
                  <c:v>57.47</c:v>
                </c:pt>
                <c:pt idx="841">
                  <c:v>59.12</c:v>
                </c:pt>
                <c:pt idx="842">
                  <c:v>56.94</c:v>
                </c:pt>
                <c:pt idx="843">
                  <c:v>57.46</c:v>
                </c:pt>
                <c:pt idx="844">
                  <c:v>54.41</c:v>
                </c:pt>
                <c:pt idx="845">
                  <c:v>56.69</c:v>
                </c:pt>
                <c:pt idx="846">
                  <c:v>56.3</c:v>
                </c:pt>
                <c:pt idx="847">
                  <c:v>56.44</c:v>
                </c:pt>
                <c:pt idx="848">
                  <c:v>56.23</c:v>
                </c:pt>
                <c:pt idx="849">
                  <c:v>55.63</c:v>
                </c:pt>
                <c:pt idx="850">
                  <c:v>55.99</c:v>
                </c:pt>
                <c:pt idx="851">
                  <c:v>53.82</c:v>
                </c:pt>
                <c:pt idx="852">
                  <c:v>55.37</c:v>
                </c:pt>
                <c:pt idx="853">
                  <c:v>55.86</c:v>
                </c:pt>
                <c:pt idx="854">
                  <c:v>55.19</c:v>
                </c:pt>
                <c:pt idx="855">
                  <c:v>57.43</c:v>
                </c:pt>
                <c:pt idx="856">
                  <c:v>54.57</c:v>
                </c:pt>
                <c:pt idx="857">
                  <c:v>66.540000000000006</c:v>
                </c:pt>
                <c:pt idx="858">
                  <c:v>72.23</c:v>
                </c:pt>
                <c:pt idx="859">
                  <c:v>73.22</c:v>
                </c:pt>
                <c:pt idx="860">
                  <c:v>75.05</c:v>
                </c:pt>
                <c:pt idx="861">
                  <c:v>76.56</c:v>
                </c:pt>
                <c:pt idx="862">
                  <c:v>77.81</c:v>
                </c:pt>
                <c:pt idx="863">
                  <c:v>74.040000000000006</c:v>
                </c:pt>
                <c:pt idx="864">
                  <c:v>72.63</c:v>
                </c:pt>
                <c:pt idx="865">
                  <c:v>70.040000000000006</c:v>
                </c:pt>
                <c:pt idx="866">
                  <c:v>70.5</c:v>
                </c:pt>
                <c:pt idx="867">
                  <c:v>68.930000000000007</c:v>
                </c:pt>
                <c:pt idx="868">
                  <c:v>69.150000000000006</c:v>
                </c:pt>
                <c:pt idx="869">
                  <c:v>69.8</c:v>
                </c:pt>
                <c:pt idx="870">
                  <c:v>70.849999999999994</c:v>
                </c:pt>
                <c:pt idx="871">
                  <c:v>69.89</c:v>
                </c:pt>
                <c:pt idx="872">
                  <c:v>70.36</c:v>
                </c:pt>
                <c:pt idx="873">
                  <c:v>68.77</c:v>
                </c:pt>
                <c:pt idx="874">
                  <c:v>64.87</c:v>
                </c:pt>
                <c:pt idx="875">
                  <c:v>65.23</c:v>
                </c:pt>
                <c:pt idx="876">
                  <c:v>67.010000000000005</c:v>
                </c:pt>
                <c:pt idx="877">
                  <c:v>69.06</c:v>
                </c:pt>
                <c:pt idx="878">
                  <c:v>66.92</c:v>
                </c:pt>
                <c:pt idx="879">
                  <c:v>65.89</c:v>
                </c:pt>
                <c:pt idx="880">
                  <c:v>64.239999999999995</c:v>
                </c:pt>
                <c:pt idx="881">
                  <c:v>64.17</c:v>
                </c:pt>
                <c:pt idx="882">
                  <c:v>63.59</c:v>
                </c:pt>
                <c:pt idx="883">
                  <c:v>66.73</c:v>
                </c:pt>
                <c:pt idx="884">
                  <c:v>72.900000000000006</c:v>
                </c:pt>
                <c:pt idx="885">
                  <c:v>73.540000000000006</c:v>
                </c:pt>
                <c:pt idx="886">
                  <c:v>72.099999999999994</c:v>
                </c:pt>
                <c:pt idx="887">
                  <c:v>73.319999999999993</c:v>
                </c:pt>
                <c:pt idx="888">
                  <c:v>75.38</c:v>
                </c:pt>
                <c:pt idx="889">
                  <c:v>73.31</c:v>
                </c:pt>
                <c:pt idx="890">
                  <c:v>73.27</c:v>
                </c:pt>
                <c:pt idx="891">
                  <c:v>75.14</c:v>
                </c:pt>
                <c:pt idx="892">
                  <c:v>77.099999999999994</c:v>
                </c:pt>
                <c:pt idx="893">
                  <c:v>76.25</c:v>
                </c:pt>
                <c:pt idx="894">
                  <c:v>72.650000000000006</c:v>
                </c:pt>
                <c:pt idx="895">
                  <c:v>74.67</c:v>
                </c:pt>
                <c:pt idx="896">
                  <c:v>76.25</c:v>
                </c:pt>
                <c:pt idx="897">
                  <c:v>75.900000000000006</c:v>
                </c:pt>
                <c:pt idx="898">
                  <c:v>84.88</c:v>
                </c:pt>
                <c:pt idx="899">
                  <c:v>85.79</c:v>
                </c:pt>
                <c:pt idx="900">
                  <c:v>89.93</c:v>
                </c:pt>
                <c:pt idx="901">
                  <c:v>85.46</c:v>
                </c:pt>
                <c:pt idx="902">
                  <c:v>84.24</c:v>
                </c:pt>
                <c:pt idx="903">
                  <c:v>90.15</c:v>
                </c:pt>
                <c:pt idx="904">
                  <c:v>90.59</c:v>
                </c:pt>
                <c:pt idx="905">
                  <c:v>92.99</c:v>
                </c:pt>
                <c:pt idx="906">
                  <c:v>96.56</c:v>
                </c:pt>
                <c:pt idx="907">
                  <c:v>92.64</c:v>
                </c:pt>
                <c:pt idx="908">
                  <c:v>94.17</c:v>
                </c:pt>
                <c:pt idx="909">
                  <c:v>94.76</c:v>
                </c:pt>
                <c:pt idx="910">
                  <c:v>98.64</c:v>
                </c:pt>
                <c:pt idx="911">
                  <c:v>98.76</c:v>
                </c:pt>
                <c:pt idx="912">
                  <c:v>90.15</c:v>
                </c:pt>
                <c:pt idx="913">
                  <c:v>90.33</c:v>
                </c:pt>
                <c:pt idx="914">
                  <c:v>90</c:v>
                </c:pt>
                <c:pt idx="915">
                  <c:v>88.79</c:v>
                </c:pt>
                <c:pt idx="916">
                  <c:v>94.06</c:v>
                </c:pt>
                <c:pt idx="917">
                  <c:v>93.22</c:v>
                </c:pt>
                <c:pt idx="918">
                  <c:v>94.5</c:v>
                </c:pt>
                <c:pt idx="919">
                  <c:v>90.15</c:v>
                </c:pt>
                <c:pt idx="920">
                  <c:v>95.31</c:v>
                </c:pt>
                <c:pt idx="921">
                  <c:v>99.7</c:v>
                </c:pt>
                <c:pt idx="922">
                  <c:v>100.25</c:v>
                </c:pt>
                <c:pt idx="923">
                  <c:v>98.23</c:v>
                </c:pt>
                <c:pt idx="924">
                  <c:v>101.16</c:v>
                </c:pt>
                <c:pt idx="925">
                  <c:v>89.95</c:v>
                </c:pt>
                <c:pt idx="926">
                  <c:v>79.61</c:v>
                </c:pt>
                <c:pt idx="927">
                  <c:v>90.43</c:v>
                </c:pt>
                <c:pt idx="928">
                  <c:v>89.66</c:v>
                </c:pt>
                <c:pt idx="929">
                  <c:v>101.03</c:v>
                </c:pt>
                <c:pt idx="930">
                  <c:v>104.86</c:v>
                </c:pt>
                <c:pt idx="931">
                  <c:v>102.98</c:v>
                </c:pt>
                <c:pt idx="932">
                  <c:v>108.31</c:v>
                </c:pt>
                <c:pt idx="933">
                  <c:v>119.24</c:v>
                </c:pt>
                <c:pt idx="934">
                  <c:v>122.92</c:v>
                </c:pt>
                <c:pt idx="935">
                  <c:v>119.48</c:v>
                </c:pt>
                <c:pt idx="936">
                  <c:v>118.31</c:v>
                </c:pt>
                <c:pt idx="937">
                  <c:v>118.35</c:v>
                </c:pt>
                <c:pt idx="938">
                  <c:v>119.61</c:v>
                </c:pt>
                <c:pt idx="939">
                  <c:v>121.36</c:v>
                </c:pt>
                <c:pt idx="940">
                  <c:v>118.77</c:v>
                </c:pt>
                <c:pt idx="941">
                  <c:v>123.17</c:v>
                </c:pt>
                <c:pt idx="942">
                  <c:v>123.25</c:v>
                </c:pt>
                <c:pt idx="943">
                  <c:v>133.86000000000001</c:v>
                </c:pt>
                <c:pt idx="944">
                  <c:v>120.01</c:v>
                </c:pt>
                <c:pt idx="945">
                  <c:v>116.01</c:v>
                </c:pt>
                <c:pt idx="946">
                  <c:v>132.25</c:v>
                </c:pt>
                <c:pt idx="947">
                  <c:v>136.33000000000001</c:v>
                </c:pt>
                <c:pt idx="948">
                  <c:v>135.77000000000001</c:v>
                </c:pt>
                <c:pt idx="949">
                  <c:v>137.5</c:v>
                </c:pt>
                <c:pt idx="950">
                  <c:v>142.26</c:v>
                </c:pt>
                <c:pt idx="951">
                  <c:v>138.28</c:v>
                </c:pt>
                <c:pt idx="952">
                  <c:v>135.46</c:v>
                </c:pt>
                <c:pt idx="953">
                  <c:v>136.43</c:v>
                </c:pt>
                <c:pt idx="954">
                  <c:v>135.22</c:v>
                </c:pt>
                <c:pt idx="955">
                  <c:v>133.80000000000001</c:v>
                </c:pt>
                <c:pt idx="956">
                  <c:v>136.44999999999999</c:v>
                </c:pt>
                <c:pt idx="957">
                  <c:v>137.54</c:v>
                </c:pt>
                <c:pt idx="958">
                  <c:v>132</c:v>
                </c:pt>
                <c:pt idx="959">
                  <c:v>130.55000000000001</c:v>
                </c:pt>
                <c:pt idx="960">
                  <c:v>135.32</c:v>
                </c:pt>
                <c:pt idx="961">
                  <c:v>135.69</c:v>
                </c:pt>
                <c:pt idx="962">
                  <c:v>129.15</c:v>
                </c:pt>
                <c:pt idx="963">
                  <c:v>114.66</c:v>
                </c:pt>
                <c:pt idx="964">
                  <c:v>118.01</c:v>
                </c:pt>
                <c:pt idx="965">
                  <c:v>116.71</c:v>
                </c:pt>
                <c:pt idx="966">
                  <c:v>111.19</c:v>
                </c:pt>
                <c:pt idx="967">
                  <c:v>103.66</c:v>
                </c:pt>
                <c:pt idx="968">
                  <c:v>102.2</c:v>
                </c:pt>
                <c:pt idx="969">
                  <c:v>105.99</c:v>
                </c:pt>
                <c:pt idx="970">
                  <c:v>114.39</c:v>
                </c:pt>
                <c:pt idx="971">
                  <c:v>112.35</c:v>
                </c:pt>
                <c:pt idx="972">
                  <c:v>114.6</c:v>
                </c:pt>
                <c:pt idx="973">
                  <c:v>107.78</c:v>
                </c:pt>
                <c:pt idx="974">
                  <c:v>115.06</c:v>
                </c:pt>
                <c:pt idx="975">
                  <c:v>114.81</c:v>
                </c:pt>
                <c:pt idx="976">
                  <c:v>116.3</c:v>
                </c:pt>
                <c:pt idx="977">
                  <c:v>111</c:v>
                </c:pt>
                <c:pt idx="978">
                  <c:v>102.66</c:v>
                </c:pt>
                <c:pt idx="979">
                  <c:v>100.5</c:v>
                </c:pt>
                <c:pt idx="980">
                  <c:v>88.61</c:v>
                </c:pt>
                <c:pt idx="981">
                  <c:v>87.74</c:v>
                </c:pt>
                <c:pt idx="982">
                  <c:v>90.79</c:v>
                </c:pt>
                <c:pt idx="983">
                  <c:v>91.1</c:v>
                </c:pt>
                <c:pt idx="984">
                  <c:v>94.58</c:v>
                </c:pt>
                <c:pt idx="985">
                  <c:v>86.51</c:v>
                </c:pt>
                <c:pt idx="986">
                  <c:v>89.76</c:v>
                </c:pt>
                <c:pt idx="987">
                  <c:v>95.49</c:v>
                </c:pt>
                <c:pt idx="988">
                  <c:v>102.02</c:v>
                </c:pt>
                <c:pt idx="989">
                  <c:v>91.17</c:v>
                </c:pt>
                <c:pt idx="990">
                  <c:v>87.16</c:v>
                </c:pt>
                <c:pt idx="991">
                  <c:v>84.73</c:v>
                </c:pt>
                <c:pt idx="992">
                  <c:v>86.59</c:v>
                </c:pt>
                <c:pt idx="993">
                  <c:v>77.11</c:v>
                </c:pt>
                <c:pt idx="994">
                  <c:v>74.19</c:v>
                </c:pt>
                <c:pt idx="995">
                  <c:v>74.44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9A-49C7-97FD-4ED8B6FCC56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0.85136059249359808</c:v>
                </c:pt>
                <c:pt idx="1">
                  <c:v>0.85185772717463271</c:v>
                </c:pt>
                <c:pt idx="2">
                  <c:v>0.85661164901379228</c:v>
                </c:pt>
                <c:pt idx="3">
                  <c:v>0.85587493206004228</c:v>
                </c:pt>
                <c:pt idx="4">
                  <c:v>0.84904824288788017</c:v>
                </c:pt>
                <c:pt idx="5">
                  <c:v>0.84398420071371349</c:v>
                </c:pt>
                <c:pt idx="6">
                  <c:v>0.84170871681639459</c:v>
                </c:pt>
                <c:pt idx="7">
                  <c:v>0.8474335841933176</c:v>
                </c:pt>
                <c:pt idx="8">
                  <c:v>0.85096486503693458</c:v>
                </c:pt>
                <c:pt idx="9">
                  <c:v>0.85266184486040397</c:v>
                </c:pt>
                <c:pt idx="10">
                  <c:v>0.85642516498364718</c:v>
                </c:pt>
                <c:pt idx="11">
                  <c:v>0.85279285321017795</c:v>
                </c:pt>
                <c:pt idx="12">
                  <c:v>0.85245772976362622</c:v>
                </c:pt>
                <c:pt idx="13">
                  <c:v>0.85197526674093971</c:v>
                </c:pt>
                <c:pt idx="14">
                  <c:v>0.8482523828062607</c:v>
                </c:pt>
                <c:pt idx="15">
                  <c:v>0.85038648659395311</c:v>
                </c:pt>
                <c:pt idx="16">
                  <c:v>0.84677876697056176</c:v>
                </c:pt>
                <c:pt idx="17">
                  <c:v>0.84474645815004901</c:v>
                </c:pt>
                <c:pt idx="18">
                  <c:v>0.84428645644187872</c:v>
                </c:pt>
                <c:pt idx="19">
                  <c:v>0.84330126763677649</c:v>
                </c:pt>
                <c:pt idx="20">
                  <c:v>0.84366150072060064</c:v>
                </c:pt>
                <c:pt idx="21">
                  <c:v>0.84338452890478555</c:v>
                </c:pt>
                <c:pt idx="22">
                  <c:v>0.84217250159934687</c:v>
                </c:pt>
                <c:pt idx="23">
                  <c:v>0.8448545196750894</c:v>
                </c:pt>
                <c:pt idx="24">
                  <c:v>0.84684475365308931</c:v>
                </c:pt>
                <c:pt idx="25">
                  <c:v>0.84695669168116627</c:v>
                </c:pt>
                <c:pt idx="26">
                  <c:v>0.84646737006616635</c:v>
                </c:pt>
                <c:pt idx="27">
                  <c:v>0.8443996151069828</c:v>
                </c:pt>
                <c:pt idx="28">
                  <c:v>0.8458558275047604</c:v>
                </c:pt>
                <c:pt idx="29">
                  <c:v>0.8444177460639386</c:v>
                </c:pt>
                <c:pt idx="30">
                  <c:v>0.84686182458393855</c:v>
                </c:pt>
                <c:pt idx="31">
                  <c:v>0.85224191086863421</c:v>
                </c:pt>
                <c:pt idx="32">
                  <c:v>0.85486420860428647</c:v>
                </c:pt>
                <c:pt idx="33">
                  <c:v>0.85425182166704505</c:v>
                </c:pt>
                <c:pt idx="34">
                  <c:v>0.85808858499752116</c:v>
                </c:pt>
                <c:pt idx="35">
                  <c:v>0.86085179895573016</c:v>
                </c:pt>
                <c:pt idx="36">
                  <c:v>0.85700339142376303</c:v>
                </c:pt>
                <c:pt idx="37">
                  <c:v>0.85831081492376304</c:v>
                </c:pt>
                <c:pt idx="38">
                  <c:v>0.85630475533540684</c:v>
                </c:pt>
                <c:pt idx="39">
                  <c:v>0.85513066615557076</c:v>
                </c:pt>
                <c:pt idx="40">
                  <c:v>0.85638869235453363</c:v>
                </c:pt>
                <c:pt idx="41">
                  <c:v>0.85474624209066696</c:v>
                </c:pt>
                <c:pt idx="42">
                  <c:v>0.85645954052572215</c:v>
                </c:pt>
                <c:pt idx="43">
                  <c:v>0.86038382695425863</c:v>
                </c:pt>
                <c:pt idx="44">
                  <c:v>0.85555356423320605</c:v>
                </c:pt>
                <c:pt idx="45">
                  <c:v>0.85214261910653932</c:v>
                </c:pt>
                <c:pt idx="46">
                  <c:v>0.85704080336851607</c:v>
                </c:pt>
                <c:pt idx="47">
                  <c:v>0.85629165360449555</c:v>
                </c:pt>
                <c:pt idx="48">
                  <c:v>0.85589768959977841</c:v>
                </c:pt>
                <c:pt idx="49">
                  <c:v>0.86202722746937199</c:v>
                </c:pt>
                <c:pt idx="50">
                  <c:v>0.86834746004387209</c:v>
                </c:pt>
                <c:pt idx="51">
                  <c:v>0.86582941746925135</c:v>
                </c:pt>
                <c:pt idx="52">
                  <c:v>0.86618322852714591</c:v>
                </c:pt>
                <c:pt idx="53">
                  <c:v>0.85823629184680128</c:v>
                </c:pt>
                <c:pt idx="54">
                  <c:v>0.85848943716397763</c:v>
                </c:pt>
                <c:pt idx="55">
                  <c:v>0.8553636281588276</c:v>
                </c:pt>
                <c:pt idx="56">
                  <c:v>0.85862959515882753</c:v>
                </c:pt>
                <c:pt idx="57">
                  <c:v>0.86028289436471006</c:v>
                </c:pt>
                <c:pt idx="58">
                  <c:v>0.86309588945463123</c:v>
                </c:pt>
                <c:pt idx="59">
                  <c:v>0.86387631748880889</c:v>
                </c:pt>
                <c:pt idx="60">
                  <c:v>0.8602104980773021</c:v>
                </c:pt>
                <c:pt idx="61">
                  <c:v>0.85329554138322394</c:v>
                </c:pt>
                <c:pt idx="62">
                  <c:v>0.85400142135899315</c:v>
                </c:pt>
                <c:pt idx="63">
                  <c:v>0.86434877073821959</c:v>
                </c:pt>
                <c:pt idx="64">
                  <c:v>0.86187332496177982</c:v>
                </c:pt>
                <c:pt idx="65">
                  <c:v>0.86185095667483869</c:v>
                </c:pt>
                <c:pt idx="66">
                  <c:v>0.85744649461899913</c:v>
                </c:pt>
                <c:pt idx="67">
                  <c:v>0.86200757050736276</c:v>
                </c:pt>
                <c:pt idx="68">
                  <c:v>0.86712033869182714</c:v>
                </c:pt>
                <c:pt idx="69">
                  <c:v>0.85979952057260634</c:v>
                </c:pt>
                <c:pt idx="70">
                  <c:v>0.85263791643728526</c:v>
                </c:pt>
                <c:pt idx="71">
                  <c:v>0.86461901123473994</c:v>
                </c:pt>
                <c:pt idx="72">
                  <c:v>0.85966336104676233</c:v>
                </c:pt>
                <c:pt idx="73">
                  <c:v>0.87458060131686033</c:v>
                </c:pt>
                <c:pt idx="74">
                  <c:v>0.88202995124152705</c:v>
                </c:pt>
                <c:pt idx="75">
                  <c:v>0.86878975510462608</c:v>
                </c:pt>
                <c:pt idx="76">
                  <c:v>0.86510385654357347</c:v>
                </c:pt>
                <c:pt idx="77">
                  <c:v>0.87996307717126576</c:v>
                </c:pt>
                <c:pt idx="78">
                  <c:v>0.88003339320949359</c:v>
                </c:pt>
                <c:pt idx="79">
                  <c:v>0.90246861085315577</c:v>
                </c:pt>
                <c:pt idx="80">
                  <c:v>0.88696579260136021</c:v>
                </c:pt>
                <c:pt idx="81">
                  <c:v>0.87386250361359852</c:v>
                </c:pt>
                <c:pt idx="82">
                  <c:v>0.87048382015206005</c:v>
                </c:pt>
                <c:pt idx="83">
                  <c:v>0.86919275900542636</c:v>
                </c:pt>
                <c:pt idx="84">
                  <c:v>0.87070842909875978</c:v>
                </c:pt>
                <c:pt idx="85">
                  <c:v>0.8697561270548313</c:v>
                </c:pt>
                <c:pt idx="86">
                  <c:v>0.86418061282466319</c:v>
                </c:pt>
                <c:pt idx="87">
                  <c:v>0.86309794084956126</c:v>
                </c:pt>
                <c:pt idx="88">
                  <c:v>0.8600618999015015</c:v>
                </c:pt>
                <c:pt idx="89">
                  <c:v>0.85891142782797214</c:v>
                </c:pt>
                <c:pt idx="90">
                  <c:v>0.86027012004292547</c:v>
                </c:pt>
                <c:pt idx="91">
                  <c:v>0.85665198385424624</c:v>
                </c:pt>
                <c:pt idx="92">
                  <c:v>0.85344610781134678</c:v>
                </c:pt>
                <c:pt idx="93">
                  <c:v>0.86057372837329371</c:v>
                </c:pt>
                <c:pt idx="94">
                  <c:v>0.857121706832085</c:v>
                </c:pt>
                <c:pt idx="95">
                  <c:v>0.85489031287311057</c:v>
                </c:pt>
                <c:pt idx="96">
                  <c:v>0.85655240638195418</c:v>
                </c:pt>
                <c:pt idx="97">
                  <c:v>0.85393160313722294</c:v>
                </c:pt>
                <c:pt idx="98">
                  <c:v>0.85791370694384073</c:v>
                </c:pt>
                <c:pt idx="99">
                  <c:v>0.86735369926717398</c:v>
                </c:pt>
                <c:pt idx="100">
                  <c:v>0.858116294867174</c:v>
                </c:pt>
                <c:pt idx="101">
                  <c:v>0.85607324593164458</c:v>
                </c:pt>
                <c:pt idx="102">
                  <c:v>0.85275582997197419</c:v>
                </c:pt>
                <c:pt idx="103">
                  <c:v>0.8515784722004357</c:v>
                </c:pt>
                <c:pt idx="104">
                  <c:v>0.85582866297411986</c:v>
                </c:pt>
                <c:pt idx="105">
                  <c:v>0.84907879821966215</c:v>
                </c:pt>
                <c:pt idx="106">
                  <c:v>0.84984043003700915</c:v>
                </c:pt>
                <c:pt idx="107">
                  <c:v>0.84554470669833137</c:v>
                </c:pt>
                <c:pt idx="108">
                  <c:v>0.84570939830298253</c:v>
                </c:pt>
                <c:pt idx="109">
                  <c:v>0.84530365801223639</c:v>
                </c:pt>
                <c:pt idx="110">
                  <c:v>0.85000585329743639</c:v>
                </c:pt>
                <c:pt idx="111">
                  <c:v>0.84869414774449525</c:v>
                </c:pt>
                <c:pt idx="112">
                  <c:v>0.85334410130449534</c:v>
                </c:pt>
                <c:pt idx="113">
                  <c:v>0.85538333059155425</c:v>
                </c:pt>
                <c:pt idx="114">
                  <c:v>0.85024124813280422</c:v>
                </c:pt>
                <c:pt idx="115">
                  <c:v>0.8462785187837133</c:v>
                </c:pt>
                <c:pt idx="116">
                  <c:v>0.84399664919954664</c:v>
                </c:pt>
                <c:pt idx="117">
                  <c:v>0.8437628669952455</c:v>
                </c:pt>
                <c:pt idx="118">
                  <c:v>0.84345726287167422</c:v>
                </c:pt>
                <c:pt idx="119">
                  <c:v>0.83801084257496838</c:v>
                </c:pt>
                <c:pt idx="120">
                  <c:v>0.83409744486930792</c:v>
                </c:pt>
                <c:pt idx="121">
                  <c:v>0.83442798170012655</c:v>
                </c:pt>
                <c:pt idx="122">
                  <c:v>0.83921124305659323</c:v>
                </c:pt>
                <c:pt idx="123">
                  <c:v>0.84365954001065269</c:v>
                </c:pt>
                <c:pt idx="124">
                  <c:v>0.83921471897021793</c:v>
                </c:pt>
                <c:pt idx="125">
                  <c:v>0.84158180926683768</c:v>
                </c:pt>
                <c:pt idx="126">
                  <c:v>0.84355948332211772</c:v>
                </c:pt>
                <c:pt idx="127">
                  <c:v>0.83952248702414289</c:v>
                </c:pt>
                <c:pt idx="128">
                  <c:v>0.83169469951735497</c:v>
                </c:pt>
                <c:pt idx="129">
                  <c:v>0.83730929971013901</c:v>
                </c:pt>
                <c:pt idx="130">
                  <c:v>0.84083317861226847</c:v>
                </c:pt>
                <c:pt idx="131">
                  <c:v>0.84202295831335561</c:v>
                </c:pt>
                <c:pt idx="132">
                  <c:v>0.84244722198626698</c:v>
                </c:pt>
                <c:pt idx="133">
                  <c:v>0.8459350193339592</c:v>
                </c:pt>
                <c:pt idx="134">
                  <c:v>0.85030865998252037</c:v>
                </c:pt>
                <c:pt idx="135">
                  <c:v>0.84655129936516027</c:v>
                </c:pt>
                <c:pt idx="136">
                  <c:v>0.84562075053050922</c:v>
                </c:pt>
                <c:pt idx="137">
                  <c:v>0.88633987791662605</c:v>
                </c:pt>
                <c:pt idx="138">
                  <c:v>0.88394874361824771</c:v>
                </c:pt>
                <c:pt idx="139">
                  <c:v>0.88498367437637271</c:v>
                </c:pt>
                <c:pt idx="140">
                  <c:v>0.8892584637990073</c:v>
                </c:pt>
                <c:pt idx="141">
                  <c:v>0.89229671871123883</c:v>
                </c:pt>
                <c:pt idx="142">
                  <c:v>0.89150425378479214</c:v>
                </c:pt>
                <c:pt idx="143">
                  <c:v>0.90065573037358981</c:v>
                </c:pt>
                <c:pt idx="144">
                  <c:v>0.90540670014038982</c:v>
                </c:pt>
                <c:pt idx="145">
                  <c:v>0.89565617766917816</c:v>
                </c:pt>
                <c:pt idx="146">
                  <c:v>0.90410527995037815</c:v>
                </c:pt>
                <c:pt idx="147">
                  <c:v>0.88863612935284308</c:v>
                </c:pt>
                <c:pt idx="148">
                  <c:v>0.88919912688003733</c:v>
                </c:pt>
                <c:pt idx="149">
                  <c:v>0.8841157883576598</c:v>
                </c:pt>
                <c:pt idx="150">
                  <c:v>0.8829859495678638</c:v>
                </c:pt>
                <c:pt idx="151">
                  <c:v>0.88691815249426387</c:v>
                </c:pt>
                <c:pt idx="152">
                  <c:v>0.89100882560724692</c:v>
                </c:pt>
                <c:pt idx="153">
                  <c:v>0.88948241396075733</c:v>
                </c:pt>
                <c:pt idx="154">
                  <c:v>0.88504176433108717</c:v>
                </c:pt>
                <c:pt idx="155">
                  <c:v>0.88864582695632488</c:v>
                </c:pt>
                <c:pt idx="156">
                  <c:v>0.88402027955448181</c:v>
                </c:pt>
                <c:pt idx="157">
                  <c:v>0.89071261167995497</c:v>
                </c:pt>
                <c:pt idx="158">
                  <c:v>0.89232399975143251</c:v>
                </c:pt>
                <c:pt idx="159">
                  <c:v>0.89024663363252154</c:v>
                </c:pt>
                <c:pt idx="160">
                  <c:v>0.89165486481517364</c:v>
                </c:pt>
                <c:pt idx="161">
                  <c:v>0.88530992903685668</c:v>
                </c:pt>
                <c:pt idx="162">
                  <c:v>0.87872623075126932</c:v>
                </c:pt>
                <c:pt idx="163">
                  <c:v>0.88121370863992465</c:v>
                </c:pt>
                <c:pt idx="164">
                  <c:v>0.88845155705161638</c:v>
                </c:pt>
                <c:pt idx="165">
                  <c:v>0.89519611979184355</c:v>
                </c:pt>
                <c:pt idx="166">
                  <c:v>0.88896357156162797</c:v>
                </c:pt>
                <c:pt idx="167">
                  <c:v>0.88374983220891579</c:v>
                </c:pt>
                <c:pt idx="168">
                  <c:v>0.8738983864304174</c:v>
                </c:pt>
                <c:pt idx="169">
                  <c:v>0.8789726380484143</c:v>
                </c:pt>
                <c:pt idx="170">
                  <c:v>0.87827738271408984</c:v>
                </c:pt>
                <c:pt idx="171">
                  <c:v>0.87479856917113874</c:v>
                </c:pt>
                <c:pt idx="172">
                  <c:v>0.86720817909174563</c:v>
                </c:pt>
                <c:pt idx="173">
                  <c:v>0.87066606831286042</c:v>
                </c:pt>
                <c:pt idx="174">
                  <c:v>0.86276548912542805</c:v>
                </c:pt>
                <c:pt idx="175">
                  <c:v>0.8603193234573695</c:v>
                </c:pt>
                <c:pt idx="176">
                  <c:v>0.85642030749034359</c:v>
                </c:pt>
                <c:pt idx="177">
                  <c:v>0.85365123328379333</c:v>
                </c:pt>
                <c:pt idx="178">
                  <c:v>0.85463192335864757</c:v>
                </c:pt>
                <c:pt idx="179">
                  <c:v>0.85579719653599085</c:v>
                </c:pt>
                <c:pt idx="180">
                  <c:v>0.85938308950987841</c:v>
                </c:pt>
                <c:pt idx="181">
                  <c:v>0.85913045080802675</c:v>
                </c:pt>
                <c:pt idx="182">
                  <c:v>0.85351941049384539</c:v>
                </c:pt>
                <c:pt idx="183">
                  <c:v>0.85071786857695608</c:v>
                </c:pt>
                <c:pt idx="184">
                  <c:v>0.84581871350523596</c:v>
                </c:pt>
                <c:pt idx="185">
                  <c:v>0.84033291386234843</c:v>
                </c:pt>
                <c:pt idx="186">
                  <c:v>0.84434971446712659</c:v>
                </c:pt>
                <c:pt idx="187">
                  <c:v>0.84096390969125689</c:v>
                </c:pt>
                <c:pt idx="188">
                  <c:v>0.839992111817361</c:v>
                </c:pt>
                <c:pt idx="189">
                  <c:v>0.8365130019405651</c:v>
                </c:pt>
                <c:pt idx="190">
                  <c:v>0.83380008671592387</c:v>
                </c:pt>
                <c:pt idx="191">
                  <c:v>0.8284216359048121</c:v>
                </c:pt>
                <c:pt idx="192">
                  <c:v>0.83137497987783981</c:v>
                </c:pt>
                <c:pt idx="193">
                  <c:v>0.83485913832619896</c:v>
                </c:pt>
                <c:pt idx="194">
                  <c:v>0.83592833438280478</c:v>
                </c:pt>
                <c:pt idx="195">
                  <c:v>0.83649648149348421</c:v>
                </c:pt>
                <c:pt idx="196">
                  <c:v>0.84041393403643083</c:v>
                </c:pt>
                <c:pt idx="197">
                  <c:v>0.84188823307139693</c:v>
                </c:pt>
                <c:pt idx="198">
                  <c:v>0.83814694453841243</c:v>
                </c:pt>
                <c:pt idx="199">
                  <c:v>0.83908087078444737</c:v>
                </c:pt>
                <c:pt idx="200">
                  <c:v>0.84315037112401292</c:v>
                </c:pt>
                <c:pt idx="201">
                  <c:v>0.84315037112401292</c:v>
                </c:pt>
                <c:pt idx="202">
                  <c:v>0.84267758698649164</c:v>
                </c:pt>
                <c:pt idx="203">
                  <c:v>0.83876248589398883</c:v>
                </c:pt>
                <c:pt idx="204">
                  <c:v>0.83954582141159684</c:v>
                </c:pt>
                <c:pt idx="205">
                  <c:v>0.84382659326394627</c:v>
                </c:pt>
                <c:pt idx="206">
                  <c:v>0.84426582511685611</c:v>
                </c:pt>
                <c:pt idx="207">
                  <c:v>0.84599754891555179</c:v>
                </c:pt>
                <c:pt idx="208">
                  <c:v>0.84405081663445647</c:v>
                </c:pt>
                <c:pt idx="209">
                  <c:v>0.84177671870835646</c:v>
                </c:pt>
                <c:pt idx="210">
                  <c:v>0.83947220264227396</c:v>
                </c:pt>
                <c:pt idx="211">
                  <c:v>0.84169935417010522</c:v>
                </c:pt>
                <c:pt idx="212">
                  <c:v>0.83849077213819501</c:v>
                </c:pt>
                <c:pt idx="213">
                  <c:v>0.83700137982640455</c:v>
                </c:pt>
                <c:pt idx="214">
                  <c:v>0.8326746157464413</c:v>
                </c:pt>
                <c:pt idx="215">
                  <c:v>0.82704095094875651</c:v>
                </c:pt>
                <c:pt idx="216">
                  <c:v>0.8224505984852738</c:v>
                </c:pt>
                <c:pt idx="217">
                  <c:v>0.82934961950692798</c:v>
                </c:pt>
                <c:pt idx="218">
                  <c:v>0.82543598249583849</c:v>
                </c:pt>
                <c:pt idx="219">
                  <c:v>0.82042876234120821</c:v>
                </c:pt>
                <c:pt idx="220">
                  <c:v>0.81936147064345721</c:v>
                </c:pt>
                <c:pt idx="221">
                  <c:v>0.83376984762188611</c:v>
                </c:pt>
                <c:pt idx="222">
                  <c:v>0.82893588085891345</c:v>
                </c:pt>
                <c:pt idx="223">
                  <c:v>0.8339468837964098</c:v>
                </c:pt>
                <c:pt idx="224">
                  <c:v>0.83688228789859587</c:v>
                </c:pt>
                <c:pt idx="225">
                  <c:v>0.83796523499824038</c:v>
                </c:pt>
                <c:pt idx="226">
                  <c:v>0.84285547001513017</c:v>
                </c:pt>
                <c:pt idx="227">
                  <c:v>0.84506074489001626</c:v>
                </c:pt>
                <c:pt idx="228">
                  <c:v>0.83715774209569216</c:v>
                </c:pt>
                <c:pt idx="229">
                  <c:v>0.83198230926893368</c:v>
                </c:pt>
                <c:pt idx="230">
                  <c:v>0.82866504222193094</c:v>
                </c:pt>
                <c:pt idx="231">
                  <c:v>0.83475050109605653</c:v>
                </c:pt>
                <c:pt idx="232">
                  <c:v>0.83503900015115751</c:v>
                </c:pt>
                <c:pt idx="233">
                  <c:v>0.82444523410821546</c:v>
                </c:pt>
                <c:pt idx="234">
                  <c:v>0.81584310208614885</c:v>
                </c:pt>
                <c:pt idx="235">
                  <c:v>0.82459832733053728</c:v>
                </c:pt>
                <c:pt idx="236">
                  <c:v>0.82388169692049296</c:v>
                </c:pt>
                <c:pt idx="237">
                  <c:v>0.82710863971436144</c:v>
                </c:pt>
                <c:pt idx="238">
                  <c:v>0.82978198710880036</c:v>
                </c:pt>
                <c:pt idx="239">
                  <c:v>0.82482292481345387</c:v>
                </c:pt>
                <c:pt idx="240">
                  <c:v>0.82133259456854657</c:v>
                </c:pt>
                <c:pt idx="241">
                  <c:v>0.82320325450640131</c:v>
                </c:pt>
                <c:pt idx="242">
                  <c:v>0.81130934488826589</c:v>
                </c:pt>
                <c:pt idx="243">
                  <c:v>0.80923031907513254</c:v>
                </c:pt>
                <c:pt idx="244">
                  <c:v>0.81840256610845219</c:v>
                </c:pt>
                <c:pt idx="245">
                  <c:v>0.82457073932184854</c:v>
                </c:pt>
                <c:pt idx="246">
                  <c:v>0.82495288945759138</c:v>
                </c:pt>
                <c:pt idx="247">
                  <c:v>0.81605377169029381</c:v>
                </c:pt>
                <c:pt idx="248">
                  <c:v>0.8119123098026505</c:v>
                </c:pt>
                <c:pt idx="249">
                  <c:v>0.78705425877510726</c:v>
                </c:pt>
                <c:pt idx="250">
                  <c:v>0.79334853977115749</c:v>
                </c:pt>
                <c:pt idx="251">
                  <c:v>0.79978624430824552</c:v>
                </c:pt>
                <c:pt idx="252">
                  <c:v>0.80733122889705999</c:v>
                </c:pt>
                <c:pt idx="253">
                  <c:v>0.7854333532717297</c:v>
                </c:pt>
                <c:pt idx="254">
                  <c:v>0.81856203702960428</c:v>
                </c:pt>
                <c:pt idx="255">
                  <c:v>0.82393770367895447</c:v>
                </c:pt>
                <c:pt idx="256">
                  <c:v>0.82070645843895806</c:v>
                </c:pt>
                <c:pt idx="257">
                  <c:v>0.82523003282337026</c:v>
                </c:pt>
                <c:pt idx="258">
                  <c:v>0.83666566951135546</c:v>
                </c:pt>
                <c:pt idx="259">
                  <c:v>0.83395439105339408</c:v>
                </c:pt>
                <c:pt idx="260">
                  <c:v>0.82526634220793571</c:v>
                </c:pt>
                <c:pt idx="261">
                  <c:v>0.84553471032379568</c:v>
                </c:pt>
                <c:pt idx="262">
                  <c:v>0.82770389846907721</c:v>
                </c:pt>
                <c:pt idx="263">
                  <c:v>0.84180989701106956</c:v>
                </c:pt>
                <c:pt idx="264">
                  <c:v>0.81988025345244164</c:v>
                </c:pt>
                <c:pt idx="265">
                  <c:v>0.81781960045805702</c:v>
                </c:pt>
                <c:pt idx="266">
                  <c:v>0.83019491398993905</c:v>
                </c:pt>
                <c:pt idx="267">
                  <c:v>0.81470742702437426</c:v>
                </c:pt>
                <c:pt idx="268">
                  <c:v>0.78221025483162021</c:v>
                </c:pt>
                <c:pt idx="269">
                  <c:v>0.77348201874429479</c:v>
                </c:pt>
                <c:pt idx="270">
                  <c:v>0.76363542920738325</c:v>
                </c:pt>
                <c:pt idx="271">
                  <c:v>0.76590234607110663</c:v>
                </c:pt>
                <c:pt idx="272">
                  <c:v>0.76046232879492626</c:v>
                </c:pt>
                <c:pt idx="273">
                  <c:v>0.75250971956806056</c:v>
                </c:pt>
                <c:pt idx="274">
                  <c:v>0.75276589762486901</c:v>
                </c:pt>
                <c:pt idx="275">
                  <c:v>0.75145644716342797</c:v>
                </c:pt>
                <c:pt idx="276">
                  <c:v>0.74417316275971657</c:v>
                </c:pt>
                <c:pt idx="277">
                  <c:v>0.73252392501590569</c:v>
                </c:pt>
                <c:pt idx="278">
                  <c:v>0.73206839806323165</c:v>
                </c:pt>
                <c:pt idx="279">
                  <c:v>0.7387717004984059</c:v>
                </c:pt>
                <c:pt idx="280">
                  <c:v>0.72817662040525888</c:v>
                </c:pt>
                <c:pt idx="281">
                  <c:v>0.74151313320199386</c:v>
                </c:pt>
                <c:pt idx="282">
                  <c:v>0.75018900449438619</c:v>
                </c:pt>
                <c:pt idx="283">
                  <c:v>0.74237269872956346</c:v>
                </c:pt>
                <c:pt idx="284">
                  <c:v>0.74920897158171196</c:v>
                </c:pt>
                <c:pt idx="285">
                  <c:v>0.7443114127264272</c:v>
                </c:pt>
                <c:pt idx="286">
                  <c:v>0.76462195284007894</c:v>
                </c:pt>
                <c:pt idx="287">
                  <c:v>0.74369428218000422</c:v>
                </c:pt>
                <c:pt idx="288">
                  <c:v>0.73556409691003077</c:v>
                </c:pt>
                <c:pt idx="289">
                  <c:v>0.72155278483575036</c:v>
                </c:pt>
                <c:pt idx="290">
                  <c:v>0.71011240299769574</c:v>
                </c:pt>
                <c:pt idx="291">
                  <c:v>0.71775427776540324</c:v>
                </c:pt>
                <c:pt idx="292">
                  <c:v>0.72153580936798323</c:v>
                </c:pt>
                <c:pt idx="293">
                  <c:v>0.70359157724096932</c:v>
                </c:pt>
                <c:pt idx="294">
                  <c:v>0.70726089170407058</c:v>
                </c:pt>
                <c:pt idx="295">
                  <c:v>0.70049976677233561</c:v>
                </c:pt>
                <c:pt idx="296">
                  <c:v>0.71150101624006745</c:v>
                </c:pt>
                <c:pt idx="297">
                  <c:v>0.69872779856069511</c:v>
                </c:pt>
                <c:pt idx="298">
                  <c:v>0.68930311832549573</c:v>
                </c:pt>
                <c:pt idx="299">
                  <c:v>0.68606349478220485</c:v>
                </c:pt>
                <c:pt idx="300">
                  <c:v>0.69531046315850731</c:v>
                </c:pt>
                <c:pt idx="301">
                  <c:v>0.68923450856783719</c:v>
                </c:pt>
                <c:pt idx="302">
                  <c:v>0.68387841559838547</c:v>
                </c:pt>
                <c:pt idx="303">
                  <c:v>0.67956325161461351</c:v>
                </c:pt>
                <c:pt idx="304">
                  <c:v>0.67855924629944431</c:v>
                </c:pt>
                <c:pt idx="305">
                  <c:v>0.67413391455400251</c:v>
                </c:pt>
                <c:pt idx="306">
                  <c:v>0.67351272286276687</c:v>
                </c:pt>
                <c:pt idx="307">
                  <c:v>0.67109633210457975</c:v>
                </c:pt>
                <c:pt idx="308">
                  <c:v>0.66430942041590324</c:v>
                </c:pt>
                <c:pt idx="309">
                  <c:v>0.66758966579779322</c:v>
                </c:pt>
                <c:pt idx="310">
                  <c:v>0.67565944881966034</c:v>
                </c:pt>
                <c:pt idx="311">
                  <c:v>0.67481481636227336</c:v>
                </c:pt>
                <c:pt idx="312">
                  <c:v>0.68082587348727541</c:v>
                </c:pt>
                <c:pt idx="313">
                  <c:v>0.68279212699422553</c:v>
                </c:pt>
                <c:pt idx="314">
                  <c:v>0.6857718790129238</c:v>
                </c:pt>
                <c:pt idx="315">
                  <c:v>0.68629181470100598</c:v>
                </c:pt>
                <c:pt idx="316">
                  <c:v>0.69306798467728092</c:v>
                </c:pt>
                <c:pt idx="317">
                  <c:v>0.68553896794922509</c:v>
                </c:pt>
                <c:pt idx="318">
                  <c:v>0.6807190112381859</c:v>
                </c:pt>
                <c:pt idx="319">
                  <c:v>0.69142952982154804</c:v>
                </c:pt>
                <c:pt idx="320">
                  <c:v>0.69938199607053841</c:v>
                </c:pt>
                <c:pt idx="321">
                  <c:v>0.69240606952823058</c:v>
                </c:pt>
                <c:pt idx="322">
                  <c:v>0.67705546598372679</c:v>
                </c:pt>
                <c:pt idx="323">
                  <c:v>0.67066198238233998</c:v>
                </c:pt>
                <c:pt idx="324">
                  <c:v>0.66970704690808081</c:v>
                </c:pt>
                <c:pt idx="325">
                  <c:v>0.65880414303012547</c:v>
                </c:pt>
                <c:pt idx="326">
                  <c:v>0.65220522917998747</c:v>
                </c:pt>
                <c:pt idx="327">
                  <c:v>0.64644834043578314</c:v>
                </c:pt>
                <c:pt idx="328">
                  <c:v>0.64049904534452695</c:v>
                </c:pt>
                <c:pt idx="329">
                  <c:v>0.63391564172601345</c:v>
                </c:pt>
                <c:pt idx="330">
                  <c:v>0.6422764748738059</c:v>
                </c:pt>
                <c:pt idx="331">
                  <c:v>0.64037465252745052</c:v>
                </c:pt>
                <c:pt idx="332">
                  <c:v>0.63825589439002584</c:v>
                </c:pt>
                <c:pt idx="333">
                  <c:v>0.62714681588541821</c:v>
                </c:pt>
                <c:pt idx="334">
                  <c:v>0.62375615140641794</c:v>
                </c:pt>
                <c:pt idx="335">
                  <c:v>0.6271678745075483</c:v>
                </c:pt>
                <c:pt idx="336">
                  <c:v>0.63269431068165027</c:v>
                </c:pt>
                <c:pt idx="337">
                  <c:v>0.64665087446413216</c:v>
                </c:pt>
                <c:pt idx="338">
                  <c:v>0.64277696088238367</c:v>
                </c:pt>
                <c:pt idx="339">
                  <c:v>0.65090581021257488</c:v>
                </c:pt>
                <c:pt idx="340">
                  <c:v>0.64591491264984002</c:v>
                </c:pt>
                <c:pt idx="341">
                  <c:v>0.64552662478337275</c:v>
                </c:pt>
                <c:pt idx="342">
                  <c:v>0.64952636255760299</c:v>
                </c:pt>
                <c:pt idx="343">
                  <c:v>0.64245648368235575</c:v>
                </c:pt>
                <c:pt idx="344">
                  <c:v>0.64854325209269681</c:v>
                </c:pt>
                <c:pt idx="345">
                  <c:v>0.63042962969139082</c:v>
                </c:pt>
                <c:pt idx="346">
                  <c:v>0.6319583488779823</c:v>
                </c:pt>
                <c:pt idx="347">
                  <c:v>0.62546570826078252</c:v>
                </c:pt>
                <c:pt idx="348">
                  <c:v>0.63473718143996127</c:v>
                </c:pt>
                <c:pt idx="349">
                  <c:v>0.61130575244096874</c:v>
                </c:pt>
                <c:pt idx="350">
                  <c:v>0.5971489949480806</c:v>
                </c:pt>
                <c:pt idx="351">
                  <c:v>0.59907673496572977</c:v>
                </c:pt>
                <c:pt idx="352">
                  <c:v>0.60083720286389963</c:v>
                </c:pt>
                <c:pt idx="353">
                  <c:v>0.58688999122372787</c:v>
                </c:pt>
                <c:pt idx="354">
                  <c:v>0.57162540677233387</c:v>
                </c:pt>
                <c:pt idx="355">
                  <c:v>0.57267016293231732</c:v>
                </c:pt>
                <c:pt idx="356">
                  <c:v>0.57650725803072844</c:v>
                </c:pt>
                <c:pt idx="357">
                  <c:v>0.565171998122174</c:v>
                </c:pt>
                <c:pt idx="358">
                  <c:v>0.57475250923353405</c:v>
                </c:pt>
                <c:pt idx="359">
                  <c:v>0.55844148953831241</c:v>
                </c:pt>
                <c:pt idx="360">
                  <c:v>0.54997110834402385</c:v>
                </c:pt>
                <c:pt idx="361">
                  <c:v>0.5484186689191064</c:v>
                </c:pt>
                <c:pt idx="362">
                  <c:v>0.55038370261169323</c:v>
                </c:pt>
                <c:pt idx="363">
                  <c:v>0.54672662856635679</c:v>
                </c:pt>
                <c:pt idx="364">
                  <c:v>0.55864329182156014</c:v>
                </c:pt>
                <c:pt idx="365">
                  <c:v>0.55155414305825634</c:v>
                </c:pt>
                <c:pt idx="366">
                  <c:v>0.5576046822308135</c:v>
                </c:pt>
                <c:pt idx="367">
                  <c:v>0.55601682826712517</c:v>
                </c:pt>
                <c:pt idx="368">
                  <c:v>0.56872113028732529</c:v>
                </c:pt>
                <c:pt idx="369">
                  <c:v>0.56292015096303016</c:v>
                </c:pt>
                <c:pt idx="370">
                  <c:v>0.56661916283304603</c:v>
                </c:pt>
                <c:pt idx="371">
                  <c:v>0.55548878679110769</c:v>
                </c:pt>
                <c:pt idx="372">
                  <c:v>0.56962544576176766</c:v>
                </c:pt>
                <c:pt idx="373">
                  <c:v>0.56408073006379045</c:v>
                </c:pt>
                <c:pt idx="374">
                  <c:v>0.58211368776743289</c:v>
                </c:pt>
                <c:pt idx="375">
                  <c:v>0.57168740644786564</c:v>
                </c:pt>
                <c:pt idx="376">
                  <c:v>0.56864267911716437</c:v>
                </c:pt>
                <c:pt idx="377">
                  <c:v>0.57511674372850352</c:v>
                </c:pt>
                <c:pt idx="378">
                  <c:v>0.57384145553935195</c:v>
                </c:pt>
                <c:pt idx="379">
                  <c:v>0.56688946344247704</c:v>
                </c:pt>
                <c:pt idx="380">
                  <c:v>0.54741699177989189</c:v>
                </c:pt>
                <c:pt idx="381">
                  <c:v>0.5594324469722628</c:v>
                </c:pt>
                <c:pt idx="382">
                  <c:v>0.56433256987258895</c:v>
                </c:pt>
                <c:pt idx="383">
                  <c:v>0.57148161997135005</c:v>
                </c:pt>
                <c:pt idx="384">
                  <c:v>0.55746078734319082</c:v>
                </c:pt>
                <c:pt idx="385">
                  <c:v>0.54636248850097158</c:v>
                </c:pt>
                <c:pt idx="386">
                  <c:v>0.55096631873089175</c:v>
                </c:pt>
                <c:pt idx="387">
                  <c:v>0.53440055031182465</c:v>
                </c:pt>
                <c:pt idx="388">
                  <c:v>0.5251459602203965</c:v>
                </c:pt>
                <c:pt idx="389">
                  <c:v>0.52749957502300981</c:v>
                </c:pt>
                <c:pt idx="390">
                  <c:v>0.49833801378355702</c:v>
                </c:pt>
                <c:pt idx="391">
                  <c:v>0.4869753190731857</c:v>
                </c:pt>
                <c:pt idx="392">
                  <c:v>0.49306226123897723</c:v>
                </c:pt>
                <c:pt idx="393">
                  <c:v>0.49889560301183083</c:v>
                </c:pt>
                <c:pt idx="394">
                  <c:v>0.49170794065041862</c:v>
                </c:pt>
                <c:pt idx="395">
                  <c:v>0.48106017535371864</c:v>
                </c:pt>
                <c:pt idx="396">
                  <c:v>0.48982951681629322</c:v>
                </c:pt>
                <c:pt idx="397">
                  <c:v>0.50172510396623982</c:v>
                </c:pt>
                <c:pt idx="398">
                  <c:v>0.50479786380920844</c:v>
                </c:pt>
                <c:pt idx="399">
                  <c:v>0.47621063322565094</c:v>
                </c:pt>
                <c:pt idx="400">
                  <c:v>0.45390227586305953</c:v>
                </c:pt>
                <c:pt idx="401">
                  <c:v>0.4674552060473165</c:v>
                </c:pt>
                <c:pt idx="402">
                  <c:v>0.43657461597736269</c:v>
                </c:pt>
                <c:pt idx="403">
                  <c:v>0.45083374891374167</c:v>
                </c:pt>
                <c:pt idx="404">
                  <c:v>0.45840079226033337</c:v>
                </c:pt>
                <c:pt idx="405">
                  <c:v>0.44363766176532204</c:v>
                </c:pt>
                <c:pt idx="406">
                  <c:v>0.42852815643046099</c:v>
                </c:pt>
                <c:pt idx="407">
                  <c:v>0.4238622827630788</c:v>
                </c:pt>
                <c:pt idx="408">
                  <c:v>0.40192366747209324</c:v>
                </c:pt>
                <c:pt idx="409">
                  <c:v>0.40988379407963782</c:v>
                </c:pt>
                <c:pt idx="410">
                  <c:v>0.40245114985230301</c:v>
                </c:pt>
                <c:pt idx="411">
                  <c:v>0.39572474499667676</c:v>
                </c:pt>
                <c:pt idx="412">
                  <c:v>0.38983103065032454</c:v>
                </c:pt>
                <c:pt idx="413">
                  <c:v>0.39142316413176209</c:v>
                </c:pt>
                <c:pt idx="414">
                  <c:v>0.39276964826732325</c:v>
                </c:pt>
                <c:pt idx="415">
                  <c:v>0.38233482064575675</c:v>
                </c:pt>
                <c:pt idx="416">
                  <c:v>0.39111614761467389</c:v>
                </c:pt>
                <c:pt idx="417">
                  <c:v>0.39526114847414895</c:v>
                </c:pt>
                <c:pt idx="418">
                  <c:v>0.39224132303165721</c:v>
                </c:pt>
                <c:pt idx="419">
                  <c:v>0.38459819766793918</c:v>
                </c:pt>
                <c:pt idx="420">
                  <c:v>0.3967531823334392</c:v>
                </c:pt>
                <c:pt idx="421">
                  <c:v>0.39384282074866434</c:v>
                </c:pt>
                <c:pt idx="422">
                  <c:v>0.3817032224120967</c:v>
                </c:pt>
                <c:pt idx="423">
                  <c:v>0.38815460653363465</c:v>
                </c:pt>
                <c:pt idx="424">
                  <c:v>0.36986666108279764</c:v>
                </c:pt>
                <c:pt idx="425">
                  <c:v>0.36156520636918221</c:v>
                </c:pt>
                <c:pt idx="426">
                  <c:v>0.35676899423957731</c:v>
                </c:pt>
                <c:pt idx="427">
                  <c:v>0.35781016588836989</c:v>
                </c:pt>
                <c:pt idx="428">
                  <c:v>0.36827853444162534</c:v>
                </c:pt>
                <c:pt idx="429">
                  <c:v>0.37509647518042916</c:v>
                </c:pt>
                <c:pt idx="430">
                  <c:v>0.3754304516954648</c:v>
                </c:pt>
                <c:pt idx="431">
                  <c:v>0.35958585514093006</c:v>
                </c:pt>
                <c:pt idx="432">
                  <c:v>0.35858291881133836</c:v>
                </c:pt>
                <c:pt idx="433">
                  <c:v>0.34153129233630208</c:v>
                </c:pt>
                <c:pt idx="434">
                  <c:v>0.34390054426063116</c:v>
                </c:pt>
                <c:pt idx="435">
                  <c:v>0.32485811423779154</c:v>
                </c:pt>
                <c:pt idx="436">
                  <c:v>0.31935866599037821</c:v>
                </c:pt>
                <c:pt idx="437">
                  <c:v>0.29776898838963151</c:v>
                </c:pt>
                <c:pt idx="438">
                  <c:v>0.27564956684846115</c:v>
                </c:pt>
                <c:pt idx="439">
                  <c:v>0.27759281242239842</c:v>
                </c:pt>
                <c:pt idx="440">
                  <c:v>0.27813536362617775</c:v>
                </c:pt>
                <c:pt idx="441">
                  <c:v>0.26263101676690903</c:v>
                </c:pt>
                <c:pt idx="442">
                  <c:v>0.25484112126353764</c:v>
                </c:pt>
                <c:pt idx="443">
                  <c:v>0.25420686212394533</c:v>
                </c:pt>
                <c:pt idx="444">
                  <c:v>0.25615683231353359</c:v>
                </c:pt>
                <c:pt idx="445">
                  <c:v>0.25786798288068324</c:v>
                </c:pt>
                <c:pt idx="446">
                  <c:v>0.25448948176524111</c:v>
                </c:pt>
                <c:pt idx="447">
                  <c:v>0.26294828783976443</c:v>
                </c:pt>
                <c:pt idx="448">
                  <c:v>0.24887965615868862</c:v>
                </c:pt>
                <c:pt idx="449">
                  <c:v>0.23938750061204575</c:v>
                </c:pt>
                <c:pt idx="450">
                  <c:v>0.23387918670454358</c:v>
                </c:pt>
                <c:pt idx="451">
                  <c:v>0.22885753610898923</c:v>
                </c:pt>
                <c:pt idx="452">
                  <c:v>0.23297273613196576</c:v>
                </c:pt>
                <c:pt idx="453">
                  <c:v>0.2313349465903648</c:v>
                </c:pt>
                <c:pt idx="454">
                  <c:v>0.22859070063479101</c:v>
                </c:pt>
                <c:pt idx="455">
                  <c:v>0.2285118095847698</c:v>
                </c:pt>
                <c:pt idx="456">
                  <c:v>0.2290107181687823</c:v>
                </c:pt>
                <c:pt idx="457">
                  <c:v>0.23683004149314804</c:v>
                </c:pt>
                <c:pt idx="458">
                  <c:v>0.23585308659132112</c:v>
                </c:pt>
                <c:pt idx="459">
                  <c:v>0.23716173239195479</c:v>
                </c:pt>
                <c:pt idx="460">
                  <c:v>0.2341555959829216</c:v>
                </c:pt>
                <c:pt idx="461">
                  <c:v>0.22631042504377111</c:v>
                </c:pt>
                <c:pt idx="462">
                  <c:v>0.2240872445621068</c:v>
                </c:pt>
                <c:pt idx="463">
                  <c:v>0.22652861043745529</c:v>
                </c:pt>
                <c:pt idx="464">
                  <c:v>0.219339110901351</c:v>
                </c:pt>
                <c:pt idx="465">
                  <c:v>0.22135439727076148</c:v>
                </c:pt>
                <c:pt idx="466">
                  <c:v>0.2199248940060895</c:v>
                </c:pt>
                <c:pt idx="467">
                  <c:v>0.21948560527795616</c:v>
                </c:pt>
                <c:pt idx="468">
                  <c:v>0.21958397212686201</c:v>
                </c:pt>
                <c:pt idx="469">
                  <c:v>0.21992573160489601</c:v>
                </c:pt>
                <c:pt idx="470">
                  <c:v>0.21987712521080849</c:v>
                </c:pt>
                <c:pt idx="471">
                  <c:v>0.2214520829392147</c:v>
                </c:pt>
                <c:pt idx="472">
                  <c:v>0.22078988312717596</c:v>
                </c:pt>
                <c:pt idx="473">
                  <c:v>0.21963367384574409</c:v>
                </c:pt>
                <c:pt idx="474">
                  <c:v>0.21808145345963453</c:v>
                </c:pt>
                <c:pt idx="475">
                  <c:v>0.21880751019976116</c:v>
                </c:pt>
                <c:pt idx="476">
                  <c:v>0.2168824389786829</c:v>
                </c:pt>
                <c:pt idx="477">
                  <c:v>0.21392392655225512</c:v>
                </c:pt>
                <c:pt idx="478">
                  <c:v>0.2117035743565108</c:v>
                </c:pt>
                <c:pt idx="479">
                  <c:v>0.21597020309135145</c:v>
                </c:pt>
                <c:pt idx="480">
                  <c:v>0.21584007206386885</c:v>
                </c:pt>
                <c:pt idx="481">
                  <c:v>0.21435880741729682</c:v>
                </c:pt>
                <c:pt idx="482">
                  <c:v>0.21376262745387603</c:v>
                </c:pt>
                <c:pt idx="483">
                  <c:v>0.21431148551269083</c:v>
                </c:pt>
                <c:pt idx="484">
                  <c:v>0.21685883273001189</c:v>
                </c:pt>
                <c:pt idx="485">
                  <c:v>0.2160651270029357</c:v>
                </c:pt>
                <c:pt idx="486">
                  <c:v>0.21403592806252461</c:v>
                </c:pt>
                <c:pt idx="487">
                  <c:v>0.21720051807993143</c:v>
                </c:pt>
                <c:pt idx="488">
                  <c:v>0.21586150879810234</c:v>
                </c:pt>
                <c:pt idx="489">
                  <c:v>0.21522862837684675</c:v>
                </c:pt>
                <c:pt idx="490">
                  <c:v>0.2128479033455245</c:v>
                </c:pt>
                <c:pt idx="491">
                  <c:v>0.21003477192403294</c:v>
                </c:pt>
                <c:pt idx="492">
                  <c:v>0.21215498861344576</c:v>
                </c:pt>
                <c:pt idx="493">
                  <c:v>0.20985848949182812</c:v>
                </c:pt>
                <c:pt idx="494">
                  <c:v>0.21334270544586481</c:v>
                </c:pt>
                <c:pt idx="495">
                  <c:v>0.21397255923526143</c:v>
                </c:pt>
                <c:pt idx="496">
                  <c:v>0.21382803576113205</c:v>
                </c:pt>
                <c:pt idx="497">
                  <c:v>0.21270079388093391</c:v>
                </c:pt>
                <c:pt idx="498">
                  <c:v>0.21190851312565165</c:v>
                </c:pt>
                <c:pt idx="499">
                  <c:v>0.2122199321522614</c:v>
                </c:pt>
                <c:pt idx="500">
                  <c:v>0.21723509853218209</c:v>
                </c:pt>
                <c:pt idx="501">
                  <c:v>0.21451400697607972</c:v>
                </c:pt>
                <c:pt idx="502">
                  <c:v>0.21694167056449243</c:v>
                </c:pt>
                <c:pt idx="503">
                  <c:v>0.21399551496416036</c:v>
                </c:pt>
                <c:pt idx="504">
                  <c:v>0.21240808914409548</c:v>
                </c:pt>
                <c:pt idx="505">
                  <c:v>0.2120691806723955</c:v>
                </c:pt>
                <c:pt idx="506">
                  <c:v>0.21155643186299417</c:v>
                </c:pt>
                <c:pt idx="507">
                  <c:v>0.21243616829385351</c:v>
                </c:pt>
                <c:pt idx="508">
                  <c:v>0.20558881573369392</c:v>
                </c:pt>
                <c:pt idx="509">
                  <c:v>0.20490661450826833</c:v>
                </c:pt>
                <c:pt idx="510">
                  <c:v>0.20682980884151364</c:v>
                </c:pt>
                <c:pt idx="511">
                  <c:v>0.20197221390033709</c:v>
                </c:pt>
                <c:pt idx="512">
                  <c:v>0.21132862286016738</c:v>
                </c:pt>
                <c:pt idx="513">
                  <c:v>0.21593747490844903</c:v>
                </c:pt>
                <c:pt idx="514">
                  <c:v>0.21303187451531655</c:v>
                </c:pt>
                <c:pt idx="515">
                  <c:v>0.21808500267618708</c:v>
                </c:pt>
                <c:pt idx="516">
                  <c:v>0.20985913739139306</c:v>
                </c:pt>
                <c:pt idx="517">
                  <c:v>0.21368262425001308</c:v>
                </c:pt>
                <c:pt idx="518">
                  <c:v>0.21117008012320798</c:v>
                </c:pt>
                <c:pt idx="519">
                  <c:v>0.21290943585089372</c:v>
                </c:pt>
                <c:pt idx="520">
                  <c:v>0.21265428728928604</c:v>
                </c:pt>
                <c:pt idx="521">
                  <c:v>0.21720331497863646</c:v>
                </c:pt>
                <c:pt idx="522">
                  <c:v>0.21480672799837527</c:v>
                </c:pt>
                <c:pt idx="523">
                  <c:v>0.21226706333261836</c:v>
                </c:pt>
                <c:pt idx="524">
                  <c:v>0.20665716839468021</c:v>
                </c:pt>
                <c:pt idx="525">
                  <c:v>0.21543266502783187</c:v>
                </c:pt>
                <c:pt idx="526">
                  <c:v>0.21245441439712739</c:v>
                </c:pt>
                <c:pt idx="527">
                  <c:v>0.21576426237237162</c:v>
                </c:pt>
                <c:pt idx="528">
                  <c:v>0.21870253395037195</c:v>
                </c:pt>
                <c:pt idx="529">
                  <c:v>0.20867967685800165</c:v>
                </c:pt>
                <c:pt idx="530">
                  <c:v>0.19629639282238842</c:v>
                </c:pt>
                <c:pt idx="531">
                  <c:v>0.19016980370058836</c:v>
                </c:pt>
                <c:pt idx="532">
                  <c:v>0.19056445568606475</c:v>
                </c:pt>
                <c:pt idx="533">
                  <c:v>0.18268577420662946</c:v>
                </c:pt>
                <c:pt idx="534">
                  <c:v>0.17818855792635285</c:v>
                </c:pt>
                <c:pt idx="535">
                  <c:v>0.18285757036749695</c:v>
                </c:pt>
                <c:pt idx="536">
                  <c:v>0.181218917771689</c:v>
                </c:pt>
                <c:pt idx="537">
                  <c:v>0.18225500399000361</c:v>
                </c:pt>
                <c:pt idx="538">
                  <c:v>0.17834162689286004</c:v>
                </c:pt>
                <c:pt idx="539">
                  <c:v>0.18004998199295516</c:v>
                </c:pt>
                <c:pt idx="540">
                  <c:v>0.18090282138110031</c:v>
                </c:pt>
                <c:pt idx="541">
                  <c:v>0.17793367500557464</c:v>
                </c:pt>
                <c:pt idx="542">
                  <c:v>0.17916244496198</c:v>
                </c:pt>
                <c:pt idx="543">
                  <c:v>0.17683246845121012</c:v>
                </c:pt>
                <c:pt idx="544">
                  <c:v>0.1814619690673796</c:v>
                </c:pt>
                <c:pt idx="545">
                  <c:v>0.17236282693038812</c:v>
                </c:pt>
                <c:pt idx="546">
                  <c:v>0.17006230381237433</c:v>
                </c:pt>
                <c:pt idx="547">
                  <c:v>0.16792665243210156</c:v>
                </c:pt>
                <c:pt idx="548">
                  <c:v>0.17256497408239035</c:v>
                </c:pt>
                <c:pt idx="549">
                  <c:v>0.16787142052347059</c:v>
                </c:pt>
                <c:pt idx="550">
                  <c:v>0.16138593262822337</c:v>
                </c:pt>
                <c:pt idx="551">
                  <c:v>0.16703191737631065</c:v>
                </c:pt>
                <c:pt idx="552">
                  <c:v>0.15913894143145985</c:v>
                </c:pt>
                <c:pt idx="553">
                  <c:v>0.16074435619879673</c:v>
                </c:pt>
                <c:pt idx="554">
                  <c:v>0.16179636890733462</c:v>
                </c:pt>
                <c:pt idx="555">
                  <c:v>0.15900086986241793</c:v>
                </c:pt>
                <c:pt idx="556">
                  <c:v>0.15681101724217508</c:v>
                </c:pt>
                <c:pt idx="557">
                  <c:v>0.15716656574015817</c:v>
                </c:pt>
                <c:pt idx="558">
                  <c:v>0.1561341190814261</c:v>
                </c:pt>
                <c:pt idx="559">
                  <c:v>0.15573851258270302</c:v>
                </c:pt>
                <c:pt idx="560">
                  <c:v>0.15681358902532638</c:v>
                </c:pt>
                <c:pt idx="561">
                  <c:v>0.15704979955309004</c:v>
                </c:pt>
                <c:pt idx="562">
                  <c:v>0.157414244908546</c:v>
                </c:pt>
                <c:pt idx="563">
                  <c:v>0.15578792961644847</c:v>
                </c:pt>
                <c:pt idx="564">
                  <c:v>0.15586935105101554</c:v>
                </c:pt>
                <c:pt idx="565">
                  <c:v>0.15525567324734052</c:v>
                </c:pt>
                <c:pt idx="566">
                  <c:v>0.15371651885400145</c:v>
                </c:pt>
                <c:pt idx="567">
                  <c:v>0.1526042152571381</c:v>
                </c:pt>
                <c:pt idx="568">
                  <c:v>0.15400573541768683</c:v>
                </c:pt>
                <c:pt idx="569">
                  <c:v>0.14978338221000823</c:v>
                </c:pt>
                <c:pt idx="570">
                  <c:v>0.15144051613794671</c:v>
                </c:pt>
                <c:pt idx="571">
                  <c:v>0.14841129463609759</c:v>
                </c:pt>
                <c:pt idx="572">
                  <c:v>0.14807088343608518</c:v>
                </c:pt>
                <c:pt idx="573">
                  <c:v>0.14616876852176977</c:v>
                </c:pt>
                <c:pt idx="574">
                  <c:v>0.14689705716928092</c:v>
                </c:pt>
                <c:pt idx="575">
                  <c:v>0.1470326226281303</c:v>
                </c:pt>
                <c:pt idx="576">
                  <c:v>0.14600250051472458</c:v>
                </c:pt>
                <c:pt idx="577">
                  <c:v>0.14658852804532604</c:v>
                </c:pt>
                <c:pt idx="578">
                  <c:v>0.14495277682226726</c:v>
                </c:pt>
                <c:pt idx="579">
                  <c:v>0.14472670983348701</c:v>
                </c:pt>
                <c:pt idx="580">
                  <c:v>0.14480941684040222</c:v>
                </c:pt>
                <c:pt idx="581">
                  <c:v>0.14291905314570805</c:v>
                </c:pt>
                <c:pt idx="582">
                  <c:v>0.14288239072050804</c:v>
                </c:pt>
                <c:pt idx="583">
                  <c:v>0.14494157056075013</c:v>
                </c:pt>
                <c:pt idx="584">
                  <c:v>0.14501471654774681</c:v>
                </c:pt>
                <c:pt idx="585">
                  <c:v>0.14340148924476359</c:v>
                </c:pt>
                <c:pt idx="586">
                  <c:v>0.14459453347355308</c:v>
                </c:pt>
                <c:pt idx="587">
                  <c:v>0.14326146480279697</c:v>
                </c:pt>
                <c:pt idx="588">
                  <c:v>0.14462785883027285</c:v>
                </c:pt>
                <c:pt idx="589">
                  <c:v>0.14498625695875436</c:v>
                </c:pt>
                <c:pt idx="590">
                  <c:v>0.14482699526197981</c:v>
                </c:pt>
                <c:pt idx="591">
                  <c:v>0.14431837622767307</c:v>
                </c:pt>
                <c:pt idx="592">
                  <c:v>0.14185869325733463</c:v>
                </c:pt>
                <c:pt idx="593">
                  <c:v>0.14243998869883209</c:v>
                </c:pt>
                <c:pt idx="594">
                  <c:v>0.14137093102019421</c:v>
                </c:pt>
                <c:pt idx="595">
                  <c:v>0.14019090585889576</c:v>
                </c:pt>
                <c:pt idx="596">
                  <c:v>0.14292752505803208</c:v>
                </c:pt>
                <c:pt idx="597">
                  <c:v>0.14205593579395931</c:v>
                </c:pt>
                <c:pt idx="598">
                  <c:v>0.14264462514372406</c:v>
                </c:pt>
                <c:pt idx="599">
                  <c:v>0.14232962647239547</c:v>
                </c:pt>
                <c:pt idx="600">
                  <c:v>0.14038358324007461</c:v>
                </c:pt>
                <c:pt idx="601">
                  <c:v>0.1398610260532131</c:v>
                </c:pt>
                <c:pt idx="602">
                  <c:v>0.14176284994212082</c:v>
                </c:pt>
                <c:pt idx="603">
                  <c:v>0.14028729930851774</c:v>
                </c:pt>
                <c:pt idx="604">
                  <c:v>0.13729947890862976</c:v>
                </c:pt>
                <c:pt idx="605">
                  <c:v>0.14035709733449486</c:v>
                </c:pt>
                <c:pt idx="606">
                  <c:v>0.13630773510863228</c:v>
                </c:pt>
                <c:pt idx="607">
                  <c:v>0.13932213494824849</c:v>
                </c:pt>
                <c:pt idx="608">
                  <c:v>0.13451079043509467</c:v>
                </c:pt>
                <c:pt idx="609">
                  <c:v>0.13589771211753038</c:v>
                </c:pt>
                <c:pt idx="610">
                  <c:v>0.13335464104947486</c:v>
                </c:pt>
                <c:pt idx="611">
                  <c:v>0.13114472481370332</c:v>
                </c:pt>
                <c:pt idx="612">
                  <c:v>0.13162884781326586</c:v>
                </c:pt>
                <c:pt idx="613">
                  <c:v>0.13021745359658463</c:v>
                </c:pt>
                <c:pt idx="614">
                  <c:v>0.13370593883319659</c:v>
                </c:pt>
                <c:pt idx="615">
                  <c:v>0.13528213311603773</c:v>
                </c:pt>
                <c:pt idx="616">
                  <c:v>0.1328369832441888</c:v>
                </c:pt>
                <c:pt idx="617">
                  <c:v>0.13423547632163271</c:v>
                </c:pt>
                <c:pt idx="618">
                  <c:v>0.13572526270163271</c:v>
                </c:pt>
                <c:pt idx="619">
                  <c:v>0.13227029699598244</c:v>
                </c:pt>
                <c:pt idx="620">
                  <c:v>0.13130525205690075</c:v>
                </c:pt>
                <c:pt idx="621">
                  <c:v>0.13172658143287341</c:v>
                </c:pt>
                <c:pt idx="622">
                  <c:v>0.13138159262160218</c:v>
                </c:pt>
                <c:pt idx="623">
                  <c:v>0.13235159857359527</c:v>
                </c:pt>
                <c:pt idx="624">
                  <c:v>0.12914796816279439</c:v>
                </c:pt>
                <c:pt idx="625">
                  <c:v>0.12761976545103662</c:v>
                </c:pt>
                <c:pt idx="626">
                  <c:v>0.12680727063135142</c:v>
                </c:pt>
                <c:pt idx="627">
                  <c:v>0.12477686615249166</c:v>
                </c:pt>
                <c:pt idx="628">
                  <c:v>0.12904056815133141</c:v>
                </c:pt>
                <c:pt idx="629">
                  <c:v>0.13448563196867183</c:v>
                </c:pt>
                <c:pt idx="630">
                  <c:v>0.13264138070398476</c:v>
                </c:pt>
                <c:pt idx="631">
                  <c:v>0.12819584190253153</c:v>
                </c:pt>
                <c:pt idx="632">
                  <c:v>0.13164603068862152</c:v>
                </c:pt>
                <c:pt idx="633">
                  <c:v>0.13243565215531325</c:v>
                </c:pt>
                <c:pt idx="634">
                  <c:v>0.1310668693829469</c:v>
                </c:pt>
                <c:pt idx="635">
                  <c:v>0.13194706941763693</c:v>
                </c:pt>
                <c:pt idx="636">
                  <c:v>0.12899728948586969</c:v>
                </c:pt>
                <c:pt idx="637">
                  <c:v>0.13008813174722755</c:v>
                </c:pt>
                <c:pt idx="638">
                  <c:v>0.14014115853961914</c:v>
                </c:pt>
                <c:pt idx="639">
                  <c:v>0.1343331026046746</c:v>
                </c:pt>
                <c:pt idx="640">
                  <c:v>0.13034888519816834</c:v>
                </c:pt>
                <c:pt idx="641">
                  <c:v>0.12921317287955142</c:v>
                </c:pt>
                <c:pt idx="642">
                  <c:v>0.1295092735843868</c:v>
                </c:pt>
                <c:pt idx="643">
                  <c:v>0.1316158387773661</c:v>
                </c:pt>
                <c:pt idx="644">
                  <c:v>0.12803432165048834</c:v>
                </c:pt>
                <c:pt idx="645">
                  <c:v>0.12564488387620146</c:v>
                </c:pt>
                <c:pt idx="646">
                  <c:v>0.1233632134367961</c:v>
                </c:pt>
                <c:pt idx="647">
                  <c:v>0.12380640482353594</c:v>
                </c:pt>
                <c:pt idx="648">
                  <c:v>0.12729936128610261</c:v>
                </c:pt>
                <c:pt idx="649">
                  <c:v>0.12958039034870261</c:v>
                </c:pt>
                <c:pt idx="650">
                  <c:v>0.12578616078597729</c:v>
                </c:pt>
                <c:pt idx="651">
                  <c:v>0.12648494315032588</c:v>
                </c:pt>
                <c:pt idx="652">
                  <c:v>0.12124285947931618</c:v>
                </c:pt>
                <c:pt idx="653">
                  <c:v>0.1253633999654922</c:v>
                </c:pt>
                <c:pt idx="654">
                  <c:v>0.12499745414956179</c:v>
                </c:pt>
                <c:pt idx="655">
                  <c:v>0.12219572744046951</c:v>
                </c:pt>
                <c:pt idx="656">
                  <c:v>0.12621831267431921</c:v>
                </c:pt>
                <c:pt idx="657">
                  <c:v>0.12513532679312384</c:v>
                </c:pt>
                <c:pt idx="658">
                  <c:v>0.12903989082766723</c:v>
                </c:pt>
                <c:pt idx="659">
                  <c:v>0.12743185226898243</c:v>
                </c:pt>
                <c:pt idx="660">
                  <c:v>0.12464995149127424</c:v>
                </c:pt>
                <c:pt idx="661">
                  <c:v>0.12816510755408622</c:v>
                </c:pt>
                <c:pt idx="662">
                  <c:v>0.12109949764531699</c:v>
                </c:pt>
                <c:pt idx="663">
                  <c:v>0.12158605123963279</c:v>
                </c:pt>
                <c:pt idx="664">
                  <c:v>0.12047035192812505</c:v>
                </c:pt>
                <c:pt idx="665">
                  <c:v>0.12041314598784109</c:v>
                </c:pt>
                <c:pt idx="666">
                  <c:v>0.12435054979463192</c:v>
                </c:pt>
                <c:pt idx="667">
                  <c:v>0.12057289289497429</c:v>
                </c:pt>
                <c:pt idx="668">
                  <c:v>0.11862342068766217</c:v>
                </c:pt>
                <c:pt idx="669">
                  <c:v>0.11692575536614605</c:v>
                </c:pt>
                <c:pt idx="670">
                  <c:v>0.12042043733582081</c:v>
                </c:pt>
                <c:pt idx="671">
                  <c:v>0.11665685136907615</c:v>
                </c:pt>
                <c:pt idx="672">
                  <c:v>0.12061518408674224</c:v>
                </c:pt>
                <c:pt idx="673">
                  <c:v>0.11673895904488261</c:v>
                </c:pt>
                <c:pt idx="674">
                  <c:v>0.1182853475939077</c:v>
                </c:pt>
                <c:pt idx="675">
                  <c:v>0.11399541908575807</c:v>
                </c:pt>
                <c:pt idx="676">
                  <c:v>0.10872787446087764</c:v>
                </c:pt>
                <c:pt idx="677">
                  <c:v>0.1141697872294259</c:v>
                </c:pt>
                <c:pt idx="678">
                  <c:v>0.11308494686017964</c:v>
                </c:pt>
                <c:pt idx="679">
                  <c:v>0.1156603150775454</c:v>
                </c:pt>
                <c:pt idx="680">
                  <c:v>0.10972910992011893</c:v>
                </c:pt>
                <c:pt idx="681">
                  <c:v>0.10026619258964599</c:v>
                </c:pt>
                <c:pt idx="682">
                  <c:v>0.10062452183476785</c:v>
                </c:pt>
                <c:pt idx="683">
                  <c:v>9.9027190285486941E-2</c:v>
                </c:pt>
                <c:pt idx="684">
                  <c:v>9.9049371997700558E-2</c:v>
                </c:pt>
                <c:pt idx="685">
                  <c:v>0.107179541656646</c:v>
                </c:pt>
                <c:pt idx="686">
                  <c:v>8.3182328737694239E-2</c:v>
                </c:pt>
                <c:pt idx="687">
                  <c:v>0.10295162717129443</c:v>
                </c:pt>
                <c:pt idx="688">
                  <c:v>0.10166132885197185</c:v>
                </c:pt>
                <c:pt idx="689">
                  <c:v>0.10088469689363312</c:v>
                </c:pt>
                <c:pt idx="690">
                  <c:v>9.6030798168753123E-2</c:v>
                </c:pt>
                <c:pt idx="691">
                  <c:v>0.10437258076215908</c:v>
                </c:pt>
                <c:pt idx="692">
                  <c:v>0.10749239618219977</c:v>
                </c:pt>
                <c:pt idx="693">
                  <c:v>0.10498593979188776</c:v>
                </c:pt>
                <c:pt idx="694">
                  <c:v>0.10404521499499586</c:v>
                </c:pt>
                <c:pt idx="695">
                  <c:v>0.10367205224981768</c:v>
                </c:pt>
                <c:pt idx="696">
                  <c:v>0.10320202901513301</c:v>
                </c:pt>
                <c:pt idx="697">
                  <c:v>9.893924371739099E-2</c:v>
                </c:pt>
                <c:pt idx="698">
                  <c:v>0.10063697873868287</c:v>
                </c:pt>
                <c:pt idx="699">
                  <c:v>0.10514840908961595</c:v>
                </c:pt>
                <c:pt idx="700">
                  <c:v>0.10541489374130499</c:v>
                </c:pt>
                <c:pt idx="701">
                  <c:v>0.10361296019202987</c:v>
                </c:pt>
                <c:pt idx="702">
                  <c:v>0.11239762768194167</c:v>
                </c:pt>
                <c:pt idx="703">
                  <c:v>0.11675188024832515</c:v>
                </c:pt>
                <c:pt idx="704">
                  <c:v>0.11708912944728798</c:v>
                </c:pt>
                <c:pt idx="705">
                  <c:v>0.11162534442030934</c:v>
                </c:pt>
                <c:pt idx="706">
                  <c:v>0.11094037484615811</c:v>
                </c:pt>
                <c:pt idx="707">
                  <c:v>0.10841875581300758</c:v>
                </c:pt>
                <c:pt idx="708">
                  <c:v>0.10810682978379288</c:v>
                </c:pt>
                <c:pt idx="709">
                  <c:v>0.11039218365858902</c:v>
                </c:pt>
                <c:pt idx="710">
                  <c:v>0.1061446478466372</c:v>
                </c:pt>
                <c:pt idx="711">
                  <c:v>0.10317764776080388</c:v>
                </c:pt>
                <c:pt idx="712">
                  <c:v>0.10262139021843732</c:v>
                </c:pt>
                <c:pt idx="713">
                  <c:v>0.10690259779862904</c:v>
                </c:pt>
                <c:pt idx="714">
                  <c:v>0.10298146309431865</c:v>
                </c:pt>
                <c:pt idx="715">
                  <c:v>0.10352384838960875</c:v>
                </c:pt>
                <c:pt idx="716">
                  <c:v>9.9781189538395557E-2</c:v>
                </c:pt>
                <c:pt idx="717">
                  <c:v>9.6411001022375417E-2</c:v>
                </c:pt>
                <c:pt idx="718">
                  <c:v>9.8633430884560419E-2</c:v>
                </c:pt>
                <c:pt idx="719">
                  <c:v>9.7842957808311454E-2</c:v>
                </c:pt>
                <c:pt idx="720">
                  <c:v>9.4154114041498663E-2</c:v>
                </c:pt>
                <c:pt idx="721">
                  <c:v>9.3597185491351528E-2</c:v>
                </c:pt>
                <c:pt idx="722">
                  <c:v>9.1522056495384627E-2</c:v>
                </c:pt>
                <c:pt idx="723">
                  <c:v>8.700047767646274E-2</c:v>
                </c:pt>
                <c:pt idx="724">
                  <c:v>8.8230666689096265E-2</c:v>
                </c:pt>
                <c:pt idx="725">
                  <c:v>9.1487242149277573E-2</c:v>
                </c:pt>
                <c:pt idx="726">
                  <c:v>9.330899156666797E-2</c:v>
                </c:pt>
                <c:pt idx="727">
                  <c:v>9.1856712282192152E-2</c:v>
                </c:pt>
                <c:pt idx="728">
                  <c:v>9.0805388613621738E-2</c:v>
                </c:pt>
                <c:pt idx="729">
                  <c:v>8.275244831671022E-2</c:v>
                </c:pt>
                <c:pt idx="730">
                  <c:v>8.7010003057146929E-2</c:v>
                </c:pt>
                <c:pt idx="731">
                  <c:v>8.3432260325548763E-2</c:v>
                </c:pt>
                <c:pt idx="732">
                  <c:v>8.132256040552073E-2</c:v>
                </c:pt>
                <c:pt idx="733">
                  <c:v>7.8629091862170208E-2</c:v>
                </c:pt>
                <c:pt idx="734">
                  <c:v>7.8415621997292115E-2</c:v>
                </c:pt>
                <c:pt idx="735">
                  <c:v>7.5286644553763188E-2</c:v>
                </c:pt>
                <c:pt idx="736">
                  <c:v>7.6670705968249458E-2</c:v>
                </c:pt>
                <c:pt idx="737">
                  <c:v>7.6518153209107598E-2</c:v>
                </c:pt>
                <c:pt idx="738">
                  <c:v>7.5385768598619535E-2</c:v>
                </c:pt>
                <c:pt idx="739">
                  <c:v>7.5118098524558308E-2</c:v>
                </c:pt>
                <c:pt idx="740">
                  <c:v>7.7098910090587586E-2</c:v>
                </c:pt>
                <c:pt idx="741">
                  <c:v>7.9006611773832794E-2</c:v>
                </c:pt>
                <c:pt idx="742">
                  <c:v>7.6589058445615962E-2</c:v>
                </c:pt>
                <c:pt idx="743">
                  <c:v>7.4055705077029951E-2</c:v>
                </c:pt>
                <c:pt idx="744">
                  <c:v>7.3042908154768785E-2</c:v>
                </c:pt>
                <c:pt idx="745">
                  <c:v>6.6012397759674296E-2</c:v>
                </c:pt>
                <c:pt idx="746">
                  <c:v>6.7873147841482101E-2</c:v>
                </c:pt>
                <c:pt idx="747">
                  <c:v>6.368712273263899E-2</c:v>
                </c:pt>
                <c:pt idx="748">
                  <c:v>6.5514449532883975E-2</c:v>
                </c:pt>
                <c:pt idx="749">
                  <c:v>5.9819313681889127E-2</c:v>
                </c:pt>
                <c:pt idx="750">
                  <c:v>6.014844885624468E-2</c:v>
                </c:pt>
                <c:pt idx="751">
                  <c:v>6.2693852511000611E-2</c:v>
                </c:pt>
                <c:pt idx="752">
                  <c:v>6.0582898217671995E-2</c:v>
                </c:pt>
                <c:pt idx="753">
                  <c:v>5.7471812126836386E-2</c:v>
                </c:pt>
                <c:pt idx="754">
                  <c:v>5.8357874605661268E-2</c:v>
                </c:pt>
                <c:pt idx="755">
                  <c:v>5.639818417132321E-2</c:v>
                </c:pt>
                <c:pt idx="756">
                  <c:v>5.2507730242295596E-2</c:v>
                </c:pt>
                <c:pt idx="757">
                  <c:v>5.4059079433676917E-2</c:v>
                </c:pt>
                <c:pt idx="758">
                  <c:v>5.4059079433676917E-2</c:v>
                </c:pt>
                <c:pt idx="759">
                  <c:v>5.5484675165318381E-2</c:v>
                </c:pt>
                <c:pt idx="760">
                  <c:v>5.7053566584811588E-2</c:v>
                </c:pt>
                <c:pt idx="761">
                  <c:v>5.6512561523935051E-2</c:v>
                </c:pt>
                <c:pt idx="762">
                  <c:v>5.5525009314705567E-2</c:v>
                </c:pt>
                <c:pt idx="763">
                  <c:v>5.4650434066156932E-2</c:v>
                </c:pt>
                <c:pt idx="764">
                  <c:v>5.584126217755693E-2</c:v>
                </c:pt>
                <c:pt idx="765">
                  <c:v>5.5469268770902386E-2</c:v>
                </c:pt>
                <c:pt idx="766">
                  <c:v>5.5659160743562384E-2</c:v>
                </c:pt>
                <c:pt idx="767">
                  <c:v>5.7725883435796523E-2</c:v>
                </c:pt>
                <c:pt idx="768">
                  <c:v>5.6197144303002031E-2</c:v>
                </c:pt>
                <c:pt idx="769">
                  <c:v>5.6525728969125472E-2</c:v>
                </c:pt>
                <c:pt idx="770">
                  <c:v>5.5637575831139256E-2</c:v>
                </c:pt>
                <c:pt idx="771">
                  <c:v>5.6650969118979461E-2</c:v>
                </c:pt>
                <c:pt idx="772">
                  <c:v>5.2042397772337975E-2</c:v>
                </c:pt>
                <c:pt idx="773">
                  <c:v>5.5890821962616639E-2</c:v>
                </c:pt>
                <c:pt idx="774">
                  <c:v>5.8163514443088003E-2</c:v>
                </c:pt>
                <c:pt idx="775">
                  <c:v>5.8218782947651163E-2</c:v>
                </c:pt>
                <c:pt idx="776">
                  <c:v>5.9336089274391698E-2</c:v>
                </c:pt>
                <c:pt idx="777">
                  <c:v>5.8308033773472052E-2</c:v>
                </c:pt>
                <c:pt idx="778">
                  <c:v>5.784048845014135E-2</c:v>
                </c:pt>
                <c:pt idx="779">
                  <c:v>5.8212861578741351E-2</c:v>
                </c:pt>
                <c:pt idx="780">
                  <c:v>5.8340151005225459E-2</c:v>
                </c:pt>
                <c:pt idx="781">
                  <c:v>5.9553223081646761E-2</c:v>
                </c:pt>
                <c:pt idx="782">
                  <c:v>5.9449019379917992E-2</c:v>
                </c:pt>
                <c:pt idx="783">
                  <c:v>6.0874970863087213E-2</c:v>
                </c:pt>
                <c:pt idx="784">
                  <c:v>5.8969848432836869E-2</c:v>
                </c:pt>
                <c:pt idx="785">
                  <c:v>5.6878212421056729E-2</c:v>
                </c:pt>
                <c:pt idx="786">
                  <c:v>5.9123096894050334E-2</c:v>
                </c:pt>
                <c:pt idx="787">
                  <c:v>6.0742814200050323E-2</c:v>
                </c:pt>
                <c:pt idx="788">
                  <c:v>6.2202439485827946E-2</c:v>
                </c:pt>
                <c:pt idx="789">
                  <c:v>6.1192907262985562E-2</c:v>
                </c:pt>
                <c:pt idx="790">
                  <c:v>6.2249682483746099E-2</c:v>
                </c:pt>
                <c:pt idx="791">
                  <c:v>6.1066213492366871E-2</c:v>
                </c:pt>
                <c:pt idx="792">
                  <c:v>6.164499185246787E-2</c:v>
                </c:pt>
                <c:pt idx="793">
                  <c:v>5.9245618824888914E-2</c:v>
                </c:pt>
                <c:pt idx="794">
                  <c:v>5.7883861161559982E-2</c:v>
                </c:pt>
                <c:pt idx="795">
                  <c:v>5.6312188592780067E-2</c:v>
                </c:pt>
                <c:pt idx="796">
                  <c:v>5.9789191908654393E-2</c:v>
                </c:pt>
                <c:pt idx="797">
                  <c:v>5.7853096151866894E-2</c:v>
                </c:pt>
                <c:pt idx="798">
                  <c:v>5.8421532625966763E-2</c:v>
                </c:pt>
                <c:pt idx="799">
                  <c:v>6.0106307877442866E-2</c:v>
                </c:pt>
                <c:pt idx="800">
                  <c:v>6.127972808002996E-2</c:v>
                </c:pt>
                <c:pt idx="801">
                  <c:v>6.148493431893242E-2</c:v>
                </c:pt>
                <c:pt idx="802">
                  <c:v>6.2427768638413171E-2</c:v>
                </c:pt>
                <c:pt idx="803">
                  <c:v>6.1705352053647876E-2</c:v>
                </c:pt>
                <c:pt idx="804">
                  <c:v>6.1351484902517441E-2</c:v>
                </c:pt>
                <c:pt idx="805">
                  <c:v>6.2634643921440525E-2</c:v>
                </c:pt>
                <c:pt idx="806">
                  <c:v>6.4005780850029989E-2</c:v>
                </c:pt>
                <c:pt idx="807">
                  <c:v>6.4400347042074937E-2</c:v>
                </c:pt>
                <c:pt idx="808">
                  <c:v>6.3393117249498934E-2</c:v>
                </c:pt>
                <c:pt idx="809">
                  <c:v>6.4580374096607732E-2</c:v>
                </c:pt>
                <c:pt idx="810">
                  <c:v>6.4328524692203473E-2</c:v>
                </c:pt>
                <c:pt idx="811">
                  <c:v>6.2953507927753477E-2</c:v>
                </c:pt>
                <c:pt idx="812">
                  <c:v>6.3597475002689988E-2</c:v>
                </c:pt>
                <c:pt idx="813">
                  <c:v>6.5065597147341725E-2</c:v>
                </c:pt>
                <c:pt idx="814">
                  <c:v>6.2550303076367705E-2</c:v>
                </c:pt>
                <c:pt idx="815">
                  <c:v>6.0608232726686743E-2</c:v>
                </c:pt>
                <c:pt idx="816">
                  <c:v>5.8515562597927145E-2</c:v>
                </c:pt>
                <c:pt idx="817">
                  <c:v>5.7930551572436699E-2</c:v>
                </c:pt>
                <c:pt idx="818">
                  <c:v>5.8363920918368201E-2</c:v>
                </c:pt>
                <c:pt idx="819">
                  <c:v>5.7341289395670091E-2</c:v>
                </c:pt>
                <c:pt idx="820">
                  <c:v>5.733073632366107E-2</c:v>
                </c:pt>
                <c:pt idx="821">
                  <c:v>5.9091629041067552E-2</c:v>
                </c:pt>
                <c:pt idx="822">
                  <c:v>5.7667220450819165E-2</c:v>
                </c:pt>
                <c:pt idx="823">
                  <c:v>6.2428208609829214E-2</c:v>
                </c:pt>
                <c:pt idx="824">
                  <c:v>6.1408361057485407E-2</c:v>
                </c:pt>
                <c:pt idx="825">
                  <c:v>6.6023086561765906E-2</c:v>
                </c:pt>
                <c:pt idx="826">
                  <c:v>6.1190204486600272E-2</c:v>
                </c:pt>
                <c:pt idx="827">
                  <c:v>6.0488065674216114E-2</c:v>
                </c:pt>
                <c:pt idx="828">
                  <c:v>6.1725878967117696E-2</c:v>
                </c:pt>
                <c:pt idx="829">
                  <c:v>6.2691654051495058E-2</c:v>
                </c:pt>
                <c:pt idx="830">
                  <c:v>6.2963563868777675E-2</c:v>
                </c:pt>
                <c:pt idx="831">
                  <c:v>6.1763679545268638E-2</c:v>
                </c:pt>
                <c:pt idx="832">
                  <c:v>6.1066572099627896E-2</c:v>
                </c:pt>
                <c:pt idx="833">
                  <c:v>6.1657152114825767E-2</c:v>
                </c:pt>
                <c:pt idx="834">
                  <c:v>5.963572995832167E-2</c:v>
                </c:pt>
                <c:pt idx="835">
                  <c:v>6.0652447583821212E-2</c:v>
                </c:pt>
                <c:pt idx="836">
                  <c:v>6.2010581615543015E-2</c:v>
                </c:pt>
                <c:pt idx="837">
                  <c:v>6.1297399141098198E-2</c:v>
                </c:pt>
                <c:pt idx="838">
                  <c:v>6.1467963884719812E-2</c:v>
                </c:pt>
                <c:pt idx="839">
                  <c:v>6.1943741689962917E-2</c:v>
                </c:pt>
                <c:pt idx="840">
                  <c:v>6.3713893917050304E-2</c:v>
                </c:pt>
                <c:pt idx="841">
                  <c:v>6.4996698631852007E-2</c:v>
                </c:pt>
                <c:pt idx="842">
                  <c:v>6.3425379924956074E-2</c:v>
                </c:pt>
                <c:pt idx="843">
                  <c:v>6.4392904511950025E-2</c:v>
                </c:pt>
                <c:pt idx="844">
                  <c:v>6.2632974876747419E-2</c:v>
                </c:pt>
                <c:pt idx="845">
                  <c:v>6.3086239880847911E-2</c:v>
                </c:pt>
                <c:pt idx="846">
                  <c:v>6.2688333535286175E-2</c:v>
                </c:pt>
                <c:pt idx="847">
                  <c:v>6.2818478510644066E-2</c:v>
                </c:pt>
                <c:pt idx="848">
                  <c:v>6.121050682996669E-2</c:v>
                </c:pt>
                <c:pt idx="849">
                  <c:v>6.0267145145901993E-2</c:v>
                </c:pt>
                <c:pt idx="850">
                  <c:v>6.1659066519891913E-2</c:v>
                </c:pt>
                <c:pt idx="851">
                  <c:v>5.8470776073097988E-2</c:v>
                </c:pt>
                <c:pt idx="852">
                  <c:v>5.8516944908095676E-2</c:v>
                </c:pt>
                <c:pt idx="853">
                  <c:v>5.7571190331333427E-2</c:v>
                </c:pt>
                <c:pt idx="854">
                  <c:v>5.5131316120458428E-2</c:v>
                </c:pt>
                <c:pt idx="855">
                  <c:v>5.2944324375555948E-2</c:v>
                </c:pt>
                <c:pt idx="856">
                  <c:v>4.7716594892905785E-2</c:v>
                </c:pt>
                <c:pt idx="857">
                  <c:v>5.6856475894726012E-2</c:v>
                </c:pt>
                <c:pt idx="858">
                  <c:v>5.81538913035273E-2</c:v>
                </c:pt>
                <c:pt idx="859">
                  <c:v>5.7943515261062908E-2</c:v>
                </c:pt>
                <c:pt idx="860">
                  <c:v>5.8665021370051543E-2</c:v>
                </c:pt>
                <c:pt idx="861">
                  <c:v>5.8505308917632941E-2</c:v>
                </c:pt>
                <c:pt idx="862">
                  <c:v>5.8754694002120862E-2</c:v>
                </c:pt>
                <c:pt idx="863">
                  <c:v>5.7771955118670226E-2</c:v>
                </c:pt>
                <c:pt idx="864">
                  <c:v>5.878449667339633E-2</c:v>
                </c:pt>
                <c:pt idx="865">
                  <c:v>5.7399249742817453E-2</c:v>
                </c:pt>
                <c:pt idx="866">
                  <c:v>5.7883577335132053E-2</c:v>
                </c:pt>
                <c:pt idx="867">
                  <c:v>5.717817027074721E-2</c:v>
                </c:pt>
                <c:pt idx="868">
                  <c:v>5.6529958608383231E-2</c:v>
                </c:pt>
                <c:pt idx="869">
                  <c:v>5.6529958608383217E-2</c:v>
                </c:pt>
                <c:pt idx="870">
                  <c:v>5.6799684442854007E-2</c:v>
                </c:pt>
                <c:pt idx="871">
                  <c:v>5.7908543464956712E-2</c:v>
                </c:pt>
                <c:pt idx="872">
                  <c:v>5.7487682016695615E-2</c:v>
                </c:pt>
                <c:pt idx="873">
                  <c:v>5.6340353954063824E-2</c:v>
                </c:pt>
                <c:pt idx="874">
                  <c:v>5.5106208913638662E-2</c:v>
                </c:pt>
                <c:pt idx="875">
                  <c:v>5.6230676841387529E-2</c:v>
                </c:pt>
                <c:pt idx="876">
                  <c:v>5.6779074432610294E-2</c:v>
                </c:pt>
                <c:pt idx="877">
                  <c:v>5.8033126331722966E-2</c:v>
                </c:pt>
                <c:pt idx="878">
                  <c:v>5.7622563833443718E-2</c:v>
                </c:pt>
                <c:pt idx="879">
                  <c:v>5.6963879166326996E-2</c:v>
                </c:pt>
                <c:pt idx="880">
                  <c:v>5.6580087028623535E-2</c:v>
                </c:pt>
                <c:pt idx="881">
                  <c:v>5.6183716285417178E-2</c:v>
                </c:pt>
                <c:pt idx="882">
                  <c:v>5.5865891216572976E-2</c:v>
                </c:pt>
                <c:pt idx="883">
                  <c:v>5.6553116145272975E-2</c:v>
                </c:pt>
                <c:pt idx="884">
                  <c:v>5.8254001071502949E-2</c:v>
                </c:pt>
                <c:pt idx="885">
                  <c:v>5.8299801573977017E-2</c:v>
                </c:pt>
                <c:pt idx="886">
                  <c:v>5.8559849261732196E-2</c:v>
                </c:pt>
                <c:pt idx="887">
                  <c:v>5.8983063956499479E-2</c:v>
                </c:pt>
                <c:pt idx="888">
                  <c:v>5.9095591531344561E-2</c:v>
                </c:pt>
                <c:pt idx="889">
                  <c:v>5.8101904705912095E-2</c:v>
                </c:pt>
                <c:pt idx="890">
                  <c:v>5.7672279475504407E-2</c:v>
                </c:pt>
                <c:pt idx="891">
                  <c:v>5.7283161322991494E-2</c:v>
                </c:pt>
                <c:pt idx="892">
                  <c:v>5.7391160455321569E-2</c:v>
                </c:pt>
                <c:pt idx="893">
                  <c:v>5.7445243668125756E-2</c:v>
                </c:pt>
                <c:pt idx="894">
                  <c:v>5.6638300269878782E-2</c:v>
                </c:pt>
                <c:pt idx="895">
                  <c:v>5.7165863279438518E-2</c:v>
                </c:pt>
                <c:pt idx="896">
                  <c:v>5.6900443583795382E-2</c:v>
                </c:pt>
                <c:pt idx="897">
                  <c:v>5.6692690705752273E-2</c:v>
                </c:pt>
                <c:pt idx="898">
                  <c:v>5.9307288150946609E-2</c:v>
                </c:pt>
                <c:pt idx="899">
                  <c:v>5.9444306011499873E-2</c:v>
                </c:pt>
                <c:pt idx="900">
                  <c:v>6.0701416835422094E-2</c:v>
                </c:pt>
                <c:pt idx="901">
                  <c:v>5.9738134275984088E-2</c:v>
                </c:pt>
                <c:pt idx="902">
                  <c:v>5.9202353913430553E-2</c:v>
                </c:pt>
                <c:pt idx="903">
                  <c:v>6.0653943041705842E-2</c:v>
                </c:pt>
                <c:pt idx="904">
                  <c:v>6.0730755953280591E-2</c:v>
                </c:pt>
                <c:pt idx="905">
                  <c:v>6.0995796470002167E-2</c:v>
                </c:pt>
                <c:pt idx="906">
                  <c:v>6.292698430118944E-2</c:v>
                </c:pt>
                <c:pt idx="907">
                  <c:v>6.6107819333273546E-2</c:v>
                </c:pt>
                <c:pt idx="908">
                  <c:v>6.5942097718343681E-2</c:v>
                </c:pt>
                <c:pt idx="909">
                  <c:v>6.7040897210798853E-2</c:v>
                </c:pt>
                <c:pt idx="910">
                  <c:v>6.7847739750498195E-2</c:v>
                </c:pt>
                <c:pt idx="911">
                  <c:v>6.7148732607971703E-2</c:v>
                </c:pt>
                <c:pt idx="912">
                  <c:v>6.5002549108974461E-2</c:v>
                </c:pt>
                <c:pt idx="913">
                  <c:v>6.5363129439752365E-2</c:v>
                </c:pt>
                <c:pt idx="914">
                  <c:v>6.4913416039164923E-2</c:v>
                </c:pt>
                <c:pt idx="915">
                  <c:v>6.3368470917778058E-2</c:v>
                </c:pt>
                <c:pt idx="916">
                  <c:v>6.4748238427953866E-2</c:v>
                </c:pt>
                <c:pt idx="917">
                  <c:v>6.3387981268797994E-2</c:v>
                </c:pt>
                <c:pt idx="918">
                  <c:v>6.3913187140614572E-2</c:v>
                </c:pt>
                <c:pt idx="919">
                  <c:v>6.2326227357116917E-2</c:v>
                </c:pt>
                <c:pt idx="920">
                  <c:v>6.3768685769844694E-2</c:v>
                </c:pt>
                <c:pt idx="921">
                  <c:v>6.4234912548759932E-2</c:v>
                </c:pt>
                <c:pt idx="922">
                  <c:v>6.3450634952132989E-2</c:v>
                </c:pt>
                <c:pt idx="923">
                  <c:v>6.4628640703173174E-2</c:v>
                </c:pt>
                <c:pt idx="924">
                  <c:v>6.4364745247282515E-2</c:v>
                </c:pt>
                <c:pt idx="925">
                  <c:v>6.0576827204545984E-2</c:v>
                </c:pt>
                <c:pt idx="926">
                  <c:v>5.6894572478641124E-2</c:v>
                </c:pt>
                <c:pt idx="927">
                  <c:v>5.9828816442671358E-2</c:v>
                </c:pt>
                <c:pt idx="928">
                  <c:v>5.8339312937238569E-2</c:v>
                </c:pt>
                <c:pt idx="929">
                  <c:v>6.1387277245910643E-2</c:v>
                </c:pt>
                <c:pt idx="930">
                  <c:v>6.1576511760642577E-2</c:v>
                </c:pt>
                <c:pt idx="931">
                  <c:v>6.091685096812216E-2</c:v>
                </c:pt>
                <c:pt idx="932">
                  <c:v>5.9871164897910882E-2</c:v>
                </c:pt>
                <c:pt idx="933">
                  <c:v>6.1602308440058463E-2</c:v>
                </c:pt>
                <c:pt idx="934">
                  <c:v>6.2776758735288901E-2</c:v>
                </c:pt>
                <c:pt idx="935">
                  <c:v>6.187627823416561E-2</c:v>
                </c:pt>
                <c:pt idx="936">
                  <c:v>6.1192010863995748E-2</c:v>
                </c:pt>
                <c:pt idx="937">
                  <c:v>6.1918908339634565E-2</c:v>
                </c:pt>
                <c:pt idx="938">
                  <c:v>6.2157986837425759E-2</c:v>
                </c:pt>
                <c:pt idx="939">
                  <c:v>6.49401423938267E-2</c:v>
                </c:pt>
                <c:pt idx="940">
                  <c:v>6.3341441438842405E-2</c:v>
                </c:pt>
                <c:pt idx="941">
                  <c:v>6.2965610568859992E-2</c:v>
                </c:pt>
                <c:pt idx="942">
                  <c:v>6.0421910876995416E-2</c:v>
                </c:pt>
                <c:pt idx="943">
                  <c:v>6.5914958060527967E-2</c:v>
                </c:pt>
                <c:pt idx="944">
                  <c:v>6.1351992684710817E-2</c:v>
                </c:pt>
                <c:pt idx="945">
                  <c:v>5.9375805928999638E-2</c:v>
                </c:pt>
                <c:pt idx="946">
                  <c:v>6.5094303111334517E-2</c:v>
                </c:pt>
                <c:pt idx="947">
                  <c:v>6.5993223731475412E-2</c:v>
                </c:pt>
                <c:pt idx="948">
                  <c:v>6.4339821566888916E-2</c:v>
                </c:pt>
                <c:pt idx="949">
                  <c:v>6.3582700801371864E-2</c:v>
                </c:pt>
                <c:pt idx="950">
                  <c:v>6.5288417840610541E-2</c:v>
                </c:pt>
                <c:pt idx="951">
                  <c:v>6.3519972110957265E-2</c:v>
                </c:pt>
                <c:pt idx="952">
                  <c:v>6.1891683020651136E-2</c:v>
                </c:pt>
                <c:pt idx="953">
                  <c:v>6.1152805824690321E-2</c:v>
                </c:pt>
                <c:pt idx="954">
                  <c:v>6.1240037697392641E-2</c:v>
                </c:pt>
                <c:pt idx="955">
                  <c:v>5.8699792611030657E-2</c:v>
                </c:pt>
                <c:pt idx="956">
                  <c:v>5.9128647291044813E-2</c:v>
                </c:pt>
                <c:pt idx="957">
                  <c:v>5.7923759840269581E-2</c:v>
                </c:pt>
                <c:pt idx="958">
                  <c:v>5.6065318047023797E-2</c:v>
                </c:pt>
                <c:pt idx="959">
                  <c:v>5.2676627124363738E-2</c:v>
                </c:pt>
                <c:pt idx="960">
                  <c:v>5.452919037955932E-2</c:v>
                </c:pt>
                <c:pt idx="961">
                  <c:v>5.6366020655645159E-2</c:v>
                </c:pt>
                <c:pt idx="962">
                  <c:v>5.1505919460084398E-2</c:v>
                </c:pt>
                <c:pt idx="963">
                  <c:v>4.4449137018617281E-2</c:v>
                </c:pt>
                <c:pt idx="964">
                  <c:v>4.4792770446892026E-2</c:v>
                </c:pt>
                <c:pt idx="965">
                  <c:v>4.2724974728495575E-2</c:v>
                </c:pt>
                <c:pt idx="966">
                  <c:v>4.1163335412358962E-2</c:v>
                </c:pt>
                <c:pt idx="967">
                  <c:v>3.7051585132464829E-2</c:v>
                </c:pt>
                <c:pt idx="968">
                  <c:v>3.5561802995876593E-2</c:v>
                </c:pt>
                <c:pt idx="969">
                  <c:v>3.5973791582922139E-2</c:v>
                </c:pt>
                <c:pt idx="970">
                  <c:v>3.9616389922219199E-2</c:v>
                </c:pt>
                <c:pt idx="971">
                  <c:v>3.9146214311053813E-2</c:v>
                </c:pt>
                <c:pt idx="972">
                  <c:v>4.0300821012018984E-2</c:v>
                </c:pt>
                <c:pt idx="973">
                  <c:v>3.5737274195002812E-2</c:v>
                </c:pt>
                <c:pt idx="974">
                  <c:v>3.8575697230186654E-2</c:v>
                </c:pt>
                <c:pt idx="975">
                  <c:v>3.7256758526151415E-2</c:v>
                </c:pt>
                <c:pt idx="976">
                  <c:v>3.7077530625185588E-2</c:v>
                </c:pt>
                <c:pt idx="977">
                  <c:v>3.6514570481401575E-2</c:v>
                </c:pt>
                <c:pt idx="978">
                  <c:v>3.2324549226783392E-2</c:v>
                </c:pt>
                <c:pt idx="979">
                  <c:v>3.1167568379186619E-2</c:v>
                </c:pt>
                <c:pt idx="980">
                  <c:v>2.6294393768320504E-2</c:v>
                </c:pt>
                <c:pt idx="981">
                  <c:v>2.4991786545474272E-2</c:v>
                </c:pt>
                <c:pt idx="982">
                  <c:v>2.6179167375917276E-2</c:v>
                </c:pt>
                <c:pt idx="983">
                  <c:v>2.6395385330414398E-2</c:v>
                </c:pt>
                <c:pt idx="984">
                  <c:v>2.6089702311356169E-2</c:v>
                </c:pt>
                <c:pt idx="985">
                  <c:v>2.2671081296025446E-2</c:v>
                </c:pt>
                <c:pt idx="986">
                  <c:v>2.4503321243658775E-2</c:v>
                </c:pt>
                <c:pt idx="987">
                  <c:v>2.6046560965702976E-2</c:v>
                </c:pt>
                <c:pt idx="988">
                  <c:v>3.1000496610442536E-2</c:v>
                </c:pt>
                <c:pt idx="989">
                  <c:v>2.632903901853869E-2</c:v>
                </c:pt>
                <c:pt idx="990">
                  <c:v>2.4308743499250218E-2</c:v>
                </c:pt>
                <c:pt idx="991">
                  <c:v>2.6005998299616247E-2</c:v>
                </c:pt>
                <c:pt idx="992">
                  <c:v>3.1473150516656667E-2</c:v>
                </c:pt>
                <c:pt idx="993">
                  <c:v>3.0806610115097319E-2</c:v>
                </c:pt>
                <c:pt idx="994">
                  <c:v>2.9620011476046957E-2</c:v>
                </c:pt>
                <c:pt idx="995">
                  <c:v>2.9842818046763576E-2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9A-49C7-97FD-4ED8B6FCC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793104"/>
        <c:axId val="191792688"/>
      </c:lineChart>
      <c:dateAx>
        <c:axId val="191793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92688"/>
        <c:crosses val="autoZero"/>
        <c:auto val="1"/>
        <c:lblOffset val="100"/>
        <c:baseTimeUnit val="days"/>
      </c:dateAx>
      <c:valAx>
        <c:axId val="19179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9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324E231-9266-4285-A8CE-16A9B6707F96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C72E96-A508-4B13-ACF2-2FB3D4346E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413.49</v>
      </c>
      <c r="D2" s="4">
        <f>MIN(D3:D1912)</f>
        <v>22.32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107</v>
      </c>
      <c r="C5">
        <v>107.9</v>
      </c>
      <c r="D5">
        <v>105</v>
      </c>
      <c r="E5">
        <v>105.2</v>
      </c>
      <c r="F5">
        <v>57667.623</v>
      </c>
      <c r="G5">
        <v>105.2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-0.86206896551723966</v>
      </c>
      <c r="Q5">
        <f t="shared" ref="Q5" si="1">F5*P5</f>
        <v>-49713.468103448176</v>
      </c>
      <c r="R5">
        <f t="shared" ref="R5" si="2">R6+Q5</f>
        <v>85136059.249359816</v>
      </c>
      <c r="S5">
        <f t="shared" ref="S5" si="3">R5/100000</f>
        <v>851.36059249359812</v>
      </c>
      <c r="T5">
        <f t="shared" ref="T5" si="4">S5/1000</f>
        <v>0.85136059249359808</v>
      </c>
    </row>
    <row r="6" spans="1:20" x14ac:dyDescent="0.25">
      <c r="A6" s="5">
        <v>44587</v>
      </c>
      <c r="B6">
        <v>107.9</v>
      </c>
      <c r="C6">
        <v>116.5</v>
      </c>
      <c r="D6">
        <v>104.6</v>
      </c>
      <c r="E6">
        <v>106.9</v>
      </c>
      <c r="F6">
        <v>774954.38199999998</v>
      </c>
      <c r="G6">
        <v>106.9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-0.61344537815125877</v>
      </c>
      <c r="Q6">
        <f t="shared" ref="Q6" si="6">F6*P6</f>
        <v>-475392.18391596503</v>
      </c>
      <c r="R6">
        <f t="shared" ref="R6" si="7">R7+Q6</f>
        <v>85185772.71746327</v>
      </c>
      <c r="S6">
        <f t="shared" ref="S6" si="8">R6/100000</f>
        <v>851.85772717463271</v>
      </c>
      <c r="T6">
        <f t="shared" ref="T6" si="9">S6/1000</f>
        <v>0.85185772717463271</v>
      </c>
    </row>
    <row r="7" spans="1:20" x14ac:dyDescent="0.25">
      <c r="A7" s="5">
        <v>44586</v>
      </c>
      <c r="B7">
        <v>109.6</v>
      </c>
      <c r="C7">
        <v>109.9</v>
      </c>
      <c r="D7">
        <v>105.1</v>
      </c>
      <c r="E7">
        <v>107.8</v>
      </c>
      <c r="F7">
        <v>589373.56299999997</v>
      </c>
      <c r="G7">
        <v>107.8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0.12499999999999852</v>
      </c>
      <c r="Q7">
        <f t="shared" ref="Q7" si="11">F7*P7</f>
        <v>73671.695374999123</v>
      </c>
      <c r="R7">
        <f t="shared" ref="R7" si="12">R8+Q7</f>
        <v>85661164.901379228</v>
      </c>
      <c r="S7">
        <f t="shared" ref="S7" si="13">R7/100000</f>
        <v>856.61164901379232</v>
      </c>
      <c r="T7">
        <f t="shared" ref="T7" si="14">S7/1000</f>
        <v>0.85661164901379228</v>
      </c>
    </row>
    <row r="8" spans="1:20" x14ac:dyDescent="0.25">
      <c r="A8" s="5">
        <v>44585</v>
      </c>
      <c r="B8">
        <v>112.3</v>
      </c>
      <c r="C8">
        <v>112.3</v>
      </c>
      <c r="D8">
        <v>97.5</v>
      </c>
      <c r="E8">
        <v>109.5</v>
      </c>
      <c r="F8">
        <v>1098206.5190000001</v>
      </c>
      <c r="G8">
        <v>109.5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0.62162162162162193</v>
      </c>
      <c r="Q8">
        <f t="shared" ref="Q8" si="16">F8*P8</f>
        <v>682668.91721621656</v>
      </c>
      <c r="R8">
        <f t="shared" ref="R8" si="17">R9+Q8</f>
        <v>85587493.206004232</v>
      </c>
      <c r="S8">
        <f t="shared" ref="S8" si="18">R8/100000</f>
        <v>855.87493206004228</v>
      </c>
      <c r="T8">
        <f t="shared" ref="T8" si="19">S8/1000</f>
        <v>0.85587493206004228</v>
      </c>
    </row>
    <row r="9" spans="1:20" x14ac:dyDescent="0.25">
      <c r="A9" s="5">
        <v>44584</v>
      </c>
      <c r="B9">
        <v>108.4</v>
      </c>
      <c r="C9">
        <v>112.8</v>
      </c>
      <c r="D9">
        <v>105.6</v>
      </c>
      <c r="E9">
        <v>112.3</v>
      </c>
      <c r="F9">
        <v>588082.31700000004</v>
      </c>
      <c r="G9">
        <v>112.3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0.86111111111111116</v>
      </c>
      <c r="Q9">
        <f t="shared" ref="Q9" si="21">F9*P9</f>
        <v>506404.21741666674</v>
      </c>
      <c r="R9">
        <f t="shared" ref="R9" si="22">R10+Q9</f>
        <v>84904824.288788021</v>
      </c>
      <c r="S9">
        <f t="shared" ref="S9" si="23">R9/100000</f>
        <v>849.04824288788018</v>
      </c>
      <c r="T9">
        <f t="shared" ref="T9" si="24">S9/1000</f>
        <v>0.84904824288788017</v>
      </c>
    </row>
    <row r="10" spans="1:20" x14ac:dyDescent="0.25">
      <c r="A10" s="5">
        <v>44583</v>
      </c>
      <c r="B10">
        <v>114.5</v>
      </c>
      <c r="C10">
        <v>117</v>
      </c>
      <c r="D10">
        <v>96.3</v>
      </c>
      <c r="E10">
        <v>108.4</v>
      </c>
      <c r="F10">
        <v>1345786.1906999999</v>
      </c>
      <c r="G10">
        <v>108.4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0.1690821256038654</v>
      </c>
      <c r="Q10">
        <f t="shared" ref="Q10" si="26">F10*P10</f>
        <v>227548.38973188493</v>
      </c>
      <c r="R10">
        <f t="shared" ref="R10" si="27">R11+Q10</f>
        <v>84398420.071371347</v>
      </c>
      <c r="S10">
        <f t="shared" ref="S10" si="28">R10/100000</f>
        <v>843.98420071371345</v>
      </c>
      <c r="T10">
        <f t="shared" ref="T10" si="29">S10/1000</f>
        <v>0.84398420071371349</v>
      </c>
    </row>
    <row r="11" spans="1:20" x14ac:dyDescent="0.25">
      <c r="A11" s="5">
        <v>44582</v>
      </c>
      <c r="B11">
        <v>129.6</v>
      </c>
      <c r="C11">
        <v>131.1</v>
      </c>
      <c r="D11">
        <v>109.8</v>
      </c>
      <c r="E11">
        <v>114.5</v>
      </c>
      <c r="F11">
        <v>1024703.15234</v>
      </c>
      <c r="G11">
        <v>114.5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-0.5586854460093893</v>
      </c>
      <c r="Q11">
        <f t="shared" ref="Q11" si="31">F11*P11</f>
        <v>-572486.73769230011</v>
      </c>
      <c r="R11">
        <f t="shared" ref="R11" si="32">R12+Q11</f>
        <v>84170871.681639463</v>
      </c>
      <c r="S11">
        <f t="shared" ref="S11" si="33">R11/100000</f>
        <v>841.7087168163946</v>
      </c>
      <c r="T11">
        <f t="shared" ref="T11" si="34">S11/1000</f>
        <v>0.84170871681639459</v>
      </c>
    </row>
    <row r="12" spans="1:20" x14ac:dyDescent="0.25">
      <c r="A12" s="5">
        <v>44581</v>
      </c>
      <c r="B12">
        <v>136.19999999999999</v>
      </c>
      <c r="C12">
        <v>142.9</v>
      </c>
      <c r="D12">
        <v>128.80000000000001</v>
      </c>
      <c r="E12">
        <v>129.69999999999999</v>
      </c>
      <c r="F12">
        <v>404805.36499999999</v>
      </c>
      <c r="G12">
        <v>129.69999999999999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-0.87234042553191804</v>
      </c>
      <c r="Q12">
        <f t="shared" ref="Q12" si="36">F12*P12</f>
        <v>-353128.08436170337</v>
      </c>
      <c r="R12">
        <f t="shared" ref="R12" si="37">R13+Q12</f>
        <v>84743358.419331759</v>
      </c>
      <c r="S12">
        <f t="shared" ref="S12" si="38">R12/100000</f>
        <v>847.43358419331764</v>
      </c>
      <c r="T12">
        <f t="shared" ref="T12" si="39">S12/1000</f>
        <v>0.8474335841933176</v>
      </c>
    </row>
    <row r="13" spans="1:20" x14ac:dyDescent="0.25">
      <c r="A13" s="5">
        <v>44580</v>
      </c>
      <c r="B13">
        <v>141.4</v>
      </c>
      <c r="C13">
        <v>143</v>
      </c>
      <c r="D13">
        <v>133.19999999999999</v>
      </c>
      <c r="E13">
        <v>136.19999999999999</v>
      </c>
      <c r="F13">
        <v>437642.16499999998</v>
      </c>
      <c r="G13">
        <v>136.19999999999999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-0.38775510204081703</v>
      </c>
      <c r="Q13">
        <f t="shared" ref="Q13" si="41">F13*P13</f>
        <v>-169697.98234693907</v>
      </c>
      <c r="R13">
        <f t="shared" ref="R13" si="42">R14+Q13</f>
        <v>85096486.503693461</v>
      </c>
      <c r="S13">
        <f t="shared" ref="S13" si="43">R13/100000</f>
        <v>850.96486503693461</v>
      </c>
      <c r="T13">
        <f t="shared" ref="T13" si="44">S13/1000</f>
        <v>0.85096486503693458</v>
      </c>
    </row>
    <row r="14" spans="1:20" x14ac:dyDescent="0.25">
      <c r="A14" s="5">
        <v>44579</v>
      </c>
      <c r="B14">
        <v>151.1</v>
      </c>
      <c r="C14">
        <v>153.4</v>
      </c>
      <c r="D14">
        <v>138.6</v>
      </c>
      <c r="E14">
        <v>141.4</v>
      </c>
      <c r="F14">
        <v>605403.67200000002</v>
      </c>
      <c r="G14">
        <v>141.4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-0.62162162162162038</v>
      </c>
      <c r="Q14">
        <f t="shared" ref="Q14" si="46">F14*P14</f>
        <v>-376332.01232432359</v>
      </c>
      <c r="R14">
        <f t="shared" ref="R14" si="47">R15+Q14</f>
        <v>85266184.486040398</v>
      </c>
      <c r="S14">
        <f t="shared" ref="S14" si="48">R14/100000</f>
        <v>852.66184486040402</v>
      </c>
      <c r="T14">
        <f t="shared" ref="T14" si="49">S14/1000</f>
        <v>0.85266184486040397</v>
      </c>
    </row>
    <row r="15" spans="1:20" x14ac:dyDescent="0.25">
      <c r="A15" s="5">
        <v>44578</v>
      </c>
      <c r="B15">
        <v>146.4</v>
      </c>
      <c r="C15">
        <v>153.9</v>
      </c>
      <c r="D15">
        <v>144.1</v>
      </c>
      <c r="E15">
        <v>151.19999999999999</v>
      </c>
      <c r="F15">
        <v>809014.89500000002</v>
      </c>
      <c r="G15">
        <v>151.19999999999999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0.44897959183673186</v>
      </c>
      <c r="Q15">
        <f t="shared" ref="Q15" si="51">F15*P15</f>
        <v>363231.17734693649</v>
      </c>
      <c r="R15">
        <f t="shared" ref="R15" si="52">R16+Q15</f>
        <v>85642516.498364717</v>
      </c>
      <c r="S15">
        <f t="shared" ref="S15" si="53">R15/100000</f>
        <v>856.42516498364716</v>
      </c>
      <c r="T15">
        <f t="shared" ref="T15" si="54">S15/1000</f>
        <v>0.85642516498364718</v>
      </c>
    </row>
    <row r="16" spans="1:20" x14ac:dyDescent="0.25">
      <c r="A16" s="5">
        <v>44577</v>
      </c>
      <c r="B16">
        <v>147.6</v>
      </c>
      <c r="C16">
        <v>149</v>
      </c>
      <c r="D16">
        <v>143.19999999999999</v>
      </c>
      <c r="E16">
        <v>146.4</v>
      </c>
      <c r="F16">
        <v>323952.66499999998</v>
      </c>
      <c r="G16">
        <v>146.4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0.10344827586207268</v>
      </c>
      <c r="Q16">
        <f t="shared" ref="Q16" si="56">F16*P16</f>
        <v>33512.344655173612</v>
      </c>
      <c r="R16">
        <f t="shared" ref="R16" si="57">R17+Q16</f>
        <v>85279285.321017787</v>
      </c>
      <c r="S16">
        <f t="shared" ref="S16" si="58">R16/100000</f>
        <v>852.7928532101779</v>
      </c>
      <c r="T16">
        <f t="shared" ref="T16" si="59">S16/1000</f>
        <v>0.85279285321017795</v>
      </c>
    </row>
    <row r="17" spans="1:20" x14ac:dyDescent="0.25">
      <c r="A17" s="5">
        <v>44576</v>
      </c>
      <c r="B17">
        <v>144.69999999999999</v>
      </c>
      <c r="C17">
        <v>150.69999999999999</v>
      </c>
      <c r="D17">
        <v>144</v>
      </c>
      <c r="E17">
        <v>147.69999999999999</v>
      </c>
      <c r="F17">
        <v>461786.03600000002</v>
      </c>
      <c r="G17">
        <v>147.69999999999999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0.10447761194029699</v>
      </c>
      <c r="Q17">
        <f t="shared" ref="Q17" si="61">F17*P17</f>
        <v>48246.302268656022</v>
      </c>
      <c r="R17">
        <f t="shared" ref="R17" si="62">R18+Q17</f>
        <v>85245772.976362616</v>
      </c>
      <c r="S17">
        <f t="shared" ref="S17" si="63">R17/100000</f>
        <v>852.45772976362616</v>
      </c>
      <c r="T17">
        <f t="shared" ref="T17" si="64">S17/1000</f>
        <v>0.85245772976362622</v>
      </c>
    </row>
    <row r="18" spans="1:20" x14ac:dyDescent="0.25">
      <c r="A18" s="5">
        <v>44575</v>
      </c>
      <c r="B18">
        <v>136.69999999999999</v>
      </c>
      <c r="C18">
        <v>146.69999999999999</v>
      </c>
      <c r="D18">
        <v>135.80000000000001</v>
      </c>
      <c r="E18">
        <v>144.69999999999999</v>
      </c>
      <c r="F18">
        <v>588107.75199999998</v>
      </c>
      <c r="G18">
        <v>144.69999999999999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0.63302752293577902</v>
      </c>
      <c r="Q18">
        <f t="shared" ref="Q18" si="66">F18*P18</f>
        <v>372288.3934678894</v>
      </c>
      <c r="R18">
        <f t="shared" ref="R18" si="67">R19+Q18</f>
        <v>85197526.674093962</v>
      </c>
      <c r="S18">
        <f t="shared" ref="S18" si="68">R18/100000</f>
        <v>851.97526674093967</v>
      </c>
      <c r="T18">
        <f t="shared" ref="T18" si="69">S18/1000</f>
        <v>0.85197526674093971</v>
      </c>
    </row>
    <row r="19" spans="1:20" x14ac:dyDescent="0.25">
      <c r="A19" s="5">
        <v>44574</v>
      </c>
      <c r="B19">
        <v>142</v>
      </c>
      <c r="C19">
        <v>142.4</v>
      </c>
      <c r="D19">
        <v>134.6</v>
      </c>
      <c r="E19">
        <v>136.69999999999999</v>
      </c>
      <c r="F19">
        <v>462389.15399999998</v>
      </c>
      <c r="G19">
        <v>136.69999999999999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-0.46153846153846378</v>
      </c>
      <c r="Q19">
        <f t="shared" ref="Q19" si="71">F19*P19</f>
        <v>-213410.37876923179</v>
      </c>
      <c r="R19">
        <f t="shared" ref="R19" si="72">R20+Q19</f>
        <v>84825238.280626073</v>
      </c>
      <c r="S19">
        <f t="shared" ref="S19" si="73">R19/100000</f>
        <v>848.2523828062607</v>
      </c>
      <c r="T19">
        <f t="shared" ref="T19" si="74">S19/1000</f>
        <v>0.8482523828062607</v>
      </c>
    </row>
    <row r="20" spans="1:20" x14ac:dyDescent="0.25">
      <c r="A20" s="5">
        <v>44573</v>
      </c>
      <c r="B20">
        <v>131.6</v>
      </c>
      <c r="C20">
        <v>142.30000000000001</v>
      </c>
      <c r="D20">
        <v>130.80000000000001</v>
      </c>
      <c r="E20">
        <v>141.9</v>
      </c>
      <c r="F20">
        <v>387745.56699999998</v>
      </c>
      <c r="G20">
        <v>141.9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0.93043478260869461</v>
      </c>
      <c r="Q20">
        <f t="shared" ref="Q20" si="76">F20*P20</f>
        <v>360771.96233913</v>
      </c>
      <c r="R20">
        <f t="shared" ref="R20" si="77">R21+Q20</f>
        <v>85038648.659395307</v>
      </c>
      <c r="S20">
        <f t="shared" ref="S20" si="78">R20/100000</f>
        <v>850.38648659395312</v>
      </c>
      <c r="T20">
        <f t="shared" ref="T20" si="79">S20/1000</f>
        <v>0.85038648659395311</v>
      </c>
    </row>
    <row r="21" spans="1:20" x14ac:dyDescent="0.25">
      <c r="A21" s="5">
        <v>44572</v>
      </c>
      <c r="B21">
        <v>126.6</v>
      </c>
      <c r="C21">
        <v>133.5</v>
      </c>
      <c r="D21">
        <v>125.7</v>
      </c>
      <c r="E21">
        <v>131.6</v>
      </c>
      <c r="F21">
        <v>396300.22</v>
      </c>
      <c r="G21">
        <v>131.6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0.51282051282051122</v>
      </c>
      <c r="Q21">
        <f t="shared" ref="Q21" si="81">F21*P21</f>
        <v>203230.8820512814</v>
      </c>
      <c r="R21">
        <f t="shared" ref="R21" si="82">R22+Q21</f>
        <v>84677876.697056174</v>
      </c>
      <c r="S21">
        <f t="shared" ref="S21" si="83">R21/100000</f>
        <v>846.77876697056172</v>
      </c>
      <c r="T21">
        <f t="shared" ref="T21" si="84">S21/1000</f>
        <v>0.84677876697056176</v>
      </c>
    </row>
    <row r="22" spans="1:20" x14ac:dyDescent="0.25">
      <c r="A22" s="5">
        <v>44571</v>
      </c>
      <c r="B22">
        <v>130.80000000000001</v>
      </c>
      <c r="C22">
        <v>131.5</v>
      </c>
      <c r="D22">
        <v>120.7</v>
      </c>
      <c r="E22">
        <v>126.5</v>
      </c>
      <c r="F22">
        <v>621002.30602999998</v>
      </c>
      <c r="G22">
        <v>126.5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7.4074074074073834E-2</v>
      </c>
      <c r="Q22">
        <f t="shared" ref="Q22" si="86">F22*P22</f>
        <v>46000.170817036887</v>
      </c>
      <c r="R22">
        <f t="shared" ref="R22" si="87">R23+Q22</f>
        <v>84474645.8150049</v>
      </c>
      <c r="S22">
        <f t="shared" ref="S22" si="88">R22/100000</f>
        <v>844.74645815004897</v>
      </c>
      <c r="T22">
        <f t="shared" ref="T22" si="89">S22/1000</f>
        <v>0.84474645815004901</v>
      </c>
    </row>
    <row r="23" spans="1:20" x14ac:dyDescent="0.25">
      <c r="A23" s="5">
        <v>44570</v>
      </c>
      <c r="B23">
        <v>129.4</v>
      </c>
      <c r="C23">
        <v>132.6</v>
      </c>
      <c r="D23">
        <v>127.7</v>
      </c>
      <c r="E23">
        <v>130.9</v>
      </c>
      <c r="F23">
        <v>321828.34299999999</v>
      </c>
      <c r="G23">
        <v>130.9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0.30612244897959529</v>
      </c>
      <c r="Q23">
        <f t="shared" ref="Q23" si="91">F23*P23</f>
        <v>98518.880510205185</v>
      </c>
      <c r="R23">
        <f t="shared" ref="R23" si="92">R24+Q23</f>
        <v>84428645.644187868</v>
      </c>
      <c r="S23">
        <f t="shared" ref="S23" si="93">R23/100000</f>
        <v>844.28645644187873</v>
      </c>
      <c r="T23">
        <f t="shared" ref="T23" si="94">S23/1000</f>
        <v>0.84428645644187872</v>
      </c>
    </row>
    <row r="24" spans="1:20" x14ac:dyDescent="0.25">
      <c r="A24" s="5">
        <v>44569</v>
      </c>
      <c r="B24">
        <v>131.4</v>
      </c>
      <c r="C24">
        <v>134.80000000000001</v>
      </c>
      <c r="D24">
        <v>124.8</v>
      </c>
      <c r="E24">
        <v>129.4</v>
      </c>
      <c r="F24">
        <v>450291.35477999999</v>
      </c>
      <c r="G24">
        <v>129.4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-7.9999999999999599E-2</v>
      </c>
      <c r="Q24">
        <f t="shared" ref="Q24" si="96">F24*P24</f>
        <v>-36023.308382399817</v>
      </c>
      <c r="R24">
        <f t="shared" ref="R24" si="97">R25+Q24</f>
        <v>84330126.763677657</v>
      </c>
      <c r="S24">
        <f t="shared" ref="S24" si="98">R24/100000</f>
        <v>843.30126763677652</v>
      </c>
      <c r="T24">
        <f t="shared" ref="T24" si="99">S24/1000</f>
        <v>0.84330126763677649</v>
      </c>
    </row>
    <row r="25" spans="1:20" x14ac:dyDescent="0.25">
      <c r="A25" s="5">
        <v>44568</v>
      </c>
      <c r="B25">
        <v>135.9</v>
      </c>
      <c r="C25">
        <v>136.5</v>
      </c>
      <c r="D25">
        <v>125.9</v>
      </c>
      <c r="E25">
        <v>131.4</v>
      </c>
      <c r="F25">
        <v>733975.31191000005</v>
      </c>
      <c r="G25">
        <v>131.4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3.7735849056604327E-2</v>
      </c>
      <c r="Q25">
        <f t="shared" ref="Q25" si="101">F25*P25</f>
        <v>27697.181581509842</v>
      </c>
      <c r="R25">
        <f t="shared" ref="R25" si="102">R26+Q25</f>
        <v>84366150.072060063</v>
      </c>
      <c r="S25">
        <f t="shared" ref="S25" si="103">R25/100000</f>
        <v>843.66150072060066</v>
      </c>
      <c r="T25">
        <f t="shared" ref="T25" si="104">S25/1000</f>
        <v>0.84366150072060064</v>
      </c>
    </row>
    <row r="26" spans="1:20" x14ac:dyDescent="0.25">
      <c r="A26" s="5">
        <v>44567</v>
      </c>
      <c r="B26">
        <v>135.30000000000001</v>
      </c>
      <c r="C26">
        <v>138.1</v>
      </c>
      <c r="D26">
        <v>132.4</v>
      </c>
      <c r="E26">
        <v>135.9</v>
      </c>
      <c r="F26">
        <v>531427.35699999996</v>
      </c>
      <c r="G26">
        <v>135.9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0.22807017543859895</v>
      </c>
      <c r="Q26">
        <f t="shared" ref="Q26" si="106">F26*P26</f>
        <v>121202.73054386095</v>
      </c>
      <c r="R26">
        <f t="shared" ref="R26" si="107">R27+Q26</f>
        <v>84338452.890478551</v>
      </c>
      <c r="S26">
        <f t="shared" ref="S26" si="108">R26/100000</f>
        <v>843.3845289047855</v>
      </c>
      <c r="T26">
        <f t="shared" ref="T26" si="109">S26/1000</f>
        <v>0.84338452890478555</v>
      </c>
    </row>
    <row r="27" spans="1:20" x14ac:dyDescent="0.25">
      <c r="A27" s="5">
        <v>44566</v>
      </c>
      <c r="B27">
        <v>146.5</v>
      </c>
      <c r="C27">
        <v>150</v>
      </c>
      <c r="D27">
        <v>129.80000000000001</v>
      </c>
      <c r="E27">
        <v>135.4</v>
      </c>
      <c r="F27">
        <v>601964.05700000003</v>
      </c>
      <c r="G27">
        <v>135.4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-0.44554455445544577</v>
      </c>
      <c r="Q27">
        <f t="shared" ref="Q27" si="111">F27*P27</f>
        <v>-268201.8075742576</v>
      </c>
      <c r="R27">
        <f t="shared" ref="R27" si="112">R28+Q27</f>
        <v>84217250.159934685</v>
      </c>
      <c r="S27">
        <f t="shared" ref="S27" si="113">R27/100000</f>
        <v>842.1725015993469</v>
      </c>
      <c r="T27">
        <f t="shared" ref="T27" si="114">S27/1000</f>
        <v>0.84217250159934687</v>
      </c>
    </row>
    <row r="28" spans="1:20" x14ac:dyDescent="0.25">
      <c r="A28" s="5">
        <v>44565</v>
      </c>
      <c r="B28">
        <v>148.4</v>
      </c>
      <c r="C28">
        <v>151.69999999999999</v>
      </c>
      <c r="D28">
        <v>145.19999999999999</v>
      </c>
      <c r="E28">
        <v>146.5</v>
      </c>
      <c r="F28">
        <v>331705.663</v>
      </c>
      <c r="G28">
        <v>146.5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-0.59999999999999654</v>
      </c>
      <c r="Q28">
        <f t="shared" ref="Q28" si="116">F28*P28</f>
        <v>-199023.39779999884</v>
      </c>
      <c r="R28">
        <f t="shared" ref="R28" si="117">R29+Q28</f>
        <v>84485451.967508942</v>
      </c>
      <c r="S28">
        <f t="shared" ref="S28" si="118">R28/100000</f>
        <v>844.85451967508936</v>
      </c>
      <c r="T28">
        <f t="shared" ref="T28" si="119">S28/1000</f>
        <v>0.8448545196750894</v>
      </c>
    </row>
    <row r="29" spans="1:20" x14ac:dyDescent="0.25">
      <c r="A29" s="5">
        <v>44564</v>
      </c>
      <c r="B29">
        <v>151.1</v>
      </c>
      <c r="C29">
        <v>151.19999999999999</v>
      </c>
      <c r="D29">
        <v>146</v>
      </c>
      <c r="E29">
        <v>148.5</v>
      </c>
      <c r="F29">
        <v>291038.87300000002</v>
      </c>
      <c r="G29">
        <v>148.5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-3.8461538461536361E-2</v>
      </c>
      <c r="Q29">
        <f t="shared" ref="Q29" si="121">F29*P29</f>
        <v>-11193.802807691698</v>
      </c>
      <c r="R29">
        <f t="shared" ref="R29" si="122">R30+Q29</f>
        <v>84684475.36530894</v>
      </c>
      <c r="S29">
        <f t="shared" ref="S29" si="123">R29/100000</f>
        <v>846.84475365308936</v>
      </c>
      <c r="T29">
        <f t="shared" ref="T29" si="124">S29/1000</f>
        <v>0.84684475365308931</v>
      </c>
    </row>
    <row r="30" spans="1:20" x14ac:dyDescent="0.25">
      <c r="A30" s="5">
        <v>44563</v>
      </c>
      <c r="B30">
        <v>150.80000000000001</v>
      </c>
      <c r="C30">
        <v>153.4</v>
      </c>
      <c r="D30">
        <v>147.80000000000001</v>
      </c>
      <c r="E30">
        <v>151.19999999999999</v>
      </c>
      <c r="F30">
        <v>228350.087</v>
      </c>
      <c r="G30">
        <v>151.19999999999999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0.21428571428570739</v>
      </c>
      <c r="Q30">
        <f t="shared" ref="Q30" si="126">F30*P30</f>
        <v>48932.161499998423</v>
      </c>
      <c r="R30">
        <f t="shared" ref="R30" si="127">R31+Q30</f>
        <v>84695669.168116629</v>
      </c>
      <c r="S30">
        <f t="shared" ref="S30" si="128">R30/100000</f>
        <v>846.95669168116626</v>
      </c>
      <c r="T30">
        <f t="shared" ref="T30" si="129">S30/1000</f>
        <v>0.84695669168116627</v>
      </c>
    </row>
    <row r="31" spans="1:20" x14ac:dyDescent="0.25">
      <c r="A31" s="5">
        <v>44562</v>
      </c>
      <c r="B31">
        <v>146.19999999999999</v>
      </c>
      <c r="C31">
        <v>151</v>
      </c>
      <c r="D31">
        <v>146.1</v>
      </c>
      <c r="E31">
        <v>150.80000000000001</v>
      </c>
      <c r="F31">
        <v>225155.54</v>
      </c>
      <c r="G31">
        <v>150.80000000000001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0.91836734693878019</v>
      </c>
      <c r="Q31">
        <f t="shared" ref="Q31" si="131">F31*P31</f>
        <v>206775.4959183684</v>
      </c>
      <c r="R31">
        <f t="shared" ref="R31" si="132">R32+Q31</f>
        <v>84646737.006616637</v>
      </c>
      <c r="S31">
        <f t="shared" ref="S31" si="133">R31/100000</f>
        <v>846.46737006616638</v>
      </c>
      <c r="T31">
        <f t="shared" ref="T31" si="134">S31/1000</f>
        <v>0.84646737006616635</v>
      </c>
    </row>
    <row r="32" spans="1:20" x14ac:dyDescent="0.25">
      <c r="A32" s="5">
        <v>44561</v>
      </c>
      <c r="B32">
        <v>147.9</v>
      </c>
      <c r="C32">
        <v>152.69999999999999</v>
      </c>
      <c r="D32">
        <v>143.69999999999999</v>
      </c>
      <c r="E32">
        <v>146.30000000000001</v>
      </c>
      <c r="F32">
        <v>344892.41</v>
      </c>
      <c r="G32">
        <v>146.30000000000001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-0.42222222222221717</v>
      </c>
      <c r="Q32">
        <f t="shared" ref="Q32" si="136">F32*P32</f>
        <v>-145621.23977777603</v>
      </c>
      <c r="R32">
        <f t="shared" ref="R32" si="137">R33+Q32</f>
        <v>84439961.510698274</v>
      </c>
      <c r="S32">
        <f t="shared" ref="S32" si="138">R32/100000</f>
        <v>844.39961510698276</v>
      </c>
      <c r="T32">
        <f t="shared" ref="T32" si="139">S32/1000</f>
        <v>0.8443996151069828</v>
      </c>
    </row>
    <row r="33" spans="1:20" x14ac:dyDescent="0.25">
      <c r="A33" s="5">
        <v>44560</v>
      </c>
      <c r="B33">
        <v>145.5</v>
      </c>
      <c r="C33">
        <v>150</v>
      </c>
      <c r="D33">
        <v>142.69999999999999</v>
      </c>
      <c r="E33">
        <v>148</v>
      </c>
      <c r="F33">
        <v>318121.04599999997</v>
      </c>
      <c r="G33">
        <v>148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0.45205479452054881</v>
      </c>
      <c r="Q33">
        <f t="shared" ref="Q33" si="141">F33*P33</f>
        <v>143808.14408219204</v>
      </c>
      <c r="R33">
        <f t="shared" ref="R33" si="142">R34+Q33</f>
        <v>84585582.750476047</v>
      </c>
      <c r="S33">
        <f t="shared" ref="S33" si="143">R33/100000</f>
        <v>845.85582750476044</v>
      </c>
      <c r="T33">
        <f t="shared" ref="T33" si="144">S33/1000</f>
        <v>0.8458558275047604</v>
      </c>
    </row>
    <row r="34" spans="1:20" x14ac:dyDescent="0.25">
      <c r="A34" s="5">
        <v>44559</v>
      </c>
      <c r="B34">
        <v>145.6</v>
      </c>
      <c r="C34">
        <v>151</v>
      </c>
      <c r="D34">
        <v>143.9</v>
      </c>
      <c r="E34">
        <v>145.5</v>
      </c>
      <c r="F34">
        <v>444947.62800000003</v>
      </c>
      <c r="G34">
        <v>145.5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-0.54929577464788859</v>
      </c>
      <c r="Q34">
        <f t="shared" ref="Q34" si="146">F34*P34</f>
        <v>-244407.85200000057</v>
      </c>
      <c r="R34">
        <f t="shared" ref="R34" si="147">R35+Q34</f>
        <v>84441774.606393859</v>
      </c>
      <c r="S34">
        <f t="shared" ref="S34" si="148">R34/100000</f>
        <v>844.41774606393858</v>
      </c>
      <c r="T34">
        <f t="shared" ref="T34" si="149">S34/1000</f>
        <v>0.8444177460639386</v>
      </c>
    </row>
    <row r="35" spans="1:20" x14ac:dyDescent="0.25">
      <c r="A35" s="5">
        <v>44558</v>
      </c>
      <c r="B35">
        <v>155.9</v>
      </c>
      <c r="C35">
        <v>156</v>
      </c>
      <c r="D35">
        <v>144.5</v>
      </c>
      <c r="E35">
        <v>145.69999999999999</v>
      </c>
      <c r="F35">
        <v>679901.01399999997</v>
      </c>
      <c r="G35">
        <v>145.69999999999999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-0.79130434782608894</v>
      </c>
      <c r="Q35">
        <f t="shared" ref="Q35" si="151">F35*P35</f>
        <v>-538008.62846956658</v>
      </c>
      <c r="R35">
        <f t="shared" ref="R35" si="152">R36+Q35</f>
        <v>84686182.458393857</v>
      </c>
      <c r="S35">
        <f t="shared" ref="S35" si="153">R35/100000</f>
        <v>846.86182458393853</v>
      </c>
      <c r="T35">
        <f t="shared" ref="T35" si="154">S35/1000</f>
        <v>0.84686182458393855</v>
      </c>
    </row>
    <row r="36" spans="1:20" x14ac:dyDescent="0.25">
      <c r="A36" s="5">
        <v>44557</v>
      </c>
      <c r="B36">
        <v>155.80000000000001</v>
      </c>
      <c r="C36">
        <v>161.30000000000001</v>
      </c>
      <c r="D36">
        <v>154.4</v>
      </c>
      <c r="E36">
        <v>155.9</v>
      </c>
      <c r="F36">
        <v>463944.984</v>
      </c>
      <c r="G36">
        <v>155.9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-0.56521739130434823</v>
      </c>
      <c r="Q36">
        <f t="shared" ref="Q36" si="156">F36*P36</f>
        <v>-262229.77356521756</v>
      </c>
      <c r="R36">
        <f t="shared" ref="R36" si="157">R37+Q36</f>
        <v>85224191.086863428</v>
      </c>
      <c r="S36">
        <f t="shared" ref="S36" si="158">R36/100000</f>
        <v>852.24191086863425</v>
      </c>
      <c r="T36">
        <f t="shared" ref="T36" si="159">S36/1000</f>
        <v>0.85224191086863421</v>
      </c>
    </row>
    <row r="37" spans="1:20" x14ac:dyDescent="0.25">
      <c r="A37" s="5">
        <v>44556</v>
      </c>
      <c r="B37">
        <v>157.80000000000001</v>
      </c>
      <c r="C37">
        <v>158.4</v>
      </c>
      <c r="D37">
        <v>152.6</v>
      </c>
      <c r="E37">
        <v>155.69999999999999</v>
      </c>
      <c r="F37">
        <v>887961.05900000001</v>
      </c>
      <c r="G37">
        <v>155.69999999999999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6.8965517241375257E-2</v>
      </c>
      <c r="Q37">
        <f t="shared" ref="Q37" si="161">F37*P37</f>
        <v>61238.693724134333</v>
      </c>
      <c r="R37">
        <f t="shared" ref="R37" si="162">R38+Q37</f>
        <v>85486420.860428646</v>
      </c>
      <c r="S37">
        <f t="shared" ref="S37" si="163">R37/100000</f>
        <v>854.86420860428643</v>
      </c>
      <c r="T37">
        <f t="shared" ref="T37" si="164">S37/1000</f>
        <v>0.85486420860428647</v>
      </c>
    </row>
    <row r="38" spans="1:20" x14ac:dyDescent="0.25">
      <c r="A38" s="5">
        <v>44555</v>
      </c>
      <c r="B38">
        <v>161.19999999999999</v>
      </c>
      <c r="C38">
        <v>163.6</v>
      </c>
      <c r="D38">
        <v>157.30000000000001</v>
      </c>
      <c r="E38">
        <v>157.80000000000001</v>
      </c>
      <c r="F38">
        <v>456068.09399999998</v>
      </c>
      <c r="G38">
        <v>157.80000000000001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-0.84126984126984083</v>
      </c>
      <c r="Q38">
        <f t="shared" ref="Q38" si="166">F38*P38</f>
        <v>-383676.33304761886</v>
      </c>
      <c r="R38">
        <f t="shared" ref="R38" si="167">R39+Q38</f>
        <v>85425182.166704506</v>
      </c>
      <c r="S38">
        <f t="shared" ref="S38" si="168">R38/100000</f>
        <v>854.25182166704508</v>
      </c>
      <c r="T38">
        <f t="shared" ref="T38" si="169">S38/1000</f>
        <v>0.85425182166704505</v>
      </c>
    </row>
    <row r="39" spans="1:20" x14ac:dyDescent="0.25">
      <c r="A39" s="5">
        <v>44554</v>
      </c>
      <c r="B39">
        <v>163.6</v>
      </c>
      <c r="C39">
        <v>166.8</v>
      </c>
      <c r="D39">
        <v>160.1</v>
      </c>
      <c r="E39">
        <v>161.19999999999999</v>
      </c>
      <c r="F39">
        <v>411411.85600000003</v>
      </c>
      <c r="G39">
        <v>161.19999999999999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-0.67164179104477861</v>
      </c>
      <c r="Q39">
        <f t="shared" ref="Q39" si="171">F39*P39</f>
        <v>-276321.39582089655</v>
      </c>
      <c r="R39">
        <f t="shared" ref="R39" si="172">R40+Q39</f>
        <v>85808858.499752119</v>
      </c>
      <c r="S39">
        <f t="shared" ref="S39" si="173">R39/100000</f>
        <v>858.08858499752114</v>
      </c>
      <c r="T39">
        <f t="shared" ref="T39" si="174">S39/1000</f>
        <v>0.85808858499752116</v>
      </c>
    </row>
    <row r="40" spans="1:20" x14ac:dyDescent="0.25">
      <c r="A40" s="5">
        <v>44553</v>
      </c>
      <c r="B40">
        <v>155.4</v>
      </c>
      <c r="C40">
        <v>165.2</v>
      </c>
      <c r="D40">
        <v>153</v>
      </c>
      <c r="E40">
        <v>163.6</v>
      </c>
      <c r="F40">
        <v>521673.02100000001</v>
      </c>
      <c r="G40">
        <v>163.6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0.73770491803278759</v>
      </c>
      <c r="Q40">
        <f t="shared" ref="Q40" si="176">F40*P40</f>
        <v>384840.75319672166</v>
      </c>
      <c r="R40">
        <f t="shared" ref="R40" si="177">R41+Q40</f>
        <v>86085179.89557302</v>
      </c>
      <c r="S40">
        <f t="shared" ref="S40" si="178">R40/100000</f>
        <v>860.85179895573015</v>
      </c>
      <c r="T40">
        <f t="shared" ref="T40" si="179">S40/1000</f>
        <v>0.86085179895573016</v>
      </c>
    </row>
    <row r="41" spans="1:20" x14ac:dyDescent="0.25">
      <c r="A41" s="5">
        <v>44552</v>
      </c>
      <c r="B41">
        <v>154.80000000000001</v>
      </c>
      <c r="C41">
        <v>160.19999999999999</v>
      </c>
      <c r="D41">
        <v>152.9</v>
      </c>
      <c r="E41">
        <v>155.4</v>
      </c>
      <c r="F41">
        <v>414964.85</v>
      </c>
      <c r="G41">
        <v>155.4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-0.3150684931506833</v>
      </c>
      <c r="Q41">
        <f t="shared" ref="Q41" si="181">F41*P41</f>
        <v>-130742.34999999932</v>
      </c>
      <c r="R41">
        <f t="shared" ref="R41" si="182">R42+Q41</f>
        <v>85700339.142376304</v>
      </c>
      <c r="S41">
        <f t="shared" ref="S41" si="183">R41/100000</f>
        <v>857.00339142376299</v>
      </c>
      <c r="T41">
        <f t="shared" ref="T41" si="184">S41/1000</f>
        <v>0.85700339142376303</v>
      </c>
    </row>
    <row r="42" spans="1:20" x14ac:dyDescent="0.25">
      <c r="A42" s="5">
        <v>44551</v>
      </c>
      <c r="B42">
        <v>152.69999999999999</v>
      </c>
      <c r="C42">
        <v>156.4</v>
      </c>
      <c r="D42">
        <v>149.1</v>
      </c>
      <c r="E42">
        <v>154.69999999999999</v>
      </c>
      <c r="F42">
        <v>375493.20500000002</v>
      </c>
      <c r="G42">
        <v>154.69999999999999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0.53424657534246178</v>
      </c>
      <c r="Q42">
        <f t="shared" ref="Q42" si="186">F42*P42</f>
        <v>200605.95883561496</v>
      </c>
      <c r="R42">
        <f t="shared" ref="R42" si="187">R43+Q42</f>
        <v>85831081.492376298</v>
      </c>
      <c r="S42">
        <f t="shared" ref="S42" si="188">R42/100000</f>
        <v>858.31081492376302</v>
      </c>
      <c r="T42">
        <f t="shared" ref="T42" si="189">S42/1000</f>
        <v>0.85831081492376304</v>
      </c>
    </row>
    <row r="43" spans="1:20" x14ac:dyDescent="0.25">
      <c r="A43" s="5">
        <v>44550</v>
      </c>
      <c r="B43">
        <v>153.19999999999999</v>
      </c>
      <c r="C43">
        <v>157.4</v>
      </c>
      <c r="D43">
        <v>145.19999999999999</v>
      </c>
      <c r="E43">
        <v>152.6</v>
      </c>
      <c r="F43">
        <v>550918.76899999997</v>
      </c>
      <c r="G43">
        <v>152.6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0.21311475409835989</v>
      </c>
      <c r="Q43">
        <f t="shared" ref="Q43" si="191">F43*P43</f>
        <v>117408.91798360614</v>
      </c>
      <c r="R43">
        <f t="shared" ref="R43" si="192">R44+Q43</f>
        <v>85630475.533540681</v>
      </c>
      <c r="S43">
        <f t="shared" ref="S43" si="193">R43/100000</f>
        <v>856.30475533540687</v>
      </c>
      <c r="T43">
        <f t="shared" ref="T43" si="194">S43/1000</f>
        <v>0.85630475533540684</v>
      </c>
    </row>
    <row r="44" spans="1:20" x14ac:dyDescent="0.25">
      <c r="A44" s="5">
        <v>44549</v>
      </c>
      <c r="B44">
        <v>148.6</v>
      </c>
      <c r="C44">
        <v>161.1</v>
      </c>
      <c r="D44">
        <v>147.6</v>
      </c>
      <c r="E44">
        <v>153.19999999999999</v>
      </c>
      <c r="F44">
        <v>738406.68200000003</v>
      </c>
      <c r="G44">
        <v>153.19999999999999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-0.1703703703703712</v>
      </c>
      <c r="Q44">
        <f t="shared" ref="Q44" si="196">F44*P44</f>
        <v>-125802.61989629691</v>
      </c>
      <c r="R44">
        <f t="shared" ref="R44" si="197">R45+Q44</f>
        <v>85513066.615557075</v>
      </c>
      <c r="S44">
        <f t="shared" ref="S44" si="198">R44/100000</f>
        <v>855.13066615557079</v>
      </c>
      <c r="T44">
        <f t="shared" ref="T44" si="199">S44/1000</f>
        <v>0.85513066615557076</v>
      </c>
    </row>
    <row r="45" spans="1:20" x14ac:dyDescent="0.25">
      <c r="A45" s="5">
        <v>44548</v>
      </c>
      <c r="B45">
        <v>144.1</v>
      </c>
      <c r="C45">
        <v>150.30000000000001</v>
      </c>
      <c r="D45">
        <v>142.80000000000001</v>
      </c>
      <c r="E45">
        <v>148.6</v>
      </c>
      <c r="F45">
        <v>300448.21899999998</v>
      </c>
      <c r="G45">
        <v>148.6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0.54666666666666208</v>
      </c>
      <c r="Q45">
        <f t="shared" ref="Q45" si="201">F45*P45</f>
        <v>164245.02638666527</v>
      </c>
      <c r="R45">
        <f t="shared" ref="R45" si="202">R46+Q45</f>
        <v>85638869.235453367</v>
      </c>
      <c r="S45">
        <f t="shared" ref="S45" si="203">R45/100000</f>
        <v>856.38869235453365</v>
      </c>
      <c r="T45">
        <f t="shared" ref="T45" si="204">S45/1000</f>
        <v>0.85638869235453363</v>
      </c>
    </row>
    <row r="46" spans="1:20" x14ac:dyDescent="0.25">
      <c r="A46" s="5">
        <v>44547</v>
      </c>
      <c r="B46">
        <v>148.9</v>
      </c>
      <c r="C46">
        <v>150.30000000000001</v>
      </c>
      <c r="D46">
        <v>141.19999999999999</v>
      </c>
      <c r="E46">
        <v>144.1</v>
      </c>
      <c r="F46">
        <v>472455.02299999999</v>
      </c>
      <c r="G46">
        <v>144.1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-0.36263736263736296</v>
      </c>
      <c r="Q46">
        <f t="shared" ref="Q46" si="206">F46*P46</f>
        <v>-171329.84350549465</v>
      </c>
      <c r="R46">
        <f t="shared" ref="R46" si="207">R47+Q46</f>
        <v>85474624.209066704</v>
      </c>
      <c r="S46">
        <f t="shared" ref="S46" si="208">R46/100000</f>
        <v>854.74624209066701</v>
      </c>
      <c r="T46">
        <f t="shared" ref="T46" si="209">S46/1000</f>
        <v>0.85474624209066696</v>
      </c>
    </row>
    <row r="47" spans="1:20" x14ac:dyDescent="0.25">
      <c r="A47" s="5">
        <v>44546</v>
      </c>
      <c r="B47">
        <v>153.5</v>
      </c>
      <c r="C47">
        <v>156.69999999999999</v>
      </c>
      <c r="D47">
        <v>148.5</v>
      </c>
      <c r="E47">
        <v>148.9</v>
      </c>
      <c r="F47">
        <v>434853.36099999998</v>
      </c>
      <c r="G47">
        <v>148.9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-0.90243902439024237</v>
      </c>
      <c r="Q47">
        <f t="shared" ref="Q47" si="211">F47*P47</f>
        <v>-392428.64285365783</v>
      </c>
      <c r="R47">
        <f t="shared" ref="R47" si="212">R48+Q47</f>
        <v>85645954.052572206</v>
      </c>
      <c r="S47">
        <f t="shared" ref="S47" si="213">R47/100000</f>
        <v>856.4595405257221</v>
      </c>
      <c r="T47">
        <f t="shared" ref="T47" si="214">S47/1000</f>
        <v>0.85645954052572215</v>
      </c>
    </row>
    <row r="48" spans="1:20" x14ac:dyDescent="0.25">
      <c r="A48" s="5">
        <v>44545</v>
      </c>
      <c r="B48">
        <v>150.30000000000001</v>
      </c>
      <c r="C48">
        <v>155</v>
      </c>
      <c r="D48">
        <v>141.69999999999999</v>
      </c>
      <c r="E48">
        <v>153.6</v>
      </c>
      <c r="F48">
        <v>611833.27800000005</v>
      </c>
      <c r="G48">
        <v>153.6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0.78947368421052566</v>
      </c>
      <c r="Q48">
        <f t="shared" ref="Q48" si="216">F48*P48</f>
        <v>483026.27210526279</v>
      </c>
      <c r="R48">
        <f t="shared" ref="R48" si="217">R49+Q48</f>
        <v>86038382.695425868</v>
      </c>
      <c r="S48">
        <f t="shared" ref="S48" si="218">R48/100000</f>
        <v>860.38382695425867</v>
      </c>
      <c r="T48">
        <f t="shared" ref="T48" si="219">S48/1000</f>
        <v>0.86038382695425863</v>
      </c>
    </row>
    <row r="49" spans="1:20" x14ac:dyDescent="0.25">
      <c r="A49" s="5">
        <v>44544</v>
      </c>
      <c r="B49">
        <v>144.6</v>
      </c>
      <c r="C49">
        <v>151.9</v>
      </c>
      <c r="D49">
        <v>142.9</v>
      </c>
      <c r="E49">
        <v>150.4</v>
      </c>
      <c r="F49">
        <v>511641.76899999997</v>
      </c>
      <c r="G49">
        <v>150.4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0.66666666666666663</v>
      </c>
      <c r="Q49">
        <f t="shared" ref="Q49" si="221">F49*P49</f>
        <v>341094.51266666665</v>
      </c>
      <c r="R49">
        <f t="shared" ref="R49" si="222">R50+Q49</f>
        <v>85555356.423320606</v>
      </c>
      <c r="S49">
        <f t="shared" ref="S49" si="223">R49/100000</f>
        <v>855.55356423320609</v>
      </c>
      <c r="T49">
        <f t="shared" ref="T49" si="224">S49/1000</f>
        <v>0.85555356423320605</v>
      </c>
    </row>
    <row r="50" spans="1:20" x14ac:dyDescent="0.25">
      <c r="A50" s="5">
        <v>44543</v>
      </c>
      <c r="B50">
        <v>158.9</v>
      </c>
      <c r="C50">
        <v>159.9</v>
      </c>
      <c r="D50">
        <v>142.69999999999999</v>
      </c>
      <c r="E50">
        <v>144.6</v>
      </c>
      <c r="F50">
        <v>628722.15899999999</v>
      </c>
      <c r="G50">
        <v>144.6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-0.77906976744186007</v>
      </c>
      <c r="Q50">
        <f t="shared" ref="Q50" si="226">F50*P50</f>
        <v>-489818.42619767418</v>
      </c>
      <c r="R50">
        <f t="shared" ref="R50" si="227">R51+Q50</f>
        <v>85214261.910653934</v>
      </c>
      <c r="S50">
        <f t="shared" ref="S50" si="228">R50/100000</f>
        <v>852.14261910653931</v>
      </c>
      <c r="T50">
        <f t="shared" ref="T50" si="229">S50/1000</f>
        <v>0.85214261910653932</v>
      </c>
    </row>
    <row r="51" spans="1:20" x14ac:dyDescent="0.25">
      <c r="A51" s="5">
        <v>44542</v>
      </c>
      <c r="B51">
        <v>158</v>
      </c>
      <c r="C51">
        <v>162.9</v>
      </c>
      <c r="D51">
        <v>153.19999999999999</v>
      </c>
      <c r="E51">
        <v>159</v>
      </c>
      <c r="F51">
        <v>382460.66899999999</v>
      </c>
      <c r="G51">
        <v>159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0.19587628865979406</v>
      </c>
      <c r="Q51">
        <f t="shared" ref="Q51" si="231">F51*P51</f>
        <v>74914.976402061948</v>
      </c>
      <c r="R51">
        <f t="shared" ref="R51" si="232">R52+Q51</f>
        <v>85704080.336851612</v>
      </c>
      <c r="S51">
        <f t="shared" ref="S51" si="233">R51/100000</f>
        <v>857.04080336851609</v>
      </c>
      <c r="T51">
        <f t="shared" ref="T51" si="234">S51/1000</f>
        <v>0.85704080336851607</v>
      </c>
    </row>
    <row r="52" spans="1:20" x14ac:dyDescent="0.25">
      <c r="A52" s="5">
        <v>44541</v>
      </c>
      <c r="B52">
        <v>148.4</v>
      </c>
      <c r="C52">
        <v>151</v>
      </c>
      <c r="D52">
        <v>145.69999999999999</v>
      </c>
      <c r="E52">
        <v>150.6</v>
      </c>
      <c r="F52">
        <v>46400.205000000002</v>
      </c>
      <c r="G52">
        <v>150.6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0.84905660377358305</v>
      </c>
      <c r="Q52">
        <f t="shared" ref="Q52" si="236">F52*P52</f>
        <v>39396.400471698027</v>
      </c>
      <c r="R52">
        <f t="shared" ref="R52" si="237">R53+Q52</f>
        <v>85629165.360449553</v>
      </c>
      <c r="S52">
        <f t="shared" ref="S52" si="238">R52/100000</f>
        <v>856.29165360449554</v>
      </c>
      <c r="T52">
        <f t="shared" ref="T52" si="239">S52/1000</f>
        <v>0.85629165360449555</v>
      </c>
    </row>
    <row r="53" spans="1:20" x14ac:dyDescent="0.25">
      <c r="A53" s="5">
        <v>44540</v>
      </c>
      <c r="B53">
        <v>151.4</v>
      </c>
      <c r="C53">
        <v>159.80000000000001</v>
      </c>
      <c r="D53">
        <v>147.5</v>
      </c>
      <c r="E53">
        <v>148.30000000000001</v>
      </c>
      <c r="F53">
        <v>704610.42799999996</v>
      </c>
      <c r="G53">
        <v>148.30000000000001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-0.86991869918699016</v>
      </c>
      <c r="Q53">
        <f t="shared" ref="Q53" si="241">F53*P53</f>
        <v>-612953.78695934836</v>
      </c>
      <c r="R53">
        <f t="shared" ref="R53" si="242">R54+Q53</f>
        <v>85589768.95997785</v>
      </c>
      <c r="S53">
        <f t="shared" ref="S53" si="243">R53/100000</f>
        <v>855.89768959977846</v>
      </c>
      <c r="T53">
        <f t="shared" ref="T53" si="244">S53/1000</f>
        <v>0.85589768959977841</v>
      </c>
    </row>
    <row r="54" spans="1:20" x14ac:dyDescent="0.25">
      <c r="A54" s="5">
        <v>44539</v>
      </c>
      <c r="B54">
        <v>165.2</v>
      </c>
      <c r="C54">
        <v>167.1</v>
      </c>
      <c r="D54">
        <v>151.1</v>
      </c>
      <c r="E54">
        <v>151.30000000000001</v>
      </c>
      <c r="F54">
        <v>648228.98199999996</v>
      </c>
      <c r="G54">
        <v>151.30000000000001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-0.97499999999999787</v>
      </c>
      <c r="Q54">
        <f t="shared" ref="Q54" si="246">F54*P54</f>
        <v>-632023.25744999864</v>
      </c>
      <c r="R54">
        <f t="shared" ref="R54" si="247">R55+Q54</f>
        <v>86202722.7469372</v>
      </c>
      <c r="S54">
        <f t="shared" ref="S54" si="248">R54/100000</f>
        <v>862.02722746937195</v>
      </c>
      <c r="T54">
        <f t="shared" ref="T54" si="249">S54/1000</f>
        <v>0.86202722746937199</v>
      </c>
    </row>
    <row r="55" spans="1:20" x14ac:dyDescent="0.25">
      <c r="A55" s="5">
        <v>44538</v>
      </c>
      <c r="B55">
        <v>161.80000000000001</v>
      </c>
      <c r="C55">
        <v>170.3</v>
      </c>
      <c r="D55">
        <v>155.80000000000001</v>
      </c>
      <c r="E55">
        <v>165.1</v>
      </c>
      <c r="F55">
        <v>890527.25199999998</v>
      </c>
      <c r="G55">
        <v>165.1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0.2827586206896528</v>
      </c>
      <c r="Q55">
        <f t="shared" ref="Q55" si="251">F55*P55</f>
        <v>251804.25746206683</v>
      </c>
      <c r="R55">
        <f t="shared" ref="R55" si="252">R56+Q55</f>
        <v>86834746.0043872</v>
      </c>
      <c r="S55">
        <f t="shared" ref="S55" si="253">R55/100000</f>
        <v>868.34746004387205</v>
      </c>
      <c r="T55">
        <f t="shared" ref="T55" si="254">S55/1000</f>
        <v>0.86834746004387209</v>
      </c>
    </row>
    <row r="56" spans="1:20" x14ac:dyDescent="0.25">
      <c r="A56" s="5">
        <v>44537</v>
      </c>
      <c r="B56">
        <v>161.30000000000001</v>
      </c>
      <c r="C56">
        <v>165.8</v>
      </c>
      <c r="D56">
        <v>158.19999999999999</v>
      </c>
      <c r="E56">
        <v>161.80000000000001</v>
      </c>
      <c r="F56">
        <v>672241.01</v>
      </c>
      <c r="G56">
        <v>161.80000000000001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-5.2631578947365275E-2</v>
      </c>
      <c r="Q56">
        <f t="shared" ref="Q56" si="256">F56*P56</f>
        <v>-35381.10578947157</v>
      </c>
      <c r="R56">
        <f t="shared" ref="R56" si="257">R57+Q56</f>
        <v>86582941.74692513</v>
      </c>
      <c r="S56">
        <f t="shared" ref="S56" si="258">R56/100000</f>
        <v>865.82941746925133</v>
      </c>
      <c r="T56">
        <f t="shared" ref="T56" si="259">S56/1000</f>
        <v>0.86582941746925135</v>
      </c>
    </row>
    <row r="57" spans="1:20" x14ac:dyDescent="0.25">
      <c r="A57" s="5">
        <v>44536</v>
      </c>
      <c r="B57">
        <v>156.30000000000001</v>
      </c>
      <c r="C57">
        <v>164.5</v>
      </c>
      <c r="D57">
        <v>141.30000000000001</v>
      </c>
      <c r="E57">
        <v>161.30000000000001</v>
      </c>
      <c r="F57">
        <v>1097434.1129999999</v>
      </c>
      <c r="G57">
        <v>161.30000000000001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0.72413793103448365</v>
      </c>
      <c r="Q57">
        <f t="shared" ref="Q57" si="261">F57*P57</f>
        <v>794693.66803448368</v>
      </c>
      <c r="R57">
        <f t="shared" ref="R57" si="262">R58+Q57</f>
        <v>86618322.852714598</v>
      </c>
      <c r="S57">
        <f t="shared" ref="S57" si="263">R57/100000</f>
        <v>866.18322852714596</v>
      </c>
      <c r="T57">
        <f t="shared" ref="T57" si="264">S57/1000</f>
        <v>0.86618322852714591</v>
      </c>
    </row>
    <row r="58" spans="1:20" x14ac:dyDescent="0.25">
      <c r="A58" s="5">
        <v>44535</v>
      </c>
      <c r="B58">
        <v>162.69999999999999</v>
      </c>
      <c r="C58">
        <v>165</v>
      </c>
      <c r="D58">
        <v>148</v>
      </c>
      <c r="E58">
        <v>156.30000000000001</v>
      </c>
      <c r="F58">
        <v>1075867.598</v>
      </c>
      <c r="G58">
        <v>156.30000000000001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-2.3529411764704546E-2</v>
      </c>
      <c r="Q58">
        <f t="shared" ref="Q58" si="266">F58*P58</f>
        <v>-25314.531717645623</v>
      </c>
      <c r="R58">
        <f t="shared" ref="R58" si="267">R59+Q58</f>
        <v>85823629.184680119</v>
      </c>
      <c r="S58">
        <f t="shared" ref="S58" si="268">R58/100000</f>
        <v>858.23629184680124</v>
      </c>
      <c r="T58">
        <f t="shared" ref="T58" si="269">S58/1000</f>
        <v>0.85823629184680128</v>
      </c>
    </row>
    <row r="59" spans="1:20" x14ac:dyDescent="0.25">
      <c r="A59" s="5">
        <v>44534</v>
      </c>
      <c r="B59">
        <v>188</v>
      </c>
      <c r="C59">
        <v>189.3</v>
      </c>
      <c r="D59">
        <v>129.30000000000001</v>
      </c>
      <c r="E59">
        <v>162.69999999999999</v>
      </c>
      <c r="F59">
        <v>2758066.7692499999</v>
      </c>
      <c r="G59">
        <v>162.69999999999999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0.11333333333333258</v>
      </c>
      <c r="Q59">
        <f t="shared" ref="Q59" si="271">F59*P59</f>
        <v>312580.90051499789</v>
      </c>
      <c r="R59">
        <f t="shared" ref="R59" si="272">R60+Q59</f>
        <v>85848943.716397762</v>
      </c>
      <c r="S59">
        <f t="shared" ref="S59" si="273">R59/100000</f>
        <v>858.48943716397764</v>
      </c>
      <c r="T59">
        <f t="shared" ref="T59" si="274">S59/1000</f>
        <v>0.85848943716397763</v>
      </c>
    </row>
    <row r="60" spans="1:20" x14ac:dyDescent="0.25">
      <c r="A60" s="5">
        <v>44533</v>
      </c>
      <c r="B60">
        <v>203.5</v>
      </c>
      <c r="C60">
        <v>208.1</v>
      </c>
      <c r="D60">
        <v>179.3</v>
      </c>
      <c r="E60">
        <v>188</v>
      </c>
      <c r="F60">
        <v>825086.4</v>
      </c>
      <c r="G60">
        <v>188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-0.39583333333333376</v>
      </c>
      <c r="Q60">
        <f t="shared" ref="Q60" si="276">F60*P60</f>
        <v>-326596.70000000036</v>
      </c>
      <c r="R60">
        <f t="shared" ref="R60" si="277">R61+Q60</f>
        <v>85536362.815882757</v>
      </c>
      <c r="S60">
        <f t="shared" ref="S60" si="278">R60/100000</f>
        <v>855.36362815882762</v>
      </c>
      <c r="T60">
        <f t="shared" ref="T60" si="279">S60/1000</f>
        <v>0.8553636281588276</v>
      </c>
    </row>
    <row r="61" spans="1:20" x14ac:dyDescent="0.25">
      <c r="A61" s="5">
        <v>44532</v>
      </c>
      <c r="B61">
        <v>208.7</v>
      </c>
      <c r="C61">
        <v>210.1</v>
      </c>
      <c r="D61">
        <v>199.9</v>
      </c>
      <c r="E61">
        <v>203.5</v>
      </c>
      <c r="F61">
        <v>562121.73</v>
      </c>
      <c r="G61">
        <v>203.5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-0.29411764705882387</v>
      </c>
      <c r="Q61">
        <f t="shared" ref="Q61" si="281">F61*P61</f>
        <v>-165329.92058823549</v>
      </c>
      <c r="R61">
        <f t="shared" ref="R61" si="282">R62+Q61</f>
        <v>85862959.51588276</v>
      </c>
      <c r="S61">
        <f t="shared" ref="S61" si="283">R61/100000</f>
        <v>858.62959515882756</v>
      </c>
      <c r="T61">
        <f t="shared" ref="T61" si="284">S61/1000</f>
        <v>0.85862959515882753</v>
      </c>
    </row>
    <row r="62" spans="1:20" x14ac:dyDescent="0.25">
      <c r="A62" s="5">
        <v>44531</v>
      </c>
      <c r="B62">
        <v>207.8</v>
      </c>
      <c r="C62">
        <v>217.8</v>
      </c>
      <c r="D62">
        <v>205.1</v>
      </c>
      <c r="E62">
        <v>208.8</v>
      </c>
      <c r="F62">
        <v>674057.31400000001</v>
      </c>
      <c r="G62">
        <v>208.8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-0.41732283464566738</v>
      </c>
      <c r="Q62">
        <f t="shared" ref="Q62" si="286">F62*P62</f>
        <v>-281299.5089921247</v>
      </c>
      <c r="R62">
        <f t="shared" ref="R62" si="287">R63+Q62</f>
        <v>86028289.436471</v>
      </c>
      <c r="S62">
        <f t="shared" ref="S62" si="288">R62/100000</f>
        <v>860.28289436471005</v>
      </c>
      <c r="T62">
        <f t="shared" ref="T62" si="289">S62/1000</f>
        <v>0.86028289436471006</v>
      </c>
    </row>
    <row r="63" spans="1:20" x14ac:dyDescent="0.25">
      <c r="A63" s="5">
        <v>44530</v>
      </c>
      <c r="B63">
        <v>205.5</v>
      </c>
      <c r="C63">
        <v>219.9</v>
      </c>
      <c r="D63">
        <v>197.4</v>
      </c>
      <c r="E63">
        <v>207.8</v>
      </c>
      <c r="F63">
        <v>1032919.4570000001</v>
      </c>
      <c r="G63">
        <v>207.8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-7.5555555555555057E-2</v>
      </c>
      <c r="Q63">
        <f t="shared" ref="Q63" si="291">F63*P63</f>
        <v>-78042.803417777264</v>
      </c>
      <c r="R63">
        <f t="shared" ref="R63" si="292">R64+Q63</f>
        <v>86309588.945463121</v>
      </c>
      <c r="S63">
        <f t="shared" ref="S63" si="293">R63/100000</f>
        <v>863.09588945463122</v>
      </c>
      <c r="T63">
        <f t="shared" ref="T63" si="294">S63/1000</f>
        <v>0.86309588945463123</v>
      </c>
    </row>
    <row r="64" spans="1:20" x14ac:dyDescent="0.25">
      <c r="A64" s="5">
        <v>44529</v>
      </c>
      <c r="B64">
        <v>199.5</v>
      </c>
      <c r="C64">
        <v>209.5</v>
      </c>
      <c r="D64">
        <v>194.9</v>
      </c>
      <c r="E64">
        <v>205.5</v>
      </c>
      <c r="F64">
        <v>810923.68799999997</v>
      </c>
      <c r="G64">
        <v>205.5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0.45205479452054775</v>
      </c>
      <c r="Q64">
        <f t="shared" ref="Q64" si="296">F64*P64</f>
        <v>366581.94115068478</v>
      </c>
      <c r="R64">
        <f t="shared" ref="R64" si="297">R65+Q64</f>
        <v>86387631.748880893</v>
      </c>
      <c r="S64">
        <f t="shared" ref="S64" si="298">R64/100000</f>
        <v>863.87631748880892</v>
      </c>
      <c r="T64">
        <f t="shared" ref="T64" si="299">S64/1000</f>
        <v>0.86387631748880889</v>
      </c>
    </row>
    <row r="65" spans="1:20" x14ac:dyDescent="0.25">
      <c r="A65" s="5">
        <v>44528</v>
      </c>
      <c r="B65">
        <v>195</v>
      </c>
      <c r="C65">
        <v>199.9</v>
      </c>
      <c r="D65">
        <v>182</v>
      </c>
      <c r="E65">
        <v>199.5</v>
      </c>
      <c r="F65">
        <v>723846.34400000004</v>
      </c>
      <c r="G65">
        <v>199.5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0.95530726256983178</v>
      </c>
      <c r="Q65">
        <f t="shared" ref="Q65" si="301">F65*P65</f>
        <v>691495.66940782079</v>
      </c>
      <c r="R65">
        <f t="shared" ref="R65" si="302">R66+Q65</f>
        <v>86021049.807730213</v>
      </c>
      <c r="S65">
        <f t="shared" ref="S65" si="303">R65/100000</f>
        <v>860.21049807730208</v>
      </c>
      <c r="T65">
        <f t="shared" ref="T65" si="304">S65/1000</f>
        <v>0.8602104980773021</v>
      </c>
    </row>
    <row r="66" spans="1:20" x14ac:dyDescent="0.25">
      <c r="A66" s="5">
        <v>44527</v>
      </c>
      <c r="B66">
        <v>195.7</v>
      </c>
      <c r="C66">
        <v>201</v>
      </c>
      <c r="D66">
        <v>190.6</v>
      </c>
      <c r="E66">
        <v>195.1</v>
      </c>
      <c r="F66">
        <v>524367.98199999996</v>
      </c>
      <c r="G66">
        <v>195.1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-0.13461538461538508</v>
      </c>
      <c r="Q66">
        <f t="shared" ref="Q66" si="306">F66*P66</f>
        <v>-70587.997576923313</v>
      </c>
      <c r="R66">
        <f t="shared" ref="R66" si="307">R67+Q66</f>
        <v>85329554.138322398</v>
      </c>
      <c r="S66">
        <f t="shared" ref="S66" si="308">R66/100000</f>
        <v>853.29554138322396</v>
      </c>
      <c r="T66">
        <f t="shared" ref="T66" si="309">S66/1000</f>
        <v>0.85329554138322394</v>
      </c>
    </row>
    <row r="67" spans="1:20" x14ac:dyDescent="0.25">
      <c r="A67" s="5">
        <v>44526</v>
      </c>
      <c r="B67">
        <v>223</v>
      </c>
      <c r="C67">
        <v>224.9</v>
      </c>
      <c r="D67">
        <v>190</v>
      </c>
      <c r="E67">
        <v>195.7</v>
      </c>
      <c r="F67">
        <v>1536691.4609999999</v>
      </c>
      <c r="G67">
        <v>195.7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-0.67335243553008661</v>
      </c>
      <c r="Q67">
        <f t="shared" ref="Q67" si="311">F67*P67</f>
        <v>-1034734.937922637</v>
      </c>
      <c r="R67">
        <f t="shared" ref="R67" si="312">R68+Q67</f>
        <v>85400142.13589932</v>
      </c>
      <c r="S67">
        <f t="shared" ref="S67" si="313">R67/100000</f>
        <v>854.00142135899318</v>
      </c>
      <c r="T67">
        <f t="shared" ref="T67" si="314">S67/1000</f>
        <v>0.85400142135899315</v>
      </c>
    </row>
    <row r="68" spans="1:20" x14ac:dyDescent="0.25">
      <c r="A68" s="5">
        <v>44525</v>
      </c>
      <c r="B68">
        <v>212.2</v>
      </c>
      <c r="C68">
        <v>229.8</v>
      </c>
      <c r="D68">
        <v>210.7</v>
      </c>
      <c r="E68">
        <v>222.9</v>
      </c>
      <c r="F68">
        <v>892094.61</v>
      </c>
      <c r="G68">
        <v>222.9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0.27748691099476464</v>
      </c>
      <c r="Q68">
        <f t="shared" ref="Q68" si="316">F68*P68</f>
        <v>247544.57764397925</v>
      </c>
      <c r="R68">
        <f t="shared" ref="R68" si="317">R69+Q68</f>
        <v>86434877.073821962</v>
      </c>
      <c r="S68">
        <f t="shared" ref="S68" si="318">R68/100000</f>
        <v>864.34877073821963</v>
      </c>
      <c r="T68">
        <f t="shared" ref="T68" si="319">S68/1000</f>
        <v>0.86434877073821959</v>
      </c>
    </row>
    <row r="69" spans="1:20" x14ac:dyDescent="0.25">
      <c r="A69" s="5">
        <v>44524</v>
      </c>
      <c r="B69">
        <v>216.2</v>
      </c>
      <c r="C69">
        <v>217.7</v>
      </c>
      <c r="D69">
        <v>209.2</v>
      </c>
      <c r="E69">
        <v>213.5</v>
      </c>
      <c r="F69">
        <v>190130.43900000001</v>
      </c>
      <c r="G69">
        <v>213.5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1.1764705882355616E-2</v>
      </c>
      <c r="Q69">
        <f t="shared" ref="Q69" si="321">F69*P69</f>
        <v>2236.8286941181559</v>
      </c>
      <c r="R69">
        <f t="shared" ref="R69" si="322">R70+Q69</f>
        <v>86187332.496177986</v>
      </c>
      <c r="S69">
        <f t="shared" ref="S69" si="323">R69/100000</f>
        <v>861.87332496177987</v>
      </c>
      <c r="T69">
        <f t="shared" ref="T69" si="324">S69/1000</f>
        <v>0.86187332496177982</v>
      </c>
    </row>
    <row r="70" spans="1:20" x14ac:dyDescent="0.25">
      <c r="A70" s="5">
        <v>44523</v>
      </c>
      <c r="B70">
        <v>209.1</v>
      </c>
      <c r="C70">
        <v>218.8</v>
      </c>
      <c r="D70">
        <v>205.1</v>
      </c>
      <c r="E70">
        <v>216.2</v>
      </c>
      <c r="F70">
        <v>709895.64899999998</v>
      </c>
      <c r="G70">
        <v>216.2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0.62043795620437669</v>
      </c>
      <c r="Q70">
        <f t="shared" ref="Q70" si="326">F70*P70</f>
        <v>440446.20558393956</v>
      </c>
      <c r="R70">
        <f t="shared" ref="R70" si="327">R71+Q70</f>
        <v>86185095.667483866</v>
      </c>
      <c r="S70">
        <f t="shared" ref="S70" si="328">R70/100000</f>
        <v>861.8509566748387</v>
      </c>
      <c r="T70">
        <f t="shared" ref="T70" si="329">S70/1000</f>
        <v>0.86185095667483869</v>
      </c>
    </row>
    <row r="71" spans="1:20" x14ac:dyDescent="0.25">
      <c r="A71" s="5">
        <v>44522</v>
      </c>
      <c r="B71">
        <v>221.2</v>
      </c>
      <c r="C71">
        <v>221.7</v>
      </c>
      <c r="D71">
        <v>205.2</v>
      </c>
      <c r="E71">
        <v>209.1</v>
      </c>
      <c r="F71">
        <v>865031.63399999996</v>
      </c>
      <c r="G71">
        <v>209.1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-0.52727272727272656</v>
      </c>
      <c r="Q71">
        <f t="shared" ref="Q71" si="331">F71*P71</f>
        <v>-456107.58883636299</v>
      </c>
      <c r="R71">
        <f t="shared" ref="R71" si="332">R72+Q71</f>
        <v>85744649.461899921</v>
      </c>
      <c r="S71">
        <f t="shared" ref="S71" si="333">R71/100000</f>
        <v>857.44649461899917</v>
      </c>
      <c r="T71">
        <f t="shared" ref="T71" si="334">S71/1000</f>
        <v>0.85744649461899913</v>
      </c>
    </row>
    <row r="72" spans="1:20" x14ac:dyDescent="0.25">
      <c r="A72" s="5">
        <v>44521</v>
      </c>
      <c r="B72">
        <v>226.8</v>
      </c>
      <c r="C72">
        <v>230.8</v>
      </c>
      <c r="D72">
        <v>219.6</v>
      </c>
      <c r="E72">
        <v>221.1</v>
      </c>
      <c r="F72">
        <v>698329.31299999997</v>
      </c>
      <c r="G72">
        <v>221.1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-0.73214285714285754</v>
      </c>
      <c r="Q72">
        <f t="shared" ref="Q72" si="336">F72*P72</f>
        <v>-511276.81844642881</v>
      </c>
      <c r="R72">
        <f t="shared" ref="R72" si="337">R73+Q72</f>
        <v>86200757.050736278</v>
      </c>
      <c r="S72">
        <f t="shared" ref="S72" si="338">R72/100000</f>
        <v>862.00757050736274</v>
      </c>
      <c r="T72">
        <f t="shared" ref="T72" si="339">S72/1000</f>
        <v>0.86200757050736276</v>
      </c>
    </row>
    <row r="73" spans="1:20" x14ac:dyDescent="0.25">
      <c r="A73" s="5">
        <v>44520</v>
      </c>
      <c r="B73">
        <v>217.9</v>
      </c>
      <c r="C73">
        <v>227.8</v>
      </c>
      <c r="D73">
        <v>212.4</v>
      </c>
      <c r="E73">
        <v>226.8</v>
      </c>
      <c r="F73">
        <v>841347.75399999996</v>
      </c>
      <c r="G73">
        <v>226.8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0.8701298701298702</v>
      </c>
      <c r="Q73">
        <f t="shared" ref="Q73" si="341">F73*P73</f>
        <v>732081.8119220779</v>
      </c>
      <c r="R73">
        <f t="shared" ref="R73" si="342">R74+Q73</f>
        <v>86712033.869182706</v>
      </c>
      <c r="S73">
        <f t="shared" ref="S73" si="343">R73/100000</f>
        <v>867.1203386918271</v>
      </c>
      <c r="T73">
        <f t="shared" ref="T73" si="344">S73/1000</f>
        <v>0.86712033869182714</v>
      </c>
    </row>
    <row r="74" spans="1:20" x14ac:dyDescent="0.25">
      <c r="A74" s="5">
        <v>44519</v>
      </c>
      <c r="B74">
        <v>204.1</v>
      </c>
      <c r="C74">
        <v>221.3</v>
      </c>
      <c r="D74">
        <v>199.5</v>
      </c>
      <c r="E74">
        <v>217.9</v>
      </c>
      <c r="F74">
        <v>1040819.801</v>
      </c>
      <c r="G74">
        <v>217.9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0.68807339449541249</v>
      </c>
      <c r="Q74">
        <f t="shared" ref="Q74" si="346">F74*P74</f>
        <v>716160.4135321097</v>
      </c>
      <c r="R74">
        <f t="shared" ref="R74" si="347">R75+Q74</f>
        <v>85979952.057260633</v>
      </c>
      <c r="S74">
        <f t="shared" ref="S74" si="348">R74/100000</f>
        <v>859.7995205726063</v>
      </c>
      <c r="T74">
        <f t="shared" ref="T74" si="349">S74/1000</f>
        <v>0.85979952057260634</v>
      </c>
    </row>
    <row r="75" spans="1:20" x14ac:dyDescent="0.25">
      <c r="A75" s="5">
        <v>44518</v>
      </c>
      <c r="B75">
        <v>229.6</v>
      </c>
      <c r="C75">
        <v>232.4</v>
      </c>
      <c r="D75">
        <v>199.4</v>
      </c>
      <c r="E75">
        <v>204.2</v>
      </c>
      <c r="F75">
        <v>1689641.574</v>
      </c>
      <c r="G75">
        <v>204.2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-0.7090909090909101</v>
      </c>
      <c r="Q75">
        <f t="shared" ref="Q75" si="351">F75*P75</f>
        <v>-1198109.4797454563</v>
      </c>
      <c r="R75">
        <f t="shared" ref="R75" si="352">R76+Q75</f>
        <v>85263791.643728524</v>
      </c>
      <c r="S75">
        <f t="shared" ref="S75" si="353">R75/100000</f>
        <v>852.6379164372853</v>
      </c>
      <c r="T75">
        <f t="shared" ref="T75" si="354">S75/1000</f>
        <v>0.85263791643728526</v>
      </c>
    </row>
    <row r="76" spans="1:20" x14ac:dyDescent="0.25">
      <c r="A76" s="5">
        <v>44517</v>
      </c>
      <c r="B76">
        <v>230.4</v>
      </c>
      <c r="C76">
        <v>235.4</v>
      </c>
      <c r="D76">
        <v>217.6</v>
      </c>
      <c r="E76">
        <v>229.6</v>
      </c>
      <c r="F76">
        <v>1422751.183</v>
      </c>
      <c r="G76">
        <v>229.6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0.34831460674157216</v>
      </c>
      <c r="Q76">
        <f t="shared" ref="Q76" si="356">F76*P76</f>
        <v>495565.01879775157</v>
      </c>
      <c r="R76">
        <f t="shared" ref="R76" si="357">R77+Q76</f>
        <v>86461901.123473987</v>
      </c>
      <c r="S76">
        <f t="shared" ref="S76" si="358">R76/100000</f>
        <v>864.6190112347399</v>
      </c>
      <c r="T76">
        <f t="shared" ref="T76" si="359">S76/1000</f>
        <v>0.86461901123473994</v>
      </c>
    </row>
    <row r="77" spans="1:20" x14ac:dyDescent="0.25">
      <c r="A77" s="5">
        <v>44516</v>
      </c>
      <c r="B77">
        <v>263</v>
      </c>
      <c r="C77">
        <v>263.3</v>
      </c>
      <c r="D77">
        <v>222.5</v>
      </c>
      <c r="E77">
        <v>230.2</v>
      </c>
      <c r="F77">
        <v>2396155.13</v>
      </c>
      <c r="G77">
        <v>230.2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-0.62254901960784381</v>
      </c>
      <c r="Q77">
        <f t="shared" ref="Q77" si="361">F77*P77</f>
        <v>-1491724.0270098054</v>
      </c>
      <c r="R77">
        <f t="shared" ref="R77" si="362">R78+Q77</f>
        <v>85966336.104676232</v>
      </c>
      <c r="S77">
        <f t="shared" ref="S77" si="363">R77/100000</f>
        <v>859.66336104676236</v>
      </c>
      <c r="T77">
        <f t="shared" ref="T77" si="364">S77/1000</f>
        <v>0.85966336104676233</v>
      </c>
    </row>
    <row r="78" spans="1:20" x14ac:dyDescent="0.25">
      <c r="A78" s="5">
        <v>44515</v>
      </c>
      <c r="B78">
        <v>279.3</v>
      </c>
      <c r="C78">
        <v>281.5</v>
      </c>
      <c r="D78">
        <v>259</v>
      </c>
      <c r="E78">
        <v>263</v>
      </c>
      <c r="F78">
        <v>1155933.6089999999</v>
      </c>
      <c r="G78">
        <v>263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-0.64444444444444449</v>
      </c>
      <c r="Q78">
        <f t="shared" ref="Q78" si="366">F78*P78</f>
        <v>-744934.99246666662</v>
      </c>
      <c r="R78">
        <f t="shared" ref="R78" si="367">R79+Q78</f>
        <v>87458060.131686032</v>
      </c>
      <c r="S78">
        <f t="shared" ref="S78" si="368">R78/100000</f>
        <v>874.58060131686034</v>
      </c>
      <c r="T78">
        <f t="shared" ref="T78" si="369">S78/1000</f>
        <v>0.87458060131686033</v>
      </c>
    </row>
    <row r="79" spans="1:20" x14ac:dyDescent="0.25">
      <c r="A79" s="5">
        <v>44514</v>
      </c>
      <c r="B79">
        <v>257.7</v>
      </c>
      <c r="C79">
        <v>279.7</v>
      </c>
      <c r="D79">
        <v>248.4</v>
      </c>
      <c r="E79">
        <v>279.3</v>
      </c>
      <c r="F79">
        <v>1358747.997</v>
      </c>
      <c r="G79">
        <v>279.3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0.97444089456869154</v>
      </c>
      <c r="Q79">
        <f t="shared" ref="Q79" si="371">F79*P79</f>
        <v>1324019.6136900978</v>
      </c>
      <c r="R79">
        <f t="shared" ref="R79" si="372">R80+Q79</f>
        <v>88202995.124152705</v>
      </c>
      <c r="S79">
        <f t="shared" ref="S79" si="373">R79/100000</f>
        <v>882.0299512415271</v>
      </c>
      <c r="T79">
        <f t="shared" ref="T79" si="374">S79/1000</f>
        <v>0.88202995124152705</v>
      </c>
    </row>
    <row r="80" spans="1:20" x14ac:dyDescent="0.25">
      <c r="A80" s="5">
        <v>44513</v>
      </c>
      <c r="B80">
        <v>251.1</v>
      </c>
      <c r="C80">
        <v>264.2</v>
      </c>
      <c r="D80">
        <v>245.2</v>
      </c>
      <c r="E80">
        <v>257.7</v>
      </c>
      <c r="F80">
        <v>1167201.2109999999</v>
      </c>
      <c r="G80">
        <v>257.7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0.31578947368421051</v>
      </c>
      <c r="Q80">
        <f t="shared" ref="Q80" si="376">F80*P80</f>
        <v>368589.85610526311</v>
      </c>
      <c r="R80">
        <f t="shared" ref="R80" si="377">R81+Q80</f>
        <v>86878975.510462612</v>
      </c>
      <c r="S80">
        <f t="shared" ref="S80" si="378">R80/100000</f>
        <v>868.78975510462612</v>
      </c>
      <c r="T80">
        <f t="shared" ref="T80" si="379">S80/1000</f>
        <v>0.86878975510462608</v>
      </c>
    </row>
    <row r="81" spans="1:20" x14ac:dyDescent="0.25">
      <c r="A81" s="5">
        <v>44512</v>
      </c>
      <c r="B81">
        <v>262.2</v>
      </c>
      <c r="C81">
        <v>282.7</v>
      </c>
      <c r="D81">
        <v>243.7</v>
      </c>
      <c r="E81">
        <v>251.2</v>
      </c>
      <c r="F81">
        <v>2414623.352</v>
      </c>
      <c r="G81">
        <v>251.2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-0.61538461538461542</v>
      </c>
      <c r="Q81">
        <f t="shared" ref="Q81" si="381">F81*P81</f>
        <v>-1485922.0627692309</v>
      </c>
      <c r="R81">
        <f t="shared" ref="R81" si="382">R82+Q81</f>
        <v>86510385.654357344</v>
      </c>
      <c r="S81">
        <f t="shared" ref="S81" si="383">R81/100000</f>
        <v>865.10385654357344</v>
      </c>
      <c r="T81">
        <f t="shared" ref="T81" si="384">S81/1000</f>
        <v>0.86510385654357347</v>
      </c>
    </row>
    <row r="82" spans="1:20" x14ac:dyDescent="0.25">
      <c r="A82" s="5">
        <v>44511</v>
      </c>
      <c r="B82">
        <v>260.3</v>
      </c>
      <c r="C82">
        <v>274.2</v>
      </c>
      <c r="D82">
        <v>250.5</v>
      </c>
      <c r="E82">
        <v>262.3</v>
      </c>
      <c r="F82">
        <v>1666490.1059999999</v>
      </c>
      <c r="G82">
        <v>262.3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-4.2194092826989852E-3</v>
      </c>
      <c r="Q82">
        <f t="shared" ref="Q82" si="386">F82*P82</f>
        <v>-7031.6038227824156</v>
      </c>
      <c r="R82">
        <f t="shared" ref="R82" si="387">R83+Q82</f>
        <v>87996307.717126578</v>
      </c>
      <c r="S82">
        <f t="shared" ref="S82" si="388">R82/100000</f>
        <v>879.96307717126581</v>
      </c>
      <c r="T82">
        <f t="shared" ref="T82" si="389">S82/1000</f>
        <v>0.87996307717126576</v>
      </c>
    </row>
    <row r="83" spans="1:20" x14ac:dyDescent="0.25">
      <c r="A83" s="5">
        <v>44510</v>
      </c>
      <c r="B83">
        <v>262</v>
      </c>
      <c r="C83">
        <v>295.7</v>
      </c>
      <c r="D83">
        <v>251.6</v>
      </c>
      <c r="E83">
        <v>260.39999999999998</v>
      </c>
      <c r="F83">
        <v>3733558.8607000001</v>
      </c>
      <c r="G83">
        <v>260.39999999999998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-0.60090702947845875</v>
      </c>
      <c r="Q83">
        <f t="shared" ref="Q83" si="391">F83*P83</f>
        <v>-2243521.764366216</v>
      </c>
      <c r="R83">
        <f t="shared" ref="R83" si="392">R84+Q83</f>
        <v>88003339.320949361</v>
      </c>
      <c r="S83">
        <f t="shared" ref="S83" si="393">R83/100000</f>
        <v>880.03339320949362</v>
      </c>
      <c r="T83">
        <f t="shared" ref="T83" si="394">S83/1000</f>
        <v>0.88003339320949359</v>
      </c>
    </row>
    <row r="84" spans="1:20" x14ac:dyDescent="0.25">
      <c r="A84" s="5">
        <v>44509</v>
      </c>
      <c r="B84">
        <v>229</v>
      </c>
      <c r="C84">
        <v>274.60000000000002</v>
      </c>
      <c r="D84">
        <v>226.5</v>
      </c>
      <c r="E84">
        <v>262</v>
      </c>
      <c r="F84">
        <v>3256268.8118400001</v>
      </c>
      <c r="G84">
        <v>262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0.4760914760914754</v>
      </c>
      <c r="Q84">
        <f t="shared" ref="Q84" si="396">F84*P84</f>
        <v>1550281.8251795403</v>
      </c>
      <c r="R84">
        <f t="shared" ref="R84" si="397">R85+Q84</f>
        <v>90246861.08531557</v>
      </c>
      <c r="S84">
        <f t="shared" ref="S84" si="398">R84/100000</f>
        <v>902.46861085315572</v>
      </c>
      <c r="T84">
        <f t="shared" ref="T84" si="399">S84/1000</f>
        <v>0.90246861085315577</v>
      </c>
    </row>
    <row r="85" spans="1:20" x14ac:dyDescent="0.25">
      <c r="A85" s="5">
        <v>44508</v>
      </c>
      <c r="B85">
        <v>202.1</v>
      </c>
      <c r="C85">
        <v>229.7</v>
      </c>
      <c r="D85">
        <v>202</v>
      </c>
      <c r="E85">
        <v>229</v>
      </c>
      <c r="F85">
        <v>1380080.247</v>
      </c>
      <c r="G85">
        <v>229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0.94945848375451347</v>
      </c>
      <c r="Q85">
        <f t="shared" ref="Q85" si="401">F85*P85</f>
        <v>1310328.8987761745</v>
      </c>
      <c r="R85">
        <f t="shared" ref="R85" si="402">R86+Q85</f>
        <v>88696579.260136023</v>
      </c>
      <c r="S85">
        <f t="shared" ref="S85" si="403">R85/100000</f>
        <v>886.96579260136025</v>
      </c>
      <c r="T85">
        <f t="shared" ref="T85" si="404">S85/1000</f>
        <v>0.88696579260136021</v>
      </c>
    </row>
    <row r="86" spans="1:20" x14ac:dyDescent="0.25">
      <c r="A86" s="5">
        <v>44507</v>
      </c>
      <c r="B86">
        <v>197.6</v>
      </c>
      <c r="C86">
        <v>202.1</v>
      </c>
      <c r="D86">
        <v>196.9</v>
      </c>
      <c r="E86">
        <v>202</v>
      </c>
      <c r="F86">
        <v>351383.08</v>
      </c>
      <c r="G86">
        <v>202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0.96153846153846367</v>
      </c>
      <c r="Q86">
        <f t="shared" ref="Q86" si="406">F86*P86</f>
        <v>337868.34615384694</v>
      </c>
      <c r="R86">
        <f t="shared" ref="R86" si="407">R87+Q86</f>
        <v>87386250.36135985</v>
      </c>
      <c r="S86">
        <f t="shared" ref="S86" si="408">R86/100000</f>
        <v>873.86250361359851</v>
      </c>
      <c r="T86">
        <f t="shared" ref="T86" si="409">S86/1000</f>
        <v>0.87386250361359852</v>
      </c>
    </row>
    <row r="87" spans="1:20" x14ac:dyDescent="0.25">
      <c r="A87" s="5">
        <v>44506</v>
      </c>
      <c r="B87">
        <v>198.9</v>
      </c>
      <c r="C87">
        <v>201.1</v>
      </c>
      <c r="D87">
        <v>191</v>
      </c>
      <c r="E87">
        <v>197.6</v>
      </c>
      <c r="F87">
        <v>420636.05099999998</v>
      </c>
      <c r="G87">
        <v>197.6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0.30693069306930654</v>
      </c>
      <c r="Q87">
        <f t="shared" ref="Q87" si="411">F87*P87</f>
        <v>129106.11466336617</v>
      </c>
      <c r="R87">
        <f t="shared" ref="R87" si="412">R88+Q87</f>
        <v>87048382.015206009</v>
      </c>
      <c r="S87">
        <f t="shared" ref="S87" si="413">R87/100000</f>
        <v>870.48382015206005</v>
      </c>
      <c r="T87">
        <f t="shared" ref="T87" si="414">S87/1000</f>
        <v>0.87048382015206005</v>
      </c>
    </row>
    <row r="88" spans="1:20" x14ac:dyDescent="0.25">
      <c r="A88" s="5">
        <v>44505</v>
      </c>
      <c r="B88">
        <v>202.6</v>
      </c>
      <c r="C88">
        <v>203.3</v>
      </c>
      <c r="D88">
        <v>196.7</v>
      </c>
      <c r="E88">
        <v>198.9</v>
      </c>
      <c r="F88">
        <v>454701.02799999999</v>
      </c>
      <c r="G88">
        <v>198.9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-0.33333333333333048</v>
      </c>
      <c r="Q88">
        <f t="shared" ref="Q88" si="416">F88*P88</f>
        <v>-151567.00933333204</v>
      </c>
      <c r="R88">
        <f t="shared" ref="R88" si="417">R89+Q88</f>
        <v>86919275.900542647</v>
      </c>
      <c r="S88">
        <f t="shared" ref="S88" si="418">R88/100000</f>
        <v>869.19275900542641</v>
      </c>
      <c r="T88">
        <f t="shared" ref="T88" si="419">S88/1000</f>
        <v>0.86919275900542636</v>
      </c>
    </row>
    <row r="89" spans="1:20" x14ac:dyDescent="0.25">
      <c r="A89" s="5">
        <v>44504</v>
      </c>
      <c r="B89">
        <v>207.3</v>
      </c>
      <c r="C89">
        <v>207.3</v>
      </c>
      <c r="D89">
        <v>196.1</v>
      </c>
      <c r="E89">
        <v>202.6</v>
      </c>
      <c r="F89">
        <v>592543.49399999995</v>
      </c>
      <c r="G89">
        <v>202.6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0.16071428571428395</v>
      </c>
      <c r="Q89">
        <f t="shared" ref="Q89" si="421">F89*P89</f>
        <v>95230.204392856089</v>
      </c>
      <c r="R89">
        <f t="shared" ref="R89" si="422">R90+Q89</f>
        <v>87070842.909875974</v>
      </c>
      <c r="S89">
        <f t="shared" ref="S89" si="423">R89/100000</f>
        <v>870.70842909875978</v>
      </c>
      <c r="T89">
        <f t="shared" ref="T89" si="424">S89/1000</f>
        <v>0.87070842909875978</v>
      </c>
    </row>
    <row r="90" spans="1:20" x14ac:dyDescent="0.25">
      <c r="A90" s="5">
        <v>44503</v>
      </c>
      <c r="B90">
        <v>200.9</v>
      </c>
      <c r="C90">
        <v>209.3</v>
      </c>
      <c r="D90">
        <v>197.4</v>
      </c>
      <c r="E90">
        <v>207.3</v>
      </c>
      <c r="F90">
        <v>839855.94099999999</v>
      </c>
      <c r="G90">
        <v>207.3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0.66386554621848759</v>
      </c>
      <c r="Q90">
        <f t="shared" ref="Q90" si="426">F90*P90</f>
        <v>557551.42301680683</v>
      </c>
      <c r="R90">
        <f t="shared" ref="R90" si="427">R91+Q90</f>
        <v>86975612.705483124</v>
      </c>
      <c r="S90">
        <f t="shared" ref="S90" si="428">R90/100000</f>
        <v>869.75612705483127</v>
      </c>
      <c r="T90">
        <f t="shared" ref="T90" si="429">S90/1000</f>
        <v>0.8697561270548313</v>
      </c>
    </row>
    <row r="91" spans="1:20" x14ac:dyDescent="0.25">
      <c r="A91" s="5">
        <v>44502</v>
      </c>
      <c r="B91">
        <v>197.6</v>
      </c>
      <c r="C91">
        <v>204.9</v>
      </c>
      <c r="D91">
        <v>195.1</v>
      </c>
      <c r="E91">
        <v>200.9</v>
      </c>
      <c r="F91">
        <v>589454.74199999997</v>
      </c>
      <c r="G91">
        <v>200.9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0.18367346938775606</v>
      </c>
      <c r="Q91">
        <f t="shared" ref="Q91" si="431">F91*P91</f>
        <v>108267.19751020464</v>
      </c>
      <c r="R91">
        <f t="shared" ref="R91" si="432">R92+Q91</f>
        <v>86418061.282466322</v>
      </c>
      <c r="S91">
        <f t="shared" ref="S91" si="433">R91/100000</f>
        <v>864.18061282466317</v>
      </c>
      <c r="T91">
        <f t="shared" ref="T91" si="434">S91/1000</f>
        <v>0.86418061282466319</v>
      </c>
    </row>
    <row r="92" spans="1:20" x14ac:dyDescent="0.25">
      <c r="A92" s="5">
        <v>44501</v>
      </c>
      <c r="B92">
        <v>191.9</v>
      </c>
      <c r="C92">
        <v>201.2</v>
      </c>
      <c r="D92">
        <v>187.8</v>
      </c>
      <c r="E92">
        <v>197.6</v>
      </c>
      <c r="F92">
        <v>656176.59199999995</v>
      </c>
      <c r="G92">
        <v>197.6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0.46268656716417905</v>
      </c>
      <c r="Q92">
        <f t="shared" ref="Q92" si="436">F92*P92</f>
        <v>303604.09480597009</v>
      </c>
      <c r="R92">
        <f t="shared" ref="R92" si="437">R93+Q92</f>
        <v>86309794.084956124</v>
      </c>
      <c r="S92">
        <f t="shared" ref="S92" si="438">R92/100000</f>
        <v>863.09794084956127</v>
      </c>
      <c r="T92">
        <f t="shared" ref="T92" si="439">S92/1000</f>
        <v>0.86309794084956126</v>
      </c>
    </row>
    <row r="93" spans="1:20" x14ac:dyDescent="0.25">
      <c r="A93" s="5">
        <v>44500</v>
      </c>
      <c r="B93">
        <v>190.2</v>
      </c>
      <c r="C93">
        <v>195.2</v>
      </c>
      <c r="D93">
        <v>186.7</v>
      </c>
      <c r="E93">
        <v>191.9</v>
      </c>
      <c r="F93">
        <v>514684.875</v>
      </c>
      <c r="G93">
        <v>191.9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0.22352941176470989</v>
      </c>
      <c r="Q93">
        <f t="shared" ref="Q93" si="441">F93*P93</f>
        <v>115047.20735294324</v>
      </c>
      <c r="R93">
        <f t="shared" ref="R93" si="442">R94+Q93</f>
        <v>86006189.990150154</v>
      </c>
      <c r="S93">
        <f t="shared" ref="S93" si="443">R93/100000</f>
        <v>860.06189990150153</v>
      </c>
      <c r="T93">
        <f t="shared" ref="T93" si="444">S93/1000</f>
        <v>0.8600618999015015</v>
      </c>
    </row>
    <row r="94" spans="1:20" x14ac:dyDescent="0.25">
      <c r="A94" s="5">
        <v>44499</v>
      </c>
      <c r="B94">
        <v>196.7</v>
      </c>
      <c r="C94">
        <v>197.3</v>
      </c>
      <c r="D94">
        <v>186.6</v>
      </c>
      <c r="E94">
        <v>190.2</v>
      </c>
      <c r="F94">
        <v>415371.62</v>
      </c>
      <c r="G94">
        <v>190.2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-0.3271028037383199</v>
      </c>
      <c r="Q94">
        <f t="shared" ref="Q94" si="446">F94*P94</f>
        <v>-135869.22149532801</v>
      </c>
      <c r="R94">
        <f t="shared" ref="R94" si="447">R95+Q94</f>
        <v>85891142.782797217</v>
      </c>
      <c r="S94">
        <f t="shared" ref="S94" si="448">R94/100000</f>
        <v>858.91142782797215</v>
      </c>
      <c r="T94">
        <f t="shared" ref="T94" si="449">S94/1000</f>
        <v>0.85891142782797214</v>
      </c>
    </row>
    <row r="95" spans="1:20" x14ac:dyDescent="0.25">
      <c r="A95" s="5">
        <v>44498</v>
      </c>
      <c r="B95">
        <v>189.8</v>
      </c>
      <c r="C95">
        <v>198.7</v>
      </c>
      <c r="D95">
        <v>188.1</v>
      </c>
      <c r="E95">
        <v>196.7</v>
      </c>
      <c r="F95">
        <v>581094.6</v>
      </c>
      <c r="G95">
        <v>196.7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0.62264150943396201</v>
      </c>
      <c r="Q95">
        <f t="shared" ref="Q95" si="451">F95*P95</f>
        <v>361813.61886792438</v>
      </c>
      <c r="R95">
        <f t="shared" ref="R95" si="452">R96+Q95</f>
        <v>86027012.004292548</v>
      </c>
      <c r="S95">
        <f t="shared" ref="S95" si="453">R95/100000</f>
        <v>860.27012004292544</v>
      </c>
      <c r="T95">
        <f t="shared" ref="T95" si="454">S95/1000</f>
        <v>0.86027012004292547</v>
      </c>
    </row>
    <row r="96" spans="1:20" x14ac:dyDescent="0.25">
      <c r="A96" s="5">
        <v>44497</v>
      </c>
      <c r="B96">
        <v>179.2</v>
      </c>
      <c r="C96">
        <v>194.5</v>
      </c>
      <c r="D96">
        <v>177.6</v>
      </c>
      <c r="E96">
        <v>189.8</v>
      </c>
      <c r="F96">
        <v>722390.73499999999</v>
      </c>
      <c r="G96">
        <v>189.8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0.44378698224852225</v>
      </c>
      <c r="Q96">
        <f t="shared" ref="Q96" si="456">F96*P96</f>
        <v>320587.60428994196</v>
      </c>
      <c r="R96">
        <f t="shared" ref="R96" si="457">R97+Q96</f>
        <v>85665198.385424629</v>
      </c>
      <c r="S96">
        <f t="shared" ref="S96" si="458">R96/100000</f>
        <v>856.65198385424628</v>
      </c>
      <c r="T96">
        <f t="shared" ref="T96" si="459">S96/1000</f>
        <v>0.85665198385424624</v>
      </c>
    </row>
    <row r="97" spans="1:20" x14ac:dyDescent="0.25">
      <c r="A97" s="5">
        <v>44496</v>
      </c>
      <c r="B97">
        <v>197.5</v>
      </c>
      <c r="C97">
        <v>205</v>
      </c>
      <c r="D97">
        <v>171.1</v>
      </c>
      <c r="E97">
        <v>179.3</v>
      </c>
      <c r="F97">
        <v>1380721.926</v>
      </c>
      <c r="G97">
        <v>179.3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-0.51622418879055954</v>
      </c>
      <c r="Q97">
        <f t="shared" ref="Q97" si="461">F97*P97</f>
        <v>-712762.05619468901</v>
      </c>
      <c r="R97">
        <f t="shared" ref="R97" si="462">R98+Q97</f>
        <v>85344610.78113468</v>
      </c>
      <c r="S97">
        <f t="shared" ref="S97" si="463">R97/100000</f>
        <v>853.44610781134679</v>
      </c>
      <c r="T97">
        <f t="shared" ref="T97" si="464">S97/1000</f>
        <v>0.85344610781134678</v>
      </c>
    </row>
    <row r="98" spans="1:20" x14ac:dyDescent="0.25">
      <c r="A98" s="5">
        <v>44495</v>
      </c>
      <c r="B98">
        <v>195.5</v>
      </c>
      <c r="C98">
        <v>199.4</v>
      </c>
      <c r="D98">
        <v>190.3</v>
      </c>
      <c r="E98">
        <v>197.6</v>
      </c>
      <c r="F98">
        <v>571152.65500000003</v>
      </c>
      <c r="G98">
        <v>197.6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0.60439560439560169</v>
      </c>
      <c r="Q98">
        <f t="shared" ref="Q98" si="466">F98*P98</f>
        <v>345202.15412087762</v>
      </c>
      <c r="R98">
        <f t="shared" ref="R98" si="467">R99+Q98</f>
        <v>86057372.837329373</v>
      </c>
      <c r="S98">
        <f t="shared" ref="S98" si="468">R98/100000</f>
        <v>860.57372837329376</v>
      </c>
      <c r="T98">
        <f t="shared" ref="T98" si="469">S98/1000</f>
        <v>0.86057372837329371</v>
      </c>
    </row>
    <row r="99" spans="1:20" x14ac:dyDescent="0.25">
      <c r="A99" s="5">
        <v>44494</v>
      </c>
      <c r="B99">
        <v>190.4</v>
      </c>
      <c r="C99">
        <v>197.4</v>
      </c>
      <c r="D99">
        <v>189.6</v>
      </c>
      <c r="E99">
        <v>195.5</v>
      </c>
      <c r="F99">
        <v>435121.82199999999</v>
      </c>
      <c r="G99">
        <v>195.5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0.51282051282051211</v>
      </c>
      <c r="Q99">
        <f t="shared" ref="Q99" si="471">F99*P99</f>
        <v>223139.39589743558</v>
      </c>
      <c r="R99">
        <f t="shared" ref="R99" si="472">R100+Q99</f>
        <v>85712170.683208495</v>
      </c>
      <c r="S99">
        <f t="shared" ref="S99" si="473">R99/100000</f>
        <v>857.12170683208501</v>
      </c>
      <c r="T99">
        <f t="shared" ref="T99" si="474">S99/1000</f>
        <v>0.857121706832085</v>
      </c>
    </row>
    <row r="100" spans="1:20" x14ac:dyDescent="0.25">
      <c r="A100" s="5">
        <v>44493</v>
      </c>
      <c r="B100">
        <v>196.3</v>
      </c>
      <c r="C100">
        <v>199.9</v>
      </c>
      <c r="D100">
        <v>185.2</v>
      </c>
      <c r="E100">
        <v>190.4</v>
      </c>
      <c r="F100">
        <v>568204.06000000006</v>
      </c>
      <c r="G100">
        <v>190.4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-0.29251700680271958</v>
      </c>
      <c r="Q100">
        <f t="shared" ref="Q100" si="476">F100*P100</f>
        <v>-166209.3508843529</v>
      </c>
      <c r="R100">
        <f t="shared" ref="R100" si="477">R101+Q100</f>
        <v>85489031.287311062</v>
      </c>
      <c r="S100">
        <f t="shared" ref="S100" si="478">R100/100000</f>
        <v>854.89031287311059</v>
      </c>
      <c r="T100">
        <f t="shared" ref="T100" si="479">S100/1000</f>
        <v>0.85489031287311057</v>
      </c>
    </row>
    <row r="101" spans="1:20" x14ac:dyDescent="0.25">
      <c r="A101" s="5">
        <v>44492</v>
      </c>
      <c r="B101">
        <v>191</v>
      </c>
      <c r="C101">
        <v>198</v>
      </c>
      <c r="D101">
        <v>188.7</v>
      </c>
      <c r="E101">
        <v>196.3</v>
      </c>
      <c r="F101">
        <v>413109.66399999999</v>
      </c>
      <c r="G101">
        <v>196.3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0.63440860215054051</v>
      </c>
      <c r="Q101">
        <f t="shared" ref="Q101" si="481">F101*P101</f>
        <v>262080.32447311946</v>
      </c>
      <c r="R101">
        <f t="shared" ref="R101" si="482">R102+Q101</f>
        <v>85655240.63819541</v>
      </c>
      <c r="S101">
        <f t="shared" ref="S101" si="483">R101/100000</f>
        <v>856.55240638195414</v>
      </c>
      <c r="T101">
        <f t="shared" ref="T101" si="484">S101/1000</f>
        <v>0.85655240638195418</v>
      </c>
    </row>
    <row r="102" spans="1:20" x14ac:dyDescent="0.25">
      <c r="A102" s="5">
        <v>44491</v>
      </c>
      <c r="B102">
        <v>196.8</v>
      </c>
      <c r="C102">
        <v>201.5</v>
      </c>
      <c r="D102">
        <v>187.9</v>
      </c>
      <c r="E102">
        <v>191</v>
      </c>
      <c r="F102">
        <v>731846.10499999998</v>
      </c>
      <c r="G102">
        <v>191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-0.54411764705882415</v>
      </c>
      <c r="Q102">
        <f t="shared" ref="Q102" si="486">F102*P102</f>
        <v>-398210.38066176517</v>
      </c>
      <c r="R102">
        <f t="shared" ref="R102" si="487">R103+Q102</f>
        <v>85393160.313722298</v>
      </c>
      <c r="S102">
        <f t="shared" ref="S102" si="488">R102/100000</f>
        <v>853.93160313722296</v>
      </c>
      <c r="T102">
        <f t="shared" ref="T102" si="489">S102/1000</f>
        <v>0.85393160313722294</v>
      </c>
    </row>
    <row r="103" spans="1:20" x14ac:dyDescent="0.25">
      <c r="A103" s="5">
        <v>44490</v>
      </c>
      <c r="B103">
        <v>207.4</v>
      </c>
      <c r="C103">
        <v>214.7</v>
      </c>
      <c r="D103">
        <v>195.2</v>
      </c>
      <c r="E103">
        <v>196.8</v>
      </c>
      <c r="F103">
        <v>1129324.2350000001</v>
      </c>
      <c r="G103">
        <v>196.8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-0.83589743589743359</v>
      </c>
      <c r="Q103">
        <f t="shared" ref="Q103" si="491">F103*P103</f>
        <v>-943999.23233333079</v>
      </c>
      <c r="R103">
        <f t="shared" ref="R103" si="492">R104+Q103</f>
        <v>85791370.694384068</v>
      </c>
      <c r="S103">
        <f t="shared" ref="S103" si="493">R103/100000</f>
        <v>857.91370694384068</v>
      </c>
      <c r="T103">
        <f t="shared" ref="T103" si="494">S103/1000</f>
        <v>0.85791370694384073</v>
      </c>
    </row>
    <row r="104" spans="1:20" x14ac:dyDescent="0.25">
      <c r="A104" s="5">
        <v>44489</v>
      </c>
      <c r="B104">
        <v>188.8</v>
      </c>
      <c r="C104">
        <v>209.4</v>
      </c>
      <c r="D104">
        <v>185.6</v>
      </c>
      <c r="E104">
        <v>207.3</v>
      </c>
      <c r="F104">
        <v>1121684.82</v>
      </c>
      <c r="G104">
        <v>207.3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0.8235294117647064</v>
      </c>
      <c r="Q104">
        <f t="shared" ref="Q104" si="496">F104*P104</f>
        <v>923740.44000000064</v>
      </c>
      <c r="R104">
        <f t="shared" ref="R104" si="497">R105+Q104</f>
        <v>86735369.926717401</v>
      </c>
      <c r="S104">
        <f t="shared" ref="S104" si="498">R104/100000</f>
        <v>867.35369926717397</v>
      </c>
      <c r="T104">
        <f t="shared" ref="T104" si="499">S104/1000</f>
        <v>0.86735369926717398</v>
      </c>
    </row>
    <row r="105" spans="1:20" x14ac:dyDescent="0.25">
      <c r="A105" s="5">
        <v>44488</v>
      </c>
      <c r="B105">
        <v>185.5</v>
      </c>
      <c r="C105">
        <v>191.6</v>
      </c>
      <c r="D105">
        <v>183.1</v>
      </c>
      <c r="E105">
        <v>188.8</v>
      </c>
      <c r="F105">
        <v>598824.68799999997</v>
      </c>
      <c r="G105">
        <v>188.8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0.3411764705882393</v>
      </c>
      <c r="Q105">
        <f t="shared" ref="Q105" si="501">F105*P105</f>
        <v>204304.89355294357</v>
      </c>
      <c r="R105">
        <f t="shared" ref="R105" si="502">R106+Q105</f>
        <v>85811629.486717403</v>
      </c>
      <c r="S105">
        <f t="shared" ref="S105" si="503">R105/100000</f>
        <v>858.11629486717402</v>
      </c>
      <c r="T105">
        <f t="shared" ref="T105" si="504">S105/1000</f>
        <v>0.858116294867174</v>
      </c>
    </row>
    <row r="106" spans="1:20" x14ac:dyDescent="0.25">
      <c r="A106" s="5">
        <v>44487</v>
      </c>
      <c r="B106">
        <v>183.8</v>
      </c>
      <c r="C106">
        <v>187.6</v>
      </c>
      <c r="D106">
        <v>178.5</v>
      </c>
      <c r="E106">
        <v>185.6</v>
      </c>
      <c r="F106">
        <v>591931.08299999998</v>
      </c>
      <c r="G106">
        <v>185.6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0.56043956043956011</v>
      </c>
      <c r="Q106">
        <f t="shared" ref="Q106" si="506">F106*P106</f>
        <v>331741.59596703277</v>
      </c>
      <c r="R106">
        <f t="shared" ref="R106" si="507">R107+Q106</f>
        <v>85607324.593164459</v>
      </c>
      <c r="S106">
        <f t="shared" ref="S106" si="508">R106/100000</f>
        <v>856.07324593164458</v>
      </c>
      <c r="T106">
        <f t="shared" ref="T106" si="509">S106/1000</f>
        <v>0.85607324593164458</v>
      </c>
    </row>
    <row r="107" spans="1:20" x14ac:dyDescent="0.25">
      <c r="A107" s="5">
        <v>44486</v>
      </c>
      <c r="B107">
        <v>186</v>
      </c>
      <c r="C107">
        <v>188.1</v>
      </c>
      <c r="D107">
        <v>176.4</v>
      </c>
      <c r="E107">
        <v>183.7</v>
      </c>
      <c r="F107">
        <v>475002.96299999999</v>
      </c>
      <c r="G107">
        <v>183.7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0.24786324786324615</v>
      </c>
      <c r="Q107">
        <f t="shared" ref="Q107" si="511">F107*P107</f>
        <v>117735.77715384534</v>
      </c>
      <c r="R107">
        <f t="shared" ref="R107" si="512">R108+Q107</f>
        <v>85275582.997197419</v>
      </c>
      <c r="S107">
        <f t="shared" ref="S107" si="513">R107/100000</f>
        <v>852.75582997197421</v>
      </c>
      <c r="T107">
        <f t="shared" ref="T107" si="514">S107/1000</f>
        <v>0.85275582997197419</v>
      </c>
    </row>
    <row r="108" spans="1:20" x14ac:dyDescent="0.25">
      <c r="A108" s="5">
        <v>44485</v>
      </c>
      <c r="B108">
        <v>189.7</v>
      </c>
      <c r="C108">
        <v>192.6</v>
      </c>
      <c r="D108">
        <v>185</v>
      </c>
      <c r="E108">
        <v>186</v>
      </c>
      <c r="F108">
        <v>576811.60499999998</v>
      </c>
      <c r="G108">
        <v>186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-0.73684210526315774</v>
      </c>
      <c r="Q108">
        <f t="shared" ref="Q108" si="516">F108*P108</f>
        <v>-425019.07736842096</v>
      </c>
      <c r="R108">
        <f t="shared" ref="R108" si="517">R109+Q108</f>
        <v>85157847.22004357</v>
      </c>
      <c r="S108">
        <f t="shared" ref="S108" si="518">R108/100000</f>
        <v>851.57847220043573</v>
      </c>
      <c r="T108">
        <f t="shared" ref="T108" si="519">S108/1000</f>
        <v>0.8515784722004357</v>
      </c>
    </row>
    <row r="109" spans="1:20" x14ac:dyDescent="0.25">
      <c r="A109" s="5">
        <v>44484</v>
      </c>
      <c r="B109">
        <v>181.3</v>
      </c>
      <c r="C109">
        <v>193</v>
      </c>
      <c r="D109">
        <v>176.4</v>
      </c>
      <c r="E109">
        <v>189.6</v>
      </c>
      <c r="F109">
        <v>1143344.4380000001</v>
      </c>
      <c r="G109">
        <v>189.6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0.59036144578313166</v>
      </c>
      <c r="Q109">
        <f t="shared" ref="Q109" si="521">F109*P109</f>
        <v>674986.47544578218</v>
      </c>
      <c r="R109">
        <f t="shared" ref="R109" si="522">R110+Q109</f>
        <v>85582866.297411993</v>
      </c>
      <c r="S109">
        <f t="shared" ref="S109" si="523">R109/100000</f>
        <v>855.82866297411988</v>
      </c>
      <c r="T109">
        <f t="shared" ref="T109" si="524">S109/1000</f>
        <v>0.85582866297411986</v>
      </c>
    </row>
    <row r="110" spans="1:20" x14ac:dyDescent="0.25">
      <c r="A110" s="5">
        <v>44483</v>
      </c>
      <c r="B110">
        <v>177.7</v>
      </c>
      <c r="C110">
        <v>186.7</v>
      </c>
      <c r="D110">
        <v>176.9</v>
      </c>
      <c r="E110">
        <v>181.3</v>
      </c>
      <c r="F110">
        <v>746399.18099999998</v>
      </c>
      <c r="G110">
        <v>181.3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-0.10204081632652789</v>
      </c>
      <c r="Q110">
        <f t="shared" ref="Q110" si="526">F110*P110</f>
        <v>-76163.181734691854</v>
      </c>
      <c r="R110">
        <f t="shared" ref="R110" si="527">R111+Q110</f>
        <v>84907879.821966216</v>
      </c>
      <c r="S110">
        <f t="shared" ref="S110" si="528">R110/100000</f>
        <v>849.07879821966219</v>
      </c>
      <c r="T110">
        <f t="shared" ref="T110" si="529">S110/1000</f>
        <v>0.84907879821966215</v>
      </c>
    </row>
    <row r="111" spans="1:20" x14ac:dyDescent="0.25">
      <c r="A111" s="5">
        <v>44482</v>
      </c>
      <c r="B111">
        <v>172.6</v>
      </c>
      <c r="C111">
        <v>179.7</v>
      </c>
      <c r="D111">
        <v>167.6</v>
      </c>
      <c r="E111">
        <v>177.6</v>
      </c>
      <c r="F111">
        <v>657952.56200000003</v>
      </c>
      <c r="G111">
        <v>177.6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0.6528925619834719</v>
      </c>
      <c r="Q111">
        <f t="shared" ref="Q111" si="531">F111*P111</f>
        <v>429572.33386776916</v>
      </c>
      <c r="R111">
        <f t="shared" ref="R111" si="532">R112+Q111</f>
        <v>84984043.003700912</v>
      </c>
      <c r="S111">
        <f t="shared" ref="S111" si="533">R111/100000</f>
        <v>849.84043003700913</v>
      </c>
      <c r="T111">
        <f t="shared" ref="T111" si="534">S111/1000</f>
        <v>0.84984043003700915</v>
      </c>
    </row>
    <row r="112" spans="1:20" x14ac:dyDescent="0.25">
      <c r="A112" s="5">
        <v>44481</v>
      </c>
      <c r="B112">
        <v>179.2</v>
      </c>
      <c r="C112">
        <v>179.2</v>
      </c>
      <c r="D112">
        <v>166.3</v>
      </c>
      <c r="E112">
        <v>172.6</v>
      </c>
      <c r="F112">
        <v>708173.9</v>
      </c>
      <c r="G112">
        <v>172.6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-2.3255813953489295E-2</v>
      </c>
      <c r="Q112">
        <f t="shared" ref="Q112" si="536">F112*P112</f>
        <v>-16469.160465116933</v>
      </c>
      <c r="R112">
        <f t="shared" ref="R112" si="537">R113+Q112</f>
        <v>84554470.669833139</v>
      </c>
      <c r="S112">
        <f t="shared" ref="S112" si="538">R112/100000</f>
        <v>845.54470669833142</v>
      </c>
      <c r="T112">
        <f t="shared" ref="T112" si="539">S112/1000</f>
        <v>0.84554470669833137</v>
      </c>
    </row>
    <row r="113" spans="1:20" x14ac:dyDescent="0.25">
      <c r="A113" s="5">
        <v>44480</v>
      </c>
      <c r="B113">
        <v>174.8</v>
      </c>
      <c r="C113">
        <v>185.4</v>
      </c>
      <c r="D113">
        <v>172</v>
      </c>
      <c r="E113">
        <v>179.1</v>
      </c>
      <c r="F113">
        <v>679614.98699999996</v>
      </c>
      <c r="G113">
        <v>179.1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5.9701492537312134E-2</v>
      </c>
      <c r="Q113">
        <f t="shared" ref="Q113" si="541">F113*P113</f>
        <v>40574.029074625978</v>
      </c>
      <c r="R113">
        <f t="shared" ref="R113" si="542">R114+Q113</f>
        <v>84570939.83029826</v>
      </c>
      <c r="S113">
        <f t="shared" ref="S113" si="543">R113/100000</f>
        <v>845.70939830298255</v>
      </c>
      <c r="T113">
        <f t="shared" ref="T113" si="544">S113/1000</f>
        <v>0.84570939830298253</v>
      </c>
    </row>
    <row r="114" spans="1:20" x14ac:dyDescent="0.25">
      <c r="A114" s="5">
        <v>44479</v>
      </c>
      <c r="B114">
        <v>179.9</v>
      </c>
      <c r="C114">
        <v>184</v>
      </c>
      <c r="D114">
        <v>174</v>
      </c>
      <c r="E114">
        <v>174.8</v>
      </c>
      <c r="F114">
        <v>559785.15300000005</v>
      </c>
      <c r="G114">
        <v>174.8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-0.83999999999999775</v>
      </c>
      <c r="Q114">
        <f t="shared" ref="Q114" si="546">F114*P114</f>
        <v>-470219.52851999877</v>
      </c>
      <c r="R114">
        <f t="shared" ref="R114" si="547">R115+Q114</f>
        <v>84530365.801223636</v>
      </c>
      <c r="S114">
        <f t="shared" ref="S114" si="548">R114/100000</f>
        <v>845.30365801223638</v>
      </c>
      <c r="T114">
        <f t="shared" ref="T114" si="549">S114/1000</f>
        <v>0.84530365801223639</v>
      </c>
    </row>
    <row r="115" spans="1:20" x14ac:dyDescent="0.25">
      <c r="A115" s="5">
        <v>44478</v>
      </c>
      <c r="B115">
        <v>175.9</v>
      </c>
      <c r="C115">
        <v>182.9</v>
      </c>
      <c r="D115">
        <v>174.4</v>
      </c>
      <c r="E115">
        <v>179.9</v>
      </c>
      <c r="F115">
        <v>445979.88799999998</v>
      </c>
      <c r="G115">
        <v>179.9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0.29411764705882354</v>
      </c>
      <c r="Q115">
        <f t="shared" ref="Q115" si="551">F115*P115</f>
        <v>131170.55529411766</v>
      </c>
      <c r="R115">
        <f t="shared" ref="R115" si="552">R116+Q115</f>
        <v>85000585.329743639</v>
      </c>
      <c r="S115">
        <f t="shared" ref="S115" si="553">R115/100000</f>
        <v>850.00585329743637</v>
      </c>
      <c r="T115">
        <f t="shared" ref="T115" si="554">S115/1000</f>
        <v>0.85000585329743639</v>
      </c>
    </row>
    <row r="116" spans="1:20" x14ac:dyDescent="0.25">
      <c r="A116" s="5">
        <v>44477</v>
      </c>
      <c r="B116">
        <v>178.6</v>
      </c>
      <c r="C116">
        <v>183.4</v>
      </c>
      <c r="D116">
        <v>174.4</v>
      </c>
      <c r="E116">
        <v>175.9</v>
      </c>
      <c r="F116">
        <v>697493.03399999999</v>
      </c>
      <c r="G116">
        <v>175.9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-0.66666666666666663</v>
      </c>
      <c r="Q116">
        <f t="shared" ref="Q116" si="556">F116*P116</f>
        <v>-464995.35599999997</v>
      </c>
      <c r="R116">
        <f t="shared" ref="R116" si="557">R117+Q116</f>
        <v>84869414.774449527</v>
      </c>
      <c r="S116">
        <f t="shared" ref="S116" si="558">R116/100000</f>
        <v>848.69414774449524</v>
      </c>
      <c r="T116">
        <f t="shared" ref="T116" si="559">S116/1000</f>
        <v>0.84869414774449525</v>
      </c>
    </row>
    <row r="117" spans="1:20" x14ac:dyDescent="0.25">
      <c r="A117" s="5">
        <v>44476</v>
      </c>
      <c r="B117">
        <v>178.5</v>
      </c>
      <c r="C117">
        <v>187</v>
      </c>
      <c r="D117">
        <v>173.4</v>
      </c>
      <c r="E117">
        <v>178.6</v>
      </c>
      <c r="F117">
        <v>866672.44700000004</v>
      </c>
      <c r="G117">
        <v>178.6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-0.23529411764706018</v>
      </c>
      <c r="Q117">
        <f t="shared" ref="Q117" si="561">F117*P117</f>
        <v>-203922.92870588353</v>
      </c>
      <c r="R117">
        <f t="shared" ref="R117" si="562">R118+Q117</f>
        <v>85334410.130449533</v>
      </c>
      <c r="S117">
        <f t="shared" ref="S117" si="563">R117/100000</f>
        <v>853.34410130449533</v>
      </c>
      <c r="T117">
        <f t="shared" ref="T117" si="564">S117/1000</f>
        <v>0.85334410130449534</v>
      </c>
    </row>
    <row r="118" spans="1:20" x14ac:dyDescent="0.25">
      <c r="A118" s="5">
        <v>44475</v>
      </c>
      <c r="B118">
        <v>173.7</v>
      </c>
      <c r="C118">
        <v>183</v>
      </c>
      <c r="D118">
        <v>163.80000000000001</v>
      </c>
      <c r="E118">
        <v>178.5</v>
      </c>
      <c r="F118">
        <v>967921.40399999998</v>
      </c>
      <c r="G118">
        <v>178.5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0.53124999999999978</v>
      </c>
      <c r="Q118">
        <f t="shared" ref="Q118" si="566">F118*P118</f>
        <v>514208.24587499979</v>
      </c>
      <c r="R118">
        <f t="shared" ref="R118" si="567">R119+Q118</f>
        <v>85538333.059155419</v>
      </c>
      <c r="S118">
        <f t="shared" ref="S118" si="568">R118/100000</f>
        <v>855.38333059155423</v>
      </c>
      <c r="T118">
        <f t="shared" ref="T118" si="569">S118/1000</f>
        <v>0.85538333059155425</v>
      </c>
    </row>
    <row r="119" spans="1:20" x14ac:dyDescent="0.25">
      <c r="A119" s="5">
        <v>44474</v>
      </c>
      <c r="B119">
        <v>167.5</v>
      </c>
      <c r="C119">
        <v>175.4</v>
      </c>
      <c r="D119">
        <v>166.6</v>
      </c>
      <c r="E119">
        <v>173.8</v>
      </c>
      <c r="F119">
        <v>622714.61199999996</v>
      </c>
      <c r="G119">
        <v>173.8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0.63636363636363813</v>
      </c>
      <c r="Q119">
        <f t="shared" ref="Q119" si="571">F119*P119</f>
        <v>396272.93490909197</v>
      </c>
      <c r="R119">
        <f t="shared" ref="R119" si="572">R120+Q119</f>
        <v>85024124.813280419</v>
      </c>
      <c r="S119">
        <f t="shared" ref="S119" si="573">R119/100000</f>
        <v>850.24124813280423</v>
      </c>
      <c r="T119">
        <f t="shared" ref="T119" si="574">S119/1000</f>
        <v>0.85024124813280422</v>
      </c>
    </row>
    <row r="120" spans="1:20" x14ac:dyDescent="0.25">
      <c r="A120" s="5">
        <v>44473</v>
      </c>
      <c r="B120">
        <v>170.5</v>
      </c>
      <c r="C120">
        <v>170.9</v>
      </c>
      <c r="D120">
        <v>161.30000000000001</v>
      </c>
      <c r="E120">
        <v>168</v>
      </c>
      <c r="F120">
        <v>576472.31599999999</v>
      </c>
      <c r="G120">
        <v>168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0.39583333333333182</v>
      </c>
      <c r="Q120">
        <f t="shared" ref="Q120" si="576">F120*P120</f>
        <v>228186.95841666579</v>
      </c>
      <c r="R120">
        <f t="shared" ref="R120" si="577">R121+Q120</f>
        <v>84627851.878371328</v>
      </c>
      <c r="S120">
        <f t="shared" ref="S120" si="578">R120/100000</f>
        <v>846.27851878371325</v>
      </c>
      <c r="T120">
        <f t="shared" ref="T120" si="579">S120/1000</f>
        <v>0.8462785187837133</v>
      </c>
    </row>
    <row r="121" spans="1:20" x14ac:dyDescent="0.25">
      <c r="A121" s="5">
        <v>44472</v>
      </c>
      <c r="B121">
        <v>168.9</v>
      </c>
      <c r="C121">
        <v>175</v>
      </c>
      <c r="D121">
        <v>165.7</v>
      </c>
      <c r="E121">
        <v>170.6</v>
      </c>
      <c r="F121">
        <v>434834.9</v>
      </c>
      <c r="G121">
        <v>170.6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5.3763440860214985E-2</v>
      </c>
      <c r="Q121">
        <f t="shared" ref="Q121" si="581">F121*P121</f>
        <v>23378.2204301075</v>
      </c>
      <c r="R121">
        <f t="shared" ref="R121" si="582">R122+Q121</f>
        <v>84399664.919954658</v>
      </c>
      <c r="S121">
        <f t="shared" ref="S121" si="583">R121/100000</f>
        <v>843.9966491995466</v>
      </c>
      <c r="T121">
        <f t="shared" ref="T121" si="584">S121/1000</f>
        <v>0.84399664919954664</v>
      </c>
    </row>
    <row r="122" spans="1:20" x14ac:dyDescent="0.25">
      <c r="A122" s="5">
        <v>44471</v>
      </c>
      <c r="B122">
        <v>166.1</v>
      </c>
      <c r="C122">
        <v>172.8</v>
      </c>
      <c r="D122">
        <v>164.4</v>
      </c>
      <c r="E122">
        <v>168.9</v>
      </c>
      <c r="F122">
        <v>427845.77299999999</v>
      </c>
      <c r="G122">
        <v>168.9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7.1428571428570703E-2</v>
      </c>
      <c r="Q122">
        <f t="shared" ref="Q122" si="586">F122*P122</f>
        <v>30560.412357142544</v>
      </c>
      <c r="R122">
        <f t="shared" ref="R122" si="587">R123+Q122</f>
        <v>84376286.699524552</v>
      </c>
      <c r="S122">
        <f t="shared" ref="S122" si="588">R122/100000</f>
        <v>843.76286699524553</v>
      </c>
      <c r="T122">
        <f t="shared" ref="T122" si="589">S122/1000</f>
        <v>0.8437628669952455</v>
      </c>
    </row>
    <row r="123" spans="1:20" x14ac:dyDescent="0.25">
      <c r="A123" s="5">
        <v>44470</v>
      </c>
      <c r="B123">
        <v>153.19999999999999</v>
      </c>
      <c r="C123">
        <v>168.1</v>
      </c>
      <c r="D123">
        <v>151.1</v>
      </c>
      <c r="E123">
        <v>166.2</v>
      </c>
      <c r="F123">
        <v>701432.91700000002</v>
      </c>
      <c r="G123">
        <v>166.2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0.77647058823529347</v>
      </c>
      <c r="Q123">
        <f t="shared" ref="Q123" si="591">F123*P123</f>
        <v>544642.02967058774</v>
      </c>
      <c r="R123">
        <f t="shared" ref="R123" si="592">R124+Q123</f>
        <v>84345726.287167415</v>
      </c>
      <c r="S123">
        <f t="shared" ref="S123" si="593">R123/100000</f>
        <v>843.45726287167417</v>
      </c>
      <c r="T123">
        <f t="shared" ref="T123" si="594">S123/1000</f>
        <v>0.84345726287167422</v>
      </c>
    </row>
    <row r="124" spans="1:20" x14ac:dyDescent="0.25">
      <c r="A124" s="5">
        <v>44469</v>
      </c>
      <c r="B124">
        <v>144.80000000000001</v>
      </c>
      <c r="C124">
        <v>154.5</v>
      </c>
      <c r="D124">
        <v>143.9</v>
      </c>
      <c r="E124">
        <v>153.30000000000001</v>
      </c>
      <c r="F124">
        <v>505878.24</v>
      </c>
      <c r="G124">
        <v>153.30000000000001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0.77358490566037941</v>
      </c>
      <c r="Q124">
        <f t="shared" ref="Q124" si="596">F124*P124</f>
        <v>391339.77056603879</v>
      </c>
      <c r="R124">
        <f t="shared" ref="R124" si="597">R125+Q124</f>
        <v>83801084.257496834</v>
      </c>
      <c r="S124">
        <f t="shared" ref="S124" si="598">R124/100000</f>
        <v>838.01084257496836</v>
      </c>
      <c r="T124">
        <f t="shared" ref="T124" si="599">S124/1000</f>
        <v>0.83801084257496838</v>
      </c>
    </row>
    <row r="125" spans="1:20" x14ac:dyDescent="0.25">
      <c r="A125" s="5">
        <v>44468</v>
      </c>
      <c r="B125">
        <v>140.5</v>
      </c>
      <c r="C125">
        <v>150.4</v>
      </c>
      <c r="D125">
        <v>139.69999999999999</v>
      </c>
      <c r="E125">
        <v>144.69999999999999</v>
      </c>
      <c r="F125">
        <v>505249.15568000003</v>
      </c>
      <c r="G125">
        <v>144.69999999999999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-6.5420560747665044E-2</v>
      </c>
      <c r="Q125">
        <f t="shared" ref="Q125" si="601">F125*P125</f>
        <v>-33053.683081869916</v>
      </c>
      <c r="R125">
        <f t="shared" ref="R125" si="602">R126+Q125</f>
        <v>83409744.486930788</v>
      </c>
      <c r="S125">
        <f t="shared" ref="S125" si="603">R125/100000</f>
        <v>834.09744486930788</v>
      </c>
      <c r="T125">
        <f t="shared" ref="T125" si="604">S125/1000</f>
        <v>0.83409744486930792</v>
      </c>
    </row>
    <row r="126" spans="1:20" x14ac:dyDescent="0.25">
      <c r="A126" s="5">
        <v>44467</v>
      </c>
      <c r="B126">
        <v>145</v>
      </c>
      <c r="C126">
        <v>149</v>
      </c>
      <c r="D126">
        <v>140</v>
      </c>
      <c r="E126">
        <v>140.6</v>
      </c>
      <c r="F126">
        <v>551914.77190000005</v>
      </c>
      <c r="G126">
        <v>140.6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-0.86666666666666792</v>
      </c>
      <c r="Q126">
        <f t="shared" ref="Q126" si="606">F126*P126</f>
        <v>-478326.13564666739</v>
      </c>
      <c r="R126">
        <f t="shared" ref="R126" si="607">R127+Q126</f>
        <v>83442798.170012653</v>
      </c>
      <c r="S126">
        <f t="shared" ref="S126" si="608">R126/100000</f>
        <v>834.42798170012657</v>
      </c>
      <c r="T126">
        <f t="shared" ref="T126" si="609">S126/1000</f>
        <v>0.83442798170012655</v>
      </c>
    </row>
    <row r="127" spans="1:20" x14ac:dyDescent="0.25">
      <c r="A127" s="5">
        <v>44466</v>
      </c>
      <c r="B127">
        <v>150.69999999999999</v>
      </c>
      <c r="C127">
        <v>154.9</v>
      </c>
      <c r="D127">
        <v>144.80000000000001</v>
      </c>
      <c r="E127">
        <v>145</v>
      </c>
      <c r="F127">
        <v>463173.18800000002</v>
      </c>
      <c r="G127">
        <v>145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-0.96039603960396258</v>
      </c>
      <c r="Q127">
        <f t="shared" ref="Q127" si="611">F127*P127</f>
        <v>-444829.69540594163</v>
      </c>
      <c r="R127">
        <f t="shared" ref="R127" si="612">R128+Q127</f>
        <v>83921124.305659324</v>
      </c>
      <c r="S127">
        <f t="shared" ref="S127" si="613">R127/100000</f>
        <v>839.21124305659328</v>
      </c>
      <c r="T127">
        <f t="shared" ref="T127" si="614">S127/1000</f>
        <v>0.83921124305659323</v>
      </c>
    </row>
    <row r="128" spans="1:20" x14ac:dyDescent="0.25">
      <c r="A128" s="5">
        <v>44465</v>
      </c>
      <c r="B128">
        <v>150.9</v>
      </c>
      <c r="C128">
        <v>153.4</v>
      </c>
      <c r="D128">
        <v>141.9</v>
      </c>
      <c r="E128">
        <v>150.69999999999999</v>
      </c>
      <c r="F128">
        <v>837958.06499999994</v>
      </c>
      <c r="G128">
        <v>150.69999999999999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0.5304347826086927</v>
      </c>
      <c r="Q128">
        <f t="shared" ref="Q128" si="616">F128*P128</f>
        <v>444482.10404347576</v>
      </c>
      <c r="R128">
        <f t="shared" ref="R128" si="617">R129+Q128</f>
        <v>84365954.001065269</v>
      </c>
      <c r="S128">
        <f t="shared" ref="S128" si="618">R128/100000</f>
        <v>843.65954001065268</v>
      </c>
      <c r="T128">
        <f t="shared" ref="T128" si="619">S128/1000</f>
        <v>0.84365954001065269</v>
      </c>
    </row>
    <row r="129" spans="1:20" x14ac:dyDescent="0.25">
      <c r="A129" s="5">
        <v>44464</v>
      </c>
      <c r="B129">
        <v>152</v>
      </c>
      <c r="C129">
        <v>155.9</v>
      </c>
      <c r="D129">
        <v>148.80000000000001</v>
      </c>
      <c r="E129">
        <v>151</v>
      </c>
      <c r="F129">
        <v>622457.07799999998</v>
      </c>
      <c r="G129">
        <v>151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-0.38028169014084778</v>
      </c>
      <c r="Q129">
        <f t="shared" ref="Q129" si="621">F129*P129</f>
        <v>-236709.0296619735</v>
      </c>
      <c r="R129">
        <f t="shared" ref="R129" si="622">R130+Q129</f>
        <v>83921471.8970218</v>
      </c>
      <c r="S129">
        <f t="shared" ref="S129" si="623">R129/100000</f>
        <v>839.21471897021797</v>
      </c>
      <c r="T129">
        <f t="shared" ref="T129" si="624">S129/1000</f>
        <v>0.83921471897021793</v>
      </c>
    </row>
    <row r="130" spans="1:20" x14ac:dyDescent="0.25">
      <c r="A130" s="5">
        <v>44463</v>
      </c>
      <c r="B130">
        <v>163.9</v>
      </c>
      <c r="C130">
        <v>166.6</v>
      </c>
      <c r="D130">
        <v>141.6</v>
      </c>
      <c r="E130">
        <v>152.1</v>
      </c>
      <c r="F130">
        <v>1236046.28455</v>
      </c>
      <c r="G130">
        <v>152.1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-0.16</v>
      </c>
      <c r="Q130">
        <f t="shared" ref="Q130" si="626">F130*P130</f>
        <v>-197767.405528</v>
      </c>
      <c r="R130">
        <f t="shared" ref="R130" si="627">R131+Q130</f>
        <v>84158180.926683769</v>
      </c>
      <c r="S130">
        <f t="shared" ref="S130" si="628">R130/100000</f>
        <v>841.58180926683769</v>
      </c>
      <c r="T130">
        <f t="shared" ref="T130" si="629">S130/1000</f>
        <v>0.84158180926683768</v>
      </c>
    </row>
    <row r="131" spans="1:20" x14ac:dyDescent="0.25">
      <c r="A131" s="5">
        <v>44462</v>
      </c>
      <c r="B131">
        <v>161.4</v>
      </c>
      <c r="C131">
        <v>165</v>
      </c>
      <c r="D131">
        <v>157.1</v>
      </c>
      <c r="E131">
        <v>163.9</v>
      </c>
      <c r="F131">
        <v>559513.522</v>
      </c>
      <c r="G131">
        <v>163.9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0.72151898734177378</v>
      </c>
      <c r="Q131">
        <f t="shared" ref="Q131" si="631">F131*P131</f>
        <v>403699.62979746924</v>
      </c>
      <c r="R131">
        <f t="shared" ref="R131" si="632">R132+Q131</f>
        <v>84355948.332211763</v>
      </c>
      <c r="S131">
        <f t="shared" ref="S131" si="633">R131/100000</f>
        <v>843.55948332211767</v>
      </c>
      <c r="T131">
        <f t="shared" ref="T131" si="634">S131/1000</f>
        <v>0.84355948332211772</v>
      </c>
    </row>
    <row r="132" spans="1:20" x14ac:dyDescent="0.25">
      <c r="A132" s="5">
        <v>44461</v>
      </c>
      <c r="B132">
        <v>148.6</v>
      </c>
      <c r="C132">
        <v>161.80000000000001</v>
      </c>
      <c r="D132">
        <v>145.30000000000001</v>
      </c>
      <c r="E132">
        <v>161.4</v>
      </c>
      <c r="F132">
        <v>822665.56599999999</v>
      </c>
      <c r="G132">
        <v>161.4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0.95151515151515087</v>
      </c>
      <c r="Q132">
        <f t="shared" ref="Q132" si="636">F132*P132</f>
        <v>782778.75067878736</v>
      </c>
      <c r="R132">
        <f t="shared" ref="R132" si="637">R133+Q132</f>
        <v>83952248.702414289</v>
      </c>
      <c r="S132">
        <f t="shared" ref="S132" si="638">R132/100000</f>
        <v>839.52248702414295</v>
      </c>
      <c r="T132">
        <f t="shared" ref="T132" si="639">S132/1000</f>
        <v>0.83952248702414289</v>
      </c>
    </row>
    <row r="133" spans="1:20" x14ac:dyDescent="0.25">
      <c r="A133" s="5">
        <v>44460</v>
      </c>
      <c r="B133">
        <v>157.19999999999999</v>
      </c>
      <c r="C133">
        <v>162.30000000000001</v>
      </c>
      <c r="D133">
        <v>144.69999999999999</v>
      </c>
      <c r="E133">
        <v>148.5</v>
      </c>
      <c r="F133">
        <v>988169.63393000001</v>
      </c>
      <c r="G133">
        <v>148.5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-0.56818181818181746</v>
      </c>
      <c r="Q133">
        <f t="shared" ref="Q133" si="641">F133*P133</f>
        <v>-561460.01927840838</v>
      </c>
      <c r="R133">
        <f t="shared" ref="R133" si="642">R134+Q133</f>
        <v>83169469.951735497</v>
      </c>
      <c r="S133">
        <f t="shared" ref="S133" si="643">R133/100000</f>
        <v>831.69469951735493</v>
      </c>
      <c r="T133">
        <f t="shared" ref="T133" si="644">S133/1000</f>
        <v>0.83169469951735497</v>
      </c>
    </row>
    <row r="134" spans="1:20" x14ac:dyDescent="0.25">
      <c r="A134" s="5">
        <v>44459</v>
      </c>
      <c r="B134">
        <v>175.6</v>
      </c>
      <c r="C134">
        <v>176</v>
      </c>
      <c r="D134">
        <v>161.80000000000001</v>
      </c>
      <c r="E134">
        <v>164.1</v>
      </c>
      <c r="F134">
        <v>521240.42093999998</v>
      </c>
      <c r="G134">
        <v>164.1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-0.67605633802817111</v>
      </c>
      <c r="Q134">
        <f t="shared" ref="Q134" si="646">F134*P134</f>
        <v>-352387.89021295885</v>
      </c>
      <c r="R134">
        <f t="shared" ref="R134" si="647">R135+Q134</f>
        <v>83730929.971013904</v>
      </c>
      <c r="S134">
        <f t="shared" ref="S134" si="648">R134/100000</f>
        <v>837.30929971013904</v>
      </c>
      <c r="T134">
        <f t="shared" ref="T134" si="649">S134/1000</f>
        <v>0.83730929971013901</v>
      </c>
    </row>
    <row r="135" spans="1:20" x14ac:dyDescent="0.25">
      <c r="A135" s="5">
        <v>44458</v>
      </c>
      <c r="B135">
        <v>181.3</v>
      </c>
      <c r="C135">
        <v>181.7</v>
      </c>
      <c r="D135">
        <v>172.5</v>
      </c>
      <c r="E135">
        <v>175.6</v>
      </c>
      <c r="F135">
        <v>364865.77500000002</v>
      </c>
      <c r="G135">
        <v>175.6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-0.32608695652173952</v>
      </c>
      <c r="Q135">
        <f t="shared" ref="Q135" si="651">F135*P135</f>
        <v>-118977.97010869581</v>
      </c>
      <c r="R135">
        <f t="shared" ref="R135" si="652">R136+Q135</f>
        <v>84083317.861226857</v>
      </c>
      <c r="S135">
        <f t="shared" ref="S135" si="653">R135/100000</f>
        <v>840.83317861226851</v>
      </c>
      <c r="T135">
        <f t="shared" ref="T135" si="654">S135/1000</f>
        <v>0.84083317861226847</v>
      </c>
    </row>
    <row r="136" spans="1:20" x14ac:dyDescent="0.25">
      <c r="A136" s="5">
        <v>44457</v>
      </c>
      <c r="B136">
        <v>180</v>
      </c>
      <c r="C136">
        <v>185.8</v>
      </c>
      <c r="D136">
        <v>177.9</v>
      </c>
      <c r="E136">
        <v>181.4</v>
      </c>
      <c r="F136">
        <v>372409.22399999999</v>
      </c>
      <c r="G136">
        <v>181.4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-0.11392405063291203</v>
      </c>
      <c r="Q136">
        <f t="shared" ref="Q136" si="656">F136*P136</f>
        <v>-42426.367291139475</v>
      </c>
      <c r="R136">
        <f t="shared" ref="R136" si="657">R137+Q136</f>
        <v>84202295.831335559</v>
      </c>
      <c r="S136">
        <f t="shared" ref="S136" si="658">R136/100000</f>
        <v>842.02295831335562</v>
      </c>
      <c r="T136">
        <f t="shared" ref="T136" si="659">S136/1000</f>
        <v>0.84202295831335561</v>
      </c>
    </row>
    <row r="137" spans="1:20" x14ac:dyDescent="0.25">
      <c r="A137" s="5">
        <v>44456</v>
      </c>
      <c r="B137">
        <v>185.2</v>
      </c>
      <c r="C137">
        <v>190.5</v>
      </c>
      <c r="D137">
        <v>177.5</v>
      </c>
      <c r="E137">
        <v>180</v>
      </c>
      <c r="F137">
        <v>566767.06900000002</v>
      </c>
      <c r="G137">
        <v>180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-0.61538461538461542</v>
      </c>
      <c r="Q137">
        <f t="shared" ref="Q137" si="661">F137*P137</f>
        <v>-348779.73476923082</v>
      </c>
      <c r="R137">
        <f t="shared" ref="R137" si="662">R138+Q137</f>
        <v>84244722.198626697</v>
      </c>
      <c r="S137">
        <f t="shared" ref="S137" si="663">R137/100000</f>
        <v>842.44722198626698</v>
      </c>
      <c r="T137">
        <f t="shared" ref="T137" si="664">S137/1000</f>
        <v>0.84244722198626698</v>
      </c>
    </row>
    <row r="138" spans="1:20" x14ac:dyDescent="0.25">
      <c r="A138" s="5">
        <v>44455</v>
      </c>
      <c r="B138">
        <v>189.1</v>
      </c>
      <c r="C138">
        <v>195.4</v>
      </c>
      <c r="D138">
        <v>181.5</v>
      </c>
      <c r="E138">
        <v>185.2</v>
      </c>
      <c r="F138">
        <v>935286.23100000003</v>
      </c>
      <c r="G138">
        <v>185.2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-0.46762589928057741</v>
      </c>
      <c r="Q138">
        <f t="shared" ref="Q138" si="666">F138*P138</f>
        <v>-437364.06485611689</v>
      </c>
      <c r="R138">
        <f t="shared" ref="R138" si="667">R139+Q138</f>
        <v>84593501.933395922</v>
      </c>
      <c r="S138">
        <f t="shared" ref="S138" si="668">R138/100000</f>
        <v>845.93501933395919</v>
      </c>
      <c r="T138">
        <f t="shared" ref="T138" si="669">S138/1000</f>
        <v>0.8459350193339592</v>
      </c>
    </row>
    <row r="139" spans="1:20" x14ac:dyDescent="0.25">
      <c r="A139" s="5">
        <v>44454</v>
      </c>
      <c r="B139">
        <v>183</v>
      </c>
      <c r="C139">
        <v>192.1</v>
      </c>
      <c r="D139">
        <v>179.6</v>
      </c>
      <c r="E139">
        <v>189</v>
      </c>
      <c r="F139">
        <v>745508.05900000001</v>
      </c>
      <c r="G139">
        <v>189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0.50400000000000089</v>
      </c>
      <c r="Q139">
        <f t="shared" ref="Q139" si="671">F139*P139</f>
        <v>375736.06173600064</v>
      </c>
      <c r="R139">
        <f t="shared" ref="R139" si="672">R140+Q139</f>
        <v>85030865.998252034</v>
      </c>
      <c r="S139">
        <f t="shared" ref="S139" si="673">R139/100000</f>
        <v>850.30865998252034</v>
      </c>
      <c r="T139">
        <f t="shared" ref="T139" si="674">S139/1000</f>
        <v>0.85030865998252037</v>
      </c>
    </row>
    <row r="140" spans="1:20" x14ac:dyDescent="0.25">
      <c r="A140" s="5">
        <v>44453</v>
      </c>
      <c r="B140">
        <v>179.4</v>
      </c>
      <c r="C140">
        <v>189</v>
      </c>
      <c r="D140">
        <v>176.1</v>
      </c>
      <c r="E140">
        <v>183.1</v>
      </c>
      <c r="F140">
        <v>1091279.997</v>
      </c>
      <c r="G140">
        <v>183.1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8.5271317829456891E-2</v>
      </c>
      <c r="Q140">
        <f t="shared" ref="Q140" si="676">F140*P140</f>
        <v>93054.883465115767</v>
      </c>
      <c r="R140">
        <f t="shared" ref="R140" si="677">R141+Q140</f>
        <v>84655129.936516032</v>
      </c>
      <c r="S140">
        <f t="shared" ref="S140" si="678">R140/100000</f>
        <v>846.55129936516028</v>
      </c>
      <c r="T140">
        <f t="shared" ref="T140" si="679">S140/1000</f>
        <v>0.84655129936516027</v>
      </c>
    </row>
    <row r="141" spans="1:20" x14ac:dyDescent="0.25">
      <c r="A141" s="5">
        <v>44452</v>
      </c>
      <c r="B141">
        <v>183.1</v>
      </c>
      <c r="C141">
        <v>240</v>
      </c>
      <c r="D141">
        <v>170.7</v>
      </c>
      <c r="E141">
        <v>179.4</v>
      </c>
      <c r="F141">
        <v>5437062.6741000004</v>
      </c>
      <c r="G141">
        <v>179.4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-0.74891774891774843</v>
      </c>
      <c r="Q141">
        <f t="shared" ref="Q141" si="681">F141*P141</f>
        <v>-4071912.738611686</v>
      </c>
      <c r="R141">
        <f t="shared" ref="R141" si="682">R142+Q141</f>
        <v>84562075.05305092</v>
      </c>
      <c r="S141">
        <f t="shared" ref="S141" si="683">R141/100000</f>
        <v>845.62075053050921</v>
      </c>
      <c r="T141">
        <f t="shared" ref="T141" si="684">S141/1000</f>
        <v>0.84562075053050922</v>
      </c>
    </row>
    <row r="142" spans="1:20" x14ac:dyDescent="0.25">
      <c r="A142" s="5">
        <v>44451</v>
      </c>
      <c r="B142">
        <v>178.6</v>
      </c>
      <c r="C142">
        <v>186.2</v>
      </c>
      <c r="D142">
        <v>175.1</v>
      </c>
      <c r="E142">
        <v>183</v>
      </c>
      <c r="F142">
        <v>564714.696</v>
      </c>
      <c r="G142">
        <v>183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0.42342342342342515</v>
      </c>
      <c r="Q142">
        <f t="shared" ref="Q142" si="686">F142*P142</f>
        <v>239113.4298378388</v>
      </c>
      <c r="R142">
        <f t="shared" ref="R142" si="687">R143+Q142</f>
        <v>88633987.791662604</v>
      </c>
      <c r="S142">
        <f t="shared" ref="S142" si="688">R142/100000</f>
        <v>886.33987791662605</v>
      </c>
      <c r="T142">
        <f t="shared" ref="T142" si="689">S142/1000</f>
        <v>0.88633987791662605</v>
      </c>
    </row>
    <row r="143" spans="1:20" x14ac:dyDescent="0.25">
      <c r="A143" s="5">
        <v>44450</v>
      </c>
      <c r="B143">
        <v>174.1</v>
      </c>
      <c r="C143">
        <v>186.2</v>
      </c>
      <c r="D143">
        <v>173.4</v>
      </c>
      <c r="E143">
        <v>178.6</v>
      </c>
      <c r="F143">
        <v>551963.071</v>
      </c>
      <c r="G143">
        <v>178.6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-0.18750000000000069</v>
      </c>
      <c r="Q143">
        <f t="shared" ref="Q143" si="691">F143*P143</f>
        <v>-103493.07581250038</v>
      </c>
      <c r="R143">
        <f t="shared" ref="R143" si="692">R144+Q143</f>
        <v>88394874.361824766</v>
      </c>
      <c r="S143">
        <f t="shared" ref="S143" si="693">R143/100000</f>
        <v>883.9487436182477</v>
      </c>
      <c r="T143">
        <f t="shared" ref="T143" si="694">S143/1000</f>
        <v>0.88394874361824771</v>
      </c>
    </row>
    <row r="144" spans="1:20" x14ac:dyDescent="0.25">
      <c r="A144" s="5">
        <v>44449</v>
      </c>
      <c r="B144">
        <v>180.5</v>
      </c>
      <c r="C144">
        <v>187.4</v>
      </c>
      <c r="D144">
        <v>170.7</v>
      </c>
      <c r="E144">
        <v>174.1</v>
      </c>
      <c r="F144">
        <v>721100.84199999995</v>
      </c>
      <c r="G144">
        <v>174.1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-0.59281437125748482</v>
      </c>
      <c r="Q144">
        <f t="shared" ref="Q144" si="696">F144*P144</f>
        <v>-427478.94226347288</v>
      </c>
      <c r="R144">
        <f t="shared" ref="R144" si="697">R145+Q144</f>
        <v>88498367.437637269</v>
      </c>
      <c r="S144">
        <f t="shared" ref="S144" si="698">R144/100000</f>
        <v>884.98367437637273</v>
      </c>
      <c r="T144">
        <f t="shared" ref="T144" si="699">S144/1000</f>
        <v>0.88498367437637271</v>
      </c>
    </row>
    <row r="145" spans="1:20" x14ac:dyDescent="0.25">
      <c r="A145" s="5">
        <v>44448</v>
      </c>
      <c r="B145">
        <v>179.7</v>
      </c>
      <c r="C145">
        <v>188.6</v>
      </c>
      <c r="D145">
        <v>176.5</v>
      </c>
      <c r="E145">
        <v>180.5</v>
      </c>
      <c r="F145">
        <v>896655.71799999999</v>
      </c>
      <c r="G145">
        <v>180.5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-0.33884297520661127</v>
      </c>
      <c r="Q145">
        <f t="shared" ref="Q145" si="701">F145*P145</f>
        <v>-303825.49122314021</v>
      </c>
      <c r="R145">
        <f t="shared" ref="R145" si="702">R146+Q145</f>
        <v>88925846.379900739</v>
      </c>
      <c r="S145">
        <f t="shared" ref="S145" si="703">R145/100000</f>
        <v>889.25846379900736</v>
      </c>
      <c r="T145">
        <f t="shared" ref="T145" si="704">S145/1000</f>
        <v>0.8892584637990073</v>
      </c>
    </row>
    <row r="146" spans="1:20" x14ac:dyDescent="0.25">
      <c r="A146" s="5">
        <v>44447</v>
      </c>
      <c r="B146">
        <v>178.4</v>
      </c>
      <c r="C146">
        <v>189</v>
      </c>
      <c r="D146">
        <v>169.3</v>
      </c>
      <c r="E146">
        <v>179.7</v>
      </c>
      <c r="F146">
        <v>1419232.6410000001</v>
      </c>
      <c r="G146">
        <v>179.7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5.5837563451774951E-2</v>
      </c>
      <c r="Q146">
        <f t="shared" ref="Q146" si="706">F146*P146</f>
        <v>79246.49264466764</v>
      </c>
      <c r="R146">
        <f t="shared" ref="R146" si="707">R147+Q146</f>
        <v>89229671.87112388</v>
      </c>
      <c r="S146">
        <f t="shared" ref="S146" si="708">R146/100000</f>
        <v>892.29671871123878</v>
      </c>
      <c r="T146">
        <f t="shared" ref="T146" si="709">S146/1000</f>
        <v>0.89229671871123883</v>
      </c>
    </row>
    <row r="147" spans="1:20" x14ac:dyDescent="0.25">
      <c r="A147" s="5">
        <v>44446</v>
      </c>
      <c r="B147">
        <v>219.4</v>
      </c>
      <c r="C147">
        <v>221.9</v>
      </c>
      <c r="D147">
        <v>162.1</v>
      </c>
      <c r="E147">
        <v>178.5</v>
      </c>
      <c r="F147">
        <v>2026882.5926300001</v>
      </c>
      <c r="G147">
        <v>178.5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-0.45150501672240795</v>
      </c>
      <c r="Q147">
        <f t="shared" ref="Q147" si="711">F147*P147</f>
        <v>-915147.65887976578</v>
      </c>
      <c r="R147">
        <f t="shared" ref="R147" si="712">R148+Q147</f>
        <v>89150425.378479213</v>
      </c>
      <c r="S147">
        <f t="shared" ref="S147" si="713">R147/100000</f>
        <v>891.50425378479213</v>
      </c>
      <c r="T147">
        <f t="shared" ref="T147" si="714">S147/1000</f>
        <v>0.89150425378479214</v>
      </c>
    </row>
    <row r="148" spans="1:20" x14ac:dyDescent="0.25">
      <c r="A148" s="5">
        <v>44445</v>
      </c>
      <c r="B148">
        <v>232.2</v>
      </c>
      <c r="C148">
        <v>232.3</v>
      </c>
      <c r="D148">
        <v>214.8</v>
      </c>
      <c r="E148">
        <v>219.4</v>
      </c>
      <c r="F148">
        <v>1001710.493</v>
      </c>
      <c r="G148">
        <v>219.4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-0.47428571428571492</v>
      </c>
      <c r="Q148">
        <f t="shared" ref="Q148" si="716">F148*P148</f>
        <v>-475096.97668000066</v>
      </c>
      <c r="R148">
        <f t="shared" ref="R148" si="717">R149+Q148</f>
        <v>90065573.037358984</v>
      </c>
      <c r="S148">
        <f t="shared" ref="S148" si="718">R148/100000</f>
        <v>900.65573037358979</v>
      </c>
      <c r="T148">
        <f t="shared" ref="T148" si="719">S148/1000</f>
        <v>0.90065573037358981</v>
      </c>
    </row>
    <row r="149" spans="1:20" x14ac:dyDescent="0.25">
      <c r="A149" s="5">
        <v>44444</v>
      </c>
      <c r="B149">
        <v>212</v>
      </c>
      <c r="C149">
        <v>232.56</v>
      </c>
      <c r="D149">
        <v>210.5</v>
      </c>
      <c r="E149">
        <v>232.2</v>
      </c>
      <c r="F149">
        <v>1007949.97992</v>
      </c>
      <c r="G149">
        <v>232.2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0.96736174070716108</v>
      </c>
      <c r="Q149">
        <f t="shared" ref="Q149" si="721">F149*P149</f>
        <v>975052.24712115922</v>
      </c>
      <c r="R149">
        <f t="shared" ref="R149" si="722">R150+Q149</f>
        <v>90540670.01403898</v>
      </c>
      <c r="S149">
        <f t="shared" ref="S149" si="723">R149/100000</f>
        <v>905.40670014038983</v>
      </c>
      <c r="T149">
        <f t="shared" ref="T149" si="724">S149/1000</f>
        <v>0.90540670014038982</v>
      </c>
    </row>
    <row r="150" spans="1:20" x14ac:dyDescent="0.25">
      <c r="A150" s="5">
        <v>44443</v>
      </c>
      <c r="B150">
        <v>212.9</v>
      </c>
      <c r="C150">
        <v>225.2</v>
      </c>
      <c r="D150">
        <v>208.4</v>
      </c>
      <c r="E150">
        <v>211.9</v>
      </c>
      <c r="F150">
        <v>1448417.5339200001</v>
      </c>
      <c r="G150">
        <v>211.9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-0.58333333333333293</v>
      </c>
      <c r="Q150">
        <f t="shared" ref="Q150" si="726">F150*P150</f>
        <v>-844910.2281199994</v>
      </c>
      <c r="R150">
        <f t="shared" ref="R150" si="727">R151+Q150</f>
        <v>89565617.766917825</v>
      </c>
      <c r="S150">
        <f t="shared" ref="S150" si="728">R150/100000</f>
        <v>895.65617766917819</v>
      </c>
      <c r="T150">
        <f t="shared" ref="T150" si="729">S150/1000</f>
        <v>0.89565617766917816</v>
      </c>
    </row>
    <row r="151" spans="1:20" x14ac:dyDescent="0.25">
      <c r="A151" s="5">
        <v>44442</v>
      </c>
      <c r="B151">
        <v>183.4</v>
      </c>
      <c r="C151">
        <v>217.7</v>
      </c>
      <c r="D151">
        <v>179.8</v>
      </c>
      <c r="E151">
        <v>212.9</v>
      </c>
      <c r="F151">
        <v>2071663.6312599999</v>
      </c>
      <c r="G151">
        <v>212.9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0.74670184696569997</v>
      </c>
      <c r="Q151">
        <f t="shared" ref="Q151" si="731">F151*P151</f>
        <v>1546915.0597535109</v>
      </c>
      <c r="R151">
        <f t="shared" ref="R151" si="732">R152+Q151</f>
        <v>90410527.995037824</v>
      </c>
      <c r="S151">
        <f t="shared" ref="S151" si="733">R151/100000</f>
        <v>904.10527995037819</v>
      </c>
      <c r="T151">
        <f t="shared" ref="T151" si="734">S151/1000</f>
        <v>0.90410527995037815</v>
      </c>
    </row>
    <row r="152" spans="1:20" x14ac:dyDescent="0.25">
      <c r="A152" s="5">
        <v>44441</v>
      </c>
      <c r="B152">
        <v>180.9</v>
      </c>
      <c r="C152">
        <v>187.9</v>
      </c>
      <c r="D152">
        <v>179.4</v>
      </c>
      <c r="E152">
        <v>183.3</v>
      </c>
      <c r="F152">
        <v>683639.85444999998</v>
      </c>
      <c r="G152">
        <v>183.3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-8.2352941176469255E-2</v>
      </c>
      <c r="Q152">
        <f t="shared" ref="Q152" si="736">F152*P152</f>
        <v>-56299.752719410855</v>
      </c>
      <c r="R152">
        <f t="shared" ref="R152" si="737">R153+Q152</f>
        <v>88863612.935284317</v>
      </c>
      <c r="S152">
        <f t="shared" ref="S152" si="738">R152/100000</f>
        <v>888.63612935284311</v>
      </c>
      <c r="T152">
        <f t="shared" ref="T152" si="739">S152/1000</f>
        <v>0.88863612935284308</v>
      </c>
    </row>
    <row r="153" spans="1:20" x14ac:dyDescent="0.25">
      <c r="A153" s="5">
        <v>44440</v>
      </c>
      <c r="B153">
        <v>171.6</v>
      </c>
      <c r="C153">
        <v>182.8</v>
      </c>
      <c r="D153">
        <v>168.5</v>
      </c>
      <c r="E153">
        <v>180.9</v>
      </c>
      <c r="F153">
        <v>692302.29399999999</v>
      </c>
      <c r="G153">
        <v>180.9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0.73426573426573372</v>
      </c>
      <c r="Q153">
        <f t="shared" ref="Q153" si="741">F153*P153</f>
        <v>508333.85223776184</v>
      </c>
      <c r="R153">
        <f t="shared" ref="R153" si="742">R154+Q153</f>
        <v>88919912.688003734</v>
      </c>
      <c r="S153">
        <f t="shared" ref="S153" si="743">R153/100000</f>
        <v>889.19912688003728</v>
      </c>
      <c r="T153">
        <f t="shared" ref="T153" si="744">S153/1000</f>
        <v>0.88919912688003733</v>
      </c>
    </row>
    <row r="154" spans="1:20" x14ac:dyDescent="0.25">
      <c r="A154" s="5">
        <v>44439</v>
      </c>
      <c r="B154">
        <v>167.4</v>
      </c>
      <c r="C154">
        <v>175.4</v>
      </c>
      <c r="D154">
        <v>165.6</v>
      </c>
      <c r="E154">
        <v>171.5</v>
      </c>
      <c r="F154">
        <v>553621.00699999998</v>
      </c>
      <c r="G154">
        <v>171.5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0.20408163265306098</v>
      </c>
      <c r="Q154">
        <f t="shared" ref="Q154" si="746">F154*P154</f>
        <v>112983.8789795917</v>
      </c>
      <c r="R154">
        <f t="shared" ref="R154" si="747">R155+Q154</f>
        <v>88411578.835765973</v>
      </c>
      <c r="S154">
        <f t="shared" ref="S154" si="748">R154/100000</f>
        <v>884.11578835765977</v>
      </c>
      <c r="T154">
        <f t="shared" ref="T154" si="749">S154/1000</f>
        <v>0.8841157883576598</v>
      </c>
    </row>
    <row r="155" spans="1:20" x14ac:dyDescent="0.25">
      <c r="A155" s="5">
        <v>44438</v>
      </c>
      <c r="B155">
        <v>174.4</v>
      </c>
      <c r="C155">
        <v>176.5</v>
      </c>
      <c r="D155">
        <v>166.5</v>
      </c>
      <c r="E155">
        <v>167.3</v>
      </c>
      <c r="F155">
        <v>468119.39600000001</v>
      </c>
      <c r="G155">
        <v>167.3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-0.83999999999999775</v>
      </c>
      <c r="Q155">
        <f t="shared" ref="Q155" si="751">F155*P155</f>
        <v>-393220.29263999895</v>
      </c>
      <c r="R155">
        <f t="shared" ref="R155" si="752">R156+Q155</f>
        <v>88298594.956786379</v>
      </c>
      <c r="S155">
        <f t="shared" ref="S155" si="753">R155/100000</f>
        <v>882.98594956786383</v>
      </c>
      <c r="T155">
        <f t="shared" ref="T155" si="754">S155/1000</f>
        <v>0.8829859495678638</v>
      </c>
    </row>
    <row r="156" spans="1:20" x14ac:dyDescent="0.25">
      <c r="A156" s="5">
        <v>44437</v>
      </c>
      <c r="B156">
        <v>175.7</v>
      </c>
      <c r="C156">
        <v>182.6</v>
      </c>
      <c r="D156">
        <v>173.1</v>
      </c>
      <c r="E156">
        <v>174.3</v>
      </c>
      <c r="F156">
        <v>547343.58554</v>
      </c>
      <c r="G156">
        <v>174.3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-0.74736842105262802</v>
      </c>
      <c r="Q156">
        <f t="shared" ref="Q156" si="756">F156*P156</f>
        <v>-409067.31129831384</v>
      </c>
      <c r="R156">
        <f t="shared" ref="R156" si="757">R157+Q156</f>
        <v>88691815.24942638</v>
      </c>
      <c r="S156">
        <f t="shared" ref="S156" si="758">R156/100000</f>
        <v>886.91815249426384</v>
      </c>
      <c r="T156">
        <f t="shared" ref="T156" si="759">S156/1000</f>
        <v>0.88691815249426387</v>
      </c>
    </row>
    <row r="157" spans="1:20" x14ac:dyDescent="0.25">
      <c r="A157" s="5">
        <v>44436</v>
      </c>
      <c r="B157">
        <v>176.2</v>
      </c>
      <c r="C157">
        <v>177.1</v>
      </c>
      <c r="D157">
        <v>171.3</v>
      </c>
      <c r="E157">
        <v>175.6</v>
      </c>
      <c r="F157">
        <v>316185.26963</v>
      </c>
      <c r="G157">
        <v>175.6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0.48275862068965364</v>
      </c>
      <c r="Q157">
        <f t="shared" ref="Q157" si="761">F157*P157</f>
        <v>152641.16464896503</v>
      </c>
      <c r="R157">
        <f t="shared" ref="R157" si="762">R158+Q157</f>
        <v>89100882.560724691</v>
      </c>
      <c r="S157">
        <f t="shared" ref="S157" si="763">R157/100000</f>
        <v>891.00882560724688</v>
      </c>
      <c r="T157">
        <f t="shared" ref="T157" si="764">S157/1000</f>
        <v>0.89100882560724692</v>
      </c>
    </row>
    <row r="158" spans="1:20" x14ac:dyDescent="0.25">
      <c r="A158" s="5">
        <v>44435</v>
      </c>
      <c r="B158">
        <v>167.7</v>
      </c>
      <c r="C158">
        <v>176.35</v>
      </c>
      <c r="D158">
        <v>165</v>
      </c>
      <c r="E158">
        <v>176.2</v>
      </c>
      <c r="F158">
        <v>456121.02531</v>
      </c>
      <c r="G158">
        <v>176.2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0.97356828193832501</v>
      </c>
      <c r="Q158">
        <f t="shared" ref="Q158" si="766">F158*P158</f>
        <v>444064.96296700393</v>
      </c>
      <c r="R158">
        <f t="shared" ref="R158" si="767">R159+Q158</f>
        <v>88948241.396075726</v>
      </c>
      <c r="S158">
        <f t="shared" ref="S158" si="768">R158/100000</f>
        <v>889.4824139607573</v>
      </c>
      <c r="T158">
        <f t="shared" ref="T158" si="769">S158/1000</f>
        <v>0.88948241396075733</v>
      </c>
    </row>
    <row r="159" spans="1:20" x14ac:dyDescent="0.25">
      <c r="A159" s="5">
        <v>44434</v>
      </c>
      <c r="B159">
        <v>177.76</v>
      </c>
      <c r="C159">
        <v>180.18</v>
      </c>
      <c r="D159">
        <v>164.9</v>
      </c>
      <c r="E159">
        <v>167.7</v>
      </c>
      <c r="F159">
        <v>568905.75323999999</v>
      </c>
      <c r="G159">
        <v>167.7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-0.63350785340314364</v>
      </c>
      <c r="Q159">
        <f t="shared" ref="Q159" si="771">F159*P159</f>
        <v>-360406.26252377091</v>
      </c>
      <c r="R159">
        <f t="shared" ref="R159" si="772">R160+Q159</f>
        <v>88504176.433108717</v>
      </c>
      <c r="S159">
        <f t="shared" ref="S159" si="773">R159/100000</f>
        <v>885.04176433108717</v>
      </c>
      <c r="T159">
        <f t="shared" ref="T159" si="774">S159/1000</f>
        <v>0.88504176433108717</v>
      </c>
    </row>
    <row r="160" spans="1:20" x14ac:dyDescent="0.25">
      <c r="A160" s="5">
        <v>44433</v>
      </c>
      <c r="B160">
        <v>173.39</v>
      </c>
      <c r="C160">
        <v>179</v>
      </c>
      <c r="D160">
        <v>169.06</v>
      </c>
      <c r="E160">
        <v>177.75</v>
      </c>
      <c r="F160">
        <v>617983.08030000003</v>
      </c>
      <c r="G160">
        <v>177.75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0.74849094567404417</v>
      </c>
      <c r="Q160">
        <f t="shared" ref="Q160" si="776">F160*P160</f>
        <v>462554.74018430582</v>
      </c>
      <c r="R160">
        <f t="shared" ref="R160" si="777">R161+Q160</f>
        <v>88864582.695632488</v>
      </c>
      <c r="S160">
        <f t="shared" ref="S160" si="778">R160/100000</f>
        <v>888.64582695632487</v>
      </c>
      <c r="T160">
        <f t="shared" ref="T160" si="779">S160/1000</f>
        <v>0.88864582695632488</v>
      </c>
    </row>
    <row r="161" spans="1:20" x14ac:dyDescent="0.25">
      <c r="A161" s="5">
        <v>44432</v>
      </c>
      <c r="B161">
        <v>186.98</v>
      </c>
      <c r="C161">
        <v>188.64</v>
      </c>
      <c r="D161">
        <v>172.25</v>
      </c>
      <c r="E161">
        <v>173.42</v>
      </c>
      <c r="F161">
        <v>780692.69420999999</v>
      </c>
      <c r="G161">
        <v>173.42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-0.85723001830384526</v>
      </c>
      <c r="Q161">
        <f t="shared" ref="Q161" si="781">F161*P161</f>
        <v>-669233.21254731657</v>
      </c>
      <c r="R161">
        <f t="shared" ref="R161" si="782">R162+Q161</f>
        <v>88402027.95544818</v>
      </c>
      <c r="S161">
        <f t="shared" ref="S161" si="783">R161/100000</f>
        <v>884.02027955448182</v>
      </c>
      <c r="T161">
        <f t="shared" ref="T161" si="784">S161/1000</f>
        <v>0.88402027955448181</v>
      </c>
    </row>
    <row r="162" spans="1:20" x14ac:dyDescent="0.25">
      <c r="A162" s="5">
        <v>44431</v>
      </c>
      <c r="B162">
        <v>185.85</v>
      </c>
      <c r="C162">
        <v>191.94</v>
      </c>
      <c r="D162">
        <v>183.61</v>
      </c>
      <c r="E162">
        <v>187.01</v>
      </c>
      <c r="F162">
        <v>877311.28336</v>
      </c>
      <c r="G162">
        <v>187.01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-0.183673469387759</v>
      </c>
      <c r="Q162">
        <f t="shared" ref="Q162" si="786">F162*P162</f>
        <v>-161138.80714775852</v>
      </c>
      <c r="R162">
        <f t="shared" ref="R162" si="787">R163+Q162</f>
        <v>89071261.167995498</v>
      </c>
      <c r="S162">
        <f t="shared" ref="S162" si="788">R162/100000</f>
        <v>890.71261167995499</v>
      </c>
      <c r="T162">
        <f t="shared" ref="T162" si="789">S162/1000</f>
        <v>0.89071261167995497</v>
      </c>
    </row>
    <row r="163" spans="1:20" x14ac:dyDescent="0.25">
      <c r="A163" s="5">
        <v>44430</v>
      </c>
      <c r="B163">
        <v>179.57</v>
      </c>
      <c r="C163">
        <v>189.6</v>
      </c>
      <c r="D163">
        <v>179.5</v>
      </c>
      <c r="E163">
        <v>187.77</v>
      </c>
      <c r="F163">
        <v>325798.10249999998</v>
      </c>
      <c r="G163">
        <v>187.77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0.63762376237624052</v>
      </c>
      <c r="Q163">
        <f t="shared" ref="Q163" si="791">F163*P163</f>
        <v>207736.61189109003</v>
      </c>
      <c r="R163">
        <f t="shared" ref="R163" si="792">R164+Q163</f>
        <v>89232399.975143254</v>
      </c>
      <c r="S163">
        <f t="shared" ref="S163" si="793">R163/100000</f>
        <v>892.32399975143255</v>
      </c>
      <c r="T163">
        <f t="shared" ref="T163" si="794">S163/1000</f>
        <v>0.89232399975143251</v>
      </c>
    </row>
    <row r="164" spans="1:20" x14ac:dyDescent="0.25">
      <c r="A164" s="5">
        <v>44429</v>
      </c>
      <c r="B164">
        <v>183.59</v>
      </c>
      <c r="C164">
        <v>184.48</v>
      </c>
      <c r="D164">
        <v>176.52</v>
      </c>
      <c r="E164">
        <v>179.63</v>
      </c>
      <c r="F164">
        <v>644225.29964999994</v>
      </c>
      <c r="G164">
        <v>179.63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-0.2185929648241223</v>
      </c>
      <c r="Q164">
        <f t="shared" ref="Q164" si="796">F164*P164</f>
        <v>-140823.11826520209</v>
      </c>
      <c r="R164">
        <f t="shared" ref="R164" si="797">R165+Q164</f>
        <v>89024663.363252163</v>
      </c>
      <c r="S164">
        <f t="shared" ref="S164" si="798">R164/100000</f>
        <v>890.24663363252159</v>
      </c>
      <c r="T164">
        <f t="shared" ref="T164" si="799">S164/1000</f>
        <v>0.89024663363252154</v>
      </c>
    </row>
    <row r="165" spans="1:20" x14ac:dyDescent="0.25">
      <c r="A165" s="5">
        <v>44428</v>
      </c>
      <c r="B165">
        <v>175.57</v>
      </c>
      <c r="C165">
        <v>184.11</v>
      </c>
      <c r="D165">
        <v>174.11</v>
      </c>
      <c r="E165">
        <v>183.59</v>
      </c>
      <c r="F165">
        <v>708140.15382999997</v>
      </c>
      <c r="G165">
        <v>183.59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0.89599999999999791</v>
      </c>
      <c r="Q165">
        <f t="shared" ref="Q165" si="801">F165*P165</f>
        <v>634493.57783167844</v>
      </c>
      <c r="R165">
        <f t="shared" ref="R165" si="802">R166+Q165</f>
        <v>89165486.48151736</v>
      </c>
      <c r="S165">
        <f t="shared" ref="S165" si="803">R165/100000</f>
        <v>891.6548648151736</v>
      </c>
      <c r="T165">
        <f t="shared" ref="T165" si="804">S165/1000</f>
        <v>0.89165486481517364</v>
      </c>
    </row>
    <row r="166" spans="1:20" x14ac:dyDescent="0.25">
      <c r="A166" s="5">
        <v>44427</v>
      </c>
      <c r="B166">
        <v>166.64</v>
      </c>
      <c r="C166">
        <v>175.82</v>
      </c>
      <c r="D166">
        <v>162.66</v>
      </c>
      <c r="E166">
        <v>175.59</v>
      </c>
      <c r="F166">
        <v>682216.29478999996</v>
      </c>
      <c r="G166">
        <v>175.59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0.96504559270516876</v>
      </c>
      <c r="Q166">
        <f t="shared" ref="Q166" si="806">F166*P166</f>
        <v>658369.82855873962</v>
      </c>
      <c r="R166">
        <f t="shared" ref="R166" si="807">R167+Q166</f>
        <v>88530992.903685674</v>
      </c>
      <c r="S166">
        <f t="shared" ref="S166" si="808">R166/100000</f>
        <v>885.30992903685672</v>
      </c>
      <c r="T166">
        <f t="shared" ref="T166" si="809">S166/1000</f>
        <v>0.88530992903685668</v>
      </c>
    </row>
    <row r="167" spans="1:20" x14ac:dyDescent="0.25">
      <c r="A167" s="5">
        <v>44426</v>
      </c>
      <c r="B167">
        <v>168.6</v>
      </c>
      <c r="C167">
        <v>174.54</v>
      </c>
      <c r="D167">
        <v>162.91999999999999</v>
      </c>
      <c r="E167">
        <v>166.65</v>
      </c>
      <c r="F167">
        <v>694819.54486000002</v>
      </c>
      <c r="G167">
        <v>166.65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-0.35800344234078885</v>
      </c>
      <c r="Q167">
        <f t="shared" ref="Q167" si="811">F167*P167</f>
        <v>-248747.78886554018</v>
      </c>
      <c r="R167">
        <f t="shared" ref="R167" si="812">R168+Q167</f>
        <v>87872623.075126931</v>
      </c>
      <c r="S167">
        <f t="shared" ref="S167" si="813">R167/100000</f>
        <v>878.72623075126933</v>
      </c>
      <c r="T167">
        <f t="shared" ref="T167" si="814">S167/1000</f>
        <v>0.87872623075126932</v>
      </c>
    </row>
    <row r="168" spans="1:20" x14ac:dyDescent="0.25">
      <c r="A168" s="5">
        <v>44425</v>
      </c>
      <c r="B168">
        <v>177.96</v>
      </c>
      <c r="C168">
        <v>184.38</v>
      </c>
      <c r="D168">
        <v>168.01</v>
      </c>
      <c r="E168">
        <v>168.61</v>
      </c>
      <c r="F168">
        <v>781038.75081999996</v>
      </c>
      <c r="G168">
        <v>168.61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-0.92669517409895874</v>
      </c>
      <c r="Q168">
        <f t="shared" ref="Q168" si="816">F168*P168</f>
        <v>-723784.84116917313</v>
      </c>
      <c r="R168">
        <f t="shared" ref="R168" si="817">R169+Q168</f>
        <v>88121370.863992468</v>
      </c>
      <c r="S168">
        <f t="shared" ref="S168" si="818">R168/100000</f>
        <v>881.21370863992468</v>
      </c>
      <c r="T168">
        <f t="shared" ref="T168" si="819">S168/1000</f>
        <v>0.88121370863992465</v>
      </c>
    </row>
    <row r="169" spans="1:20" x14ac:dyDescent="0.25">
      <c r="A169" s="5">
        <v>44424</v>
      </c>
      <c r="B169">
        <v>184.59</v>
      </c>
      <c r="C169">
        <v>189.03</v>
      </c>
      <c r="D169">
        <v>176.35</v>
      </c>
      <c r="E169">
        <v>177.93</v>
      </c>
      <c r="F169">
        <v>898330.41540000006</v>
      </c>
      <c r="G169">
        <v>177.93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-0.75078864353312114</v>
      </c>
      <c r="Q169">
        <f t="shared" ref="Q169" si="821">F169*P169</f>
        <v>-674456.27402271132</v>
      </c>
      <c r="R169">
        <f t="shared" ref="R169" si="822">R170+Q169</f>
        <v>88845155.705161646</v>
      </c>
      <c r="S169">
        <f t="shared" ref="S169" si="823">R169/100000</f>
        <v>888.45155705161642</v>
      </c>
      <c r="T169">
        <f t="shared" ref="T169" si="824">S169/1000</f>
        <v>0.88845155705161638</v>
      </c>
    </row>
    <row r="170" spans="1:20" x14ac:dyDescent="0.25">
      <c r="A170" s="5">
        <v>44423</v>
      </c>
      <c r="B170">
        <v>182.78</v>
      </c>
      <c r="C170">
        <v>186.55</v>
      </c>
      <c r="D170">
        <v>175.18</v>
      </c>
      <c r="E170">
        <v>184.6</v>
      </c>
      <c r="F170">
        <v>948648.90732999996</v>
      </c>
      <c r="G170">
        <v>184.6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0.65699208443271484</v>
      </c>
      <c r="Q170">
        <f t="shared" ref="Q170" si="826">F170*P170</f>
        <v>623254.82302155404</v>
      </c>
      <c r="R170">
        <f t="shared" ref="R170" si="827">R171+Q170</f>
        <v>89519611.979184359</v>
      </c>
      <c r="S170">
        <f t="shared" ref="S170" si="828">R170/100000</f>
        <v>895.19611979184356</v>
      </c>
      <c r="T170">
        <f t="shared" ref="T170" si="829">S170/1000</f>
        <v>0.89519611979184355</v>
      </c>
    </row>
    <row r="171" spans="1:20" x14ac:dyDescent="0.25">
      <c r="A171" s="5">
        <v>44422</v>
      </c>
      <c r="B171">
        <v>183.32</v>
      </c>
      <c r="C171">
        <v>185.11</v>
      </c>
      <c r="D171">
        <v>174.62</v>
      </c>
      <c r="E171">
        <v>182.76</v>
      </c>
      <c r="F171">
        <v>944596.30068999995</v>
      </c>
      <c r="G171">
        <v>182.76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0.55195424213536304</v>
      </c>
      <c r="Q171">
        <f t="shared" ref="Q171" si="831">F171*P171</f>
        <v>521373.93527121644</v>
      </c>
      <c r="R171">
        <f t="shared" ref="R171" si="832">R172+Q171</f>
        <v>88896357.156162798</v>
      </c>
      <c r="S171">
        <f t="shared" ref="S171" si="833">R171/100000</f>
        <v>888.96357156162799</v>
      </c>
      <c r="T171">
        <f t="shared" ref="T171" si="834">S171/1000</f>
        <v>0.88896357156162797</v>
      </c>
    </row>
    <row r="172" spans="1:20" x14ac:dyDescent="0.25">
      <c r="A172" s="5">
        <v>44421</v>
      </c>
      <c r="B172">
        <v>165.41</v>
      </c>
      <c r="C172">
        <v>184.57</v>
      </c>
      <c r="D172">
        <v>164</v>
      </c>
      <c r="E172">
        <v>183.31</v>
      </c>
      <c r="F172">
        <v>1122682.76822</v>
      </c>
      <c r="G172">
        <v>183.31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0.87749149246475533</v>
      </c>
      <c r="Q172">
        <f t="shared" ref="Q172" si="836">F172*P172</f>
        <v>985144.57784983073</v>
      </c>
      <c r="R172">
        <f t="shared" ref="R172" si="837">R173+Q172</f>
        <v>88374983.22089158</v>
      </c>
      <c r="S172">
        <f t="shared" ref="S172" si="838">R172/100000</f>
        <v>883.74983220891579</v>
      </c>
      <c r="T172">
        <f t="shared" ref="T172" si="839">S172/1000</f>
        <v>0.88374983220891579</v>
      </c>
    </row>
    <row r="173" spans="1:20" x14ac:dyDescent="0.25">
      <c r="A173" s="5">
        <v>44420</v>
      </c>
      <c r="B173">
        <v>170.57</v>
      </c>
      <c r="C173">
        <v>179.74</v>
      </c>
      <c r="D173">
        <v>160.77000000000001</v>
      </c>
      <c r="E173">
        <v>165.38</v>
      </c>
      <c r="F173">
        <v>987267.21224000002</v>
      </c>
      <c r="G173">
        <v>165.38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-0.51396942540854129</v>
      </c>
      <c r="Q173">
        <f t="shared" ref="Q173" si="841">F173*P173</f>
        <v>-507425.16179968521</v>
      </c>
      <c r="R173">
        <f t="shared" ref="R173" si="842">R174+Q173</f>
        <v>87389838.643041745</v>
      </c>
      <c r="S173">
        <f t="shared" ref="S173" si="843">R173/100000</f>
        <v>873.89838643041742</v>
      </c>
      <c r="T173">
        <f t="shared" ref="T173" si="844">S173/1000</f>
        <v>0.8738983864304174</v>
      </c>
    </row>
    <row r="174" spans="1:20" x14ac:dyDescent="0.25">
      <c r="A174" s="5">
        <v>44419</v>
      </c>
      <c r="B174">
        <v>165.38</v>
      </c>
      <c r="C174">
        <v>176.07</v>
      </c>
      <c r="D174">
        <v>164.23</v>
      </c>
      <c r="E174">
        <v>170.6</v>
      </c>
      <c r="F174">
        <v>914647.01760000002</v>
      </c>
      <c r="G174">
        <v>170.6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7.6013513513513972E-2</v>
      </c>
      <c r="Q174">
        <f t="shared" ref="Q174" si="846">F174*P174</f>
        <v>69525.533432432858</v>
      </c>
      <c r="R174">
        <f t="shared" ref="R174" si="847">R175+Q174</f>
        <v>87897263.804841429</v>
      </c>
      <c r="S174">
        <f t="shared" ref="S174" si="848">R174/100000</f>
        <v>878.9726380484143</v>
      </c>
      <c r="T174">
        <f t="shared" ref="T174" si="849">S174/1000</f>
        <v>0.8789726380484143</v>
      </c>
    </row>
    <row r="175" spans="1:20" x14ac:dyDescent="0.25">
      <c r="A175" s="5">
        <v>44418</v>
      </c>
      <c r="B175">
        <v>166.27</v>
      </c>
      <c r="C175">
        <v>168.28</v>
      </c>
      <c r="D175">
        <v>158.79</v>
      </c>
      <c r="E175">
        <v>165.38</v>
      </c>
      <c r="F175">
        <v>894686.73502999998</v>
      </c>
      <c r="G175">
        <v>165.38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0.38883034773445674</v>
      </c>
      <c r="Q175">
        <f t="shared" ref="Q175" si="851">F175*P175</f>
        <v>347881.35429512063</v>
      </c>
      <c r="R175">
        <f t="shared" ref="R175" si="852">R176+Q175</f>
        <v>87827738.27140899</v>
      </c>
      <c r="S175">
        <f t="shared" ref="S175" si="853">R175/100000</f>
        <v>878.27738271408987</v>
      </c>
      <c r="T175">
        <f t="shared" ref="T175" si="854">S175/1000</f>
        <v>0.87827738271408984</v>
      </c>
    </row>
    <row r="176" spans="1:20" x14ac:dyDescent="0.25">
      <c r="A176" s="5">
        <v>44417</v>
      </c>
      <c r="B176">
        <v>149.69</v>
      </c>
      <c r="C176">
        <v>170.78</v>
      </c>
      <c r="D176">
        <v>145.15</v>
      </c>
      <c r="E176">
        <v>166.31</v>
      </c>
      <c r="F176">
        <v>1165618.32076</v>
      </c>
      <c r="G176">
        <v>166.31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0.65119001170503321</v>
      </c>
      <c r="Q176">
        <f t="shared" ref="Q176" si="856">F176*P176</f>
        <v>759039.00793930562</v>
      </c>
      <c r="R176">
        <f t="shared" ref="R176" si="857">R177+Q176</f>
        <v>87479856.91711387</v>
      </c>
      <c r="S176">
        <f t="shared" ref="S176" si="858">R176/100000</f>
        <v>874.79856917113875</v>
      </c>
      <c r="T176">
        <f t="shared" ref="T176" si="859">S176/1000</f>
        <v>0.87479856917113874</v>
      </c>
    </row>
    <row r="177" spans="1:20" x14ac:dyDescent="0.25">
      <c r="A177" s="5">
        <v>44416</v>
      </c>
      <c r="B177">
        <v>155.91999999999999</v>
      </c>
      <c r="C177">
        <v>157.63</v>
      </c>
      <c r="D177">
        <v>147</v>
      </c>
      <c r="E177">
        <v>149.69</v>
      </c>
      <c r="F177">
        <v>700140.23658000003</v>
      </c>
      <c r="G177">
        <v>149.69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-0.49388523047977445</v>
      </c>
      <c r="Q177">
        <f t="shared" ref="Q177" si="861">F177*P177</f>
        <v>-345788.92211147712</v>
      </c>
      <c r="R177">
        <f t="shared" ref="R177" si="862">R178+Q177</f>
        <v>86720817.909174562</v>
      </c>
      <c r="S177">
        <f t="shared" ref="S177" si="863">R177/100000</f>
        <v>867.20817909174559</v>
      </c>
      <c r="T177">
        <f t="shared" ref="T177" si="864">S177/1000</f>
        <v>0.86720817909174563</v>
      </c>
    </row>
    <row r="178" spans="1:20" x14ac:dyDescent="0.25">
      <c r="A178" s="5">
        <v>44415</v>
      </c>
      <c r="B178">
        <v>147.93</v>
      </c>
      <c r="C178">
        <v>156.38999999999999</v>
      </c>
      <c r="D178">
        <v>147.06</v>
      </c>
      <c r="E178">
        <v>155.91999999999999</v>
      </c>
      <c r="F178">
        <v>878574.53896000003</v>
      </c>
      <c r="G178">
        <v>155.91999999999999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0.89924973204715974</v>
      </c>
      <c r="Q178">
        <f t="shared" ref="Q178" si="866">F178*P178</f>
        <v>790057.91874323692</v>
      </c>
      <c r="R178">
        <f t="shared" ref="R178" si="867">R179+Q178</f>
        <v>87066606.831286043</v>
      </c>
      <c r="S178">
        <f t="shared" ref="S178" si="868">R178/100000</f>
        <v>870.66606831286038</v>
      </c>
      <c r="T178">
        <f t="shared" ref="T178" si="869">S178/1000</f>
        <v>0.87066606831286042</v>
      </c>
    </row>
    <row r="179" spans="1:20" x14ac:dyDescent="0.25">
      <c r="A179" s="5">
        <v>44414</v>
      </c>
      <c r="B179">
        <v>143.51</v>
      </c>
      <c r="C179">
        <v>150.9</v>
      </c>
      <c r="D179">
        <v>141.72999999999999</v>
      </c>
      <c r="E179">
        <v>147.94999999999999</v>
      </c>
      <c r="F179">
        <v>685973.67510999995</v>
      </c>
      <c r="G179">
        <v>147.94999999999999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0.35659760087240744</v>
      </c>
      <c r="Q179">
        <f t="shared" ref="Q179" si="871">F179*P179</f>
        <v>244616.56680585427</v>
      </c>
      <c r="R179">
        <f t="shared" ref="R179" si="872">R180+Q179</f>
        <v>86276548.912542805</v>
      </c>
      <c r="S179">
        <f t="shared" ref="S179" si="873">R179/100000</f>
        <v>862.76548912542808</v>
      </c>
      <c r="T179">
        <f t="shared" ref="T179" si="874">S179/1000</f>
        <v>0.86276548912542805</v>
      </c>
    </row>
    <row r="180" spans="1:20" x14ac:dyDescent="0.25">
      <c r="A180" s="5">
        <v>44413</v>
      </c>
      <c r="B180">
        <v>142.57</v>
      </c>
      <c r="C180">
        <v>145.19</v>
      </c>
      <c r="D180">
        <v>136.12</v>
      </c>
      <c r="E180">
        <v>143.53</v>
      </c>
      <c r="F180">
        <v>615027.38818999997</v>
      </c>
      <c r="G180">
        <v>143.53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0.63395810363836869</v>
      </c>
      <c r="Q180">
        <f t="shared" ref="Q180" si="876">F180*P180</f>
        <v>389901.59670259123</v>
      </c>
      <c r="R180">
        <f t="shared" ref="R180" si="877">R181+Q180</f>
        <v>86031932.345736951</v>
      </c>
      <c r="S180">
        <f t="shared" ref="S180" si="878">R180/100000</f>
        <v>860.31932345736948</v>
      </c>
      <c r="T180">
        <f t="shared" ref="T180" si="879">S180/1000</f>
        <v>0.8603193234573695</v>
      </c>
    </row>
    <row r="181" spans="1:20" x14ac:dyDescent="0.25">
      <c r="A181" s="5">
        <v>44412</v>
      </c>
      <c r="B181">
        <v>138.49</v>
      </c>
      <c r="C181">
        <v>144.5</v>
      </c>
      <c r="D181">
        <v>135.54</v>
      </c>
      <c r="E181">
        <v>142.57</v>
      </c>
      <c r="F181">
        <v>486488.33119</v>
      </c>
      <c r="G181">
        <v>142.57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0.56919642857142738</v>
      </c>
      <c r="Q181">
        <f t="shared" ref="Q181" si="881">F181*P181</f>
        <v>276907.42065502174</v>
      </c>
      <c r="R181">
        <f t="shared" ref="R181" si="882">R182+Q181</f>
        <v>85642030.74903436</v>
      </c>
      <c r="S181">
        <f t="shared" ref="S181" si="883">R181/100000</f>
        <v>856.42030749034359</v>
      </c>
      <c r="T181">
        <f t="shared" ref="T181" si="884">S181/1000</f>
        <v>0.85642030749034359</v>
      </c>
    </row>
    <row r="182" spans="1:20" x14ac:dyDescent="0.25">
      <c r="A182" s="5">
        <v>44411</v>
      </c>
      <c r="B182">
        <v>141.32</v>
      </c>
      <c r="C182">
        <v>143.24</v>
      </c>
      <c r="D182">
        <v>135.6</v>
      </c>
      <c r="E182">
        <v>138.49</v>
      </c>
      <c r="F182">
        <v>402821.08451000002</v>
      </c>
      <c r="G182">
        <v>138.49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-0.24345549738219655</v>
      </c>
      <c r="Q182">
        <f t="shared" ref="Q182" si="886">F182*P182</f>
        <v>-98069.007485417882</v>
      </c>
      <c r="R182">
        <f t="shared" ref="R182" si="887">R183+Q182</f>
        <v>85365123.328379333</v>
      </c>
      <c r="S182">
        <f t="shared" ref="S182" si="888">R182/100000</f>
        <v>853.65123328379332</v>
      </c>
      <c r="T182">
        <f t="shared" ref="T182" si="889">S182/1000</f>
        <v>0.85365123328379333</v>
      </c>
    </row>
    <row r="183" spans="1:20" x14ac:dyDescent="0.25">
      <c r="A183" s="5">
        <v>44410</v>
      </c>
      <c r="B183">
        <v>140.31</v>
      </c>
      <c r="C183">
        <v>145.93</v>
      </c>
      <c r="D183">
        <v>138.76</v>
      </c>
      <c r="E183">
        <v>141.35</v>
      </c>
      <c r="F183">
        <v>419849.68248999998</v>
      </c>
      <c r="G183">
        <v>141.35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-0.27754532775453344</v>
      </c>
      <c r="Q183">
        <f t="shared" ref="Q183" si="891">F183*P183</f>
        <v>-116527.31773432385</v>
      </c>
      <c r="R183">
        <f t="shared" ref="R183" si="892">R184+Q183</f>
        <v>85463192.335864753</v>
      </c>
      <c r="S183">
        <f t="shared" ref="S183" si="893">R183/100000</f>
        <v>854.63192335864755</v>
      </c>
      <c r="T183">
        <f t="shared" ref="T183" si="894">S183/1000</f>
        <v>0.85463192335864757</v>
      </c>
    </row>
    <row r="184" spans="1:20" x14ac:dyDescent="0.25">
      <c r="A184" s="5">
        <v>44409</v>
      </c>
      <c r="B184">
        <v>144.35</v>
      </c>
      <c r="C184">
        <v>149.78</v>
      </c>
      <c r="D184">
        <v>138.04</v>
      </c>
      <c r="E184">
        <v>140.31</v>
      </c>
      <c r="F184">
        <v>584699.77101999999</v>
      </c>
      <c r="G184">
        <v>140.31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-0.61328790459965787</v>
      </c>
      <c r="Q184">
        <f t="shared" ref="Q184" si="896">F184*P184</f>
        <v>-358589.29738875554</v>
      </c>
      <c r="R184">
        <f t="shared" ref="R184" si="897">R185+Q184</f>
        <v>85579719.653599083</v>
      </c>
      <c r="S184">
        <f t="shared" ref="S184" si="898">R184/100000</f>
        <v>855.79719653599079</v>
      </c>
      <c r="T184">
        <f t="shared" ref="T184" si="899">S184/1000</f>
        <v>0.85579719653599085</v>
      </c>
    </row>
    <row r="185" spans="1:20" x14ac:dyDescent="0.25">
      <c r="A185" s="5">
        <v>44408</v>
      </c>
      <c r="B185">
        <v>145.51</v>
      </c>
      <c r="C185">
        <v>146.6</v>
      </c>
      <c r="D185">
        <v>141.83000000000001</v>
      </c>
      <c r="E185">
        <v>144.37</v>
      </c>
      <c r="F185">
        <v>388737.61543000001</v>
      </c>
      <c r="G185">
        <v>144.37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6.4989517819707229E-2</v>
      </c>
      <c r="Q185">
        <f t="shared" ref="Q185" si="901">F185*P185</f>
        <v>25263.870185178483</v>
      </c>
      <c r="R185">
        <f t="shared" ref="R185" si="902">R186+Q185</f>
        <v>85938308.950987846</v>
      </c>
      <c r="S185">
        <f t="shared" ref="S185" si="903">R185/100000</f>
        <v>859.38308950987846</v>
      </c>
      <c r="T185">
        <f t="shared" ref="T185" si="904">S185/1000</f>
        <v>0.85938308950987841</v>
      </c>
    </row>
    <row r="186" spans="1:20" x14ac:dyDescent="0.25">
      <c r="A186" s="5">
        <v>44407</v>
      </c>
      <c r="B186">
        <v>141.44</v>
      </c>
      <c r="C186">
        <v>145.88</v>
      </c>
      <c r="D186">
        <v>135.86000000000001</v>
      </c>
      <c r="E186">
        <v>145.51</v>
      </c>
      <c r="F186">
        <v>605847.24081999995</v>
      </c>
      <c r="G186">
        <v>145.51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0.9261477045908173</v>
      </c>
      <c r="Q186">
        <f t="shared" ref="Q186" si="906">F186*P186</f>
        <v>561104.03141812305</v>
      </c>
      <c r="R186">
        <f t="shared" ref="R186" si="907">R187+Q186</f>
        <v>85913045.080802664</v>
      </c>
      <c r="S186">
        <f t="shared" ref="S186" si="908">R186/100000</f>
        <v>859.13045080802669</v>
      </c>
      <c r="T186">
        <f t="shared" ref="T186" si="909">S186/1000</f>
        <v>0.85913045080802675</v>
      </c>
    </row>
    <row r="187" spans="1:20" x14ac:dyDescent="0.25">
      <c r="A187" s="5">
        <v>44406</v>
      </c>
      <c r="B187">
        <v>140.47999999999999</v>
      </c>
      <c r="C187">
        <v>143</v>
      </c>
      <c r="D187">
        <v>136.55000000000001</v>
      </c>
      <c r="E187">
        <v>141.44</v>
      </c>
      <c r="F187">
        <v>542641.00191999995</v>
      </c>
      <c r="G187">
        <v>141.44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0.51627906976744031</v>
      </c>
      <c r="Q187">
        <f t="shared" ref="Q187" si="911">F187*P187</f>
        <v>280154.19168892939</v>
      </c>
      <c r="R187">
        <f t="shared" ref="R187" si="912">R188+Q187</f>
        <v>85351941.049384534</v>
      </c>
      <c r="S187">
        <f t="shared" ref="S187" si="913">R187/100000</f>
        <v>853.51941049384538</v>
      </c>
      <c r="T187">
        <f t="shared" ref="T187" si="914">S187/1000</f>
        <v>0.85351941049384539</v>
      </c>
    </row>
    <row r="188" spans="1:20" x14ac:dyDescent="0.25">
      <c r="A188" s="5">
        <v>44405</v>
      </c>
      <c r="B188">
        <v>134.72999999999999</v>
      </c>
      <c r="C188">
        <v>142</v>
      </c>
      <c r="D188">
        <v>132.38999999999999</v>
      </c>
      <c r="E188">
        <v>140.41999999999999</v>
      </c>
      <c r="F188">
        <v>729936.12774000003</v>
      </c>
      <c r="G188">
        <v>140.41999999999999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0.67117585848074712</v>
      </c>
      <c r="Q188">
        <f t="shared" ref="Q188" si="916">F188*P188</f>
        <v>489915.50717200682</v>
      </c>
      <c r="R188">
        <f t="shared" ref="R188" si="917">R189+Q188</f>
        <v>85071786.857695609</v>
      </c>
      <c r="S188">
        <f t="shared" ref="S188" si="918">R188/100000</f>
        <v>850.71786857695611</v>
      </c>
      <c r="T188">
        <f t="shared" ref="T188" si="919">S188/1000</f>
        <v>0.85071786857695608</v>
      </c>
    </row>
    <row r="189" spans="1:20" x14ac:dyDescent="0.25">
      <c r="A189" s="5">
        <v>44404</v>
      </c>
      <c r="B189">
        <v>131.06</v>
      </c>
      <c r="C189">
        <v>135.12</v>
      </c>
      <c r="D189">
        <v>127.27</v>
      </c>
      <c r="E189">
        <v>134.74</v>
      </c>
      <c r="F189">
        <v>607384.02252</v>
      </c>
      <c r="G189">
        <v>134.74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0.90318471337579742</v>
      </c>
      <c r="Q189">
        <f t="shared" ref="Q189" si="921">F189*P189</f>
        <v>548579.9642887651</v>
      </c>
      <c r="R189">
        <f t="shared" ref="R189" si="922">R190+Q189</f>
        <v>84581871.350523606</v>
      </c>
      <c r="S189">
        <f t="shared" ref="S189" si="923">R189/100000</f>
        <v>845.81871350523602</v>
      </c>
      <c r="T189">
        <f t="shared" ref="T189" si="924">S189/1000</f>
        <v>0.84581871350523596</v>
      </c>
    </row>
    <row r="190" spans="1:20" x14ac:dyDescent="0.25">
      <c r="A190" s="5">
        <v>44403</v>
      </c>
      <c r="B190">
        <v>127.64</v>
      </c>
      <c r="C190">
        <v>140.47</v>
      </c>
      <c r="D190">
        <v>126.85</v>
      </c>
      <c r="E190">
        <v>131.06</v>
      </c>
      <c r="F190">
        <v>1052092.77379</v>
      </c>
      <c r="G190">
        <v>131.06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-0.38179148311306804</v>
      </c>
      <c r="Q190">
        <f t="shared" ref="Q190" si="926">F190*P190</f>
        <v>-401680.0604778257</v>
      </c>
      <c r="R190">
        <f t="shared" ref="R190" si="927">R191+Q190</f>
        <v>84033291.386234835</v>
      </c>
      <c r="S190">
        <f t="shared" ref="S190" si="928">R190/100000</f>
        <v>840.33291386234839</v>
      </c>
      <c r="T190">
        <f t="shared" ref="T190" si="929">S190/1000</f>
        <v>0.84033291386234843</v>
      </c>
    </row>
    <row r="191" spans="1:20" x14ac:dyDescent="0.25">
      <c r="A191" s="5">
        <v>44402</v>
      </c>
      <c r="B191">
        <v>126</v>
      </c>
      <c r="C191">
        <v>127.99</v>
      </c>
      <c r="D191">
        <v>123.51</v>
      </c>
      <c r="E191">
        <v>127.68</v>
      </c>
      <c r="F191">
        <v>392963.87036</v>
      </c>
      <c r="G191">
        <v>127.68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0.8616071428571479</v>
      </c>
      <c r="Q191">
        <f t="shared" ref="Q191" si="931">F191*P191</f>
        <v>338580.47758696624</v>
      </c>
      <c r="R191">
        <f t="shared" ref="R191" si="932">R192+Q191</f>
        <v>84434971.446712658</v>
      </c>
      <c r="S191">
        <f t="shared" ref="S191" si="933">R191/100000</f>
        <v>844.34971446712655</v>
      </c>
      <c r="T191">
        <f t="shared" ref="T191:T197" si="934">S191/1000</f>
        <v>0.84434971446712659</v>
      </c>
    </row>
    <row r="192" spans="1:20" x14ac:dyDescent="0.25">
      <c r="A192" s="5">
        <v>44401</v>
      </c>
      <c r="B192">
        <v>124.27</v>
      </c>
      <c r="C192">
        <v>127.7</v>
      </c>
      <c r="D192">
        <v>123.29</v>
      </c>
      <c r="E192">
        <v>125.99</v>
      </c>
      <c r="F192">
        <v>432891.78019000002</v>
      </c>
      <c r="G192">
        <v>125.99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0.22448979591836313</v>
      </c>
      <c r="Q192">
        <f t="shared" ref="Q192" si="936">F192*P192</f>
        <v>97179.787389590012</v>
      </c>
      <c r="R192">
        <f t="shared" ref="R192" si="937">R193+Q192</f>
        <v>84096390.969125688</v>
      </c>
      <c r="S192">
        <f t="shared" ref="S192" si="938">R192/100000</f>
        <v>840.96390969125684</v>
      </c>
      <c r="T192">
        <f t="shared" si="934"/>
        <v>0.84096390969125689</v>
      </c>
    </row>
    <row r="193" spans="1:20" x14ac:dyDescent="0.25">
      <c r="A193" s="5">
        <v>44400</v>
      </c>
      <c r="B193">
        <v>120.69</v>
      </c>
      <c r="C193">
        <v>124.78</v>
      </c>
      <c r="D193">
        <v>117.02</v>
      </c>
      <c r="E193">
        <v>124.24</v>
      </c>
      <c r="F193">
        <v>404160.06952000002</v>
      </c>
      <c r="G193">
        <v>124.24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0.86082474226803973</v>
      </c>
      <c r="Q193">
        <f t="shared" ref="Q193" si="940">F193*P193</f>
        <v>347910.98767958704</v>
      </c>
      <c r="R193">
        <f t="shared" ref="R193" si="941">R194+Q193</f>
        <v>83999211.181736097</v>
      </c>
      <c r="S193">
        <f t="shared" ref="S193" si="942">R193/100000</f>
        <v>839.99211181736098</v>
      </c>
      <c r="T193">
        <f t="shared" si="934"/>
        <v>0.839992111817361</v>
      </c>
    </row>
    <row r="194" spans="1:20" x14ac:dyDescent="0.25">
      <c r="A194" s="5">
        <v>44399</v>
      </c>
      <c r="B194">
        <v>117.77</v>
      </c>
      <c r="C194">
        <v>122</v>
      </c>
      <c r="D194">
        <v>115.61</v>
      </c>
      <c r="E194">
        <v>120.67</v>
      </c>
      <c r="F194">
        <v>464759.47145999997</v>
      </c>
      <c r="G194">
        <v>120.67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0.58372456964006314</v>
      </c>
      <c r="Q194">
        <f t="shared" ref="Q194" si="944">F194*P194</f>
        <v>271291.5224641317</v>
      </c>
      <c r="R194">
        <f t="shared" ref="R194" si="945">R195+Q194</f>
        <v>83651300.194056511</v>
      </c>
      <c r="S194">
        <f t="shared" ref="S194" si="946">R194/100000</f>
        <v>836.51300194056512</v>
      </c>
      <c r="T194">
        <f t="shared" si="934"/>
        <v>0.8365130019405651</v>
      </c>
    </row>
    <row r="195" spans="1:20" x14ac:dyDescent="0.25">
      <c r="A195" s="5">
        <v>44398</v>
      </c>
      <c r="B195">
        <v>107.31</v>
      </c>
      <c r="C195">
        <v>119.24</v>
      </c>
      <c r="D195">
        <v>105.05</v>
      </c>
      <c r="E195">
        <v>117.74</v>
      </c>
      <c r="F195">
        <v>682039.47282999998</v>
      </c>
      <c r="G195">
        <v>117.74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0.78858350951374201</v>
      </c>
      <c r="Q195">
        <f t="shared" ref="Q195" si="948">F195*P195</f>
        <v>537845.08111118386</v>
      </c>
      <c r="R195">
        <f t="shared" ref="R195" si="949">R196+Q195</f>
        <v>83380008.671592385</v>
      </c>
      <c r="S195">
        <f t="shared" ref="S195" si="950">R195/100000</f>
        <v>833.80008671592384</v>
      </c>
      <c r="T195">
        <f t="shared" si="934"/>
        <v>0.83380008671592387</v>
      </c>
    </row>
    <row r="196" spans="1:20" x14ac:dyDescent="0.25">
      <c r="A196" s="5">
        <v>44397</v>
      </c>
      <c r="B196">
        <v>113.14</v>
      </c>
      <c r="C196">
        <v>115.09</v>
      </c>
      <c r="D196">
        <v>103.83</v>
      </c>
      <c r="E196">
        <v>107.29</v>
      </c>
      <c r="F196">
        <v>766236.24737999996</v>
      </c>
      <c r="G196">
        <v>107.29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-0.3854351687388976</v>
      </c>
      <c r="Q196">
        <f t="shared" ref="Q196" si="952">F196*P196</f>
        <v>-295334.39730277</v>
      </c>
      <c r="R196">
        <f t="shared" ref="R196" si="953">R197+Q196</f>
        <v>82842163.590481207</v>
      </c>
      <c r="S196">
        <f t="shared" ref="S196" si="954">R196/100000</f>
        <v>828.42163590481209</v>
      </c>
      <c r="T196">
        <f t="shared" si="934"/>
        <v>0.8284216359048121</v>
      </c>
    </row>
    <row r="197" spans="1:20" x14ac:dyDescent="0.25">
      <c r="A197" s="5">
        <v>44396</v>
      </c>
      <c r="B197">
        <v>119.16</v>
      </c>
      <c r="C197">
        <v>120.75</v>
      </c>
      <c r="D197">
        <v>111.82</v>
      </c>
      <c r="E197">
        <v>113.13</v>
      </c>
      <c r="F197">
        <v>493082.96266000002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-0.7066069428891375</v>
      </c>
      <c r="Q197">
        <f t="shared" ref="Q197" si="956">F197*P197</f>
        <v>-348415.84483590134</v>
      </c>
      <c r="R197">
        <f t="shared" ref="R197" si="957">R198+Q197</f>
        <v>83137497.987783983</v>
      </c>
      <c r="S197">
        <f t="shared" ref="S197" si="958">R197/100000</f>
        <v>831.37497987783979</v>
      </c>
      <c r="T197">
        <f t="shared" si="934"/>
        <v>0.83137497987783981</v>
      </c>
    </row>
    <row r="198" spans="1:20" x14ac:dyDescent="0.25">
      <c r="A198" s="5">
        <v>44395</v>
      </c>
      <c r="B198">
        <v>120</v>
      </c>
      <c r="C198">
        <v>124.05</v>
      </c>
      <c r="D198">
        <v>116.23</v>
      </c>
      <c r="E198">
        <v>119.17</v>
      </c>
      <c r="F198">
        <v>430985.21457000001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-0.248081841432225</v>
      </c>
      <c r="Q198">
        <f t="shared" ref="Q198:Q261" si="960">F198*P198</f>
        <v>-106919.60566058822</v>
      </c>
      <c r="R198">
        <f t="shared" ref="R198:R261" si="961">R199+Q198</f>
        <v>83485913.832619891</v>
      </c>
      <c r="S198">
        <f t="shared" ref="S198:S261" si="962">R198/100000</f>
        <v>834.85913832619894</v>
      </c>
      <c r="T198">
        <f t="shared" ref="T198:T261" si="963">S198/1000</f>
        <v>0.83485913832619896</v>
      </c>
    </row>
    <row r="199" spans="1:20" x14ac:dyDescent="0.25">
      <c r="A199" s="5">
        <v>44394</v>
      </c>
      <c r="B199">
        <v>120.66</v>
      </c>
      <c r="C199">
        <v>122.92</v>
      </c>
      <c r="D199">
        <v>117.68</v>
      </c>
      <c r="E199">
        <v>119.95</v>
      </c>
      <c r="F199">
        <v>425298.69428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-0.13358778625954265</v>
      </c>
      <c r="Q199">
        <f t="shared" si="960"/>
        <v>-56814.711067939214</v>
      </c>
      <c r="R199">
        <f t="shared" si="961"/>
        <v>83592833.438280478</v>
      </c>
      <c r="S199">
        <f t="shared" si="962"/>
        <v>835.92833438280479</v>
      </c>
      <c r="T199">
        <f t="shared" si="963"/>
        <v>0.83592833438280478</v>
      </c>
    </row>
    <row r="200" spans="1:20" x14ac:dyDescent="0.25">
      <c r="A200" s="5">
        <v>44393</v>
      </c>
      <c r="B200">
        <v>125.88</v>
      </c>
      <c r="C200">
        <v>127.87</v>
      </c>
      <c r="D200">
        <v>120.38</v>
      </c>
      <c r="E200">
        <v>120.65</v>
      </c>
      <c r="F200">
        <v>422183.01506000001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-0.92790387182910283</v>
      </c>
      <c r="Q200">
        <f t="shared" si="960"/>
        <v>-391745.25429465843</v>
      </c>
      <c r="R200">
        <f t="shared" si="961"/>
        <v>83649648.149348423</v>
      </c>
      <c r="S200">
        <f t="shared" si="962"/>
        <v>836.49648149348423</v>
      </c>
      <c r="T200">
        <f t="shared" si="963"/>
        <v>0.83649648149348421</v>
      </c>
    </row>
    <row r="201" spans="1:20" x14ac:dyDescent="0.25">
      <c r="A201" s="5">
        <v>44392</v>
      </c>
      <c r="B201">
        <v>131.06</v>
      </c>
      <c r="C201">
        <v>133.13</v>
      </c>
      <c r="D201">
        <v>121.93</v>
      </c>
      <c r="E201">
        <v>125.86</v>
      </c>
      <c r="F201">
        <v>494375.7243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-0.29821428571428632</v>
      </c>
      <c r="Q201">
        <f t="shared" si="960"/>
        <v>-147429.90349660744</v>
      </c>
      <c r="R201">
        <f t="shared" si="961"/>
        <v>84041393.403643087</v>
      </c>
      <c r="S201">
        <f t="shared" si="962"/>
        <v>840.41393403643087</v>
      </c>
      <c r="T201">
        <f t="shared" si="963"/>
        <v>0.84041393403643083</v>
      </c>
    </row>
    <row r="202" spans="1:20" x14ac:dyDescent="0.25">
      <c r="A202" s="5">
        <v>44391</v>
      </c>
      <c r="B202">
        <v>131.44999999999999</v>
      </c>
      <c r="C202">
        <v>132.41999999999999</v>
      </c>
      <c r="D202">
        <v>123.59</v>
      </c>
      <c r="E202">
        <v>131.07</v>
      </c>
      <c r="F202">
        <v>538916.43958000001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0.69422423556058965</v>
      </c>
      <c r="Q202">
        <f t="shared" si="960"/>
        <v>374128.85329846019</v>
      </c>
      <c r="R202">
        <f t="shared" si="961"/>
        <v>84188823.307139695</v>
      </c>
      <c r="S202">
        <f t="shared" si="962"/>
        <v>841.88823307139694</v>
      </c>
      <c r="T202">
        <f t="shared" si="963"/>
        <v>0.84188823307139693</v>
      </c>
    </row>
    <row r="203" spans="1:20" x14ac:dyDescent="0.25">
      <c r="A203" s="5">
        <v>44390</v>
      </c>
      <c r="B203">
        <v>133.32</v>
      </c>
      <c r="C203">
        <v>134.61000000000001</v>
      </c>
      <c r="D203">
        <v>129.35</v>
      </c>
      <c r="E203">
        <v>131.44</v>
      </c>
      <c r="F203">
        <v>454856.67168000003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-0.20532319391635143</v>
      </c>
      <c r="Q203">
        <f t="shared" si="960"/>
        <v>-93392.624603498843</v>
      </c>
      <c r="R203">
        <f t="shared" si="961"/>
        <v>83814694.453841239</v>
      </c>
      <c r="S203">
        <f t="shared" si="962"/>
        <v>838.14694453841241</v>
      </c>
      <c r="T203">
        <f t="shared" si="963"/>
        <v>0.83814694453841243</v>
      </c>
    </row>
    <row r="204" spans="1:20" x14ac:dyDescent="0.25">
      <c r="A204" s="5">
        <v>44389</v>
      </c>
      <c r="B204">
        <v>134.28</v>
      </c>
      <c r="C204">
        <v>139.75</v>
      </c>
      <c r="D204">
        <v>131.82</v>
      </c>
      <c r="E204">
        <v>133.38</v>
      </c>
      <c r="F204">
        <v>670917.62355000002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-0.60655737704918011</v>
      </c>
      <c r="Q204">
        <f t="shared" si="960"/>
        <v>-406950.03395655722</v>
      </c>
      <c r="R204">
        <f t="shared" si="961"/>
        <v>83908087.078444734</v>
      </c>
      <c r="S204">
        <f t="shared" si="962"/>
        <v>839.08087078444737</v>
      </c>
      <c r="T204">
        <f t="shared" si="963"/>
        <v>0.83908087078444737</v>
      </c>
    </row>
    <row r="205" spans="1:20" x14ac:dyDescent="0.25">
      <c r="A205" s="5">
        <v>44388</v>
      </c>
      <c r="B205">
        <v>133.99</v>
      </c>
      <c r="C205">
        <v>136.47999999999999</v>
      </c>
      <c r="D205">
        <v>132.08000000000001</v>
      </c>
      <c r="E205">
        <v>134.28</v>
      </c>
      <c r="F205">
        <v>324968.57149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</v>
      </c>
      <c r="Q205">
        <f t="shared" si="960"/>
        <v>0</v>
      </c>
      <c r="R205">
        <f t="shared" si="961"/>
        <v>84315037.112401292</v>
      </c>
      <c r="S205">
        <f t="shared" si="962"/>
        <v>843.15037112401296</v>
      </c>
      <c r="T205">
        <f t="shared" si="963"/>
        <v>0.84315037112401292</v>
      </c>
    </row>
    <row r="206" spans="1:20" x14ac:dyDescent="0.25">
      <c r="A206" s="5">
        <v>44387</v>
      </c>
      <c r="B206">
        <v>134.54</v>
      </c>
      <c r="C206">
        <v>136.82</v>
      </c>
      <c r="D206">
        <v>130.32</v>
      </c>
      <c r="E206">
        <v>133.99</v>
      </c>
      <c r="F206">
        <v>365844.86832000001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0.12923076923077412</v>
      </c>
      <c r="Q206">
        <f t="shared" si="960"/>
        <v>47278.413752124863</v>
      </c>
      <c r="R206">
        <f t="shared" si="961"/>
        <v>84315037.112401292</v>
      </c>
      <c r="S206">
        <f t="shared" si="962"/>
        <v>843.15037112401296</v>
      </c>
      <c r="T206">
        <f t="shared" si="963"/>
        <v>0.84315037112401292</v>
      </c>
    </row>
    <row r="207" spans="1:20" x14ac:dyDescent="0.25">
      <c r="A207" s="5">
        <v>44386</v>
      </c>
      <c r="B207">
        <v>132.11000000000001</v>
      </c>
      <c r="C207">
        <v>135.85</v>
      </c>
      <c r="D207">
        <v>126</v>
      </c>
      <c r="E207">
        <v>134.58000000000001</v>
      </c>
      <c r="F207">
        <v>527547.82163000002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0.74213197969543498</v>
      </c>
      <c r="Q207">
        <f t="shared" si="960"/>
        <v>391510.10925028613</v>
      </c>
      <c r="R207">
        <f t="shared" si="961"/>
        <v>84267758.698649168</v>
      </c>
      <c r="S207">
        <f t="shared" si="962"/>
        <v>842.67758698649163</v>
      </c>
      <c r="T207">
        <f t="shared" si="963"/>
        <v>0.84267758698649164</v>
      </c>
    </row>
    <row r="208" spans="1:20" x14ac:dyDescent="0.25">
      <c r="A208" s="5">
        <v>44385</v>
      </c>
      <c r="B208">
        <v>137.38</v>
      </c>
      <c r="C208">
        <v>137.74</v>
      </c>
      <c r="D208">
        <v>127.77</v>
      </c>
      <c r="E208">
        <v>132.15</v>
      </c>
      <c r="F208">
        <v>645442.57111999998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-0.1213640922768297</v>
      </c>
      <c r="Q208">
        <f t="shared" si="960"/>
        <v>-78333.5517608019</v>
      </c>
      <c r="R208">
        <f t="shared" si="961"/>
        <v>83876248.589398876</v>
      </c>
      <c r="S208">
        <f t="shared" si="962"/>
        <v>838.76248589398881</v>
      </c>
      <c r="T208">
        <f t="shared" si="963"/>
        <v>0.83876248589398883</v>
      </c>
    </row>
    <row r="209" spans="1:20" x14ac:dyDescent="0.25">
      <c r="A209" s="5">
        <v>44384</v>
      </c>
      <c r="B209">
        <v>138.86000000000001</v>
      </c>
      <c r="C209">
        <v>142.93</v>
      </c>
      <c r="D209">
        <v>136.87</v>
      </c>
      <c r="E209">
        <v>137.41</v>
      </c>
      <c r="F209">
        <v>520913.20130999997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-0.82178217821782451</v>
      </c>
      <c r="Q209">
        <f t="shared" si="960"/>
        <v>-428077.1852349519</v>
      </c>
      <c r="R209">
        <f t="shared" si="961"/>
        <v>83954582.141159683</v>
      </c>
      <c r="S209">
        <f t="shared" si="962"/>
        <v>839.54582141159688</v>
      </c>
      <c r="T209">
        <f t="shared" si="963"/>
        <v>0.83954582141159684</v>
      </c>
    </row>
    <row r="210" spans="1:20" x14ac:dyDescent="0.25">
      <c r="A210" s="5">
        <v>44383</v>
      </c>
      <c r="B210">
        <v>137.76</v>
      </c>
      <c r="C210">
        <v>142.72999999999999</v>
      </c>
      <c r="D210">
        <v>135.6</v>
      </c>
      <c r="E210">
        <v>138.87</v>
      </c>
      <c r="F210">
        <v>530800.52732999995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-8.2748948106588407E-2</v>
      </c>
      <c r="Q210">
        <f t="shared" si="960"/>
        <v>-43923.185290979927</v>
      </c>
      <c r="R210">
        <f t="shared" si="961"/>
        <v>84382659.326394632</v>
      </c>
      <c r="S210">
        <f t="shared" si="962"/>
        <v>843.82659326394628</v>
      </c>
      <c r="T210">
        <f t="shared" si="963"/>
        <v>0.84382659326394627</v>
      </c>
    </row>
    <row r="211" spans="1:20" x14ac:dyDescent="0.25">
      <c r="A211" s="5">
        <v>44382</v>
      </c>
      <c r="B211">
        <v>144.96</v>
      </c>
      <c r="C211">
        <v>145.03</v>
      </c>
      <c r="D211">
        <v>133.84</v>
      </c>
      <c r="E211">
        <v>137.71</v>
      </c>
      <c r="F211">
        <v>561680.84949000005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-0.3083109919571036</v>
      </c>
      <c r="Q211">
        <f t="shared" si="960"/>
        <v>-173172.37986957052</v>
      </c>
      <c r="R211">
        <f t="shared" si="961"/>
        <v>84426582.51168561</v>
      </c>
      <c r="S211">
        <f t="shared" si="962"/>
        <v>844.26582511685615</v>
      </c>
      <c r="T211">
        <f t="shared" si="963"/>
        <v>0.84426582511685611</v>
      </c>
    </row>
    <row r="212" spans="1:20" x14ac:dyDescent="0.25">
      <c r="A212" s="5">
        <v>44381</v>
      </c>
      <c r="B212">
        <v>140.19</v>
      </c>
      <c r="C212">
        <v>148.1</v>
      </c>
      <c r="D212">
        <v>136.88</v>
      </c>
      <c r="E212">
        <v>144.94999999999999</v>
      </c>
      <c r="F212">
        <v>443949.92264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0.43850267379679037</v>
      </c>
      <c r="Q212">
        <f t="shared" si="960"/>
        <v>194673.22810951824</v>
      </c>
      <c r="R212">
        <f t="shared" si="961"/>
        <v>84599754.891555175</v>
      </c>
      <c r="S212">
        <f t="shared" si="962"/>
        <v>845.99754891555176</v>
      </c>
      <c r="T212">
        <f t="shared" si="963"/>
        <v>0.84599754891555179</v>
      </c>
    </row>
    <row r="213" spans="1:20" x14ac:dyDescent="0.25">
      <c r="A213" s="5">
        <v>44380</v>
      </c>
      <c r="B213">
        <v>136.87</v>
      </c>
      <c r="C213">
        <v>141.37</v>
      </c>
      <c r="D213">
        <v>134.57</v>
      </c>
      <c r="E213">
        <v>140.16999999999999</v>
      </c>
      <c r="F213">
        <v>351451.49767000001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0.64705882352940736</v>
      </c>
      <c r="Q213">
        <f t="shared" si="960"/>
        <v>227409.79260999846</v>
      </c>
      <c r="R213">
        <f t="shared" si="961"/>
        <v>84405081.663445652</v>
      </c>
      <c r="S213">
        <f t="shared" si="962"/>
        <v>844.05081663445651</v>
      </c>
      <c r="T213">
        <f t="shared" si="963"/>
        <v>0.84405081663445647</v>
      </c>
    </row>
    <row r="214" spans="1:20" x14ac:dyDescent="0.25">
      <c r="A214" s="5">
        <v>44379</v>
      </c>
      <c r="B214">
        <v>137.01</v>
      </c>
      <c r="C214">
        <v>138.97</v>
      </c>
      <c r="D214">
        <v>130.6</v>
      </c>
      <c r="E214">
        <v>136.85</v>
      </c>
      <c r="F214">
        <v>467041.14947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0.49342891278375067</v>
      </c>
      <c r="Q214">
        <f t="shared" si="960"/>
        <v>230451.6066082553</v>
      </c>
      <c r="R214">
        <f t="shared" si="961"/>
        <v>84177671.870835647</v>
      </c>
      <c r="S214">
        <f t="shared" si="962"/>
        <v>841.7767187083565</v>
      </c>
      <c r="T214">
        <f t="shared" si="963"/>
        <v>0.84177671870835646</v>
      </c>
    </row>
    <row r="215" spans="1:20" x14ac:dyDescent="0.25">
      <c r="A215" s="5">
        <v>44378</v>
      </c>
      <c r="B215">
        <v>144.31</v>
      </c>
      <c r="C215">
        <v>144.31</v>
      </c>
      <c r="D215">
        <v>133.99</v>
      </c>
      <c r="E215">
        <v>137.02000000000001</v>
      </c>
      <c r="F215">
        <v>539535.29969999997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-0.41279069767441801</v>
      </c>
      <c r="Q215">
        <f t="shared" si="960"/>
        <v>-222715.1527831392</v>
      </c>
      <c r="R215">
        <f t="shared" si="961"/>
        <v>83947220.26422739</v>
      </c>
      <c r="S215">
        <f t="shared" si="962"/>
        <v>839.47220264227394</v>
      </c>
      <c r="T215">
        <f t="shared" si="963"/>
        <v>0.83947220264227396</v>
      </c>
    </row>
    <row r="216" spans="1:20" x14ac:dyDescent="0.25">
      <c r="A216" s="5">
        <v>44377</v>
      </c>
      <c r="B216">
        <v>144.22999999999999</v>
      </c>
      <c r="C216">
        <v>146.94</v>
      </c>
      <c r="D216">
        <v>136.01</v>
      </c>
      <c r="E216">
        <v>144.26</v>
      </c>
      <c r="F216">
        <v>629619.41847000003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0.50960658737419851</v>
      </c>
      <c r="Q216">
        <f t="shared" si="960"/>
        <v>320858.20319102413</v>
      </c>
      <c r="R216">
        <f t="shared" si="961"/>
        <v>84169935.417010531</v>
      </c>
      <c r="S216">
        <f t="shared" si="962"/>
        <v>841.69935417010527</v>
      </c>
      <c r="T216">
        <f t="shared" si="963"/>
        <v>0.84169935417010522</v>
      </c>
    </row>
    <row r="217" spans="1:20" x14ac:dyDescent="0.25">
      <c r="A217" s="5">
        <v>44376</v>
      </c>
      <c r="B217">
        <v>137.68</v>
      </c>
      <c r="C217">
        <v>149.18</v>
      </c>
      <c r="D217">
        <v>137.24</v>
      </c>
      <c r="E217">
        <v>144.19999999999999</v>
      </c>
      <c r="F217">
        <v>898148.69710999995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0.16582914572864002</v>
      </c>
      <c r="Q217">
        <f t="shared" si="960"/>
        <v>148939.23117904234</v>
      </c>
      <c r="R217">
        <f t="shared" si="961"/>
        <v>83849077.213819504</v>
      </c>
      <c r="S217">
        <f t="shared" si="962"/>
        <v>838.49077213819498</v>
      </c>
      <c r="T217">
        <f t="shared" si="963"/>
        <v>0.83849077213819501</v>
      </c>
    </row>
    <row r="218" spans="1:20" x14ac:dyDescent="0.25">
      <c r="A218" s="5">
        <v>44375</v>
      </c>
      <c r="B218">
        <v>132.57</v>
      </c>
      <c r="C218">
        <v>139.55000000000001</v>
      </c>
      <c r="D218">
        <v>129.88999999999999</v>
      </c>
      <c r="E218">
        <v>137.69</v>
      </c>
      <c r="F218">
        <v>703645.47158999997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0.61490683229813481</v>
      </c>
      <c r="Q218">
        <f t="shared" si="960"/>
        <v>432676.40799633408</v>
      </c>
      <c r="R218">
        <f t="shared" si="961"/>
        <v>83700137.98264046</v>
      </c>
      <c r="S218">
        <f t="shared" si="962"/>
        <v>837.00137982640456</v>
      </c>
      <c r="T218">
        <f t="shared" si="963"/>
        <v>0.83700137982640455</v>
      </c>
    </row>
    <row r="219" spans="1:20" x14ac:dyDescent="0.25">
      <c r="A219" s="5">
        <v>44374</v>
      </c>
      <c r="B219">
        <v>126.81</v>
      </c>
      <c r="C219">
        <v>132.66999999999999</v>
      </c>
      <c r="D219">
        <v>124.66</v>
      </c>
      <c r="E219">
        <v>132.6</v>
      </c>
      <c r="F219">
        <v>573388.24687999999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0.98252184769038875</v>
      </c>
      <c r="Q219">
        <f t="shared" si="960"/>
        <v>563366.47976849042</v>
      </c>
      <c r="R219">
        <f t="shared" si="961"/>
        <v>83267461.574644133</v>
      </c>
      <c r="S219">
        <f t="shared" si="962"/>
        <v>832.6746157464413</v>
      </c>
      <c r="T219">
        <f t="shared" si="963"/>
        <v>0.8326746157464413</v>
      </c>
    </row>
    <row r="220" spans="1:20" x14ac:dyDescent="0.25">
      <c r="A220" s="5">
        <v>44373</v>
      </c>
      <c r="B220">
        <v>125.03</v>
      </c>
      <c r="C220">
        <v>129.44</v>
      </c>
      <c r="D220">
        <v>118.67</v>
      </c>
      <c r="E220">
        <v>126.89</v>
      </c>
      <c r="F220">
        <v>871924.09227000002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0.52646239554317587</v>
      </c>
      <c r="Q220">
        <f t="shared" si="960"/>
        <v>459035.2463482733</v>
      </c>
      <c r="R220">
        <f t="shared" si="961"/>
        <v>82704095.094875649</v>
      </c>
      <c r="S220">
        <f t="shared" si="962"/>
        <v>827.04095094875652</v>
      </c>
      <c r="T220">
        <f t="shared" si="963"/>
        <v>0.82704095094875651</v>
      </c>
    </row>
    <row r="221" spans="1:20" x14ac:dyDescent="0.25">
      <c r="A221" s="5">
        <v>44372</v>
      </c>
      <c r="B221">
        <v>134.59</v>
      </c>
      <c r="C221">
        <v>138.44999999999999</v>
      </c>
      <c r="D221">
        <v>124.31</v>
      </c>
      <c r="E221">
        <v>125</v>
      </c>
      <c r="F221">
        <v>764515.33892000001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-0.90240452616690259</v>
      </c>
      <c r="Q221">
        <f t="shared" si="960"/>
        <v>-689902.1021654316</v>
      </c>
      <c r="R221">
        <f t="shared" si="961"/>
        <v>82245059.848527372</v>
      </c>
      <c r="S221">
        <f t="shared" si="962"/>
        <v>822.45059848527376</v>
      </c>
      <c r="T221">
        <f t="shared" si="963"/>
        <v>0.8224505984852738</v>
      </c>
    </row>
    <row r="222" spans="1:20" x14ac:dyDescent="0.25">
      <c r="A222" s="5">
        <v>44371</v>
      </c>
      <c r="B222">
        <v>129.13</v>
      </c>
      <c r="C222">
        <v>137.36000000000001</v>
      </c>
      <c r="D222">
        <v>123.71</v>
      </c>
      <c r="E222">
        <v>134.58000000000001</v>
      </c>
      <c r="F222">
        <v>660335.54018999997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0.59267399267399312</v>
      </c>
      <c r="Q222">
        <f t="shared" si="960"/>
        <v>391363.70110894536</v>
      </c>
      <c r="R222">
        <f t="shared" si="961"/>
        <v>82934961.950692803</v>
      </c>
      <c r="S222">
        <f t="shared" si="962"/>
        <v>829.34961950692798</v>
      </c>
      <c r="T222">
        <f t="shared" si="963"/>
        <v>0.82934961950692798</v>
      </c>
    </row>
    <row r="223" spans="1:20" x14ac:dyDescent="0.25">
      <c r="A223" s="5">
        <v>44370</v>
      </c>
      <c r="B223">
        <v>119.69</v>
      </c>
      <c r="C223">
        <v>133.75</v>
      </c>
      <c r="D223">
        <v>115.49</v>
      </c>
      <c r="E223">
        <v>129.1</v>
      </c>
      <c r="F223">
        <v>1020444.64312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0.4906900328587071</v>
      </c>
      <c r="Q223">
        <f t="shared" si="960"/>
        <v>500722.01546304446</v>
      </c>
      <c r="R223">
        <f t="shared" si="961"/>
        <v>82543598.249583855</v>
      </c>
      <c r="S223">
        <f t="shared" si="962"/>
        <v>825.43598249583852</v>
      </c>
      <c r="T223">
        <f t="shared" si="963"/>
        <v>0.82543598249583849</v>
      </c>
    </row>
    <row r="224" spans="1:20" x14ac:dyDescent="0.25">
      <c r="A224" s="5">
        <v>44369</v>
      </c>
      <c r="B224">
        <v>124.38</v>
      </c>
      <c r="C224">
        <v>133.03</v>
      </c>
      <c r="D224">
        <v>104.92</v>
      </c>
      <c r="E224">
        <v>119.64</v>
      </c>
      <c r="F224">
        <v>2255757.1145700002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4.7314123087869024E-2</v>
      </c>
      <c r="Q224">
        <f t="shared" si="960"/>
        <v>106729.16977510125</v>
      </c>
      <c r="R224">
        <f t="shared" si="961"/>
        <v>82042876.234120816</v>
      </c>
      <c r="S224">
        <f t="shared" si="962"/>
        <v>820.4287623412082</v>
      </c>
      <c r="T224">
        <f t="shared" si="963"/>
        <v>0.82042876234120821</v>
      </c>
    </row>
    <row r="225" spans="1:20" x14ac:dyDescent="0.25">
      <c r="A225" s="5">
        <v>44368</v>
      </c>
      <c r="B225">
        <v>154.87</v>
      </c>
      <c r="C225">
        <v>155.5</v>
      </c>
      <c r="D225">
        <v>123.91</v>
      </c>
      <c r="E225">
        <v>124.46</v>
      </c>
      <c r="F225">
        <v>1492819.3792999999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-0.96517885406774317</v>
      </c>
      <c r="Q225">
        <f t="shared" si="960"/>
        <v>-1440837.6978428937</v>
      </c>
      <c r="R225">
        <f t="shared" si="961"/>
        <v>81936147.064345717</v>
      </c>
      <c r="S225">
        <f t="shared" si="962"/>
        <v>819.36147064345721</v>
      </c>
      <c r="T225">
        <f t="shared" si="963"/>
        <v>0.81936147064345721</v>
      </c>
    </row>
    <row r="226" spans="1:20" x14ac:dyDescent="0.25">
      <c r="A226" s="5">
        <v>44367</v>
      </c>
      <c r="B226">
        <v>152.51</v>
      </c>
      <c r="C226">
        <v>156.18</v>
      </c>
      <c r="D226">
        <v>143.75</v>
      </c>
      <c r="E226">
        <v>154.88</v>
      </c>
      <c r="F226">
        <v>611253.37603000004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0.79082864038616074</v>
      </c>
      <c r="Q226">
        <f t="shared" si="960"/>
        <v>483396.67629725562</v>
      </c>
      <c r="R226">
        <f t="shared" si="961"/>
        <v>83376984.762188613</v>
      </c>
      <c r="S226">
        <f t="shared" si="962"/>
        <v>833.76984762188613</v>
      </c>
      <c r="T226">
        <f t="shared" si="963"/>
        <v>0.83376984762188611</v>
      </c>
    </row>
    <row r="227" spans="1:20" x14ac:dyDescent="0.25">
      <c r="A227" s="5">
        <v>44366</v>
      </c>
      <c r="B227">
        <v>156.33000000000001</v>
      </c>
      <c r="C227">
        <v>160.88</v>
      </c>
      <c r="D227">
        <v>152.31</v>
      </c>
      <c r="E227">
        <v>152.49</v>
      </c>
      <c r="F227">
        <v>523073.02282999997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-0.95799299883313727</v>
      </c>
      <c r="Q227">
        <f t="shared" si="960"/>
        <v>-501100.29374962574</v>
      </c>
      <c r="R227">
        <f t="shared" si="961"/>
        <v>82893588.085891351</v>
      </c>
      <c r="S227">
        <f t="shared" si="962"/>
        <v>828.93588085891349</v>
      </c>
      <c r="T227">
        <f t="shared" si="963"/>
        <v>0.82893588085891345</v>
      </c>
    </row>
    <row r="228" spans="1:20" x14ac:dyDescent="0.25">
      <c r="A228" s="5">
        <v>44365</v>
      </c>
      <c r="B228">
        <v>167.13</v>
      </c>
      <c r="C228">
        <v>167.43</v>
      </c>
      <c r="D228">
        <v>151.19999999999999</v>
      </c>
      <c r="E228">
        <v>156.34</v>
      </c>
      <c r="F228">
        <v>800699.30383999995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-0.36660505237214924</v>
      </c>
      <c r="Q228">
        <f t="shared" si="960"/>
        <v>-293540.41021860664</v>
      </c>
      <c r="R228">
        <f t="shared" si="961"/>
        <v>83394688.379640982</v>
      </c>
      <c r="S228">
        <f t="shared" si="962"/>
        <v>833.94688379640979</v>
      </c>
      <c r="T228">
        <f t="shared" si="963"/>
        <v>0.8339468837964098</v>
      </c>
    </row>
    <row r="229" spans="1:20" x14ac:dyDescent="0.25">
      <c r="A229" s="5">
        <v>44364</v>
      </c>
      <c r="B229">
        <v>166.56</v>
      </c>
      <c r="C229">
        <v>173.4</v>
      </c>
      <c r="D229">
        <v>162.81</v>
      </c>
      <c r="E229">
        <v>167.08</v>
      </c>
      <c r="F229">
        <v>559434.62367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-0.19357884796978114</v>
      </c>
      <c r="Q229">
        <f t="shared" si="960"/>
        <v>-108294.70996444665</v>
      </c>
      <c r="R229">
        <f t="shared" si="961"/>
        <v>83688228.789859593</v>
      </c>
      <c r="S229">
        <f t="shared" si="962"/>
        <v>836.88228789859591</v>
      </c>
      <c r="T229">
        <f t="shared" si="963"/>
        <v>0.83688228789859587</v>
      </c>
    </row>
    <row r="230" spans="1:20" x14ac:dyDescent="0.25">
      <c r="A230" s="5">
        <v>44363</v>
      </c>
      <c r="B230">
        <v>175.16</v>
      </c>
      <c r="C230">
        <v>177.31</v>
      </c>
      <c r="D230">
        <v>164.23</v>
      </c>
      <c r="E230">
        <v>166.57</v>
      </c>
      <c r="F230">
        <v>761479.45262999996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-0.64220183486238513</v>
      </c>
      <c r="Q230">
        <f t="shared" si="960"/>
        <v>-489023.50168899068</v>
      </c>
      <c r="R230">
        <f t="shared" si="961"/>
        <v>83796523.499824032</v>
      </c>
      <c r="S230">
        <f t="shared" si="962"/>
        <v>837.96523499824036</v>
      </c>
      <c r="T230">
        <f t="shared" si="963"/>
        <v>0.83796523499824038</v>
      </c>
    </row>
    <row r="231" spans="1:20" x14ac:dyDescent="0.25">
      <c r="A231" s="5">
        <v>44362</v>
      </c>
      <c r="B231">
        <v>179.88</v>
      </c>
      <c r="C231">
        <v>181.2</v>
      </c>
      <c r="D231">
        <v>172.15</v>
      </c>
      <c r="E231">
        <v>175.15</v>
      </c>
      <c r="F231">
        <v>654352.05304000003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-0.33701657458563411</v>
      </c>
      <c r="Q231">
        <f t="shared" si="960"/>
        <v>-220527.48748861798</v>
      </c>
      <c r="R231">
        <f t="shared" si="961"/>
        <v>84285547.001513019</v>
      </c>
      <c r="S231">
        <f t="shared" si="962"/>
        <v>842.85547001513021</v>
      </c>
      <c r="T231">
        <f t="shared" si="963"/>
        <v>0.84285547001513017</v>
      </c>
    </row>
    <row r="232" spans="1:20" x14ac:dyDescent="0.25">
      <c r="A232" s="5">
        <v>44361</v>
      </c>
      <c r="B232">
        <v>170.85</v>
      </c>
      <c r="C232">
        <v>179.99</v>
      </c>
      <c r="D232">
        <v>166.34</v>
      </c>
      <c r="E232">
        <v>179.89</v>
      </c>
      <c r="F232">
        <v>802051.95645000006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0.98534798534798207</v>
      </c>
      <c r="Q232">
        <f t="shared" si="960"/>
        <v>790300.27943241503</v>
      </c>
      <c r="R232">
        <f t="shared" si="961"/>
        <v>84506074.489001632</v>
      </c>
      <c r="S232">
        <f t="shared" si="962"/>
        <v>845.06074489001628</v>
      </c>
      <c r="T232">
        <f t="shared" si="963"/>
        <v>0.84506074489001626</v>
      </c>
    </row>
    <row r="233" spans="1:20" x14ac:dyDescent="0.25">
      <c r="A233" s="5">
        <v>44360</v>
      </c>
      <c r="B233">
        <v>161.81</v>
      </c>
      <c r="C233">
        <v>171.59</v>
      </c>
      <c r="D233">
        <v>156.41999999999999</v>
      </c>
      <c r="E233">
        <v>170.85</v>
      </c>
      <c r="F233">
        <v>573493.90783000004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0.90243902439024282</v>
      </c>
      <c r="Q233">
        <f t="shared" si="960"/>
        <v>517543.28267585306</v>
      </c>
      <c r="R233">
        <f t="shared" si="961"/>
        <v>83715774.209569216</v>
      </c>
      <c r="S233">
        <f t="shared" si="962"/>
        <v>837.15774209569213</v>
      </c>
      <c r="T233">
        <f t="shared" si="963"/>
        <v>0.83715774209569216</v>
      </c>
    </row>
    <row r="234" spans="1:20" x14ac:dyDescent="0.25">
      <c r="A234" s="5">
        <v>44359</v>
      </c>
      <c r="B234">
        <v>162.84</v>
      </c>
      <c r="C234">
        <v>164.3</v>
      </c>
      <c r="D234">
        <v>154.13999999999999</v>
      </c>
      <c r="E234">
        <v>161.80000000000001</v>
      </c>
      <c r="F234">
        <v>653167.31003000005</v>
      </c>
      <c r="G234">
        <v>0</v>
      </c>
      <c r="L234" t="s">
        <v>7</v>
      </c>
      <c r="M234" t="s">
        <v>8</v>
      </c>
      <c r="N234" t="s">
        <v>7</v>
      </c>
      <c r="P234">
        <f t="shared" si="959"/>
        <v>0.5078740157480327</v>
      </c>
      <c r="Q234">
        <f t="shared" si="960"/>
        <v>331726.70470027643</v>
      </c>
      <c r="R234">
        <f t="shared" si="961"/>
        <v>83198230.926893368</v>
      </c>
      <c r="S234">
        <f t="shared" si="962"/>
        <v>831.9823092689337</v>
      </c>
      <c r="T234">
        <f t="shared" si="963"/>
        <v>0.83198230926893368</v>
      </c>
    </row>
    <row r="235" spans="1:20" x14ac:dyDescent="0.25">
      <c r="A235" s="5">
        <v>44358</v>
      </c>
      <c r="B235">
        <v>168.18</v>
      </c>
      <c r="C235">
        <v>173.78</v>
      </c>
      <c r="D235">
        <v>160.55000000000001</v>
      </c>
      <c r="E235">
        <v>162.83000000000001</v>
      </c>
      <c r="F235">
        <v>928611.54446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-0.65532879818594059</v>
      </c>
      <c r="Q235">
        <f t="shared" si="960"/>
        <v>-608545.88741256192</v>
      </c>
      <c r="R235">
        <f t="shared" si="961"/>
        <v>82866504.222193092</v>
      </c>
      <c r="S235">
        <f t="shared" si="962"/>
        <v>828.66504222193089</v>
      </c>
      <c r="T235">
        <f t="shared" si="963"/>
        <v>0.82866504222193094</v>
      </c>
    </row>
    <row r="236" spans="1:20" x14ac:dyDescent="0.25">
      <c r="A236" s="5">
        <v>44357</v>
      </c>
      <c r="B236">
        <v>172.54</v>
      </c>
      <c r="C236">
        <v>174.61</v>
      </c>
      <c r="D236">
        <v>162.12</v>
      </c>
      <c r="E236">
        <v>168.16</v>
      </c>
      <c r="F236">
        <v>878866.63370999997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-3.2826261008809025E-2</v>
      </c>
      <c r="Q236">
        <f t="shared" si="960"/>
        <v>-28849.905510097815</v>
      </c>
      <c r="R236">
        <f t="shared" si="961"/>
        <v>83475050.109605655</v>
      </c>
      <c r="S236">
        <f t="shared" si="962"/>
        <v>834.7505010960565</v>
      </c>
      <c r="T236">
        <f t="shared" si="963"/>
        <v>0.83475050109605653</v>
      </c>
    </row>
    <row r="237" spans="1:20" x14ac:dyDescent="0.25">
      <c r="A237" s="5">
        <v>44356</v>
      </c>
      <c r="B237">
        <v>160.63999999999999</v>
      </c>
      <c r="C237">
        <v>173.3</v>
      </c>
      <c r="D237">
        <v>152.31</v>
      </c>
      <c r="E237">
        <v>172.56</v>
      </c>
      <c r="F237">
        <v>1139739.36054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0.92949023344449655</v>
      </c>
      <c r="Q237">
        <f t="shared" si="960"/>
        <v>1059376.6042942058</v>
      </c>
      <c r="R237">
        <f t="shared" si="961"/>
        <v>83503900.015115753</v>
      </c>
      <c r="S237">
        <f t="shared" si="962"/>
        <v>835.03900015115755</v>
      </c>
      <c r="T237">
        <f t="shared" si="963"/>
        <v>0.83503900015115751</v>
      </c>
    </row>
    <row r="238" spans="1:20" x14ac:dyDescent="0.25">
      <c r="A238" s="5">
        <v>44355</v>
      </c>
      <c r="B238">
        <v>161.91999999999999</v>
      </c>
      <c r="C238">
        <v>164.48</v>
      </c>
      <c r="D238">
        <v>144.88999999999999</v>
      </c>
      <c r="E238">
        <v>160.63</v>
      </c>
      <c r="F238">
        <v>1417289.87647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0.60694231750893379</v>
      </c>
      <c r="Q238">
        <f t="shared" si="960"/>
        <v>860213.20220665226</v>
      </c>
      <c r="R238">
        <f t="shared" si="961"/>
        <v>82444523.410821542</v>
      </c>
      <c r="S238">
        <f t="shared" si="962"/>
        <v>824.44523410821546</v>
      </c>
      <c r="T238">
        <f t="shared" si="963"/>
        <v>0.82444523410821546</v>
      </c>
    </row>
    <row r="239" spans="1:20" x14ac:dyDescent="0.25">
      <c r="A239" s="5">
        <v>44354</v>
      </c>
      <c r="B239">
        <v>176.42</v>
      </c>
      <c r="C239">
        <v>182.22</v>
      </c>
      <c r="D239">
        <v>160.25</v>
      </c>
      <c r="E239">
        <v>161.94999999999999</v>
      </c>
      <c r="F239">
        <v>1035822.8250900001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-0.84524351388256813</v>
      </c>
      <c r="Q239">
        <f t="shared" si="960"/>
        <v>-875522.52443884045</v>
      </c>
      <c r="R239">
        <f t="shared" si="961"/>
        <v>81584310.208614886</v>
      </c>
      <c r="S239">
        <f t="shared" si="962"/>
        <v>815.84310208614886</v>
      </c>
      <c r="T239">
        <f t="shared" si="963"/>
        <v>0.81584310208614885</v>
      </c>
    </row>
    <row r="240" spans="1:20" x14ac:dyDescent="0.25">
      <c r="A240" s="5">
        <v>44353</v>
      </c>
      <c r="B240">
        <v>172.95</v>
      </c>
      <c r="C240">
        <v>179.96</v>
      </c>
      <c r="D240">
        <v>172.02</v>
      </c>
      <c r="E240">
        <v>176.41</v>
      </c>
      <c r="F240">
        <v>677386.36378000001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0.10579345088160898</v>
      </c>
      <c r="Q240">
        <f t="shared" si="960"/>
        <v>71663.041004431143</v>
      </c>
      <c r="R240">
        <f t="shared" si="961"/>
        <v>82459832.733053729</v>
      </c>
      <c r="S240">
        <f t="shared" si="962"/>
        <v>824.59832733053724</v>
      </c>
      <c r="T240">
        <f t="shared" si="963"/>
        <v>0.82459832733053728</v>
      </c>
    </row>
    <row r="241" spans="1:20" x14ac:dyDescent="0.25">
      <c r="A241" s="5">
        <v>44352</v>
      </c>
      <c r="B241">
        <v>178.46</v>
      </c>
      <c r="C241">
        <v>185.49</v>
      </c>
      <c r="D241">
        <v>167.32</v>
      </c>
      <c r="E241">
        <v>172.94</v>
      </c>
      <c r="F241">
        <v>846082.98072999995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-0.38139790864061646</v>
      </c>
      <c r="Q241">
        <f t="shared" si="960"/>
        <v>-322694.27938684099</v>
      </c>
      <c r="R241">
        <f t="shared" si="961"/>
        <v>82388169.692049295</v>
      </c>
      <c r="S241">
        <f t="shared" si="962"/>
        <v>823.88169692049291</v>
      </c>
      <c r="T241">
        <f t="shared" si="963"/>
        <v>0.82388169692049296</v>
      </c>
    </row>
    <row r="242" spans="1:20" x14ac:dyDescent="0.25">
      <c r="A242" s="5">
        <v>44351</v>
      </c>
      <c r="B242">
        <v>193.52</v>
      </c>
      <c r="C242">
        <v>193.81</v>
      </c>
      <c r="D242">
        <v>168.95</v>
      </c>
      <c r="E242">
        <v>178.44</v>
      </c>
      <c r="F242">
        <v>1130262.18071</v>
      </c>
      <c r="G242">
        <v>0</v>
      </c>
      <c r="L242" t="s">
        <v>7</v>
      </c>
      <c r="M242" t="s">
        <v>8</v>
      </c>
      <c r="N242" t="s">
        <v>7</v>
      </c>
      <c r="P242">
        <f t="shared" si="959"/>
        <v>-0.23652453740949284</v>
      </c>
      <c r="Q242">
        <f t="shared" si="960"/>
        <v>-267334.73944387736</v>
      </c>
      <c r="R242">
        <f t="shared" si="961"/>
        <v>82710863.971436143</v>
      </c>
      <c r="S242">
        <f t="shared" si="962"/>
        <v>827.1086397143614</v>
      </c>
      <c r="T242">
        <f t="shared" si="963"/>
        <v>0.82710863971436144</v>
      </c>
    </row>
    <row r="243" spans="1:20" x14ac:dyDescent="0.25">
      <c r="A243" s="5">
        <v>44350</v>
      </c>
      <c r="B243">
        <v>187.18</v>
      </c>
      <c r="C243">
        <v>197.78</v>
      </c>
      <c r="D243">
        <v>181.95</v>
      </c>
      <c r="E243">
        <v>193.5</v>
      </c>
      <c r="F243">
        <v>1079806.82442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0.4592545799115606</v>
      </c>
      <c r="Q243">
        <f t="shared" si="960"/>
        <v>495906.22953464335</v>
      </c>
      <c r="R243">
        <f t="shared" si="961"/>
        <v>82978198.710880026</v>
      </c>
      <c r="S243">
        <f t="shared" si="962"/>
        <v>829.78198710880031</v>
      </c>
      <c r="T243">
        <f t="shared" si="963"/>
        <v>0.82978198710880036</v>
      </c>
    </row>
    <row r="244" spans="1:20" x14ac:dyDescent="0.25">
      <c r="A244" s="5">
        <v>44349</v>
      </c>
      <c r="B244">
        <v>183.05</v>
      </c>
      <c r="C244">
        <v>191.34</v>
      </c>
      <c r="D244">
        <v>178.27</v>
      </c>
      <c r="E244">
        <v>187.14</v>
      </c>
      <c r="F244">
        <v>976844.03214000002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0.3573068094873727</v>
      </c>
      <c r="Q244">
        <f t="shared" si="960"/>
        <v>349033.02449072397</v>
      </c>
      <c r="R244">
        <f t="shared" si="961"/>
        <v>82482292.481345385</v>
      </c>
      <c r="S244">
        <f t="shared" si="962"/>
        <v>824.82292481345382</v>
      </c>
      <c r="T244">
        <f t="shared" si="963"/>
        <v>0.82482292481345387</v>
      </c>
    </row>
    <row r="245" spans="1:20" x14ac:dyDescent="0.25">
      <c r="A245" s="5">
        <v>44348</v>
      </c>
      <c r="B245">
        <v>188.01</v>
      </c>
      <c r="C245">
        <v>193.16</v>
      </c>
      <c r="D245">
        <v>175.82</v>
      </c>
      <c r="E245">
        <v>182.99</v>
      </c>
      <c r="F245">
        <v>1081241.44408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-0.17301038062283569</v>
      </c>
      <c r="Q245">
        <f t="shared" si="960"/>
        <v>-187065.99378546531</v>
      </c>
      <c r="R245">
        <f t="shared" si="961"/>
        <v>82133259.456854656</v>
      </c>
      <c r="S245">
        <f t="shared" si="962"/>
        <v>821.3325945685466</v>
      </c>
      <c r="T245">
        <f t="shared" si="963"/>
        <v>0.82133259456854657</v>
      </c>
    </row>
    <row r="246" spans="1:20" x14ac:dyDescent="0.25">
      <c r="A246" s="5">
        <v>44347</v>
      </c>
      <c r="B246">
        <v>170.48</v>
      </c>
      <c r="C246">
        <v>188.5</v>
      </c>
      <c r="D246">
        <v>163.5</v>
      </c>
      <c r="E246">
        <v>187.97</v>
      </c>
      <c r="F246">
        <v>1242054.05369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0.9575999999999999</v>
      </c>
      <c r="Q246">
        <f t="shared" si="960"/>
        <v>1189390.9618135439</v>
      </c>
      <c r="R246">
        <f t="shared" si="961"/>
        <v>82320325.450640127</v>
      </c>
      <c r="S246">
        <f t="shared" si="962"/>
        <v>823.20325450640132</v>
      </c>
      <c r="T246">
        <f t="shared" si="963"/>
        <v>0.82320325450640131</v>
      </c>
    </row>
    <row r="247" spans="1:20" x14ac:dyDescent="0.25">
      <c r="A247" s="5">
        <v>44346</v>
      </c>
      <c r="B247">
        <v>164.04</v>
      </c>
      <c r="C247">
        <v>181.1</v>
      </c>
      <c r="D247">
        <v>155.11000000000001</v>
      </c>
      <c r="E247">
        <v>170.51</v>
      </c>
      <c r="F247">
        <v>1123365.5069299999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0.18507118122354665</v>
      </c>
      <c r="Q247">
        <f t="shared" si="960"/>
        <v>207902.58131332338</v>
      </c>
      <c r="R247">
        <f t="shared" si="961"/>
        <v>81130934.488826588</v>
      </c>
      <c r="S247">
        <f t="shared" si="962"/>
        <v>811.30934488826585</v>
      </c>
      <c r="T247">
        <f t="shared" si="963"/>
        <v>0.81130934488826589</v>
      </c>
    </row>
    <row r="248" spans="1:20" x14ac:dyDescent="0.25">
      <c r="A248" s="5">
        <v>44345</v>
      </c>
      <c r="B248">
        <v>177.3</v>
      </c>
      <c r="C248">
        <v>188.69</v>
      </c>
      <c r="D248">
        <v>157.65</v>
      </c>
      <c r="E248">
        <v>164.01</v>
      </c>
      <c r="F248">
        <v>1554075.0432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-0.59020618556701121</v>
      </c>
      <c r="Q248">
        <f t="shared" si="960"/>
        <v>-917224.70333196013</v>
      </c>
      <c r="R248">
        <f t="shared" si="961"/>
        <v>80923031.907513261</v>
      </c>
      <c r="S248">
        <f t="shared" si="962"/>
        <v>809.23031907513257</v>
      </c>
      <c r="T248">
        <f t="shared" si="963"/>
        <v>0.80923031907513254</v>
      </c>
    </row>
    <row r="249" spans="1:20" x14ac:dyDescent="0.25">
      <c r="A249" s="5">
        <v>44344</v>
      </c>
      <c r="B249">
        <v>194.31</v>
      </c>
      <c r="C249">
        <v>198.88</v>
      </c>
      <c r="D249">
        <v>165.5</v>
      </c>
      <c r="E249">
        <v>177.33</v>
      </c>
      <c r="F249">
        <v>2118247.13851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-0.29119233073696738</v>
      </c>
      <c r="Q249">
        <f t="shared" si="960"/>
        <v>-616817.32133963867</v>
      </c>
      <c r="R249">
        <f t="shared" si="961"/>
        <v>81840256.610845223</v>
      </c>
      <c r="S249">
        <f t="shared" si="962"/>
        <v>818.40256610845222</v>
      </c>
      <c r="T249">
        <f t="shared" si="963"/>
        <v>0.81840256610845219</v>
      </c>
    </row>
    <row r="250" spans="1:20" x14ac:dyDescent="0.25">
      <c r="A250" s="5">
        <v>44343</v>
      </c>
      <c r="B250">
        <v>198.92</v>
      </c>
      <c r="C250">
        <v>209</v>
      </c>
      <c r="D250">
        <v>180.39</v>
      </c>
      <c r="E250">
        <v>194.32</v>
      </c>
      <c r="F250">
        <v>1457775.38448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-2.6214610276127214E-2</v>
      </c>
      <c r="Q250">
        <f t="shared" si="960"/>
        <v>-38215.013574274708</v>
      </c>
      <c r="R250">
        <f t="shared" si="961"/>
        <v>82457073.93218486</v>
      </c>
      <c r="S250">
        <f t="shared" si="962"/>
        <v>824.57073932184858</v>
      </c>
      <c r="T250">
        <f t="shared" si="963"/>
        <v>0.82457073932184854</v>
      </c>
    </row>
    <row r="251" spans="1:20" x14ac:dyDescent="0.25">
      <c r="A251" s="5">
        <v>44342</v>
      </c>
      <c r="B251">
        <v>183.89</v>
      </c>
      <c r="C251">
        <v>204.13</v>
      </c>
      <c r="D251">
        <v>179.42</v>
      </c>
      <c r="E251">
        <v>198.91</v>
      </c>
      <c r="F251">
        <v>1540975.4732299999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0.57749898826386104</v>
      </c>
      <c r="Q251">
        <f t="shared" si="960"/>
        <v>889911.7767297494</v>
      </c>
      <c r="R251">
        <f t="shared" si="961"/>
        <v>82495288.945759133</v>
      </c>
      <c r="S251">
        <f t="shared" si="962"/>
        <v>824.95288945759137</v>
      </c>
      <c r="T251">
        <f t="shared" si="963"/>
        <v>0.82495288945759138</v>
      </c>
    </row>
    <row r="252" spans="1:20" x14ac:dyDescent="0.25">
      <c r="A252" s="5">
        <v>44341</v>
      </c>
      <c r="B252">
        <v>185.32</v>
      </c>
      <c r="C252">
        <v>194.61</v>
      </c>
      <c r="D252">
        <v>167.15</v>
      </c>
      <c r="E252">
        <v>183.76</v>
      </c>
      <c r="F252">
        <v>1974384.43463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0.20975965040058123</v>
      </c>
      <c r="Q252">
        <f t="shared" si="960"/>
        <v>414146.18876433803</v>
      </c>
      <c r="R252">
        <f t="shared" si="961"/>
        <v>81605377.169029385</v>
      </c>
      <c r="S252">
        <f t="shared" si="962"/>
        <v>816.05377169029384</v>
      </c>
      <c r="T252">
        <f t="shared" si="963"/>
        <v>0.81605377169029381</v>
      </c>
    </row>
    <row r="253" spans="1:20" x14ac:dyDescent="0.25">
      <c r="A253" s="5">
        <v>44340</v>
      </c>
      <c r="B253">
        <v>142.52000000000001</v>
      </c>
      <c r="C253">
        <v>185.37</v>
      </c>
      <c r="D253">
        <v>139.54</v>
      </c>
      <c r="E253">
        <v>185.32</v>
      </c>
      <c r="F253">
        <v>2491240.93285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0.99781802312895429</v>
      </c>
      <c r="Q253">
        <f t="shared" si="960"/>
        <v>2485805.1027543191</v>
      </c>
      <c r="R253">
        <f t="shared" si="961"/>
        <v>81191230.980265051</v>
      </c>
      <c r="S253">
        <f t="shared" si="962"/>
        <v>811.9123098026505</v>
      </c>
      <c r="T253">
        <f t="shared" si="963"/>
        <v>0.8119123098026505</v>
      </c>
    </row>
    <row r="254" spans="1:20" x14ac:dyDescent="0.25">
      <c r="A254" s="5">
        <v>44339</v>
      </c>
      <c r="B254">
        <v>169.3</v>
      </c>
      <c r="C254">
        <v>176.26</v>
      </c>
      <c r="D254">
        <v>118.03</v>
      </c>
      <c r="E254">
        <v>142.38999999999999</v>
      </c>
      <c r="F254">
        <v>3854006.12408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-0.16331787738279274</v>
      </c>
      <c r="Q254">
        <f t="shared" si="960"/>
        <v>-629428.0996050298</v>
      </c>
      <c r="R254">
        <f t="shared" si="961"/>
        <v>78705425.877510726</v>
      </c>
      <c r="S254">
        <f t="shared" si="962"/>
        <v>787.05425877510731</v>
      </c>
      <c r="T254">
        <f t="shared" si="963"/>
        <v>0.78705425877510726</v>
      </c>
    </row>
    <row r="255" spans="1:20" x14ac:dyDescent="0.25">
      <c r="A255" s="5">
        <v>44338</v>
      </c>
      <c r="B255">
        <v>179.97</v>
      </c>
      <c r="C255">
        <v>184.44</v>
      </c>
      <c r="D255">
        <v>161.61000000000001</v>
      </c>
      <c r="E255">
        <v>169.32</v>
      </c>
      <c r="F255">
        <v>1983438.5233700001</v>
      </c>
      <c r="G255">
        <v>0</v>
      </c>
      <c r="L255" t="s">
        <v>8</v>
      </c>
      <c r="M255" t="s">
        <v>7</v>
      </c>
      <c r="N255" t="s">
        <v>8</v>
      </c>
      <c r="P255">
        <f t="shared" si="959"/>
        <v>-0.32457293035479762</v>
      </c>
      <c r="Q255">
        <f t="shared" si="960"/>
        <v>-643770.45370879362</v>
      </c>
      <c r="R255">
        <f t="shared" si="961"/>
        <v>79334853.97711575</v>
      </c>
      <c r="S255">
        <f t="shared" si="962"/>
        <v>793.34853977115745</v>
      </c>
      <c r="T255">
        <f t="shared" si="963"/>
        <v>0.79334853977115749</v>
      </c>
    </row>
    <row r="256" spans="1:20" x14ac:dyDescent="0.25">
      <c r="A256" s="5">
        <v>44337</v>
      </c>
      <c r="B256">
        <v>210.66</v>
      </c>
      <c r="C256">
        <v>219.12</v>
      </c>
      <c r="D256">
        <v>156.56</v>
      </c>
      <c r="E256">
        <v>179.97</v>
      </c>
      <c r="F256">
        <v>2998819.7959099999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-0.2515984654731459</v>
      </c>
      <c r="Q256">
        <f t="shared" si="960"/>
        <v>-754498.45888144861</v>
      </c>
      <c r="R256">
        <f t="shared" si="961"/>
        <v>79978624.430824548</v>
      </c>
      <c r="S256">
        <f t="shared" si="962"/>
        <v>799.7862443082455</v>
      </c>
      <c r="T256">
        <f t="shared" si="963"/>
        <v>0.79978624430824552</v>
      </c>
    </row>
    <row r="257" spans="1:20" x14ac:dyDescent="0.25">
      <c r="A257" s="5">
        <v>44336</v>
      </c>
      <c r="B257">
        <v>186.31</v>
      </c>
      <c r="C257">
        <v>225</v>
      </c>
      <c r="D257">
        <v>166.45</v>
      </c>
      <c r="E257">
        <v>210.74</v>
      </c>
      <c r="F257">
        <v>4269465.9269500002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0.51289496157130698</v>
      </c>
      <c r="Q257">
        <f t="shared" si="960"/>
        <v>2189787.5625330247</v>
      </c>
      <c r="R257">
        <f t="shared" si="961"/>
        <v>80733122.889706001</v>
      </c>
      <c r="S257">
        <f t="shared" si="962"/>
        <v>807.33122889705999</v>
      </c>
      <c r="T257">
        <f t="shared" si="963"/>
        <v>0.80733122889705999</v>
      </c>
    </row>
    <row r="258" spans="1:20" x14ac:dyDescent="0.25">
      <c r="A258" s="5">
        <v>44335</v>
      </c>
      <c r="B258">
        <v>293.98</v>
      </c>
      <c r="C258">
        <v>300.31</v>
      </c>
      <c r="D258">
        <v>147</v>
      </c>
      <c r="E258">
        <v>185.93</v>
      </c>
      <c r="F258">
        <v>6731555.3438299997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-0.49214010827734644</v>
      </c>
      <c r="Q258">
        <f t="shared" si="960"/>
        <v>-3312868.3757874463</v>
      </c>
      <c r="R258">
        <f t="shared" si="961"/>
        <v>78543335.32717298</v>
      </c>
      <c r="S258">
        <f t="shared" si="962"/>
        <v>785.43335327172974</v>
      </c>
      <c r="T258">
        <f t="shared" si="963"/>
        <v>0.7854333532717297</v>
      </c>
    </row>
    <row r="259" spans="1:20" x14ac:dyDescent="0.25">
      <c r="A259" s="5">
        <v>44334</v>
      </c>
      <c r="B259">
        <v>281.38</v>
      </c>
      <c r="C259">
        <v>317.97000000000003</v>
      </c>
      <c r="D259">
        <v>278.32</v>
      </c>
      <c r="E259">
        <v>293.98</v>
      </c>
      <c r="F259">
        <v>2558765.6980400002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-0.21008827238335376</v>
      </c>
      <c r="Q259">
        <f t="shared" si="960"/>
        <v>-537566.6649350099</v>
      </c>
      <c r="R259">
        <f t="shared" si="961"/>
        <v>81856203.702960432</v>
      </c>
      <c r="S259">
        <f t="shared" si="962"/>
        <v>818.56203702960431</v>
      </c>
      <c r="T259">
        <f t="shared" si="963"/>
        <v>0.81856203702960428</v>
      </c>
    </row>
    <row r="260" spans="1:20" x14ac:dyDescent="0.25">
      <c r="A260" s="5">
        <v>44333</v>
      </c>
      <c r="B260">
        <v>295.89</v>
      </c>
      <c r="C260">
        <v>296.33999999999997</v>
      </c>
      <c r="D260">
        <v>261.27</v>
      </c>
      <c r="E260">
        <v>281.52999999999997</v>
      </c>
      <c r="F260">
        <v>2079261.8452600001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0.15540347875677188</v>
      </c>
      <c r="Q260">
        <f t="shared" si="960"/>
        <v>323124.52399962873</v>
      </c>
      <c r="R260">
        <f t="shared" si="961"/>
        <v>82393770.367895439</v>
      </c>
      <c r="S260">
        <f t="shared" si="962"/>
        <v>823.93770367895445</v>
      </c>
      <c r="T260">
        <f t="shared" si="963"/>
        <v>0.82393770367895447</v>
      </c>
    </row>
    <row r="261" spans="1:20" x14ac:dyDescent="0.25">
      <c r="A261" s="5">
        <v>44332</v>
      </c>
      <c r="B261">
        <v>300.22000000000003</v>
      </c>
      <c r="C261">
        <v>323.95</v>
      </c>
      <c r="D261">
        <v>279.66000000000003</v>
      </c>
      <c r="E261">
        <v>295.89</v>
      </c>
      <c r="F261">
        <v>1693568.1275200001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-0.26710318356288215</v>
      </c>
      <c r="Q261">
        <f t="shared" si="960"/>
        <v>-452357.43844122119</v>
      </c>
      <c r="R261">
        <f t="shared" si="961"/>
        <v>82070645.843895808</v>
      </c>
      <c r="S261">
        <f t="shared" si="962"/>
        <v>820.70645843895807</v>
      </c>
      <c r="T261">
        <f t="shared" si="963"/>
        <v>0.82070645843895806</v>
      </c>
    </row>
    <row r="262" spans="1:20" x14ac:dyDescent="0.25">
      <c r="A262" s="5">
        <v>44331</v>
      </c>
      <c r="B262">
        <v>326.24</v>
      </c>
      <c r="C262">
        <v>332</v>
      </c>
      <c r="D262">
        <v>296.17</v>
      </c>
      <c r="E262">
        <v>300.3</v>
      </c>
      <c r="F262">
        <v>1486176.5053699999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-0.76946692715601461</v>
      </c>
      <c r="Q262">
        <f t="shared" ref="Q262:Q325" si="965">F262*P262</f>
        <v>-1143563.6687985181</v>
      </c>
      <c r="R262">
        <f t="shared" ref="R262:R325" si="966">R263+Q262</f>
        <v>82523003.282337025</v>
      </c>
      <c r="S262">
        <f t="shared" ref="S262:S325" si="967">R262/100000</f>
        <v>825.23003282337027</v>
      </c>
      <c r="T262">
        <f t="shared" ref="T262:T325" si="968">S262/1000</f>
        <v>0.82523003282337026</v>
      </c>
    </row>
    <row r="263" spans="1:20" x14ac:dyDescent="0.25">
      <c r="A263" s="5">
        <v>44330</v>
      </c>
      <c r="B263">
        <v>317.95</v>
      </c>
      <c r="C263">
        <v>338.85</v>
      </c>
      <c r="D263">
        <v>307.95999999999998</v>
      </c>
      <c r="E263">
        <v>326.23</v>
      </c>
      <c r="F263">
        <v>1482325.5144499999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0.18290708967303418</v>
      </c>
      <c r="Q263">
        <f t="shared" si="965"/>
        <v>271127.84579613263</v>
      </c>
      <c r="R263">
        <f t="shared" si="966"/>
        <v>83666566.951135546</v>
      </c>
      <c r="S263">
        <f t="shared" si="967"/>
        <v>836.66566951135542</v>
      </c>
      <c r="T263">
        <f t="shared" si="968"/>
        <v>0.83666566951135546</v>
      </c>
    </row>
    <row r="264" spans="1:20" x14ac:dyDescent="0.25">
      <c r="A264" s="5">
        <v>44329</v>
      </c>
      <c r="B264">
        <v>310.39999999999998</v>
      </c>
      <c r="C264">
        <v>332.73</v>
      </c>
      <c r="D264">
        <v>291</v>
      </c>
      <c r="E264">
        <v>317.95</v>
      </c>
      <c r="F264">
        <v>2979065.5572799998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0.29163671219745874</v>
      </c>
      <c r="Q264">
        <f t="shared" si="965"/>
        <v>868804.88454582938</v>
      </c>
      <c r="R264">
        <f t="shared" si="966"/>
        <v>83395439.105339408</v>
      </c>
      <c r="S264">
        <f t="shared" si="967"/>
        <v>833.95439105339403</v>
      </c>
      <c r="T264">
        <f t="shared" si="968"/>
        <v>0.83395439105339408</v>
      </c>
    </row>
    <row r="265" spans="1:20" x14ac:dyDescent="0.25">
      <c r="A265" s="5">
        <v>44328</v>
      </c>
      <c r="B265">
        <v>377.8</v>
      </c>
      <c r="C265">
        <v>394.37</v>
      </c>
      <c r="D265">
        <v>301</v>
      </c>
      <c r="E265">
        <v>310.39999999999998</v>
      </c>
      <c r="F265">
        <v>2537826.9156200001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-0.79865053014887055</v>
      </c>
      <c r="Q265">
        <f t="shared" si="965"/>
        <v>-2026836.8115859861</v>
      </c>
      <c r="R265">
        <f t="shared" si="966"/>
        <v>82526634.220793575</v>
      </c>
      <c r="S265">
        <f t="shared" si="967"/>
        <v>825.26634220793574</v>
      </c>
      <c r="T265">
        <f t="shared" si="968"/>
        <v>0.82526634220793571</v>
      </c>
    </row>
    <row r="266" spans="1:20" x14ac:dyDescent="0.25">
      <c r="A266" s="5">
        <v>44327</v>
      </c>
      <c r="B266">
        <v>358.93</v>
      </c>
      <c r="C266">
        <v>379.72</v>
      </c>
      <c r="D266">
        <v>345</v>
      </c>
      <c r="E266">
        <v>377.6</v>
      </c>
      <c r="F266">
        <v>2031121.35038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0.87788018433179704</v>
      </c>
      <c r="Q266">
        <f t="shared" si="965"/>
        <v>1783081.185471843</v>
      </c>
      <c r="R266">
        <f t="shared" si="966"/>
        <v>84553471.032379568</v>
      </c>
      <c r="S266">
        <f t="shared" si="967"/>
        <v>845.53471032379571</v>
      </c>
      <c r="T266">
        <f t="shared" si="968"/>
        <v>0.84553471032379568</v>
      </c>
    </row>
    <row r="267" spans="1:20" x14ac:dyDescent="0.25">
      <c r="A267" s="5">
        <v>44326</v>
      </c>
      <c r="B267">
        <v>387.77</v>
      </c>
      <c r="C267">
        <v>413.49</v>
      </c>
      <c r="D267">
        <v>333.68</v>
      </c>
      <c r="E267">
        <v>358.89</v>
      </c>
      <c r="F267">
        <v>3830553.73813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-0.36824959278285985</v>
      </c>
      <c r="Q267">
        <f t="shared" si="965"/>
        <v>-1410599.8541992339</v>
      </c>
      <c r="R267">
        <f t="shared" si="966"/>
        <v>82770389.84690772</v>
      </c>
      <c r="S267">
        <f t="shared" si="967"/>
        <v>827.70389846907722</v>
      </c>
      <c r="T267">
        <f t="shared" si="968"/>
        <v>0.82770389846907721</v>
      </c>
    </row>
    <row r="268" spans="1:20" x14ac:dyDescent="0.25">
      <c r="A268" s="5">
        <v>44325</v>
      </c>
      <c r="B268">
        <v>347.17</v>
      </c>
      <c r="C268">
        <v>389</v>
      </c>
      <c r="D268">
        <v>333.51</v>
      </c>
      <c r="E268">
        <v>387.8</v>
      </c>
      <c r="F268">
        <v>2292100.05852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0.9567489637772576</v>
      </c>
      <c r="Q268">
        <f t="shared" si="965"/>
        <v>2192964.3558628014</v>
      </c>
      <c r="R268">
        <f t="shared" si="966"/>
        <v>84180989.701106951</v>
      </c>
      <c r="S268">
        <f t="shared" si="967"/>
        <v>841.80989701106955</v>
      </c>
      <c r="T268">
        <f t="shared" si="968"/>
        <v>0.84180989701106956</v>
      </c>
    </row>
    <row r="269" spans="1:20" x14ac:dyDescent="0.25">
      <c r="A269" s="5">
        <v>44324</v>
      </c>
      <c r="B269">
        <v>344.89</v>
      </c>
      <c r="C269">
        <v>356.68</v>
      </c>
      <c r="D269">
        <v>334</v>
      </c>
      <c r="E269">
        <v>347.1</v>
      </c>
      <c r="F269">
        <v>1327716.1906999999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0.15520282186949019</v>
      </c>
      <c r="Q269">
        <f t="shared" si="965"/>
        <v>206065.29943845017</v>
      </c>
      <c r="R269">
        <f t="shared" si="966"/>
        <v>81988025.345244154</v>
      </c>
      <c r="S269">
        <f t="shared" si="967"/>
        <v>819.88025345244159</v>
      </c>
      <c r="T269">
        <f t="shared" si="968"/>
        <v>0.81988025345244164</v>
      </c>
    </row>
    <row r="270" spans="1:20" x14ac:dyDescent="0.25">
      <c r="A270" s="5">
        <v>44323</v>
      </c>
      <c r="B270">
        <v>354.52</v>
      </c>
      <c r="C270">
        <v>374.5</v>
      </c>
      <c r="D270">
        <v>333.33</v>
      </c>
      <c r="E270">
        <v>344.89</v>
      </c>
      <c r="F270">
        <v>2822668.4659699998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-0.43842603837745941</v>
      </c>
      <c r="Q270">
        <f t="shared" si="965"/>
        <v>-1237531.3531882076</v>
      </c>
      <c r="R270">
        <f t="shared" si="966"/>
        <v>81781960.045805708</v>
      </c>
      <c r="S270">
        <f t="shared" si="967"/>
        <v>817.81960045805704</v>
      </c>
      <c r="T270">
        <f t="shared" si="968"/>
        <v>0.81781960045805702</v>
      </c>
    </row>
    <row r="271" spans="1:20" x14ac:dyDescent="0.25">
      <c r="A271" s="5">
        <v>44322</v>
      </c>
      <c r="B271">
        <v>356.03</v>
      </c>
      <c r="C271">
        <v>364.93</v>
      </c>
      <c r="D271">
        <v>318</v>
      </c>
      <c r="E271">
        <v>354.67</v>
      </c>
      <c r="F271">
        <v>2752093.0075500002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0.56275303643724739</v>
      </c>
      <c r="Q271">
        <f t="shared" si="965"/>
        <v>1548748.696556479</v>
      </c>
      <c r="R271">
        <f t="shared" si="966"/>
        <v>83019491.398993909</v>
      </c>
      <c r="S271">
        <f t="shared" si="967"/>
        <v>830.1949139899391</v>
      </c>
      <c r="T271">
        <f t="shared" si="968"/>
        <v>0.83019491398993905</v>
      </c>
    </row>
    <row r="272" spans="1:20" x14ac:dyDescent="0.25">
      <c r="A272" s="5">
        <v>44321</v>
      </c>
      <c r="B272">
        <v>305.24</v>
      </c>
      <c r="C272">
        <v>360</v>
      </c>
      <c r="D272">
        <v>300.52</v>
      </c>
      <c r="E272">
        <v>356.04</v>
      </c>
      <c r="F272">
        <v>3748897.9868600001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0.86684599865501077</v>
      </c>
      <c r="Q272">
        <f t="shared" si="965"/>
        <v>3249717.2192754163</v>
      </c>
      <c r="R272">
        <f t="shared" si="966"/>
        <v>81470742.702437431</v>
      </c>
      <c r="S272">
        <f t="shared" si="967"/>
        <v>814.70742702437428</v>
      </c>
      <c r="T272">
        <f t="shared" si="968"/>
        <v>0.81470742702437426</v>
      </c>
    </row>
    <row r="273" spans="1:20" x14ac:dyDescent="0.25">
      <c r="A273" s="5">
        <v>44320</v>
      </c>
      <c r="B273">
        <v>294.73</v>
      </c>
      <c r="C273">
        <v>327.68</v>
      </c>
      <c r="D273">
        <v>270</v>
      </c>
      <c r="E273">
        <v>305.23</v>
      </c>
      <c r="F273">
        <v>3939316.5689900001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0.22156726768377302</v>
      </c>
      <c r="Q273">
        <f t="shared" si="965"/>
        <v>872823.60873252968</v>
      </c>
      <c r="R273">
        <f t="shared" si="966"/>
        <v>78221025.483162016</v>
      </c>
      <c r="S273">
        <f t="shared" si="967"/>
        <v>782.2102548316202</v>
      </c>
      <c r="T273">
        <f t="shared" si="968"/>
        <v>0.78221025483162021</v>
      </c>
    </row>
    <row r="274" spans="1:20" x14ac:dyDescent="0.25">
      <c r="A274" s="5">
        <v>44319</v>
      </c>
      <c r="B274">
        <v>268.83</v>
      </c>
      <c r="C274">
        <v>299.72000000000003</v>
      </c>
      <c r="D274">
        <v>268.44</v>
      </c>
      <c r="E274">
        <v>294.87</v>
      </c>
      <c r="F274">
        <v>1427253.57143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0.68989769820971747</v>
      </c>
      <c r="Q274">
        <f t="shared" si="965"/>
        <v>984658.95369115553</v>
      </c>
      <c r="R274">
        <f t="shared" si="966"/>
        <v>77348201.874429479</v>
      </c>
      <c r="S274">
        <f t="shared" si="967"/>
        <v>773.48201874429481</v>
      </c>
      <c r="T274">
        <f t="shared" si="968"/>
        <v>0.77348201874429479</v>
      </c>
    </row>
    <row r="275" spans="1:20" x14ac:dyDescent="0.25">
      <c r="A275" s="5">
        <v>44318</v>
      </c>
      <c r="B275">
        <v>276.77</v>
      </c>
      <c r="C275">
        <v>277.47000000000003</v>
      </c>
      <c r="D275">
        <v>264.7</v>
      </c>
      <c r="E275">
        <v>268.88</v>
      </c>
      <c r="F275">
        <v>656429.21427999996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-0.3453406421299931</v>
      </c>
      <c r="Q275">
        <f t="shared" si="965"/>
        <v>-226691.68637234202</v>
      </c>
      <c r="R275">
        <f t="shared" si="966"/>
        <v>76363542.920738325</v>
      </c>
      <c r="S275">
        <f t="shared" si="967"/>
        <v>763.63542920738325</v>
      </c>
      <c r="T275">
        <f t="shared" si="968"/>
        <v>0.76363542920738325</v>
      </c>
    </row>
    <row r="276" spans="1:20" x14ac:dyDescent="0.25">
      <c r="A276" s="5">
        <v>44317</v>
      </c>
      <c r="B276">
        <v>271.14</v>
      </c>
      <c r="C276">
        <v>278.58</v>
      </c>
      <c r="D276">
        <v>265.89999999999998</v>
      </c>
      <c r="E276">
        <v>276.77999999999997</v>
      </c>
      <c r="F276">
        <v>759685.23196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0.7160883280757081</v>
      </c>
      <c r="Q276">
        <f t="shared" si="965"/>
        <v>544001.72761804285</v>
      </c>
      <c r="R276">
        <f t="shared" si="966"/>
        <v>76590234.607110664</v>
      </c>
      <c r="S276">
        <f t="shared" si="967"/>
        <v>765.90234607110665</v>
      </c>
      <c r="T276">
        <f t="shared" si="968"/>
        <v>0.76590234607110663</v>
      </c>
    </row>
    <row r="277" spans="1:20" x14ac:dyDescent="0.25">
      <c r="A277" s="5">
        <v>44316</v>
      </c>
      <c r="B277">
        <v>255.31</v>
      </c>
      <c r="C277">
        <v>273.58</v>
      </c>
      <c r="D277">
        <v>252.61</v>
      </c>
      <c r="E277">
        <v>271.13</v>
      </c>
      <c r="F277">
        <v>1037748.69625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0.76633285646161253</v>
      </c>
      <c r="Q277">
        <f t="shared" si="965"/>
        <v>795260.92268657684</v>
      </c>
      <c r="R277">
        <f t="shared" si="966"/>
        <v>76046232.879492626</v>
      </c>
      <c r="S277">
        <f t="shared" si="967"/>
        <v>760.46232879492629</v>
      </c>
      <c r="T277">
        <f t="shared" si="968"/>
        <v>0.76046232879492626</v>
      </c>
    </row>
    <row r="278" spans="1:20" x14ac:dyDescent="0.25">
      <c r="A278" s="5">
        <v>44315</v>
      </c>
      <c r="B278">
        <v>258.5</v>
      </c>
      <c r="C278">
        <v>262.89</v>
      </c>
      <c r="D278">
        <v>248.16</v>
      </c>
      <c r="E278">
        <v>255.31</v>
      </c>
      <c r="F278">
        <v>877558.78529999999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-2.9192124915137726E-2</v>
      </c>
      <c r="Q278">
        <f t="shared" si="965"/>
        <v>-25617.80568085413</v>
      </c>
      <c r="R278">
        <f t="shared" si="966"/>
        <v>75250971.956806049</v>
      </c>
      <c r="S278">
        <f t="shared" si="967"/>
        <v>752.50971956806052</v>
      </c>
      <c r="T278">
        <f t="shared" si="968"/>
        <v>0.75250971956806056</v>
      </c>
    </row>
    <row r="279" spans="1:20" x14ac:dyDescent="0.25">
      <c r="A279" s="5">
        <v>44314</v>
      </c>
      <c r="B279">
        <v>259.77</v>
      </c>
      <c r="C279">
        <v>266.94</v>
      </c>
      <c r="D279">
        <v>247.58</v>
      </c>
      <c r="E279">
        <v>258.51</v>
      </c>
      <c r="F279">
        <v>1014038.4373399999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0.1291322314049573</v>
      </c>
      <c r="Q279">
        <f t="shared" si="965"/>
        <v>130945.04614411017</v>
      </c>
      <c r="R279">
        <f t="shared" si="966"/>
        <v>75276589.762486905</v>
      </c>
      <c r="S279">
        <f t="shared" si="967"/>
        <v>752.76589762486901</v>
      </c>
      <c r="T279">
        <f t="shared" si="968"/>
        <v>0.75276589762486901</v>
      </c>
    </row>
    <row r="280" spans="1:20" x14ac:dyDescent="0.25">
      <c r="A280" s="5">
        <v>44313</v>
      </c>
      <c r="B280">
        <v>247.4</v>
      </c>
      <c r="C280">
        <v>263.14999999999998</v>
      </c>
      <c r="D280">
        <v>243.63</v>
      </c>
      <c r="E280">
        <v>259.77</v>
      </c>
      <c r="F280">
        <v>1114182.69248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0.65368852459016413</v>
      </c>
      <c r="Q280">
        <f t="shared" si="965"/>
        <v>728328.44037114771</v>
      </c>
      <c r="R280">
        <f t="shared" si="966"/>
        <v>75145644.716342792</v>
      </c>
      <c r="S280">
        <f t="shared" si="967"/>
        <v>751.45644716342792</v>
      </c>
      <c r="T280">
        <f t="shared" si="968"/>
        <v>0.75145644716342797</v>
      </c>
    </row>
    <row r="281" spans="1:20" x14ac:dyDescent="0.25">
      <c r="A281" s="5">
        <v>44312</v>
      </c>
      <c r="B281">
        <v>223.9</v>
      </c>
      <c r="C281">
        <v>248.2</v>
      </c>
      <c r="D281">
        <v>221.24</v>
      </c>
      <c r="E281">
        <v>247.42</v>
      </c>
      <c r="F281">
        <v>1236470.27391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0.94213649851632031</v>
      </c>
      <c r="Q281">
        <f t="shared" si="965"/>
        <v>1164923.774381083</v>
      </c>
      <c r="R281">
        <f t="shared" si="966"/>
        <v>74417316.275971651</v>
      </c>
      <c r="S281">
        <f t="shared" si="967"/>
        <v>744.17316275971655</v>
      </c>
      <c r="T281">
        <f t="shared" si="968"/>
        <v>0.74417316275971657</v>
      </c>
    </row>
    <row r="282" spans="1:20" x14ac:dyDescent="0.25">
      <c r="A282" s="5">
        <v>44311</v>
      </c>
      <c r="B282">
        <v>224.76</v>
      </c>
      <c r="C282">
        <v>235.8</v>
      </c>
      <c r="D282">
        <v>210.73</v>
      </c>
      <c r="E282">
        <v>223.88</v>
      </c>
      <c r="F282">
        <v>928460.21979999996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4.9062624650976813E-2</v>
      </c>
      <c r="Q282">
        <f t="shared" si="965"/>
        <v>45552.695267410825</v>
      </c>
      <c r="R282">
        <f t="shared" si="966"/>
        <v>73252392.501590565</v>
      </c>
      <c r="S282">
        <f t="shared" si="967"/>
        <v>732.52392501590566</v>
      </c>
      <c r="T282">
        <f t="shared" si="968"/>
        <v>0.73252392501590569</v>
      </c>
    </row>
    <row r="283" spans="1:20" x14ac:dyDescent="0.25">
      <c r="A283" s="5">
        <v>44310</v>
      </c>
      <c r="B283">
        <v>241.31</v>
      </c>
      <c r="C283">
        <v>241.41</v>
      </c>
      <c r="D283">
        <v>220.34</v>
      </c>
      <c r="E283">
        <v>224.75</v>
      </c>
      <c r="F283">
        <v>1152968.0188500001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-0.58139534883720945</v>
      </c>
      <c r="Q283">
        <f t="shared" si="965"/>
        <v>-670330.24351744214</v>
      </c>
      <c r="R283">
        <f t="shared" si="966"/>
        <v>73206839.806323156</v>
      </c>
      <c r="S283">
        <f t="shared" si="967"/>
        <v>732.0683980632316</v>
      </c>
      <c r="T283">
        <f t="shared" si="968"/>
        <v>0.73206839806323165</v>
      </c>
    </row>
    <row r="284" spans="1:20" x14ac:dyDescent="0.25">
      <c r="A284" s="5">
        <v>44309</v>
      </c>
      <c r="B284">
        <v>252.6</v>
      </c>
      <c r="C284">
        <v>257.14999999999998</v>
      </c>
      <c r="D284">
        <v>206.89</v>
      </c>
      <c r="E284">
        <v>241.31</v>
      </c>
      <c r="F284">
        <v>2866031.8917200002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0.36967767608436219</v>
      </c>
      <c r="Q284">
        <f t="shared" si="965"/>
        <v>1059508.009314718</v>
      </c>
      <c r="R284">
        <f t="shared" si="966"/>
        <v>73877170.049840599</v>
      </c>
      <c r="S284">
        <f t="shared" si="967"/>
        <v>738.77170049840595</v>
      </c>
      <c r="T284">
        <f t="shared" si="968"/>
        <v>0.7387717004984059</v>
      </c>
    </row>
    <row r="285" spans="1:20" x14ac:dyDescent="0.25">
      <c r="A285" s="5">
        <v>44308</v>
      </c>
      <c r="B285">
        <v>257.63</v>
      </c>
      <c r="C285">
        <v>289.61</v>
      </c>
      <c r="D285">
        <v>239</v>
      </c>
      <c r="E285">
        <v>252.5</v>
      </c>
      <c r="F285">
        <v>2858792.51437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-0.46650859513930065</v>
      </c>
      <c r="Q285">
        <f t="shared" si="965"/>
        <v>-1333651.2796734977</v>
      </c>
      <c r="R285">
        <f t="shared" si="966"/>
        <v>72817662.040525883</v>
      </c>
      <c r="S285">
        <f t="shared" si="967"/>
        <v>728.17662040525886</v>
      </c>
      <c r="T285">
        <f t="shared" si="968"/>
        <v>0.72817662040525888</v>
      </c>
    </row>
    <row r="286" spans="1:20" x14ac:dyDescent="0.25">
      <c r="A286" s="5">
        <v>44307</v>
      </c>
      <c r="B286">
        <v>260.73</v>
      </c>
      <c r="C286">
        <v>277</v>
      </c>
      <c r="D286">
        <v>250.75</v>
      </c>
      <c r="E286">
        <v>257.69</v>
      </c>
      <c r="F286">
        <v>1841080.20554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-0.4712380952380954</v>
      </c>
      <c r="Q286">
        <f t="shared" si="965"/>
        <v>-867587.12923923077</v>
      </c>
      <c r="R286">
        <f t="shared" si="966"/>
        <v>74151313.320199385</v>
      </c>
      <c r="S286">
        <f t="shared" si="967"/>
        <v>741.51313320199381</v>
      </c>
      <c r="T286">
        <f t="shared" si="968"/>
        <v>0.74151313320199386</v>
      </c>
    </row>
    <row r="287" spans="1:20" x14ac:dyDescent="0.25">
      <c r="A287" s="5">
        <v>44306</v>
      </c>
      <c r="B287">
        <v>261.47000000000003</v>
      </c>
      <c r="C287">
        <v>272.8</v>
      </c>
      <c r="D287">
        <v>234.31</v>
      </c>
      <c r="E287">
        <v>260.68</v>
      </c>
      <c r="F287">
        <v>2111225.32553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0.37022603273577542</v>
      </c>
      <c r="Q287">
        <f t="shared" si="965"/>
        <v>781630.57648226793</v>
      </c>
      <c r="R287">
        <f t="shared" si="966"/>
        <v>75018900.449438617</v>
      </c>
      <c r="S287">
        <f t="shared" si="967"/>
        <v>750.18900449438615</v>
      </c>
      <c r="T287">
        <f t="shared" si="968"/>
        <v>0.75018900449438619</v>
      </c>
    </row>
    <row r="288" spans="1:20" x14ac:dyDescent="0.25">
      <c r="A288" s="5">
        <v>44305</v>
      </c>
      <c r="B288">
        <v>273.35000000000002</v>
      </c>
      <c r="C288">
        <v>284.39</v>
      </c>
      <c r="D288">
        <v>250.21</v>
      </c>
      <c r="E288">
        <v>261.38</v>
      </c>
      <c r="F288">
        <v>1973511.87573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-0.34640140433001787</v>
      </c>
      <c r="Q288">
        <f t="shared" si="965"/>
        <v>-683627.28521483974</v>
      </c>
      <c r="R288">
        <f t="shared" si="966"/>
        <v>74237269.87295635</v>
      </c>
      <c r="S288">
        <f t="shared" si="967"/>
        <v>742.37269872956347</v>
      </c>
      <c r="T288">
        <f t="shared" si="968"/>
        <v>0.74237269872956346</v>
      </c>
    </row>
    <row r="289" spans="1:20" x14ac:dyDescent="0.25">
      <c r="A289" s="5">
        <v>44304</v>
      </c>
      <c r="B289">
        <v>300.87</v>
      </c>
      <c r="C289">
        <v>304.83</v>
      </c>
      <c r="D289">
        <v>231.1</v>
      </c>
      <c r="E289">
        <v>273.36</v>
      </c>
      <c r="F289">
        <v>3346589.56812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0.1463447714634484</v>
      </c>
      <c r="Q289">
        <f t="shared" si="965"/>
        <v>489755.88552848186</v>
      </c>
      <c r="R289">
        <f t="shared" si="966"/>
        <v>74920897.158171192</v>
      </c>
      <c r="S289">
        <f t="shared" si="967"/>
        <v>749.20897158171192</v>
      </c>
      <c r="T289">
        <f t="shared" si="968"/>
        <v>0.74920897158171196</v>
      </c>
    </row>
    <row r="290" spans="1:20" x14ac:dyDescent="0.25">
      <c r="A290" s="5">
        <v>44303</v>
      </c>
      <c r="B290">
        <v>308.39</v>
      </c>
      <c r="C290">
        <v>335.69</v>
      </c>
      <c r="D290">
        <v>296.75</v>
      </c>
      <c r="E290">
        <v>300.86</v>
      </c>
      <c r="F290">
        <v>2574519.6354999999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-0.78890600924499155</v>
      </c>
      <c r="Q290">
        <f t="shared" si="965"/>
        <v>-2031054.0113651752</v>
      </c>
      <c r="R290">
        <f t="shared" si="966"/>
        <v>74431141.272642717</v>
      </c>
      <c r="S290">
        <f t="shared" si="967"/>
        <v>744.31141272642719</v>
      </c>
      <c r="T290">
        <f t="shared" si="968"/>
        <v>0.7443114127264272</v>
      </c>
    </row>
    <row r="291" spans="1:20" x14ac:dyDescent="0.25">
      <c r="A291" s="5">
        <v>44302</v>
      </c>
      <c r="B291">
        <v>285.64</v>
      </c>
      <c r="C291">
        <v>317.08999999999997</v>
      </c>
      <c r="D291">
        <v>265.5</v>
      </c>
      <c r="E291">
        <v>308.43</v>
      </c>
      <c r="F291">
        <v>3150447.9992800001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0.66427602248497875</v>
      </c>
      <c r="Q291">
        <f t="shared" si="965"/>
        <v>2092767.0660074777</v>
      </c>
      <c r="R291">
        <f t="shared" si="966"/>
        <v>76462195.284007892</v>
      </c>
      <c r="S291">
        <f t="shared" si="967"/>
        <v>764.62195284007896</v>
      </c>
      <c r="T291">
        <f t="shared" si="968"/>
        <v>0.76462195284007894</v>
      </c>
    </row>
    <row r="292" spans="1:20" x14ac:dyDescent="0.25">
      <c r="A292" s="5">
        <v>44301</v>
      </c>
      <c r="B292">
        <v>278.8</v>
      </c>
      <c r="C292">
        <v>290.89999999999998</v>
      </c>
      <c r="D292">
        <v>266</v>
      </c>
      <c r="E292">
        <v>285.63</v>
      </c>
      <c r="F292">
        <v>1409760.53776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0.57670682730923806</v>
      </c>
      <c r="Q292">
        <f t="shared" si="965"/>
        <v>813018.52699733491</v>
      </c>
      <c r="R292">
        <f t="shared" si="966"/>
        <v>74369428.218000412</v>
      </c>
      <c r="S292">
        <f t="shared" si="967"/>
        <v>743.69428218000417</v>
      </c>
      <c r="T292">
        <f t="shared" si="968"/>
        <v>0.74369428218000422</v>
      </c>
    </row>
    <row r="293" spans="1:20" x14ac:dyDescent="0.25">
      <c r="A293" s="5">
        <v>44300</v>
      </c>
      <c r="B293">
        <v>267.61</v>
      </c>
      <c r="C293">
        <v>283</v>
      </c>
      <c r="D293">
        <v>255</v>
      </c>
      <c r="E293">
        <v>278.86</v>
      </c>
      <c r="F293">
        <v>1989435.7914799999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0.70428571428571529</v>
      </c>
      <c r="Q293">
        <f t="shared" si="965"/>
        <v>1401131.2074280591</v>
      </c>
      <c r="R293">
        <f t="shared" si="966"/>
        <v>73556409.691003084</v>
      </c>
      <c r="S293">
        <f t="shared" si="967"/>
        <v>735.5640969100308</v>
      </c>
      <c r="T293">
        <f t="shared" si="968"/>
        <v>0.73556409691003077</v>
      </c>
    </row>
    <row r="294" spans="1:20" x14ac:dyDescent="0.25">
      <c r="A294" s="5">
        <v>44299</v>
      </c>
      <c r="B294">
        <v>244.44</v>
      </c>
      <c r="C294">
        <v>273.54000000000002</v>
      </c>
      <c r="D294">
        <v>244.36</v>
      </c>
      <c r="E294">
        <v>267.58999999999997</v>
      </c>
      <c r="F294">
        <v>1931888.5534399999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0.59218642906099761</v>
      </c>
      <c r="Q294">
        <f t="shared" si="965"/>
        <v>1144038.1838054499</v>
      </c>
      <c r="R294">
        <f t="shared" si="966"/>
        <v>72155278.483575031</v>
      </c>
      <c r="S294">
        <f t="shared" si="967"/>
        <v>721.55278483575034</v>
      </c>
      <c r="T294">
        <f t="shared" si="968"/>
        <v>0.72155278483575036</v>
      </c>
    </row>
    <row r="295" spans="1:20" x14ac:dyDescent="0.25">
      <c r="A295" s="5">
        <v>44298</v>
      </c>
      <c r="B295">
        <v>252.35</v>
      </c>
      <c r="C295">
        <v>259.94</v>
      </c>
      <c r="D295">
        <v>240.01</v>
      </c>
      <c r="E295">
        <v>244.42</v>
      </c>
      <c r="F295">
        <v>1370860.1631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-0.55745107877571554</v>
      </c>
      <c r="Q295">
        <f t="shared" si="965"/>
        <v>-764187.47677074838</v>
      </c>
      <c r="R295">
        <f t="shared" si="966"/>
        <v>71011240.29976958</v>
      </c>
      <c r="S295">
        <f t="shared" si="967"/>
        <v>710.11240299769577</v>
      </c>
      <c r="T295">
        <f t="shared" si="968"/>
        <v>0.71011240299769574</v>
      </c>
    </row>
    <row r="296" spans="1:20" x14ac:dyDescent="0.25">
      <c r="A296" s="5">
        <v>44297</v>
      </c>
      <c r="B296">
        <v>256.55</v>
      </c>
      <c r="C296">
        <v>263.62</v>
      </c>
      <c r="D296">
        <v>244.77</v>
      </c>
      <c r="E296">
        <v>252.31</v>
      </c>
      <c r="F296">
        <v>1890765.8012900001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-0.20000000000000059</v>
      </c>
      <c r="Q296">
        <f t="shared" si="965"/>
        <v>-378153.16025800112</v>
      </c>
      <c r="R296">
        <f t="shared" si="966"/>
        <v>71775427.776540324</v>
      </c>
      <c r="S296">
        <f t="shared" si="967"/>
        <v>717.75427776540323</v>
      </c>
      <c r="T296">
        <f t="shared" si="968"/>
        <v>0.71775427776540324</v>
      </c>
    </row>
    <row r="297" spans="1:20" x14ac:dyDescent="0.25">
      <c r="A297" s="5">
        <v>44296</v>
      </c>
      <c r="B297">
        <v>221.13</v>
      </c>
      <c r="C297">
        <v>257</v>
      </c>
      <c r="D297">
        <v>219.16</v>
      </c>
      <c r="E297">
        <v>256.33999999999997</v>
      </c>
      <c r="F297">
        <v>1859281.88304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0.96511627906976616</v>
      </c>
      <c r="Q297">
        <f t="shared" si="965"/>
        <v>1794423.2127013931</v>
      </c>
      <c r="R297">
        <f t="shared" si="966"/>
        <v>72153580.936798319</v>
      </c>
      <c r="S297">
        <f t="shared" si="967"/>
        <v>721.53580936798323</v>
      </c>
      <c r="T297">
        <f t="shared" si="968"/>
        <v>0.72153580936798323</v>
      </c>
    </row>
    <row r="298" spans="1:20" x14ac:dyDescent="0.25">
      <c r="A298" s="5">
        <v>44295</v>
      </c>
      <c r="B298">
        <v>226.17</v>
      </c>
      <c r="C298">
        <v>228.99</v>
      </c>
      <c r="D298">
        <v>218.72</v>
      </c>
      <c r="E298">
        <v>221.12</v>
      </c>
      <c r="F298">
        <v>688918.82149999996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-0.53261927945472187</v>
      </c>
      <c r="Q298">
        <f t="shared" si="965"/>
        <v>-366931.44631012611</v>
      </c>
      <c r="R298">
        <f t="shared" si="966"/>
        <v>70359157.724096924</v>
      </c>
      <c r="S298">
        <f t="shared" si="967"/>
        <v>703.59157724096929</v>
      </c>
      <c r="T298">
        <f t="shared" si="968"/>
        <v>0.70359157724096932</v>
      </c>
    </row>
    <row r="299" spans="1:20" x14ac:dyDescent="0.25">
      <c r="A299" s="5">
        <v>44294</v>
      </c>
      <c r="B299">
        <v>219.22</v>
      </c>
      <c r="C299">
        <v>228.21</v>
      </c>
      <c r="D299">
        <v>216.89</v>
      </c>
      <c r="E299">
        <v>226.11</v>
      </c>
      <c r="F299">
        <v>1074942.8964499999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0.62897526501766954</v>
      </c>
      <c r="Q299">
        <f t="shared" si="965"/>
        <v>676112.49317349994</v>
      </c>
      <c r="R299">
        <f t="shared" si="966"/>
        <v>70726089.170407057</v>
      </c>
      <c r="S299">
        <f t="shared" si="967"/>
        <v>707.26089170407056</v>
      </c>
      <c r="T299">
        <f t="shared" si="968"/>
        <v>0.70726089170407058</v>
      </c>
    </row>
    <row r="300" spans="1:20" x14ac:dyDescent="0.25">
      <c r="A300" s="5">
        <v>44293</v>
      </c>
      <c r="B300">
        <v>236.96</v>
      </c>
      <c r="C300">
        <v>242.99</v>
      </c>
      <c r="D300">
        <v>210.77</v>
      </c>
      <c r="E300">
        <v>219.05</v>
      </c>
      <c r="F300">
        <v>2263475.4652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-0.48603351955307256</v>
      </c>
      <c r="Q300">
        <f t="shared" si="965"/>
        <v>-1100124.9467731842</v>
      </c>
      <c r="R300">
        <f t="shared" si="966"/>
        <v>70049976.677233562</v>
      </c>
      <c r="S300">
        <f t="shared" si="967"/>
        <v>700.49976677233565</v>
      </c>
      <c r="T300">
        <f t="shared" si="968"/>
        <v>0.70049976677233561</v>
      </c>
    </row>
    <row r="301" spans="1:20" x14ac:dyDescent="0.25">
      <c r="A301" s="5">
        <v>44292</v>
      </c>
      <c r="B301">
        <v>221.48</v>
      </c>
      <c r="C301">
        <v>244.59</v>
      </c>
      <c r="D301">
        <v>212.97</v>
      </c>
      <c r="E301">
        <v>237.04</v>
      </c>
      <c r="F301">
        <v>2444849.5340300002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0.52245414294750092</v>
      </c>
      <c r="Q301">
        <f t="shared" si="965"/>
        <v>1277321.7679372407</v>
      </c>
      <c r="R301">
        <f t="shared" si="966"/>
        <v>71150101.624006748</v>
      </c>
      <c r="S301">
        <f t="shared" si="967"/>
        <v>711.50101624006743</v>
      </c>
      <c r="T301">
        <f t="shared" si="968"/>
        <v>0.71150101624006745</v>
      </c>
    </row>
    <row r="302" spans="1:20" x14ac:dyDescent="0.25">
      <c r="A302" s="5">
        <v>44291</v>
      </c>
      <c r="B302">
        <v>202.24</v>
      </c>
      <c r="C302">
        <v>225.47</v>
      </c>
      <c r="D302">
        <v>198.07</v>
      </c>
      <c r="E302">
        <v>221.48</v>
      </c>
      <c r="F302">
        <v>1329743.7612999999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0.70875912408759068</v>
      </c>
      <c r="Q302">
        <f t="shared" si="965"/>
        <v>942468.02351992624</v>
      </c>
      <c r="R302">
        <f t="shared" si="966"/>
        <v>69872779.856069505</v>
      </c>
      <c r="S302">
        <f t="shared" si="967"/>
        <v>698.72779856069508</v>
      </c>
      <c r="T302">
        <f t="shared" si="968"/>
        <v>0.69872779856069511</v>
      </c>
    </row>
    <row r="303" spans="1:20" x14ac:dyDescent="0.25">
      <c r="A303" s="5">
        <v>44290</v>
      </c>
      <c r="B303">
        <v>195.17</v>
      </c>
      <c r="C303">
        <v>204.92</v>
      </c>
      <c r="D303">
        <v>192.22</v>
      </c>
      <c r="E303">
        <v>202.21</v>
      </c>
      <c r="F303">
        <v>565154.10713999998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0.57322834645669574</v>
      </c>
      <c r="Q303">
        <f t="shared" si="965"/>
        <v>323962.35432907246</v>
      </c>
      <c r="R303">
        <f t="shared" si="966"/>
        <v>68930311.832549572</v>
      </c>
      <c r="S303">
        <f t="shared" si="967"/>
        <v>689.30311832549569</v>
      </c>
      <c r="T303">
        <f t="shared" si="968"/>
        <v>0.68930311832549573</v>
      </c>
    </row>
    <row r="304" spans="1:20" x14ac:dyDescent="0.25">
      <c r="A304" s="5">
        <v>44289</v>
      </c>
      <c r="B304">
        <v>211.44</v>
      </c>
      <c r="C304">
        <v>217.97</v>
      </c>
      <c r="D304">
        <v>194.85</v>
      </c>
      <c r="E304">
        <v>195.23</v>
      </c>
      <c r="F304">
        <v>956126.60491999995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-0.96712802768166128</v>
      </c>
      <c r="Q304">
        <f t="shared" si="965"/>
        <v>-924696.83763024257</v>
      </c>
      <c r="R304">
        <f t="shared" si="966"/>
        <v>68606349.478220493</v>
      </c>
      <c r="S304">
        <f t="shared" si="967"/>
        <v>686.06349478220488</v>
      </c>
      <c r="T304">
        <f t="shared" si="968"/>
        <v>0.68606349478220485</v>
      </c>
    </row>
    <row r="305" spans="1:20" x14ac:dyDescent="0.25">
      <c r="A305" s="5">
        <v>44288</v>
      </c>
      <c r="B305">
        <v>202.87</v>
      </c>
      <c r="C305">
        <v>213.77</v>
      </c>
      <c r="D305">
        <v>200.78</v>
      </c>
      <c r="E305">
        <v>211.46</v>
      </c>
      <c r="F305">
        <v>942970.73037999996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0.6443418013856812</v>
      </c>
      <c r="Q305">
        <f t="shared" si="965"/>
        <v>607595.45906702068</v>
      </c>
      <c r="R305">
        <f t="shared" si="966"/>
        <v>69531046.315850735</v>
      </c>
      <c r="S305">
        <f t="shared" si="967"/>
        <v>695.31046315850733</v>
      </c>
      <c r="T305">
        <f t="shared" si="968"/>
        <v>0.69531046315850731</v>
      </c>
    </row>
    <row r="306" spans="1:20" x14ac:dyDescent="0.25">
      <c r="A306" s="5">
        <v>44287</v>
      </c>
      <c r="B306">
        <v>196.69</v>
      </c>
      <c r="C306">
        <v>205</v>
      </c>
      <c r="D306">
        <v>194</v>
      </c>
      <c r="E306">
        <v>202.86</v>
      </c>
      <c r="F306">
        <v>876741.40868999995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0.6109090909090934</v>
      </c>
      <c r="Q306">
        <f t="shared" si="965"/>
        <v>535609.29694516584</v>
      </c>
      <c r="R306">
        <f t="shared" si="966"/>
        <v>68923450.856783718</v>
      </c>
      <c r="S306">
        <f t="shared" si="967"/>
        <v>689.23450856783722</v>
      </c>
      <c r="T306">
        <f t="shared" si="968"/>
        <v>0.68923450856783719</v>
      </c>
    </row>
    <row r="307" spans="1:20" x14ac:dyDescent="0.25">
      <c r="A307" s="5">
        <v>44286</v>
      </c>
      <c r="B307">
        <v>195.71</v>
      </c>
      <c r="C307">
        <v>198.99</v>
      </c>
      <c r="D307">
        <v>187</v>
      </c>
      <c r="E307">
        <v>196.7</v>
      </c>
      <c r="F307">
        <v>698229.63786000002</v>
      </c>
      <c r="G307">
        <v>0</v>
      </c>
      <c r="L307" t="s">
        <v>8</v>
      </c>
      <c r="M307" t="s">
        <v>7</v>
      </c>
      <c r="N307" t="s">
        <v>7</v>
      </c>
      <c r="P307">
        <f t="shared" si="964"/>
        <v>0.61801501251042223</v>
      </c>
      <c r="Q307">
        <f t="shared" si="965"/>
        <v>431516.39837719552</v>
      </c>
      <c r="R307">
        <f t="shared" si="966"/>
        <v>68387841.559838548</v>
      </c>
      <c r="S307">
        <f t="shared" si="967"/>
        <v>683.87841559838546</v>
      </c>
      <c r="T307">
        <f t="shared" si="968"/>
        <v>0.68387841559838547</v>
      </c>
    </row>
    <row r="308" spans="1:20" x14ac:dyDescent="0.25">
      <c r="A308" s="5">
        <v>44285</v>
      </c>
      <c r="B308">
        <v>193.73</v>
      </c>
      <c r="C308">
        <v>200.09</v>
      </c>
      <c r="D308">
        <v>190.34</v>
      </c>
      <c r="E308">
        <v>195.74</v>
      </c>
      <c r="F308">
        <v>932290.64980000001</v>
      </c>
      <c r="G308">
        <v>0</v>
      </c>
      <c r="L308" t="s">
        <v>8</v>
      </c>
      <c r="M308" t="s">
        <v>7</v>
      </c>
      <c r="N308" t="s">
        <v>7</v>
      </c>
      <c r="P308">
        <f t="shared" si="964"/>
        <v>0.10769230769230886</v>
      </c>
      <c r="Q308">
        <f t="shared" si="965"/>
        <v>100400.53151692417</v>
      </c>
      <c r="R308">
        <f t="shared" si="966"/>
        <v>67956325.161461353</v>
      </c>
      <c r="S308">
        <f t="shared" si="967"/>
        <v>679.56325161461348</v>
      </c>
      <c r="T308">
        <f t="shared" si="968"/>
        <v>0.67956325161461351</v>
      </c>
    </row>
    <row r="309" spans="1:20" x14ac:dyDescent="0.25">
      <c r="A309" s="5">
        <v>44284</v>
      </c>
      <c r="B309">
        <v>184.22</v>
      </c>
      <c r="C309">
        <v>197.6</v>
      </c>
      <c r="D309">
        <v>182.45</v>
      </c>
      <c r="E309">
        <v>193.73</v>
      </c>
      <c r="F309">
        <v>904774.30423000001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0.48910891089108871</v>
      </c>
      <c r="Q309">
        <f t="shared" si="965"/>
        <v>442533.17454417783</v>
      </c>
      <c r="R309">
        <f t="shared" si="966"/>
        <v>67855924.629944429</v>
      </c>
      <c r="S309">
        <f t="shared" si="967"/>
        <v>678.55924629944434</v>
      </c>
      <c r="T309">
        <f t="shared" si="968"/>
        <v>0.67855924629944431</v>
      </c>
    </row>
    <row r="310" spans="1:20" x14ac:dyDescent="0.25">
      <c r="A310" s="5">
        <v>44283</v>
      </c>
      <c r="B310">
        <v>184.06</v>
      </c>
      <c r="C310">
        <v>187.29</v>
      </c>
      <c r="D310">
        <v>180</v>
      </c>
      <c r="E310">
        <v>184.24</v>
      </c>
      <c r="F310">
        <v>380545.16210999998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0.1632373113854633</v>
      </c>
      <c r="Q310">
        <f t="shared" si="965"/>
        <v>62119.169123581676</v>
      </c>
      <c r="R310">
        <f t="shared" si="966"/>
        <v>67413391.455400258</v>
      </c>
      <c r="S310">
        <f t="shared" si="967"/>
        <v>674.13391455400256</v>
      </c>
      <c r="T310">
        <f t="shared" si="968"/>
        <v>0.67413391455400251</v>
      </c>
    </row>
    <row r="311" spans="1:20" x14ac:dyDescent="0.25">
      <c r="A311" s="5">
        <v>44282</v>
      </c>
      <c r="B311">
        <v>183.44</v>
      </c>
      <c r="C311">
        <v>186.12</v>
      </c>
      <c r="D311">
        <v>177.75</v>
      </c>
      <c r="E311">
        <v>184.06</v>
      </c>
      <c r="F311">
        <v>475886.83873000002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0.50776583034647527</v>
      </c>
      <c r="Q311">
        <f t="shared" si="965"/>
        <v>241639.07581869763</v>
      </c>
      <c r="R311">
        <f t="shared" si="966"/>
        <v>67351272.286276683</v>
      </c>
      <c r="S311">
        <f t="shared" si="967"/>
        <v>673.51272286276685</v>
      </c>
      <c r="T311">
        <f t="shared" si="968"/>
        <v>0.67351272286276687</v>
      </c>
    </row>
    <row r="312" spans="1:20" x14ac:dyDescent="0.25">
      <c r="A312" s="5">
        <v>44281</v>
      </c>
      <c r="B312">
        <v>171.53</v>
      </c>
      <c r="C312">
        <v>183.82</v>
      </c>
      <c r="D312">
        <v>171.44</v>
      </c>
      <c r="E312">
        <v>183.45</v>
      </c>
      <c r="F312">
        <v>721838.20194000006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0.94022617124394103</v>
      </c>
      <c r="Q312">
        <f t="shared" si="965"/>
        <v>678691.16886765696</v>
      </c>
      <c r="R312">
        <f t="shared" si="966"/>
        <v>67109633.210457981</v>
      </c>
      <c r="S312">
        <f t="shared" si="967"/>
        <v>671.0963321045798</v>
      </c>
      <c r="T312">
        <f t="shared" si="968"/>
        <v>0.67109633210457975</v>
      </c>
    </row>
    <row r="313" spans="1:20" x14ac:dyDescent="0.25">
      <c r="A313" s="5">
        <v>44280</v>
      </c>
      <c r="B313">
        <v>176.05</v>
      </c>
      <c r="C313">
        <v>179.03</v>
      </c>
      <c r="D313">
        <v>167.86</v>
      </c>
      <c r="E313">
        <v>171.53</v>
      </c>
      <c r="F313">
        <v>956666.86464000004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-0.34288272157565058</v>
      </c>
      <c r="Q313">
        <f t="shared" si="965"/>
        <v>-328024.53818900773</v>
      </c>
      <c r="R313">
        <f t="shared" si="966"/>
        <v>66430942.041590318</v>
      </c>
      <c r="S313">
        <f t="shared" si="967"/>
        <v>664.30942041590322</v>
      </c>
      <c r="T313">
        <f t="shared" si="968"/>
        <v>0.66430942041590324</v>
      </c>
    </row>
    <row r="314" spans="1:20" x14ac:dyDescent="0.25">
      <c r="A314" s="5">
        <v>44279</v>
      </c>
      <c r="B314">
        <v>185.82</v>
      </c>
      <c r="C314">
        <v>197.17</v>
      </c>
      <c r="D314">
        <v>172</v>
      </c>
      <c r="E314">
        <v>176.05</v>
      </c>
      <c r="F314">
        <v>1189902.97985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-0.67818831942788926</v>
      </c>
      <c r="Q314">
        <f t="shared" si="965"/>
        <v>-806978.30218670913</v>
      </c>
      <c r="R314">
        <f t="shared" si="966"/>
        <v>66758966.579779327</v>
      </c>
      <c r="S314">
        <f t="shared" si="967"/>
        <v>667.58966579779326</v>
      </c>
      <c r="T314">
        <f t="shared" si="968"/>
        <v>0.66758966579779322</v>
      </c>
    </row>
    <row r="315" spans="1:20" x14ac:dyDescent="0.25">
      <c r="A315" s="5">
        <v>44278</v>
      </c>
      <c r="B315">
        <v>185.69</v>
      </c>
      <c r="C315">
        <v>189.44</v>
      </c>
      <c r="D315">
        <v>181.12</v>
      </c>
      <c r="E315">
        <v>185.83</v>
      </c>
      <c r="F315">
        <v>638849.27685999998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0.13221153846154129</v>
      </c>
      <c r="Q315">
        <f t="shared" si="965"/>
        <v>84463.245738703728</v>
      </c>
      <c r="R315">
        <f t="shared" si="966"/>
        <v>67565944.88196604</v>
      </c>
      <c r="S315">
        <f t="shared" si="967"/>
        <v>675.65944881966038</v>
      </c>
      <c r="T315">
        <f t="shared" si="968"/>
        <v>0.67565944881966034</v>
      </c>
    </row>
    <row r="316" spans="1:20" x14ac:dyDescent="0.25">
      <c r="A316" s="5">
        <v>44277</v>
      </c>
      <c r="B316">
        <v>195.33</v>
      </c>
      <c r="C316">
        <v>199</v>
      </c>
      <c r="D316">
        <v>184.42</v>
      </c>
      <c r="E316">
        <v>185.67</v>
      </c>
      <c r="F316">
        <v>725506.72915999999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-0.82853223593964354</v>
      </c>
      <c r="Q316">
        <f t="shared" si="965"/>
        <v>-601105.71250019222</v>
      </c>
      <c r="R316">
        <f t="shared" si="966"/>
        <v>67481481.63622734</v>
      </c>
      <c r="S316">
        <f t="shared" si="967"/>
        <v>674.8148163622734</v>
      </c>
      <c r="T316">
        <f t="shared" si="968"/>
        <v>0.67481481636227336</v>
      </c>
    </row>
    <row r="317" spans="1:20" x14ac:dyDescent="0.25">
      <c r="A317" s="5">
        <v>44276</v>
      </c>
      <c r="B317">
        <v>200.16</v>
      </c>
      <c r="C317">
        <v>202</v>
      </c>
      <c r="D317">
        <v>192</v>
      </c>
      <c r="E317">
        <v>195.31</v>
      </c>
      <c r="F317">
        <v>581731.80678999994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-0.33799999999999952</v>
      </c>
      <c r="Q317">
        <f t="shared" si="965"/>
        <v>-196625.3506950197</v>
      </c>
      <c r="R317">
        <f t="shared" si="966"/>
        <v>68082587.348727539</v>
      </c>
      <c r="S317">
        <f t="shared" si="967"/>
        <v>680.82587348727543</v>
      </c>
      <c r="T317">
        <f t="shared" si="968"/>
        <v>0.68082587348727541</v>
      </c>
    </row>
    <row r="318" spans="1:20" x14ac:dyDescent="0.25">
      <c r="A318" s="5">
        <v>44275</v>
      </c>
      <c r="B318">
        <v>199.96</v>
      </c>
      <c r="C318">
        <v>206.1</v>
      </c>
      <c r="D318">
        <v>198.82</v>
      </c>
      <c r="E318">
        <v>200.17</v>
      </c>
      <c r="F318">
        <v>473637.43878000003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-0.62912087912088077</v>
      </c>
      <c r="Q318">
        <f t="shared" si="965"/>
        <v>-297975.20186983596</v>
      </c>
      <c r="R318">
        <f t="shared" si="966"/>
        <v>68279212.699422553</v>
      </c>
      <c r="S318">
        <f t="shared" si="967"/>
        <v>682.79212699422555</v>
      </c>
      <c r="T318">
        <f t="shared" si="968"/>
        <v>0.68279212699422553</v>
      </c>
    </row>
    <row r="319" spans="1:20" x14ac:dyDescent="0.25">
      <c r="A319" s="5">
        <v>44274</v>
      </c>
      <c r="B319">
        <v>199.72</v>
      </c>
      <c r="C319">
        <v>205</v>
      </c>
      <c r="D319">
        <v>195.81</v>
      </c>
      <c r="E319">
        <v>199.96</v>
      </c>
      <c r="F319">
        <v>536877.41275000002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-9.6844396082697126E-2</v>
      </c>
      <c r="Q319">
        <f t="shared" si="965"/>
        <v>-51993.568808214673</v>
      </c>
      <c r="R319">
        <f t="shared" si="966"/>
        <v>68577187.901292384</v>
      </c>
      <c r="S319">
        <f t="shared" si="967"/>
        <v>685.77187901292382</v>
      </c>
      <c r="T319">
        <f t="shared" si="968"/>
        <v>0.6857718790129238</v>
      </c>
    </row>
    <row r="320" spans="1:20" x14ac:dyDescent="0.25">
      <c r="A320" s="5">
        <v>44273</v>
      </c>
      <c r="B320">
        <v>205.96</v>
      </c>
      <c r="C320">
        <v>208.25</v>
      </c>
      <c r="D320">
        <v>199.13</v>
      </c>
      <c r="E320">
        <v>199.7</v>
      </c>
      <c r="F320">
        <v>774419.42585999996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-0.87500000000000155</v>
      </c>
      <c r="Q320">
        <f t="shared" si="965"/>
        <v>-677616.99762750114</v>
      </c>
      <c r="R320">
        <f t="shared" si="966"/>
        <v>68629181.470100597</v>
      </c>
      <c r="S320">
        <f t="shared" si="967"/>
        <v>686.29181470100593</v>
      </c>
      <c r="T320">
        <f t="shared" si="968"/>
        <v>0.68629181470100598</v>
      </c>
    </row>
    <row r="321" spans="1:20" x14ac:dyDescent="0.25">
      <c r="A321" s="5">
        <v>44272</v>
      </c>
      <c r="B321">
        <v>201.61</v>
      </c>
      <c r="C321">
        <v>206.94</v>
      </c>
      <c r="D321">
        <v>194.13</v>
      </c>
      <c r="E321">
        <v>205.98</v>
      </c>
      <c r="F321">
        <v>885644.66746000003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0.8501170960187342</v>
      </c>
      <c r="Q321">
        <f t="shared" si="965"/>
        <v>752901.67280557274</v>
      </c>
      <c r="R321">
        <f t="shared" si="966"/>
        <v>69306798.467728093</v>
      </c>
      <c r="S321">
        <f t="shared" si="967"/>
        <v>693.06798467728095</v>
      </c>
      <c r="T321">
        <f t="shared" si="968"/>
        <v>0.69306798467728092</v>
      </c>
    </row>
    <row r="322" spans="1:20" x14ac:dyDescent="0.25">
      <c r="A322" s="5">
        <v>44271</v>
      </c>
      <c r="B322">
        <v>200.59</v>
      </c>
      <c r="C322">
        <v>205.53</v>
      </c>
      <c r="D322">
        <v>191.15</v>
      </c>
      <c r="E322">
        <v>201.6</v>
      </c>
      <c r="F322">
        <v>1063051.80222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0.45340751043115324</v>
      </c>
      <c r="Q322">
        <f t="shared" si="965"/>
        <v>481995.6711039209</v>
      </c>
      <c r="R322">
        <f t="shared" si="966"/>
        <v>68553896.794922516</v>
      </c>
      <c r="S322">
        <f t="shared" si="967"/>
        <v>685.53896794922514</v>
      </c>
      <c r="T322">
        <f t="shared" si="968"/>
        <v>0.68553896794922509</v>
      </c>
    </row>
    <row r="323" spans="1:20" x14ac:dyDescent="0.25">
      <c r="A323" s="5">
        <v>44270</v>
      </c>
      <c r="B323">
        <v>214</v>
      </c>
      <c r="C323">
        <v>222.58</v>
      </c>
      <c r="D323">
        <v>197.56</v>
      </c>
      <c r="E323">
        <v>200.59</v>
      </c>
      <c r="F323">
        <v>1413381.7244500001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-0.75779376498800965</v>
      </c>
      <c r="Q323">
        <f t="shared" si="965"/>
        <v>-1071051.8583362112</v>
      </c>
      <c r="R323">
        <f t="shared" si="966"/>
        <v>68071901.123818591</v>
      </c>
      <c r="S323">
        <f t="shared" si="967"/>
        <v>680.71901123818589</v>
      </c>
      <c r="T323">
        <f t="shared" si="968"/>
        <v>0.6807190112381859</v>
      </c>
    </row>
    <row r="324" spans="1:20" x14ac:dyDescent="0.25">
      <c r="A324" s="5">
        <v>44269</v>
      </c>
      <c r="B324">
        <v>226.08</v>
      </c>
      <c r="C324">
        <v>228.12</v>
      </c>
      <c r="D324">
        <v>213.84</v>
      </c>
      <c r="E324">
        <v>213.94</v>
      </c>
      <c r="F324">
        <v>806542.74173000001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-0.98599439775910447</v>
      </c>
      <c r="Q324">
        <f t="shared" si="965"/>
        <v>-795246.62489904824</v>
      </c>
      <c r="R324">
        <f t="shared" si="966"/>
        <v>69142952.982154801</v>
      </c>
      <c r="S324">
        <f t="shared" si="967"/>
        <v>691.42952982154804</v>
      </c>
      <c r="T324">
        <f t="shared" si="968"/>
        <v>0.69142952982154804</v>
      </c>
    </row>
    <row r="325" spans="1:20" x14ac:dyDescent="0.25">
      <c r="A325" s="5">
        <v>44268</v>
      </c>
      <c r="B325">
        <v>220.8</v>
      </c>
      <c r="C325">
        <v>230.23</v>
      </c>
      <c r="D325">
        <v>212.7</v>
      </c>
      <c r="E325">
        <v>226.06</v>
      </c>
      <c r="F325">
        <v>1330663.6810300001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0.5242441528807773</v>
      </c>
      <c r="Q325">
        <f t="shared" si="965"/>
        <v>697592.65423078928</v>
      </c>
      <c r="R325">
        <f t="shared" si="966"/>
        <v>69938199.607053846</v>
      </c>
      <c r="S325">
        <f t="shared" si="967"/>
        <v>699.38199607053843</v>
      </c>
      <c r="T325">
        <f t="shared" si="968"/>
        <v>0.69938199607053841</v>
      </c>
    </row>
    <row r="326" spans="1:20" x14ac:dyDescent="0.25">
      <c r="A326" s="5">
        <v>44267</v>
      </c>
      <c r="B326">
        <v>201.37</v>
      </c>
      <c r="C326">
        <v>224.23</v>
      </c>
      <c r="D326">
        <v>198.41</v>
      </c>
      <c r="E326">
        <v>220.84</v>
      </c>
      <c r="F326">
        <v>2081683.73697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0.73741285824942004</v>
      </c>
      <c r="Q326">
        <f t="shared" ref="Q326:Q389" si="970">F326*P326</f>
        <v>1535060.3544503816</v>
      </c>
      <c r="R326">
        <f t="shared" ref="R326:R389" si="971">R327+Q326</f>
        <v>69240606.952823058</v>
      </c>
      <c r="S326">
        <f t="shared" ref="S326:S389" si="972">R326/100000</f>
        <v>692.40606952823055</v>
      </c>
      <c r="T326">
        <f t="shared" ref="T326:T389" si="973">S326/1000</f>
        <v>0.69240606952823058</v>
      </c>
    </row>
    <row r="327" spans="1:20" x14ac:dyDescent="0.25">
      <c r="A327" s="5">
        <v>44266</v>
      </c>
      <c r="B327">
        <v>200.29</v>
      </c>
      <c r="C327">
        <v>203.54</v>
      </c>
      <c r="D327">
        <v>191.03</v>
      </c>
      <c r="E327">
        <v>201.36</v>
      </c>
      <c r="F327">
        <v>981380.12089999998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0.65147881694644605</v>
      </c>
      <c r="Q327">
        <f t="shared" si="970"/>
        <v>639348.36013869219</v>
      </c>
      <c r="R327">
        <f t="shared" si="971"/>
        <v>67705546.598372683</v>
      </c>
      <c r="S327">
        <f t="shared" si="972"/>
        <v>677.05546598372678</v>
      </c>
      <c r="T327">
        <f t="shared" si="973"/>
        <v>0.67705546598372679</v>
      </c>
    </row>
    <row r="328" spans="1:20" x14ac:dyDescent="0.25">
      <c r="A328" s="5">
        <v>44265</v>
      </c>
      <c r="B328">
        <v>203.8</v>
      </c>
      <c r="C328">
        <v>208</v>
      </c>
      <c r="D328">
        <v>191.47</v>
      </c>
      <c r="E328">
        <v>200.29</v>
      </c>
      <c r="F328">
        <v>1422079.58464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6.7150635208710535E-2</v>
      </c>
      <c r="Q328">
        <f t="shared" si="970"/>
        <v>95493.54742591524</v>
      </c>
      <c r="R328">
        <f t="shared" si="971"/>
        <v>67066198.238233991</v>
      </c>
      <c r="S328">
        <f t="shared" si="972"/>
        <v>670.66198238233994</v>
      </c>
      <c r="T328">
        <f t="shared" si="973"/>
        <v>0.67066198238233998</v>
      </c>
    </row>
    <row r="329" spans="1:20" x14ac:dyDescent="0.25">
      <c r="A329" s="5">
        <v>44264</v>
      </c>
      <c r="B329">
        <v>191.86</v>
      </c>
      <c r="C329">
        <v>205</v>
      </c>
      <c r="D329">
        <v>188.92</v>
      </c>
      <c r="E329">
        <v>203.81</v>
      </c>
      <c r="F329">
        <v>1279698.49896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0.85199004975124415</v>
      </c>
      <c r="Q329">
        <f t="shared" si="970"/>
        <v>1090290.3877955228</v>
      </c>
      <c r="R329">
        <f t="shared" si="971"/>
        <v>66970704.690808073</v>
      </c>
      <c r="S329">
        <f t="shared" si="972"/>
        <v>669.70704690808077</v>
      </c>
      <c r="T329">
        <f t="shared" si="973"/>
        <v>0.66970704690808081</v>
      </c>
    </row>
    <row r="330" spans="1:20" x14ac:dyDescent="0.25">
      <c r="A330" s="5">
        <v>44263</v>
      </c>
      <c r="B330">
        <v>190.75</v>
      </c>
      <c r="C330">
        <v>195.28</v>
      </c>
      <c r="D330">
        <v>179.58</v>
      </c>
      <c r="E330">
        <v>191.85</v>
      </c>
      <c r="F330">
        <v>1171979.0435200001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0.5630573248407631</v>
      </c>
      <c r="Q330">
        <f t="shared" si="970"/>
        <v>659891.38501380745</v>
      </c>
      <c r="R330">
        <f t="shared" si="971"/>
        <v>65880414.30301255</v>
      </c>
      <c r="S330">
        <f t="shared" si="972"/>
        <v>658.80414303012549</v>
      </c>
      <c r="T330">
        <f t="shared" si="973"/>
        <v>0.65880414303012547</v>
      </c>
    </row>
    <row r="331" spans="1:20" x14ac:dyDescent="0.25">
      <c r="A331" s="5">
        <v>44262</v>
      </c>
      <c r="B331">
        <v>182.86</v>
      </c>
      <c r="C331">
        <v>192.24</v>
      </c>
      <c r="D331">
        <v>182.25</v>
      </c>
      <c r="E331">
        <v>190.75</v>
      </c>
      <c r="F331">
        <v>820418.23901000002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0.7017017017017001</v>
      </c>
      <c r="Q331">
        <f t="shared" si="970"/>
        <v>575688.87442042911</v>
      </c>
      <c r="R331">
        <f t="shared" si="971"/>
        <v>65220522.917998746</v>
      </c>
      <c r="S331">
        <f t="shared" si="972"/>
        <v>652.20522917998744</v>
      </c>
      <c r="T331">
        <f t="shared" si="973"/>
        <v>0.65220522917998747</v>
      </c>
    </row>
    <row r="332" spans="1:20" x14ac:dyDescent="0.25">
      <c r="A332" s="5">
        <v>44261</v>
      </c>
      <c r="B332">
        <v>180.21</v>
      </c>
      <c r="C332">
        <v>184.67</v>
      </c>
      <c r="D332">
        <v>174.68</v>
      </c>
      <c r="E332">
        <v>182.85</v>
      </c>
      <c r="F332">
        <v>935959.96790000005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0.6356356356356363</v>
      </c>
      <c r="Q332">
        <f t="shared" si="970"/>
        <v>594929.5091256263</v>
      </c>
      <c r="R332">
        <f t="shared" si="971"/>
        <v>64644834.043578319</v>
      </c>
      <c r="S332">
        <f t="shared" si="972"/>
        <v>646.44834043578317</v>
      </c>
      <c r="T332">
        <f t="shared" si="973"/>
        <v>0.64644834043578314</v>
      </c>
    </row>
    <row r="333" spans="1:20" x14ac:dyDescent="0.25">
      <c r="A333" s="5">
        <v>44260</v>
      </c>
      <c r="B333">
        <v>180.66</v>
      </c>
      <c r="C333">
        <v>183.57</v>
      </c>
      <c r="D333">
        <v>168.5</v>
      </c>
      <c r="E333">
        <v>180.23</v>
      </c>
      <c r="F333">
        <v>1182501.69882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0.55673523556735172</v>
      </c>
      <c r="Q333">
        <f t="shared" si="970"/>
        <v>658340.36185134633</v>
      </c>
      <c r="R333">
        <f t="shared" si="971"/>
        <v>64049904.534452692</v>
      </c>
      <c r="S333">
        <f t="shared" si="972"/>
        <v>640.49904534452696</v>
      </c>
      <c r="T333">
        <f t="shared" si="973"/>
        <v>0.64049904534452695</v>
      </c>
    </row>
    <row r="334" spans="1:20" x14ac:dyDescent="0.25">
      <c r="A334" s="5">
        <v>44259</v>
      </c>
      <c r="B334">
        <v>187.7</v>
      </c>
      <c r="C334">
        <v>194.4</v>
      </c>
      <c r="D334">
        <v>176.83</v>
      </c>
      <c r="E334">
        <v>180.67</v>
      </c>
      <c r="F334">
        <v>1485337.0920800001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-0.56289129197496002</v>
      </c>
      <c r="Q334">
        <f t="shared" si="970"/>
        <v>-836083.31477924145</v>
      </c>
      <c r="R334">
        <f t="shared" si="971"/>
        <v>63391564.172601342</v>
      </c>
      <c r="S334">
        <f t="shared" si="972"/>
        <v>633.9156417260134</v>
      </c>
      <c r="T334">
        <f t="shared" si="973"/>
        <v>0.63391564172601345</v>
      </c>
    </row>
    <row r="335" spans="1:20" x14ac:dyDescent="0.25">
      <c r="A335" s="5">
        <v>44258</v>
      </c>
      <c r="B335">
        <v>179.06</v>
      </c>
      <c r="C335">
        <v>196.49</v>
      </c>
      <c r="D335">
        <v>176.79</v>
      </c>
      <c r="E335">
        <v>187.64</v>
      </c>
      <c r="F335">
        <v>1873295.01116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0.10152284263959238</v>
      </c>
      <c r="Q335">
        <f t="shared" si="970"/>
        <v>190182.23463553013</v>
      </c>
      <c r="R335">
        <f t="shared" si="971"/>
        <v>64227647.487380587</v>
      </c>
      <c r="S335">
        <f t="shared" si="972"/>
        <v>642.27647487380591</v>
      </c>
      <c r="T335">
        <f t="shared" si="973"/>
        <v>0.6422764748738059</v>
      </c>
    </row>
    <row r="336" spans="1:20" x14ac:dyDescent="0.25">
      <c r="A336" s="5">
        <v>44257</v>
      </c>
      <c r="B336">
        <v>175.9</v>
      </c>
      <c r="C336">
        <v>185.32</v>
      </c>
      <c r="D336">
        <v>170.69</v>
      </c>
      <c r="E336">
        <v>179.08</v>
      </c>
      <c r="F336">
        <v>1441741.00235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0.14695830485304406</v>
      </c>
      <c r="Q336">
        <f t="shared" si="970"/>
        <v>211875.81374248461</v>
      </c>
      <c r="R336">
        <f t="shared" si="971"/>
        <v>64037465.252745055</v>
      </c>
      <c r="S336">
        <f t="shared" si="972"/>
        <v>640.37465252745051</v>
      </c>
      <c r="T336">
        <f t="shared" si="973"/>
        <v>0.64037465252745052</v>
      </c>
    </row>
    <row r="337" spans="1:20" x14ac:dyDescent="0.25">
      <c r="A337" s="5">
        <v>44256</v>
      </c>
      <c r="B337">
        <v>165.27</v>
      </c>
      <c r="C337">
        <v>176.46</v>
      </c>
      <c r="D337">
        <v>163.30000000000001</v>
      </c>
      <c r="E337">
        <v>175.89</v>
      </c>
      <c r="F337">
        <v>1216268.4951800001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0.91337386018236755</v>
      </c>
      <c r="Q337">
        <f t="shared" si="970"/>
        <v>1110907.8504607559</v>
      </c>
      <c r="R337">
        <f t="shared" si="971"/>
        <v>63825589.439002573</v>
      </c>
      <c r="S337">
        <f t="shared" si="972"/>
        <v>638.25589439002579</v>
      </c>
      <c r="T337">
        <f t="shared" si="973"/>
        <v>0.63825589439002584</v>
      </c>
    </row>
    <row r="338" spans="1:20" x14ac:dyDescent="0.25">
      <c r="A338" s="5">
        <v>44255</v>
      </c>
      <c r="B338">
        <v>171.75</v>
      </c>
      <c r="C338">
        <v>173.42</v>
      </c>
      <c r="D338">
        <v>152.88</v>
      </c>
      <c r="E338">
        <v>165.22</v>
      </c>
      <c r="F338">
        <v>1682228.2221899999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0.20155793573515171</v>
      </c>
      <c r="Q338">
        <f t="shared" si="970"/>
        <v>339066.44790003053</v>
      </c>
      <c r="R338">
        <f t="shared" si="971"/>
        <v>62714681.588541821</v>
      </c>
      <c r="S338">
        <f t="shared" si="972"/>
        <v>627.14681588541816</v>
      </c>
      <c r="T338">
        <f t="shared" si="973"/>
        <v>0.62714681588541821</v>
      </c>
    </row>
    <row r="339" spans="1:20" x14ac:dyDescent="0.25">
      <c r="A339" s="5">
        <v>44254</v>
      </c>
      <c r="B339">
        <v>170.2</v>
      </c>
      <c r="C339">
        <v>180.48</v>
      </c>
      <c r="D339">
        <v>167.13</v>
      </c>
      <c r="E339">
        <v>171.76</v>
      </c>
      <c r="F339">
        <v>1113606.4401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-0.30636704119850228</v>
      </c>
      <c r="Q339">
        <f t="shared" si="970"/>
        <v>-341172.31011303415</v>
      </c>
      <c r="R339">
        <f t="shared" si="971"/>
        <v>62375615.140641794</v>
      </c>
      <c r="S339">
        <f t="shared" si="972"/>
        <v>623.75615140641798</v>
      </c>
      <c r="T339">
        <f t="shared" si="973"/>
        <v>0.62375615140641794</v>
      </c>
    </row>
    <row r="340" spans="1:20" x14ac:dyDescent="0.25">
      <c r="A340" s="5">
        <v>44253</v>
      </c>
      <c r="B340">
        <v>179.36</v>
      </c>
      <c r="C340">
        <v>182.86</v>
      </c>
      <c r="D340">
        <v>162.74</v>
      </c>
      <c r="E340">
        <v>170.25</v>
      </c>
      <c r="F340">
        <v>2180233.2514300002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-0.25347912524851002</v>
      </c>
      <c r="Q340">
        <f t="shared" si="970"/>
        <v>-552643.61741019122</v>
      </c>
      <c r="R340">
        <f t="shared" si="971"/>
        <v>62716787.450754829</v>
      </c>
      <c r="S340">
        <f t="shared" si="972"/>
        <v>627.16787450754828</v>
      </c>
      <c r="T340">
        <f t="shared" si="973"/>
        <v>0.6271678745075483</v>
      </c>
    </row>
    <row r="341" spans="1:20" x14ac:dyDescent="0.25">
      <c r="A341" s="5">
        <v>44252</v>
      </c>
      <c r="B341">
        <v>181.43</v>
      </c>
      <c r="C341">
        <v>205.21</v>
      </c>
      <c r="D341">
        <v>175</v>
      </c>
      <c r="E341">
        <v>179.36</v>
      </c>
      <c r="F341">
        <v>1961972.0422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-0.71135385633895976</v>
      </c>
      <c r="Q341">
        <f t="shared" si="970"/>
        <v>-1395656.3782481942</v>
      </c>
      <c r="R341">
        <f t="shared" si="971"/>
        <v>63269431.068165019</v>
      </c>
      <c r="S341">
        <f t="shared" si="972"/>
        <v>632.69431068165022</v>
      </c>
      <c r="T341">
        <f t="shared" si="973"/>
        <v>0.63269431068165027</v>
      </c>
    </row>
    <row r="342" spans="1:20" x14ac:dyDescent="0.25">
      <c r="A342" s="5">
        <v>44251</v>
      </c>
      <c r="B342">
        <v>177.35</v>
      </c>
      <c r="C342">
        <v>189.46</v>
      </c>
      <c r="D342">
        <v>169.08</v>
      </c>
      <c r="E342">
        <v>181.43</v>
      </c>
      <c r="F342">
        <v>1827554.60176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0.21197252208047077</v>
      </c>
      <c r="Q342">
        <f t="shared" si="970"/>
        <v>387391.35817483754</v>
      </c>
      <c r="R342">
        <f t="shared" si="971"/>
        <v>64665087.446413212</v>
      </c>
      <c r="S342">
        <f t="shared" si="972"/>
        <v>646.65087446413213</v>
      </c>
      <c r="T342">
        <f t="shared" si="973"/>
        <v>0.64665087446413216</v>
      </c>
    </row>
    <row r="343" spans="1:20" x14ac:dyDescent="0.25">
      <c r="A343" s="5">
        <v>44250</v>
      </c>
      <c r="B343">
        <v>208.1</v>
      </c>
      <c r="C343">
        <v>208.8</v>
      </c>
      <c r="D343">
        <v>157.29</v>
      </c>
      <c r="E343">
        <v>177.34</v>
      </c>
      <c r="F343">
        <v>3669737.3268900001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-0.22151038633275077</v>
      </c>
      <c r="Q343">
        <f t="shared" si="970"/>
        <v>-812884.93301912001</v>
      </c>
      <c r="R343">
        <f t="shared" si="971"/>
        <v>64277696.088238373</v>
      </c>
      <c r="S343">
        <f t="shared" si="972"/>
        <v>642.77696088238372</v>
      </c>
      <c r="T343">
        <f t="shared" si="973"/>
        <v>0.64277696088238367</v>
      </c>
    </row>
    <row r="344" spans="1:20" x14ac:dyDescent="0.25">
      <c r="A344" s="5">
        <v>44249</v>
      </c>
      <c r="B344">
        <v>227.17</v>
      </c>
      <c r="C344">
        <v>227.39</v>
      </c>
      <c r="D344">
        <v>180</v>
      </c>
      <c r="E344">
        <v>208.32</v>
      </c>
      <c r="F344">
        <v>2556958.2215999998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0.19518885840894709</v>
      </c>
      <c r="Q344">
        <f t="shared" si="970"/>
        <v>499089.75627347553</v>
      </c>
      <c r="R344">
        <f t="shared" si="971"/>
        <v>65090581.02125749</v>
      </c>
      <c r="S344">
        <f t="shared" si="972"/>
        <v>650.90581021257492</v>
      </c>
      <c r="T344">
        <f t="shared" si="973"/>
        <v>0.65090581021257488</v>
      </c>
    </row>
    <row r="345" spans="1:20" x14ac:dyDescent="0.25">
      <c r="A345" s="5">
        <v>44248</v>
      </c>
      <c r="B345">
        <v>226.77</v>
      </c>
      <c r="C345">
        <v>233.78</v>
      </c>
      <c r="D345">
        <v>220.06</v>
      </c>
      <c r="E345">
        <v>227.13</v>
      </c>
      <c r="F345">
        <v>1268407.03046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3.0612244897958274E-2</v>
      </c>
      <c r="Q345">
        <f t="shared" si="970"/>
        <v>38828.786646733541</v>
      </c>
      <c r="R345">
        <f t="shared" si="971"/>
        <v>64591491.264984012</v>
      </c>
      <c r="S345">
        <f t="shared" si="972"/>
        <v>645.91491264984006</v>
      </c>
      <c r="T345">
        <f t="shared" si="973"/>
        <v>0.64591491264984002</v>
      </c>
    </row>
    <row r="346" spans="1:20" x14ac:dyDescent="0.25">
      <c r="A346" s="5">
        <v>44247</v>
      </c>
      <c r="B346">
        <v>236.45</v>
      </c>
      <c r="C346">
        <v>247.04</v>
      </c>
      <c r="D346">
        <v>214.02</v>
      </c>
      <c r="E346">
        <v>226.65</v>
      </c>
      <c r="F346">
        <v>1701950.27455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-0.23500908540278603</v>
      </c>
      <c r="Q346">
        <f t="shared" si="970"/>
        <v>-399973.77742301609</v>
      </c>
      <c r="R346">
        <f t="shared" si="971"/>
        <v>64552662.47833728</v>
      </c>
      <c r="S346">
        <f t="shared" si="972"/>
        <v>645.52662478337277</v>
      </c>
      <c r="T346">
        <f t="shared" si="973"/>
        <v>0.64552662478337275</v>
      </c>
    </row>
    <row r="347" spans="1:20" x14ac:dyDescent="0.25">
      <c r="A347" s="5">
        <v>44246</v>
      </c>
      <c r="B347">
        <v>226.58</v>
      </c>
      <c r="C347">
        <v>241.92</v>
      </c>
      <c r="D347">
        <v>220.06</v>
      </c>
      <c r="E347">
        <v>236.5</v>
      </c>
      <c r="F347">
        <v>1402427.87852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0.50411710887465777</v>
      </c>
      <c r="Q347">
        <f t="shared" si="970"/>
        <v>706987.88752472214</v>
      </c>
      <c r="R347">
        <f t="shared" si="971"/>
        <v>64952636.255760297</v>
      </c>
      <c r="S347">
        <f t="shared" si="972"/>
        <v>649.52636255760297</v>
      </c>
      <c r="T347">
        <f t="shared" si="973"/>
        <v>0.64952636255760299</v>
      </c>
    </row>
    <row r="348" spans="1:20" x14ac:dyDescent="0.25">
      <c r="A348" s="5">
        <v>44245</v>
      </c>
      <c r="B348">
        <v>237.39</v>
      </c>
      <c r="C348">
        <v>239.18</v>
      </c>
      <c r="D348">
        <v>221</v>
      </c>
      <c r="E348">
        <v>226.59</v>
      </c>
      <c r="F348">
        <v>1580820.71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-0.38503850385038491</v>
      </c>
      <c r="Q348">
        <f t="shared" si="970"/>
        <v>-608676.84103410318</v>
      </c>
      <c r="R348">
        <f t="shared" si="971"/>
        <v>64245648.368235573</v>
      </c>
      <c r="S348">
        <f t="shared" si="972"/>
        <v>642.45648368235572</v>
      </c>
      <c r="T348">
        <f t="shared" si="973"/>
        <v>0.64245648368235575</v>
      </c>
    </row>
    <row r="349" spans="1:20" x14ac:dyDescent="0.25">
      <c r="A349" s="5">
        <v>44244</v>
      </c>
      <c r="B349">
        <v>210.23</v>
      </c>
      <c r="C349">
        <v>237.75</v>
      </c>
      <c r="D349">
        <v>203.37</v>
      </c>
      <c r="E349">
        <v>237.49</v>
      </c>
      <c r="F349">
        <v>1839179.9709300001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0.98487492728330472</v>
      </c>
      <c r="Q349">
        <f t="shared" si="970"/>
        <v>1811362.2401305942</v>
      </c>
      <c r="R349">
        <f t="shared" si="971"/>
        <v>64854325.20926968</v>
      </c>
      <c r="S349">
        <f t="shared" si="972"/>
        <v>648.54325209269678</v>
      </c>
      <c r="T349">
        <f t="shared" si="973"/>
        <v>0.64854325209269681</v>
      </c>
    </row>
    <row r="350" spans="1:20" x14ac:dyDescent="0.25">
      <c r="A350" s="5">
        <v>44243</v>
      </c>
      <c r="B350">
        <v>208.03</v>
      </c>
      <c r="C350">
        <v>222.48</v>
      </c>
      <c r="D350">
        <v>200.1</v>
      </c>
      <c r="E350">
        <v>210.26</v>
      </c>
      <c r="F350">
        <v>1660812.3978599999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-9.204647006255598E-2</v>
      </c>
      <c r="Q350">
        <f t="shared" si="970"/>
        <v>-152871.91865914231</v>
      </c>
      <c r="R350">
        <f t="shared" si="971"/>
        <v>63042962.969139084</v>
      </c>
      <c r="S350">
        <f t="shared" si="972"/>
        <v>630.4296296913908</v>
      </c>
      <c r="T350">
        <f t="shared" si="973"/>
        <v>0.63042962969139082</v>
      </c>
    </row>
    <row r="351" spans="1:20" x14ac:dyDescent="0.25">
      <c r="A351" s="5">
        <v>44242</v>
      </c>
      <c r="B351">
        <v>213.47</v>
      </c>
      <c r="C351">
        <v>219.99</v>
      </c>
      <c r="D351">
        <v>185.31</v>
      </c>
      <c r="E351">
        <v>207.83</v>
      </c>
      <c r="F351">
        <v>2173405.1795800002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0.2987312572087662</v>
      </c>
      <c r="Q351">
        <f t="shared" si="970"/>
        <v>649264.06171997776</v>
      </c>
      <c r="R351">
        <f t="shared" si="971"/>
        <v>63195834.887798227</v>
      </c>
      <c r="S351">
        <f t="shared" si="972"/>
        <v>631.9583488779823</v>
      </c>
      <c r="T351">
        <f t="shared" si="973"/>
        <v>0.6319583488779823</v>
      </c>
    </row>
    <row r="352" spans="1:20" x14ac:dyDescent="0.25">
      <c r="A352" s="5">
        <v>44241</v>
      </c>
      <c r="B352">
        <v>225.77</v>
      </c>
      <c r="C352">
        <v>230.77</v>
      </c>
      <c r="D352">
        <v>208.11</v>
      </c>
      <c r="E352">
        <v>213.49</v>
      </c>
      <c r="F352">
        <v>1765475.48101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-0.52515445719329246</v>
      </c>
      <c r="Q352">
        <f t="shared" si="970"/>
        <v>-927147.3179178735</v>
      </c>
      <c r="R352">
        <f t="shared" si="971"/>
        <v>62546570.826078251</v>
      </c>
      <c r="S352">
        <f t="shared" si="972"/>
        <v>625.46570826078255</v>
      </c>
      <c r="T352">
        <f t="shared" si="973"/>
        <v>0.62546570826078252</v>
      </c>
    </row>
    <row r="353" spans="1:20" x14ac:dyDescent="0.25">
      <c r="A353" s="5">
        <v>44240</v>
      </c>
      <c r="B353">
        <v>196.71</v>
      </c>
      <c r="C353">
        <v>229.07</v>
      </c>
      <c r="D353">
        <v>191.45</v>
      </c>
      <c r="E353">
        <v>225.76</v>
      </c>
      <c r="F353">
        <v>2843517.2869099998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0.82402977139819233</v>
      </c>
      <c r="Q353">
        <f t="shared" si="970"/>
        <v>2343142.899899255</v>
      </c>
      <c r="R353">
        <f t="shared" si="971"/>
        <v>63473718.143996127</v>
      </c>
      <c r="S353">
        <f t="shared" si="972"/>
        <v>634.73718143996132</v>
      </c>
      <c r="T353">
        <f t="shared" si="973"/>
        <v>0.63473718143996127</v>
      </c>
    </row>
    <row r="354" spans="1:20" x14ac:dyDescent="0.25">
      <c r="A354" s="5">
        <v>44239</v>
      </c>
      <c r="B354">
        <v>183.62</v>
      </c>
      <c r="C354">
        <v>199.84</v>
      </c>
      <c r="D354">
        <v>176.75</v>
      </c>
      <c r="E354">
        <v>196.69</v>
      </c>
      <c r="F354">
        <v>1946870.34253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0.72715461238631396</v>
      </c>
      <c r="Q354">
        <f t="shared" si="970"/>
        <v>1415675.7492888125</v>
      </c>
      <c r="R354">
        <f t="shared" si="971"/>
        <v>61130575.244096875</v>
      </c>
      <c r="S354">
        <f t="shared" si="972"/>
        <v>611.30575244096872</v>
      </c>
      <c r="T354">
        <f t="shared" si="973"/>
        <v>0.61130575244096874</v>
      </c>
    </row>
    <row r="355" spans="1:20" x14ac:dyDescent="0.25">
      <c r="A355" s="5">
        <v>44238</v>
      </c>
      <c r="B355">
        <v>181.59</v>
      </c>
      <c r="C355">
        <v>193.59</v>
      </c>
      <c r="D355">
        <v>175.72</v>
      </c>
      <c r="E355">
        <v>183.62</v>
      </c>
      <c r="F355">
        <v>1664189.0877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-0.11583659764969181</v>
      </c>
      <c r="Q355">
        <f t="shared" si="970"/>
        <v>-192774.00176491259</v>
      </c>
      <c r="R355">
        <f t="shared" si="971"/>
        <v>59714899.494808063</v>
      </c>
      <c r="S355">
        <f t="shared" si="972"/>
        <v>597.1489949480806</v>
      </c>
      <c r="T355">
        <f t="shared" si="973"/>
        <v>0.5971489949480806</v>
      </c>
    </row>
    <row r="356" spans="1:20" x14ac:dyDescent="0.25">
      <c r="A356" s="5">
        <v>44237</v>
      </c>
      <c r="B356">
        <v>181.52</v>
      </c>
      <c r="C356">
        <v>195.17</v>
      </c>
      <c r="D356">
        <v>169.57</v>
      </c>
      <c r="E356">
        <v>181.56</v>
      </c>
      <c r="F356">
        <v>2781973.9625400002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-6.3281249999999081E-2</v>
      </c>
      <c r="Q356">
        <f t="shared" si="970"/>
        <v>-176046.78981698182</v>
      </c>
      <c r="R356">
        <f t="shared" si="971"/>
        <v>59907673.496572979</v>
      </c>
      <c r="S356">
        <f t="shared" si="972"/>
        <v>599.07673496572977</v>
      </c>
      <c r="T356">
        <f t="shared" si="973"/>
        <v>0.59907673496572977</v>
      </c>
    </row>
    <row r="357" spans="1:20" x14ac:dyDescent="0.25">
      <c r="A357" s="5">
        <v>44236</v>
      </c>
      <c r="B357">
        <v>167.28</v>
      </c>
      <c r="C357">
        <v>184.49</v>
      </c>
      <c r="D357">
        <v>164.22</v>
      </c>
      <c r="E357">
        <v>181.49</v>
      </c>
      <c r="F357">
        <v>1981149.12366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0.70399605328071058</v>
      </c>
      <c r="Q357">
        <f t="shared" si="970"/>
        <v>1394721.1640171784</v>
      </c>
      <c r="R357">
        <f t="shared" si="971"/>
        <v>60083720.286389962</v>
      </c>
      <c r="S357">
        <f t="shared" si="972"/>
        <v>600.83720286389962</v>
      </c>
      <c r="T357">
        <f t="shared" si="973"/>
        <v>0.60083720286389963</v>
      </c>
    </row>
    <row r="358" spans="1:20" x14ac:dyDescent="0.25">
      <c r="A358" s="5">
        <v>44235</v>
      </c>
      <c r="B358">
        <v>150.76</v>
      </c>
      <c r="C358">
        <v>169.38</v>
      </c>
      <c r="D358">
        <v>147.76</v>
      </c>
      <c r="E358">
        <v>167.28</v>
      </c>
      <c r="F358">
        <v>1894490.9060800001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0.80573543015726234</v>
      </c>
      <c r="Q358">
        <f t="shared" si="970"/>
        <v>1526458.4451393906</v>
      </c>
      <c r="R358">
        <f t="shared" si="971"/>
        <v>58688999.122372784</v>
      </c>
      <c r="S358">
        <f t="shared" si="972"/>
        <v>586.88999122372786</v>
      </c>
      <c r="T358">
        <f t="shared" si="973"/>
        <v>0.58688999122372787</v>
      </c>
    </row>
    <row r="359" spans="1:20" x14ac:dyDescent="0.25">
      <c r="A359" s="5">
        <v>44234</v>
      </c>
      <c r="B359">
        <v>155.57</v>
      </c>
      <c r="C359">
        <v>157.29</v>
      </c>
      <c r="D359">
        <v>145.22999999999999</v>
      </c>
      <c r="E359">
        <v>150.76</v>
      </c>
      <c r="F359">
        <v>1259975.92894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-8.2918739635157529E-2</v>
      </c>
      <c r="Q359">
        <f t="shared" si="970"/>
        <v>-104475.6159983416</v>
      </c>
      <c r="R359">
        <f t="shared" si="971"/>
        <v>57162540.677233391</v>
      </c>
      <c r="S359">
        <f t="shared" si="972"/>
        <v>571.62540677233392</v>
      </c>
      <c r="T359">
        <f t="shared" si="973"/>
        <v>0.57162540677233387</v>
      </c>
    </row>
    <row r="360" spans="1:20" x14ac:dyDescent="0.25">
      <c r="A360" s="5">
        <v>44233</v>
      </c>
      <c r="B360">
        <v>155.05000000000001</v>
      </c>
      <c r="C360">
        <v>164.27</v>
      </c>
      <c r="D360">
        <v>149.82</v>
      </c>
      <c r="E360">
        <v>155.57</v>
      </c>
      <c r="F360">
        <v>1879526.24312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-0.20415224913494903</v>
      </c>
      <c r="Q360">
        <f t="shared" si="970"/>
        <v>-383709.50984110904</v>
      </c>
      <c r="R360">
        <f t="shared" si="971"/>
        <v>57267016.293231733</v>
      </c>
      <c r="S360">
        <f t="shared" si="972"/>
        <v>572.67016293231734</v>
      </c>
      <c r="T360">
        <f t="shared" si="973"/>
        <v>0.57267016293231732</v>
      </c>
    </row>
    <row r="361" spans="1:20" x14ac:dyDescent="0.25">
      <c r="A361" s="5">
        <v>44232</v>
      </c>
      <c r="B361">
        <v>145.05000000000001</v>
      </c>
      <c r="C361">
        <v>156.93</v>
      </c>
      <c r="D361">
        <v>143.44999999999999</v>
      </c>
      <c r="E361">
        <v>155.05000000000001</v>
      </c>
      <c r="F361">
        <v>1572009.29596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0.72106824925816126</v>
      </c>
      <c r="Q361">
        <f t="shared" si="970"/>
        <v>1133525.9908554319</v>
      </c>
      <c r="R361">
        <f t="shared" si="971"/>
        <v>57650725.80307284</v>
      </c>
      <c r="S361">
        <f t="shared" si="972"/>
        <v>576.50725803072839</v>
      </c>
      <c r="T361">
        <f t="shared" si="973"/>
        <v>0.57650725803072844</v>
      </c>
    </row>
    <row r="362" spans="1:20" x14ac:dyDescent="0.25">
      <c r="A362" s="5">
        <v>44231</v>
      </c>
      <c r="B362">
        <v>155.94</v>
      </c>
      <c r="C362">
        <v>158.68</v>
      </c>
      <c r="D362">
        <v>141.03</v>
      </c>
      <c r="E362">
        <v>145.07</v>
      </c>
      <c r="F362">
        <v>1766938.56965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-0.54220963172804637</v>
      </c>
      <c r="Q362">
        <f t="shared" si="970"/>
        <v>-958051.11113600747</v>
      </c>
      <c r="R362">
        <f t="shared" si="971"/>
        <v>56517199.812217407</v>
      </c>
      <c r="S362">
        <f t="shared" si="972"/>
        <v>565.17199812217405</v>
      </c>
      <c r="T362">
        <f t="shared" si="973"/>
        <v>0.565171998122174</v>
      </c>
    </row>
    <row r="363" spans="1:20" x14ac:dyDescent="0.25">
      <c r="A363" s="5">
        <v>44230</v>
      </c>
      <c r="B363">
        <v>141.96</v>
      </c>
      <c r="C363">
        <v>156.69999999999999</v>
      </c>
      <c r="D363">
        <v>141.91999999999999</v>
      </c>
      <c r="E363">
        <v>155.93</v>
      </c>
      <c r="F363">
        <v>1820822.2892400001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0.89580514208389961</v>
      </c>
      <c r="Q363">
        <f t="shared" si="970"/>
        <v>1631101.9695221696</v>
      </c>
      <c r="R363">
        <f t="shared" si="971"/>
        <v>57475250.923353411</v>
      </c>
      <c r="S363">
        <f t="shared" si="972"/>
        <v>574.75250923353406</v>
      </c>
      <c r="T363">
        <f t="shared" si="973"/>
        <v>0.57475250923353405</v>
      </c>
    </row>
    <row r="364" spans="1:20" x14ac:dyDescent="0.25">
      <c r="A364" s="5">
        <v>44229</v>
      </c>
      <c r="B364">
        <v>131.99</v>
      </c>
      <c r="C364">
        <v>145.82</v>
      </c>
      <c r="D364">
        <v>131.87</v>
      </c>
      <c r="E364">
        <v>141.97999999999999</v>
      </c>
      <c r="F364">
        <v>1884558.49538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0.44946236559139691</v>
      </c>
      <c r="Q364">
        <f t="shared" si="970"/>
        <v>847038.11942885839</v>
      </c>
      <c r="R364">
        <f t="shared" si="971"/>
        <v>55844148.953831241</v>
      </c>
      <c r="S364">
        <f t="shared" si="972"/>
        <v>558.44148953831245</v>
      </c>
      <c r="T364">
        <f t="shared" si="973"/>
        <v>0.55844148953831241</v>
      </c>
    </row>
    <row r="365" spans="1:20" x14ac:dyDescent="0.25">
      <c r="A365" s="5">
        <v>44228</v>
      </c>
      <c r="B365">
        <v>129.37</v>
      </c>
      <c r="C365">
        <v>136.63</v>
      </c>
      <c r="D365">
        <v>125.95</v>
      </c>
      <c r="E365">
        <v>132</v>
      </c>
      <c r="F365">
        <v>1167609.37029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0.13295880149812758</v>
      </c>
      <c r="Q365">
        <f t="shared" si="970"/>
        <v>155243.94249174185</v>
      </c>
      <c r="R365">
        <f t="shared" si="971"/>
        <v>54997110.834402382</v>
      </c>
      <c r="S365">
        <f t="shared" si="972"/>
        <v>549.97110834402383</v>
      </c>
      <c r="T365">
        <f t="shared" si="973"/>
        <v>0.54997110834402385</v>
      </c>
    </row>
    <row r="366" spans="1:20" x14ac:dyDescent="0.25">
      <c r="A366" s="5">
        <v>44227</v>
      </c>
      <c r="B366">
        <v>133.35</v>
      </c>
      <c r="C366">
        <v>135.06</v>
      </c>
      <c r="D366">
        <v>125.67</v>
      </c>
      <c r="E366">
        <v>129.36000000000001</v>
      </c>
      <c r="F366">
        <v>917993.35190999997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-0.21405750798721795</v>
      </c>
      <c r="Q366">
        <f t="shared" si="970"/>
        <v>-196503.3692586878</v>
      </c>
      <c r="R366">
        <f t="shared" si="971"/>
        <v>54841866.891910642</v>
      </c>
      <c r="S366">
        <f t="shared" si="972"/>
        <v>548.41866891910638</v>
      </c>
      <c r="T366">
        <f t="shared" si="973"/>
        <v>0.5484186689191064</v>
      </c>
    </row>
    <row r="367" spans="1:20" x14ac:dyDescent="0.25">
      <c r="A367" s="5">
        <v>44226</v>
      </c>
      <c r="B367">
        <v>134.66999999999999</v>
      </c>
      <c r="C367">
        <v>136.22999999999999</v>
      </c>
      <c r="D367">
        <v>128.02000000000001</v>
      </c>
      <c r="E367">
        <v>133.36000000000001</v>
      </c>
      <c r="F367">
        <v>1215569.9559599999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0.30085261875761676</v>
      </c>
      <c r="Q367">
        <f t="shared" si="970"/>
        <v>365707.40453364688</v>
      </c>
      <c r="R367">
        <f t="shared" si="971"/>
        <v>55038370.261169329</v>
      </c>
      <c r="S367">
        <f t="shared" si="972"/>
        <v>550.38370261169325</v>
      </c>
      <c r="T367">
        <f t="shared" si="973"/>
        <v>0.55038370261169323</v>
      </c>
    </row>
    <row r="368" spans="1:20" x14ac:dyDescent="0.25">
      <c r="A368" s="5">
        <v>44225</v>
      </c>
      <c r="B368">
        <v>133.25</v>
      </c>
      <c r="C368">
        <v>145.5</v>
      </c>
      <c r="D368">
        <v>131.44</v>
      </c>
      <c r="E368">
        <v>134.65</v>
      </c>
      <c r="F368">
        <v>2193040.3843999999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-0.54338549075391074</v>
      </c>
      <c r="Q368">
        <f t="shared" si="970"/>
        <v>-1191666.325520339</v>
      </c>
      <c r="R368">
        <f t="shared" si="971"/>
        <v>54672662.856635682</v>
      </c>
      <c r="S368">
        <f t="shared" si="972"/>
        <v>546.72662856635679</v>
      </c>
      <c r="T368">
        <f t="shared" si="973"/>
        <v>0.54672662856635679</v>
      </c>
    </row>
    <row r="369" spans="1:20" x14ac:dyDescent="0.25">
      <c r="A369" s="5">
        <v>44224</v>
      </c>
      <c r="B369">
        <v>122.45</v>
      </c>
      <c r="C369">
        <v>135.84</v>
      </c>
      <c r="D369">
        <v>120.74</v>
      </c>
      <c r="E369">
        <v>133.27000000000001</v>
      </c>
      <c r="F369">
        <v>1074760.5052799999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0.65960264900662358</v>
      </c>
      <c r="Q369">
        <f t="shared" si="970"/>
        <v>708914.87633038522</v>
      </c>
      <c r="R369">
        <f t="shared" si="971"/>
        <v>55864329.182156019</v>
      </c>
      <c r="S369">
        <f t="shared" si="972"/>
        <v>558.64329182156018</v>
      </c>
      <c r="T369">
        <f t="shared" si="973"/>
        <v>0.55864329182156014</v>
      </c>
    </row>
    <row r="370" spans="1:20" x14ac:dyDescent="0.25">
      <c r="A370" s="5">
        <v>44223</v>
      </c>
      <c r="B370">
        <v>134.69</v>
      </c>
      <c r="C370">
        <v>134.96</v>
      </c>
      <c r="D370">
        <v>118.13</v>
      </c>
      <c r="E370">
        <v>122.44</v>
      </c>
      <c r="F370">
        <v>1240323.68178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-0.48781937017231147</v>
      </c>
      <c r="Q370">
        <f t="shared" si="970"/>
        <v>-605053.9172557221</v>
      </c>
      <c r="R370">
        <f t="shared" si="971"/>
        <v>55155414.305825636</v>
      </c>
      <c r="S370">
        <f t="shared" si="972"/>
        <v>551.55414305825639</v>
      </c>
      <c r="T370">
        <f t="shared" si="973"/>
        <v>0.55155414305825634</v>
      </c>
    </row>
    <row r="371" spans="1:20" x14ac:dyDescent="0.25">
      <c r="A371" s="5">
        <v>44222</v>
      </c>
      <c r="B371">
        <v>137.07</v>
      </c>
      <c r="C371">
        <v>139.76</v>
      </c>
      <c r="D371">
        <v>127.85</v>
      </c>
      <c r="E371">
        <v>134.66999999999999</v>
      </c>
      <c r="F371">
        <v>1093141.08136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0.14525608732157769</v>
      </c>
      <c r="Q371">
        <f t="shared" si="970"/>
        <v>158785.39636883201</v>
      </c>
      <c r="R371">
        <f t="shared" si="971"/>
        <v>55760468.223081358</v>
      </c>
      <c r="S371">
        <f t="shared" si="972"/>
        <v>557.60468223081352</v>
      </c>
      <c r="T371">
        <f t="shared" si="973"/>
        <v>0.5576046822308135</v>
      </c>
    </row>
    <row r="372" spans="1:20" x14ac:dyDescent="0.25">
      <c r="A372" s="5">
        <v>44221</v>
      </c>
      <c r="B372">
        <v>141.01</v>
      </c>
      <c r="C372">
        <v>147.87</v>
      </c>
      <c r="D372">
        <v>136.62</v>
      </c>
      <c r="E372">
        <v>137.07</v>
      </c>
      <c r="F372">
        <v>1380902.3935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-0.92000000000000204</v>
      </c>
      <c r="Q372">
        <f t="shared" si="970"/>
        <v>-1270430.2020200028</v>
      </c>
      <c r="R372">
        <f t="shared" si="971"/>
        <v>55601682.826712526</v>
      </c>
      <c r="S372">
        <f t="shared" si="972"/>
        <v>556.01682826712522</v>
      </c>
      <c r="T372">
        <f t="shared" si="973"/>
        <v>0.55601682826712517</v>
      </c>
    </row>
    <row r="373" spans="1:20" x14ac:dyDescent="0.25">
      <c r="A373" s="5">
        <v>44220</v>
      </c>
      <c r="B373">
        <v>137.66</v>
      </c>
      <c r="C373">
        <v>142.65</v>
      </c>
      <c r="D373">
        <v>133.72999999999999</v>
      </c>
      <c r="E373">
        <v>141.01</v>
      </c>
      <c r="F373">
        <v>917459.85057999997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0.63228699551569245</v>
      </c>
      <c r="Q373">
        <f t="shared" si="970"/>
        <v>580097.93242950435</v>
      </c>
      <c r="R373">
        <f t="shared" si="971"/>
        <v>56872113.028732531</v>
      </c>
      <c r="S373">
        <f t="shared" si="972"/>
        <v>568.72113028732531</v>
      </c>
      <c r="T373">
        <f t="shared" si="973"/>
        <v>0.56872113028732529</v>
      </c>
    </row>
    <row r="374" spans="1:20" x14ac:dyDescent="0.25">
      <c r="A374" s="5">
        <v>44219</v>
      </c>
      <c r="B374">
        <v>137.65</v>
      </c>
      <c r="C374">
        <v>143.52000000000001</v>
      </c>
      <c r="D374">
        <v>135.05000000000001</v>
      </c>
      <c r="E374">
        <v>137.66999999999999</v>
      </c>
      <c r="F374">
        <v>969988.56157999998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-0.3813459268004778</v>
      </c>
      <c r="Q374">
        <f t="shared" si="970"/>
        <v>-369901.18700158742</v>
      </c>
      <c r="R374">
        <f t="shared" si="971"/>
        <v>56292015.096303023</v>
      </c>
      <c r="S374">
        <f t="shared" si="972"/>
        <v>562.92015096303021</v>
      </c>
      <c r="T374">
        <f t="shared" si="973"/>
        <v>0.56292015096303016</v>
      </c>
    </row>
    <row r="375" spans="1:20" x14ac:dyDescent="0.25">
      <c r="A375" s="5">
        <v>44218</v>
      </c>
      <c r="B375">
        <v>129.69999999999999</v>
      </c>
      <c r="C375">
        <v>141.85</v>
      </c>
      <c r="D375">
        <v>122.7</v>
      </c>
      <c r="E375">
        <v>137.66</v>
      </c>
      <c r="F375">
        <v>1979078.0056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0.56240208877284603</v>
      </c>
      <c r="Q375">
        <f t="shared" si="970"/>
        <v>1113037.6041938383</v>
      </c>
      <c r="R375">
        <f t="shared" si="971"/>
        <v>56661916.283304609</v>
      </c>
      <c r="S375">
        <f t="shared" si="972"/>
        <v>566.61916283304606</v>
      </c>
      <c r="T375">
        <f t="shared" si="973"/>
        <v>0.56661916283304603</v>
      </c>
    </row>
    <row r="376" spans="1:20" x14ac:dyDescent="0.25">
      <c r="A376" s="5">
        <v>44217</v>
      </c>
      <c r="B376">
        <v>149.66999999999999</v>
      </c>
      <c r="C376">
        <v>150.25</v>
      </c>
      <c r="D376">
        <v>125.64</v>
      </c>
      <c r="E376">
        <v>129.72</v>
      </c>
      <c r="F376">
        <v>2114912.9317200002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-0.66842746850873647</v>
      </c>
      <c r="Q376">
        <f t="shared" si="970"/>
        <v>-1413665.8970659899</v>
      </c>
      <c r="R376">
        <f t="shared" si="971"/>
        <v>55548878.679110773</v>
      </c>
      <c r="S376">
        <f t="shared" si="972"/>
        <v>555.48878679110771</v>
      </c>
      <c r="T376">
        <f t="shared" si="973"/>
        <v>0.55548878679110769</v>
      </c>
    </row>
    <row r="377" spans="1:20" x14ac:dyDescent="0.25">
      <c r="A377" s="5">
        <v>44216</v>
      </c>
      <c r="B377">
        <v>151.85</v>
      </c>
      <c r="C377">
        <v>156.15</v>
      </c>
      <c r="D377">
        <v>138.4</v>
      </c>
      <c r="E377">
        <v>149.69</v>
      </c>
      <c r="F377">
        <v>2037654.31965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0.27211267605633715</v>
      </c>
      <c r="Q377">
        <f t="shared" si="970"/>
        <v>554471.56979771657</v>
      </c>
      <c r="R377">
        <f t="shared" si="971"/>
        <v>56962544.576176763</v>
      </c>
      <c r="S377">
        <f t="shared" si="972"/>
        <v>569.62544576176765</v>
      </c>
      <c r="T377">
        <f t="shared" si="973"/>
        <v>0.56962544576176766</v>
      </c>
    </row>
    <row r="378" spans="1:20" x14ac:dyDescent="0.25">
      <c r="A378" s="5">
        <v>44215</v>
      </c>
      <c r="B378">
        <v>151.97</v>
      </c>
      <c r="C378">
        <v>166.02</v>
      </c>
      <c r="D378">
        <v>150.18</v>
      </c>
      <c r="E378">
        <v>151.86000000000001</v>
      </c>
      <c r="F378">
        <v>2288798.4777700002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-0.78787878787878707</v>
      </c>
      <c r="Q378">
        <f t="shared" si="970"/>
        <v>-1803295.7703642407</v>
      </c>
      <c r="R378">
        <f t="shared" si="971"/>
        <v>56408073.006379046</v>
      </c>
      <c r="S378">
        <f t="shared" si="972"/>
        <v>564.0807300637905</v>
      </c>
      <c r="T378">
        <f t="shared" si="973"/>
        <v>0.56408073006379045</v>
      </c>
    </row>
    <row r="379" spans="1:20" x14ac:dyDescent="0.25">
      <c r="A379" s="5">
        <v>44214</v>
      </c>
      <c r="B379">
        <v>142.78</v>
      </c>
      <c r="C379">
        <v>154.99</v>
      </c>
      <c r="D379">
        <v>138.44</v>
      </c>
      <c r="E379">
        <v>151.96</v>
      </c>
      <c r="F379">
        <v>1644947.1481300001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0.63383685800604239</v>
      </c>
      <c r="Q379">
        <f t="shared" si="970"/>
        <v>1042628.1319567192</v>
      </c>
      <c r="R379">
        <f t="shared" si="971"/>
        <v>58211368.776743285</v>
      </c>
      <c r="S379">
        <f t="shared" si="972"/>
        <v>582.11368776743291</v>
      </c>
      <c r="T379">
        <f t="shared" si="973"/>
        <v>0.58211368776743289</v>
      </c>
    </row>
    <row r="380" spans="1:20" x14ac:dyDescent="0.25">
      <c r="A380" s="5">
        <v>44213</v>
      </c>
      <c r="B380">
        <v>143.52000000000001</v>
      </c>
      <c r="C380">
        <v>147</v>
      </c>
      <c r="D380">
        <v>136.22</v>
      </c>
      <c r="E380">
        <v>142.80000000000001</v>
      </c>
      <c r="F380">
        <v>1379082.3792000001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0.22077922077922296</v>
      </c>
      <c r="Q380">
        <f t="shared" si="970"/>
        <v>304472.7330701329</v>
      </c>
      <c r="R380">
        <f t="shared" si="971"/>
        <v>57168740.644786566</v>
      </c>
      <c r="S380">
        <f t="shared" si="972"/>
        <v>571.68740644786567</v>
      </c>
      <c r="T380">
        <f t="shared" si="973"/>
        <v>0.57168740644786564</v>
      </c>
    </row>
    <row r="381" spans="1:20" x14ac:dyDescent="0.25">
      <c r="A381" s="5">
        <v>44212</v>
      </c>
      <c r="B381">
        <v>143.66</v>
      </c>
      <c r="C381">
        <v>152.59</v>
      </c>
      <c r="D381">
        <v>139.28</v>
      </c>
      <c r="E381">
        <v>143.52000000000001</v>
      </c>
      <c r="F381">
        <v>1784053.82975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-0.3628850488354608</v>
      </c>
      <c r="Q381">
        <f t="shared" si="970"/>
        <v>-647406.46113391966</v>
      </c>
      <c r="R381">
        <f t="shared" si="971"/>
        <v>56864267.911716431</v>
      </c>
      <c r="S381">
        <f t="shared" si="972"/>
        <v>568.64267911716433</v>
      </c>
      <c r="T381">
        <f t="shared" si="973"/>
        <v>0.56864267911716437</v>
      </c>
    </row>
    <row r="382" spans="1:20" x14ac:dyDescent="0.25">
      <c r="A382" s="5">
        <v>44211</v>
      </c>
      <c r="B382">
        <v>152.46</v>
      </c>
      <c r="C382">
        <v>155.74</v>
      </c>
      <c r="D382">
        <v>130</v>
      </c>
      <c r="E382">
        <v>143.65</v>
      </c>
      <c r="F382">
        <v>2104225.5120999999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6.060606060606067E-2</v>
      </c>
      <c r="Q382">
        <f t="shared" si="970"/>
        <v>127528.81891515164</v>
      </c>
      <c r="R382">
        <f t="shared" si="971"/>
        <v>57511674.372850351</v>
      </c>
      <c r="S382">
        <f t="shared" si="972"/>
        <v>575.11674372850348</v>
      </c>
      <c r="T382">
        <f t="shared" si="973"/>
        <v>0.57511674372850352</v>
      </c>
    </row>
    <row r="383" spans="1:20" x14ac:dyDescent="0.25">
      <c r="A383" s="5">
        <v>44210</v>
      </c>
      <c r="B383">
        <v>147.38999999999999</v>
      </c>
      <c r="C383">
        <v>156.88999999999999</v>
      </c>
      <c r="D383">
        <v>143.55000000000001</v>
      </c>
      <c r="E383">
        <v>152.5</v>
      </c>
      <c r="F383">
        <v>2033762.6002700001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0.3418290854572722</v>
      </c>
      <c r="Q383">
        <f t="shared" si="970"/>
        <v>695199.20968749793</v>
      </c>
      <c r="R383">
        <f t="shared" si="971"/>
        <v>57384145.5539352</v>
      </c>
      <c r="S383">
        <f t="shared" si="972"/>
        <v>573.84145553935195</v>
      </c>
      <c r="T383">
        <f t="shared" si="973"/>
        <v>0.57384145553935195</v>
      </c>
    </row>
    <row r="384" spans="1:20" x14ac:dyDescent="0.25">
      <c r="A384" s="5">
        <v>44209</v>
      </c>
      <c r="B384">
        <v>133.44</v>
      </c>
      <c r="C384">
        <v>148.46</v>
      </c>
      <c r="D384">
        <v>125.9</v>
      </c>
      <c r="E384">
        <v>147.38</v>
      </c>
      <c r="F384">
        <v>2153426.2779799998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0.90425531914893509</v>
      </c>
      <c r="Q384">
        <f t="shared" si="970"/>
        <v>1947247.1662585081</v>
      </c>
      <c r="R384">
        <f t="shared" si="971"/>
        <v>56688946.344247699</v>
      </c>
      <c r="S384">
        <f t="shared" si="972"/>
        <v>566.88946344247699</v>
      </c>
      <c r="T384">
        <f t="shared" si="973"/>
        <v>0.56688946344247704</v>
      </c>
    </row>
    <row r="385" spans="1:20" x14ac:dyDescent="0.25">
      <c r="A385" s="5">
        <v>44208</v>
      </c>
      <c r="B385">
        <v>138.88</v>
      </c>
      <c r="C385">
        <v>146.86000000000001</v>
      </c>
      <c r="D385">
        <v>128</v>
      </c>
      <c r="E385">
        <v>133.41999999999999</v>
      </c>
      <c r="F385">
        <v>2825579.6125699999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-0.42523860021209081</v>
      </c>
      <c r="Q385">
        <f t="shared" si="970"/>
        <v>-1201545.5192370887</v>
      </c>
      <c r="R385">
        <f t="shared" si="971"/>
        <v>54741699.177989192</v>
      </c>
      <c r="S385">
        <f t="shared" si="972"/>
        <v>547.41699177989187</v>
      </c>
      <c r="T385">
        <f t="shared" si="973"/>
        <v>0.54741699177989189</v>
      </c>
    </row>
    <row r="386" spans="1:20" x14ac:dyDescent="0.25">
      <c r="A386" s="5">
        <v>44207</v>
      </c>
      <c r="B386">
        <v>170.06</v>
      </c>
      <c r="C386">
        <v>170.74</v>
      </c>
      <c r="D386">
        <v>112.7</v>
      </c>
      <c r="E386">
        <v>138.87</v>
      </c>
      <c r="F386">
        <v>4989528.6514900001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-9.8208132322536223E-2</v>
      </c>
      <c r="Q386">
        <f t="shared" si="970"/>
        <v>-490012.29003261565</v>
      </c>
      <c r="R386">
        <f t="shared" si="971"/>
        <v>55943244.697226278</v>
      </c>
      <c r="S386">
        <f t="shared" si="972"/>
        <v>559.43244697226282</v>
      </c>
      <c r="T386">
        <f t="shared" si="973"/>
        <v>0.5594324469722628</v>
      </c>
    </row>
    <row r="387" spans="1:20" x14ac:dyDescent="0.25">
      <c r="A387" s="5">
        <v>44206</v>
      </c>
      <c r="B387">
        <v>177.27</v>
      </c>
      <c r="C387">
        <v>185.83</v>
      </c>
      <c r="D387">
        <v>161.86000000000001</v>
      </c>
      <c r="E387">
        <v>170.07</v>
      </c>
      <c r="F387">
        <v>2269705.0446000001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-0.31497705465164955</v>
      </c>
      <c r="Q387">
        <f t="shared" si="970"/>
        <v>-714905.00987609895</v>
      </c>
      <c r="R387">
        <f t="shared" si="971"/>
        <v>56433256.987258896</v>
      </c>
      <c r="S387">
        <f t="shared" si="972"/>
        <v>564.33256987258892</v>
      </c>
      <c r="T387">
        <f t="shared" si="973"/>
        <v>0.56433256987258895</v>
      </c>
    </row>
    <row r="388" spans="1:20" x14ac:dyDescent="0.25">
      <c r="A388" s="5">
        <v>44205</v>
      </c>
      <c r="B388">
        <v>172.28</v>
      </c>
      <c r="C388">
        <v>178.8</v>
      </c>
      <c r="D388">
        <v>163.30000000000001</v>
      </c>
      <c r="E388">
        <v>177.26</v>
      </c>
      <c r="F388">
        <v>1749781.8497299999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0.80129032258064248</v>
      </c>
      <c r="Q388">
        <f t="shared" si="970"/>
        <v>1402083.2628159048</v>
      </c>
      <c r="R388">
        <f t="shared" si="971"/>
        <v>57148161.997134998</v>
      </c>
      <c r="S388">
        <f t="shared" si="972"/>
        <v>571.48161997135003</v>
      </c>
      <c r="T388">
        <f t="shared" si="973"/>
        <v>0.57148161997135005</v>
      </c>
    </row>
    <row r="389" spans="1:20" x14ac:dyDescent="0.25">
      <c r="A389" s="5">
        <v>44204</v>
      </c>
      <c r="B389">
        <v>169.35</v>
      </c>
      <c r="C389">
        <v>181.92</v>
      </c>
      <c r="D389">
        <v>150</v>
      </c>
      <c r="E389">
        <v>172.19</v>
      </c>
      <c r="F389">
        <v>2843159.7034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0.39035087719298284</v>
      </c>
      <c r="Q389">
        <f t="shared" si="970"/>
        <v>1109829.884221931</v>
      </c>
      <c r="R389">
        <f t="shared" si="971"/>
        <v>55746078.734319091</v>
      </c>
      <c r="S389">
        <f t="shared" si="972"/>
        <v>557.46078734319087</v>
      </c>
      <c r="T389">
        <f t="shared" si="973"/>
        <v>0.55746078734319082</v>
      </c>
    </row>
    <row r="390" spans="1:20" x14ac:dyDescent="0.25">
      <c r="A390" s="5">
        <v>44203</v>
      </c>
      <c r="B390">
        <v>168.96</v>
      </c>
      <c r="C390">
        <v>181.22</v>
      </c>
      <c r="D390">
        <v>161.18</v>
      </c>
      <c r="E390">
        <v>169.35</v>
      </c>
      <c r="F390">
        <v>2493533.9948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-0.18463073852295503</v>
      </c>
      <c r="Q390">
        <f t="shared" ref="Q390:Q453" si="975">F390*P390</f>
        <v>-460383.02299201832</v>
      </c>
      <c r="R390">
        <f t="shared" ref="R390:R453" si="976">R391+Q390</f>
        <v>54636248.850097157</v>
      </c>
      <c r="S390">
        <f t="shared" ref="S390:S453" si="977">R390/100000</f>
        <v>546.36248850097161</v>
      </c>
      <c r="T390">
        <f t="shared" ref="T390:T453" si="978">S390/1000</f>
        <v>0.54636248850097158</v>
      </c>
    </row>
    <row r="391" spans="1:20" x14ac:dyDescent="0.25">
      <c r="A391" s="5">
        <v>44202</v>
      </c>
      <c r="B391">
        <v>158.46</v>
      </c>
      <c r="C391">
        <v>169.72</v>
      </c>
      <c r="D391">
        <v>154.94999999999999</v>
      </c>
      <c r="E391">
        <v>168.92</v>
      </c>
      <c r="F391">
        <v>1857831.43166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0.89167230873391867</v>
      </c>
      <c r="Q391">
        <f t="shared" si="975"/>
        <v>1656576.8419067136</v>
      </c>
      <c r="R391">
        <f t="shared" si="976"/>
        <v>55096631.873089172</v>
      </c>
      <c r="S391">
        <f t="shared" si="977"/>
        <v>550.96631873089177</v>
      </c>
      <c r="T391">
        <f t="shared" si="978"/>
        <v>0.55096631873089175</v>
      </c>
    </row>
    <row r="392" spans="1:20" x14ac:dyDescent="0.25">
      <c r="A392" s="5">
        <v>44201</v>
      </c>
      <c r="B392">
        <v>155.33000000000001</v>
      </c>
      <c r="C392">
        <v>162.80000000000001</v>
      </c>
      <c r="D392">
        <v>146.52000000000001</v>
      </c>
      <c r="E392">
        <v>158.43</v>
      </c>
      <c r="F392">
        <v>1998205.9242499999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0.46314496314496262</v>
      </c>
      <c r="Q392">
        <f t="shared" si="975"/>
        <v>925459.00914281223</v>
      </c>
      <c r="R392">
        <f t="shared" si="976"/>
        <v>53440055.03118246</v>
      </c>
      <c r="S392">
        <f t="shared" si="977"/>
        <v>534.40055031182465</v>
      </c>
      <c r="T392">
        <f t="shared" si="978"/>
        <v>0.53440055031182465</v>
      </c>
    </row>
    <row r="393" spans="1:20" x14ac:dyDescent="0.25">
      <c r="A393" s="5">
        <v>44200</v>
      </c>
      <c r="B393">
        <v>161.22999999999999</v>
      </c>
      <c r="C393">
        <v>173.66</v>
      </c>
      <c r="D393">
        <v>139.31</v>
      </c>
      <c r="E393">
        <v>155.34</v>
      </c>
      <c r="F393">
        <v>3530422.2039200002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-6.6666666666666444E-2</v>
      </c>
      <c r="Q393">
        <f t="shared" si="975"/>
        <v>-235361.48026133256</v>
      </c>
      <c r="R393">
        <f t="shared" si="976"/>
        <v>52514596.022039652</v>
      </c>
      <c r="S393">
        <f t="shared" si="977"/>
        <v>525.14596022039655</v>
      </c>
      <c r="T393">
        <f t="shared" si="978"/>
        <v>0.5251459602203965</v>
      </c>
    </row>
    <row r="394" spans="1:20" x14ac:dyDescent="0.25">
      <c r="A394" s="5">
        <v>44199</v>
      </c>
      <c r="B394">
        <v>136.94</v>
      </c>
      <c r="C394">
        <v>164.7</v>
      </c>
      <c r="D394">
        <v>135.30000000000001</v>
      </c>
      <c r="E394">
        <v>161.24</v>
      </c>
      <c r="F394">
        <v>3813834.07669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0.7646258503401373</v>
      </c>
      <c r="Q394">
        <f t="shared" si="975"/>
        <v>2916156.1239452837</v>
      </c>
      <c r="R394">
        <f t="shared" si="976"/>
        <v>52749957.502300985</v>
      </c>
      <c r="S394">
        <f t="shared" si="977"/>
        <v>527.49957502300981</v>
      </c>
      <c r="T394">
        <f t="shared" si="978"/>
        <v>0.52749957502300981</v>
      </c>
    </row>
    <row r="395" spans="1:20" x14ac:dyDescent="0.25">
      <c r="A395" s="5">
        <v>44198</v>
      </c>
      <c r="B395">
        <v>126.2</v>
      </c>
      <c r="C395">
        <v>142</v>
      </c>
      <c r="D395">
        <v>123.15</v>
      </c>
      <c r="E395">
        <v>136.96</v>
      </c>
      <c r="F395">
        <v>2442266.7650000001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0.46525198938992113</v>
      </c>
      <c r="Q395">
        <f t="shared" si="975"/>
        <v>1136269.4710371371</v>
      </c>
      <c r="R395">
        <f t="shared" si="976"/>
        <v>49833801.378355704</v>
      </c>
      <c r="S395">
        <f t="shared" si="977"/>
        <v>498.33801378355702</v>
      </c>
      <c r="T395">
        <f t="shared" si="978"/>
        <v>0.49833801378355702</v>
      </c>
    </row>
    <row r="396" spans="1:20" x14ac:dyDescent="0.25">
      <c r="A396" s="5">
        <v>44197</v>
      </c>
      <c r="B396">
        <v>124.22</v>
      </c>
      <c r="C396">
        <v>133.97</v>
      </c>
      <c r="D396">
        <v>122.89</v>
      </c>
      <c r="E396">
        <v>126.24</v>
      </c>
      <c r="F396">
        <v>1539801.8081499999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-0.39530685920577713</v>
      </c>
      <c r="Q396">
        <f t="shared" si="975"/>
        <v>-608694.21657915309</v>
      </c>
      <c r="R396">
        <f t="shared" si="976"/>
        <v>48697531.90731857</v>
      </c>
      <c r="S396">
        <f t="shared" si="977"/>
        <v>486.97531907318569</v>
      </c>
      <c r="T396">
        <f t="shared" si="978"/>
        <v>0.4869753190731857</v>
      </c>
    </row>
    <row r="397" spans="1:20" x14ac:dyDescent="0.25">
      <c r="A397" s="5">
        <v>44196</v>
      </c>
      <c r="B397">
        <v>130.06</v>
      </c>
      <c r="C397">
        <v>130.35</v>
      </c>
      <c r="D397">
        <v>121.98</v>
      </c>
      <c r="E397">
        <v>124.21</v>
      </c>
      <c r="F397">
        <v>1248723.0342399999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-0.4671445639187593</v>
      </c>
      <c r="Q397">
        <f t="shared" si="975"/>
        <v>-583334.1772853547</v>
      </c>
      <c r="R397">
        <f t="shared" si="976"/>
        <v>49306226.123897724</v>
      </c>
      <c r="S397">
        <f t="shared" si="977"/>
        <v>493.06226123897721</v>
      </c>
      <c r="T397">
        <f t="shared" si="978"/>
        <v>0.49306226123897723</v>
      </c>
    </row>
    <row r="398" spans="1:20" x14ac:dyDescent="0.25">
      <c r="A398" s="5">
        <v>44195</v>
      </c>
      <c r="B398">
        <v>128.80000000000001</v>
      </c>
      <c r="C398">
        <v>133.11000000000001</v>
      </c>
      <c r="D398">
        <v>122.63</v>
      </c>
      <c r="E398">
        <v>130.05000000000001</v>
      </c>
      <c r="F398">
        <v>1727676.6410000001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0.41603053435114562</v>
      </c>
      <c r="Q398">
        <f t="shared" si="975"/>
        <v>718766.23614122241</v>
      </c>
      <c r="R398">
        <f t="shared" si="976"/>
        <v>49889560.301183082</v>
      </c>
      <c r="S398">
        <f t="shared" si="977"/>
        <v>498.89560301183081</v>
      </c>
      <c r="T398">
        <f t="shared" si="978"/>
        <v>0.49889560301183083</v>
      </c>
    </row>
    <row r="399" spans="1:20" x14ac:dyDescent="0.25">
      <c r="A399" s="5">
        <v>44194</v>
      </c>
      <c r="B399">
        <v>129.84</v>
      </c>
      <c r="C399">
        <v>130.9</v>
      </c>
      <c r="D399">
        <v>120</v>
      </c>
      <c r="E399">
        <v>128.80000000000001</v>
      </c>
      <c r="F399">
        <v>1732248.3840900001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0.61467889908257001</v>
      </c>
      <c r="Q399">
        <f t="shared" si="975"/>
        <v>1064776.5296700022</v>
      </c>
      <c r="R399">
        <f t="shared" si="976"/>
        <v>49170794.065041862</v>
      </c>
      <c r="S399">
        <f t="shared" si="977"/>
        <v>491.70794065041861</v>
      </c>
      <c r="T399">
        <f t="shared" si="978"/>
        <v>0.49170794065041862</v>
      </c>
    </row>
    <row r="400" spans="1:20" x14ac:dyDescent="0.25">
      <c r="A400" s="5">
        <v>44193</v>
      </c>
      <c r="B400">
        <v>127.83</v>
      </c>
      <c r="C400">
        <v>137.41</v>
      </c>
      <c r="D400">
        <v>126.37</v>
      </c>
      <c r="E400">
        <v>129.83000000000001</v>
      </c>
      <c r="F400">
        <v>2349842.9550200002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-0.37318840579709955</v>
      </c>
      <c r="Q400">
        <f t="shared" si="975"/>
        <v>-876934.14625745942</v>
      </c>
      <c r="R400">
        <f t="shared" si="976"/>
        <v>48106017.535371862</v>
      </c>
      <c r="S400">
        <f t="shared" si="977"/>
        <v>481.06017535371865</v>
      </c>
      <c r="T400">
        <f t="shared" si="978"/>
        <v>0.48106017535371864</v>
      </c>
    </row>
    <row r="401" spans="1:20" x14ac:dyDescent="0.25">
      <c r="A401" s="5">
        <v>44192</v>
      </c>
      <c r="B401">
        <v>129.61000000000001</v>
      </c>
      <c r="C401">
        <v>139.47</v>
      </c>
      <c r="D401">
        <v>121.88</v>
      </c>
      <c r="E401">
        <v>127.88</v>
      </c>
      <c r="F401">
        <v>3743173.13001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-0.31779420125071078</v>
      </c>
      <c r="Q401">
        <f t="shared" si="975"/>
        <v>-1189558.714994651</v>
      </c>
      <c r="R401">
        <f t="shared" si="976"/>
        <v>48982951.681629322</v>
      </c>
      <c r="S401">
        <f t="shared" si="977"/>
        <v>489.82951681629322</v>
      </c>
      <c r="T401">
        <f t="shared" si="978"/>
        <v>0.48982951681629322</v>
      </c>
    </row>
    <row r="402" spans="1:20" x14ac:dyDescent="0.25">
      <c r="A402" s="5">
        <v>44191</v>
      </c>
      <c r="B402">
        <v>127.74</v>
      </c>
      <c r="C402">
        <v>135.19</v>
      </c>
      <c r="D402">
        <v>124.94</v>
      </c>
      <c r="E402">
        <v>129.61000000000001</v>
      </c>
      <c r="F402">
        <v>3461075.6472999998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-8.878048780487495E-2</v>
      </c>
      <c r="Q402">
        <f t="shared" si="975"/>
        <v>-307275.98429686733</v>
      </c>
      <c r="R402">
        <f t="shared" si="976"/>
        <v>50172510.396623977</v>
      </c>
      <c r="S402">
        <f t="shared" si="977"/>
        <v>501.72510396623977</v>
      </c>
      <c r="T402">
        <f t="shared" si="978"/>
        <v>0.50172510396623982</v>
      </c>
    </row>
    <row r="403" spans="1:20" x14ac:dyDescent="0.25">
      <c r="A403" s="5">
        <v>44190</v>
      </c>
      <c r="B403">
        <v>111.13</v>
      </c>
      <c r="C403">
        <v>128.63</v>
      </c>
      <c r="D403">
        <v>108.18</v>
      </c>
      <c r="E403">
        <v>127.78</v>
      </c>
      <c r="F403">
        <v>3117913.9489799999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0.91687041564792227</v>
      </c>
      <c r="Q403">
        <f t="shared" si="975"/>
        <v>2858723.0583557473</v>
      </c>
      <c r="R403">
        <f t="shared" si="976"/>
        <v>50479786.380920842</v>
      </c>
      <c r="S403">
        <f t="shared" si="977"/>
        <v>504.79786380920842</v>
      </c>
      <c r="T403">
        <f t="shared" si="978"/>
        <v>0.50479786380920844</v>
      </c>
    </row>
    <row r="404" spans="1:20" x14ac:dyDescent="0.25">
      <c r="A404" s="5">
        <v>44189</v>
      </c>
      <c r="B404">
        <v>102.46</v>
      </c>
      <c r="C404">
        <v>112.32</v>
      </c>
      <c r="D404">
        <v>98.55</v>
      </c>
      <c r="E404">
        <v>111.13</v>
      </c>
      <c r="F404">
        <v>2696980.5169700002</v>
      </c>
      <c r="G404">
        <v>0</v>
      </c>
      <c r="L404" t="s">
        <v>8</v>
      </c>
      <c r="M404" t="s">
        <v>7</v>
      </c>
      <c r="N404" t="s">
        <v>8</v>
      </c>
      <c r="P404">
        <f t="shared" si="974"/>
        <v>0.82716049382716073</v>
      </c>
      <c r="Q404">
        <f t="shared" si="975"/>
        <v>2230835.7362591368</v>
      </c>
      <c r="R404">
        <f t="shared" si="976"/>
        <v>47621063.322565094</v>
      </c>
      <c r="S404">
        <f t="shared" si="977"/>
        <v>476.21063322565095</v>
      </c>
      <c r="T404">
        <f t="shared" si="978"/>
        <v>0.47621063322565094</v>
      </c>
    </row>
    <row r="405" spans="1:20" x14ac:dyDescent="0.25">
      <c r="A405" s="5">
        <v>44188</v>
      </c>
      <c r="B405">
        <v>114.31</v>
      </c>
      <c r="C405">
        <v>117.29</v>
      </c>
      <c r="D405">
        <v>95.23</v>
      </c>
      <c r="E405">
        <v>102.45</v>
      </c>
      <c r="F405">
        <v>3923591.0743399998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-0.345421577515866</v>
      </c>
      <c r="Q405">
        <f t="shared" si="975"/>
        <v>-1355293.0184256942</v>
      </c>
      <c r="R405">
        <f t="shared" si="976"/>
        <v>45390227.586305954</v>
      </c>
      <c r="S405">
        <f t="shared" si="977"/>
        <v>453.90227586305951</v>
      </c>
      <c r="T405">
        <f t="shared" si="978"/>
        <v>0.45390227586305953</v>
      </c>
    </row>
    <row r="406" spans="1:20" x14ac:dyDescent="0.25">
      <c r="A406" s="5">
        <v>44187</v>
      </c>
      <c r="B406">
        <v>104.48</v>
      </c>
      <c r="C406">
        <v>114.63</v>
      </c>
      <c r="D406">
        <v>98.35</v>
      </c>
      <c r="E406">
        <v>114.32</v>
      </c>
      <c r="F406">
        <v>3210319.32528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0.96191646191646163</v>
      </c>
      <c r="Q406">
        <f t="shared" si="975"/>
        <v>3088059.0069953799</v>
      </c>
      <c r="R406">
        <f t="shared" si="976"/>
        <v>46745520.604731649</v>
      </c>
      <c r="S406">
        <f t="shared" si="977"/>
        <v>467.45520604731649</v>
      </c>
      <c r="T406">
        <f t="shared" si="978"/>
        <v>0.4674552060473165</v>
      </c>
    </row>
    <row r="407" spans="1:20" x14ac:dyDescent="0.25">
      <c r="A407" s="5">
        <v>44186</v>
      </c>
      <c r="B407">
        <v>114.59</v>
      </c>
      <c r="C407">
        <v>118.65</v>
      </c>
      <c r="D407">
        <v>100.31</v>
      </c>
      <c r="E407">
        <v>104.45</v>
      </c>
      <c r="F407">
        <v>2599527.8136499999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-0.54852780806979284</v>
      </c>
      <c r="Q407">
        <f t="shared" si="975"/>
        <v>-1425913.2936378953</v>
      </c>
      <c r="R407">
        <f t="shared" si="976"/>
        <v>43657461.597736269</v>
      </c>
      <c r="S407">
        <f t="shared" si="977"/>
        <v>436.57461597736267</v>
      </c>
      <c r="T407">
        <f t="shared" si="978"/>
        <v>0.43657461597736269</v>
      </c>
    </row>
    <row r="408" spans="1:20" x14ac:dyDescent="0.25">
      <c r="A408" s="5">
        <v>44185</v>
      </c>
      <c r="B408">
        <v>119.85</v>
      </c>
      <c r="C408">
        <v>123.21</v>
      </c>
      <c r="D408">
        <v>109.76</v>
      </c>
      <c r="E408">
        <v>114.58</v>
      </c>
      <c r="F408">
        <v>2671305.3283899999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-0.28327137546468445</v>
      </c>
      <c r="Q408">
        <f t="shared" si="975"/>
        <v>-756704.33465917583</v>
      </c>
      <c r="R408">
        <f t="shared" si="976"/>
        <v>45083374.891374163</v>
      </c>
      <c r="S408">
        <f t="shared" si="977"/>
        <v>450.83374891374166</v>
      </c>
      <c r="T408">
        <f t="shared" si="978"/>
        <v>0.45083374891374167</v>
      </c>
    </row>
    <row r="409" spans="1:20" x14ac:dyDescent="0.25">
      <c r="A409" s="5">
        <v>44184</v>
      </c>
      <c r="B409">
        <v>109.34</v>
      </c>
      <c r="C409">
        <v>124.24</v>
      </c>
      <c r="D409">
        <v>105.31</v>
      </c>
      <c r="E409">
        <v>119.85</v>
      </c>
      <c r="F409">
        <v>2753360.1997099998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0.53618594823032195</v>
      </c>
      <c r="Q409">
        <f t="shared" si="975"/>
        <v>1476313.0495011348</v>
      </c>
      <c r="R409">
        <f t="shared" si="976"/>
        <v>45840079.226033337</v>
      </c>
      <c r="S409">
        <f t="shared" si="977"/>
        <v>458.40079226033339</v>
      </c>
      <c r="T409">
        <f t="shared" si="978"/>
        <v>0.45840079226033337</v>
      </c>
    </row>
    <row r="410" spans="1:20" x14ac:dyDescent="0.25">
      <c r="A410" s="5">
        <v>44183</v>
      </c>
      <c r="B410">
        <v>100.99</v>
      </c>
      <c r="C410">
        <v>112.88</v>
      </c>
      <c r="D410">
        <v>99.24</v>
      </c>
      <c r="E410">
        <v>109.34</v>
      </c>
      <c r="F410">
        <v>3141671.5360900001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0.48093841642228857</v>
      </c>
      <c r="Q410">
        <f t="shared" si="975"/>
        <v>1510950.5334861034</v>
      </c>
      <c r="R410">
        <f t="shared" si="976"/>
        <v>44363766.176532201</v>
      </c>
      <c r="S410">
        <f t="shared" si="977"/>
        <v>443.63766176532204</v>
      </c>
      <c r="T410">
        <f t="shared" si="978"/>
        <v>0.44363766176532204</v>
      </c>
    </row>
    <row r="411" spans="1:20" x14ac:dyDescent="0.25">
      <c r="A411" s="5">
        <v>44182</v>
      </c>
      <c r="B411">
        <v>92.94</v>
      </c>
      <c r="C411">
        <v>109.8</v>
      </c>
      <c r="D411">
        <v>90</v>
      </c>
      <c r="E411">
        <v>101.01</v>
      </c>
      <c r="F411">
        <v>4161454.8925299998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0.1121212121212128</v>
      </c>
      <c r="Q411">
        <f t="shared" si="975"/>
        <v>466587.36673821491</v>
      </c>
      <c r="R411">
        <f t="shared" si="976"/>
        <v>42852815.643046096</v>
      </c>
      <c r="S411">
        <f t="shared" si="977"/>
        <v>428.52815643046097</v>
      </c>
      <c r="T411">
        <f t="shared" si="978"/>
        <v>0.42852815643046099</v>
      </c>
    </row>
    <row r="412" spans="1:20" x14ac:dyDescent="0.25">
      <c r="A412" s="5">
        <v>44181</v>
      </c>
      <c r="B412">
        <v>81.36</v>
      </c>
      <c r="C412">
        <v>93.44</v>
      </c>
      <c r="D412">
        <v>78.31</v>
      </c>
      <c r="E412">
        <v>92.94</v>
      </c>
      <c r="F412">
        <v>2349124.19924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0.93390614672835426</v>
      </c>
      <c r="Q412">
        <f t="shared" si="975"/>
        <v>2193861.5290985592</v>
      </c>
      <c r="R412">
        <f t="shared" si="976"/>
        <v>42386228.276307881</v>
      </c>
      <c r="S412">
        <f t="shared" si="977"/>
        <v>423.86228276307878</v>
      </c>
      <c r="T412">
        <f t="shared" si="978"/>
        <v>0.4238622827630788</v>
      </c>
    </row>
    <row r="413" spans="1:20" x14ac:dyDescent="0.25">
      <c r="A413" s="5">
        <v>44180</v>
      </c>
      <c r="B413">
        <v>82.38</v>
      </c>
      <c r="C413">
        <v>84.93</v>
      </c>
      <c r="D413">
        <v>80.39</v>
      </c>
      <c r="E413">
        <v>81.319999999999993</v>
      </c>
      <c r="F413">
        <v>1348469.2088899999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-0.59030837004405667</v>
      </c>
      <c r="Q413">
        <f t="shared" si="975"/>
        <v>-796012.66075445444</v>
      </c>
      <c r="R413">
        <f t="shared" si="976"/>
        <v>40192366.747209325</v>
      </c>
      <c r="S413">
        <f t="shared" si="977"/>
        <v>401.92366747209326</v>
      </c>
      <c r="T413">
        <f t="shared" si="978"/>
        <v>0.40192366747209324</v>
      </c>
    </row>
    <row r="414" spans="1:20" x14ac:dyDescent="0.25">
      <c r="A414" s="5">
        <v>44179</v>
      </c>
      <c r="B414">
        <v>82.27</v>
      </c>
      <c r="C414">
        <v>82.98</v>
      </c>
      <c r="D414">
        <v>79.11</v>
      </c>
      <c r="E414">
        <v>82.35</v>
      </c>
      <c r="F414">
        <v>1102081.7302600001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0.67441860465115822</v>
      </c>
      <c r="Q414">
        <f t="shared" si="975"/>
        <v>743264.42273348337</v>
      </c>
      <c r="R414">
        <f t="shared" si="976"/>
        <v>40988379.407963783</v>
      </c>
      <c r="S414">
        <f t="shared" si="977"/>
        <v>409.88379407963782</v>
      </c>
      <c r="T414">
        <f t="shared" si="978"/>
        <v>0.40988379407963782</v>
      </c>
    </row>
    <row r="415" spans="1:20" x14ac:dyDescent="0.25">
      <c r="A415" s="5">
        <v>44178</v>
      </c>
      <c r="B415">
        <v>76.64</v>
      </c>
      <c r="C415">
        <v>84.38</v>
      </c>
      <c r="D415">
        <v>75.52</v>
      </c>
      <c r="E415">
        <v>82.28</v>
      </c>
      <c r="F415">
        <v>1278882.98328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0.52595936794582521</v>
      </c>
      <c r="Q415">
        <f t="shared" si="975"/>
        <v>672640.48556262022</v>
      </c>
      <c r="R415">
        <f t="shared" si="976"/>
        <v>40245114.985230297</v>
      </c>
      <c r="S415">
        <f t="shared" si="977"/>
        <v>402.45114985230299</v>
      </c>
      <c r="T415">
        <f t="shared" si="978"/>
        <v>0.40245114985230301</v>
      </c>
    </row>
    <row r="416" spans="1:20" x14ac:dyDescent="0.25">
      <c r="A416" s="5">
        <v>44177</v>
      </c>
      <c r="B416">
        <v>72.2</v>
      </c>
      <c r="C416">
        <v>77.58</v>
      </c>
      <c r="D416">
        <v>71.97</v>
      </c>
      <c r="E416">
        <v>76.67</v>
      </c>
      <c r="F416">
        <v>872394.12884000002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0.67557932263814735</v>
      </c>
      <c r="Q416">
        <f t="shared" si="975"/>
        <v>589371.43463522382</v>
      </c>
      <c r="R416">
        <f t="shared" si="976"/>
        <v>39572474.499667674</v>
      </c>
      <c r="S416">
        <f t="shared" si="977"/>
        <v>395.72474499667675</v>
      </c>
      <c r="T416">
        <f t="shared" si="978"/>
        <v>0.39572474499667676</v>
      </c>
    </row>
    <row r="417" spans="1:20" x14ac:dyDescent="0.25">
      <c r="A417" s="5">
        <v>44176</v>
      </c>
      <c r="B417">
        <v>74.77</v>
      </c>
      <c r="C417">
        <v>75.09</v>
      </c>
      <c r="D417">
        <v>69.87</v>
      </c>
      <c r="E417">
        <v>72.2</v>
      </c>
      <c r="F417">
        <v>1484095.85234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-0.1072796934865905</v>
      </c>
      <c r="Q417">
        <f t="shared" si="975"/>
        <v>-159213.34814375546</v>
      </c>
      <c r="R417">
        <f t="shared" si="976"/>
        <v>38983103.065032452</v>
      </c>
      <c r="S417">
        <f t="shared" si="977"/>
        <v>389.83103065032452</v>
      </c>
      <c r="T417">
        <f t="shared" si="978"/>
        <v>0.38983103065032454</v>
      </c>
    </row>
    <row r="418" spans="1:20" x14ac:dyDescent="0.25">
      <c r="A418" s="5">
        <v>44175</v>
      </c>
      <c r="B418">
        <v>77.41</v>
      </c>
      <c r="C418">
        <v>77.66</v>
      </c>
      <c r="D418">
        <v>72.510000000000005</v>
      </c>
      <c r="E418">
        <v>74.7</v>
      </c>
      <c r="F418">
        <v>900570.55819999997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-0.14951456310679559</v>
      </c>
      <c r="Q418">
        <f t="shared" si="975"/>
        <v>-134648.41355611602</v>
      </c>
      <c r="R418">
        <f t="shared" si="976"/>
        <v>39142316.413176209</v>
      </c>
      <c r="S418">
        <f t="shared" si="977"/>
        <v>391.42316413176206</v>
      </c>
      <c r="T418">
        <f t="shared" si="978"/>
        <v>0.39142316413176209</v>
      </c>
    </row>
    <row r="419" spans="1:20" x14ac:dyDescent="0.25">
      <c r="A419" s="5">
        <v>44174</v>
      </c>
      <c r="B419">
        <v>76.75</v>
      </c>
      <c r="C419">
        <v>78.14</v>
      </c>
      <c r="D419">
        <v>72.13</v>
      </c>
      <c r="E419">
        <v>77.41</v>
      </c>
      <c r="F419">
        <v>1378314.59353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0.75707154742096394</v>
      </c>
      <c r="Q419">
        <f t="shared" si="975"/>
        <v>1043482.762156654</v>
      </c>
      <c r="R419">
        <f t="shared" si="976"/>
        <v>39276964.826732323</v>
      </c>
      <c r="S419">
        <f t="shared" si="977"/>
        <v>392.76964826732325</v>
      </c>
      <c r="T419">
        <f t="shared" si="978"/>
        <v>0.39276964826732325</v>
      </c>
    </row>
    <row r="420" spans="1:20" x14ac:dyDescent="0.25">
      <c r="A420" s="5">
        <v>44173</v>
      </c>
      <c r="B420">
        <v>83.37</v>
      </c>
      <c r="C420">
        <v>84.83</v>
      </c>
      <c r="D420">
        <v>75.41</v>
      </c>
      <c r="E420">
        <v>76.760000000000005</v>
      </c>
      <c r="F420">
        <v>1230953.8697500001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-0.71337579617834224</v>
      </c>
      <c r="Q420">
        <f t="shared" si="975"/>
        <v>-878132.69689171773</v>
      </c>
      <c r="R420">
        <f t="shared" si="976"/>
        <v>38233482.064575672</v>
      </c>
      <c r="S420">
        <f t="shared" si="977"/>
        <v>382.33482064575674</v>
      </c>
      <c r="T420">
        <f t="shared" si="978"/>
        <v>0.38233482064575675</v>
      </c>
    </row>
    <row r="421" spans="1:20" x14ac:dyDescent="0.25">
      <c r="A421" s="5">
        <v>44172</v>
      </c>
      <c r="B421">
        <v>83.54</v>
      </c>
      <c r="C421">
        <v>86.87</v>
      </c>
      <c r="D421">
        <v>81.73</v>
      </c>
      <c r="E421">
        <v>83.37</v>
      </c>
      <c r="F421">
        <v>1145446.47407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-0.36186770428015547</v>
      </c>
      <c r="Q421">
        <f t="shared" si="975"/>
        <v>-414500.08594750951</v>
      </c>
      <c r="R421">
        <f t="shared" si="976"/>
        <v>39111614.76146739</v>
      </c>
      <c r="S421">
        <f t="shared" si="977"/>
        <v>391.11614761467388</v>
      </c>
      <c r="T421">
        <f t="shared" si="978"/>
        <v>0.39111614761467389</v>
      </c>
    </row>
    <row r="422" spans="1:20" x14ac:dyDescent="0.25">
      <c r="A422" s="5">
        <v>44171</v>
      </c>
      <c r="B422">
        <v>83.11</v>
      </c>
      <c r="C422">
        <v>85.19</v>
      </c>
      <c r="D422">
        <v>80.31</v>
      </c>
      <c r="E422">
        <v>83.55</v>
      </c>
      <c r="F422">
        <v>921046.75996000005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0.32786885245901554</v>
      </c>
      <c r="Q422">
        <f t="shared" si="975"/>
        <v>301982.54424917954</v>
      </c>
      <c r="R422">
        <f t="shared" si="976"/>
        <v>39526114.847414896</v>
      </c>
      <c r="S422">
        <f t="shared" si="977"/>
        <v>395.26114847414897</v>
      </c>
      <c r="T422">
        <f t="shared" si="978"/>
        <v>0.39526114847414895</v>
      </c>
    </row>
    <row r="423" spans="1:20" x14ac:dyDescent="0.25">
      <c r="A423" s="5">
        <v>44170</v>
      </c>
      <c r="B423">
        <v>79.52</v>
      </c>
      <c r="C423">
        <v>84.28</v>
      </c>
      <c r="D423">
        <v>78.61</v>
      </c>
      <c r="E423">
        <v>83.14</v>
      </c>
      <c r="F423">
        <v>1278363.44579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0.59788359788359779</v>
      </c>
      <c r="Q423">
        <f t="shared" si="975"/>
        <v>764312.53637179884</v>
      </c>
      <c r="R423">
        <f t="shared" si="976"/>
        <v>39224132.303165719</v>
      </c>
      <c r="S423">
        <f t="shared" si="977"/>
        <v>392.2413230316572</v>
      </c>
      <c r="T423">
        <f t="shared" si="978"/>
        <v>0.39224132303165721</v>
      </c>
    </row>
    <row r="424" spans="1:20" x14ac:dyDescent="0.25">
      <c r="A424" s="5">
        <v>44169</v>
      </c>
      <c r="B424">
        <v>89.01</v>
      </c>
      <c r="C424">
        <v>89.84</v>
      </c>
      <c r="D424">
        <v>77.8</v>
      </c>
      <c r="E424">
        <v>79.52</v>
      </c>
      <c r="F424">
        <v>1701697.85317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-0.71428571428571463</v>
      </c>
      <c r="Q424">
        <f t="shared" si="975"/>
        <v>-1215498.4665500007</v>
      </c>
      <c r="R424">
        <f t="shared" si="976"/>
        <v>38459819.766793922</v>
      </c>
      <c r="S424">
        <f t="shared" si="977"/>
        <v>384.59819766793919</v>
      </c>
      <c r="T424">
        <f t="shared" si="978"/>
        <v>0.38459819766793918</v>
      </c>
    </row>
    <row r="425" spans="1:20" x14ac:dyDescent="0.25">
      <c r="A425" s="5">
        <v>44168</v>
      </c>
      <c r="B425">
        <v>88.89</v>
      </c>
      <c r="C425">
        <v>91.5</v>
      </c>
      <c r="D425">
        <v>85.46</v>
      </c>
      <c r="E425">
        <v>89</v>
      </c>
      <c r="F425">
        <v>1690248.4588500001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0.17218543046357701</v>
      </c>
      <c r="Q425">
        <f t="shared" si="975"/>
        <v>291036.15847748489</v>
      </c>
      <c r="R425">
        <f t="shared" si="976"/>
        <v>39675318.233343922</v>
      </c>
      <c r="S425">
        <f t="shared" si="977"/>
        <v>396.75318233343921</v>
      </c>
      <c r="T425">
        <f t="shared" si="978"/>
        <v>0.3967531823334392</v>
      </c>
    </row>
    <row r="426" spans="1:20" x14ac:dyDescent="0.25">
      <c r="A426" s="5">
        <v>44167</v>
      </c>
      <c r="B426">
        <v>85.07</v>
      </c>
      <c r="C426">
        <v>90.63</v>
      </c>
      <c r="D426">
        <v>82.61</v>
      </c>
      <c r="E426">
        <v>88.9</v>
      </c>
      <c r="F426">
        <v>2135078.4793699998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0.56857855361596243</v>
      </c>
      <c r="Q426">
        <f t="shared" si="975"/>
        <v>1213959.833656763</v>
      </c>
      <c r="R426">
        <f t="shared" si="976"/>
        <v>39384282.074866436</v>
      </c>
      <c r="S426">
        <f t="shared" si="977"/>
        <v>393.84282074866434</v>
      </c>
      <c r="T426">
        <f t="shared" si="978"/>
        <v>0.39384282074866434</v>
      </c>
    </row>
    <row r="427" spans="1:20" x14ac:dyDescent="0.25">
      <c r="A427" s="5">
        <v>44166</v>
      </c>
      <c r="B427">
        <v>87.66</v>
      </c>
      <c r="C427">
        <v>93.01</v>
      </c>
      <c r="D427">
        <v>79.56</v>
      </c>
      <c r="E427">
        <v>85.08</v>
      </c>
      <c r="F427">
        <v>3600461.2628500001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-0.17918215613382976</v>
      </c>
      <c r="Q427">
        <f t="shared" si="975"/>
        <v>-645138.41215379455</v>
      </c>
      <c r="R427">
        <f t="shared" si="976"/>
        <v>38170322.241209671</v>
      </c>
      <c r="S427">
        <f t="shared" si="977"/>
        <v>381.70322241209669</v>
      </c>
      <c r="T427">
        <f t="shared" si="978"/>
        <v>0.3817032224120967</v>
      </c>
    </row>
    <row r="428" spans="1:20" x14ac:dyDescent="0.25">
      <c r="A428" s="5">
        <v>44165</v>
      </c>
      <c r="B428">
        <v>78.89</v>
      </c>
      <c r="C428">
        <v>88.46</v>
      </c>
      <c r="D428">
        <v>76.63</v>
      </c>
      <c r="E428">
        <v>87.65</v>
      </c>
      <c r="F428">
        <v>2118965.66781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0.86306001690617273</v>
      </c>
      <c r="Q428">
        <f t="shared" si="975"/>
        <v>1828794.5450836981</v>
      </c>
      <c r="R428">
        <f t="shared" si="976"/>
        <v>38815460.653363466</v>
      </c>
      <c r="S428">
        <f t="shared" si="977"/>
        <v>388.15460653363465</v>
      </c>
      <c r="T428">
        <f t="shared" si="978"/>
        <v>0.38815460653363465</v>
      </c>
    </row>
    <row r="429" spans="1:20" x14ac:dyDescent="0.25">
      <c r="A429" s="5">
        <v>44164</v>
      </c>
      <c r="B429">
        <v>72.680000000000007</v>
      </c>
      <c r="C429">
        <v>81.069999999999993</v>
      </c>
      <c r="D429">
        <v>71.510000000000005</v>
      </c>
      <c r="E429">
        <v>78.91</v>
      </c>
      <c r="F429">
        <v>1514540.21111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0.54811715481171563</v>
      </c>
      <c r="Q429">
        <f t="shared" si="975"/>
        <v>830145.47136154841</v>
      </c>
      <c r="R429">
        <f t="shared" si="976"/>
        <v>36986666.108279765</v>
      </c>
      <c r="S429">
        <f t="shared" si="977"/>
        <v>369.86666108279763</v>
      </c>
      <c r="T429">
        <f t="shared" si="978"/>
        <v>0.36986666108279764</v>
      </c>
    </row>
    <row r="430" spans="1:20" x14ac:dyDescent="0.25">
      <c r="A430" s="5">
        <v>44163</v>
      </c>
      <c r="B430">
        <v>69.180000000000007</v>
      </c>
      <c r="C430">
        <v>74.97</v>
      </c>
      <c r="D430">
        <v>68.260000000000005</v>
      </c>
      <c r="E430">
        <v>72.7</v>
      </c>
      <c r="F430">
        <v>1483068.3589699999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0.32339791356184855</v>
      </c>
      <c r="Q430">
        <f t="shared" si="975"/>
        <v>479621.21296049264</v>
      </c>
      <c r="R430">
        <f t="shared" si="976"/>
        <v>36156520.636918217</v>
      </c>
      <c r="S430">
        <f t="shared" si="977"/>
        <v>361.56520636918219</v>
      </c>
      <c r="T430">
        <f t="shared" si="978"/>
        <v>0.36156520636918221</v>
      </c>
    </row>
    <row r="431" spans="1:20" x14ac:dyDescent="0.25">
      <c r="A431" s="5">
        <v>44162</v>
      </c>
      <c r="B431">
        <v>70.989999999999995</v>
      </c>
      <c r="C431">
        <v>73.5</v>
      </c>
      <c r="D431">
        <v>65.3</v>
      </c>
      <c r="E431">
        <v>69.150000000000006</v>
      </c>
      <c r="F431">
        <v>1707521.5040200001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-6.0975609756095804E-2</v>
      </c>
      <c r="Q431">
        <f t="shared" si="975"/>
        <v>-104117.1648792653</v>
      </c>
      <c r="R431">
        <f t="shared" si="976"/>
        <v>35676899.423957728</v>
      </c>
      <c r="S431">
        <f t="shared" si="977"/>
        <v>356.7689942395773</v>
      </c>
      <c r="T431">
        <f t="shared" si="978"/>
        <v>0.35676899423957731</v>
      </c>
    </row>
    <row r="432" spans="1:20" x14ac:dyDescent="0.25">
      <c r="A432" s="5">
        <v>44161</v>
      </c>
      <c r="B432">
        <v>81.75</v>
      </c>
      <c r="C432">
        <v>83.29</v>
      </c>
      <c r="D432">
        <v>64.45</v>
      </c>
      <c r="E432">
        <v>71</v>
      </c>
      <c r="F432">
        <v>3435959.2951799999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-0.30467091295116816</v>
      </c>
      <c r="Q432">
        <f t="shared" si="975"/>
        <v>-1046836.8553255429</v>
      </c>
      <c r="R432">
        <f t="shared" si="976"/>
        <v>35781016.58883699</v>
      </c>
      <c r="S432">
        <f t="shared" si="977"/>
        <v>357.81016588836991</v>
      </c>
      <c r="T432">
        <f t="shared" si="978"/>
        <v>0.35781016588836989</v>
      </c>
    </row>
    <row r="433" spans="1:20" x14ac:dyDescent="0.25">
      <c r="A433" s="5">
        <v>44160</v>
      </c>
      <c r="B433">
        <v>89.27</v>
      </c>
      <c r="C433">
        <v>90.76</v>
      </c>
      <c r="D433">
        <v>78.05</v>
      </c>
      <c r="E433">
        <v>81.75</v>
      </c>
      <c r="F433">
        <v>1631940.2408700001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-0.41778127458693931</v>
      </c>
      <c r="Q433">
        <f t="shared" si="975"/>
        <v>-681794.07388038537</v>
      </c>
      <c r="R433">
        <f t="shared" si="976"/>
        <v>36827853.444162533</v>
      </c>
      <c r="S433">
        <f t="shared" si="977"/>
        <v>368.27853444162531</v>
      </c>
      <c r="T433">
        <f t="shared" si="978"/>
        <v>0.36827853444162534</v>
      </c>
    </row>
    <row r="434" spans="1:20" x14ac:dyDescent="0.25">
      <c r="A434" s="5">
        <v>44159</v>
      </c>
      <c r="B434">
        <v>89.04</v>
      </c>
      <c r="C434">
        <v>94.02</v>
      </c>
      <c r="D434">
        <v>84.6</v>
      </c>
      <c r="E434">
        <v>89.25</v>
      </c>
      <c r="F434">
        <v>2621715.6430299999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-1.2738853503183685E-2</v>
      </c>
      <c r="Q434">
        <f t="shared" si="975"/>
        <v>-33397.651503564186</v>
      </c>
      <c r="R434">
        <f t="shared" si="976"/>
        <v>37509647.518042915</v>
      </c>
      <c r="S434">
        <f t="shared" si="977"/>
        <v>375.09647518042914</v>
      </c>
      <c r="T434">
        <f t="shared" si="978"/>
        <v>0.37509647518042916</v>
      </c>
    </row>
    <row r="435" spans="1:20" x14ac:dyDescent="0.25">
      <c r="A435" s="5">
        <v>44158</v>
      </c>
      <c r="B435">
        <v>82.87</v>
      </c>
      <c r="C435">
        <v>90.93</v>
      </c>
      <c r="D435">
        <v>80.8</v>
      </c>
      <c r="E435">
        <v>89.03</v>
      </c>
      <c r="F435">
        <v>2535636.0678900001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0.62487660414609991</v>
      </c>
      <c r="Q435">
        <f t="shared" si="975"/>
        <v>1584459.6554534729</v>
      </c>
      <c r="R435">
        <f t="shared" si="976"/>
        <v>37543045.169546477</v>
      </c>
      <c r="S435">
        <f t="shared" si="977"/>
        <v>375.4304516954648</v>
      </c>
      <c r="T435">
        <f t="shared" si="978"/>
        <v>0.3754304516954648</v>
      </c>
    </row>
    <row r="436" spans="1:20" x14ac:dyDescent="0.25">
      <c r="A436" s="5">
        <v>44157</v>
      </c>
      <c r="B436">
        <v>87.09</v>
      </c>
      <c r="C436">
        <v>87.92</v>
      </c>
      <c r="D436">
        <v>77.3</v>
      </c>
      <c r="E436">
        <v>82.87</v>
      </c>
      <c r="F436">
        <v>2048304.58082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4.8964218455744821E-2</v>
      </c>
      <c r="Q436">
        <f t="shared" si="975"/>
        <v>100293.63295917331</v>
      </c>
      <c r="R436">
        <f t="shared" si="976"/>
        <v>35958585.514093004</v>
      </c>
      <c r="S436">
        <f t="shared" si="977"/>
        <v>359.58585514093005</v>
      </c>
      <c r="T436">
        <f t="shared" si="978"/>
        <v>0.35958585514093006</v>
      </c>
    </row>
    <row r="437" spans="1:20" x14ac:dyDescent="0.25">
      <c r="A437" s="5">
        <v>44156</v>
      </c>
      <c r="B437">
        <v>82.55</v>
      </c>
      <c r="C437">
        <v>88.5</v>
      </c>
      <c r="D437">
        <v>80.099999999999994</v>
      </c>
      <c r="E437">
        <v>87.14</v>
      </c>
      <c r="F437">
        <v>2521719.4082800001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0.67619047619047656</v>
      </c>
      <c r="Q437">
        <f t="shared" si="975"/>
        <v>1705162.64750362</v>
      </c>
      <c r="R437">
        <f t="shared" si="976"/>
        <v>35858291.881133832</v>
      </c>
      <c r="S437">
        <f t="shared" si="977"/>
        <v>358.58291881133835</v>
      </c>
      <c r="T437">
        <f t="shared" si="978"/>
        <v>0.35858291881133836</v>
      </c>
    </row>
    <row r="438" spans="1:20" x14ac:dyDescent="0.25">
      <c r="A438" s="5">
        <v>44155</v>
      </c>
      <c r="B438">
        <v>81.540000000000006</v>
      </c>
      <c r="C438">
        <v>85.63</v>
      </c>
      <c r="D438">
        <v>79.989999999999995</v>
      </c>
      <c r="E438">
        <v>82.53</v>
      </c>
      <c r="F438">
        <v>2386175.1523600002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-9.9290780141841839E-2</v>
      </c>
      <c r="Q438">
        <f t="shared" si="975"/>
        <v>-236925.19243290272</v>
      </c>
      <c r="R438">
        <f t="shared" si="976"/>
        <v>34153129.23363021</v>
      </c>
      <c r="S438">
        <f t="shared" si="977"/>
        <v>341.5312923363021</v>
      </c>
      <c r="T438">
        <f t="shared" si="978"/>
        <v>0.34153129233630208</v>
      </c>
    </row>
    <row r="439" spans="1:20" x14ac:dyDescent="0.25">
      <c r="A439" s="5">
        <v>44154</v>
      </c>
      <c r="B439">
        <v>73.41</v>
      </c>
      <c r="C439">
        <v>83.4</v>
      </c>
      <c r="D439">
        <v>71.47</v>
      </c>
      <c r="E439">
        <v>81.53</v>
      </c>
      <c r="F439">
        <v>2773824.05583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0.68650461022631959</v>
      </c>
      <c r="Q439">
        <f t="shared" si="975"/>
        <v>1904243.0022839631</v>
      </c>
      <c r="R439">
        <f t="shared" si="976"/>
        <v>34390054.426063113</v>
      </c>
      <c r="S439">
        <f t="shared" si="977"/>
        <v>343.90054426063114</v>
      </c>
      <c r="T439">
        <f t="shared" si="978"/>
        <v>0.34390054426063116</v>
      </c>
    </row>
    <row r="440" spans="1:20" x14ac:dyDescent="0.25">
      <c r="A440" s="5">
        <v>44153</v>
      </c>
      <c r="B440">
        <v>76.319999999999993</v>
      </c>
      <c r="C440">
        <v>77.13</v>
      </c>
      <c r="D440">
        <v>67.77</v>
      </c>
      <c r="E440">
        <v>73.42</v>
      </c>
      <c r="F440">
        <v>2653342.0410199999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0.20726495726495855</v>
      </c>
      <c r="Q440">
        <f t="shared" si="975"/>
        <v>549944.82474132814</v>
      </c>
      <c r="R440">
        <f t="shared" si="976"/>
        <v>32485811.423779152</v>
      </c>
      <c r="S440">
        <f t="shared" si="977"/>
        <v>324.85811423779154</v>
      </c>
      <c r="T440">
        <f t="shared" si="978"/>
        <v>0.32485811423779154</v>
      </c>
    </row>
    <row r="441" spans="1:20" x14ac:dyDescent="0.25">
      <c r="A441" s="5">
        <v>44152</v>
      </c>
      <c r="B441">
        <v>73.83</v>
      </c>
      <c r="C441">
        <v>77</v>
      </c>
      <c r="D441">
        <v>71.36</v>
      </c>
      <c r="E441">
        <v>76.319999999999993</v>
      </c>
      <c r="F441">
        <v>2844994.89879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0.75886524822694801</v>
      </c>
      <c r="Q441">
        <f t="shared" si="975"/>
        <v>2158967.7600746742</v>
      </c>
      <c r="R441">
        <f t="shared" si="976"/>
        <v>31935866.599037822</v>
      </c>
      <c r="S441">
        <f t="shared" si="977"/>
        <v>319.3586659903782</v>
      </c>
      <c r="T441">
        <f t="shared" si="978"/>
        <v>0.31935866599037821</v>
      </c>
    </row>
    <row r="442" spans="1:20" x14ac:dyDescent="0.25">
      <c r="A442" s="5">
        <v>44151</v>
      </c>
      <c r="B442">
        <v>62.29</v>
      </c>
      <c r="C442">
        <v>74.62</v>
      </c>
      <c r="D442">
        <v>62.08</v>
      </c>
      <c r="E442">
        <v>73.84</v>
      </c>
      <c r="F442">
        <v>2526207.15962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0.87559808612440182</v>
      </c>
      <c r="Q442">
        <f t="shared" si="975"/>
        <v>2211942.1541170334</v>
      </c>
      <c r="R442">
        <f t="shared" si="976"/>
        <v>29776898.838963147</v>
      </c>
      <c r="S442">
        <f t="shared" si="977"/>
        <v>297.76898838963149</v>
      </c>
      <c r="T442">
        <f t="shared" si="978"/>
        <v>0.29776898838963151</v>
      </c>
    </row>
    <row r="443" spans="1:20" x14ac:dyDescent="0.25">
      <c r="A443" s="5">
        <v>44150</v>
      </c>
      <c r="B443">
        <v>63.83</v>
      </c>
      <c r="C443">
        <v>64.430000000000007</v>
      </c>
      <c r="D443">
        <v>61.08</v>
      </c>
      <c r="E443">
        <v>62.28</v>
      </c>
      <c r="F443">
        <v>685249.75502000004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-0.28358208955223896</v>
      </c>
      <c r="Q443">
        <f t="shared" si="975"/>
        <v>-194324.55739373146</v>
      </c>
      <c r="R443">
        <f t="shared" si="976"/>
        <v>27564956.684846114</v>
      </c>
      <c r="S443">
        <f t="shared" si="977"/>
        <v>275.64956684846112</v>
      </c>
      <c r="T443">
        <f t="shared" si="978"/>
        <v>0.27564956684846115</v>
      </c>
    </row>
    <row r="444" spans="1:20" x14ac:dyDescent="0.25">
      <c r="A444" s="5">
        <v>44149</v>
      </c>
      <c r="B444">
        <v>65.959999999999994</v>
      </c>
      <c r="C444">
        <v>66.319999999999993</v>
      </c>
      <c r="D444">
        <v>61.63</v>
      </c>
      <c r="E444">
        <v>63.85</v>
      </c>
      <c r="F444">
        <v>1017826.05829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-5.3304904051171297E-2</v>
      </c>
      <c r="Q444">
        <f t="shared" si="975"/>
        <v>-54255.120377930332</v>
      </c>
      <c r="R444">
        <f t="shared" si="976"/>
        <v>27759281.242239844</v>
      </c>
      <c r="S444">
        <f t="shared" si="977"/>
        <v>277.59281242239842</v>
      </c>
      <c r="T444">
        <f t="shared" si="978"/>
        <v>0.27759281242239842</v>
      </c>
    </row>
    <row r="445" spans="1:20" x14ac:dyDescent="0.25">
      <c r="A445" s="5">
        <v>44148</v>
      </c>
      <c r="B445">
        <v>60.72</v>
      </c>
      <c r="C445">
        <v>66.66</v>
      </c>
      <c r="D445">
        <v>60.14</v>
      </c>
      <c r="E445">
        <v>65.959999999999994</v>
      </c>
      <c r="F445">
        <v>1974381.6703600001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0.78527607361963092</v>
      </c>
      <c r="Q445">
        <f t="shared" si="975"/>
        <v>1550434.6859268693</v>
      </c>
      <c r="R445">
        <f t="shared" si="976"/>
        <v>27813536.362617776</v>
      </c>
      <c r="S445">
        <f t="shared" si="977"/>
        <v>278.13536362617776</v>
      </c>
      <c r="T445">
        <f t="shared" si="978"/>
        <v>0.27813536362617775</v>
      </c>
    </row>
    <row r="446" spans="1:20" x14ac:dyDescent="0.25">
      <c r="A446" s="5">
        <v>44147</v>
      </c>
      <c r="B446">
        <v>59.28</v>
      </c>
      <c r="C446">
        <v>60.82</v>
      </c>
      <c r="D446">
        <v>57.6</v>
      </c>
      <c r="E446">
        <v>60.72</v>
      </c>
      <c r="F446">
        <v>830578.26228000002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0.93788819875776308</v>
      </c>
      <c r="Q446">
        <f t="shared" si="975"/>
        <v>778989.55033714219</v>
      </c>
      <c r="R446">
        <f t="shared" si="976"/>
        <v>26263101.676690906</v>
      </c>
      <c r="S446">
        <f t="shared" si="977"/>
        <v>262.63101676690906</v>
      </c>
      <c r="T446">
        <f t="shared" si="978"/>
        <v>0.26263101676690903</v>
      </c>
    </row>
    <row r="447" spans="1:20" x14ac:dyDescent="0.25">
      <c r="A447" s="5">
        <v>44146</v>
      </c>
      <c r="B447">
        <v>57.94</v>
      </c>
      <c r="C447">
        <v>60.53</v>
      </c>
      <c r="D447">
        <v>57.8</v>
      </c>
      <c r="E447">
        <v>59.27</v>
      </c>
      <c r="F447">
        <v>824536.88147000002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7.6923076923079731E-2</v>
      </c>
      <c r="Q447">
        <f t="shared" si="975"/>
        <v>63425.913959233083</v>
      </c>
      <c r="R447">
        <f t="shared" si="976"/>
        <v>25484112.126353763</v>
      </c>
      <c r="S447">
        <f t="shared" si="977"/>
        <v>254.84112126353764</v>
      </c>
      <c r="T447">
        <f t="shared" si="978"/>
        <v>0.25484112126353764</v>
      </c>
    </row>
    <row r="448" spans="1:20" x14ac:dyDescent="0.25">
      <c r="A448" s="5">
        <v>44145</v>
      </c>
      <c r="B448">
        <v>59.22</v>
      </c>
      <c r="C448">
        <v>59.6</v>
      </c>
      <c r="D448">
        <v>57.04</v>
      </c>
      <c r="E448">
        <v>57.93</v>
      </c>
      <c r="F448">
        <v>639990.21606999997</v>
      </c>
      <c r="G448">
        <v>0</v>
      </c>
      <c r="L448" t="s">
        <v>7</v>
      </c>
      <c r="M448" t="s">
        <v>8</v>
      </c>
      <c r="N448" t="s">
        <v>8</v>
      </c>
      <c r="P448">
        <f t="shared" si="974"/>
        <v>-0.30468750000000017</v>
      </c>
      <c r="Q448">
        <f t="shared" si="975"/>
        <v>-194997.01895882821</v>
      </c>
      <c r="R448">
        <f t="shared" si="976"/>
        <v>25420686.212394532</v>
      </c>
      <c r="S448">
        <f t="shared" si="977"/>
        <v>254.20686212394531</v>
      </c>
      <c r="T448">
        <f t="shared" si="978"/>
        <v>0.25420686212394533</v>
      </c>
    </row>
    <row r="449" spans="1:20" x14ac:dyDescent="0.25">
      <c r="A449" s="5">
        <v>44144</v>
      </c>
      <c r="B449">
        <v>61</v>
      </c>
      <c r="C449">
        <v>61.86</v>
      </c>
      <c r="D449">
        <v>57.37</v>
      </c>
      <c r="E449">
        <v>59.23</v>
      </c>
      <c r="F449">
        <v>997800.78526000003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-0.1714922048997779</v>
      </c>
      <c r="Q449">
        <f t="shared" si="975"/>
        <v>-171115.05671496721</v>
      </c>
      <c r="R449">
        <f t="shared" si="976"/>
        <v>25615683.231353361</v>
      </c>
      <c r="S449">
        <f t="shared" si="977"/>
        <v>256.15683231353358</v>
      </c>
      <c r="T449">
        <f t="shared" si="978"/>
        <v>0.25615683231353359</v>
      </c>
    </row>
    <row r="450" spans="1:20" x14ac:dyDescent="0.25">
      <c r="A450" s="5">
        <v>44143</v>
      </c>
      <c r="B450">
        <v>58.9</v>
      </c>
      <c r="C450">
        <v>62.03</v>
      </c>
      <c r="D450">
        <v>58.52</v>
      </c>
      <c r="E450">
        <v>61.02</v>
      </c>
      <c r="F450">
        <v>795875.09498000005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0.42450142450142531</v>
      </c>
      <c r="Q450">
        <f t="shared" si="975"/>
        <v>337850.11154421722</v>
      </c>
      <c r="R450">
        <f t="shared" si="976"/>
        <v>25786798.288068328</v>
      </c>
      <c r="S450">
        <f t="shared" si="977"/>
        <v>257.86798288068326</v>
      </c>
      <c r="T450">
        <f t="shared" si="978"/>
        <v>0.25786798288068324</v>
      </c>
    </row>
    <row r="451" spans="1:20" x14ac:dyDescent="0.25">
      <c r="A451" s="5">
        <v>44142</v>
      </c>
      <c r="B451">
        <v>63.22</v>
      </c>
      <c r="C451">
        <v>64.77</v>
      </c>
      <c r="D451">
        <v>57</v>
      </c>
      <c r="E451">
        <v>58.9</v>
      </c>
      <c r="F451">
        <v>1655539.6271800001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-0.51093951093951107</v>
      </c>
      <c r="Q451">
        <f t="shared" si="975"/>
        <v>-845880.60745232971</v>
      </c>
      <c r="R451">
        <f t="shared" si="976"/>
        <v>25448948.17652411</v>
      </c>
      <c r="S451">
        <f t="shared" si="977"/>
        <v>254.48948176524109</v>
      </c>
      <c r="T451">
        <f t="shared" si="978"/>
        <v>0.25448948176524111</v>
      </c>
    </row>
    <row r="452" spans="1:20" x14ac:dyDescent="0.25">
      <c r="A452" s="5">
        <v>44141</v>
      </c>
      <c r="B452">
        <v>58.94</v>
      </c>
      <c r="C452">
        <v>63.68</v>
      </c>
      <c r="D452">
        <v>58.61</v>
      </c>
      <c r="E452">
        <v>63.2</v>
      </c>
      <c r="F452">
        <v>1735473.54314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0.81065088757396575</v>
      </c>
      <c r="Q452">
        <f t="shared" si="975"/>
        <v>1406863.1681075762</v>
      </c>
      <c r="R452">
        <f t="shared" si="976"/>
        <v>26294828.783976439</v>
      </c>
      <c r="S452">
        <f t="shared" si="977"/>
        <v>262.94828783976442</v>
      </c>
      <c r="T452">
        <f t="shared" si="978"/>
        <v>0.26294828783976443</v>
      </c>
    </row>
    <row r="453" spans="1:20" x14ac:dyDescent="0.25">
      <c r="A453" s="5">
        <v>44140</v>
      </c>
      <c r="B453">
        <v>54.7</v>
      </c>
      <c r="C453">
        <v>59.73</v>
      </c>
      <c r="D453">
        <v>54.62</v>
      </c>
      <c r="E453">
        <v>58.95</v>
      </c>
      <c r="F453">
        <v>1366335.6293899999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0.69471624266145049</v>
      </c>
      <c r="Q453">
        <f t="shared" si="975"/>
        <v>949215.55466428888</v>
      </c>
      <c r="R453">
        <f t="shared" si="976"/>
        <v>24887965.615868863</v>
      </c>
      <c r="S453">
        <f t="shared" si="977"/>
        <v>248.87965615868862</v>
      </c>
      <c r="T453">
        <f t="shared" si="978"/>
        <v>0.24887965615868862</v>
      </c>
    </row>
    <row r="454" spans="1:20" x14ac:dyDescent="0.25">
      <c r="A454" s="5">
        <v>44139</v>
      </c>
      <c r="B454">
        <v>53.96</v>
      </c>
      <c r="C454">
        <v>55.24</v>
      </c>
      <c r="D454">
        <v>51.59</v>
      </c>
      <c r="E454">
        <v>54.67</v>
      </c>
      <c r="F454">
        <v>801009.79133000004</v>
      </c>
      <c r="G454">
        <v>0</v>
      </c>
      <c r="L454" t="s">
        <v>8</v>
      </c>
      <c r="M454" t="s">
        <v>7</v>
      </c>
      <c r="N454" t="s">
        <v>8</v>
      </c>
      <c r="P454">
        <f t="shared" ref="P454:P517" si="979">IF(C454=D454,0,((E454-D454)-(C454-E454))/(C454-D454))</f>
        <v>0.68767123287671206</v>
      </c>
      <c r="Q454">
        <f t="shared" ref="Q454:Q517" si="980">F454*P454</f>
        <v>550831.390750219</v>
      </c>
      <c r="R454">
        <f t="shared" ref="R454:R517" si="981">R455+Q454</f>
        <v>23938750.061204575</v>
      </c>
      <c r="S454">
        <f t="shared" ref="S454:S517" si="982">R454/100000</f>
        <v>239.38750061204576</v>
      </c>
      <c r="T454">
        <f t="shared" ref="T454:T517" si="983">S454/1000</f>
        <v>0.23938750061204575</v>
      </c>
    </row>
    <row r="455" spans="1:20" x14ac:dyDescent="0.25">
      <c r="A455" s="5">
        <v>44138</v>
      </c>
      <c r="B455">
        <v>53.82</v>
      </c>
      <c r="C455">
        <v>54.37</v>
      </c>
      <c r="D455">
        <v>51.13</v>
      </c>
      <c r="E455">
        <v>53.96</v>
      </c>
      <c r="F455">
        <v>672320.16237999999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0.74691358024691523</v>
      </c>
      <c r="Q455">
        <f t="shared" si="980"/>
        <v>502165.05955543322</v>
      </c>
      <c r="R455">
        <f t="shared" si="981"/>
        <v>23387918.670454357</v>
      </c>
      <c r="S455">
        <f t="shared" si="982"/>
        <v>233.87918670454357</v>
      </c>
      <c r="T455">
        <f t="shared" si="983"/>
        <v>0.23387918670454358</v>
      </c>
    </row>
    <row r="456" spans="1:20" x14ac:dyDescent="0.25">
      <c r="A456" s="5">
        <v>44137</v>
      </c>
      <c r="B456">
        <v>55.6</v>
      </c>
      <c r="C456">
        <v>56.84</v>
      </c>
      <c r="D456">
        <v>53.01</v>
      </c>
      <c r="E456">
        <v>53.8</v>
      </c>
      <c r="F456">
        <v>700498.49280000001</v>
      </c>
      <c r="G456">
        <v>0</v>
      </c>
      <c r="L456" t="s">
        <v>8</v>
      </c>
      <c r="M456" t="s">
        <v>8</v>
      </c>
      <c r="N456" t="s">
        <v>8</v>
      </c>
      <c r="P456">
        <f t="shared" si="979"/>
        <v>-0.58746736292428303</v>
      </c>
      <c r="Q456">
        <f t="shared" si="980"/>
        <v>-411520.00229765085</v>
      </c>
      <c r="R456">
        <f t="shared" si="981"/>
        <v>22885753.610898923</v>
      </c>
      <c r="S456">
        <f t="shared" si="982"/>
        <v>228.85753610898922</v>
      </c>
      <c r="T456">
        <f t="shared" si="983"/>
        <v>0.22885753610898923</v>
      </c>
    </row>
    <row r="457" spans="1:20" x14ac:dyDescent="0.25">
      <c r="A457" s="5">
        <v>44136</v>
      </c>
      <c r="B457">
        <v>55.69</v>
      </c>
      <c r="C457">
        <v>56.19</v>
      </c>
      <c r="D457">
        <v>54.07</v>
      </c>
      <c r="E457">
        <v>55.6</v>
      </c>
      <c r="F457">
        <v>369373.81151000003</v>
      </c>
      <c r="G457">
        <v>0</v>
      </c>
      <c r="L457" t="s">
        <v>8</v>
      </c>
      <c r="M457" t="s">
        <v>8</v>
      </c>
      <c r="N457" t="s">
        <v>8</v>
      </c>
      <c r="P457">
        <f t="shared" si="979"/>
        <v>0.44339622641509713</v>
      </c>
      <c r="Q457">
        <f t="shared" si="980"/>
        <v>163778.9541600954</v>
      </c>
      <c r="R457">
        <f t="shared" si="981"/>
        <v>23297273.613196574</v>
      </c>
      <c r="S457">
        <f t="shared" si="982"/>
        <v>232.97273613196575</v>
      </c>
      <c r="T457">
        <f t="shared" si="983"/>
        <v>0.23297273613196576</v>
      </c>
    </row>
    <row r="458" spans="1:20" x14ac:dyDescent="0.25">
      <c r="A458" s="5">
        <v>44135</v>
      </c>
      <c r="B458">
        <v>54.02</v>
      </c>
      <c r="C458">
        <v>56.5</v>
      </c>
      <c r="D458">
        <v>53.6</v>
      </c>
      <c r="E458">
        <v>55.72</v>
      </c>
      <c r="F458">
        <v>593903.97545999999</v>
      </c>
      <c r="G458">
        <v>0</v>
      </c>
      <c r="L458" t="s">
        <v>8</v>
      </c>
      <c r="M458" t="s">
        <v>8</v>
      </c>
      <c r="N458" t="s">
        <v>8</v>
      </c>
      <c r="P458">
        <f t="shared" si="979"/>
        <v>0.4620689655172403</v>
      </c>
      <c r="Q458">
        <f t="shared" si="980"/>
        <v>274424.59555737866</v>
      </c>
      <c r="R458">
        <f t="shared" si="981"/>
        <v>23133494.65903648</v>
      </c>
      <c r="S458">
        <f t="shared" si="982"/>
        <v>231.33494659036481</v>
      </c>
      <c r="T458">
        <f t="shared" si="983"/>
        <v>0.2313349465903648</v>
      </c>
    </row>
    <row r="459" spans="1:20" x14ac:dyDescent="0.25">
      <c r="A459" s="5">
        <v>44134</v>
      </c>
      <c r="B459">
        <v>54.88</v>
      </c>
      <c r="C459">
        <v>55.78</v>
      </c>
      <c r="D459">
        <v>52.2</v>
      </c>
      <c r="E459">
        <v>54.01</v>
      </c>
      <c r="F459">
        <v>706074.89769000001</v>
      </c>
      <c r="G459">
        <v>0</v>
      </c>
      <c r="L459" t="s">
        <v>7</v>
      </c>
      <c r="M459" t="s">
        <v>8</v>
      </c>
      <c r="N459" t="s">
        <v>8</v>
      </c>
      <c r="P459">
        <f t="shared" si="979"/>
        <v>1.1173184357539681E-2</v>
      </c>
      <c r="Q459">
        <f t="shared" si="980"/>
        <v>7889.1050021213387</v>
      </c>
      <c r="R459">
        <f t="shared" si="981"/>
        <v>22859070.063479099</v>
      </c>
      <c r="S459">
        <f t="shared" si="982"/>
        <v>228.59070063479101</v>
      </c>
      <c r="T459">
        <f t="shared" si="983"/>
        <v>0.22859070063479101</v>
      </c>
    </row>
    <row r="460" spans="1:20" x14ac:dyDescent="0.25">
      <c r="A460" s="5">
        <v>44133</v>
      </c>
      <c r="B460">
        <v>55.76</v>
      </c>
      <c r="C460">
        <v>56.57</v>
      </c>
      <c r="D460">
        <v>53.37</v>
      </c>
      <c r="E460">
        <v>54.87</v>
      </c>
      <c r="F460">
        <v>798253.73441999999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-6.2500000000000833E-2</v>
      </c>
      <c r="Q460">
        <f t="shared" si="980"/>
        <v>-49890.858401250662</v>
      </c>
      <c r="R460">
        <f t="shared" si="981"/>
        <v>22851180.958476979</v>
      </c>
      <c r="S460">
        <f t="shared" si="982"/>
        <v>228.51180958476979</v>
      </c>
      <c r="T460">
        <f t="shared" si="983"/>
        <v>0.2285118095847698</v>
      </c>
    </row>
    <row r="461" spans="1:20" x14ac:dyDescent="0.25">
      <c r="A461" s="5">
        <v>44132</v>
      </c>
      <c r="B461">
        <v>57.9</v>
      </c>
      <c r="C461">
        <v>60.55</v>
      </c>
      <c r="D461">
        <v>54.71</v>
      </c>
      <c r="E461">
        <v>55.77</v>
      </c>
      <c r="F461">
        <v>1227549.6831799999</v>
      </c>
      <c r="G461">
        <v>0</v>
      </c>
      <c r="L461" t="s">
        <v>8</v>
      </c>
      <c r="M461" t="s">
        <v>8</v>
      </c>
      <c r="N461" t="s">
        <v>8</v>
      </c>
      <c r="P461">
        <f t="shared" si="979"/>
        <v>-0.63698630136986201</v>
      </c>
      <c r="Q461">
        <f t="shared" si="980"/>
        <v>-781932.33243657404</v>
      </c>
      <c r="R461">
        <f t="shared" si="981"/>
        <v>22901071.816878229</v>
      </c>
      <c r="S461">
        <f t="shared" si="982"/>
        <v>229.01071816878229</v>
      </c>
      <c r="T461">
        <f t="shared" si="983"/>
        <v>0.2290107181687823</v>
      </c>
    </row>
    <row r="462" spans="1:20" x14ac:dyDescent="0.25">
      <c r="A462" s="5">
        <v>44131</v>
      </c>
      <c r="B462">
        <v>56.8</v>
      </c>
      <c r="C462">
        <v>59.06</v>
      </c>
      <c r="D462">
        <v>56.46</v>
      </c>
      <c r="E462">
        <v>57.91</v>
      </c>
      <c r="F462">
        <v>846694.24824999995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0.11538461538461149</v>
      </c>
      <c r="Q462">
        <f t="shared" si="980"/>
        <v>97695.490182688998</v>
      </c>
      <c r="R462">
        <f t="shared" si="981"/>
        <v>23683004.149314802</v>
      </c>
      <c r="S462">
        <f t="shared" si="982"/>
        <v>236.83004149314803</v>
      </c>
      <c r="T462">
        <f t="shared" si="983"/>
        <v>0.23683004149314804</v>
      </c>
    </row>
    <row r="463" spans="1:20" x14ac:dyDescent="0.25">
      <c r="A463" s="5">
        <v>44130</v>
      </c>
      <c r="B463">
        <v>58.83</v>
      </c>
      <c r="C463">
        <v>59.31</v>
      </c>
      <c r="D463">
        <v>54.94</v>
      </c>
      <c r="E463">
        <v>56.82</v>
      </c>
      <c r="F463">
        <v>937505.27029000001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-0.13958810068649857</v>
      </c>
      <c r="Q463">
        <f t="shared" si="980"/>
        <v>-130864.58006336358</v>
      </c>
      <c r="R463">
        <f t="shared" si="981"/>
        <v>23585308.659132112</v>
      </c>
      <c r="S463">
        <f t="shared" si="982"/>
        <v>235.85308659132113</v>
      </c>
      <c r="T463">
        <f t="shared" si="983"/>
        <v>0.23585308659132112</v>
      </c>
    </row>
    <row r="464" spans="1:20" x14ac:dyDescent="0.25">
      <c r="A464" s="5">
        <v>44129</v>
      </c>
      <c r="B464">
        <v>59.22</v>
      </c>
      <c r="C464">
        <v>60</v>
      </c>
      <c r="D464">
        <v>56.53</v>
      </c>
      <c r="E464">
        <v>58.84</v>
      </c>
      <c r="F464">
        <v>907068.98603000003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0.33141210374639946</v>
      </c>
      <c r="Q464">
        <f t="shared" si="980"/>
        <v>300613.64090331574</v>
      </c>
      <c r="R464">
        <f t="shared" si="981"/>
        <v>23716173.239195477</v>
      </c>
      <c r="S464">
        <f t="shared" si="982"/>
        <v>237.16173239195479</v>
      </c>
      <c r="T464">
        <f t="shared" si="983"/>
        <v>0.23716173239195479</v>
      </c>
    </row>
    <row r="465" spans="1:20" x14ac:dyDescent="0.25">
      <c r="A465" s="5">
        <v>44128</v>
      </c>
      <c r="B465">
        <v>55.41</v>
      </c>
      <c r="C465">
        <v>59.64</v>
      </c>
      <c r="D465">
        <v>54.83</v>
      </c>
      <c r="E465">
        <v>59.23</v>
      </c>
      <c r="F465">
        <v>945746.17085999995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0.82952182952182807</v>
      </c>
      <c r="Q465">
        <f t="shared" si="980"/>
        <v>784517.09391505062</v>
      </c>
      <c r="R465">
        <f t="shared" si="981"/>
        <v>23415559.598292161</v>
      </c>
      <c r="S465">
        <f t="shared" si="982"/>
        <v>234.1555959829216</v>
      </c>
      <c r="T465">
        <f t="shared" si="983"/>
        <v>0.2341555959829216</v>
      </c>
    </row>
    <row r="466" spans="1:20" x14ac:dyDescent="0.25">
      <c r="A466" s="5">
        <v>44127</v>
      </c>
      <c r="B466">
        <v>54.35</v>
      </c>
      <c r="C466">
        <v>57</v>
      </c>
      <c r="D466">
        <v>53.02</v>
      </c>
      <c r="E466">
        <v>55.42</v>
      </c>
      <c r="F466">
        <v>1079055.8923200001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0.20603015075376907</v>
      </c>
      <c r="Q466">
        <f t="shared" si="980"/>
        <v>222318.04816643242</v>
      </c>
      <c r="R466">
        <f t="shared" si="981"/>
        <v>22631042.504377112</v>
      </c>
      <c r="S466">
        <f t="shared" si="982"/>
        <v>226.31042504377112</v>
      </c>
      <c r="T466">
        <f t="shared" si="983"/>
        <v>0.22631042504377111</v>
      </c>
    </row>
    <row r="467" spans="1:20" x14ac:dyDescent="0.25">
      <c r="A467" s="5">
        <v>44126</v>
      </c>
      <c r="B467">
        <v>52.98</v>
      </c>
      <c r="C467">
        <v>56.31</v>
      </c>
      <c r="D467">
        <v>52.97</v>
      </c>
      <c r="E467">
        <v>54.35</v>
      </c>
      <c r="F467">
        <v>1405890.0040800001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-0.17365269461077776</v>
      </c>
      <c r="Q467">
        <f t="shared" si="980"/>
        <v>-244136.58753484936</v>
      </c>
      <c r="R467">
        <f t="shared" si="981"/>
        <v>22408724.45621068</v>
      </c>
      <c r="S467">
        <f t="shared" si="982"/>
        <v>224.0872445621068</v>
      </c>
      <c r="T467">
        <f t="shared" si="983"/>
        <v>0.2240872445621068</v>
      </c>
    </row>
    <row r="468" spans="1:20" x14ac:dyDescent="0.25">
      <c r="A468" s="5">
        <v>44125</v>
      </c>
      <c r="B468">
        <v>46.88</v>
      </c>
      <c r="C468">
        <v>55</v>
      </c>
      <c r="D468">
        <v>46.85</v>
      </c>
      <c r="E468">
        <v>52.98</v>
      </c>
      <c r="F468">
        <v>1425655.0175000001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0.50429447852760656</v>
      </c>
      <c r="Q468">
        <f t="shared" si="980"/>
        <v>718949.95361042838</v>
      </c>
      <c r="R468">
        <f t="shared" si="981"/>
        <v>22652861.043745529</v>
      </c>
      <c r="S468">
        <f t="shared" si="982"/>
        <v>226.52861043745528</v>
      </c>
      <c r="T468">
        <f t="shared" si="983"/>
        <v>0.22652861043745529</v>
      </c>
    </row>
    <row r="469" spans="1:20" x14ac:dyDescent="0.25">
      <c r="A469" s="5">
        <v>44124</v>
      </c>
      <c r="B469">
        <v>47.99</v>
      </c>
      <c r="C469">
        <v>48.46</v>
      </c>
      <c r="D469">
        <v>46.36</v>
      </c>
      <c r="E469">
        <v>46.88</v>
      </c>
      <c r="F469">
        <v>399254.84677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-0.50476190476190208</v>
      </c>
      <c r="Q469">
        <f t="shared" si="980"/>
        <v>-201528.63694104654</v>
      </c>
      <c r="R469">
        <f t="shared" si="981"/>
        <v>21933911.090135101</v>
      </c>
      <c r="S469">
        <f t="shared" si="982"/>
        <v>219.33911090135101</v>
      </c>
      <c r="T469">
        <f t="shared" si="983"/>
        <v>0.219339110901351</v>
      </c>
    </row>
    <row r="470" spans="1:20" x14ac:dyDescent="0.25">
      <c r="A470" s="5">
        <v>44123</v>
      </c>
      <c r="B470">
        <v>47.54</v>
      </c>
      <c r="C470">
        <v>48.44</v>
      </c>
      <c r="D470">
        <v>46.8</v>
      </c>
      <c r="E470">
        <v>47.99</v>
      </c>
      <c r="F470">
        <v>316808.83162999997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0.45121951219512735</v>
      </c>
      <c r="Q470">
        <f t="shared" si="980"/>
        <v>142950.32646719681</v>
      </c>
      <c r="R470">
        <f t="shared" si="981"/>
        <v>22135439.727076147</v>
      </c>
      <c r="S470">
        <f t="shared" si="982"/>
        <v>221.35439727076147</v>
      </c>
      <c r="T470">
        <f t="shared" si="983"/>
        <v>0.22135439727076148</v>
      </c>
    </row>
    <row r="471" spans="1:20" x14ac:dyDescent="0.25">
      <c r="A471" s="5">
        <v>44122</v>
      </c>
      <c r="B471">
        <v>46.92</v>
      </c>
      <c r="C471">
        <v>47.98</v>
      </c>
      <c r="D471">
        <v>46.78</v>
      </c>
      <c r="E471">
        <v>47.54</v>
      </c>
      <c r="F471">
        <v>164733.27304999999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0.26666666666666783</v>
      </c>
      <c r="Q471">
        <f t="shared" si="980"/>
        <v>43928.872813333524</v>
      </c>
      <c r="R471">
        <f t="shared" si="981"/>
        <v>21992489.400608949</v>
      </c>
      <c r="S471">
        <f t="shared" si="982"/>
        <v>219.92489400608949</v>
      </c>
      <c r="T471">
        <f t="shared" si="983"/>
        <v>0.2199248940060895</v>
      </c>
    </row>
    <row r="472" spans="1:20" x14ac:dyDescent="0.25">
      <c r="A472" s="5">
        <v>44121</v>
      </c>
      <c r="B472">
        <v>47.61</v>
      </c>
      <c r="C472">
        <v>47.64</v>
      </c>
      <c r="D472">
        <v>46.28</v>
      </c>
      <c r="E472">
        <v>46.93</v>
      </c>
      <c r="F472">
        <v>222964.85751999999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-4.4117647058825218E-2</v>
      </c>
      <c r="Q472">
        <f t="shared" si="980"/>
        <v>-9836.6848905886109</v>
      </c>
      <c r="R472">
        <f t="shared" si="981"/>
        <v>21948560.527795617</v>
      </c>
      <c r="S472">
        <f t="shared" si="982"/>
        <v>219.48560527795615</v>
      </c>
      <c r="T472">
        <f t="shared" si="983"/>
        <v>0.21948560527795616</v>
      </c>
    </row>
    <row r="473" spans="1:20" x14ac:dyDescent="0.25">
      <c r="A473" s="5">
        <v>44120</v>
      </c>
      <c r="B473">
        <v>49.52</v>
      </c>
      <c r="C473">
        <v>49.84</v>
      </c>
      <c r="D473">
        <v>45.6</v>
      </c>
      <c r="E473">
        <v>47.6</v>
      </c>
      <c r="F473">
        <v>603775.07785999996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-5.6603773584906106E-2</v>
      </c>
      <c r="Q473">
        <f t="shared" si="980"/>
        <v>-34175.947803396492</v>
      </c>
      <c r="R473">
        <f t="shared" si="981"/>
        <v>21958397.212686203</v>
      </c>
      <c r="S473">
        <f t="shared" si="982"/>
        <v>219.58397212686202</v>
      </c>
      <c r="T473">
        <f t="shared" si="983"/>
        <v>0.21958397212686201</v>
      </c>
    </row>
    <row r="474" spans="1:20" x14ac:dyDescent="0.25">
      <c r="A474" s="5">
        <v>44119</v>
      </c>
      <c r="B474">
        <v>49.79</v>
      </c>
      <c r="C474">
        <v>50.24</v>
      </c>
      <c r="D474">
        <v>48.8</v>
      </c>
      <c r="E474">
        <v>49.53</v>
      </c>
      <c r="F474">
        <v>349966.03743000003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1.3888888888891013E-2</v>
      </c>
      <c r="Q474">
        <f t="shared" si="980"/>
        <v>4860.6394087507442</v>
      </c>
      <c r="R474">
        <f t="shared" si="981"/>
        <v>21992573.1604896</v>
      </c>
      <c r="S474">
        <f t="shared" si="982"/>
        <v>219.92573160489601</v>
      </c>
      <c r="T474">
        <f t="shared" si="983"/>
        <v>0.21992573160489601</v>
      </c>
    </row>
    <row r="475" spans="1:20" x14ac:dyDescent="0.25">
      <c r="A475" s="5">
        <v>44118</v>
      </c>
      <c r="B475">
        <v>49.9</v>
      </c>
      <c r="C475">
        <v>51.04</v>
      </c>
      <c r="D475">
        <v>49.27</v>
      </c>
      <c r="E475">
        <v>49.79</v>
      </c>
      <c r="F475">
        <v>381873.31222999998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-0.41242937853107664</v>
      </c>
      <c r="Q475">
        <f t="shared" si="980"/>
        <v>-157495.77284062267</v>
      </c>
      <c r="R475">
        <f t="shared" si="981"/>
        <v>21987712.521080848</v>
      </c>
      <c r="S475">
        <f t="shared" si="982"/>
        <v>219.87712521080849</v>
      </c>
      <c r="T475">
        <f t="shared" si="983"/>
        <v>0.21987712521080849</v>
      </c>
    </row>
    <row r="476" spans="1:20" x14ac:dyDescent="0.25">
      <c r="A476" s="5">
        <v>44117</v>
      </c>
      <c r="B476">
        <v>50.58</v>
      </c>
      <c r="C476">
        <v>50.71</v>
      </c>
      <c r="D476">
        <v>48.8</v>
      </c>
      <c r="E476">
        <v>49.89</v>
      </c>
      <c r="F476">
        <v>468445.05222000001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0.14136125654450399</v>
      </c>
      <c r="Q476">
        <f t="shared" si="980"/>
        <v>66219.981203874995</v>
      </c>
      <c r="R476">
        <f t="shared" si="981"/>
        <v>22145208.293921471</v>
      </c>
      <c r="S476">
        <f t="shared" si="982"/>
        <v>221.4520829392147</v>
      </c>
      <c r="T476">
        <f t="shared" si="983"/>
        <v>0.2214520829392147</v>
      </c>
    </row>
    <row r="477" spans="1:20" x14ac:dyDescent="0.25">
      <c r="A477" s="5">
        <v>44116</v>
      </c>
      <c r="B477">
        <v>50.48</v>
      </c>
      <c r="C477">
        <v>51.5</v>
      </c>
      <c r="D477">
        <v>49.24</v>
      </c>
      <c r="E477">
        <v>50.58</v>
      </c>
      <c r="F477">
        <v>622150.70857999998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0.18584070796459953</v>
      </c>
      <c r="Q477">
        <f t="shared" si="980"/>
        <v>115620.92814318444</v>
      </c>
      <c r="R477">
        <f t="shared" si="981"/>
        <v>22078988.312717594</v>
      </c>
      <c r="S477">
        <f t="shared" si="982"/>
        <v>220.78988312717595</v>
      </c>
      <c r="T477">
        <f t="shared" si="983"/>
        <v>0.22078988312717596</v>
      </c>
    </row>
    <row r="478" spans="1:20" x14ac:dyDescent="0.25">
      <c r="A478" s="5">
        <v>44115</v>
      </c>
      <c r="B478">
        <v>48.89</v>
      </c>
      <c r="C478">
        <v>51.27</v>
      </c>
      <c r="D478">
        <v>48.66</v>
      </c>
      <c r="E478">
        <v>50.48</v>
      </c>
      <c r="F478">
        <v>393329.63182000001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0.39463601532566722</v>
      </c>
      <c r="Q478">
        <f t="shared" si="980"/>
        <v>155222.03861095657</v>
      </c>
      <c r="R478">
        <f t="shared" si="981"/>
        <v>21963367.38457441</v>
      </c>
      <c r="S478">
        <f t="shared" si="982"/>
        <v>219.63367384574408</v>
      </c>
      <c r="T478">
        <f t="shared" si="983"/>
        <v>0.21963367384574409</v>
      </c>
    </row>
    <row r="479" spans="1:20" x14ac:dyDescent="0.25">
      <c r="A479" s="5">
        <v>44114</v>
      </c>
      <c r="B479">
        <v>47.78</v>
      </c>
      <c r="C479">
        <v>50.46</v>
      </c>
      <c r="D479">
        <v>47.76</v>
      </c>
      <c r="E479">
        <v>48.88</v>
      </c>
      <c r="F479">
        <v>426163.73877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-0.17037037037036787</v>
      </c>
      <c r="Q479">
        <f t="shared" si="980"/>
        <v>-72605.674012665593</v>
      </c>
      <c r="R479">
        <f t="shared" si="981"/>
        <v>21808145.345963452</v>
      </c>
      <c r="S479">
        <f t="shared" si="982"/>
        <v>218.08145345963453</v>
      </c>
      <c r="T479">
        <f t="shared" si="983"/>
        <v>0.21808145345963453</v>
      </c>
    </row>
    <row r="480" spans="1:20" x14ac:dyDescent="0.25">
      <c r="A480" s="5">
        <v>44113</v>
      </c>
      <c r="B480">
        <v>47.21</v>
      </c>
      <c r="C480">
        <v>48.2</v>
      </c>
      <c r="D480">
        <v>46.59</v>
      </c>
      <c r="E480">
        <v>47.78</v>
      </c>
      <c r="F480">
        <v>402514.89168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0.47826086956521507</v>
      </c>
      <c r="Q480">
        <f t="shared" si="980"/>
        <v>192507.12210782515</v>
      </c>
      <c r="R480">
        <f t="shared" si="981"/>
        <v>21880751.019976117</v>
      </c>
      <c r="S480">
        <f t="shared" si="982"/>
        <v>218.80751019976117</v>
      </c>
      <c r="T480">
        <f t="shared" si="983"/>
        <v>0.21880751019976116</v>
      </c>
    </row>
    <row r="481" spans="1:20" x14ac:dyDescent="0.25">
      <c r="A481" s="5">
        <v>44112</v>
      </c>
      <c r="B481">
        <v>46.56</v>
      </c>
      <c r="C481">
        <v>47.5</v>
      </c>
      <c r="D481">
        <v>45.45</v>
      </c>
      <c r="E481">
        <v>47.21</v>
      </c>
      <c r="F481">
        <v>412581.66490999999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0.71707317073170773</v>
      </c>
      <c r="Q481">
        <f t="shared" si="980"/>
        <v>295851.24264278065</v>
      </c>
      <c r="R481">
        <f t="shared" si="981"/>
        <v>21688243.897868291</v>
      </c>
      <c r="S481">
        <f t="shared" si="982"/>
        <v>216.8824389786829</v>
      </c>
      <c r="T481">
        <f t="shared" si="983"/>
        <v>0.2168824389786829</v>
      </c>
    </row>
    <row r="482" spans="1:20" x14ac:dyDescent="0.25">
      <c r="A482" s="5">
        <v>44111</v>
      </c>
      <c r="B482">
        <v>46.01</v>
      </c>
      <c r="C482">
        <v>46.96</v>
      </c>
      <c r="D482">
        <v>45.02</v>
      </c>
      <c r="E482">
        <v>46.55</v>
      </c>
      <c r="F482">
        <v>384596.71961999999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0.57731958762886171</v>
      </c>
      <c r="Q482">
        <f t="shared" si="980"/>
        <v>222035.21957443134</v>
      </c>
      <c r="R482">
        <f t="shared" si="981"/>
        <v>21392392.655225512</v>
      </c>
      <c r="S482">
        <f t="shared" si="982"/>
        <v>213.92392655225512</v>
      </c>
      <c r="T482">
        <f t="shared" si="983"/>
        <v>0.21392392655225512</v>
      </c>
    </row>
    <row r="483" spans="1:20" x14ac:dyDescent="0.25">
      <c r="A483" s="5">
        <v>44110</v>
      </c>
      <c r="B483">
        <v>46.35</v>
      </c>
      <c r="C483">
        <v>48.25</v>
      </c>
      <c r="D483">
        <v>45.52</v>
      </c>
      <c r="E483">
        <v>45.99</v>
      </c>
      <c r="F483">
        <v>650720.47184999997</v>
      </c>
      <c r="G483">
        <v>0</v>
      </c>
      <c r="L483" t="s">
        <v>8</v>
      </c>
      <c r="M483" t="s">
        <v>7</v>
      </c>
      <c r="N483" t="s">
        <v>7</v>
      </c>
      <c r="P483">
        <f t="shared" si="979"/>
        <v>-0.65567765567765612</v>
      </c>
      <c r="Q483">
        <f t="shared" si="980"/>
        <v>-426662.87348406622</v>
      </c>
      <c r="R483">
        <f t="shared" si="981"/>
        <v>21170357.435651079</v>
      </c>
      <c r="S483">
        <f t="shared" si="982"/>
        <v>211.70357435651079</v>
      </c>
      <c r="T483">
        <f t="shared" si="983"/>
        <v>0.2117035743565108</v>
      </c>
    </row>
    <row r="484" spans="1:20" x14ac:dyDescent="0.25">
      <c r="A484" s="5">
        <v>44109</v>
      </c>
      <c r="B484">
        <v>46.68</v>
      </c>
      <c r="C484">
        <v>47.08</v>
      </c>
      <c r="D484">
        <v>45.53</v>
      </c>
      <c r="E484">
        <v>46.34</v>
      </c>
      <c r="F484">
        <v>288147.27513999998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4.5161290322585493E-2</v>
      </c>
      <c r="Q484">
        <f t="shared" si="980"/>
        <v>13013.10274825946</v>
      </c>
      <c r="R484">
        <f t="shared" si="981"/>
        <v>21597020.309135146</v>
      </c>
      <c r="S484">
        <f t="shared" si="982"/>
        <v>215.97020309135146</v>
      </c>
      <c r="T484">
        <f t="shared" si="983"/>
        <v>0.21597020309135145</v>
      </c>
    </row>
    <row r="485" spans="1:20" x14ac:dyDescent="0.25">
      <c r="A485" s="5">
        <v>44108</v>
      </c>
      <c r="B485">
        <v>45.5</v>
      </c>
      <c r="C485">
        <v>47.07</v>
      </c>
      <c r="D485">
        <v>45.28</v>
      </c>
      <c r="E485">
        <v>46.69</v>
      </c>
      <c r="F485">
        <v>257423.66188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0.57541899441340472</v>
      </c>
      <c r="Q485">
        <f t="shared" si="980"/>
        <v>148126.46465720591</v>
      </c>
      <c r="R485">
        <f t="shared" si="981"/>
        <v>21584007.206386887</v>
      </c>
      <c r="S485">
        <f t="shared" si="982"/>
        <v>215.84007206386886</v>
      </c>
      <c r="T485">
        <f t="shared" si="983"/>
        <v>0.21584007206386885</v>
      </c>
    </row>
    <row r="486" spans="1:20" x14ac:dyDescent="0.25">
      <c r="A486" s="5">
        <v>44107</v>
      </c>
      <c r="B486">
        <v>44.88</v>
      </c>
      <c r="C486">
        <v>45.97</v>
      </c>
      <c r="D486">
        <v>44.72</v>
      </c>
      <c r="E486">
        <v>45.51</v>
      </c>
      <c r="F486">
        <v>225825.74372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0.26399999999999862</v>
      </c>
      <c r="Q486">
        <f t="shared" si="980"/>
        <v>59617.996342079692</v>
      </c>
      <c r="R486">
        <f t="shared" si="981"/>
        <v>21435880.74172968</v>
      </c>
      <c r="S486">
        <f t="shared" si="982"/>
        <v>214.35880741729682</v>
      </c>
      <c r="T486">
        <f t="shared" si="983"/>
        <v>0.21435880741729682</v>
      </c>
    </row>
    <row r="487" spans="1:20" x14ac:dyDescent="0.25">
      <c r="A487" s="5">
        <v>44106</v>
      </c>
      <c r="B487">
        <v>46.25</v>
      </c>
      <c r="C487">
        <v>46.97</v>
      </c>
      <c r="D487">
        <v>43.19</v>
      </c>
      <c r="E487">
        <v>44.88</v>
      </c>
      <c r="F487">
        <v>518670.86557999998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-0.10582010582010354</v>
      </c>
      <c r="Q487">
        <f t="shared" si="980"/>
        <v>-54885.805881480293</v>
      </c>
      <c r="R487">
        <f t="shared" si="981"/>
        <v>21376262.745387603</v>
      </c>
      <c r="S487">
        <f t="shared" si="982"/>
        <v>213.76262745387604</v>
      </c>
      <c r="T487">
        <f t="shared" si="983"/>
        <v>0.21376262745387603</v>
      </c>
    </row>
    <row r="488" spans="1:20" x14ac:dyDescent="0.25">
      <c r="A488" s="5">
        <v>44105</v>
      </c>
      <c r="B488">
        <v>46.26</v>
      </c>
      <c r="C488">
        <v>48.46</v>
      </c>
      <c r="D488">
        <v>45.23</v>
      </c>
      <c r="E488">
        <v>46.25</v>
      </c>
      <c r="F488">
        <v>691422.81613000005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-0.36842105263157782</v>
      </c>
      <c r="Q488">
        <f t="shared" si="980"/>
        <v>-254734.72173210449</v>
      </c>
      <c r="R488">
        <f t="shared" si="981"/>
        <v>21431148.551269084</v>
      </c>
      <c r="S488">
        <f t="shared" si="982"/>
        <v>214.31148551269084</v>
      </c>
      <c r="T488">
        <f t="shared" si="983"/>
        <v>0.21431148551269083</v>
      </c>
    </row>
    <row r="489" spans="1:20" x14ac:dyDescent="0.25">
      <c r="A489" s="5">
        <v>44104</v>
      </c>
      <c r="B489">
        <v>45.68</v>
      </c>
      <c r="C489">
        <v>46.7</v>
      </c>
      <c r="D489">
        <v>45.44</v>
      </c>
      <c r="E489">
        <v>46.24</v>
      </c>
      <c r="F489">
        <v>294138.00474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0.26984126984127144</v>
      </c>
      <c r="Q489">
        <f t="shared" si="980"/>
        <v>79370.572707619518</v>
      </c>
      <c r="R489">
        <f t="shared" si="981"/>
        <v>21685883.27300119</v>
      </c>
      <c r="S489">
        <f t="shared" si="982"/>
        <v>216.8588327300119</v>
      </c>
      <c r="T489">
        <f t="shared" si="983"/>
        <v>0.21685883273001189</v>
      </c>
    </row>
    <row r="490" spans="1:20" x14ac:dyDescent="0.25">
      <c r="A490" s="5">
        <v>44103</v>
      </c>
      <c r="B490">
        <v>45.23</v>
      </c>
      <c r="C490">
        <v>45.85</v>
      </c>
      <c r="D490">
        <v>44.95</v>
      </c>
      <c r="E490">
        <v>45.69</v>
      </c>
      <c r="F490">
        <v>314875.69764999999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0.64444444444443572</v>
      </c>
      <c r="Q490">
        <f t="shared" si="980"/>
        <v>202919.89404110835</v>
      </c>
      <c r="R490">
        <f t="shared" si="981"/>
        <v>21606512.700293571</v>
      </c>
      <c r="S490">
        <f t="shared" si="982"/>
        <v>216.0651270029357</v>
      </c>
      <c r="T490">
        <f t="shared" si="983"/>
        <v>0.2160651270029357</v>
      </c>
    </row>
    <row r="491" spans="1:20" x14ac:dyDescent="0.25">
      <c r="A491" s="5">
        <v>44102</v>
      </c>
      <c r="B491">
        <v>46.05</v>
      </c>
      <c r="C491">
        <v>47.14</v>
      </c>
      <c r="D491">
        <v>44.8</v>
      </c>
      <c r="E491">
        <v>45.23</v>
      </c>
      <c r="F491">
        <v>500347.34058999998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-0.63247863247863323</v>
      </c>
      <c r="Q491">
        <f t="shared" si="980"/>
        <v>-316459.00174068415</v>
      </c>
      <c r="R491">
        <f t="shared" si="981"/>
        <v>21403592.806252461</v>
      </c>
      <c r="S491">
        <f t="shared" si="982"/>
        <v>214.03592806252462</v>
      </c>
      <c r="T491">
        <f t="shared" si="983"/>
        <v>0.21403592806252461</v>
      </c>
    </row>
    <row r="492" spans="1:20" x14ac:dyDescent="0.25">
      <c r="A492" s="5">
        <v>44101</v>
      </c>
      <c r="B492">
        <v>46.01</v>
      </c>
      <c r="C492">
        <v>46.62</v>
      </c>
      <c r="D492">
        <v>44.56</v>
      </c>
      <c r="E492">
        <v>46.05</v>
      </c>
      <c r="F492">
        <v>299821.64354000002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0.44660194174757123</v>
      </c>
      <c r="Q492">
        <f t="shared" si="980"/>
        <v>133900.92818291215</v>
      </c>
      <c r="R492">
        <f t="shared" si="981"/>
        <v>21720051.807993144</v>
      </c>
      <c r="S492">
        <f t="shared" si="982"/>
        <v>217.20051807993144</v>
      </c>
      <c r="T492">
        <f t="shared" si="983"/>
        <v>0.21720051807993143</v>
      </c>
    </row>
    <row r="493" spans="1:20" x14ac:dyDescent="0.25">
      <c r="A493" s="5">
        <v>44100</v>
      </c>
      <c r="B493">
        <v>46.01</v>
      </c>
      <c r="C493">
        <v>46.56</v>
      </c>
      <c r="D493">
        <v>45.12</v>
      </c>
      <c r="E493">
        <v>46.03</v>
      </c>
      <c r="F493">
        <v>239828.37015999999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0.26388888888888978</v>
      </c>
      <c r="Q493">
        <f t="shared" si="980"/>
        <v>63288.042125555767</v>
      </c>
      <c r="R493">
        <f t="shared" si="981"/>
        <v>21586150.879810233</v>
      </c>
      <c r="S493">
        <f t="shared" si="982"/>
        <v>215.86150879810234</v>
      </c>
      <c r="T493">
        <f t="shared" si="983"/>
        <v>0.21586150879810234</v>
      </c>
    </row>
    <row r="494" spans="1:20" x14ac:dyDescent="0.25">
      <c r="A494" s="5">
        <v>44099</v>
      </c>
      <c r="B494">
        <v>44.92</v>
      </c>
      <c r="C494">
        <v>46.58</v>
      </c>
      <c r="D494">
        <v>43.97</v>
      </c>
      <c r="E494">
        <v>46.02</v>
      </c>
      <c r="F494">
        <v>417026.33098999999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0.57088122605364344</v>
      </c>
      <c r="Q494">
        <f t="shared" si="980"/>
        <v>238072.5031322237</v>
      </c>
      <c r="R494">
        <f t="shared" si="981"/>
        <v>21522862.837684676</v>
      </c>
      <c r="S494">
        <f t="shared" si="982"/>
        <v>215.22862837684676</v>
      </c>
      <c r="T494">
        <f t="shared" si="983"/>
        <v>0.21522862837684675</v>
      </c>
    </row>
    <row r="495" spans="1:20" x14ac:dyDescent="0.25">
      <c r="A495" s="5">
        <v>44098</v>
      </c>
      <c r="B495">
        <v>42.99</v>
      </c>
      <c r="C495">
        <v>45.29</v>
      </c>
      <c r="D495">
        <v>42.56</v>
      </c>
      <c r="E495">
        <v>44.92</v>
      </c>
      <c r="F495">
        <v>385922.04927999998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0.72893772893773046</v>
      </c>
      <c r="Q495">
        <f t="shared" si="980"/>
        <v>281313.14214915805</v>
      </c>
      <c r="R495">
        <f t="shared" si="981"/>
        <v>21284790.334552452</v>
      </c>
      <c r="S495">
        <f t="shared" si="982"/>
        <v>212.84790334552451</v>
      </c>
      <c r="T495">
        <f t="shared" si="983"/>
        <v>0.2128479033455245</v>
      </c>
    </row>
    <row r="496" spans="1:20" x14ac:dyDescent="0.25">
      <c r="A496" s="5">
        <v>44097</v>
      </c>
      <c r="B496">
        <v>44.47</v>
      </c>
      <c r="C496">
        <v>45.14</v>
      </c>
      <c r="D496">
        <v>42.25</v>
      </c>
      <c r="E496">
        <v>42.96</v>
      </c>
      <c r="F496">
        <v>416831.71649000002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-0.50865051903114133</v>
      </c>
      <c r="Q496">
        <f t="shared" si="980"/>
        <v>-212021.66894128008</v>
      </c>
      <c r="R496">
        <f t="shared" si="981"/>
        <v>21003477.192403294</v>
      </c>
      <c r="S496">
        <f t="shared" si="982"/>
        <v>210.03477192403295</v>
      </c>
      <c r="T496">
        <f t="shared" si="983"/>
        <v>0.21003477192403294</v>
      </c>
    </row>
    <row r="497" spans="1:20" x14ac:dyDescent="0.25">
      <c r="A497" s="5">
        <v>44096</v>
      </c>
      <c r="B497">
        <v>43.17</v>
      </c>
      <c r="C497">
        <v>44.79</v>
      </c>
      <c r="D497">
        <v>42.75</v>
      </c>
      <c r="E497">
        <v>44.47</v>
      </c>
      <c r="F497">
        <v>334632.72915000003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0.68627450980392113</v>
      </c>
      <c r="Q497">
        <f t="shared" si="980"/>
        <v>229649.91216176457</v>
      </c>
      <c r="R497">
        <f t="shared" si="981"/>
        <v>21215498.861344576</v>
      </c>
      <c r="S497">
        <f t="shared" si="982"/>
        <v>212.15498861344577</v>
      </c>
      <c r="T497">
        <f t="shared" si="983"/>
        <v>0.21215498861344576</v>
      </c>
    </row>
    <row r="498" spans="1:20" x14ac:dyDescent="0.25">
      <c r="A498" s="5">
        <v>44095</v>
      </c>
      <c r="B498">
        <v>47.1</v>
      </c>
      <c r="C498">
        <v>47.64</v>
      </c>
      <c r="D498">
        <v>41.59</v>
      </c>
      <c r="E498">
        <v>43.16</v>
      </c>
      <c r="F498">
        <v>724381.66741999995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-0.4809917355371921</v>
      </c>
      <c r="Q498">
        <f t="shared" si="980"/>
        <v>-348421.59540367086</v>
      </c>
      <c r="R498">
        <f t="shared" si="981"/>
        <v>20985848.949182812</v>
      </c>
      <c r="S498">
        <f t="shared" si="982"/>
        <v>209.85848949182812</v>
      </c>
      <c r="T498">
        <f t="shared" si="983"/>
        <v>0.20985848949182812</v>
      </c>
    </row>
    <row r="499" spans="1:20" x14ac:dyDescent="0.25">
      <c r="A499" s="5">
        <v>44094</v>
      </c>
      <c r="B499">
        <v>48.51</v>
      </c>
      <c r="C499">
        <v>48.51</v>
      </c>
      <c r="D499">
        <v>46.15</v>
      </c>
      <c r="E499">
        <v>47.09</v>
      </c>
      <c r="F499">
        <v>309678.11311999999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-0.20338983050847029</v>
      </c>
      <c r="Q499">
        <f t="shared" si="980"/>
        <v>-62985.378939659691</v>
      </c>
      <c r="R499">
        <f t="shared" si="981"/>
        <v>21334270.544586483</v>
      </c>
      <c r="S499">
        <f t="shared" si="982"/>
        <v>213.34270544586482</v>
      </c>
      <c r="T499">
        <f t="shared" si="983"/>
        <v>0.21334270544586481</v>
      </c>
    </row>
    <row r="500" spans="1:20" x14ac:dyDescent="0.25">
      <c r="A500" s="5">
        <v>44093</v>
      </c>
      <c r="B500">
        <v>48.53</v>
      </c>
      <c r="C500">
        <v>49.03</v>
      </c>
      <c r="D500">
        <v>47.94</v>
      </c>
      <c r="E500">
        <v>48.52</v>
      </c>
      <c r="F500">
        <v>225043.69542999999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6.4220183486245114E-2</v>
      </c>
      <c r="Q500">
        <f t="shared" si="980"/>
        <v>14452.347412937261</v>
      </c>
      <c r="R500">
        <f t="shared" si="981"/>
        <v>21397255.923526142</v>
      </c>
      <c r="S500">
        <f t="shared" si="982"/>
        <v>213.97255923526143</v>
      </c>
      <c r="T500">
        <f t="shared" si="983"/>
        <v>0.21397255923526143</v>
      </c>
    </row>
    <row r="501" spans="1:20" x14ac:dyDescent="0.25">
      <c r="A501" s="5">
        <v>44092</v>
      </c>
      <c r="B501">
        <v>48.85</v>
      </c>
      <c r="C501">
        <v>49.07</v>
      </c>
      <c r="D501">
        <v>47.44</v>
      </c>
      <c r="E501">
        <v>48.54</v>
      </c>
      <c r="F501">
        <v>322351.62539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0.34969325153374198</v>
      </c>
      <c r="Q501">
        <f t="shared" si="980"/>
        <v>112724.18801981583</v>
      </c>
      <c r="R501">
        <f t="shared" si="981"/>
        <v>21382803.576113205</v>
      </c>
      <c r="S501">
        <f t="shared" si="982"/>
        <v>213.82803576113204</v>
      </c>
      <c r="T501">
        <f t="shared" si="983"/>
        <v>0.21382803576113205</v>
      </c>
    </row>
    <row r="502" spans="1:20" x14ac:dyDescent="0.25">
      <c r="A502" s="5">
        <v>44091</v>
      </c>
      <c r="B502">
        <v>47.76</v>
      </c>
      <c r="C502">
        <v>49.67</v>
      </c>
      <c r="D502">
        <v>47.64</v>
      </c>
      <c r="E502">
        <v>48.85</v>
      </c>
      <c r="F502">
        <v>412392.29057000001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0.1921182266009854</v>
      </c>
      <c r="Q502">
        <f t="shared" si="980"/>
        <v>79228.075528226676</v>
      </c>
      <c r="R502">
        <f t="shared" si="981"/>
        <v>21270079.38809339</v>
      </c>
      <c r="S502">
        <f t="shared" si="982"/>
        <v>212.7007938809339</v>
      </c>
      <c r="T502">
        <f t="shared" si="983"/>
        <v>0.21270079388093391</v>
      </c>
    </row>
    <row r="503" spans="1:20" x14ac:dyDescent="0.25">
      <c r="A503" s="5">
        <v>44090</v>
      </c>
      <c r="B503">
        <v>48.29</v>
      </c>
      <c r="C503">
        <v>48.75</v>
      </c>
      <c r="D503">
        <v>46.91</v>
      </c>
      <c r="E503">
        <v>47.76</v>
      </c>
      <c r="F503">
        <v>409293.57783000002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-7.6086956521739302E-2</v>
      </c>
      <c r="Q503">
        <f t="shared" si="980"/>
        <v>-31141.902660978332</v>
      </c>
      <c r="R503">
        <f t="shared" si="981"/>
        <v>21190851.312565163</v>
      </c>
      <c r="S503">
        <f t="shared" si="982"/>
        <v>211.90851312565164</v>
      </c>
      <c r="T503">
        <f t="shared" si="983"/>
        <v>0.21190851312565165</v>
      </c>
    </row>
    <row r="504" spans="1:20" x14ac:dyDescent="0.25">
      <c r="A504" s="5">
        <v>44089</v>
      </c>
      <c r="B504">
        <v>49.08</v>
      </c>
      <c r="C504">
        <v>50.37</v>
      </c>
      <c r="D504">
        <v>48.1</v>
      </c>
      <c r="E504">
        <v>48.31</v>
      </c>
      <c r="F504">
        <v>615374.46932000003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-0.81497797356828083</v>
      </c>
      <c r="Q504">
        <f t="shared" si="980"/>
        <v>-501516.63799206982</v>
      </c>
      <c r="R504">
        <f t="shared" si="981"/>
        <v>21221993.21522614</v>
      </c>
      <c r="S504">
        <f t="shared" si="982"/>
        <v>212.21993215226141</v>
      </c>
      <c r="T504">
        <f t="shared" si="983"/>
        <v>0.2122199321522614</v>
      </c>
    </row>
    <row r="505" spans="1:20" x14ac:dyDescent="0.25">
      <c r="A505" s="5">
        <v>44088</v>
      </c>
      <c r="B505">
        <v>48.17</v>
      </c>
      <c r="C505">
        <v>49.65</v>
      </c>
      <c r="D505">
        <v>47.11</v>
      </c>
      <c r="E505">
        <v>49.08</v>
      </c>
      <c r="F505">
        <v>493683.75374999997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0.5511811023622043</v>
      </c>
      <c r="Q505">
        <f t="shared" si="980"/>
        <v>272109.15561023599</v>
      </c>
      <c r="R505">
        <f t="shared" si="981"/>
        <v>21723509.853218209</v>
      </c>
      <c r="S505">
        <f t="shared" si="982"/>
        <v>217.23509853218209</v>
      </c>
      <c r="T505">
        <f t="shared" si="983"/>
        <v>0.21723509853218209</v>
      </c>
    </row>
    <row r="506" spans="1:20" x14ac:dyDescent="0.25">
      <c r="A506" s="5">
        <v>44087</v>
      </c>
      <c r="B506">
        <v>50.82</v>
      </c>
      <c r="C506">
        <v>51.04</v>
      </c>
      <c r="D506">
        <v>47.26</v>
      </c>
      <c r="E506">
        <v>48.15</v>
      </c>
      <c r="F506">
        <v>458828.41820999997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-0.52910052910052896</v>
      </c>
      <c r="Q506">
        <f t="shared" si="980"/>
        <v>-242766.35884126977</v>
      </c>
      <c r="R506">
        <f t="shared" si="981"/>
        <v>21451400.697607972</v>
      </c>
      <c r="S506">
        <f t="shared" si="982"/>
        <v>214.51400697607971</v>
      </c>
      <c r="T506">
        <f t="shared" si="983"/>
        <v>0.21451400697607972</v>
      </c>
    </row>
    <row r="507" spans="1:20" x14ac:dyDescent="0.25">
      <c r="A507" s="5">
        <v>44086</v>
      </c>
      <c r="B507">
        <v>48.95</v>
      </c>
      <c r="C507">
        <v>51.31</v>
      </c>
      <c r="D507">
        <v>48.38</v>
      </c>
      <c r="E507">
        <v>50.8</v>
      </c>
      <c r="F507">
        <v>451949.52402999997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0.65187713310579853</v>
      </c>
      <c r="Q507">
        <f t="shared" si="980"/>
        <v>294615.5600332066</v>
      </c>
      <c r="R507">
        <f t="shared" si="981"/>
        <v>21694167.056449242</v>
      </c>
      <c r="S507">
        <f t="shared" si="982"/>
        <v>216.94167056449243</v>
      </c>
      <c r="T507">
        <f t="shared" si="983"/>
        <v>0.21694167056449243</v>
      </c>
    </row>
    <row r="508" spans="1:20" x14ac:dyDescent="0.25">
      <c r="A508" s="5">
        <v>44085</v>
      </c>
      <c r="B508">
        <v>48.65</v>
      </c>
      <c r="C508">
        <v>49.59</v>
      </c>
      <c r="D508">
        <v>47.37</v>
      </c>
      <c r="E508">
        <v>48.96</v>
      </c>
      <c r="F508">
        <v>367092.22089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0.43243243243243168</v>
      </c>
      <c r="Q508">
        <f t="shared" si="980"/>
        <v>158742.58200648622</v>
      </c>
      <c r="R508">
        <f t="shared" si="981"/>
        <v>21399551.496416036</v>
      </c>
      <c r="S508">
        <f t="shared" si="982"/>
        <v>213.99551496416035</v>
      </c>
      <c r="T508">
        <f t="shared" si="983"/>
        <v>0.21399551496416036</v>
      </c>
    </row>
    <row r="509" spans="1:20" x14ac:dyDescent="0.25">
      <c r="A509" s="5">
        <v>44084</v>
      </c>
      <c r="B509">
        <v>47.82</v>
      </c>
      <c r="C509">
        <v>49.45</v>
      </c>
      <c r="D509">
        <v>47.77</v>
      </c>
      <c r="E509">
        <v>48.67</v>
      </c>
      <c r="F509">
        <v>474471.86038000003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7.1428571428569912E-2</v>
      </c>
      <c r="Q509">
        <f t="shared" si="980"/>
        <v>33890.847169999281</v>
      </c>
      <c r="R509">
        <f t="shared" si="981"/>
        <v>21240808.914409548</v>
      </c>
      <c r="S509">
        <f t="shared" si="982"/>
        <v>212.40808914409547</v>
      </c>
      <c r="T509">
        <f t="shared" si="983"/>
        <v>0.21240808914409548</v>
      </c>
    </row>
    <row r="510" spans="1:20" x14ac:dyDescent="0.25">
      <c r="A510" s="5">
        <v>44083</v>
      </c>
      <c r="B510">
        <v>47.47</v>
      </c>
      <c r="C510">
        <v>48.81</v>
      </c>
      <c r="D510">
        <v>46.52</v>
      </c>
      <c r="E510">
        <v>47.82</v>
      </c>
      <c r="F510">
        <v>378772.50758999999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0.13537117903929924</v>
      </c>
      <c r="Q510">
        <f t="shared" si="980"/>
        <v>51274.880940130221</v>
      </c>
      <c r="R510">
        <f t="shared" si="981"/>
        <v>21206918.067239549</v>
      </c>
      <c r="S510">
        <f t="shared" si="982"/>
        <v>212.0691806723955</v>
      </c>
      <c r="T510">
        <f t="shared" si="983"/>
        <v>0.2120691806723955</v>
      </c>
    </row>
    <row r="511" spans="1:20" x14ac:dyDescent="0.25">
      <c r="A511" s="5">
        <v>44082</v>
      </c>
      <c r="B511">
        <v>48.85</v>
      </c>
      <c r="C511">
        <v>49.35</v>
      </c>
      <c r="D511">
        <v>45.98</v>
      </c>
      <c r="E511">
        <v>47.47</v>
      </c>
      <c r="F511">
        <v>760182.50563999999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-0.11572700296735906</v>
      </c>
      <c r="Q511">
        <f t="shared" si="980"/>
        <v>-87973.643085934731</v>
      </c>
      <c r="R511">
        <f t="shared" si="981"/>
        <v>21155643.186299417</v>
      </c>
      <c r="S511">
        <f t="shared" si="982"/>
        <v>211.55643186299417</v>
      </c>
      <c r="T511">
        <f t="shared" si="983"/>
        <v>0.21155643186299417</v>
      </c>
    </row>
    <row r="512" spans="1:20" x14ac:dyDescent="0.25">
      <c r="A512" s="5">
        <v>44081</v>
      </c>
      <c r="B512">
        <v>47.93</v>
      </c>
      <c r="C512">
        <v>49.18</v>
      </c>
      <c r="D512">
        <v>45.22</v>
      </c>
      <c r="E512">
        <v>48.84</v>
      </c>
      <c r="F512">
        <v>826692.56518999999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0.82828282828283017</v>
      </c>
      <c r="Q512">
        <f t="shared" si="980"/>
        <v>684735.25601596117</v>
      </c>
      <c r="R512">
        <f t="shared" si="981"/>
        <v>21243616.829385351</v>
      </c>
      <c r="S512">
        <f t="shared" si="982"/>
        <v>212.43616829385351</v>
      </c>
      <c r="T512">
        <f t="shared" si="983"/>
        <v>0.21243616829385351</v>
      </c>
    </row>
    <row r="513" spans="1:20" x14ac:dyDescent="0.25">
      <c r="A513" s="5">
        <v>44080</v>
      </c>
      <c r="B513">
        <v>47.82</v>
      </c>
      <c r="C513">
        <v>49.25</v>
      </c>
      <c r="D513">
        <v>46.28</v>
      </c>
      <c r="E513">
        <v>47.92</v>
      </c>
      <c r="F513">
        <v>653592.78694000002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0.10437710437710518</v>
      </c>
      <c r="Q513">
        <f t="shared" si="980"/>
        <v>68220.122542559446</v>
      </c>
      <c r="R513">
        <f t="shared" si="981"/>
        <v>20558881.573369391</v>
      </c>
      <c r="S513">
        <f t="shared" si="982"/>
        <v>205.58881573369391</v>
      </c>
      <c r="T513">
        <f t="shared" si="983"/>
        <v>0.20558881573369392</v>
      </c>
    </row>
    <row r="514" spans="1:20" x14ac:dyDescent="0.25">
      <c r="A514" s="5">
        <v>44079</v>
      </c>
      <c r="B514">
        <v>50.33</v>
      </c>
      <c r="C514">
        <v>51.32</v>
      </c>
      <c r="D514">
        <v>45.21</v>
      </c>
      <c r="E514">
        <v>47.83</v>
      </c>
      <c r="F514">
        <v>1350657.16967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-0.14238952536824953</v>
      </c>
      <c r="Q514">
        <f t="shared" si="980"/>
        <v>-192319.43332453456</v>
      </c>
      <c r="R514">
        <f t="shared" si="981"/>
        <v>20490661.450826831</v>
      </c>
      <c r="S514">
        <f t="shared" si="982"/>
        <v>204.90661450826832</v>
      </c>
      <c r="T514">
        <f t="shared" si="983"/>
        <v>0.20490661450826833</v>
      </c>
    </row>
    <row r="515" spans="1:20" x14ac:dyDescent="0.25">
      <c r="A515" s="5">
        <v>44078</v>
      </c>
      <c r="B515">
        <v>47.28</v>
      </c>
      <c r="C515">
        <v>52.38</v>
      </c>
      <c r="D515">
        <v>46.24</v>
      </c>
      <c r="E515">
        <v>50.32</v>
      </c>
      <c r="F515">
        <v>1476516.4821200001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0.32899022801302863</v>
      </c>
      <c r="Q515">
        <f t="shared" si="980"/>
        <v>485759.49411765375</v>
      </c>
      <c r="R515">
        <f t="shared" si="981"/>
        <v>20682980.884151366</v>
      </c>
      <c r="S515">
        <f t="shared" si="982"/>
        <v>206.82980884151365</v>
      </c>
      <c r="T515">
        <f t="shared" si="983"/>
        <v>0.20682980884151364</v>
      </c>
    </row>
    <row r="516" spans="1:20" x14ac:dyDescent="0.25">
      <c r="A516" s="5">
        <v>44077</v>
      </c>
      <c r="B516">
        <v>58.07</v>
      </c>
      <c r="C516">
        <v>58.62</v>
      </c>
      <c r="D516">
        <v>45.33</v>
      </c>
      <c r="E516">
        <v>47.28</v>
      </c>
      <c r="F516">
        <v>1324245.7409600001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-0.70654627539503345</v>
      </c>
      <c r="Q516">
        <f t="shared" si="980"/>
        <v>-935640.89598302438</v>
      </c>
      <c r="R516">
        <f t="shared" si="981"/>
        <v>20197221.390033711</v>
      </c>
      <c r="S516">
        <f t="shared" si="982"/>
        <v>201.9722139003371</v>
      </c>
      <c r="T516">
        <f t="shared" si="983"/>
        <v>0.20197221390033709</v>
      </c>
    </row>
    <row r="517" spans="1:20" x14ac:dyDescent="0.25">
      <c r="A517" s="5">
        <v>44076</v>
      </c>
      <c r="B517">
        <v>62.68</v>
      </c>
      <c r="C517">
        <v>63.19</v>
      </c>
      <c r="D517">
        <v>56.32</v>
      </c>
      <c r="E517">
        <v>58.06</v>
      </c>
      <c r="F517">
        <v>934006.30004999996</v>
      </c>
      <c r="G517">
        <v>0</v>
      </c>
      <c r="L517" t="s">
        <v>7</v>
      </c>
      <c r="M517" t="s">
        <v>8</v>
      </c>
      <c r="N517" t="s">
        <v>8</v>
      </c>
      <c r="P517">
        <f t="shared" si="979"/>
        <v>-0.49344978165938785</v>
      </c>
      <c r="Q517">
        <f t="shared" si="980"/>
        <v>-460885.20482816518</v>
      </c>
      <c r="R517">
        <f t="shared" si="981"/>
        <v>21132862.286016736</v>
      </c>
      <c r="S517">
        <f t="shared" si="982"/>
        <v>211.32862286016737</v>
      </c>
      <c r="T517">
        <f t="shared" si="983"/>
        <v>0.21132862286016738</v>
      </c>
    </row>
    <row r="518" spans="1:20" x14ac:dyDescent="0.25">
      <c r="A518" s="5">
        <v>44075</v>
      </c>
      <c r="B518">
        <v>60.94</v>
      </c>
      <c r="C518">
        <v>64.31</v>
      </c>
      <c r="D518">
        <v>59.69</v>
      </c>
      <c r="E518">
        <v>62.69</v>
      </c>
      <c r="F518">
        <v>972744.47944000002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0.29870129870129741</v>
      </c>
      <c r="Q518">
        <f t="shared" ref="Q518:Q581" si="985">F518*P518</f>
        <v>290560.03931324551</v>
      </c>
      <c r="R518">
        <f t="shared" ref="R518:R581" si="986">R519+Q518</f>
        <v>21593747.490844902</v>
      </c>
      <c r="S518">
        <f t="shared" ref="S518:S581" si="987">R518/100000</f>
        <v>215.93747490844902</v>
      </c>
      <c r="T518">
        <f t="shared" ref="T518:T581" si="988">S518/1000</f>
        <v>0.21593747490844903</v>
      </c>
    </row>
    <row r="519" spans="1:20" x14ac:dyDescent="0.25">
      <c r="A519" s="5">
        <v>44074</v>
      </c>
      <c r="B519">
        <v>62.89</v>
      </c>
      <c r="C519">
        <v>63.7</v>
      </c>
      <c r="D519">
        <v>60.51</v>
      </c>
      <c r="E519">
        <v>60.92</v>
      </c>
      <c r="F519">
        <v>680146.78621000005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-0.74294670846394795</v>
      </c>
      <c r="Q519">
        <f t="shared" si="985"/>
        <v>-505312.81608705205</v>
      </c>
      <c r="R519">
        <f t="shared" si="986"/>
        <v>21303187.451531656</v>
      </c>
      <c r="S519">
        <f t="shared" si="987"/>
        <v>213.03187451531656</v>
      </c>
      <c r="T519">
        <f t="shared" si="988"/>
        <v>0.21303187451531655</v>
      </c>
    </row>
    <row r="520" spans="1:20" x14ac:dyDescent="0.25">
      <c r="A520" s="5">
        <v>44073</v>
      </c>
      <c r="B520">
        <v>56.95</v>
      </c>
      <c r="C520">
        <v>62.95</v>
      </c>
      <c r="D520">
        <v>56.93</v>
      </c>
      <c r="E520">
        <v>62.89</v>
      </c>
      <c r="F520">
        <v>839317.10193999996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0.98006644518272346</v>
      </c>
      <c r="Q520">
        <f t="shared" si="985"/>
        <v>822586.52847940126</v>
      </c>
      <c r="R520">
        <f t="shared" si="986"/>
        <v>21808500.267618708</v>
      </c>
      <c r="S520">
        <f t="shared" si="987"/>
        <v>218.08500267618709</v>
      </c>
      <c r="T520">
        <f t="shared" si="988"/>
        <v>0.21808500267618708</v>
      </c>
    </row>
    <row r="521" spans="1:20" x14ac:dyDescent="0.25">
      <c r="A521" s="5">
        <v>44072</v>
      </c>
      <c r="B521">
        <v>57.36</v>
      </c>
      <c r="C521">
        <v>58.18</v>
      </c>
      <c r="D521">
        <v>56.93</v>
      </c>
      <c r="E521">
        <v>56.97</v>
      </c>
      <c r="F521">
        <v>408492.18575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-0.93600000000000139</v>
      </c>
      <c r="Q521">
        <f t="shared" si="985"/>
        <v>-382348.68586200057</v>
      </c>
      <c r="R521">
        <f t="shared" si="986"/>
        <v>20985913.739139307</v>
      </c>
      <c r="S521">
        <f t="shared" si="987"/>
        <v>209.85913739139306</v>
      </c>
      <c r="T521">
        <f t="shared" si="988"/>
        <v>0.20985913739139306</v>
      </c>
    </row>
    <row r="522" spans="1:20" x14ac:dyDescent="0.25">
      <c r="A522" s="5">
        <v>44071</v>
      </c>
      <c r="B522">
        <v>56.12</v>
      </c>
      <c r="C522">
        <v>58.28</v>
      </c>
      <c r="D522">
        <v>55.33</v>
      </c>
      <c r="E522">
        <v>57.38</v>
      </c>
      <c r="F522">
        <v>644522.18905000004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0.38983050847457784</v>
      </c>
      <c r="Q522">
        <f t="shared" si="985"/>
        <v>251254.4126805095</v>
      </c>
      <c r="R522">
        <f t="shared" si="986"/>
        <v>21368262.425001308</v>
      </c>
      <c r="S522">
        <f t="shared" si="987"/>
        <v>213.68262425001308</v>
      </c>
      <c r="T522">
        <f t="shared" si="988"/>
        <v>0.21368262425001308</v>
      </c>
    </row>
    <row r="523" spans="1:20" x14ac:dyDescent="0.25">
      <c r="A523" s="5">
        <v>44070</v>
      </c>
      <c r="B523">
        <v>58.11</v>
      </c>
      <c r="C523">
        <v>59.24</v>
      </c>
      <c r="D523">
        <v>53.91</v>
      </c>
      <c r="E523">
        <v>56.1</v>
      </c>
      <c r="F523">
        <v>975870.10826999997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-0.1782363977485919</v>
      </c>
      <c r="Q523">
        <f t="shared" si="985"/>
        <v>-173935.57276857315</v>
      </c>
      <c r="R523">
        <f t="shared" si="986"/>
        <v>21117008.012320798</v>
      </c>
      <c r="S523">
        <f t="shared" si="987"/>
        <v>211.17008012320798</v>
      </c>
      <c r="T523">
        <f t="shared" si="988"/>
        <v>0.21117008012320798</v>
      </c>
    </row>
    <row r="524" spans="1:20" x14ac:dyDescent="0.25">
      <c r="A524" s="5">
        <v>44069</v>
      </c>
      <c r="B524">
        <v>58.33</v>
      </c>
      <c r="C524">
        <v>59.1</v>
      </c>
      <c r="D524">
        <v>57.02</v>
      </c>
      <c r="E524">
        <v>58.1</v>
      </c>
      <c r="F524">
        <v>663386.26017999998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3.8461538461537673E-2</v>
      </c>
      <c r="Q524">
        <f t="shared" si="985"/>
        <v>25514.856160768708</v>
      </c>
      <c r="R524">
        <f t="shared" si="986"/>
        <v>21290943.585089371</v>
      </c>
      <c r="S524">
        <f t="shared" si="987"/>
        <v>212.90943585089371</v>
      </c>
      <c r="T524">
        <f t="shared" si="988"/>
        <v>0.21290943585089372</v>
      </c>
    </row>
    <row r="525" spans="1:20" x14ac:dyDescent="0.25">
      <c r="A525" s="5">
        <v>44068</v>
      </c>
      <c r="B525">
        <v>62.03</v>
      </c>
      <c r="C525">
        <v>62.29</v>
      </c>
      <c r="D525">
        <v>56.6</v>
      </c>
      <c r="E525">
        <v>58.34</v>
      </c>
      <c r="F525">
        <v>1171220.2512399999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-0.38840070298769674</v>
      </c>
      <c r="Q525">
        <f t="shared" si="985"/>
        <v>-454902.76893504278</v>
      </c>
      <c r="R525">
        <f t="shared" si="986"/>
        <v>21265428.728928603</v>
      </c>
      <c r="S525">
        <f t="shared" si="987"/>
        <v>212.65428728928603</v>
      </c>
      <c r="T525">
        <f t="shared" si="988"/>
        <v>0.21265428728928604</v>
      </c>
    </row>
    <row r="526" spans="1:20" x14ac:dyDescent="0.25">
      <c r="A526" s="5">
        <v>44067</v>
      </c>
      <c r="B526">
        <v>60.56</v>
      </c>
      <c r="C526">
        <v>63.01</v>
      </c>
      <c r="D526">
        <v>59.97</v>
      </c>
      <c r="E526">
        <v>62.02</v>
      </c>
      <c r="F526">
        <v>687323.05848999997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0.34868421052631898</v>
      </c>
      <c r="Q526">
        <f t="shared" si="985"/>
        <v>239658.6980261206</v>
      </c>
      <c r="R526">
        <f t="shared" si="986"/>
        <v>21720331.497863647</v>
      </c>
      <c r="S526">
        <f t="shared" si="987"/>
        <v>217.20331497863646</v>
      </c>
      <c r="T526">
        <f t="shared" si="988"/>
        <v>0.21720331497863646</v>
      </c>
    </row>
    <row r="527" spans="1:20" x14ac:dyDescent="0.25">
      <c r="A527" s="5">
        <v>44066</v>
      </c>
      <c r="B527">
        <v>60.21</v>
      </c>
      <c r="C527">
        <v>61.63</v>
      </c>
      <c r="D527">
        <v>58.01</v>
      </c>
      <c r="E527">
        <v>60.55</v>
      </c>
      <c r="F527">
        <v>629697.67740000004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0.40331491712706957</v>
      </c>
      <c r="Q527">
        <f t="shared" si="985"/>
        <v>253966.46657568921</v>
      </c>
      <c r="R527">
        <f t="shared" si="986"/>
        <v>21480672.799837526</v>
      </c>
      <c r="S527">
        <f t="shared" si="987"/>
        <v>214.80672799837527</v>
      </c>
      <c r="T527">
        <f t="shared" si="988"/>
        <v>0.21480672799837527</v>
      </c>
    </row>
    <row r="528" spans="1:20" x14ac:dyDescent="0.25">
      <c r="A528" s="5">
        <v>44065</v>
      </c>
      <c r="B528">
        <v>59.18</v>
      </c>
      <c r="C528">
        <v>60.54</v>
      </c>
      <c r="D528">
        <v>57.76</v>
      </c>
      <c r="E528">
        <v>60.21</v>
      </c>
      <c r="F528">
        <v>735637.16639000003</v>
      </c>
      <c r="G528">
        <v>0</v>
      </c>
      <c r="L528" t="s">
        <v>7</v>
      </c>
      <c r="M528" t="s">
        <v>8</v>
      </c>
      <c r="N528" t="s">
        <v>8</v>
      </c>
      <c r="P528">
        <f t="shared" si="984"/>
        <v>0.76258992805755532</v>
      </c>
      <c r="Q528">
        <f t="shared" si="985"/>
        <v>560989.49379381398</v>
      </c>
      <c r="R528">
        <f t="shared" si="986"/>
        <v>21226706.333261836</v>
      </c>
      <c r="S528">
        <f t="shared" si="987"/>
        <v>212.26706333261836</v>
      </c>
      <c r="T528">
        <f t="shared" si="988"/>
        <v>0.21226706333261836</v>
      </c>
    </row>
    <row r="529" spans="1:20" x14ac:dyDescent="0.25">
      <c r="A529" s="5">
        <v>44064</v>
      </c>
      <c r="B529">
        <v>62.8</v>
      </c>
      <c r="C529">
        <v>63.9</v>
      </c>
      <c r="D529">
        <v>58.77</v>
      </c>
      <c r="E529">
        <v>59.2</v>
      </c>
      <c r="F529">
        <v>1054292.6868400001</v>
      </c>
      <c r="G529">
        <v>0</v>
      </c>
      <c r="L529" t="s">
        <v>7</v>
      </c>
      <c r="M529" t="s">
        <v>8</v>
      </c>
      <c r="N529" t="s">
        <v>8</v>
      </c>
      <c r="P529">
        <f t="shared" si="984"/>
        <v>-0.83235867446393763</v>
      </c>
      <c r="Q529">
        <f t="shared" si="985"/>
        <v>-877549.66331516579</v>
      </c>
      <c r="R529">
        <f t="shared" si="986"/>
        <v>20665716.839468021</v>
      </c>
      <c r="S529">
        <f t="shared" si="987"/>
        <v>206.65716839468021</v>
      </c>
      <c r="T529">
        <f t="shared" si="988"/>
        <v>0.20665716839468021</v>
      </c>
    </row>
    <row r="530" spans="1:20" x14ac:dyDescent="0.25">
      <c r="A530" s="5">
        <v>44063</v>
      </c>
      <c r="B530">
        <v>62.08</v>
      </c>
      <c r="C530">
        <v>63.68</v>
      </c>
      <c r="D530">
        <v>61</v>
      </c>
      <c r="E530">
        <v>62.8</v>
      </c>
      <c r="F530">
        <v>867577.35763999994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0.34328358208955029</v>
      </c>
      <c r="Q530">
        <f t="shared" si="985"/>
        <v>297825.06307044602</v>
      </c>
      <c r="R530">
        <f t="shared" si="986"/>
        <v>21543266.502783187</v>
      </c>
      <c r="S530">
        <f t="shared" si="987"/>
        <v>215.43266502783186</v>
      </c>
      <c r="T530">
        <f t="shared" si="988"/>
        <v>0.21543266502783187</v>
      </c>
    </row>
    <row r="531" spans="1:20" x14ac:dyDescent="0.25">
      <c r="A531" s="5">
        <v>44062</v>
      </c>
      <c r="B531">
        <v>65.42</v>
      </c>
      <c r="C531">
        <v>67.150000000000006</v>
      </c>
      <c r="D531">
        <v>58.73</v>
      </c>
      <c r="E531">
        <v>62.12</v>
      </c>
      <c r="F531">
        <v>1699324.38729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-0.19477434679334987</v>
      </c>
      <c r="Q531">
        <f t="shared" si="985"/>
        <v>-330984.79752441926</v>
      </c>
      <c r="R531">
        <f t="shared" si="986"/>
        <v>21245441.43971274</v>
      </c>
      <c r="S531">
        <f t="shared" si="987"/>
        <v>212.45441439712741</v>
      </c>
      <c r="T531">
        <f t="shared" si="988"/>
        <v>0.21245441439712739</v>
      </c>
    </row>
    <row r="532" spans="1:20" x14ac:dyDescent="0.25">
      <c r="A532" s="5">
        <v>44061</v>
      </c>
      <c r="B532">
        <v>67.22</v>
      </c>
      <c r="C532">
        <v>68.37</v>
      </c>
      <c r="D532">
        <v>63.37</v>
      </c>
      <c r="E532">
        <v>65.400000000000006</v>
      </c>
      <c r="F532">
        <v>1562910.41383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-0.18799999999999786</v>
      </c>
      <c r="Q532">
        <f t="shared" si="985"/>
        <v>-293827.15780003666</v>
      </c>
      <c r="R532">
        <f t="shared" si="986"/>
        <v>21576426.237237159</v>
      </c>
      <c r="S532">
        <f t="shared" si="987"/>
        <v>215.7642623723716</v>
      </c>
      <c r="T532">
        <f t="shared" si="988"/>
        <v>0.21576426237237162</v>
      </c>
    </row>
    <row r="533" spans="1:20" x14ac:dyDescent="0.25">
      <c r="A533" s="5">
        <v>44060</v>
      </c>
      <c r="B533">
        <v>63.89</v>
      </c>
      <c r="C533">
        <v>68.88</v>
      </c>
      <c r="D533">
        <v>61.34</v>
      </c>
      <c r="E533">
        <v>67.22</v>
      </c>
      <c r="F533">
        <v>1790813.8027600001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0.55968169761273256</v>
      </c>
      <c r="Q533">
        <f t="shared" si="985"/>
        <v>1002285.7092370301</v>
      </c>
      <c r="R533">
        <f t="shared" si="986"/>
        <v>21870253.395037197</v>
      </c>
      <c r="S533">
        <f t="shared" si="987"/>
        <v>218.70253395037196</v>
      </c>
      <c r="T533">
        <f t="shared" si="988"/>
        <v>0.21870253395037195</v>
      </c>
    </row>
    <row r="534" spans="1:20" x14ac:dyDescent="0.25">
      <c r="A534" s="5">
        <v>44059</v>
      </c>
      <c r="B534">
        <v>59.85</v>
      </c>
      <c r="C534">
        <v>64.599999999999994</v>
      </c>
      <c r="D534">
        <v>57.8</v>
      </c>
      <c r="E534">
        <v>63.87</v>
      </c>
      <c r="F534">
        <v>1576897.5925499999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0.7852941176470597</v>
      </c>
      <c r="Q534">
        <f t="shared" si="985"/>
        <v>1238328.4035613248</v>
      </c>
      <c r="R534">
        <f t="shared" si="986"/>
        <v>20867967.685800165</v>
      </c>
      <c r="S534">
        <f t="shared" si="987"/>
        <v>208.67967685800164</v>
      </c>
      <c r="T534">
        <f t="shared" si="988"/>
        <v>0.20867967685800165</v>
      </c>
    </row>
    <row r="535" spans="1:20" x14ac:dyDescent="0.25">
      <c r="A535" s="5">
        <v>44058</v>
      </c>
      <c r="B535">
        <v>56.78</v>
      </c>
      <c r="C535">
        <v>60.87</v>
      </c>
      <c r="D535">
        <v>56.45</v>
      </c>
      <c r="E535">
        <v>59.85</v>
      </c>
      <c r="F535">
        <v>1137795.12262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0.53846153846153966</v>
      </c>
      <c r="Q535">
        <f t="shared" si="985"/>
        <v>612658.91218000138</v>
      </c>
      <c r="R535">
        <f t="shared" si="986"/>
        <v>19629639.282238841</v>
      </c>
      <c r="S535">
        <f t="shared" si="987"/>
        <v>196.29639282238841</v>
      </c>
      <c r="T535">
        <f t="shared" si="988"/>
        <v>0.19629639282238842</v>
      </c>
    </row>
    <row r="536" spans="1:20" x14ac:dyDescent="0.25">
      <c r="A536" s="5">
        <v>44057</v>
      </c>
      <c r="B536">
        <v>57.14</v>
      </c>
      <c r="C536">
        <v>57.85</v>
      </c>
      <c r="D536">
        <v>55.82</v>
      </c>
      <c r="E536">
        <v>56.78</v>
      </c>
      <c r="F536">
        <v>728312.30047000002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-5.4187192118226292E-2</v>
      </c>
      <c r="Q536">
        <f t="shared" si="985"/>
        <v>-39465.198547635242</v>
      </c>
      <c r="R536">
        <f t="shared" si="986"/>
        <v>19016980.370058838</v>
      </c>
      <c r="S536">
        <f t="shared" si="987"/>
        <v>190.16980370058837</v>
      </c>
      <c r="T536">
        <f t="shared" si="988"/>
        <v>0.19016980370058836</v>
      </c>
    </row>
    <row r="537" spans="1:20" x14ac:dyDescent="0.25">
      <c r="A537" s="5">
        <v>44056</v>
      </c>
      <c r="B537">
        <v>54.54</v>
      </c>
      <c r="C537">
        <v>57.3</v>
      </c>
      <c r="D537">
        <v>51.86</v>
      </c>
      <c r="E537">
        <v>57.14</v>
      </c>
      <c r="F537">
        <v>837109.90719000006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0.9411764705882365</v>
      </c>
      <c r="Q537">
        <f t="shared" si="985"/>
        <v>787868.14794353046</v>
      </c>
      <c r="R537">
        <f t="shared" si="986"/>
        <v>19056445.568606474</v>
      </c>
      <c r="S537">
        <f t="shared" si="987"/>
        <v>190.56445568606475</v>
      </c>
      <c r="T537">
        <f t="shared" si="988"/>
        <v>0.19056445568606475</v>
      </c>
    </row>
    <row r="538" spans="1:20" x14ac:dyDescent="0.25">
      <c r="A538" s="5">
        <v>44055</v>
      </c>
      <c r="B538">
        <v>54.11</v>
      </c>
      <c r="C538">
        <v>55.05</v>
      </c>
      <c r="D538">
        <v>51.55</v>
      </c>
      <c r="E538">
        <v>54.52</v>
      </c>
      <c r="F538">
        <v>645092.49922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0.69714285714286051</v>
      </c>
      <c r="Q538">
        <f t="shared" si="985"/>
        <v>449721.62802765932</v>
      </c>
      <c r="R538">
        <f t="shared" si="986"/>
        <v>18268577.420662943</v>
      </c>
      <c r="S538">
        <f t="shared" si="987"/>
        <v>182.68577420662945</v>
      </c>
      <c r="T538">
        <f t="shared" si="988"/>
        <v>0.18268577420662946</v>
      </c>
    </row>
    <row r="539" spans="1:20" x14ac:dyDescent="0.25">
      <c r="A539" s="5">
        <v>44054</v>
      </c>
      <c r="B539">
        <v>58.27</v>
      </c>
      <c r="C539">
        <v>59.67</v>
      </c>
      <c r="D539">
        <v>52.37</v>
      </c>
      <c r="E539">
        <v>54.1</v>
      </c>
      <c r="F539">
        <v>887598.71927999996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-0.52602739726027314</v>
      </c>
      <c r="Q539">
        <f t="shared" si="985"/>
        <v>-466901.24411441019</v>
      </c>
      <c r="R539">
        <f t="shared" si="986"/>
        <v>17818855.792635284</v>
      </c>
      <c r="S539">
        <f t="shared" si="987"/>
        <v>178.18855792635284</v>
      </c>
      <c r="T539">
        <f t="shared" si="988"/>
        <v>0.17818855792635285</v>
      </c>
    </row>
    <row r="540" spans="1:20" x14ac:dyDescent="0.25">
      <c r="A540" s="5">
        <v>44053</v>
      </c>
      <c r="B540">
        <v>56.96</v>
      </c>
      <c r="C540">
        <v>59.4</v>
      </c>
      <c r="D540">
        <v>56.38</v>
      </c>
      <c r="E540">
        <v>58.27</v>
      </c>
      <c r="F540">
        <v>651148.79465000005</v>
      </c>
      <c r="G540">
        <v>0</v>
      </c>
      <c r="L540" t="s">
        <v>8</v>
      </c>
      <c r="M540" t="s">
        <v>7</v>
      </c>
      <c r="N540" t="s">
        <v>8</v>
      </c>
      <c r="P540">
        <f t="shared" si="984"/>
        <v>0.25165562913907485</v>
      </c>
      <c r="Q540">
        <f t="shared" si="985"/>
        <v>163865.25958079603</v>
      </c>
      <c r="R540">
        <f t="shared" si="986"/>
        <v>18285757.036749694</v>
      </c>
      <c r="S540">
        <f t="shared" si="987"/>
        <v>182.85757036749695</v>
      </c>
      <c r="T540">
        <f t="shared" si="988"/>
        <v>0.18285757036749695</v>
      </c>
    </row>
    <row r="541" spans="1:20" x14ac:dyDescent="0.25">
      <c r="A541" s="5">
        <v>44052</v>
      </c>
      <c r="B541">
        <v>58.46</v>
      </c>
      <c r="C541">
        <v>58.67</v>
      </c>
      <c r="D541">
        <v>56</v>
      </c>
      <c r="E541">
        <v>56.96</v>
      </c>
      <c r="F541">
        <v>368846.69371999998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-0.28089887640449418</v>
      </c>
      <c r="Q541">
        <f t="shared" si="985"/>
        <v>-103608.62183146059</v>
      </c>
      <c r="R541">
        <f t="shared" si="986"/>
        <v>18121891.7771689</v>
      </c>
      <c r="S541">
        <f t="shared" si="987"/>
        <v>181.21891777168901</v>
      </c>
      <c r="T541">
        <f t="shared" si="988"/>
        <v>0.181218917771689</v>
      </c>
    </row>
    <row r="542" spans="1:20" x14ac:dyDescent="0.25">
      <c r="A542" s="5">
        <v>44051</v>
      </c>
      <c r="B542">
        <v>57.19</v>
      </c>
      <c r="C542">
        <v>58.55</v>
      </c>
      <c r="D542">
        <v>56.46</v>
      </c>
      <c r="E542">
        <v>58.46</v>
      </c>
      <c r="F542">
        <v>428217.70329999999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0.91387559808612784</v>
      </c>
      <c r="Q542">
        <f t="shared" si="985"/>
        <v>391337.70971435553</v>
      </c>
      <c r="R542">
        <f t="shared" si="986"/>
        <v>18225500.399000362</v>
      </c>
      <c r="S542">
        <f t="shared" si="987"/>
        <v>182.25500399000362</v>
      </c>
      <c r="T542">
        <f t="shared" si="988"/>
        <v>0.18225500399000361</v>
      </c>
    </row>
    <row r="543" spans="1:20" x14ac:dyDescent="0.25">
      <c r="A543" s="5">
        <v>44050</v>
      </c>
      <c r="B543">
        <v>59.03</v>
      </c>
      <c r="C543">
        <v>61.08</v>
      </c>
      <c r="D543">
        <v>54.51</v>
      </c>
      <c r="E543">
        <v>57.17</v>
      </c>
      <c r="F543">
        <v>897911.44061000005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-0.19025875190258643</v>
      </c>
      <c r="Q543">
        <f t="shared" si="985"/>
        <v>-170835.51000951196</v>
      </c>
      <c r="R543">
        <f t="shared" si="986"/>
        <v>17834162.689286005</v>
      </c>
      <c r="S543">
        <f t="shared" si="987"/>
        <v>178.34162689286003</v>
      </c>
      <c r="T543">
        <f t="shared" si="988"/>
        <v>0.17834162689286004</v>
      </c>
    </row>
    <row r="544" spans="1:20" x14ac:dyDescent="0.25">
      <c r="A544" s="5">
        <v>44049</v>
      </c>
      <c r="B544">
        <v>58.88</v>
      </c>
      <c r="C544">
        <v>60.68</v>
      </c>
      <c r="D544">
        <v>57.69</v>
      </c>
      <c r="E544">
        <v>59.03</v>
      </c>
      <c r="F544">
        <v>822577.34534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-0.10367892976588461</v>
      </c>
      <c r="Q544">
        <f t="shared" si="985"/>
        <v>-85283.938814513676</v>
      </c>
      <c r="R544">
        <f t="shared" si="986"/>
        <v>18004998.199295517</v>
      </c>
      <c r="S544">
        <f t="shared" si="987"/>
        <v>180.04998199295517</v>
      </c>
      <c r="T544">
        <f t="shared" si="988"/>
        <v>0.18004998199295516</v>
      </c>
    </row>
    <row r="545" spans="1:20" x14ac:dyDescent="0.25">
      <c r="A545" s="5">
        <v>44048</v>
      </c>
      <c r="B545">
        <v>57.62</v>
      </c>
      <c r="C545">
        <v>59.77</v>
      </c>
      <c r="D545">
        <v>56.73</v>
      </c>
      <c r="E545">
        <v>58.88</v>
      </c>
      <c r="F545">
        <v>716365.47473000002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0.41447368421052716</v>
      </c>
      <c r="Q545">
        <f t="shared" si="985"/>
        <v>296914.63755256642</v>
      </c>
      <c r="R545">
        <f t="shared" si="986"/>
        <v>18090282.13811003</v>
      </c>
      <c r="S545">
        <f t="shared" si="987"/>
        <v>180.9028213811003</v>
      </c>
      <c r="T545">
        <f t="shared" si="988"/>
        <v>0.18090282138110031</v>
      </c>
    </row>
    <row r="546" spans="1:20" x14ac:dyDescent="0.25">
      <c r="A546" s="5">
        <v>44047</v>
      </c>
      <c r="B546">
        <v>58.51</v>
      </c>
      <c r="C546">
        <v>59.62</v>
      </c>
      <c r="D546">
        <v>56.26</v>
      </c>
      <c r="E546">
        <v>57.61</v>
      </c>
      <c r="F546">
        <v>625555.61416999996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-0.19642857142857045</v>
      </c>
      <c r="Q546">
        <f t="shared" si="985"/>
        <v>-122876.9956405351</v>
      </c>
      <c r="R546">
        <f t="shared" si="986"/>
        <v>17793367.500557464</v>
      </c>
      <c r="S546">
        <f t="shared" si="987"/>
        <v>177.93367500557463</v>
      </c>
      <c r="T546">
        <f t="shared" si="988"/>
        <v>0.17793367500557464</v>
      </c>
    </row>
    <row r="547" spans="1:20" x14ac:dyDescent="0.25">
      <c r="A547" s="5">
        <v>44046</v>
      </c>
      <c r="B547">
        <v>56.77</v>
      </c>
      <c r="C547">
        <v>60.03</v>
      </c>
      <c r="D547">
        <v>55.71</v>
      </c>
      <c r="E547">
        <v>58.48</v>
      </c>
      <c r="F547">
        <v>825040.86283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0.2824074074074055</v>
      </c>
      <c r="Q547">
        <f t="shared" si="985"/>
        <v>232997.65107698916</v>
      </c>
      <c r="R547">
        <f t="shared" si="986"/>
        <v>17916244.496197999</v>
      </c>
      <c r="S547">
        <f t="shared" si="987"/>
        <v>179.16244496197999</v>
      </c>
      <c r="T547">
        <f t="shared" si="988"/>
        <v>0.17916244496198</v>
      </c>
    </row>
    <row r="548" spans="1:20" x14ac:dyDescent="0.25">
      <c r="A548" s="5">
        <v>44045</v>
      </c>
      <c r="B548">
        <v>61.65</v>
      </c>
      <c r="C548">
        <v>65.17</v>
      </c>
      <c r="D548">
        <v>51.79</v>
      </c>
      <c r="E548">
        <v>56.77</v>
      </c>
      <c r="F548">
        <v>1811190.59194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-0.25560538116591885</v>
      </c>
      <c r="Q548">
        <f t="shared" si="985"/>
        <v>-462950.06161694991</v>
      </c>
      <c r="R548">
        <f t="shared" si="986"/>
        <v>17683246.845121011</v>
      </c>
      <c r="S548">
        <f t="shared" si="987"/>
        <v>176.8324684512101</v>
      </c>
      <c r="T548">
        <f t="shared" si="988"/>
        <v>0.17683246845121012</v>
      </c>
    </row>
    <row r="549" spans="1:20" x14ac:dyDescent="0.25">
      <c r="A549" s="5">
        <v>44044</v>
      </c>
      <c r="B549">
        <v>58.13</v>
      </c>
      <c r="C549">
        <v>62.23</v>
      </c>
      <c r="D549">
        <v>57.55</v>
      </c>
      <c r="E549">
        <v>61.65</v>
      </c>
      <c r="F549">
        <v>1209772.3068500001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0.7521367521367528</v>
      </c>
      <c r="Q549">
        <f t="shared" si="985"/>
        <v>909914.21369914617</v>
      </c>
      <c r="R549">
        <f t="shared" si="986"/>
        <v>18146196.906737961</v>
      </c>
      <c r="S549">
        <f t="shared" si="987"/>
        <v>181.46196906737961</v>
      </c>
      <c r="T549">
        <f t="shared" si="988"/>
        <v>0.1814619690673796</v>
      </c>
    </row>
    <row r="550" spans="1:20" x14ac:dyDescent="0.25">
      <c r="A550" s="5">
        <v>44043</v>
      </c>
      <c r="B550">
        <v>56.73</v>
      </c>
      <c r="C550">
        <v>59.26</v>
      </c>
      <c r="D550">
        <v>55.78</v>
      </c>
      <c r="E550">
        <v>58.13</v>
      </c>
      <c r="F550">
        <v>656214.79104000004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0.35057471264368018</v>
      </c>
      <c r="Q550">
        <f t="shared" si="985"/>
        <v>230052.31180138065</v>
      </c>
      <c r="R550">
        <f t="shared" si="986"/>
        <v>17236282.693038814</v>
      </c>
      <c r="S550">
        <f t="shared" si="987"/>
        <v>172.36282693038814</v>
      </c>
      <c r="T550">
        <f t="shared" si="988"/>
        <v>0.17236282693038812</v>
      </c>
    </row>
    <row r="551" spans="1:20" x14ac:dyDescent="0.25">
      <c r="A551" s="5">
        <v>44042</v>
      </c>
      <c r="B551">
        <v>55.17</v>
      </c>
      <c r="C551">
        <v>58.61</v>
      </c>
      <c r="D551">
        <v>53.91</v>
      </c>
      <c r="E551">
        <v>56.75</v>
      </c>
      <c r="F551">
        <v>1024240.96809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0.20851063829787306</v>
      </c>
      <c r="Q551">
        <f t="shared" si="985"/>
        <v>213565.13802727734</v>
      </c>
      <c r="R551">
        <f t="shared" si="986"/>
        <v>17006230.381237432</v>
      </c>
      <c r="S551">
        <f t="shared" si="987"/>
        <v>170.06230381237432</v>
      </c>
      <c r="T551">
        <f t="shared" si="988"/>
        <v>0.17006230381237433</v>
      </c>
    </row>
    <row r="552" spans="1:20" x14ac:dyDescent="0.25">
      <c r="A552" s="5">
        <v>44041</v>
      </c>
      <c r="B552">
        <v>55.76</v>
      </c>
      <c r="C552">
        <v>56.97</v>
      </c>
      <c r="D552">
        <v>54.65</v>
      </c>
      <c r="E552">
        <v>55.16</v>
      </c>
      <c r="F552">
        <v>827762.01758999994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-0.56034482758620863</v>
      </c>
      <c r="Q552">
        <f t="shared" si="985"/>
        <v>-463832.1650288807</v>
      </c>
      <c r="R552">
        <f t="shared" si="986"/>
        <v>16792665.243210156</v>
      </c>
      <c r="S552">
        <f t="shared" si="987"/>
        <v>167.92665243210155</v>
      </c>
      <c r="T552">
        <f t="shared" si="988"/>
        <v>0.16792665243210156</v>
      </c>
    </row>
    <row r="553" spans="1:20" x14ac:dyDescent="0.25">
      <c r="A553" s="5">
        <v>44040</v>
      </c>
      <c r="B553">
        <v>53.29</v>
      </c>
      <c r="C553">
        <v>57.92</v>
      </c>
      <c r="D553">
        <v>51.65</v>
      </c>
      <c r="E553">
        <v>55.75</v>
      </c>
      <c r="F553">
        <v>1524796.9333899999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0.30781499202551815</v>
      </c>
      <c r="Q553">
        <f t="shared" si="985"/>
        <v>469355.35589197738</v>
      </c>
      <c r="R553">
        <f t="shared" si="986"/>
        <v>17256497.408239037</v>
      </c>
      <c r="S553">
        <f t="shared" si="987"/>
        <v>172.56497408239036</v>
      </c>
      <c r="T553">
        <f t="shared" si="988"/>
        <v>0.17256497408239035</v>
      </c>
    </row>
    <row r="554" spans="1:20" x14ac:dyDescent="0.25">
      <c r="A554" s="5">
        <v>44039</v>
      </c>
      <c r="B554">
        <v>48.07</v>
      </c>
      <c r="C554">
        <v>55.83</v>
      </c>
      <c r="D554">
        <v>46.85</v>
      </c>
      <c r="E554">
        <v>53.28</v>
      </c>
      <c r="F554">
        <v>1501022.7139000001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0.43207126948775099</v>
      </c>
      <c r="Q554">
        <f t="shared" si="985"/>
        <v>648548.78952472226</v>
      </c>
      <c r="R554">
        <f t="shared" si="986"/>
        <v>16787142.05234706</v>
      </c>
      <c r="S554">
        <f t="shared" si="987"/>
        <v>167.87142052347059</v>
      </c>
      <c r="T554">
        <f t="shared" si="988"/>
        <v>0.16787142052347059</v>
      </c>
    </row>
    <row r="555" spans="1:20" x14ac:dyDescent="0.25">
      <c r="A555" s="5">
        <v>44038</v>
      </c>
      <c r="B555">
        <v>49.16</v>
      </c>
      <c r="C555">
        <v>50.79</v>
      </c>
      <c r="D555">
        <v>47.49</v>
      </c>
      <c r="E555">
        <v>48.1</v>
      </c>
      <c r="F555">
        <v>895757.19561000005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-0.63030303030303036</v>
      </c>
      <c r="Q555">
        <f t="shared" si="985"/>
        <v>-564598.47480872739</v>
      </c>
      <c r="R555">
        <f t="shared" si="986"/>
        <v>16138593.262822337</v>
      </c>
      <c r="S555">
        <f t="shared" si="987"/>
        <v>161.38593262822337</v>
      </c>
      <c r="T555">
        <f t="shared" si="988"/>
        <v>0.16138593262822337</v>
      </c>
    </row>
    <row r="556" spans="1:20" x14ac:dyDescent="0.25">
      <c r="A556" s="5">
        <v>44037</v>
      </c>
      <c r="B556">
        <v>44.12</v>
      </c>
      <c r="C556">
        <v>49.52</v>
      </c>
      <c r="D556">
        <v>44.03</v>
      </c>
      <c r="E556">
        <v>49.16</v>
      </c>
      <c r="F556">
        <v>908436.85403000005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0.86885245901639108</v>
      </c>
      <c r="Q556">
        <f t="shared" si="985"/>
        <v>789297.59448507987</v>
      </c>
      <c r="R556">
        <f t="shared" si="986"/>
        <v>16703191.737631064</v>
      </c>
      <c r="S556">
        <f t="shared" si="987"/>
        <v>167.03191737631064</v>
      </c>
      <c r="T556">
        <f t="shared" si="988"/>
        <v>0.16703191737631065</v>
      </c>
    </row>
    <row r="557" spans="1:20" x14ac:dyDescent="0.25">
      <c r="A557" s="5">
        <v>44036</v>
      </c>
      <c r="B557">
        <v>44.93</v>
      </c>
      <c r="C557">
        <v>44.96</v>
      </c>
      <c r="D557">
        <v>43.93</v>
      </c>
      <c r="E557">
        <v>44.11</v>
      </c>
      <c r="F557">
        <v>246802.56870999999</v>
      </c>
      <c r="G557">
        <v>0</v>
      </c>
      <c r="L557" t="s">
        <v>8</v>
      </c>
      <c r="M557" t="s">
        <v>7</v>
      </c>
      <c r="N557" t="s">
        <v>8</v>
      </c>
      <c r="P557">
        <f t="shared" si="984"/>
        <v>-0.65048543689320482</v>
      </c>
      <c r="Q557">
        <f t="shared" si="985"/>
        <v>-160541.47673368955</v>
      </c>
      <c r="R557">
        <f t="shared" si="986"/>
        <v>15913894.143145984</v>
      </c>
      <c r="S557">
        <f t="shared" si="987"/>
        <v>159.13894143145984</v>
      </c>
      <c r="T557">
        <f t="shared" si="988"/>
        <v>0.15913894143145985</v>
      </c>
    </row>
    <row r="558" spans="1:20" x14ac:dyDescent="0.25">
      <c r="A558" s="5">
        <v>44035</v>
      </c>
      <c r="B558">
        <v>44.96</v>
      </c>
      <c r="C558">
        <v>45.63</v>
      </c>
      <c r="D558">
        <v>44.52</v>
      </c>
      <c r="E558">
        <v>44.94</v>
      </c>
      <c r="F558">
        <v>432494.11351</v>
      </c>
      <c r="G558">
        <v>0</v>
      </c>
      <c r="L558" t="s">
        <v>8</v>
      </c>
      <c r="M558" t="s">
        <v>7</v>
      </c>
      <c r="N558" t="s">
        <v>8</v>
      </c>
      <c r="P558">
        <f t="shared" si="984"/>
        <v>-0.24324324324325258</v>
      </c>
      <c r="Q558">
        <f t="shared" si="985"/>
        <v>-105201.27085378782</v>
      </c>
      <c r="R558">
        <f t="shared" si="986"/>
        <v>16074435.619879674</v>
      </c>
      <c r="S558">
        <f t="shared" si="987"/>
        <v>160.74435619879674</v>
      </c>
      <c r="T558">
        <f t="shared" si="988"/>
        <v>0.16074435619879673</v>
      </c>
    </row>
    <row r="559" spans="1:20" x14ac:dyDescent="0.25">
      <c r="A559" s="5">
        <v>44034</v>
      </c>
      <c r="B559">
        <v>43.77</v>
      </c>
      <c r="C559">
        <v>45.12</v>
      </c>
      <c r="D559">
        <v>43.2</v>
      </c>
      <c r="E559">
        <v>44.96</v>
      </c>
      <c r="F559">
        <v>335459.88539000001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0.83333333333333637</v>
      </c>
      <c r="Q559">
        <f t="shared" si="985"/>
        <v>279549.90449166769</v>
      </c>
      <c r="R559">
        <f t="shared" si="986"/>
        <v>16179636.890733462</v>
      </c>
      <c r="S559">
        <f t="shared" si="987"/>
        <v>161.79636890733462</v>
      </c>
      <c r="T559">
        <f t="shared" si="988"/>
        <v>0.16179636890733462</v>
      </c>
    </row>
    <row r="560" spans="1:20" x14ac:dyDescent="0.25">
      <c r="A560" s="5">
        <v>44033</v>
      </c>
      <c r="B560">
        <v>41.94</v>
      </c>
      <c r="C560">
        <v>44.11</v>
      </c>
      <c r="D560">
        <v>41.87</v>
      </c>
      <c r="E560">
        <v>43.77</v>
      </c>
      <c r="F560">
        <v>314440.37624000001</v>
      </c>
      <c r="G560">
        <v>0</v>
      </c>
      <c r="L560" t="s">
        <v>8</v>
      </c>
      <c r="M560" t="s">
        <v>7</v>
      </c>
      <c r="N560" t="s">
        <v>8</v>
      </c>
      <c r="P560">
        <f t="shared" si="984"/>
        <v>0.69642857142857495</v>
      </c>
      <c r="Q560">
        <f t="shared" si="985"/>
        <v>218985.26202428684</v>
      </c>
      <c r="R560">
        <f t="shared" si="986"/>
        <v>15900086.986241793</v>
      </c>
      <c r="S560">
        <f t="shared" si="987"/>
        <v>159.00086986241794</v>
      </c>
      <c r="T560">
        <f t="shared" si="988"/>
        <v>0.15900086986241793</v>
      </c>
    </row>
    <row r="561" spans="1:104" x14ac:dyDescent="0.25">
      <c r="A561" s="5">
        <v>44032</v>
      </c>
      <c r="B561">
        <v>42.65</v>
      </c>
      <c r="C561">
        <v>42.79</v>
      </c>
      <c r="D561">
        <v>41.37</v>
      </c>
      <c r="E561">
        <v>41.94</v>
      </c>
      <c r="F561">
        <v>180313.88112000001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-0.19718309859154987</v>
      </c>
      <c r="Q561">
        <f t="shared" si="985"/>
        <v>-35554.849798309966</v>
      </c>
      <c r="R561">
        <f t="shared" si="986"/>
        <v>15681101.724217506</v>
      </c>
      <c r="S561">
        <f t="shared" si="987"/>
        <v>156.81101724217507</v>
      </c>
      <c r="T561">
        <f t="shared" si="988"/>
        <v>0.15681101724217508</v>
      </c>
      <c r="CZ561" t="s">
        <v>7</v>
      </c>
    </row>
    <row r="562" spans="1:104" x14ac:dyDescent="0.25">
      <c r="A562" s="5">
        <v>44031</v>
      </c>
      <c r="B562">
        <v>42.45</v>
      </c>
      <c r="C562">
        <v>42.89</v>
      </c>
      <c r="D562">
        <v>41.83</v>
      </c>
      <c r="E562">
        <v>42.64</v>
      </c>
      <c r="F562">
        <v>195427.40325999999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0.52830188679245382</v>
      </c>
      <c r="Q562">
        <f t="shared" si="985"/>
        <v>103244.66587320773</v>
      </c>
      <c r="R562">
        <f t="shared" si="986"/>
        <v>15716656.574015817</v>
      </c>
      <c r="S562">
        <f t="shared" si="987"/>
        <v>157.16656574015818</v>
      </c>
      <c r="T562">
        <f t="shared" si="988"/>
        <v>0.15716656574015817</v>
      </c>
      <c r="CZ562" t="s">
        <v>7</v>
      </c>
    </row>
    <row r="563" spans="1:104" x14ac:dyDescent="0.25">
      <c r="A563" s="5">
        <v>44030</v>
      </c>
      <c r="B563">
        <v>41.88</v>
      </c>
      <c r="C563">
        <v>42.9</v>
      </c>
      <c r="D563">
        <v>41.73</v>
      </c>
      <c r="E563">
        <v>42.45</v>
      </c>
      <c r="F563">
        <v>171429.48277999999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0.23076923076923916</v>
      </c>
      <c r="Q563">
        <f t="shared" si="985"/>
        <v>39560.649872309128</v>
      </c>
      <c r="R563">
        <f t="shared" si="986"/>
        <v>15613411.90814261</v>
      </c>
      <c r="S563">
        <f t="shared" si="987"/>
        <v>156.13411908142609</v>
      </c>
      <c r="T563">
        <f t="shared" si="988"/>
        <v>0.1561341190814261</v>
      </c>
      <c r="CZ563" t="s">
        <v>7</v>
      </c>
    </row>
    <row r="564" spans="1:104" x14ac:dyDescent="0.25">
      <c r="A564" s="5">
        <v>44029</v>
      </c>
      <c r="B564">
        <v>42.09</v>
      </c>
      <c r="C564">
        <v>42.49</v>
      </c>
      <c r="D564">
        <v>41.72</v>
      </c>
      <c r="E564">
        <v>41.9</v>
      </c>
      <c r="F564">
        <v>201904.60019999999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-0.53246753246753509</v>
      </c>
      <c r="Q564">
        <f t="shared" si="985"/>
        <v>-107507.64426233819</v>
      </c>
      <c r="R564">
        <f t="shared" si="986"/>
        <v>15573851.258270301</v>
      </c>
      <c r="S564">
        <f t="shared" si="987"/>
        <v>155.73851258270301</v>
      </c>
      <c r="T564">
        <f t="shared" si="988"/>
        <v>0.15573851258270302</v>
      </c>
    </row>
    <row r="565" spans="1:104" x14ac:dyDescent="0.25">
      <c r="A565" s="5">
        <v>44028</v>
      </c>
      <c r="B565">
        <v>43.34</v>
      </c>
      <c r="C565">
        <v>43.49</v>
      </c>
      <c r="D565">
        <v>40.85</v>
      </c>
      <c r="E565">
        <v>42.09</v>
      </c>
      <c r="F565">
        <v>389747.37080999999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-6.0606060606059303E-2</v>
      </c>
      <c r="Q565">
        <f t="shared" si="985"/>
        <v>-23621.052776363129</v>
      </c>
      <c r="R565">
        <f t="shared" si="986"/>
        <v>15681358.902532639</v>
      </c>
      <c r="S565">
        <f t="shared" si="987"/>
        <v>156.81358902532639</v>
      </c>
      <c r="T565">
        <f t="shared" si="988"/>
        <v>0.15681358902532638</v>
      </c>
    </row>
    <row r="566" spans="1:104" x14ac:dyDescent="0.25">
      <c r="A566" s="5">
        <v>44027</v>
      </c>
      <c r="B566">
        <v>43.88</v>
      </c>
      <c r="C566">
        <v>44.06</v>
      </c>
      <c r="D566">
        <v>42.81</v>
      </c>
      <c r="E566">
        <v>43.33</v>
      </c>
      <c r="F566">
        <v>216931.7592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-0.16800000000000637</v>
      </c>
      <c r="Q566">
        <f t="shared" si="985"/>
        <v>-36444.535545601379</v>
      </c>
      <c r="R566">
        <f t="shared" si="986"/>
        <v>15704979.955309002</v>
      </c>
      <c r="S566">
        <f t="shared" si="987"/>
        <v>157.04979955309003</v>
      </c>
      <c r="T566">
        <f t="shared" si="988"/>
        <v>0.15704979955309004</v>
      </c>
    </row>
    <row r="567" spans="1:104" x14ac:dyDescent="0.25">
      <c r="A567" s="5">
        <v>44026</v>
      </c>
      <c r="B567">
        <v>43.91</v>
      </c>
      <c r="C567">
        <v>44.09</v>
      </c>
      <c r="D567">
        <v>42.86</v>
      </c>
      <c r="E567">
        <v>43.88</v>
      </c>
      <c r="F567">
        <v>246958.98879999999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0.65853658536585336</v>
      </c>
      <c r="Q567">
        <f t="shared" si="985"/>
        <v>162631.52920975603</v>
      </c>
      <c r="R567">
        <f t="shared" si="986"/>
        <v>15741424.490854602</v>
      </c>
      <c r="S567">
        <f t="shared" si="987"/>
        <v>157.41424490854601</v>
      </c>
      <c r="T567">
        <f t="shared" si="988"/>
        <v>0.157414244908546</v>
      </c>
    </row>
    <row r="568" spans="1:104" x14ac:dyDescent="0.25">
      <c r="A568" s="5">
        <v>44025</v>
      </c>
      <c r="B568">
        <v>44.72</v>
      </c>
      <c r="C568">
        <v>45.59</v>
      </c>
      <c r="D568">
        <v>42.31</v>
      </c>
      <c r="E568">
        <v>43.92</v>
      </c>
      <c r="F568">
        <v>445103.84230000002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-1.8292682926829954E-2</v>
      </c>
      <c r="Q568">
        <f t="shared" si="985"/>
        <v>-8142.143456707623</v>
      </c>
      <c r="R568">
        <f t="shared" si="986"/>
        <v>15578792.961644847</v>
      </c>
      <c r="S568">
        <f t="shared" si="987"/>
        <v>155.78792961644848</v>
      </c>
      <c r="T568">
        <f t="shared" si="988"/>
        <v>0.15578792961644847</v>
      </c>
    </row>
    <row r="569" spans="1:104" x14ac:dyDescent="0.25">
      <c r="A569" s="5">
        <v>44024</v>
      </c>
      <c r="B569">
        <v>44.68</v>
      </c>
      <c r="C569">
        <v>45.3</v>
      </c>
      <c r="D569">
        <v>43.7</v>
      </c>
      <c r="E569">
        <v>44.7</v>
      </c>
      <c r="F569">
        <v>245471.12147000001</v>
      </c>
      <c r="G569">
        <v>0</v>
      </c>
      <c r="L569" t="s">
        <v>8</v>
      </c>
      <c r="M569" t="s">
        <v>7</v>
      </c>
      <c r="N569" t="s">
        <v>8</v>
      </c>
      <c r="P569">
        <f t="shared" si="984"/>
        <v>0.25000000000000444</v>
      </c>
      <c r="Q569">
        <f t="shared" si="985"/>
        <v>61367.780367501095</v>
      </c>
      <c r="R569">
        <f t="shared" si="986"/>
        <v>15586935.105101554</v>
      </c>
      <c r="S569">
        <f t="shared" si="987"/>
        <v>155.86935105101554</v>
      </c>
      <c r="T569">
        <f t="shared" si="988"/>
        <v>0.15586935105101554</v>
      </c>
    </row>
    <row r="570" spans="1:104" x14ac:dyDescent="0.25">
      <c r="A570" s="5">
        <v>44023</v>
      </c>
      <c r="B570">
        <v>44.32</v>
      </c>
      <c r="C570">
        <v>44.77</v>
      </c>
      <c r="D570">
        <v>43.85</v>
      </c>
      <c r="E570">
        <v>44.69</v>
      </c>
      <c r="F570">
        <v>186318.68971999999</v>
      </c>
      <c r="G570">
        <v>0</v>
      </c>
      <c r="L570" t="s">
        <v>8</v>
      </c>
      <c r="M570" t="s">
        <v>7</v>
      </c>
      <c r="N570" t="s">
        <v>8</v>
      </c>
      <c r="P570">
        <f t="shared" si="984"/>
        <v>0.8260869565217277</v>
      </c>
      <c r="Q570">
        <f t="shared" si="985"/>
        <v>153915.43933391091</v>
      </c>
      <c r="R570">
        <f t="shared" si="986"/>
        <v>15525567.324734053</v>
      </c>
      <c r="S570">
        <f t="shared" si="987"/>
        <v>155.25567324734052</v>
      </c>
      <c r="T570">
        <f t="shared" si="988"/>
        <v>0.15525567324734052</v>
      </c>
    </row>
    <row r="571" spans="1:104" x14ac:dyDescent="0.25">
      <c r="A571" s="5">
        <v>44022</v>
      </c>
      <c r="B571">
        <v>44.34</v>
      </c>
      <c r="C571">
        <v>44.64</v>
      </c>
      <c r="D571">
        <v>43.44</v>
      </c>
      <c r="E571">
        <v>44.3</v>
      </c>
      <c r="F571">
        <v>256685.44542999999</v>
      </c>
      <c r="G571">
        <v>0</v>
      </c>
      <c r="L571" t="s">
        <v>8</v>
      </c>
      <c r="M571" t="s">
        <v>7</v>
      </c>
      <c r="N571" t="s">
        <v>8</v>
      </c>
      <c r="P571">
        <f t="shared" si="984"/>
        <v>0.43333333333332902</v>
      </c>
      <c r="Q571">
        <f t="shared" si="985"/>
        <v>111230.35968633222</v>
      </c>
      <c r="R571">
        <f t="shared" si="986"/>
        <v>15371651.885400143</v>
      </c>
      <c r="S571">
        <f t="shared" si="987"/>
        <v>153.71651885400144</v>
      </c>
      <c r="T571">
        <f t="shared" si="988"/>
        <v>0.15371651885400145</v>
      </c>
    </row>
    <row r="572" spans="1:104" x14ac:dyDescent="0.25">
      <c r="A572" s="5">
        <v>44021</v>
      </c>
      <c r="B572">
        <v>45.35</v>
      </c>
      <c r="C572">
        <v>45.87</v>
      </c>
      <c r="D572">
        <v>43.57</v>
      </c>
      <c r="E572">
        <v>44.33</v>
      </c>
      <c r="F572">
        <v>413268.76529000001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-0.33913043478260962</v>
      </c>
      <c r="Q572">
        <f t="shared" si="985"/>
        <v>-140152.01605486995</v>
      </c>
      <c r="R572">
        <f t="shared" si="986"/>
        <v>15260421.525713811</v>
      </c>
      <c r="S572">
        <f t="shared" si="987"/>
        <v>152.60421525713809</v>
      </c>
      <c r="T572">
        <f t="shared" si="988"/>
        <v>0.1526042152571381</v>
      </c>
    </row>
    <row r="573" spans="1:104" x14ac:dyDescent="0.25">
      <c r="A573" s="5">
        <v>44020</v>
      </c>
      <c r="B573">
        <v>43.39</v>
      </c>
      <c r="C573">
        <v>45.62</v>
      </c>
      <c r="D573">
        <v>43.1</v>
      </c>
      <c r="E573">
        <v>45.35</v>
      </c>
      <c r="F573">
        <v>537390.40824999998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0.78571428571428859</v>
      </c>
      <c r="Q573">
        <f t="shared" si="985"/>
        <v>422235.32076785865</v>
      </c>
      <c r="R573">
        <f t="shared" si="986"/>
        <v>15400573.541768681</v>
      </c>
      <c r="S573">
        <f t="shared" si="987"/>
        <v>154.00573541768682</v>
      </c>
      <c r="T573">
        <f t="shared" si="988"/>
        <v>0.15400573541768683</v>
      </c>
    </row>
    <row r="574" spans="1:104" x14ac:dyDescent="0.25">
      <c r="A574" s="5">
        <v>44019</v>
      </c>
      <c r="B574">
        <v>44.07</v>
      </c>
      <c r="C574">
        <v>44.49</v>
      </c>
      <c r="D574">
        <v>43.06</v>
      </c>
      <c r="E574">
        <v>43.39</v>
      </c>
      <c r="F574">
        <v>307753.44375999999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-0.53846153846154077</v>
      </c>
      <c r="Q574">
        <f t="shared" si="985"/>
        <v>-165713.39279384687</v>
      </c>
      <c r="R574">
        <f t="shared" si="986"/>
        <v>14978338.221000822</v>
      </c>
      <c r="S574">
        <f t="shared" si="987"/>
        <v>149.78338221000823</v>
      </c>
      <c r="T574">
        <f t="shared" si="988"/>
        <v>0.14978338221000823</v>
      </c>
    </row>
    <row r="575" spans="1:104" x14ac:dyDescent="0.25">
      <c r="A575" s="5">
        <v>44018</v>
      </c>
      <c r="B575">
        <v>41.58</v>
      </c>
      <c r="C575">
        <v>44.31</v>
      </c>
      <c r="D575">
        <v>41.5</v>
      </c>
      <c r="E575">
        <v>44.06</v>
      </c>
      <c r="F575">
        <v>368489.71516000002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0.82206405693950191</v>
      </c>
      <c r="Q575">
        <f t="shared" si="985"/>
        <v>302922.15018491109</v>
      </c>
      <c r="R575">
        <f t="shared" si="986"/>
        <v>15144051.61379467</v>
      </c>
      <c r="S575">
        <f t="shared" si="987"/>
        <v>151.4405161379467</v>
      </c>
      <c r="T575">
        <f t="shared" si="988"/>
        <v>0.15144051613794671</v>
      </c>
    </row>
    <row r="576" spans="1:104" x14ac:dyDescent="0.25">
      <c r="A576" s="5">
        <v>44017</v>
      </c>
      <c r="B576">
        <v>42.11</v>
      </c>
      <c r="C576">
        <v>42.2</v>
      </c>
      <c r="D576">
        <v>40.75</v>
      </c>
      <c r="E576">
        <v>41.58</v>
      </c>
      <c r="F576">
        <v>235045.82858</v>
      </c>
      <c r="G576">
        <v>0</v>
      </c>
      <c r="L576" t="s">
        <v>8</v>
      </c>
      <c r="M576" t="s">
        <v>7</v>
      </c>
      <c r="N576" t="s">
        <v>8</v>
      </c>
      <c r="P576">
        <f t="shared" si="984"/>
        <v>0.14482758620689196</v>
      </c>
      <c r="Q576">
        <f t="shared" si="985"/>
        <v>34041.120001240299</v>
      </c>
      <c r="R576">
        <f t="shared" si="986"/>
        <v>14841129.463609759</v>
      </c>
      <c r="S576">
        <f t="shared" si="987"/>
        <v>148.41129463609758</v>
      </c>
      <c r="T576">
        <f t="shared" si="988"/>
        <v>0.14841129463609759</v>
      </c>
    </row>
    <row r="577" spans="1:20" x14ac:dyDescent="0.25">
      <c r="A577" s="5">
        <v>44016</v>
      </c>
      <c r="B577">
        <v>41.13</v>
      </c>
      <c r="C577">
        <v>42.23</v>
      </c>
      <c r="D577">
        <v>41.06</v>
      </c>
      <c r="E577">
        <v>42.11</v>
      </c>
      <c r="F577">
        <v>239298.32793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0.79487179487179827</v>
      </c>
      <c r="Q577">
        <f t="shared" si="985"/>
        <v>190211.49143153927</v>
      </c>
      <c r="R577">
        <f t="shared" si="986"/>
        <v>14807088.343608519</v>
      </c>
      <c r="S577">
        <f t="shared" si="987"/>
        <v>148.07088343608518</v>
      </c>
      <c r="T577">
        <f t="shared" si="988"/>
        <v>0.14807088343608518</v>
      </c>
    </row>
    <row r="578" spans="1:20" x14ac:dyDescent="0.25">
      <c r="A578" s="5">
        <v>44015</v>
      </c>
      <c r="B578">
        <v>41.03</v>
      </c>
      <c r="C578">
        <v>41.7</v>
      </c>
      <c r="D578">
        <v>40.89</v>
      </c>
      <c r="E578">
        <v>41.14</v>
      </c>
      <c r="F578">
        <v>190294.77564000001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-0.3827160493827178</v>
      </c>
      <c r="Q578">
        <f t="shared" si="985"/>
        <v>-72828.864751111454</v>
      </c>
      <c r="R578">
        <f t="shared" si="986"/>
        <v>14616876.852176979</v>
      </c>
      <c r="S578">
        <f t="shared" si="987"/>
        <v>146.16876852176978</v>
      </c>
      <c r="T578">
        <f t="shared" si="988"/>
        <v>0.14616876852176977</v>
      </c>
    </row>
    <row r="579" spans="1:20" x14ac:dyDescent="0.25">
      <c r="A579" s="5">
        <v>44014</v>
      </c>
      <c r="B579">
        <v>41.76</v>
      </c>
      <c r="C579">
        <v>41.9</v>
      </c>
      <c r="D579">
        <v>40.28</v>
      </c>
      <c r="E579">
        <v>41.05</v>
      </c>
      <c r="F579">
        <v>274520.05417000002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-4.9382716049386127E-2</v>
      </c>
      <c r="Q579">
        <f t="shared" si="985"/>
        <v>-13556.545884939209</v>
      </c>
      <c r="R579">
        <f t="shared" si="986"/>
        <v>14689705.716928091</v>
      </c>
      <c r="S579">
        <f t="shared" si="987"/>
        <v>146.89705716928091</v>
      </c>
      <c r="T579">
        <f t="shared" si="988"/>
        <v>0.14689705716928092</v>
      </c>
    </row>
    <row r="580" spans="1:20" x14ac:dyDescent="0.25">
      <c r="A580" s="5">
        <v>44013</v>
      </c>
      <c r="B580">
        <v>41.16</v>
      </c>
      <c r="C580">
        <v>42.01</v>
      </c>
      <c r="D580">
        <v>40.96</v>
      </c>
      <c r="E580">
        <v>41.77</v>
      </c>
      <c r="F580">
        <v>189759.33668000001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0.54285714285715136</v>
      </c>
      <c r="Q580">
        <f t="shared" si="985"/>
        <v>103012.21134057305</v>
      </c>
      <c r="R580">
        <f t="shared" si="986"/>
        <v>14703262.26281303</v>
      </c>
      <c r="S580">
        <f t="shared" si="987"/>
        <v>147.0326226281303</v>
      </c>
      <c r="T580">
        <f t="shared" si="988"/>
        <v>0.1470326226281303</v>
      </c>
    </row>
    <row r="581" spans="1:20" x14ac:dyDescent="0.25">
      <c r="A581" s="5">
        <v>44012</v>
      </c>
      <c r="B581">
        <v>41.87</v>
      </c>
      <c r="C581">
        <v>42.07</v>
      </c>
      <c r="D581">
        <v>40.729999999999997</v>
      </c>
      <c r="E581">
        <v>41.17</v>
      </c>
      <c r="F581">
        <v>170712.36760999999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-0.34328358208954668</v>
      </c>
      <c r="Q581">
        <f t="shared" si="985"/>
        <v>-58602.753060148301</v>
      </c>
      <c r="R581">
        <f t="shared" si="986"/>
        <v>14600250.051472457</v>
      </c>
      <c r="S581">
        <f t="shared" si="987"/>
        <v>146.00250051472457</v>
      </c>
      <c r="T581">
        <f t="shared" si="988"/>
        <v>0.14600250051472458</v>
      </c>
    </row>
    <row r="582" spans="1:20" x14ac:dyDescent="0.25">
      <c r="A582" s="5">
        <v>44011</v>
      </c>
      <c r="B582">
        <v>41.37</v>
      </c>
      <c r="C582">
        <v>42.29</v>
      </c>
      <c r="D582">
        <v>40.590000000000003</v>
      </c>
      <c r="E582">
        <v>41.87</v>
      </c>
      <c r="F582">
        <v>323346.17200000002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0.50588235294117323</v>
      </c>
      <c r="Q582">
        <f t="shared" ref="Q582:Q645" si="990">F582*P582</f>
        <v>163575.12230588132</v>
      </c>
      <c r="R582">
        <f t="shared" ref="R582:R645" si="991">R583+Q582</f>
        <v>14658852.804532606</v>
      </c>
      <c r="S582">
        <f t="shared" ref="S582:S645" si="992">R582/100000</f>
        <v>146.58852804532606</v>
      </c>
      <c r="T582">
        <f t="shared" ref="T582:T645" si="993">S582/1000</f>
        <v>0.14658852804532604</v>
      </c>
    </row>
    <row r="583" spans="1:20" x14ac:dyDescent="0.25">
      <c r="A583" s="5">
        <v>44010</v>
      </c>
      <c r="B583">
        <v>41.04</v>
      </c>
      <c r="C583">
        <v>42.05</v>
      </c>
      <c r="D583">
        <v>40.479999999999997</v>
      </c>
      <c r="E583">
        <v>41.37</v>
      </c>
      <c r="F583">
        <v>169011.98684999999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0.13375796178344002</v>
      </c>
      <c r="Q583">
        <f t="shared" si="990"/>
        <v>22606.698878025563</v>
      </c>
      <c r="R583">
        <f t="shared" si="991"/>
        <v>14495277.682226725</v>
      </c>
      <c r="S583">
        <f t="shared" si="992"/>
        <v>144.95277682226725</v>
      </c>
      <c r="T583">
        <f t="shared" si="993"/>
        <v>0.14495277682226726</v>
      </c>
    </row>
    <row r="584" spans="1:20" x14ac:dyDescent="0.25">
      <c r="A584" s="5">
        <v>44009</v>
      </c>
      <c r="B584">
        <v>43.1</v>
      </c>
      <c r="C584">
        <v>43.12</v>
      </c>
      <c r="D584">
        <v>39.11</v>
      </c>
      <c r="E584">
        <v>41.06</v>
      </c>
      <c r="F584">
        <v>301504.63429999998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-2.7431421446382141E-2</v>
      </c>
      <c r="Q584">
        <f t="shared" si="990"/>
        <v>-8270.7006915206239</v>
      </c>
      <c r="R584">
        <f t="shared" si="991"/>
        <v>14472670.983348699</v>
      </c>
      <c r="S584">
        <f t="shared" si="992"/>
        <v>144.72670983348701</v>
      </c>
      <c r="T584">
        <f t="shared" si="993"/>
        <v>0.14472670983348701</v>
      </c>
    </row>
    <row r="585" spans="1:20" x14ac:dyDescent="0.25">
      <c r="A585" s="5">
        <v>44008</v>
      </c>
      <c r="B585">
        <v>42.34</v>
      </c>
      <c r="C585">
        <v>43.6</v>
      </c>
      <c r="D585">
        <v>41.37</v>
      </c>
      <c r="E585">
        <v>43.09</v>
      </c>
      <c r="F585">
        <v>348389.34207999997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0.54260089686098911</v>
      </c>
      <c r="Q585">
        <f t="shared" si="990"/>
        <v>189036.36946941793</v>
      </c>
      <c r="R585">
        <f t="shared" si="991"/>
        <v>14480941.68404022</v>
      </c>
      <c r="S585">
        <f t="shared" si="992"/>
        <v>144.80941684040221</v>
      </c>
      <c r="T585">
        <f t="shared" si="993"/>
        <v>0.14480941684040222</v>
      </c>
    </row>
    <row r="586" spans="1:20" x14ac:dyDescent="0.25">
      <c r="A586" s="5">
        <v>44007</v>
      </c>
      <c r="B586">
        <v>42.65</v>
      </c>
      <c r="C586">
        <v>43</v>
      </c>
      <c r="D586">
        <v>41.68</v>
      </c>
      <c r="E586">
        <v>42.35</v>
      </c>
      <c r="F586">
        <v>241972.00631999999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1.5151515151517516E-2</v>
      </c>
      <c r="Q586">
        <f t="shared" si="990"/>
        <v>3666.2425200005719</v>
      </c>
      <c r="R586">
        <f t="shared" si="991"/>
        <v>14291905.314570803</v>
      </c>
      <c r="S586">
        <f t="shared" si="992"/>
        <v>142.91905314570803</v>
      </c>
      <c r="T586">
        <f t="shared" si="993"/>
        <v>0.14291905314570805</v>
      </c>
    </row>
    <row r="587" spans="1:20" x14ac:dyDescent="0.25">
      <c r="A587" s="5">
        <v>44006</v>
      </c>
      <c r="B587">
        <v>44.18</v>
      </c>
      <c r="C587">
        <v>44.69</v>
      </c>
      <c r="D587">
        <v>42.1</v>
      </c>
      <c r="E587">
        <v>42.65</v>
      </c>
      <c r="F587">
        <v>357937.97223000001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-0.57528957528957692</v>
      </c>
      <c r="Q587">
        <f t="shared" si="990"/>
        <v>-205917.98402420909</v>
      </c>
      <c r="R587">
        <f t="shared" si="991"/>
        <v>14288239.072050802</v>
      </c>
      <c r="S587">
        <f t="shared" si="992"/>
        <v>142.88239072050803</v>
      </c>
      <c r="T587">
        <f t="shared" si="993"/>
        <v>0.14288239072050804</v>
      </c>
    </row>
    <row r="588" spans="1:20" x14ac:dyDescent="0.25">
      <c r="A588" s="5">
        <v>44005</v>
      </c>
      <c r="B588">
        <v>44.3</v>
      </c>
      <c r="C588">
        <v>44.49</v>
      </c>
      <c r="D588">
        <v>43.89</v>
      </c>
      <c r="E588">
        <v>44.18</v>
      </c>
      <c r="F588">
        <v>219437.96098999999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-3.3333333333338468E-2</v>
      </c>
      <c r="Q588">
        <f t="shared" si="990"/>
        <v>-7314.598699667793</v>
      </c>
      <c r="R588">
        <f t="shared" si="991"/>
        <v>14494157.056075012</v>
      </c>
      <c r="S588">
        <f t="shared" si="992"/>
        <v>144.94157056075014</v>
      </c>
      <c r="T588">
        <f t="shared" si="993"/>
        <v>0.14494157056075013</v>
      </c>
    </row>
    <row r="589" spans="1:20" x14ac:dyDescent="0.25">
      <c r="A589" s="5">
        <v>44004</v>
      </c>
      <c r="B589">
        <v>43</v>
      </c>
      <c r="C589">
        <v>44.67</v>
      </c>
      <c r="D589">
        <v>42.94</v>
      </c>
      <c r="E589">
        <v>44.3</v>
      </c>
      <c r="F589">
        <v>281907.39739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0.57225433526011138</v>
      </c>
      <c r="Q589">
        <f t="shared" si="990"/>
        <v>161322.73029832251</v>
      </c>
      <c r="R589">
        <f t="shared" si="991"/>
        <v>14501471.654774681</v>
      </c>
      <c r="S589">
        <f t="shared" si="992"/>
        <v>145.01471654774681</v>
      </c>
      <c r="T589">
        <f t="shared" si="993"/>
        <v>0.14501471654774681</v>
      </c>
    </row>
    <row r="590" spans="1:20" x14ac:dyDescent="0.25">
      <c r="A590" s="5">
        <v>44003</v>
      </c>
      <c r="B590">
        <v>43.57</v>
      </c>
      <c r="C590">
        <v>43.83</v>
      </c>
      <c r="D590">
        <v>42.88</v>
      </c>
      <c r="E590">
        <v>43</v>
      </c>
      <c r="F590">
        <v>159632.67850000001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-0.74736842105263579</v>
      </c>
      <c r="Q590">
        <f t="shared" si="990"/>
        <v>-119304.42287894804</v>
      </c>
      <c r="R590">
        <f t="shared" si="991"/>
        <v>14340148.924476359</v>
      </c>
      <c r="S590">
        <f t="shared" si="992"/>
        <v>143.40148924476358</v>
      </c>
      <c r="T590">
        <f t="shared" si="993"/>
        <v>0.14340148924476359</v>
      </c>
    </row>
    <row r="591" spans="1:20" x14ac:dyDescent="0.25">
      <c r="A591" s="5">
        <v>44002</v>
      </c>
      <c r="B591">
        <v>42.89</v>
      </c>
      <c r="C591">
        <v>43.85</v>
      </c>
      <c r="D591">
        <v>42.21</v>
      </c>
      <c r="E591">
        <v>43.57</v>
      </c>
      <c r="F591">
        <v>202428.94630000001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0.65853658536585236</v>
      </c>
      <c r="Q591">
        <f t="shared" si="990"/>
        <v>133306.86707560951</v>
      </c>
      <c r="R591">
        <f t="shared" si="991"/>
        <v>14459453.347355308</v>
      </c>
      <c r="S591">
        <f t="shared" si="992"/>
        <v>144.59453347355307</v>
      </c>
      <c r="T591">
        <f t="shared" si="993"/>
        <v>0.14459453347355308</v>
      </c>
    </row>
    <row r="592" spans="1:20" x14ac:dyDescent="0.25">
      <c r="A592" s="5">
        <v>44001</v>
      </c>
      <c r="B592">
        <v>43.43</v>
      </c>
      <c r="C592">
        <v>43.73</v>
      </c>
      <c r="D592">
        <v>42.57</v>
      </c>
      <c r="E592">
        <v>42.89</v>
      </c>
      <c r="F592">
        <v>304810.97535999998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-0.44827586206896342</v>
      </c>
      <c r="Q592">
        <f t="shared" si="990"/>
        <v>-136639.40274758555</v>
      </c>
      <c r="R592">
        <f t="shared" si="991"/>
        <v>14326146.480279699</v>
      </c>
      <c r="S592">
        <f t="shared" si="992"/>
        <v>143.26146480279698</v>
      </c>
      <c r="T592">
        <f t="shared" si="993"/>
        <v>0.14326146480279697</v>
      </c>
    </row>
    <row r="593" spans="1:20" x14ac:dyDescent="0.25">
      <c r="A593" s="5">
        <v>44000</v>
      </c>
      <c r="B593">
        <v>44.07</v>
      </c>
      <c r="C593">
        <v>44.23</v>
      </c>
      <c r="D593">
        <v>42.88</v>
      </c>
      <c r="E593">
        <v>43.43</v>
      </c>
      <c r="F593">
        <v>193534.98938000001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-0.18518518518518595</v>
      </c>
      <c r="Q593">
        <f t="shared" si="990"/>
        <v>-35839.8128481483</v>
      </c>
      <c r="R593">
        <f t="shared" si="991"/>
        <v>14462785.883027285</v>
      </c>
      <c r="S593">
        <f t="shared" si="992"/>
        <v>144.62785883027286</v>
      </c>
      <c r="T593">
        <f t="shared" si="993"/>
        <v>0.14462785883027285</v>
      </c>
    </row>
    <row r="594" spans="1:20" x14ac:dyDescent="0.25">
      <c r="A594" s="5">
        <v>43999</v>
      </c>
      <c r="B594">
        <v>43.9</v>
      </c>
      <c r="C594">
        <v>45.04</v>
      </c>
      <c r="D594">
        <v>43</v>
      </c>
      <c r="E594">
        <v>44.07</v>
      </c>
      <c r="F594">
        <v>324893.86141999997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4.9019607843137969E-2</v>
      </c>
      <c r="Q594">
        <f t="shared" si="990"/>
        <v>15926.169677451211</v>
      </c>
      <c r="R594">
        <f t="shared" si="991"/>
        <v>14498625.695875434</v>
      </c>
      <c r="S594">
        <f t="shared" si="992"/>
        <v>144.98625695875435</v>
      </c>
      <c r="T594">
        <f t="shared" si="993"/>
        <v>0.14498625695875436</v>
      </c>
    </row>
    <row r="595" spans="1:20" x14ac:dyDescent="0.25">
      <c r="A595" s="5">
        <v>43998</v>
      </c>
      <c r="B595">
        <v>43.73</v>
      </c>
      <c r="C595">
        <v>44.22</v>
      </c>
      <c r="D595">
        <v>43.33</v>
      </c>
      <c r="E595">
        <v>43.88</v>
      </c>
      <c r="F595">
        <v>215557.59073</v>
      </c>
      <c r="G595">
        <v>0</v>
      </c>
      <c r="L595" t="s">
        <v>7</v>
      </c>
      <c r="M595" t="s">
        <v>7</v>
      </c>
      <c r="N595" t="s">
        <v>8</v>
      </c>
      <c r="P595">
        <f t="shared" si="989"/>
        <v>0.23595505617978407</v>
      </c>
      <c r="Q595">
        <f t="shared" si="990"/>
        <v>50861.903430676051</v>
      </c>
      <c r="R595">
        <f t="shared" si="991"/>
        <v>14482699.526197983</v>
      </c>
      <c r="S595">
        <f t="shared" si="992"/>
        <v>144.82699526197982</v>
      </c>
      <c r="T595">
        <f t="shared" si="993"/>
        <v>0.14482699526197981</v>
      </c>
    </row>
    <row r="596" spans="1:20" x14ac:dyDescent="0.25">
      <c r="A596" s="5">
        <v>43997</v>
      </c>
      <c r="B596">
        <v>44.04</v>
      </c>
      <c r="C596">
        <v>44.09</v>
      </c>
      <c r="D596">
        <v>41.75</v>
      </c>
      <c r="E596">
        <v>43.73</v>
      </c>
      <c r="F596">
        <v>355287.54015999998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0.69230769230768718</v>
      </c>
      <c r="Q596">
        <f t="shared" si="990"/>
        <v>245968.29703384431</v>
      </c>
      <c r="R596">
        <f t="shared" si="991"/>
        <v>14431837.622767307</v>
      </c>
      <c r="S596">
        <f t="shared" si="992"/>
        <v>144.31837622767307</v>
      </c>
      <c r="T596">
        <f t="shared" si="993"/>
        <v>0.14431837622767307</v>
      </c>
    </row>
    <row r="597" spans="1:20" x14ac:dyDescent="0.25">
      <c r="A597" s="5">
        <v>43996</v>
      </c>
      <c r="B597">
        <v>45.09</v>
      </c>
      <c r="C597">
        <v>45.11</v>
      </c>
      <c r="D597">
        <v>43.53</v>
      </c>
      <c r="E597">
        <v>44.05</v>
      </c>
      <c r="F597">
        <v>170082.74028999999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-0.3417721518987385</v>
      </c>
      <c r="Q597">
        <f t="shared" si="990"/>
        <v>-58129.544149747562</v>
      </c>
      <c r="R597">
        <f t="shared" si="991"/>
        <v>14185869.325733462</v>
      </c>
      <c r="S597">
        <f t="shared" si="992"/>
        <v>141.85869325733464</v>
      </c>
      <c r="T597">
        <f t="shared" si="993"/>
        <v>0.14185869325733463</v>
      </c>
    </row>
    <row r="598" spans="1:20" x14ac:dyDescent="0.25">
      <c r="A598" s="5">
        <v>43995</v>
      </c>
      <c r="B598">
        <v>44.72</v>
      </c>
      <c r="C598">
        <v>45.22</v>
      </c>
      <c r="D598">
        <v>44.27</v>
      </c>
      <c r="E598">
        <v>45.08</v>
      </c>
      <c r="F598">
        <v>151582.80518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0.70526315789473437</v>
      </c>
      <c r="Q598">
        <f t="shared" si="990"/>
        <v>106905.76786378909</v>
      </c>
      <c r="R598">
        <f t="shared" si="991"/>
        <v>14243998.869883209</v>
      </c>
      <c r="S598">
        <f t="shared" si="992"/>
        <v>142.43998869883208</v>
      </c>
      <c r="T598">
        <f t="shared" si="993"/>
        <v>0.14243998869883209</v>
      </c>
    </row>
    <row r="599" spans="1:20" x14ac:dyDescent="0.25">
      <c r="A599" s="5">
        <v>43994</v>
      </c>
      <c r="B599">
        <v>43.22</v>
      </c>
      <c r="C599">
        <v>45.36</v>
      </c>
      <c r="D599">
        <v>42.81</v>
      </c>
      <c r="E599">
        <v>44.72</v>
      </c>
      <c r="F599">
        <v>236934.18593000001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0.49803921568627352</v>
      </c>
      <c r="Q599">
        <f t="shared" si="990"/>
        <v>118002.5161298429</v>
      </c>
      <c r="R599">
        <f t="shared" si="991"/>
        <v>14137093.10201942</v>
      </c>
      <c r="S599">
        <f t="shared" si="992"/>
        <v>141.37093102019421</v>
      </c>
      <c r="T599">
        <f t="shared" si="993"/>
        <v>0.14137093102019421</v>
      </c>
    </row>
    <row r="600" spans="1:20" x14ac:dyDescent="0.25">
      <c r="A600" s="5">
        <v>43993</v>
      </c>
      <c r="B600">
        <v>46.63</v>
      </c>
      <c r="C600">
        <v>46.96</v>
      </c>
      <c r="D600">
        <v>42</v>
      </c>
      <c r="E600">
        <v>43.22</v>
      </c>
      <c r="F600">
        <v>538636.15983000002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-0.50806451612903281</v>
      </c>
      <c r="Q600">
        <f t="shared" si="990"/>
        <v>-273661.91991362936</v>
      </c>
      <c r="R600">
        <f t="shared" si="991"/>
        <v>14019090.585889578</v>
      </c>
      <c r="S600">
        <f t="shared" si="992"/>
        <v>140.19090585889577</v>
      </c>
      <c r="T600">
        <f t="shared" si="993"/>
        <v>0.14019090585889576</v>
      </c>
    </row>
    <row r="601" spans="1:20" x14ac:dyDescent="0.25">
      <c r="A601" s="5">
        <v>43992</v>
      </c>
      <c r="B601">
        <v>45.89</v>
      </c>
      <c r="C601">
        <v>47.19</v>
      </c>
      <c r="D601">
        <v>45.65</v>
      </c>
      <c r="E601">
        <v>46.63</v>
      </c>
      <c r="F601">
        <v>319582.73015999998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0.27272727272727859</v>
      </c>
      <c r="Q601">
        <f t="shared" si="990"/>
        <v>87158.926407274601</v>
      </c>
      <c r="R601">
        <f t="shared" si="991"/>
        <v>14292752.505803207</v>
      </c>
      <c r="S601">
        <f t="shared" si="992"/>
        <v>142.92752505803207</v>
      </c>
      <c r="T601">
        <f t="shared" si="993"/>
        <v>0.14292752505803208</v>
      </c>
    </row>
    <row r="602" spans="1:20" x14ac:dyDescent="0.25">
      <c r="A602" s="5">
        <v>43991</v>
      </c>
      <c r="B602">
        <v>46.45</v>
      </c>
      <c r="C602">
        <v>46.84</v>
      </c>
      <c r="D602">
        <v>45.31</v>
      </c>
      <c r="E602">
        <v>45.87</v>
      </c>
      <c r="F602">
        <v>219681.6354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-0.2679738562091572</v>
      </c>
      <c r="Q602">
        <f t="shared" si="990"/>
        <v>-58868.934976472097</v>
      </c>
      <c r="R602">
        <f t="shared" si="991"/>
        <v>14205593.579395933</v>
      </c>
      <c r="S602">
        <f t="shared" si="992"/>
        <v>142.05593579395932</v>
      </c>
      <c r="T602">
        <f t="shared" si="993"/>
        <v>0.14205593579395931</v>
      </c>
    </row>
    <row r="603" spans="1:20" x14ac:dyDescent="0.25">
      <c r="A603" s="5">
        <v>43990</v>
      </c>
      <c r="B603">
        <v>46.6</v>
      </c>
      <c r="C603">
        <v>46.79</v>
      </c>
      <c r="D603">
        <v>45.95</v>
      </c>
      <c r="E603">
        <v>46.43</v>
      </c>
      <c r="F603">
        <v>220499.06993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0.14285714285714043</v>
      </c>
      <c r="Q603">
        <f t="shared" si="990"/>
        <v>31499.867132856609</v>
      </c>
      <c r="R603">
        <f t="shared" si="991"/>
        <v>14264462.514372405</v>
      </c>
      <c r="S603">
        <f t="shared" si="992"/>
        <v>142.64462514372406</v>
      </c>
      <c r="T603">
        <f t="shared" si="993"/>
        <v>0.14264462514372406</v>
      </c>
    </row>
    <row r="604" spans="1:20" x14ac:dyDescent="0.25">
      <c r="A604" s="5">
        <v>43989</v>
      </c>
      <c r="B604">
        <v>46.79</v>
      </c>
      <c r="C604">
        <v>46.98</v>
      </c>
      <c r="D604">
        <v>45.06</v>
      </c>
      <c r="E604">
        <v>46.63</v>
      </c>
      <c r="F604">
        <v>306262.54148000001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0.63541666666667151</v>
      </c>
      <c r="Q604">
        <f t="shared" si="990"/>
        <v>194604.32323208483</v>
      </c>
      <c r="R604">
        <f t="shared" si="991"/>
        <v>14232962.647239547</v>
      </c>
      <c r="S604">
        <f t="shared" si="992"/>
        <v>142.32962647239546</v>
      </c>
      <c r="T604">
        <f t="shared" si="993"/>
        <v>0.14232962647239547</v>
      </c>
    </row>
    <row r="605" spans="1:20" x14ac:dyDescent="0.25">
      <c r="A605" s="5">
        <v>43988</v>
      </c>
      <c r="B605">
        <v>46.8</v>
      </c>
      <c r="C605">
        <v>47.24</v>
      </c>
      <c r="D605">
        <v>46.07</v>
      </c>
      <c r="E605">
        <v>46.79</v>
      </c>
      <c r="F605">
        <v>226441.44764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0.23076923076922704</v>
      </c>
      <c r="Q605">
        <f t="shared" si="990"/>
        <v>52255.718686152999</v>
      </c>
      <c r="R605">
        <f t="shared" si="991"/>
        <v>14038358.324007463</v>
      </c>
      <c r="S605">
        <f t="shared" si="992"/>
        <v>140.38358324007461</v>
      </c>
      <c r="T605">
        <f t="shared" si="993"/>
        <v>0.14038358324007461</v>
      </c>
    </row>
    <row r="606" spans="1:20" x14ac:dyDescent="0.25">
      <c r="A606" s="5">
        <v>43987</v>
      </c>
      <c r="B606">
        <v>47.43</v>
      </c>
      <c r="C606">
        <v>47.98</v>
      </c>
      <c r="D606">
        <v>46.42</v>
      </c>
      <c r="E606">
        <v>46.83</v>
      </c>
      <c r="F606">
        <v>400925.03603999998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-0.47435897435897711</v>
      </c>
      <c r="Q606">
        <f t="shared" si="990"/>
        <v>-190182.38889077032</v>
      </c>
      <c r="R606">
        <f t="shared" si="991"/>
        <v>13986102.60532131</v>
      </c>
      <c r="S606">
        <f t="shared" si="992"/>
        <v>139.8610260532131</v>
      </c>
      <c r="T606">
        <f t="shared" si="993"/>
        <v>0.1398610260532131</v>
      </c>
    </row>
    <row r="607" spans="1:20" x14ac:dyDescent="0.25">
      <c r="A607" s="5">
        <v>43986</v>
      </c>
      <c r="B607">
        <v>47.15</v>
      </c>
      <c r="C607">
        <v>48.1</v>
      </c>
      <c r="D607">
        <v>46.15</v>
      </c>
      <c r="E607">
        <v>47.43</v>
      </c>
      <c r="F607">
        <v>471692.41566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0.3128205128205121</v>
      </c>
      <c r="Q607">
        <f t="shared" si="990"/>
        <v>147555.06336030734</v>
      </c>
      <c r="R607">
        <f t="shared" si="991"/>
        <v>14176284.994212082</v>
      </c>
      <c r="S607">
        <f t="shared" si="992"/>
        <v>141.76284994212082</v>
      </c>
      <c r="T607">
        <f t="shared" si="993"/>
        <v>0.14176284994212082</v>
      </c>
    </row>
    <row r="608" spans="1:20" x14ac:dyDescent="0.25">
      <c r="A608" s="5">
        <v>43985</v>
      </c>
      <c r="B608">
        <v>46.01</v>
      </c>
      <c r="C608">
        <v>47.5</v>
      </c>
      <c r="D608">
        <v>45.25</v>
      </c>
      <c r="E608">
        <v>47.16</v>
      </c>
      <c r="F608">
        <v>428190.82163999998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0.69777777777777472</v>
      </c>
      <c r="Q608">
        <f t="shared" si="990"/>
        <v>298782.03998879867</v>
      </c>
      <c r="R608">
        <f t="shared" si="991"/>
        <v>14028729.930851774</v>
      </c>
      <c r="S608">
        <f t="shared" si="992"/>
        <v>140.28729930851773</v>
      </c>
      <c r="T608">
        <f t="shared" si="993"/>
        <v>0.14028729930851774</v>
      </c>
    </row>
    <row r="609" spans="1:20" x14ac:dyDescent="0.25">
      <c r="A609" s="5">
        <v>43984</v>
      </c>
      <c r="B609">
        <v>48.26</v>
      </c>
      <c r="C609">
        <v>49.96</v>
      </c>
      <c r="D609">
        <v>44</v>
      </c>
      <c r="E609">
        <v>45.99</v>
      </c>
      <c r="F609">
        <v>920374.03122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-0.33221476510067055</v>
      </c>
      <c r="Q609">
        <f t="shared" si="990"/>
        <v>-305761.84258650953</v>
      </c>
      <c r="R609">
        <f t="shared" si="991"/>
        <v>13729947.890862975</v>
      </c>
      <c r="S609">
        <f t="shared" si="992"/>
        <v>137.29947890862977</v>
      </c>
      <c r="T609">
        <f t="shared" si="993"/>
        <v>0.13729947890862976</v>
      </c>
    </row>
    <row r="610" spans="1:20" x14ac:dyDescent="0.25">
      <c r="A610" s="5">
        <v>43983</v>
      </c>
      <c r="B610">
        <v>45.6</v>
      </c>
      <c r="C610">
        <v>48.81</v>
      </c>
      <c r="D610">
        <v>45.36</v>
      </c>
      <c r="E610">
        <v>48.25</v>
      </c>
      <c r="F610">
        <v>599583.67721999995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0.67536231884057862</v>
      </c>
      <c r="Q610">
        <f t="shared" si="990"/>
        <v>404936.22258626018</v>
      </c>
      <c r="R610">
        <f t="shared" si="991"/>
        <v>14035709.733449485</v>
      </c>
      <c r="S610">
        <f t="shared" si="992"/>
        <v>140.35709733449485</v>
      </c>
      <c r="T610">
        <f t="shared" si="993"/>
        <v>0.14035709733449486</v>
      </c>
    </row>
    <row r="611" spans="1:20" x14ac:dyDescent="0.25">
      <c r="A611" s="5">
        <v>43982</v>
      </c>
      <c r="B611">
        <v>47.72</v>
      </c>
      <c r="C611">
        <v>47.84</v>
      </c>
      <c r="D611">
        <v>45.07</v>
      </c>
      <c r="E611">
        <v>45.61</v>
      </c>
      <c r="F611">
        <v>494076.18673000002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-0.61010830324909848</v>
      </c>
      <c r="Q611">
        <f t="shared" si="990"/>
        <v>-301439.98396162508</v>
      </c>
      <c r="R611">
        <f t="shared" si="991"/>
        <v>13630773.510863226</v>
      </c>
      <c r="S611">
        <f t="shared" si="992"/>
        <v>136.30773510863227</v>
      </c>
      <c r="T611">
        <f t="shared" si="993"/>
        <v>0.13630773510863228</v>
      </c>
    </row>
    <row r="612" spans="1:20" x14ac:dyDescent="0.25">
      <c r="A612" s="5">
        <v>43981</v>
      </c>
      <c r="B612">
        <v>44.49</v>
      </c>
      <c r="C612">
        <v>48.08</v>
      </c>
      <c r="D612">
        <v>44.18</v>
      </c>
      <c r="E612">
        <v>47.72</v>
      </c>
      <c r="F612">
        <v>590070.55350000004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0.8153846153846156</v>
      </c>
      <c r="Q612">
        <f t="shared" si="990"/>
        <v>481134.45131538477</v>
      </c>
      <c r="R612">
        <f t="shared" si="991"/>
        <v>13932213.494824851</v>
      </c>
      <c r="S612">
        <f t="shared" si="992"/>
        <v>139.3221349482485</v>
      </c>
      <c r="T612">
        <f t="shared" si="993"/>
        <v>0.13932213494824849</v>
      </c>
    </row>
    <row r="613" spans="1:20" x14ac:dyDescent="0.25">
      <c r="A613" s="5">
        <v>43980</v>
      </c>
      <c r="B613">
        <v>44.77</v>
      </c>
      <c r="C613">
        <v>45.29</v>
      </c>
      <c r="D613">
        <v>44.17</v>
      </c>
      <c r="E613">
        <v>44.47</v>
      </c>
      <c r="F613">
        <v>298721.59314000001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-0.46428571428571813</v>
      </c>
      <c r="Q613">
        <f t="shared" si="990"/>
        <v>-138692.16824357258</v>
      </c>
      <c r="R613">
        <f t="shared" si="991"/>
        <v>13451079.043509467</v>
      </c>
      <c r="S613">
        <f t="shared" si="992"/>
        <v>134.51079043509466</v>
      </c>
      <c r="T613">
        <f t="shared" si="993"/>
        <v>0.13451079043509467</v>
      </c>
    </row>
    <row r="614" spans="1:20" x14ac:dyDescent="0.25">
      <c r="A614" s="5">
        <v>43979</v>
      </c>
      <c r="B614">
        <v>43.86</v>
      </c>
      <c r="C614">
        <v>44.88</v>
      </c>
      <c r="D614">
        <v>43.15</v>
      </c>
      <c r="E614">
        <v>44.77</v>
      </c>
      <c r="F614">
        <v>291358.47336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0.87283236994219748</v>
      </c>
      <c r="Q614">
        <f t="shared" si="990"/>
        <v>254307.10680554941</v>
      </c>
      <c r="R614">
        <f t="shared" si="991"/>
        <v>13589771.211753039</v>
      </c>
      <c r="S614">
        <f t="shared" si="992"/>
        <v>135.89771211753038</v>
      </c>
      <c r="T614">
        <f t="shared" si="993"/>
        <v>0.13589771211753038</v>
      </c>
    </row>
    <row r="615" spans="1:20" x14ac:dyDescent="0.25">
      <c r="A615" s="5">
        <v>43978</v>
      </c>
      <c r="B615">
        <v>42.26</v>
      </c>
      <c r="C615">
        <v>44.05</v>
      </c>
      <c r="D615">
        <v>42.22</v>
      </c>
      <c r="E615">
        <v>43.85</v>
      </c>
      <c r="F615">
        <v>282807.46234000003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0.78142076502732682</v>
      </c>
      <c r="Q615">
        <f t="shared" si="990"/>
        <v>220991.62357715974</v>
      </c>
      <c r="R615">
        <f t="shared" si="991"/>
        <v>13335464.104947489</v>
      </c>
      <c r="S615">
        <f t="shared" si="992"/>
        <v>133.35464104947488</v>
      </c>
      <c r="T615">
        <f t="shared" si="993"/>
        <v>0.13335464104947486</v>
      </c>
    </row>
    <row r="616" spans="1:20" x14ac:dyDescent="0.25">
      <c r="A616" s="5">
        <v>43977</v>
      </c>
      <c r="B616">
        <v>42.99</v>
      </c>
      <c r="C616">
        <v>43.07</v>
      </c>
      <c r="D616">
        <v>41.76</v>
      </c>
      <c r="E616">
        <v>42.27</v>
      </c>
      <c r="F616">
        <v>218690.04462999999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-0.22137404580152026</v>
      </c>
      <c r="Q616">
        <f t="shared" si="990"/>
        <v>-48412.299956258124</v>
      </c>
      <c r="R616">
        <f t="shared" si="991"/>
        <v>13114472.48137033</v>
      </c>
      <c r="S616">
        <f t="shared" si="992"/>
        <v>131.14472481370331</v>
      </c>
      <c r="T616">
        <f t="shared" si="993"/>
        <v>0.13114472481370332</v>
      </c>
    </row>
    <row r="617" spans="1:20" x14ac:dyDescent="0.25">
      <c r="A617" s="5">
        <v>43976</v>
      </c>
      <c r="B617">
        <v>42.08</v>
      </c>
      <c r="C617">
        <v>43.32</v>
      </c>
      <c r="D617">
        <v>41.72</v>
      </c>
      <c r="E617">
        <v>42.97</v>
      </c>
      <c r="F617">
        <v>250914.52741000001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0.56249999999999867</v>
      </c>
      <c r="Q617">
        <f t="shared" si="990"/>
        <v>141139.42166812468</v>
      </c>
      <c r="R617">
        <f t="shared" si="991"/>
        <v>13162884.781326588</v>
      </c>
      <c r="S617">
        <f t="shared" si="992"/>
        <v>131.62884781326588</v>
      </c>
      <c r="T617">
        <f t="shared" si="993"/>
        <v>0.13162884781326586</v>
      </c>
    </row>
    <row r="618" spans="1:20" x14ac:dyDescent="0.25">
      <c r="A618" s="5">
        <v>43975</v>
      </c>
      <c r="B618">
        <v>43.84</v>
      </c>
      <c r="C618">
        <v>44.55</v>
      </c>
      <c r="D618">
        <v>42.04</v>
      </c>
      <c r="E618">
        <v>42.08</v>
      </c>
      <c r="F618">
        <v>360333.24871999997</v>
      </c>
      <c r="G618">
        <v>0</v>
      </c>
      <c r="L618" t="s">
        <v>7</v>
      </c>
      <c r="M618" t="s">
        <v>7</v>
      </c>
      <c r="N618" t="s">
        <v>8</v>
      </c>
      <c r="P618">
        <f t="shared" si="989"/>
        <v>-0.96812749003984133</v>
      </c>
      <c r="Q618">
        <f t="shared" si="990"/>
        <v>-348848.52366119542</v>
      </c>
      <c r="R618">
        <f t="shared" si="991"/>
        <v>13021745.359658463</v>
      </c>
      <c r="S618">
        <f t="shared" si="992"/>
        <v>130.21745359658462</v>
      </c>
      <c r="T618">
        <f t="shared" si="993"/>
        <v>0.13021745359658463</v>
      </c>
    </row>
    <row r="619" spans="1:20" x14ac:dyDescent="0.25">
      <c r="A619" s="5">
        <v>43974</v>
      </c>
      <c r="B619">
        <v>44.22</v>
      </c>
      <c r="C619">
        <v>44.74</v>
      </c>
      <c r="D619">
        <v>43.67</v>
      </c>
      <c r="E619">
        <v>43.85</v>
      </c>
      <c r="F619">
        <v>237539.1384</v>
      </c>
      <c r="G619">
        <v>0</v>
      </c>
      <c r="L619" t="s">
        <v>7</v>
      </c>
      <c r="M619" t="s">
        <v>7</v>
      </c>
      <c r="N619" t="s">
        <v>8</v>
      </c>
      <c r="P619">
        <f t="shared" si="989"/>
        <v>-0.66355140186915951</v>
      </c>
      <c r="Q619">
        <f t="shared" si="990"/>
        <v>-157619.42828411231</v>
      </c>
      <c r="R619">
        <f t="shared" si="991"/>
        <v>13370593.883319659</v>
      </c>
      <c r="S619">
        <f t="shared" si="992"/>
        <v>133.7059388331966</v>
      </c>
      <c r="T619">
        <f t="shared" si="993"/>
        <v>0.13370593883319659</v>
      </c>
    </row>
    <row r="620" spans="1:20" x14ac:dyDescent="0.25">
      <c r="A620" s="5">
        <v>43973</v>
      </c>
      <c r="B620">
        <v>42.72</v>
      </c>
      <c r="C620">
        <v>44.68</v>
      </c>
      <c r="D620">
        <v>42.35</v>
      </c>
      <c r="E620">
        <v>44.23</v>
      </c>
      <c r="F620">
        <v>398405.53856000002</v>
      </c>
      <c r="G620">
        <v>0</v>
      </c>
      <c r="L620" t="s">
        <v>7</v>
      </c>
      <c r="M620" t="s">
        <v>7</v>
      </c>
      <c r="N620" t="s">
        <v>8</v>
      </c>
      <c r="P620">
        <f t="shared" si="989"/>
        <v>0.61373390557939644</v>
      </c>
      <c r="Q620">
        <f t="shared" si="990"/>
        <v>244514.98718489165</v>
      </c>
      <c r="R620">
        <f t="shared" si="991"/>
        <v>13528213.311603772</v>
      </c>
      <c r="S620">
        <f t="shared" si="992"/>
        <v>135.28213311603773</v>
      </c>
      <c r="T620">
        <f t="shared" si="993"/>
        <v>0.13528213311603773</v>
      </c>
    </row>
    <row r="621" spans="1:20" x14ac:dyDescent="0.25">
      <c r="A621" s="5">
        <v>43972</v>
      </c>
      <c r="B621">
        <v>44.24</v>
      </c>
      <c r="C621">
        <v>44.62</v>
      </c>
      <c r="D621">
        <v>41.66</v>
      </c>
      <c r="E621">
        <v>42.73</v>
      </c>
      <c r="F621">
        <v>504821.89137000003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-0.27702702702702703</v>
      </c>
      <c r="Q621">
        <f t="shared" si="990"/>
        <v>-139849.3077443919</v>
      </c>
      <c r="R621">
        <f t="shared" si="991"/>
        <v>13283698.32441888</v>
      </c>
      <c r="S621">
        <f t="shared" si="992"/>
        <v>132.83698324418879</v>
      </c>
      <c r="T621">
        <f t="shared" si="993"/>
        <v>0.1328369832441888</v>
      </c>
    </row>
    <row r="622" spans="1:20" x14ac:dyDescent="0.25">
      <c r="A622" s="5">
        <v>43971</v>
      </c>
      <c r="B622">
        <v>45.73</v>
      </c>
      <c r="C622">
        <v>46.14</v>
      </c>
      <c r="D622">
        <v>43.17</v>
      </c>
      <c r="E622">
        <v>44.25</v>
      </c>
      <c r="F622">
        <v>546255.00600000005</v>
      </c>
      <c r="G622">
        <v>0</v>
      </c>
      <c r="L622" t="s">
        <v>8</v>
      </c>
      <c r="M622" t="s">
        <v>7</v>
      </c>
      <c r="N622" t="s">
        <v>8</v>
      </c>
      <c r="P622">
        <f t="shared" si="989"/>
        <v>-0.2727272727272736</v>
      </c>
      <c r="Q622">
        <f t="shared" si="990"/>
        <v>-148978.6380000005</v>
      </c>
      <c r="R622">
        <f t="shared" si="991"/>
        <v>13423547.632163271</v>
      </c>
      <c r="S622">
        <f t="shared" si="992"/>
        <v>134.23547632163272</v>
      </c>
      <c r="T622">
        <f t="shared" si="993"/>
        <v>0.13423547632163271</v>
      </c>
    </row>
    <row r="623" spans="1:20" x14ac:dyDescent="0.25">
      <c r="A623" s="5">
        <v>43970</v>
      </c>
      <c r="B623">
        <v>45.33</v>
      </c>
      <c r="C623">
        <v>45.8</v>
      </c>
      <c r="D623">
        <v>44.07</v>
      </c>
      <c r="E623">
        <v>45.73</v>
      </c>
      <c r="F623">
        <v>375917.65224999998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0.91907514450867001</v>
      </c>
      <c r="Q623">
        <f t="shared" si="990"/>
        <v>345496.5705650287</v>
      </c>
      <c r="R623">
        <f t="shared" si="991"/>
        <v>13572526.270163272</v>
      </c>
      <c r="S623">
        <f t="shared" si="992"/>
        <v>135.72526270163272</v>
      </c>
      <c r="T623">
        <f t="shared" si="993"/>
        <v>0.13572526270163271</v>
      </c>
    </row>
    <row r="624" spans="1:20" x14ac:dyDescent="0.25">
      <c r="A624" s="5">
        <v>43969</v>
      </c>
      <c r="B624">
        <v>43.7</v>
      </c>
      <c r="C624">
        <v>46.59</v>
      </c>
      <c r="D624">
        <v>43.64</v>
      </c>
      <c r="E624">
        <v>45.32</v>
      </c>
      <c r="F624">
        <v>694361.60251</v>
      </c>
      <c r="G624">
        <v>0</v>
      </c>
      <c r="L624" t="s">
        <v>8</v>
      </c>
      <c r="M624" t="s">
        <v>7</v>
      </c>
      <c r="N624" t="s">
        <v>8</v>
      </c>
      <c r="P624">
        <f t="shared" si="989"/>
        <v>0.13898305084745632</v>
      </c>
      <c r="Q624">
        <f t="shared" si="990"/>
        <v>96504.493908168588</v>
      </c>
      <c r="R624">
        <f t="shared" si="991"/>
        <v>13227029.699598243</v>
      </c>
      <c r="S624">
        <f t="shared" si="992"/>
        <v>132.27029699598245</v>
      </c>
      <c r="T624">
        <f t="shared" si="993"/>
        <v>0.13227029699598244</v>
      </c>
    </row>
    <row r="625" spans="1:20" x14ac:dyDescent="0.25">
      <c r="A625" s="5">
        <v>43968</v>
      </c>
      <c r="B625">
        <v>43.25</v>
      </c>
      <c r="C625">
        <v>44.49</v>
      </c>
      <c r="D625">
        <v>43.1</v>
      </c>
      <c r="E625">
        <v>43.71</v>
      </c>
      <c r="F625">
        <v>344498.72506000003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-0.12230215827338248</v>
      </c>
      <c r="Q625">
        <f t="shared" si="990"/>
        <v>-42132.937597266595</v>
      </c>
      <c r="R625">
        <f t="shared" si="991"/>
        <v>13130525.205690075</v>
      </c>
      <c r="S625">
        <f t="shared" si="992"/>
        <v>131.30525205690074</v>
      </c>
      <c r="T625">
        <f t="shared" si="993"/>
        <v>0.13130525205690075</v>
      </c>
    </row>
    <row r="626" spans="1:20" x14ac:dyDescent="0.25">
      <c r="A626" s="5">
        <v>43967</v>
      </c>
      <c r="B626">
        <v>42.73</v>
      </c>
      <c r="C626">
        <v>43.89</v>
      </c>
      <c r="D626">
        <v>42.5</v>
      </c>
      <c r="E626">
        <v>43.25</v>
      </c>
      <c r="F626">
        <v>435940.40697000001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7.9136690647481578E-2</v>
      </c>
      <c r="Q626">
        <f t="shared" si="990"/>
        <v>34498.881127122113</v>
      </c>
      <c r="R626">
        <f t="shared" si="991"/>
        <v>13172658.143287342</v>
      </c>
      <c r="S626">
        <f t="shared" si="992"/>
        <v>131.72658143287342</v>
      </c>
      <c r="T626">
        <f t="shared" si="993"/>
        <v>0.13172658143287341</v>
      </c>
    </row>
    <row r="627" spans="1:20" x14ac:dyDescent="0.25">
      <c r="A627" s="5">
        <v>43966</v>
      </c>
      <c r="B627">
        <v>43.99</v>
      </c>
      <c r="C627">
        <v>44.14</v>
      </c>
      <c r="D627">
        <v>41.82</v>
      </c>
      <c r="E627">
        <v>42.74</v>
      </c>
      <c r="F627">
        <v>468836.21013000002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-0.20689655172413657</v>
      </c>
      <c r="Q627">
        <f t="shared" si="990"/>
        <v>-97000.595199309711</v>
      </c>
      <c r="R627">
        <f t="shared" si="991"/>
        <v>13138159.262160219</v>
      </c>
      <c r="S627">
        <f t="shared" si="992"/>
        <v>131.38159262160218</v>
      </c>
      <c r="T627">
        <f t="shared" si="993"/>
        <v>0.13138159262160218</v>
      </c>
    </row>
    <row r="628" spans="1:20" x14ac:dyDescent="0.25">
      <c r="A628" s="5">
        <v>43965</v>
      </c>
      <c r="B628">
        <v>43.18</v>
      </c>
      <c r="C628">
        <v>44.38</v>
      </c>
      <c r="D628">
        <v>42.21</v>
      </c>
      <c r="E628">
        <v>43.98</v>
      </c>
      <c r="F628">
        <v>507436.34973999998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0.63133640552994896</v>
      </c>
      <c r="Q628">
        <f t="shared" si="990"/>
        <v>320363.04108008964</v>
      </c>
      <c r="R628">
        <f t="shared" si="991"/>
        <v>13235159.857359529</v>
      </c>
      <c r="S628">
        <f t="shared" si="992"/>
        <v>132.35159857359528</v>
      </c>
      <c r="T628">
        <f t="shared" si="993"/>
        <v>0.13235159857359527</v>
      </c>
    </row>
    <row r="629" spans="1:20" x14ac:dyDescent="0.25">
      <c r="A629" s="5">
        <v>43964</v>
      </c>
      <c r="B629">
        <v>42.18</v>
      </c>
      <c r="C629">
        <v>43.74</v>
      </c>
      <c r="D629">
        <v>41.94</v>
      </c>
      <c r="E629">
        <v>43.18</v>
      </c>
      <c r="F629">
        <v>404524.24722999998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0.37777777777777671</v>
      </c>
      <c r="Q629">
        <f t="shared" si="990"/>
        <v>152820.27117577734</v>
      </c>
      <c r="R629">
        <f t="shared" si="991"/>
        <v>12914796.816279439</v>
      </c>
      <c r="S629">
        <f t="shared" si="992"/>
        <v>129.1479681627944</v>
      </c>
      <c r="T629">
        <f t="shared" si="993"/>
        <v>0.12914796816279439</v>
      </c>
    </row>
    <row r="630" spans="1:20" x14ac:dyDescent="0.25">
      <c r="A630" s="5">
        <v>43963</v>
      </c>
      <c r="B630">
        <v>41.49</v>
      </c>
      <c r="C630">
        <v>42.88</v>
      </c>
      <c r="D630">
        <v>41.26</v>
      </c>
      <c r="E630">
        <v>42.18</v>
      </c>
      <c r="F630">
        <v>598291.63994999998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0.13580246913580138</v>
      </c>
      <c r="Q630">
        <f t="shared" si="990"/>
        <v>81249.481968517866</v>
      </c>
      <c r="R630">
        <f t="shared" si="991"/>
        <v>12761976.545103662</v>
      </c>
      <c r="S630">
        <f t="shared" si="992"/>
        <v>127.61976545103661</v>
      </c>
      <c r="T630">
        <f t="shared" si="993"/>
        <v>0.12761976545103662</v>
      </c>
    </row>
    <row r="631" spans="1:20" x14ac:dyDescent="0.25">
      <c r="A631" s="5">
        <v>43962</v>
      </c>
      <c r="B631">
        <v>42.05</v>
      </c>
      <c r="C631">
        <v>42.9</v>
      </c>
      <c r="D631">
        <v>39.369999999999997</v>
      </c>
      <c r="E631">
        <v>41.51</v>
      </c>
      <c r="F631">
        <v>955643.70805000002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0.2124645892351274</v>
      </c>
      <c r="Q631">
        <f t="shared" si="990"/>
        <v>203040.44788597725</v>
      </c>
      <c r="R631">
        <f t="shared" si="991"/>
        <v>12680727.063135143</v>
      </c>
      <c r="S631">
        <f t="shared" si="992"/>
        <v>126.80727063135143</v>
      </c>
      <c r="T631">
        <f t="shared" si="993"/>
        <v>0.12680727063135142</v>
      </c>
    </row>
    <row r="632" spans="1:20" x14ac:dyDescent="0.25">
      <c r="A632" s="5">
        <v>43961</v>
      </c>
      <c r="B632">
        <v>46.97</v>
      </c>
      <c r="C632">
        <v>47.04</v>
      </c>
      <c r="D632">
        <v>39.4</v>
      </c>
      <c r="E632">
        <v>42.06</v>
      </c>
      <c r="F632">
        <v>1404081.17548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-0.30366492146596769</v>
      </c>
      <c r="Q632">
        <f t="shared" si="990"/>
        <v>-426370.19988397777</v>
      </c>
      <c r="R632">
        <f t="shared" si="991"/>
        <v>12477686.615249166</v>
      </c>
      <c r="S632">
        <f t="shared" si="992"/>
        <v>124.77686615249166</v>
      </c>
      <c r="T632">
        <f t="shared" si="993"/>
        <v>0.12477686615249166</v>
      </c>
    </row>
    <row r="633" spans="1:20" x14ac:dyDescent="0.25">
      <c r="A633" s="5">
        <v>43960</v>
      </c>
      <c r="B633">
        <v>47.7</v>
      </c>
      <c r="C633">
        <v>49.1</v>
      </c>
      <c r="D633">
        <v>46.75</v>
      </c>
      <c r="E633">
        <v>46.95</v>
      </c>
      <c r="F633">
        <v>656199.99849999999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-0.82978723404255084</v>
      </c>
      <c r="Q633">
        <f t="shared" si="990"/>
        <v>-544506.38173404103</v>
      </c>
      <c r="R633">
        <f t="shared" si="991"/>
        <v>12904056.815133143</v>
      </c>
      <c r="S633">
        <f t="shared" si="992"/>
        <v>129.04056815133143</v>
      </c>
      <c r="T633">
        <f t="shared" si="993"/>
        <v>0.12904056815133141</v>
      </c>
    </row>
    <row r="634" spans="1:20" x14ac:dyDescent="0.25">
      <c r="A634" s="5">
        <v>43959</v>
      </c>
      <c r="B634">
        <v>47.37</v>
      </c>
      <c r="C634">
        <v>48.43</v>
      </c>
      <c r="D634">
        <v>46.34</v>
      </c>
      <c r="E634">
        <v>47.69</v>
      </c>
      <c r="F634">
        <v>631882.81036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0.29186602870813083</v>
      </c>
      <c r="Q634">
        <f t="shared" si="990"/>
        <v>184425.12646870615</v>
      </c>
      <c r="R634">
        <f t="shared" si="991"/>
        <v>13448563.196867185</v>
      </c>
      <c r="S634">
        <f t="shared" si="992"/>
        <v>134.48563196867184</v>
      </c>
      <c r="T634">
        <f t="shared" si="993"/>
        <v>0.13448563196867183</v>
      </c>
    </row>
    <row r="635" spans="1:20" x14ac:dyDescent="0.25">
      <c r="A635" s="5">
        <v>43958</v>
      </c>
      <c r="B635">
        <v>44.92</v>
      </c>
      <c r="C635">
        <v>48.22</v>
      </c>
      <c r="D635">
        <v>44.37</v>
      </c>
      <c r="E635">
        <v>47.37</v>
      </c>
      <c r="F635">
        <v>796061.59933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0.55844155844155785</v>
      </c>
      <c r="Q635">
        <f t="shared" si="990"/>
        <v>444553.88014532422</v>
      </c>
      <c r="R635">
        <f t="shared" si="991"/>
        <v>13264138.070398478</v>
      </c>
      <c r="S635">
        <f t="shared" si="992"/>
        <v>132.64138070398477</v>
      </c>
      <c r="T635">
        <f t="shared" si="993"/>
        <v>0.13264138070398476</v>
      </c>
    </row>
    <row r="636" spans="1:20" x14ac:dyDescent="0.25">
      <c r="A636" s="5">
        <v>43957</v>
      </c>
      <c r="B636">
        <v>46.56</v>
      </c>
      <c r="C636">
        <v>47.55</v>
      </c>
      <c r="D636">
        <v>44.55</v>
      </c>
      <c r="E636">
        <v>44.94</v>
      </c>
      <c r="F636">
        <v>466241.72785000002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-0.73999999999999966</v>
      </c>
      <c r="Q636">
        <f t="shared" si="990"/>
        <v>-345018.87860899983</v>
      </c>
      <c r="R636">
        <f t="shared" si="991"/>
        <v>12819584.190253153</v>
      </c>
      <c r="S636">
        <f t="shared" si="992"/>
        <v>128.19584190253153</v>
      </c>
      <c r="T636">
        <f t="shared" si="993"/>
        <v>0.12819584190253153</v>
      </c>
    </row>
    <row r="637" spans="1:20" x14ac:dyDescent="0.25">
      <c r="A637" s="5">
        <v>43956</v>
      </c>
      <c r="B637">
        <v>46.97</v>
      </c>
      <c r="C637">
        <v>47.76</v>
      </c>
      <c r="D637">
        <v>45.71</v>
      </c>
      <c r="E637">
        <v>46.54</v>
      </c>
      <c r="F637">
        <v>415057.43761999998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-0.19024390243902492</v>
      </c>
      <c r="Q637">
        <f t="shared" si="990"/>
        <v>-78962.14666917095</v>
      </c>
      <c r="R637">
        <f t="shared" si="991"/>
        <v>13164603.068862153</v>
      </c>
      <c r="S637">
        <f t="shared" si="992"/>
        <v>131.64603068862152</v>
      </c>
      <c r="T637">
        <f t="shared" si="993"/>
        <v>0.13164603068862152</v>
      </c>
    </row>
    <row r="638" spans="1:20" x14ac:dyDescent="0.25">
      <c r="A638" s="5">
        <v>43955</v>
      </c>
      <c r="B638">
        <v>48.07</v>
      </c>
      <c r="C638">
        <v>48.2</v>
      </c>
      <c r="D638">
        <v>45.11</v>
      </c>
      <c r="E638">
        <v>46.96</v>
      </c>
      <c r="F638">
        <v>693367.01092000003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0.19741100323624555</v>
      </c>
      <c r="Q638">
        <f t="shared" si="990"/>
        <v>136878.27723663402</v>
      </c>
      <c r="R638">
        <f t="shared" si="991"/>
        <v>13243565.215531325</v>
      </c>
      <c r="S638">
        <f t="shared" si="992"/>
        <v>132.43565215531325</v>
      </c>
      <c r="T638">
        <f t="shared" si="993"/>
        <v>0.13243565215531325</v>
      </c>
    </row>
    <row r="639" spans="1:20" x14ac:dyDescent="0.25">
      <c r="A639" s="5">
        <v>43954</v>
      </c>
      <c r="B639">
        <v>49.2</v>
      </c>
      <c r="C639">
        <v>50.02</v>
      </c>
      <c r="D639">
        <v>46.61</v>
      </c>
      <c r="E639">
        <v>48.05</v>
      </c>
      <c r="F639">
        <v>566317.38081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-0.15542521994135122</v>
      </c>
      <c r="Q639">
        <f t="shared" si="990"/>
        <v>-88020.003469004208</v>
      </c>
      <c r="R639">
        <f t="shared" si="991"/>
        <v>13106686.93829469</v>
      </c>
      <c r="S639">
        <f t="shared" si="992"/>
        <v>131.06686938294689</v>
      </c>
      <c r="T639">
        <f t="shared" si="993"/>
        <v>0.1310668693829469</v>
      </c>
    </row>
    <row r="640" spans="1:20" x14ac:dyDescent="0.25">
      <c r="A640" s="5">
        <v>43953</v>
      </c>
      <c r="B640">
        <v>47.08</v>
      </c>
      <c r="C640">
        <v>49.6</v>
      </c>
      <c r="D640">
        <v>46.73</v>
      </c>
      <c r="E640">
        <v>49.2</v>
      </c>
      <c r="F640">
        <v>408979.14996000001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0.72125435540069827</v>
      </c>
      <c r="Q640">
        <f t="shared" si="990"/>
        <v>294977.99317672534</v>
      </c>
      <c r="R640">
        <f t="shared" si="991"/>
        <v>13194706.941763693</v>
      </c>
      <c r="S640">
        <f t="shared" si="992"/>
        <v>131.94706941763692</v>
      </c>
      <c r="T640">
        <f t="shared" si="993"/>
        <v>0.13194706941763693</v>
      </c>
    </row>
    <row r="641" spans="1:20" x14ac:dyDescent="0.25">
      <c r="A641" s="5">
        <v>43952</v>
      </c>
      <c r="B641">
        <v>46.33</v>
      </c>
      <c r="C641">
        <v>48.27</v>
      </c>
      <c r="D641">
        <v>46.3</v>
      </c>
      <c r="E641">
        <v>47.07</v>
      </c>
      <c r="F641">
        <v>499757.96625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-0.21827411167512609</v>
      </c>
      <c r="Q641">
        <f t="shared" si="990"/>
        <v>-109084.22613578639</v>
      </c>
      <c r="R641">
        <f t="shared" si="991"/>
        <v>12899728.948586969</v>
      </c>
      <c r="S641">
        <f t="shared" si="992"/>
        <v>128.99728948586969</v>
      </c>
      <c r="T641">
        <f t="shared" si="993"/>
        <v>0.12899728948586969</v>
      </c>
    </row>
    <row r="642" spans="1:20" x14ac:dyDescent="0.25">
      <c r="A642" s="5">
        <v>43951</v>
      </c>
      <c r="B642">
        <v>48.81</v>
      </c>
      <c r="C642">
        <v>50.8</v>
      </c>
      <c r="D642">
        <v>45.59</v>
      </c>
      <c r="E642">
        <v>46.33</v>
      </c>
      <c r="F642">
        <v>1404189.5331999999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-0.71593090211132604</v>
      </c>
      <c r="Q642">
        <f t="shared" si="990"/>
        <v>-1005302.6792391578</v>
      </c>
      <c r="R642">
        <f t="shared" si="991"/>
        <v>13008813.174722755</v>
      </c>
      <c r="S642">
        <f t="shared" si="992"/>
        <v>130.08813174722755</v>
      </c>
      <c r="T642">
        <f t="shared" si="993"/>
        <v>0.13008813174722755</v>
      </c>
    </row>
    <row r="643" spans="1:20" x14ac:dyDescent="0.25">
      <c r="A643" s="5">
        <v>43950</v>
      </c>
      <c r="B643">
        <v>45.69</v>
      </c>
      <c r="C643">
        <v>49.91</v>
      </c>
      <c r="D643">
        <v>45.64</v>
      </c>
      <c r="E643">
        <v>48.81</v>
      </c>
      <c r="F643">
        <v>1198086.90059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0.48477751756440501</v>
      </c>
      <c r="Q643">
        <f t="shared" si="990"/>
        <v>580805.5934944523</v>
      </c>
      <c r="R643">
        <f t="shared" si="991"/>
        <v>14014115.853961913</v>
      </c>
      <c r="S643">
        <f t="shared" si="992"/>
        <v>140.14115853961914</v>
      </c>
      <c r="T643">
        <f t="shared" si="993"/>
        <v>0.14014115853961914</v>
      </c>
    </row>
    <row r="644" spans="1:20" x14ac:dyDescent="0.25">
      <c r="A644" s="5">
        <v>43949</v>
      </c>
      <c r="B644">
        <v>44.47</v>
      </c>
      <c r="C644">
        <v>46.13</v>
      </c>
      <c r="D644">
        <v>43.42</v>
      </c>
      <c r="E644">
        <v>45.69</v>
      </c>
      <c r="F644">
        <v>590012.52304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0.67527675276752419</v>
      </c>
      <c r="Q644">
        <f t="shared" si="990"/>
        <v>398421.74065062526</v>
      </c>
      <c r="R644">
        <f t="shared" si="991"/>
        <v>13433310.26046746</v>
      </c>
      <c r="S644">
        <f t="shared" si="992"/>
        <v>134.33310260467459</v>
      </c>
      <c r="T644">
        <f t="shared" si="993"/>
        <v>0.1343331026046746</v>
      </c>
    </row>
    <row r="645" spans="1:20" x14ac:dyDescent="0.25">
      <c r="A645" s="5">
        <v>43948</v>
      </c>
      <c r="B645">
        <v>44.54</v>
      </c>
      <c r="C645">
        <v>45.23</v>
      </c>
      <c r="D645">
        <v>43.16</v>
      </c>
      <c r="E645">
        <v>44.46</v>
      </c>
      <c r="F645">
        <v>443570.66029000003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0.25603864734299914</v>
      </c>
      <c r="Q645">
        <f t="shared" si="990"/>
        <v>113571.23186169259</v>
      </c>
      <c r="R645">
        <f t="shared" si="991"/>
        <v>13034888.519816834</v>
      </c>
      <c r="S645">
        <f t="shared" si="992"/>
        <v>130.34888519816835</v>
      </c>
      <c r="T645">
        <f t="shared" si="993"/>
        <v>0.13034888519816834</v>
      </c>
    </row>
    <row r="646" spans="1:20" x14ac:dyDescent="0.25">
      <c r="A646" s="5">
        <v>43947</v>
      </c>
      <c r="B646">
        <v>44.38</v>
      </c>
      <c r="C646">
        <v>45.39</v>
      </c>
      <c r="D646">
        <v>43.75</v>
      </c>
      <c r="E646">
        <v>44.52</v>
      </c>
      <c r="F646">
        <v>485605.15593000001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-6.0975609756094076E-2</v>
      </c>
      <c r="Q646">
        <f t="shared" ref="Q646:Q709" si="995">F646*P646</f>
        <v>-29610.070483534895</v>
      </c>
      <c r="R646">
        <f t="shared" ref="R646:R709" si="996">R647+Q646</f>
        <v>12921317.287955143</v>
      </c>
      <c r="S646">
        <f t="shared" ref="S646:S709" si="997">R646/100000</f>
        <v>129.21317287955142</v>
      </c>
      <c r="T646">
        <f t="shared" ref="T646:T709" si="998">S646/1000</f>
        <v>0.12921317287955142</v>
      </c>
    </row>
    <row r="647" spans="1:20" x14ac:dyDescent="0.25">
      <c r="A647" s="5">
        <v>43946</v>
      </c>
      <c r="B647">
        <v>44.52</v>
      </c>
      <c r="C647">
        <v>45.58</v>
      </c>
      <c r="D647">
        <v>43.84</v>
      </c>
      <c r="E647">
        <v>44.38</v>
      </c>
      <c r="F647">
        <v>555367.18724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-0.37931034482758536</v>
      </c>
      <c r="Q647">
        <f t="shared" si="995"/>
        <v>-210656.51929793056</v>
      </c>
      <c r="R647">
        <f t="shared" si="996"/>
        <v>12950927.358438678</v>
      </c>
      <c r="S647">
        <f t="shared" si="997"/>
        <v>129.50927358438679</v>
      </c>
      <c r="T647">
        <f t="shared" si="998"/>
        <v>0.1295092735843868</v>
      </c>
    </row>
    <row r="648" spans="1:20" x14ac:dyDescent="0.25">
      <c r="A648" s="5">
        <v>43945</v>
      </c>
      <c r="B648">
        <v>42.98</v>
      </c>
      <c r="C648">
        <v>44.99</v>
      </c>
      <c r="D648">
        <v>42.83</v>
      </c>
      <c r="E648">
        <v>44.53</v>
      </c>
      <c r="F648">
        <v>623877.17694000003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0.57407407407407396</v>
      </c>
      <c r="Q648">
        <f t="shared" si="995"/>
        <v>358151.7126877777</v>
      </c>
      <c r="R648">
        <f t="shared" si="996"/>
        <v>13161583.877736609</v>
      </c>
      <c r="S648">
        <f t="shared" si="997"/>
        <v>131.61583877736609</v>
      </c>
      <c r="T648">
        <f t="shared" si="998"/>
        <v>0.1316158387773661</v>
      </c>
    </row>
    <row r="649" spans="1:20" x14ac:dyDescent="0.25">
      <c r="A649" s="5">
        <v>43944</v>
      </c>
      <c r="B649">
        <v>41.81</v>
      </c>
      <c r="C649">
        <v>43.91</v>
      </c>
      <c r="D649">
        <v>40.94</v>
      </c>
      <c r="E649">
        <v>42.98</v>
      </c>
      <c r="F649">
        <v>639336.05312000006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0.3737373737373737</v>
      </c>
      <c r="Q649">
        <f t="shared" si="995"/>
        <v>238943.77742868688</v>
      </c>
      <c r="R649">
        <f t="shared" si="996"/>
        <v>12803432.165048832</v>
      </c>
      <c r="S649">
        <f t="shared" si="997"/>
        <v>128.03432165048832</v>
      </c>
      <c r="T649">
        <f t="shared" si="998"/>
        <v>0.12803432165048834</v>
      </c>
    </row>
    <row r="650" spans="1:20" x14ac:dyDescent="0.25">
      <c r="A650" s="5">
        <v>43943</v>
      </c>
      <c r="B650">
        <v>40.590000000000003</v>
      </c>
      <c r="C650">
        <v>42.32</v>
      </c>
      <c r="D650">
        <v>40.270000000000003</v>
      </c>
      <c r="E650">
        <v>41.8</v>
      </c>
      <c r="F650">
        <v>463111.32681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0.49268292682926451</v>
      </c>
      <c r="Q650">
        <f t="shared" si="995"/>
        <v>228167.04394053484</v>
      </c>
      <c r="R650">
        <f t="shared" si="996"/>
        <v>12564488.387620145</v>
      </c>
      <c r="S650">
        <f t="shared" si="997"/>
        <v>125.64488387620145</v>
      </c>
      <c r="T650">
        <f t="shared" si="998"/>
        <v>0.12564488387620146</v>
      </c>
    </row>
    <row r="651" spans="1:20" x14ac:dyDescent="0.25">
      <c r="A651" s="5">
        <v>43942</v>
      </c>
      <c r="B651">
        <v>40.21</v>
      </c>
      <c r="C651">
        <v>41.34</v>
      </c>
      <c r="D651">
        <v>40.01</v>
      </c>
      <c r="E651">
        <v>40.590000000000003</v>
      </c>
      <c r="F651">
        <v>346732.08491999999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-0.12781954887217586</v>
      </c>
      <c r="Q651">
        <f t="shared" si="995"/>
        <v>-44319.138673983369</v>
      </c>
      <c r="R651">
        <f t="shared" si="996"/>
        <v>12336321.343679611</v>
      </c>
      <c r="S651">
        <f t="shared" si="997"/>
        <v>123.3632134367961</v>
      </c>
      <c r="T651">
        <f t="shared" si="998"/>
        <v>0.1233632134367961</v>
      </c>
    </row>
    <row r="652" spans="1:20" x14ac:dyDescent="0.25">
      <c r="A652" s="5">
        <v>43941</v>
      </c>
      <c r="B652">
        <v>42.23</v>
      </c>
      <c r="C652">
        <v>43.24</v>
      </c>
      <c r="D652">
        <v>39.549999999999997</v>
      </c>
      <c r="E652">
        <v>40.21</v>
      </c>
      <c r="F652">
        <v>543840.05683000002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-0.64227642276422614</v>
      </c>
      <c r="Q652">
        <f t="shared" si="995"/>
        <v>-349295.64625666587</v>
      </c>
      <c r="R652">
        <f t="shared" si="996"/>
        <v>12380640.482353594</v>
      </c>
      <c r="S652">
        <f t="shared" si="997"/>
        <v>123.80640482353594</v>
      </c>
      <c r="T652">
        <f t="shared" si="998"/>
        <v>0.12380640482353594</v>
      </c>
    </row>
    <row r="653" spans="1:20" x14ac:dyDescent="0.25">
      <c r="A653" s="5">
        <v>43940</v>
      </c>
      <c r="B653">
        <v>44.16</v>
      </c>
      <c r="C653">
        <v>44.3</v>
      </c>
      <c r="D653">
        <v>41.54</v>
      </c>
      <c r="E653">
        <v>42.23</v>
      </c>
      <c r="F653">
        <v>456205.81251999998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-0.50000000000000133</v>
      </c>
      <c r="Q653">
        <f t="shared" si="995"/>
        <v>-228102.9062600006</v>
      </c>
      <c r="R653">
        <f t="shared" si="996"/>
        <v>12729936.128610261</v>
      </c>
      <c r="S653">
        <f t="shared" si="997"/>
        <v>127.29936128610261</v>
      </c>
      <c r="T653">
        <f t="shared" si="998"/>
        <v>0.12729936128610261</v>
      </c>
    </row>
    <row r="654" spans="1:20" x14ac:dyDescent="0.25">
      <c r="A654" s="5">
        <v>43939</v>
      </c>
      <c r="B654">
        <v>42.2</v>
      </c>
      <c r="C654">
        <v>44.43</v>
      </c>
      <c r="D654">
        <v>41.98</v>
      </c>
      <c r="E654">
        <v>44.14</v>
      </c>
      <c r="F654">
        <v>497104.94270999997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0.76326530612244992</v>
      </c>
      <c r="Q654">
        <f t="shared" si="995"/>
        <v>379422.95627253107</v>
      </c>
      <c r="R654">
        <f t="shared" si="996"/>
        <v>12958039.034870261</v>
      </c>
      <c r="S654">
        <f t="shared" si="997"/>
        <v>129.58039034870262</v>
      </c>
      <c r="T654">
        <f t="shared" si="998"/>
        <v>0.12958039034870261</v>
      </c>
    </row>
    <row r="655" spans="1:20" x14ac:dyDescent="0.25">
      <c r="A655" s="5">
        <v>43938</v>
      </c>
      <c r="B655">
        <v>42.52</v>
      </c>
      <c r="C655">
        <v>43.01</v>
      </c>
      <c r="D655">
        <v>41.61</v>
      </c>
      <c r="E655">
        <v>42.19</v>
      </c>
      <c r="F655">
        <v>407623.04586999997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-0.17142857142857301</v>
      </c>
      <c r="Q655">
        <f t="shared" si="995"/>
        <v>-69878.236434857783</v>
      </c>
      <c r="R655">
        <f t="shared" si="996"/>
        <v>12578616.07859773</v>
      </c>
      <c r="S655">
        <f t="shared" si="997"/>
        <v>125.7861607859773</v>
      </c>
      <c r="T655">
        <f t="shared" si="998"/>
        <v>0.12578616078597729</v>
      </c>
    </row>
    <row r="656" spans="1:20" x14ac:dyDescent="0.25">
      <c r="A656" s="5">
        <v>43937</v>
      </c>
      <c r="B656">
        <v>39.24</v>
      </c>
      <c r="C656">
        <v>43.78</v>
      </c>
      <c r="D656">
        <v>37.909999999999997</v>
      </c>
      <c r="E656">
        <v>42.53</v>
      </c>
      <c r="F656">
        <v>913086.97771000001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0.5741056218057925</v>
      </c>
      <c r="Q656">
        <f t="shared" si="995"/>
        <v>524208.36710097134</v>
      </c>
      <c r="R656">
        <f t="shared" si="996"/>
        <v>12648494.315032588</v>
      </c>
      <c r="S656">
        <f t="shared" si="997"/>
        <v>126.48494315032589</v>
      </c>
      <c r="T656">
        <f t="shared" si="998"/>
        <v>0.12648494315032588</v>
      </c>
    </row>
    <row r="657" spans="1:20" x14ac:dyDescent="0.25">
      <c r="A657" s="5">
        <v>43936</v>
      </c>
      <c r="B657">
        <v>41.19</v>
      </c>
      <c r="C657">
        <v>41.75</v>
      </c>
      <c r="D657">
        <v>39.08</v>
      </c>
      <c r="E657">
        <v>39.22</v>
      </c>
      <c r="F657">
        <v>460328.16310000001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-0.89513108614232173</v>
      </c>
      <c r="Q657">
        <f t="shared" si="995"/>
        <v>-412054.04861760285</v>
      </c>
      <c r="R657">
        <f t="shared" si="996"/>
        <v>12124285.947931617</v>
      </c>
      <c r="S657">
        <f t="shared" si="997"/>
        <v>121.24285947931618</v>
      </c>
      <c r="T657">
        <f t="shared" si="998"/>
        <v>0.12124285947931618</v>
      </c>
    </row>
    <row r="658" spans="1:20" x14ac:dyDescent="0.25">
      <c r="A658" s="5">
        <v>43935</v>
      </c>
      <c r="B658">
        <v>41.2</v>
      </c>
      <c r="C658">
        <v>41.85</v>
      </c>
      <c r="D658">
        <v>40.47</v>
      </c>
      <c r="E658">
        <v>41.22</v>
      </c>
      <c r="F658">
        <v>420837.68832000002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8.695652173912842E-2</v>
      </c>
      <c r="Q658">
        <f t="shared" si="995"/>
        <v>36594.581593042632</v>
      </c>
      <c r="R658">
        <f t="shared" si="996"/>
        <v>12536339.996549221</v>
      </c>
      <c r="S658">
        <f t="shared" si="997"/>
        <v>125.36339996549221</v>
      </c>
      <c r="T658">
        <f t="shared" si="998"/>
        <v>0.1253633999654922</v>
      </c>
    </row>
    <row r="659" spans="1:20" x14ac:dyDescent="0.25">
      <c r="A659" s="5">
        <v>43934</v>
      </c>
      <c r="B659">
        <v>41.99</v>
      </c>
      <c r="C659">
        <v>41.99</v>
      </c>
      <c r="D659">
        <v>39.520000000000003</v>
      </c>
      <c r="E659">
        <v>41.22</v>
      </c>
      <c r="F659">
        <v>744114.51306000003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0.37651821862347895</v>
      </c>
      <c r="Q659">
        <f t="shared" si="995"/>
        <v>280172.67090922868</v>
      </c>
      <c r="R659">
        <f t="shared" si="996"/>
        <v>12499745.414956179</v>
      </c>
      <c r="S659">
        <f t="shared" si="997"/>
        <v>124.99745414956179</v>
      </c>
      <c r="T659">
        <f t="shared" si="998"/>
        <v>0.12499745414956179</v>
      </c>
    </row>
    <row r="660" spans="1:20" x14ac:dyDescent="0.25">
      <c r="A660" s="5">
        <v>43933</v>
      </c>
      <c r="B660">
        <v>42.54</v>
      </c>
      <c r="C660">
        <v>43.58</v>
      </c>
      <c r="D660">
        <v>41.83</v>
      </c>
      <c r="E660">
        <v>42</v>
      </c>
      <c r="F660">
        <v>499257.03256999998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-0.80571428571428372</v>
      </c>
      <c r="Q660">
        <f t="shared" si="995"/>
        <v>-402258.52338497044</v>
      </c>
      <c r="R660">
        <f t="shared" si="996"/>
        <v>12219572.744046951</v>
      </c>
      <c r="S660">
        <f t="shared" si="997"/>
        <v>122.19572744046951</v>
      </c>
      <c r="T660">
        <f t="shared" si="998"/>
        <v>0.12219572744046951</v>
      </c>
    </row>
    <row r="661" spans="1:20" x14ac:dyDescent="0.25">
      <c r="A661" s="5">
        <v>43932</v>
      </c>
      <c r="B661">
        <v>42.28</v>
      </c>
      <c r="C661">
        <v>43.16</v>
      </c>
      <c r="D661">
        <v>41.43</v>
      </c>
      <c r="E661">
        <v>42.54</v>
      </c>
      <c r="F661">
        <v>382360.32131999999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0.28323699421965481</v>
      </c>
      <c r="Q661">
        <f t="shared" si="995"/>
        <v>108298.5881195382</v>
      </c>
      <c r="R661">
        <f t="shared" si="996"/>
        <v>12621831.26743192</v>
      </c>
      <c r="S661">
        <f t="shared" si="997"/>
        <v>126.21831267431921</v>
      </c>
      <c r="T661">
        <f t="shared" si="998"/>
        <v>0.12621831267431921</v>
      </c>
    </row>
    <row r="662" spans="1:20" x14ac:dyDescent="0.25">
      <c r="A662" s="5">
        <v>43931</v>
      </c>
      <c r="B662">
        <v>46.19</v>
      </c>
      <c r="C662">
        <v>46.39</v>
      </c>
      <c r="D662">
        <v>40.86</v>
      </c>
      <c r="E662">
        <v>42.25</v>
      </c>
      <c r="F662">
        <v>785172.33131000004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-0.49728752260397818</v>
      </c>
      <c r="Q662">
        <f t="shared" si="995"/>
        <v>-390456.40345433989</v>
      </c>
      <c r="R662">
        <f t="shared" si="996"/>
        <v>12513532.679312382</v>
      </c>
      <c r="S662">
        <f t="shared" si="997"/>
        <v>125.13532679312382</v>
      </c>
      <c r="T662">
        <f t="shared" si="998"/>
        <v>0.12513532679312384</v>
      </c>
    </row>
    <row r="663" spans="1:20" x14ac:dyDescent="0.25">
      <c r="A663" s="5">
        <v>43930</v>
      </c>
      <c r="B663">
        <v>46.52</v>
      </c>
      <c r="C663">
        <v>46.86</v>
      </c>
      <c r="D663">
        <v>44.69</v>
      </c>
      <c r="E663">
        <v>46.21</v>
      </c>
      <c r="F663">
        <v>401085.47957999998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0.40092165898617688</v>
      </c>
      <c r="Q663">
        <f t="shared" si="995"/>
        <v>160803.85586847996</v>
      </c>
      <c r="R663">
        <f t="shared" si="996"/>
        <v>12903989.082766721</v>
      </c>
      <c r="S663">
        <f t="shared" si="997"/>
        <v>129.03989082766722</v>
      </c>
      <c r="T663">
        <f t="shared" si="998"/>
        <v>0.12903989082766723</v>
      </c>
    </row>
    <row r="664" spans="1:20" x14ac:dyDescent="0.25">
      <c r="A664" s="5">
        <v>43929</v>
      </c>
      <c r="B664">
        <v>44.79</v>
      </c>
      <c r="C664">
        <v>47.2</v>
      </c>
      <c r="D664">
        <v>44.27</v>
      </c>
      <c r="E664">
        <v>46.55</v>
      </c>
      <c r="F664">
        <v>500059.46494999999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0.5563139931740575</v>
      </c>
      <c r="Q664">
        <f t="shared" si="995"/>
        <v>278190.07777081715</v>
      </c>
      <c r="R664">
        <f t="shared" si="996"/>
        <v>12743185.226898242</v>
      </c>
      <c r="S664">
        <f t="shared" si="997"/>
        <v>127.43185226898242</v>
      </c>
      <c r="T664">
        <f t="shared" si="998"/>
        <v>0.12743185226898243</v>
      </c>
    </row>
    <row r="665" spans="1:20" x14ac:dyDescent="0.25">
      <c r="A665" s="5">
        <v>43928</v>
      </c>
      <c r="B665">
        <v>45.03</v>
      </c>
      <c r="C665">
        <v>47.64</v>
      </c>
      <c r="D665">
        <v>43.64</v>
      </c>
      <c r="E665">
        <v>44.77</v>
      </c>
      <c r="F665">
        <v>808081.85352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-0.43499999999999872</v>
      </c>
      <c r="Q665">
        <f t="shared" si="995"/>
        <v>-351515.60628119897</v>
      </c>
      <c r="R665">
        <f t="shared" si="996"/>
        <v>12464995.149127424</v>
      </c>
      <c r="S665">
        <f t="shared" si="997"/>
        <v>124.64995149127424</v>
      </c>
      <c r="T665">
        <f t="shared" si="998"/>
        <v>0.12464995149127424</v>
      </c>
    </row>
    <row r="666" spans="1:20" x14ac:dyDescent="0.25">
      <c r="A666" s="5">
        <v>43927</v>
      </c>
      <c r="B666">
        <v>40.31</v>
      </c>
      <c r="C666">
        <v>45.09</v>
      </c>
      <c r="D666">
        <v>40.28</v>
      </c>
      <c r="E666">
        <v>45.04</v>
      </c>
      <c r="F666">
        <v>721562.28579999995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0.97920997920997743</v>
      </c>
      <c r="Q666">
        <f t="shared" si="995"/>
        <v>706560.9908769218</v>
      </c>
      <c r="R666">
        <f t="shared" si="996"/>
        <v>12816510.755408622</v>
      </c>
      <c r="S666">
        <f t="shared" si="997"/>
        <v>128.16510755408623</v>
      </c>
      <c r="T666">
        <f t="shared" si="998"/>
        <v>0.12816510755408622</v>
      </c>
    </row>
    <row r="667" spans="1:20" x14ac:dyDescent="0.25">
      <c r="A667" s="5">
        <v>43926</v>
      </c>
      <c r="B667">
        <v>40.74</v>
      </c>
      <c r="C667">
        <v>41</v>
      </c>
      <c r="D667">
        <v>39.86</v>
      </c>
      <c r="E667">
        <v>40.31</v>
      </c>
      <c r="F667">
        <v>231112.95730000001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-0.21052631578946909</v>
      </c>
      <c r="Q667">
        <f t="shared" si="995"/>
        <v>-48655.35943157789</v>
      </c>
      <c r="R667">
        <f t="shared" si="996"/>
        <v>12109949.7645317</v>
      </c>
      <c r="S667">
        <f t="shared" si="997"/>
        <v>121.099497645317</v>
      </c>
      <c r="T667">
        <f t="shared" si="998"/>
        <v>0.12109949764531699</v>
      </c>
    </row>
    <row r="668" spans="1:20" x14ac:dyDescent="0.25">
      <c r="A668" s="5">
        <v>43925</v>
      </c>
      <c r="B668">
        <v>40.49</v>
      </c>
      <c r="C668">
        <v>41.16</v>
      </c>
      <c r="D668">
        <v>39.86</v>
      </c>
      <c r="E668">
        <v>40.71</v>
      </c>
      <c r="F668">
        <v>362602.27623999998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0.30769230769231276</v>
      </c>
      <c r="Q668">
        <f t="shared" si="995"/>
        <v>111569.93115077107</v>
      </c>
      <c r="R668">
        <f t="shared" si="996"/>
        <v>12158605.123963278</v>
      </c>
      <c r="S668">
        <f t="shared" si="997"/>
        <v>121.58605123963278</v>
      </c>
      <c r="T668">
        <f t="shared" si="998"/>
        <v>0.12158605123963279</v>
      </c>
    </row>
    <row r="669" spans="1:20" x14ac:dyDescent="0.25">
      <c r="A669" s="5">
        <v>43924</v>
      </c>
      <c r="B669">
        <v>39.880000000000003</v>
      </c>
      <c r="C669">
        <v>41.26</v>
      </c>
      <c r="D669">
        <v>39.64</v>
      </c>
      <c r="E669">
        <v>40.46</v>
      </c>
      <c r="F669">
        <v>463368.11629999999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1.2345679012347628E-2</v>
      </c>
      <c r="Q669">
        <f t="shared" si="995"/>
        <v>5720.5940283959644</v>
      </c>
      <c r="R669">
        <f t="shared" si="996"/>
        <v>12047035.192812506</v>
      </c>
      <c r="S669">
        <f t="shared" si="997"/>
        <v>120.47035192812505</v>
      </c>
      <c r="T669">
        <f t="shared" si="998"/>
        <v>0.12047035192812505</v>
      </c>
    </row>
    <row r="670" spans="1:20" x14ac:dyDescent="0.25">
      <c r="A670" s="5">
        <v>43923</v>
      </c>
      <c r="B670">
        <v>39.229999999999997</v>
      </c>
      <c r="C670">
        <v>42.92</v>
      </c>
      <c r="D670">
        <v>39</v>
      </c>
      <c r="E670">
        <v>39.86</v>
      </c>
      <c r="F670">
        <v>701573.76921000006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-0.56122448979591888</v>
      </c>
      <c r="Q670">
        <f t="shared" si="995"/>
        <v>-393740.38067908201</v>
      </c>
      <c r="R670">
        <f t="shared" si="996"/>
        <v>12041314.59878411</v>
      </c>
      <c r="S670">
        <f t="shared" si="997"/>
        <v>120.41314598784109</v>
      </c>
      <c r="T670">
        <f t="shared" si="998"/>
        <v>0.12041314598784109</v>
      </c>
    </row>
    <row r="671" spans="1:20" x14ac:dyDescent="0.25">
      <c r="A671" s="5">
        <v>43922</v>
      </c>
      <c r="B671">
        <v>39.07</v>
      </c>
      <c r="C671">
        <v>39.5</v>
      </c>
      <c r="D671">
        <v>37.14</v>
      </c>
      <c r="E671">
        <v>39.229999999999997</v>
      </c>
      <c r="F671">
        <v>489850.01556000003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0.77118644067796338</v>
      </c>
      <c r="Q671">
        <f t="shared" si="995"/>
        <v>377765.68996576138</v>
      </c>
      <c r="R671">
        <f t="shared" si="996"/>
        <v>12435054.979463192</v>
      </c>
      <c r="S671">
        <f t="shared" si="997"/>
        <v>124.35054979463192</v>
      </c>
      <c r="T671">
        <f t="shared" si="998"/>
        <v>0.12435054979463192</v>
      </c>
    </row>
    <row r="672" spans="1:20" x14ac:dyDescent="0.25">
      <c r="A672" s="5">
        <v>43921</v>
      </c>
      <c r="B672">
        <v>38.93</v>
      </c>
      <c r="C672">
        <v>39.32</v>
      </c>
      <c r="D672">
        <v>38.33</v>
      </c>
      <c r="E672">
        <v>39.08</v>
      </c>
      <c r="F672">
        <v>378426.95789000002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0.51515151515151214</v>
      </c>
      <c r="Q672">
        <f t="shared" si="995"/>
        <v>194947.22073121098</v>
      </c>
      <c r="R672">
        <f t="shared" si="996"/>
        <v>12057289.28949743</v>
      </c>
      <c r="S672">
        <f t="shared" si="997"/>
        <v>120.57289289497429</v>
      </c>
      <c r="T672">
        <f t="shared" si="998"/>
        <v>0.12057289289497429</v>
      </c>
    </row>
    <row r="673" spans="1:20" x14ac:dyDescent="0.25">
      <c r="A673" s="5">
        <v>43920</v>
      </c>
      <c r="B673">
        <v>37.11</v>
      </c>
      <c r="C673">
        <v>39.700000000000003</v>
      </c>
      <c r="D673">
        <v>37.1</v>
      </c>
      <c r="E673">
        <v>38.909999999999997</v>
      </c>
      <c r="F673">
        <v>432738.21921000001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0.39230769230768781</v>
      </c>
      <c r="Q673">
        <f t="shared" si="995"/>
        <v>169766.53215161344</v>
      </c>
      <c r="R673">
        <f t="shared" si="996"/>
        <v>11862342.068766218</v>
      </c>
      <c r="S673">
        <f t="shared" si="997"/>
        <v>118.62342068766218</v>
      </c>
      <c r="T673">
        <f t="shared" si="998"/>
        <v>0.11862342068766217</v>
      </c>
    </row>
    <row r="674" spans="1:20" x14ac:dyDescent="0.25">
      <c r="A674" s="5">
        <v>43919</v>
      </c>
      <c r="B674">
        <v>38.85</v>
      </c>
      <c r="C674">
        <v>39.11</v>
      </c>
      <c r="D674">
        <v>36.97</v>
      </c>
      <c r="E674">
        <v>37.11</v>
      </c>
      <c r="F674">
        <v>402076.31264000002</v>
      </c>
      <c r="G674">
        <v>0</v>
      </c>
      <c r="L674" t="s">
        <v>8</v>
      </c>
      <c r="M674" t="s">
        <v>8</v>
      </c>
      <c r="N674" t="s">
        <v>8</v>
      </c>
      <c r="P674">
        <f t="shared" si="994"/>
        <v>-0.86915887850467244</v>
      </c>
      <c r="Q674">
        <f t="shared" si="995"/>
        <v>-349468.19696747646</v>
      </c>
      <c r="R674">
        <f t="shared" si="996"/>
        <v>11692575.536614604</v>
      </c>
      <c r="S674">
        <f t="shared" si="997"/>
        <v>116.92575536614605</v>
      </c>
      <c r="T674">
        <f t="shared" si="998"/>
        <v>0.11692575536614605</v>
      </c>
    </row>
    <row r="675" spans="1:20" x14ac:dyDescent="0.25">
      <c r="A675" s="5">
        <v>43918</v>
      </c>
      <c r="B675">
        <v>38.04</v>
      </c>
      <c r="C675">
        <v>39.43</v>
      </c>
      <c r="D675">
        <v>36.61</v>
      </c>
      <c r="E675">
        <v>38.869999999999997</v>
      </c>
      <c r="F675">
        <v>624312.49566000002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0.60283687943262254</v>
      </c>
      <c r="Q675">
        <f t="shared" si="995"/>
        <v>376358.59667446709</v>
      </c>
      <c r="R675">
        <f t="shared" si="996"/>
        <v>12042043.733582081</v>
      </c>
      <c r="S675">
        <f t="shared" si="997"/>
        <v>120.42043733582081</v>
      </c>
      <c r="T675">
        <f t="shared" si="998"/>
        <v>0.12042043733582081</v>
      </c>
    </row>
    <row r="676" spans="1:20" x14ac:dyDescent="0.25">
      <c r="A676" s="5">
        <v>43917</v>
      </c>
      <c r="B676">
        <v>40.409999999999997</v>
      </c>
      <c r="C676">
        <v>41.21</v>
      </c>
      <c r="D676">
        <v>37.729999999999997</v>
      </c>
      <c r="E676">
        <v>38.04</v>
      </c>
      <c r="F676">
        <v>481643.28172999999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-0.82183908045976906</v>
      </c>
      <c r="Q676">
        <f t="shared" si="995"/>
        <v>-395833.2717666087</v>
      </c>
      <c r="R676">
        <f t="shared" si="996"/>
        <v>11665685.136907615</v>
      </c>
      <c r="S676">
        <f t="shared" si="997"/>
        <v>116.65685136907615</v>
      </c>
      <c r="T676">
        <f t="shared" si="998"/>
        <v>0.11665685136907615</v>
      </c>
    </row>
    <row r="677" spans="1:20" x14ac:dyDescent="0.25">
      <c r="A677" s="5">
        <v>43916</v>
      </c>
      <c r="B677">
        <v>39.17</v>
      </c>
      <c r="C677">
        <v>40.479999999999997</v>
      </c>
      <c r="D677">
        <v>38.4</v>
      </c>
      <c r="E677">
        <v>40.409999999999997</v>
      </c>
      <c r="F677">
        <v>415595.26221999998</v>
      </c>
      <c r="G677">
        <v>0</v>
      </c>
      <c r="L677" t="s">
        <v>7</v>
      </c>
      <c r="M677" t="s">
        <v>8</v>
      </c>
      <c r="N677" t="s">
        <v>8</v>
      </c>
      <c r="P677">
        <f t="shared" si="994"/>
        <v>0.93269230769230738</v>
      </c>
      <c r="Q677">
        <f t="shared" si="995"/>
        <v>387622.50418596138</v>
      </c>
      <c r="R677">
        <f t="shared" si="996"/>
        <v>12061518.408674223</v>
      </c>
      <c r="S677">
        <f t="shared" si="997"/>
        <v>120.61518408674223</v>
      </c>
      <c r="T677">
        <f t="shared" si="998"/>
        <v>0.12061518408674224</v>
      </c>
    </row>
    <row r="678" spans="1:20" x14ac:dyDescent="0.25">
      <c r="A678" s="5">
        <v>43915</v>
      </c>
      <c r="B678">
        <v>40.56</v>
      </c>
      <c r="C678">
        <v>41.04</v>
      </c>
      <c r="D678">
        <v>38.090000000000003</v>
      </c>
      <c r="E678">
        <v>39.17</v>
      </c>
      <c r="F678">
        <v>577448.88855999999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-0.26779661016949163</v>
      </c>
      <c r="Q678">
        <f t="shared" si="995"/>
        <v>-154638.85490250852</v>
      </c>
      <c r="R678">
        <f t="shared" si="996"/>
        <v>11673895.904488262</v>
      </c>
      <c r="S678">
        <f t="shared" si="997"/>
        <v>116.73895904488262</v>
      </c>
      <c r="T678">
        <f t="shared" si="998"/>
        <v>0.11673895904488261</v>
      </c>
    </row>
    <row r="679" spans="1:20" x14ac:dyDescent="0.25">
      <c r="A679" s="5">
        <v>43914</v>
      </c>
      <c r="B679">
        <v>38.93</v>
      </c>
      <c r="C679">
        <v>40.950000000000003</v>
      </c>
      <c r="D679">
        <v>38.21</v>
      </c>
      <c r="E679">
        <v>40.57</v>
      </c>
      <c r="F679">
        <v>593656.77335000003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0.72262773722627571</v>
      </c>
      <c r="Q679">
        <f t="shared" si="995"/>
        <v>428992.85081496253</v>
      </c>
      <c r="R679">
        <f t="shared" si="996"/>
        <v>11828534.75939077</v>
      </c>
      <c r="S679">
        <f t="shared" si="997"/>
        <v>118.2853475939077</v>
      </c>
      <c r="T679">
        <f t="shared" si="998"/>
        <v>0.1182853475939077</v>
      </c>
    </row>
    <row r="680" spans="1:20" x14ac:dyDescent="0.25">
      <c r="A680" s="5">
        <v>43913</v>
      </c>
      <c r="B680">
        <v>35.42</v>
      </c>
      <c r="C680">
        <v>39.99</v>
      </c>
      <c r="D680">
        <v>34.57</v>
      </c>
      <c r="E680">
        <v>38.94</v>
      </c>
      <c r="F680">
        <v>859942.52610999998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0.6125461254612532</v>
      </c>
      <c r="Q680">
        <f t="shared" si="995"/>
        <v>526754.46248804301</v>
      </c>
      <c r="R680">
        <f t="shared" si="996"/>
        <v>11399541.908575807</v>
      </c>
      <c r="S680">
        <f t="shared" si="997"/>
        <v>113.99541908575807</v>
      </c>
      <c r="T680">
        <f t="shared" si="998"/>
        <v>0.11399541908575807</v>
      </c>
    </row>
    <row r="681" spans="1:20" x14ac:dyDescent="0.25">
      <c r="A681" s="5">
        <v>43912</v>
      </c>
      <c r="B681">
        <v>38.340000000000003</v>
      </c>
      <c r="C681">
        <v>39.69</v>
      </c>
      <c r="D681">
        <v>34.82</v>
      </c>
      <c r="E681">
        <v>35.4</v>
      </c>
      <c r="F681">
        <v>714342.72730000003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-0.76180698151950776</v>
      </c>
      <c r="Q681">
        <f t="shared" si="995"/>
        <v>-544191.2768548259</v>
      </c>
      <c r="R681">
        <f t="shared" si="996"/>
        <v>10872787.446087765</v>
      </c>
      <c r="S681">
        <f t="shared" si="997"/>
        <v>108.72787446087764</v>
      </c>
      <c r="T681">
        <f t="shared" si="998"/>
        <v>0.10872787446087764</v>
      </c>
    </row>
    <row r="682" spans="1:20" x14ac:dyDescent="0.25">
      <c r="A682" s="5">
        <v>43911</v>
      </c>
      <c r="B682">
        <v>38.07</v>
      </c>
      <c r="C682">
        <v>39.840000000000003</v>
      </c>
      <c r="D682">
        <v>36.21</v>
      </c>
      <c r="E682">
        <v>38.32</v>
      </c>
      <c r="F682">
        <v>667452.63396000001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0.16253443526170686</v>
      </c>
      <c r="Q682">
        <f t="shared" si="995"/>
        <v>108484.03692462735</v>
      </c>
      <c r="R682">
        <f t="shared" si="996"/>
        <v>11416978.722942591</v>
      </c>
      <c r="S682">
        <f t="shared" si="997"/>
        <v>114.16978722942591</v>
      </c>
      <c r="T682">
        <f t="shared" si="998"/>
        <v>0.1141697872294259</v>
      </c>
    </row>
    <row r="683" spans="1:20" x14ac:dyDescent="0.25">
      <c r="A683" s="5">
        <v>43910</v>
      </c>
      <c r="B683">
        <v>38.9</v>
      </c>
      <c r="C683">
        <v>43.69</v>
      </c>
      <c r="D683">
        <v>34.049999999999997</v>
      </c>
      <c r="E683">
        <v>38.08</v>
      </c>
      <c r="F683">
        <v>1571300.6085699999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-0.16390041493775914</v>
      </c>
      <c r="Q683">
        <f t="shared" si="995"/>
        <v>-257536.82173657644</v>
      </c>
      <c r="R683">
        <f t="shared" si="996"/>
        <v>11308494.686017964</v>
      </c>
      <c r="S683">
        <f t="shared" si="997"/>
        <v>113.08494686017964</v>
      </c>
      <c r="T683">
        <f t="shared" si="998"/>
        <v>0.11308494686017964</v>
      </c>
    </row>
    <row r="684" spans="1:20" x14ac:dyDescent="0.25">
      <c r="A684" s="5">
        <v>43909</v>
      </c>
      <c r="B684">
        <v>34.72</v>
      </c>
      <c r="C684">
        <v>40.799999999999997</v>
      </c>
      <c r="D684">
        <v>34</v>
      </c>
      <c r="E684">
        <v>38.9</v>
      </c>
      <c r="F684">
        <v>1344406.50235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0.4411764705882355</v>
      </c>
      <c r="Q684">
        <f t="shared" si="995"/>
        <v>593120.51574264735</v>
      </c>
      <c r="R684">
        <f t="shared" si="996"/>
        <v>11566031.50775454</v>
      </c>
      <c r="S684">
        <f t="shared" si="997"/>
        <v>115.66031507754541</v>
      </c>
      <c r="T684">
        <f t="shared" si="998"/>
        <v>0.1156603150775454</v>
      </c>
    </row>
    <row r="685" spans="1:20" x14ac:dyDescent="0.25">
      <c r="A685" s="5">
        <v>43908</v>
      </c>
      <c r="B685">
        <v>34.06</v>
      </c>
      <c r="C685">
        <v>34.83</v>
      </c>
      <c r="D685">
        <v>32.28</v>
      </c>
      <c r="E685">
        <v>34.71</v>
      </c>
      <c r="F685">
        <v>1044607.75726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0.90588235294117836</v>
      </c>
      <c r="Q685">
        <f t="shared" si="995"/>
        <v>946291.73304729606</v>
      </c>
      <c r="R685">
        <f t="shared" si="996"/>
        <v>10972910.992011894</v>
      </c>
      <c r="S685">
        <f t="shared" si="997"/>
        <v>109.72910992011893</v>
      </c>
      <c r="T685">
        <f t="shared" si="998"/>
        <v>0.10972910992011893</v>
      </c>
    </row>
    <row r="686" spans="1:20" x14ac:dyDescent="0.25">
      <c r="A686" s="5">
        <v>43907</v>
      </c>
      <c r="B686">
        <v>33.229999999999997</v>
      </c>
      <c r="C686">
        <v>35.85</v>
      </c>
      <c r="D686">
        <v>32.42</v>
      </c>
      <c r="E686">
        <v>34.07</v>
      </c>
      <c r="F686">
        <v>945437.93136000005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-3.7900874635569265E-2</v>
      </c>
      <c r="Q686">
        <f t="shared" si="995"/>
        <v>-35832.924512187303</v>
      </c>
      <c r="R686">
        <f t="shared" si="996"/>
        <v>10026619.258964598</v>
      </c>
      <c r="S686">
        <f t="shared" si="997"/>
        <v>100.26619258964598</v>
      </c>
      <c r="T686">
        <f t="shared" si="998"/>
        <v>0.10026619258964599</v>
      </c>
    </row>
    <row r="687" spans="1:20" x14ac:dyDescent="0.25">
      <c r="A687" s="5">
        <v>43906</v>
      </c>
      <c r="B687">
        <v>36.369999999999997</v>
      </c>
      <c r="C687">
        <v>36.409999999999997</v>
      </c>
      <c r="D687">
        <v>29.29</v>
      </c>
      <c r="E687">
        <v>33.200000000000003</v>
      </c>
      <c r="F687">
        <v>1624714.3758400001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9.8314606741574467E-2</v>
      </c>
      <c r="Q687">
        <f t="shared" si="995"/>
        <v>159733.15492809223</v>
      </c>
      <c r="R687">
        <f t="shared" si="996"/>
        <v>10062452.183476785</v>
      </c>
      <c r="S687">
        <f t="shared" si="997"/>
        <v>100.62452183476785</v>
      </c>
      <c r="T687">
        <f t="shared" si="998"/>
        <v>0.10062452183476785</v>
      </c>
    </row>
    <row r="688" spans="1:20" x14ac:dyDescent="0.25">
      <c r="A688" s="5">
        <v>43905</v>
      </c>
      <c r="B688">
        <v>34.4</v>
      </c>
      <c r="C688">
        <v>38.729999999999997</v>
      </c>
      <c r="D688">
        <v>34.04</v>
      </c>
      <c r="E688">
        <v>36.380000000000003</v>
      </c>
      <c r="F688">
        <v>1040322.30282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-2.1321961620449702E-3</v>
      </c>
      <c r="Q688">
        <f t="shared" si="995"/>
        <v>-2218.1712213625892</v>
      </c>
      <c r="R688">
        <f t="shared" si="996"/>
        <v>9902719.0285486933</v>
      </c>
      <c r="S688">
        <f t="shared" si="997"/>
        <v>99.027190285486938</v>
      </c>
      <c r="T688">
        <f t="shared" si="998"/>
        <v>9.9027190285486941E-2</v>
      </c>
    </row>
    <row r="689" spans="1:20" x14ac:dyDescent="0.25">
      <c r="A689" s="5">
        <v>43904</v>
      </c>
      <c r="B689">
        <v>37.51</v>
      </c>
      <c r="C689">
        <v>37.65</v>
      </c>
      <c r="D689">
        <v>33.799999999999997</v>
      </c>
      <c r="E689">
        <v>34.4</v>
      </c>
      <c r="F689">
        <v>1181175.5919600001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-0.68831168831168765</v>
      </c>
      <c r="Q689">
        <f t="shared" si="995"/>
        <v>-813016.96589454473</v>
      </c>
      <c r="R689">
        <f t="shared" si="996"/>
        <v>9904937.1997700557</v>
      </c>
      <c r="S689">
        <f t="shared" si="997"/>
        <v>99.049371997700561</v>
      </c>
      <c r="T689">
        <f t="shared" si="998"/>
        <v>9.9049371997700558E-2</v>
      </c>
    </row>
    <row r="690" spans="1:20" x14ac:dyDescent="0.25">
      <c r="A690" s="5">
        <v>43903</v>
      </c>
      <c r="B690">
        <v>29.83</v>
      </c>
      <c r="C690">
        <v>39.92</v>
      </c>
      <c r="D690">
        <v>24</v>
      </c>
      <c r="E690">
        <v>37.520000000000003</v>
      </c>
      <c r="F690">
        <v>3435572.2092599999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0.69849246231155804</v>
      </c>
      <c r="Q690">
        <f t="shared" si="995"/>
        <v>2399721.2918951767</v>
      </c>
      <c r="R690">
        <f t="shared" si="996"/>
        <v>10717954.1656646</v>
      </c>
      <c r="S690">
        <f t="shared" si="997"/>
        <v>107.17954165664601</v>
      </c>
      <c r="T690">
        <f t="shared" si="998"/>
        <v>0.107179541656646</v>
      </c>
    </row>
    <row r="691" spans="1:20" x14ac:dyDescent="0.25">
      <c r="A691" s="5">
        <v>43902</v>
      </c>
      <c r="B691">
        <v>48.52</v>
      </c>
      <c r="C691">
        <v>48.76</v>
      </c>
      <c r="D691">
        <v>28.65</v>
      </c>
      <c r="E691">
        <v>29.83</v>
      </c>
      <c r="F691">
        <v>2239777.9802799998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-0.88264545002486328</v>
      </c>
      <c r="Q691">
        <f t="shared" si="995"/>
        <v>-1976929.8433600198</v>
      </c>
      <c r="R691">
        <f t="shared" si="996"/>
        <v>8318232.873769423</v>
      </c>
      <c r="S691">
        <f t="shared" si="997"/>
        <v>83.182328737694235</v>
      </c>
      <c r="T691">
        <f t="shared" si="998"/>
        <v>8.3182328737694239E-2</v>
      </c>
    </row>
    <row r="692" spans="1:20" x14ac:dyDescent="0.25">
      <c r="A692" s="5">
        <v>43901</v>
      </c>
      <c r="B692">
        <v>50.24</v>
      </c>
      <c r="C692">
        <v>50.74</v>
      </c>
      <c r="D692">
        <v>45.47</v>
      </c>
      <c r="E692">
        <v>48.53</v>
      </c>
      <c r="F692">
        <v>799984.95797999995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0.16129032258064532</v>
      </c>
      <c r="Q692">
        <f t="shared" si="995"/>
        <v>129029.83193225818</v>
      </c>
      <c r="R692">
        <f t="shared" si="996"/>
        <v>10295162.717129443</v>
      </c>
      <c r="S692">
        <f t="shared" si="997"/>
        <v>102.95162717129443</v>
      </c>
      <c r="T692">
        <f t="shared" si="998"/>
        <v>0.10295162717129443</v>
      </c>
    </row>
    <row r="693" spans="1:20" x14ac:dyDescent="0.25">
      <c r="A693" s="5">
        <v>43900</v>
      </c>
      <c r="B693">
        <v>50.37</v>
      </c>
      <c r="C693">
        <v>51.39</v>
      </c>
      <c r="D693">
        <v>48.86</v>
      </c>
      <c r="E693">
        <v>50.26</v>
      </c>
      <c r="F693">
        <v>727732.90911000001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0.10671936758893119</v>
      </c>
      <c r="Q693">
        <f t="shared" si="995"/>
        <v>77663.195833872349</v>
      </c>
      <c r="R693">
        <f t="shared" si="996"/>
        <v>10166132.885197185</v>
      </c>
      <c r="S693">
        <f t="shared" si="997"/>
        <v>101.66132885197185</v>
      </c>
      <c r="T693">
        <f t="shared" si="998"/>
        <v>0.10166132885197185</v>
      </c>
    </row>
    <row r="694" spans="1:20" x14ac:dyDescent="0.25">
      <c r="A694" s="5">
        <v>43899</v>
      </c>
      <c r="B694">
        <v>51.02</v>
      </c>
      <c r="C694">
        <v>52.27</v>
      </c>
      <c r="D694">
        <v>46.57</v>
      </c>
      <c r="E694">
        <v>50.39</v>
      </c>
      <c r="F694">
        <v>1426145.5016399999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0.3403508771929819</v>
      </c>
      <c r="Q694">
        <f t="shared" si="995"/>
        <v>485389.87248799921</v>
      </c>
      <c r="R694">
        <f t="shared" si="996"/>
        <v>10088469.689363312</v>
      </c>
      <c r="S694">
        <f t="shared" si="997"/>
        <v>100.88469689363312</v>
      </c>
      <c r="T694">
        <f t="shared" si="998"/>
        <v>0.10088469689363312</v>
      </c>
    </row>
    <row r="695" spans="1:20" x14ac:dyDescent="0.25">
      <c r="A695" s="5">
        <v>43898</v>
      </c>
      <c r="B695">
        <v>60.46</v>
      </c>
      <c r="C695">
        <v>60.47</v>
      </c>
      <c r="D695">
        <v>50.41</v>
      </c>
      <c r="E695">
        <v>51</v>
      </c>
      <c r="F695">
        <v>945026.27127999999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-0.88270377733598349</v>
      </c>
      <c r="Q695">
        <f t="shared" si="995"/>
        <v>-834178.2593405958</v>
      </c>
      <c r="R695">
        <f t="shared" si="996"/>
        <v>9603079.8168753125</v>
      </c>
      <c r="S695">
        <f t="shared" si="997"/>
        <v>96.030798168753122</v>
      </c>
      <c r="T695">
        <f t="shared" si="998"/>
        <v>9.6030798168753123E-2</v>
      </c>
    </row>
    <row r="696" spans="1:20" x14ac:dyDescent="0.25">
      <c r="A696" s="5">
        <v>43897</v>
      </c>
      <c r="B696">
        <v>63.21</v>
      </c>
      <c r="C696">
        <v>63.89</v>
      </c>
      <c r="D696">
        <v>59.86</v>
      </c>
      <c r="E696">
        <v>60.46</v>
      </c>
      <c r="F696">
        <v>444270.53508</v>
      </c>
      <c r="G696">
        <v>0</v>
      </c>
      <c r="L696" t="s">
        <v>8</v>
      </c>
      <c r="M696" t="s">
        <v>7</v>
      </c>
      <c r="N696" t="s">
        <v>7</v>
      </c>
      <c r="P696">
        <f t="shared" si="994"/>
        <v>-0.7022332506203468</v>
      </c>
      <c r="Q696">
        <f t="shared" si="995"/>
        <v>-311981.5420040692</v>
      </c>
      <c r="R696">
        <f t="shared" si="996"/>
        <v>10437258.076215908</v>
      </c>
      <c r="S696">
        <f t="shared" si="997"/>
        <v>104.37258076215907</v>
      </c>
      <c r="T696">
        <f t="shared" si="998"/>
        <v>0.10437258076215908</v>
      </c>
    </row>
    <row r="697" spans="1:20" x14ac:dyDescent="0.25">
      <c r="A697" s="5">
        <v>43896</v>
      </c>
      <c r="B697">
        <v>62.06</v>
      </c>
      <c r="C697">
        <v>63.84</v>
      </c>
      <c r="D697">
        <v>61.18</v>
      </c>
      <c r="E697">
        <v>63.22</v>
      </c>
      <c r="F697">
        <v>469519.29564999999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0.53383458646616266</v>
      </c>
      <c r="Q697">
        <f t="shared" si="995"/>
        <v>250645.63903120172</v>
      </c>
      <c r="R697">
        <f t="shared" si="996"/>
        <v>10749239.618219977</v>
      </c>
      <c r="S697">
        <f t="shared" si="997"/>
        <v>107.49239618219977</v>
      </c>
      <c r="T697">
        <f t="shared" si="998"/>
        <v>0.10749239618219977</v>
      </c>
    </row>
    <row r="698" spans="1:20" x14ac:dyDescent="0.25">
      <c r="A698" s="5">
        <v>43895</v>
      </c>
      <c r="B698">
        <v>60.38</v>
      </c>
      <c r="C698">
        <v>63.29</v>
      </c>
      <c r="D698">
        <v>60.33</v>
      </c>
      <c r="E698">
        <v>62.06</v>
      </c>
      <c r="F698">
        <v>556909.07975999999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0.16891891891892127</v>
      </c>
      <c r="Q698">
        <f t="shared" si="995"/>
        <v>94072.479689190499</v>
      </c>
      <c r="R698">
        <f t="shared" si="996"/>
        <v>10498593.979188776</v>
      </c>
      <c r="S698">
        <f t="shared" si="997"/>
        <v>104.98593979188776</v>
      </c>
      <c r="T698">
        <f t="shared" si="998"/>
        <v>0.10498593979188776</v>
      </c>
    </row>
    <row r="699" spans="1:20" x14ac:dyDescent="0.25">
      <c r="A699" s="5">
        <v>43894</v>
      </c>
      <c r="B699">
        <v>61.02</v>
      </c>
      <c r="C699">
        <v>61.78</v>
      </c>
      <c r="D699">
        <v>58.71</v>
      </c>
      <c r="E699">
        <v>60.38</v>
      </c>
      <c r="F699">
        <v>424299.86210999999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8.7947882736157362E-2</v>
      </c>
      <c r="Q699">
        <f t="shared" si="995"/>
        <v>37316.274517818019</v>
      </c>
      <c r="R699">
        <f t="shared" si="996"/>
        <v>10404521.499499585</v>
      </c>
      <c r="S699">
        <f t="shared" si="997"/>
        <v>104.04521499499586</v>
      </c>
      <c r="T699">
        <f t="shared" si="998"/>
        <v>0.10404521499499586</v>
      </c>
    </row>
    <row r="700" spans="1:20" x14ac:dyDescent="0.25">
      <c r="A700" s="5">
        <v>43893</v>
      </c>
      <c r="B700">
        <v>61.42</v>
      </c>
      <c r="C700">
        <v>62.4</v>
      </c>
      <c r="D700">
        <v>59.4</v>
      </c>
      <c r="E700">
        <v>61.01</v>
      </c>
      <c r="F700">
        <v>640940.77457000001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7.3333333333332959E-2</v>
      </c>
      <c r="Q700">
        <f t="shared" si="995"/>
        <v>47002.323468466428</v>
      </c>
      <c r="R700">
        <f t="shared" si="996"/>
        <v>10367205.224981768</v>
      </c>
      <c r="S700">
        <f t="shared" si="997"/>
        <v>103.67205224981768</v>
      </c>
      <c r="T700">
        <f t="shared" si="998"/>
        <v>0.10367205224981768</v>
      </c>
    </row>
    <row r="701" spans="1:20" x14ac:dyDescent="0.25">
      <c r="A701" s="5">
        <v>43892</v>
      </c>
      <c r="B701">
        <v>57.72</v>
      </c>
      <c r="C701">
        <v>62.32</v>
      </c>
      <c r="D701">
        <v>57.25</v>
      </c>
      <c r="E701">
        <v>61.42</v>
      </c>
      <c r="F701">
        <v>660927.26176000002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0.64497041420118406</v>
      </c>
      <c r="Q701">
        <f t="shared" si="995"/>
        <v>426278.52977420163</v>
      </c>
      <c r="R701">
        <f t="shared" si="996"/>
        <v>10320202.901513301</v>
      </c>
      <c r="S701">
        <f t="shared" si="997"/>
        <v>103.20202901513301</v>
      </c>
      <c r="T701">
        <f t="shared" si="998"/>
        <v>0.10320202901513301</v>
      </c>
    </row>
    <row r="702" spans="1:20" x14ac:dyDescent="0.25">
      <c r="A702" s="5">
        <v>43891</v>
      </c>
      <c r="B702">
        <v>58.05</v>
      </c>
      <c r="C702">
        <v>60.28</v>
      </c>
      <c r="D702">
        <v>56.21</v>
      </c>
      <c r="E702">
        <v>57.7</v>
      </c>
      <c r="F702">
        <v>633924.91162000003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-0.26781326781326686</v>
      </c>
      <c r="Q702">
        <f t="shared" si="995"/>
        <v>-169773.50212918859</v>
      </c>
      <c r="R702">
        <f t="shared" si="996"/>
        <v>9893924.3717390988</v>
      </c>
      <c r="S702">
        <f t="shared" si="997"/>
        <v>98.939243717390994</v>
      </c>
      <c r="T702">
        <f t="shared" si="998"/>
        <v>9.893924371739099E-2</v>
      </c>
    </row>
    <row r="703" spans="1:20" x14ac:dyDescent="0.25">
      <c r="A703" s="5">
        <v>43890</v>
      </c>
      <c r="B703">
        <v>59.88</v>
      </c>
      <c r="C703">
        <v>61.65</v>
      </c>
      <c r="D703">
        <v>57.84</v>
      </c>
      <c r="E703">
        <v>58.05</v>
      </c>
      <c r="F703">
        <v>507036.86245000002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-0.88976377952756225</v>
      </c>
      <c r="Q703">
        <f t="shared" si="995"/>
        <v>-451143.03509330872</v>
      </c>
      <c r="R703">
        <f t="shared" si="996"/>
        <v>10063697.873868287</v>
      </c>
      <c r="S703">
        <f t="shared" si="997"/>
        <v>100.63697873868287</v>
      </c>
      <c r="T703">
        <f t="shared" si="998"/>
        <v>0.10063697873868287</v>
      </c>
    </row>
    <row r="704" spans="1:20" x14ac:dyDescent="0.25">
      <c r="A704" s="5">
        <v>43889</v>
      </c>
      <c r="B704">
        <v>61.76</v>
      </c>
      <c r="C704">
        <v>63.39</v>
      </c>
      <c r="D704">
        <v>56.56</v>
      </c>
      <c r="E704">
        <v>59.89</v>
      </c>
      <c r="F704">
        <v>1070641.2770799999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-2.4890190336749891E-2</v>
      </c>
      <c r="Q704">
        <f t="shared" si="995"/>
        <v>-26648.465168902178</v>
      </c>
      <c r="R704">
        <f t="shared" si="996"/>
        <v>10514840.908961596</v>
      </c>
      <c r="S704">
        <f t="shared" si="997"/>
        <v>105.14840908961595</v>
      </c>
      <c r="T704">
        <f t="shared" si="998"/>
        <v>0.10514840908961595</v>
      </c>
    </row>
    <row r="705" spans="1:20" x14ac:dyDescent="0.25">
      <c r="A705" s="5">
        <v>43888</v>
      </c>
      <c r="B705">
        <v>60.53</v>
      </c>
      <c r="C705">
        <v>65.099999999999994</v>
      </c>
      <c r="D705">
        <v>57.15</v>
      </c>
      <c r="E705">
        <v>61.77</v>
      </c>
      <c r="F705">
        <v>1110493.9315299999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0.16226415094339799</v>
      </c>
      <c r="Q705">
        <f t="shared" si="995"/>
        <v>180193.35492751139</v>
      </c>
      <c r="R705">
        <f t="shared" si="996"/>
        <v>10541489.374130499</v>
      </c>
      <c r="S705">
        <f t="shared" si="997"/>
        <v>105.41489374130498</v>
      </c>
      <c r="T705">
        <f t="shared" si="998"/>
        <v>0.10541489374130499</v>
      </c>
    </row>
    <row r="706" spans="1:20" x14ac:dyDescent="0.25">
      <c r="A706" s="5">
        <v>43887</v>
      </c>
      <c r="B706">
        <v>70.98</v>
      </c>
      <c r="C706">
        <v>72.150000000000006</v>
      </c>
      <c r="D706">
        <v>57.41</v>
      </c>
      <c r="E706">
        <v>60.53</v>
      </c>
      <c r="F706">
        <v>1523364.69178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-0.57666214382632253</v>
      </c>
      <c r="Q706">
        <f t="shared" si="995"/>
        <v>-878466.74899117986</v>
      </c>
      <c r="R706">
        <f t="shared" si="996"/>
        <v>10361296.019202987</v>
      </c>
      <c r="S706">
        <f t="shared" si="997"/>
        <v>103.61296019202987</v>
      </c>
      <c r="T706">
        <f t="shared" si="998"/>
        <v>0.10361296019202987</v>
      </c>
    </row>
    <row r="707" spans="1:20" x14ac:dyDescent="0.25">
      <c r="A707" s="5">
        <v>43886</v>
      </c>
      <c r="B707">
        <v>75.569999999999993</v>
      </c>
      <c r="C707">
        <v>76.08</v>
      </c>
      <c r="D707">
        <v>69.540000000000006</v>
      </c>
      <c r="E707">
        <v>70.98</v>
      </c>
      <c r="F707">
        <v>778054.96678000002</v>
      </c>
      <c r="G707">
        <v>0</v>
      </c>
      <c r="L707" t="s">
        <v>7</v>
      </c>
      <c r="M707" t="s">
        <v>8</v>
      </c>
      <c r="N707" t="s">
        <v>8</v>
      </c>
      <c r="P707">
        <f t="shared" si="994"/>
        <v>-0.55963302752293598</v>
      </c>
      <c r="Q707">
        <f t="shared" si="995"/>
        <v>-435425.2566383488</v>
      </c>
      <c r="R707">
        <f t="shared" si="996"/>
        <v>11239762.768194167</v>
      </c>
      <c r="S707">
        <f t="shared" si="997"/>
        <v>112.39762768194167</v>
      </c>
      <c r="T707">
        <f t="shared" si="998"/>
        <v>0.11239762768194167</v>
      </c>
    </row>
    <row r="708" spans="1:20" x14ac:dyDescent="0.25">
      <c r="A708" s="5">
        <v>43885</v>
      </c>
      <c r="B708">
        <v>79.52</v>
      </c>
      <c r="C708">
        <v>79.760000000000005</v>
      </c>
      <c r="D708">
        <v>71.709999999999994</v>
      </c>
      <c r="E708">
        <v>75.59</v>
      </c>
      <c r="F708">
        <v>936157.25919000001</v>
      </c>
      <c r="G708">
        <v>0</v>
      </c>
      <c r="L708" t="s">
        <v>7</v>
      </c>
      <c r="M708" t="s">
        <v>8</v>
      </c>
      <c r="N708" t="s">
        <v>8</v>
      </c>
      <c r="P708">
        <f t="shared" si="994"/>
        <v>-3.6024844720495858E-2</v>
      </c>
      <c r="Q708">
        <f t="shared" si="995"/>
        <v>-33724.919896284744</v>
      </c>
      <c r="R708">
        <f t="shared" si="996"/>
        <v>11675188.024832515</v>
      </c>
      <c r="S708">
        <f t="shared" si="997"/>
        <v>116.75188024832515</v>
      </c>
      <c r="T708">
        <f t="shared" si="998"/>
        <v>0.11675188024832515</v>
      </c>
    </row>
    <row r="709" spans="1:20" x14ac:dyDescent="0.25">
      <c r="A709" s="5">
        <v>43884</v>
      </c>
      <c r="B709">
        <v>74.8</v>
      </c>
      <c r="C709">
        <v>80</v>
      </c>
      <c r="D709">
        <v>74.66</v>
      </c>
      <c r="E709">
        <v>79.52</v>
      </c>
      <c r="F709">
        <v>666132.69507000002</v>
      </c>
      <c r="G709">
        <v>0</v>
      </c>
      <c r="L709" t="s">
        <v>8</v>
      </c>
      <c r="M709" t="s">
        <v>8</v>
      </c>
      <c r="N709" t="s">
        <v>8</v>
      </c>
      <c r="P709">
        <f t="shared" si="994"/>
        <v>0.82022471910112227</v>
      </c>
      <c r="Q709">
        <f t="shared" si="995"/>
        <v>546378.50269786431</v>
      </c>
      <c r="R709">
        <f t="shared" si="996"/>
        <v>11708912.944728799</v>
      </c>
      <c r="S709">
        <f t="shared" si="997"/>
        <v>117.08912944728799</v>
      </c>
      <c r="T709">
        <f t="shared" si="998"/>
        <v>0.11708912944728798</v>
      </c>
    </row>
    <row r="710" spans="1:20" x14ac:dyDescent="0.25">
      <c r="A710" s="5">
        <v>43883</v>
      </c>
      <c r="B710">
        <v>73.25</v>
      </c>
      <c r="C710">
        <v>76.790000000000006</v>
      </c>
      <c r="D710">
        <v>72.319999999999993</v>
      </c>
      <c r="E710">
        <v>74.790000000000006</v>
      </c>
      <c r="F710">
        <v>651449.78648000001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0.1051454138702487</v>
      </c>
      <c r="Q710">
        <f t="shared" ref="Q710:Q766" si="1000">F710*P710</f>
        <v>68496.957415124751</v>
      </c>
      <c r="R710">
        <f t="shared" ref="R710:R766" si="1001">R711+Q710</f>
        <v>11162534.442030935</v>
      </c>
      <c r="S710">
        <f t="shared" ref="S710:S766" si="1002">R710/100000</f>
        <v>111.62534442030935</v>
      </c>
      <c r="T710">
        <f t="shared" ref="T710:T766" si="1003">S710/1000</f>
        <v>0.11162534442030934</v>
      </c>
    </row>
    <row r="711" spans="1:20" x14ac:dyDescent="0.25">
      <c r="A711" s="5">
        <v>43882</v>
      </c>
      <c r="B711">
        <v>69.38</v>
      </c>
      <c r="C711">
        <v>75.25</v>
      </c>
      <c r="D711">
        <v>68.56</v>
      </c>
      <c r="E711">
        <v>73.25</v>
      </c>
      <c r="F711">
        <v>627123.84132999997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0.40209267563527634</v>
      </c>
      <c r="Q711">
        <f t="shared" si="1000"/>
        <v>252161.90331505219</v>
      </c>
      <c r="R711">
        <f t="shared" si="1001"/>
        <v>11094037.48461581</v>
      </c>
      <c r="S711">
        <f t="shared" si="1002"/>
        <v>110.94037484615811</v>
      </c>
      <c r="T711">
        <f t="shared" si="1003"/>
        <v>0.11094037484615811</v>
      </c>
    </row>
    <row r="712" spans="1:20" x14ac:dyDescent="0.25">
      <c r="A712" s="5">
        <v>43881</v>
      </c>
      <c r="B712">
        <v>70.61</v>
      </c>
      <c r="C712">
        <v>72.430000000000007</v>
      </c>
      <c r="D712">
        <v>66.099999999999994</v>
      </c>
      <c r="E712">
        <v>69.400000000000006</v>
      </c>
      <c r="F712">
        <v>731293.24627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4.2654028436020487E-2</v>
      </c>
      <c r="Q712">
        <f t="shared" si="1000"/>
        <v>31192.602921470312</v>
      </c>
      <c r="R712">
        <f t="shared" si="1001"/>
        <v>10841875.581300758</v>
      </c>
      <c r="S712">
        <f t="shared" si="1002"/>
        <v>108.41875581300758</v>
      </c>
      <c r="T712">
        <f t="shared" si="1003"/>
        <v>0.10841875581300758</v>
      </c>
    </row>
    <row r="713" spans="1:20" x14ac:dyDescent="0.25">
      <c r="A713" s="5">
        <v>43880</v>
      </c>
      <c r="B713">
        <v>77.25</v>
      </c>
      <c r="C713">
        <v>79.45</v>
      </c>
      <c r="D713">
        <v>67</v>
      </c>
      <c r="E713">
        <v>70.61</v>
      </c>
      <c r="F713">
        <v>544027.83444000001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-0.42008032128514078</v>
      </c>
      <c r="Q713">
        <f t="shared" si="1000"/>
        <v>-228535.38747961458</v>
      </c>
      <c r="R713">
        <f t="shared" si="1001"/>
        <v>10810682.978379287</v>
      </c>
      <c r="S713">
        <f t="shared" si="1002"/>
        <v>108.10682978379288</v>
      </c>
      <c r="T713">
        <f t="shared" si="1003"/>
        <v>0.10810682978379288</v>
      </c>
    </row>
    <row r="714" spans="1:20" x14ac:dyDescent="0.25">
      <c r="A714" s="5">
        <v>43879</v>
      </c>
      <c r="B714">
        <v>73.44</v>
      </c>
      <c r="C714">
        <v>79.09</v>
      </c>
      <c r="D714">
        <v>70</v>
      </c>
      <c r="E714">
        <v>77.25</v>
      </c>
      <c r="F714">
        <v>713680.23161999998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0.59515951595159455</v>
      </c>
      <c r="Q714">
        <f t="shared" si="1000"/>
        <v>424753.58119518106</v>
      </c>
      <c r="R714">
        <f t="shared" si="1001"/>
        <v>11039218.365858901</v>
      </c>
      <c r="S714">
        <f t="shared" si="1002"/>
        <v>110.39218365858902</v>
      </c>
      <c r="T714">
        <f t="shared" si="1003"/>
        <v>0.11039218365858902</v>
      </c>
    </row>
    <row r="715" spans="1:20" x14ac:dyDescent="0.25">
      <c r="A715" s="5">
        <v>43878</v>
      </c>
      <c r="B715">
        <v>74.66</v>
      </c>
      <c r="C715">
        <v>75.5</v>
      </c>
      <c r="D715">
        <v>68.510000000000005</v>
      </c>
      <c r="E715">
        <v>73.41</v>
      </c>
      <c r="F715">
        <v>738054.46975000005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0.40200286123032763</v>
      </c>
      <c r="Q715">
        <f t="shared" si="1000"/>
        <v>296700.0085833323</v>
      </c>
      <c r="R715">
        <f t="shared" si="1001"/>
        <v>10614464.78466372</v>
      </c>
      <c r="S715">
        <f t="shared" si="1002"/>
        <v>106.1446478466372</v>
      </c>
      <c r="T715">
        <f t="shared" si="1003"/>
        <v>0.1061446478466372</v>
      </c>
    </row>
    <row r="716" spans="1:20" x14ac:dyDescent="0.25">
      <c r="A716" s="5">
        <v>43877</v>
      </c>
      <c r="B716">
        <v>76.739999999999995</v>
      </c>
      <c r="C716">
        <v>80.77</v>
      </c>
      <c r="D716">
        <v>67.849999999999994</v>
      </c>
      <c r="E716">
        <v>74.67</v>
      </c>
      <c r="F716">
        <v>998173.25658000004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5.5727554179567568E-2</v>
      </c>
      <c r="Q716">
        <f t="shared" si="1000"/>
        <v>55625.754236657354</v>
      </c>
      <c r="R716">
        <f t="shared" si="1001"/>
        <v>10317764.776080389</v>
      </c>
      <c r="S716">
        <f t="shared" si="1002"/>
        <v>103.17764776080388</v>
      </c>
      <c r="T716">
        <f t="shared" si="1003"/>
        <v>0.10317764776080388</v>
      </c>
    </row>
    <row r="717" spans="1:20" x14ac:dyDescent="0.25">
      <c r="A717" s="5">
        <v>43876</v>
      </c>
      <c r="B717">
        <v>83.14</v>
      </c>
      <c r="C717">
        <v>83.5</v>
      </c>
      <c r="D717">
        <v>75.040000000000006</v>
      </c>
      <c r="E717">
        <v>76.7</v>
      </c>
      <c r="F717">
        <v>704650.11922999995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-0.60756501182033151</v>
      </c>
      <c r="Q717">
        <f t="shared" si="1000"/>
        <v>-428120.75801917294</v>
      </c>
      <c r="R717">
        <f t="shared" si="1001"/>
        <v>10262139.021843731</v>
      </c>
      <c r="S717">
        <f t="shared" si="1002"/>
        <v>102.62139021843731</v>
      </c>
      <c r="T717">
        <f t="shared" si="1003"/>
        <v>0.10262139021843732</v>
      </c>
    </row>
    <row r="718" spans="1:20" x14ac:dyDescent="0.25">
      <c r="A718" s="5">
        <v>43875</v>
      </c>
      <c r="B718">
        <v>80.55</v>
      </c>
      <c r="C718">
        <v>83.79</v>
      </c>
      <c r="D718">
        <v>78.61</v>
      </c>
      <c r="E718">
        <v>83.14</v>
      </c>
      <c r="F718">
        <v>523491.69506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0.7490347490347472</v>
      </c>
      <c r="Q718">
        <f t="shared" si="1000"/>
        <v>392113.4704310415</v>
      </c>
      <c r="R718">
        <f t="shared" si="1001"/>
        <v>10690259.779862905</v>
      </c>
      <c r="S718">
        <f t="shared" si="1002"/>
        <v>106.90259779862905</v>
      </c>
      <c r="T718">
        <f t="shared" si="1003"/>
        <v>0.10690259779862904</v>
      </c>
    </row>
    <row r="719" spans="1:20" x14ac:dyDescent="0.25">
      <c r="A719" s="5">
        <v>43874</v>
      </c>
      <c r="B719">
        <v>81.2</v>
      </c>
      <c r="C719">
        <v>84.32</v>
      </c>
      <c r="D719">
        <v>77.150000000000006</v>
      </c>
      <c r="E719">
        <v>80.55</v>
      </c>
      <c r="F719">
        <v>1051054.7479000001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-5.160390516039124E-2</v>
      </c>
      <c r="Q719">
        <f t="shared" si="1000"/>
        <v>-54238.529529010528</v>
      </c>
      <c r="R719">
        <f t="shared" si="1001"/>
        <v>10298146.309431864</v>
      </c>
      <c r="S719">
        <f t="shared" si="1002"/>
        <v>102.98146309431864</v>
      </c>
      <c r="T719">
        <f t="shared" si="1003"/>
        <v>0.10298146309431865</v>
      </c>
    </row>
    <row r="720" spans="1:20" x14ac:dyDescent="0.25">
      <c r="A720" s="5">
        <v>43873</v>
      </c>
      <c r="B720">
        <v>76.45</v>
      </c>
      <c r="C720">
        <v>82.81</v>
      </c>
      <c r="D720">
        <v>76.44</v>
      </c>
      <c r="E720">
        <v>81.17</v>
      </c>
      <c r="F720">
        <v>771544.88292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0.48508634222919955</v>
      </c>
      <c r="Q720">
        <f t="shared" si="1000"/>
        <v>374265.8851213188</v>
      </c>
      <c r="R720">
        <f t="shared" si="1001"/>
        <v>10352384.838960875</v>
      </c>
      <c r="S720">
        <f t="shared" si="1002"/>
        <v>103.52384838960874</v>
      </c>
      <c r="T720">
        <f t="shared" si="1003"/>
        <v>0.10352384838960875</v>
      </c>
    </row>
    <row r="721" spans="1:20" x14ac:dyDescent="0.25">
      <c r="A721" s="5">
        <v>43872</v>
      </c>
      <c r="B721">
        <v>73.98</v>
      </c>
      <c r="C721">
        <v>77.400000000000006</v>
      </c>
      <c r="D721">
        <v>72.64</v>
      </c>
      <c r="E721">
        <v>76.459999999999994</v>
      </c>
      <c r="F721">
        <v>557017.26861999999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0.6050420168067181</v>
      </c>
      <c r="Q721">
        <f t="shared" si="1000"/>
        <v>337018.85160201427</v>
      </c>
      <c r="R721">
        <f t="shared" si="1001"/>
        <v>9978118.9538395554</v>
      </c>
      <c r="S721">
        <f t="shared" si="1002"/>
        <v>99.781189538395552</v>
      </c>
      <c r="T721">
        <f t="shared" si="1003"/>
        <v>9.9781189538395557E-2</v>
      </c>
    </row>
    <row r="722" spans="1:20" x14ac:dyDescent="0.25">
      <c r="A722" s="5">
        <v>43871</v>
      </c>
      <c r="B722">
        <v>76.989999999999995</v>
      </c>
      <c r="C722">
        <v>77.48</v>
      </c>
      <c r="D722">
        <v>72.209999999999994</v>
      </c>
      <c r="E722">
        <v>74.02</v>
      </c>
      <c r="F722">
        <v>709830.62870999996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-0.31309297912713518</v>
      </c>
      <c r="Q722">
        <f t="shared" si="1000"/>
        <v>-222242.98621850126</v>
      </c>
      <c r="R722">
        <f t="shared" si="1001"/>
        <v>9641100.1022375412</v>
      </c>
      <c r="S722">
        <f t="shared" si="1002"/>
        <v>96.411001022375416</v>
      </c>
      <c r="T722">
        <f t="shared" si="1003"/>
        <v>9.6411001022375417E-2</v>
      </c>
    </row>
    <row r="723" spans="1:20" x14ac:dyDescent="0.25">
      <c r="A723" s="5">
        <v>43870</v>
      </c>
      <c r="B723">
        <v>76.56</v>
      </c>
      <c r="C723">
        <v>78.430000000000007</v>
      </c>
      <c r="D723">
        <v>75</v>
      </c>
      <c r="E723">
        <v>77</v>
      </c>
      <c r="F723">
        <v>475670.64062000002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0.16618075801749038</v>
      </c>
      <c r="Q723">
        <f t="shared" si="1000"/>
        <v>79047.307624896857</v>
      </c>
      <c r="R723">
        <f t="shared" si="1001"/>
        <v>9863343.0884560421</v>
      </c>
      <c r="S723">
        <f t="shared" si="1002"/>
        <v>98.633430884560426</v>
      </c>
      <c r="T723">
        <f t="shared" si="1003"/>
        <v>9.8633430884560419E-2</v>
      </c>
    </row>
    <row r="724" spans="1:20" x14ac:dyDescent="0.25">
      <c r="A724" s="5">
        <v>43869</v>
      </c>
      <c r="B724">
        <v>74.31</v>
      </c>
      <c r="C724">
        <v>77.94</v>
      </c>
      <c r="D724">
        <v>71.53</v>
      </c>
      <c r="E724">
        <v>76.56</v>
      </c>
      <c r="F724">
        <v>647821.60398000001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0.56942277691107768</v>
      </c>
      <c r="Q724">
        <f t="shared" si="1000"/>
        <v>368884.37668128003</v>
      </c>
      <c r="R724">
        <f t="shared" si="1001"/>
        <v>9784295.7808311451</v>
      </c>
      <c r="S724">
        <f t="shared" si="1002"/>
        <v>97.842957808311454</v>
      </c>
      <c r="T724">
        <f t="shared" si="1003"/>
        <v>9.7842957808311454E-2</v>
      </c>
    </row>
    <row r="725" spans="1:20" x14ac:dyDescent="0.25">
      <c r="A725" s="5">
        <v>43868</v>
      </c>
      <c r="B725">
        <v>73.59</v>
      </c>
      <c r="C725">
        <v>75.48</v>
      </c>
      <c r="D725">
        <v>72.849999999999994</v>
      </c>
      <c r="E725">
        <v>74.3</v>
      </c>
      <c r="F725">
        <v>542489.66180999996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0.10266159695817302</v>
      </c>
      <c r="Q725">
        <f t="shared" si="1000"/>
        <v>55692.855014713801</v>
      </c>
      <c r="R725">
        <f t="shared" si="1001"/>
        <v>9415411.4041498657</v>
      </c>
      <c r="S725">
        <f t="shared" si="1002"/>
        <v>94.154114041498659</v>
      </c>
      <c r="T725">
        <f t="shared" si="1003"/>
        <v>9.4154114041498663E-2</v>
      </c>
    </row>
    <row r="726" spans="1:20" x14ac:dyDescent="0.25">
      <c r="A726" s="5">
        <v>43867</v>
      </c>
      <c r="B726">
        <v>72.59</v>
      </c>
      <c r="C726">
        <v>75.08</v>
      </c>
      <c r="D726">
        <v>70.91</v>
      </c>
      <c r="E726">
        <v>73.599999999999994</v>
      </c>
      <c r="F726">
        <v>715147.76142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0.29016786570743242</v>
      </c>
      <c r="Q726">
        <f t="shared" si="1000"/>
        <v>207512.89959668947</v>
      </c>
      <c r="R726">
        <f t="shared" si="1001"/>
        <v>9359718.5491351523</v>
      </c>
      <c r="S726">
        <f t="shared" si="1002"/>
        <v>93.597185491351524</v>
      </c>
      <c r="T726">
        <f t="shared" si="1003"/>
        <v>9.3597185491351528E-2</v>
      </c>
    </row>
    <row r="727" spans="1:20" x14ac:dyDescent="0.25">
      <c r="A727" s="5">
        <v>43866</v>
      </c>
      <c r="B727">
        <v>68.040000000000006</v>
      </c>
      <c r="C727">
        <v>73.47</v>
      </c>
      <c r="D727">
        <v>67.62</v>
      </c>
      <c r="E727">
        <v>72.59</v>
      </c>
      <c r="F727">
        <v>646729.48877000005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0.69914529914530044</v>
      </c>
      <c r="Q727">
        <f t="shared" si="1000"/>
        <v>452157.88189218892</v>
      </c>
      <c r="R727">
        <f t="shared" si="1001"/>
        <v>9152205.649538463</v>
      </c>
      <c r="S727">
        <f t="shared" si="1002"/>
        <v>91.522056495384632</v>
      </c>
      <c r="T727">
        <f t="shared" si="1003"/>
        <v>9.1522056495384627E-2</v>
      </c>
    </row>
    <row r="728" spans="1:20" x14ac:dyDescent="0.25">
      <c r="A728" s="5">
        <v>43865</v>
      </c>
      <c r="B728">
        <v>69.650000000000006</v>
      </c>
      <c r="C728">
        <v>70.5</v>
      </c>
      <c r="D728">
        <v>66.62</v>
      </c>
      <c r="E728">
        <v>68.069999999999993</v>
      </c>
      <c r="F728">
        <v>487054.42541000003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-0.25257731958763385</v>
      </c>
      <c r="Q728">
        <f t="shared" si="1000"/>
        <v>-123018.90126335295</v>
      </c>
      <c r="R728">
        <f t="shared" si="1001"/>
        <v>8700047.7676462736</v>
      </c>
      <c r="S728">
        <f t="shared" si="1002"/>
        <v>87.000477676462737</v>
      </c>
      <c r="T728">
        <f t="shared" si="1003"/>
        <v>8.700047767646274E-2</v>
      </c>
    </row>
    <row r="729" spans="1:20" x14ac:dyDescent="0.25">
      <c r="A729" s="5">
        <v>43864</v>
      </c>
      <c r="B729">
        <v>69.930000000000007</v>
      </c>
      <c r="C729">
        <v>73</v>
      </c>
      <c r="D729">
        <v>68.45</v>
      </c>
      <c r="E729">
        <v>69.650000000000006</v>
      </c>
      <c r="F729">
        <v>689182.24855000002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-0.47252747252747096</v>
      </c>
      <c r="Q729">
        <f t="shared" si="1000"/>
        <v>-325657.54601813079</v>
      </c>
      <c r="R729">
        <f t="shared" si="1001"/>
        <v>8823066.6689096261</v>
      </c>
      <c r="S729">
        <f t="shared" si="1002"/>
        <v>88.230666689096267</v>
      </c>
      <c r="T729">
        <f t="shared" si="1003"/>
        <v>8.8230666689096265E-2</v>
      </c>
    </row>
    <row r="730" spans="1:20" x14ac:dyDescent="0.25">
      <c r="A730" s="5">
        <v>43863</v>
      </c>
      <c r="B730">
        <v>70.72</v>
      </c>
      <c r="C730">
        <v>73.5</v>
      </c>
      <c r="D730">
        <v>67.66</v>
      </c>
      <c r="E730">
        <v>69.930000000000007</v>
      </c>
      <c r="F730">
        <v>818385.89211999997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-0.22260273972602435</v>
      </c>
      <c r="Q730">
        <f t="shared" si="1000"/>
        <v>-182174.94173903859</v>
      </c>
      <c r="R730">
        <f t="shared" si="1001"/>
        <v>9148724.2149277572</v>
      </c>
      <c r="S730">
        <f t="shared" si="1002"/>
        <v>91.487242149277577</v>
      </c>
      <c r="T730">
        <f t="shared" si="1003"/>
        <v>9.1487242149277573E-2</v>
      </c>
    </row>
    <row r="731" spans="1:20" x14ac:dyDescent="0.25">
      <c r="A731" s="5">
        <v>43862</v>
      </c>
      <c r="B731">
        <v>68.02</v>
      </c>
      <c r="C731">
        <v>73</v>
      </c>
      <c r="D731">
        <v>67.62</v>
      </c>
      <c r="E731">
        <v>70.72</v>
      </c>
      <c r="F731">
        <v>952836.89639999997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0.15241635687732227</v>
      </c>
      <c r="Q731">
        <f t="shared" si="1000"/>
        <v>145227.92844758256</v>
      </c>
      <c r="R731">
        <f t="shared" si="1001"/>
        <v>9330899.1566667967</v>
      </c>
      <c r="S731">
        <f t="shared" si="1002"/>
        <v>93.30899156666797</v>
      </c>
      <c r="T731">
        <f t="shared" si="1003"/>
        <v>9.330899156666797E-2</v>
      </c>
    </row>
    <row r="732" spans="1:20" x14ac:dyDescent="0.25">
      <c r="A732" s="5">
        <v>43861</v>
      </c>
      <c r="B732">
        <v>68</v>
      </c>
      <c r="C732">
        <v>70.099999999999994</v>
      </c>
      <c r="D732">
        <v>65.37</v>
      </c>
      <c r="E732">
        <v>68</v>
      </c>
      <c r="F732">
        <v>938256.78345999995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0.11205073995771718</v>
      </c>
      <c r="Q732">
        <f t="shared" si="1000"/>
        <v>105132.36685704062</v>
      </c>
      <c r="R732">
        <f t="shared" si="1001"/>
        <v>9185671.2282192148</v>
      </c>
      <c r="S732">
        <f t="shared" si="1002"/>
        <v>91.856712282192149</v>
      </c>
      <c r="T732">
        <f t="shared" si="1003"/>
        <v>9.1856712282192152E-2</v>
      </c>
    </row>
    <row r="733" spans="1:20" x14ac:dyDescent="0.25">
      <c r="A733" s="5">
        <v>43860</v>
      </c>
      <c r="B733">
        <v>59.81</v>
      </c>
      <c r="C733">
        <v>70.22</v>
      </c>
      <c r="D733">
        <v>58.24</v>
      </c>
      <c r="E733">
        <v>67.98</v>
      </c>
      <c r="F733">
        <v>1286322.99676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0.6260434056761276</v>
      </c>
      <c r="Q733">
        <f t="shared" si="1000"/>
        <v>805294.02969115286</v>
      </c>
      <c r="R733">
        <f t="shared" si="1001"/>
        <v>9080538.8613621742</v>
      </c>
      <c r="S733">
        <f t="shared" si="1002"/>
        <v>90.805388613621744</v>
      </c>
      <c r="T733">
        <f t="shared" si="1003"/>
        <v>9.0805388613621738E-2</v>
      </c>
    </row>
    <row r="734" spans="1:20" x14ac:dyDescent="0.25">
      <c r="A734" s="5">
        <v>43859</v>
      </c>
      <c r="B734">
        <v>60.54</v>
      </c>
      <c r="C734">
        <v>62.56</v>
      </c>
      <c r="D734">
        <v>59.4</v>
      </c>
      <c r="E734">
        <v>59.8</v>
      </c>
      <c r="F734">
        <v>570079.36355000001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-0.74683544303797589</v>
      </c>
      <c r="Q734">
        <f t="shared" si="1000"/>
        <v>-425755.47404367157</v>
      </c>
      <c r="R734">
        <f t="shared" si="1001"/>
        <v>8275244.8316710209</v>
      </c>
      <c r="S734">
        <f t="shared" si="1002"/>
        <v>82.752448316710215</v>
      </c>
      <c r="T734">
        <f t="shared" si="1003"/>
        <v>8.275244831671022E-2</v>
      </c>
    </row>
    <row r="735" spans="1:20" x14ac:dyDescent="0.25">
      <c r="A735" s="5">
        <v>43858</v>
      </c>
      <c r="B735">
        <v>58.55</v>
      </c>
      <c r="C735">
        <v>61.61</v>
      </c>
      <c r="D735">
        <v>57.28</v>
      </c>
      <c r="E735">
        <v>60.52</v>
      </c>
      <c r="F735">
        <v>720540.74548000004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0.49653579676674514</v>
      </c>
      <c r="Q735">
        <f t="shared" si="1000"/>
        <v>357774.27315981634</v>
      </c>
      <c r="R735">
        <f t="shared" si="1001"/>
        <v>8701000.3057146929</v>
      </c>
      <c r="S735">
        <f t="shared" si="1002"/>
        <v>87.010003057146932</v>
      </c>
      <c r="T735">
        <f t="shared" si="1003"/>
        <v>8.7010003057146929E-2</v>
      </c>
    </row>
    <row r="736" spans="1:20" x14ac:dyDescent="0.25">
      <c r="A736" s="5">
        <v>43857</v>
      </c>
      <c r="B736">
        <v>56.29</v>
      </c>
      <c r="C736">
        <v>59.65</v>
      </c>
      <c r="D736">
        <v>55.87</v>
      </c>
      <c r="E736">
        <v>58.55</v>
      </c>
      <c r="F736">
        <v>504725.67706999998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0.41798941798941741</v>
      </c>
      <c r="Q736">
        <f t="shared" si="1000"/>
        <v>210969.99200280392</v>
      </c>
      <c r="R736">
        <f t="shared" si="1001"/>
        <v>8343226.032554877</v>
      </c>
      <c r="S736">
        <f t="shared" si="1002"/>
        <v>83.432260325548768</v>
      </c>
      <c r="T736">
        <f t="shared" si="1003"/>
        <v>8.3432260325548763E-2</v>
      </c>
    </row>
    <row r="737" spans="1:20" x14ac:dyDescent="0.25">
      <c r="A737" s="5">
        <v>43856</v>
      </c>
      <c r="B737">
        <v>53.26</v>
      </c>
      <c r="C737">
        <v>56.68</v>
      </c>
      <c r="D737">
        <v>52.8</v>
      </c>
      <c r="E737">
        <v>56.24</v>
      </c>
      <c r="F737">
        <v>348355.26494000002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0.77319587628866115</v>
      </c>
      <c r="Q737">
        <f t="shared" si="1000"/>
        <v>269346.85433505202</v>
      </c>
      <c r="R737">
        <f t="shared" si="1001"/>
        <v>8132256.0405520732</v>
      </c>
      <c r="S737">
        <f t="shared" si="1002"/>
        <v>81.322560405520733</v>
      </c>
      <c r="T737">
        <f t="shared" si="1003"/>
        <v>8.132256040552073E-2</v>
      </c>
    </row>
    <row r="738" spans="1:20" x14ac:dyDescent="0.25">
      <c r="A738" s="5">
        <v>43855</v>
      </c>
      <c r="B738">
        <v>54.41</v>
      </c>
      <c r="C738">
        <v>54.41</v>
      </c>
      <c r="D738">
        <v>51.9</v>
      </c>
      <c r="E738">
        <v>53.25</v>
      </c>
      <c r="F738">
        <v>282004.92676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7.5697211155380473E-2</v>
      </c>
      <c r="Q738">
        <f t="shared" si="1000"/>
        <v>21346.986487809325</v>
      </c>
      <c r="R738">
        <f t="shared" si="1001"/>
        <v>7862909.1862170212</v>
      </c>
      <c r="S738">
        <f t="shared" si="1002"/>
        <v>78.629091862170213</v>
      </c>
      <c r="T738">
        <f t="shared" si="1003"/>
        <v>7.8629091862170208E-2</v>
      </c>
    </row>
    <row r="739" spans="1:20" x14ac:dyDescent="0.25">
      <c r="A739" s="5">
        <v>43854</v>
      </c>
      <c r="B739">
        <v>54.52</v>
      </c>
      <c r="C739">
        <v>55.41</v>
      </c>
      <c r="D739">
        <v>50.64</v>
      </c>
      <c r="E739">
        <v>54.38</v>
      </c>
      <c r="F739">
        <v>550746.21423000004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0.56813417190775894</v>
      </c>
      <c r="Q739">
        <f t="shared" si="1000"/>
        <v>312897.74435289425</v>
      </c>
      <c r="R739">
        <f t="shared" si="1001"/>
        <v>7841562.1997292116</v>
      </c>
      <c r="S739">
        <f t="shared" si="1002"/>
        <v>78.415621997292121</v>
      </c>
      <c r="T739">
        <f t="shared" si="1003"/>
        <v>7.8415621997292115E-2</v>
      </c>
    </row>
    <row r="740" spans="1:20" x14ac:dyDescent="0.25">
      <c r="A740" s="5">
        <v>43853</v>
      </c>
      <c r="B740">
        <v>58.33</v>
      </c>
      <c r="C740">
        <v>58.4</v>
      </c>
      <c r="D740">
        <v>52.42</v>
      </c>
      <c r="E740">
        <v>54.52</v>
      </c>
      <c r="F740">
        <v>464982.43025999999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-0.29765886287625332</v>
      </c>
      <c r="Q740">
        <f t="shared" si="1000"/>
        <v>-138406.14144862836</v>
      </c>
      <c r="R740">
        <f t="shared" si="1001"/>
        <v>7528664.4553763177</v>
      </c>
      <c r="S740">
        <f t="shared" si="1002"/>
        <v>75.286644553763182</v>
      </c>
      <c r="T740">
        <f t="shared" si="1003"/>
        <v>7.5286644553763188E-2</v>
      </c>
    </row>
    <row r="741" spans="1:20" x14ac:dyDescent="0.25">
      <c r="A741" s="5">
        <v>43852</v>
      </c>
      <c r="B741">
        <v>57.6</v>
      </c>
      <c r="C741">
        <v>59.33</v>
      </c>
      <c r="D741">
        <v>57.18</v>
      </c>
      <c r="E741">
        <v>58.33</v>
      </c>
      <c r="F741">
        <v>218658.95477000001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6.9767441860464505E-2</v>
      </c>
      <c r="Q741">
        <f t="shared" si="1000"/>
        <v>15255.275914185913</v>
      </c>
      <c r="R741">
        <f t="shared" si="1001"/>
        <v>7667070.5968249459</v>
      </c>
      <c r="S741">
        <f t="shared" si="1002"/>
        <v>76.670705968249464</v>
      </c>
      <c r="T741">
        <f t="shared" si="1003"/>
        <v>7.6670705968249458E-2</v>
      </c>
    </row>
    <row r="742" spans="1:20" x14ac:dyDescent="0.25">
      <c r="A742" s="5">
        <v>43851</v>
      </c>
      <c r="B742">
        <v>57.19</v>
      </c>
      <c r="C742">
        <v>58.09</v>
      </c>
      <c r="D742">
        <v>55.91</v>
      </c>
      <c r="E742">
        <v>57.57</v>
      </c>
      <c r="F742">
        <v>216543.72375999999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0.5229357798165124</v>
      </c>
      <c r="Q742">
        <f t="shared" si="1000"/>
        <v>113238.46104880705</v>
      </c>
      <c r="R742">
        <f t="shared" si="1001"/>
        <v>7651815.3209107602</v>
      </c>
      <c r="S742">
        <f t="shared" si="1002"/>
        <v>76.518153209107595</v>
      </c>
      <c r="T742">
        <f t="shared" si="1003"/>
        <v>7.6518153209107598E-2</v>
      </c>
    </row>
    <row r="743" spans="1:20" x14ac:dyDescent="0.25">
      <c r="A743" s="5">
        <v>43850</v>
      </c>
      <c r="B743">
        <v>57.59</v>
      </c>
      <c r="C743">
        <v>58.29</v>
      </c>
      <c r="D743">
        <v>55.84</v>
      </c>
      <c r="E743">
        <v>57.19</v>
      </c>
      <c r="F743">
        <v>262316.67258000001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0.10204081632652789</v>
      </c>
      <c r="Q743">
        <f t="shared" si="1000"/>
        <v>26767.007406121738</v>
      </c>
      <c r="R743">
        <f t="shared" si="1001"/>
        <v>7538576.8598619532</v>
      </c>
      <c r="S743">
        <f t="shared" si="1002"/>
        <v>75.385768598619535</v>
      </c>
      <c r="T743">
        <f t="shared" si="1003"/>
        <v>7.5385768598619535E-2</v>
      </c>
    </row>
    <row r="744" spans="1:20" x14ac:dyDescent="0.25">
      <c r="A744" s="5">
        <v>43849</v>
      </c>
      <c r="B744">
        <v>59.29</v>
      </c>
      <c r="C744">
        <v>62.55</v>
      </c>
      <c r="D744">
        <v>55.34</v>
      </c>
      <c r="E744">
        <v>57.6</v>
      </c>
      <c r="F744">
        <v>530916.40859000001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-0.37309292649098474</v>
      </c>
      <c r="Q744">
        <f t="shared" si="1000"/>
        <v>-198081.15660292649</v>
      </c>
      <c r="R744">
        <f t="shared" si="1001"/>
        <v>7511809.8524558311</v>
      </c>
      <c r="S744">
        <f t="shared" si="1002"/>
        <v>75.118098524558306</v>
      </c>
      <c r="T744">
        <f t="shared" si="1003"/>
        <v>7.5118098524558308E-2</v>
      </c>
    </row>
    <row r="745" spans="1:20" x14ac:dyDescent="0.25">
      <c r="A745" s="5">
        <v>43848</v>
      </c>
      <c r="B745">
        <v>61.05</v>
      </c>
      <c r="C745">
        <v>62.5</v>
      </c>
      <c r="D745">
        <v>57.9</v>
      </c>
      <c r="E745">
        <v>59.32</v>
      </c>
      <c r="F745">
        <v>498603.84902999998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-0.38260869565217337</v>
      </c>
      <c r="Q745">
        <f t="shared" si="1000"/>
        <v>-190770.16832452145</v>
      </c>
      <c r="R745">
        <f t="shared" si="1001"/>
        <v>7709891.0090587577</v>
      </c>
      <c r="S745">
        <f t="shared" si="1002"/>
        <v>77.09891009058758</v>
      </c>
      <c r="T745">
        <f t="shared" si="1003"/>
        <v>7.7098910090587586E-2</v>
      </c>
    </row>
    <row r="746" spans="1:20" x14ac:dyDescent="0.25">
      <c r="A746" s="5">
        <v>43847</v>
      </c>
      <c r="B746">
        <v>57.56</v>
      </c>
      <c r="C746">
        <v>63.26</v>
      </c>
      <c r="D746">
        <v>56.72</v>
      </c>
      <c r="E746">
        <v>61.02</v>
      </c>
      <c r="F746">
        <v>767514.50323000003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0.3149847094801238</v>
      </c>
      <c r="Q746">
        <f t="shared" si="1000"/>
        <v>241755.33282168311</v>
      </c>
      <c r="R746">
        <f t="shared" si="1001"/>
        <v>7900661.1773832794</v>
      </c>
      <c r="S746">
        <f t="shared" si="1002"/>
        <v>79.006611773832788</v>
      </c>
      <c r="T746">
        <f t="shared" si="1003"/>
        <v>7.9006611773832794E-2</v>
      </c>
    </row>
    <row r="747" spans="1:20" x14ac:dyDescent="0.25">
      <c r="A747" s="5">
        <v>43846</v>
      </c>
      <c r="B747">
        <v>58.17</v>
      </c>
      <c r="C747">
        <v>58.5</v>
      </c>
      <c r="D747">
        <v>54.5</v>
      </c>
      <c r="E747">
        <v>57.56</v>
      </c>
      <c r="F747">
        <v>477991.20162000001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0.53000000000000114</v>
      </c>
      <c r="Q747">
        <f t="shared" si="1000"/>
        <v>253335.33685860055</v>
      </c>
      <c r="R747">
        <f t="shared" si="1001"/>
        <v>7658905.8445615964</v>
      </c>
      <c r="S747">
        <f t="shared" si="1002"/>
        <v>76.589058445615962</v>
      </c>
      <c r="T747">
        <f t="shared" si="1003"/>
        <v>7.6589058445615962E-2</v>
      </c>
    </row>
    <row r="748" spans="1:20" x14ac:dyDescent="0.25">
      <c r="A748" s="5">
        <v>43845</v>
      </c>
      <c r="B748">
        <v>58.37</v>
      </c>
      <c r="C748">
        <v>60.33</v>
      </c>
      <c r="D748">
        <v>55.28</v>
      </c>
      <c r="E748">
        <v>58.16</v>
      </c>
      <c r="F748">
        <v>720369.64188999997</v>
      </c>
      <c r="G748">
        <v>0</v>
      </c>
      <c r="L748" t="s">
        <v>7</v>
      </c>
      <c r="M748" t="s">
        <v>8</v>
      </c>
      <c r="N748" t="s">
        <v>8</v>
      </c>
      <c r="P748">
        <f t="shared" si="999"/>
        <v>0.14059405940593944</v>
      </c>
      <c r="Q748">
        <f t="shared" si="1000"/>
        <v>101279.69222611797</v>
      </c>
      <c r="R748">
        <f t="shared" si="1001"/>
        <v>7405570.507702996</v>
      </c>
      <c r="S748">
        <f t="shared" si="1002"/>
        <v>74.055705077029955</v>
      </c>
      <c r="T748">
        <f t="shared" si="1003"/>
        <v>7.4055705077029951E-2</v>
      </c>
    </row>
    <row r="749" spans="1:20" x14ac:dyDescent="0.25">
      <c r="A749" s="5">
        <v>43844</v>
      </c>
      <c r="B749">
        <v>49.59</v>
      </c>
      <c r="C749">
        <v>60.8</v>
      </c>
      <c r="D749">
        <v>49.58</v>
      </c>
      <c r="E749">
        <v>58.39</v>
      </c>
      <c r="F749">
        <v>1232536.3536400001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0.57040998217468863</v>
      </c>
      <c r="Q749">
        <f t="shared" si="1000"/>
        <v>703051.03950944822</v>
      </c>
      <c r="R749">
        <f t="shared" si="1001"/>
        <v>7304290.8154768776</v>
      </c>
      <c r="S749">
        <f t="shared" si="1002"/>
        <v>73.042908154768782</v>
      </c>
      <c r="T749">
        <f t="shared" si="1003"/>
        <v>7.3042908154768785E-2</v>
      </c>
    </row>
    <row r="750" spans="1:20" x14ac:dyDescent="0.25">
      <c r="A750" s="5">
        <v>43843</v>
      </c>
      <c r="B750">
        <v>51.44</v>
      </c>
      <c r="C750">
        <v>51.6</v>
      </c>
      <c r="D750">
        <v>48.91</v>
      </c>
      <c r="E750">
        <v>49.6</v>
      </c>
      <c r="F750">
        <v>382092.95572999999</v>
      </c>
      <c r="G750">
        <v>0</v>
      </c>
      <c r="L750" t="s">
        <v>8</v>
      </c>
      <c r="M750" t="s">
        <v>8</v>
      </c>
      <c r="N750" t="s">
        <v>8</v>
      </c>
      <c r="P750">
        <f t="shared" si="999"/>
        <v>-0.48698884758364047</v>
      </c>
      <c r="Q750">
        <f t="shared" si="1000"/>
        <v>-186075.00818077964</v>
      </c>
      <c r="R750">
        <f t="shared" si="1001"/>
        <v>6601239.7759674294</v>
      </c>
      <c r="S750">
        <f t="shared" si="1002"/>
        <v>66.0123977596743</v>
      </c>
      <c r="T750">
        <f t="shared" si="1003"/>
        <v>6.6012397759674296E-2</v>
      </c>
    </row>
    <row r="751" spans="1:20" x14ac:dyDescent="0.25">
      <c r="A751" s="5">
        <v>43842</v>
      </c>
      <c r="B751">
        <v>49.32</v>
      </c>
      <c r="C751">
        <v>51.75</v>
      </c>
      <c r="D751">
        <v>48.78</v>
      </c>
      <c r="E751">
        <v>51.43</v>
      </c>
      <c r="F751">
        <v>533583.45808000001</v>
      </c>
      <c r="G751">
        <v>0</v>
      </c>
      <c r="L751" t="s">
        <v>8</v>
      </c>
      <c r="M751" t="s">
        <v>8</v>
      </c>
      <c r="N751" t="s">
        <v>8</v>
      </c>
      <c r="P751">
        <f t="shared" si="999"/>
        <v>0.78451178451178427</v>
      </c>
      <c r="Q751">
        <f t="shared" si="1000"/>
        <v>418602.51088430965</v>
      </c>
      <c r="R751">
        <f t="shared" si="1001"/>
        <v>6787314.7841482088</v>
      </c>
      <c r="S751">
        <f t="shared" si="1002"/>
        <v>67.873147841482094</v>
      </c>
      <c r="T751">
        <f t="shared" si="1003"/>
        <v>6.7873147841482101E-2</v>
      </c>
    </row>
    <row r="752" spans="1:20" x14ac:dyDescent="0.25">
      <c r="A752" s="5">
        <v>43841</v>
      </c>
      <c r="B752">
        <v>49.06</v>
      </c>
      <c r="C752">
        <v>51.95</v>
      </c>
      <c r="D752">
        <v>47.77</v>
      </c>
      <c r="E752">
        <v>49.3</v>
      </c>
      <c r="F752">
        <v>681984.46652000002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-0.2679425837320602</v>
      </c>
      <c r="Q752">
        <f t="shared" si="1000"/>
        <v>-182732.68002449951</v>
      </c>
      <c r="R752">
        <f t="shared" si="1001"/>
        <v>6368712.2732638987</v>
      </c>
      <c r="S752">
        <f t="shared" si="1002"/>
        <v>63.68712273263899</v>
      </c>
      <c r="T752">
        <f t="shared" si="1003"/>
        <v>6.368712273263899E-2</v>
      </c>
    </row>
    <row r="753" spans="1:20" x14ac:dyDescent="0.25">
      <c r="A753" s="5">
        <v>43840</v>
      </c>
      <c r="B753">
        <v>44.75</v>
      </c>
      <c r="C753">
        <v>49.72</v>
      </c>
      <c r="D753">
        <v>43.71</v>
      </c>
      <c r="E753">
        <v>49.06</v>
      </c>
      <c r="F753">
        <v>729803.12291000003</v>
      </c>
      <c r="G753">
        <v>0</v>
      </c>
      <c r="L753" t="s">
        <v>8</v>
      </c>
      <c r="M753" t="s">
        <v>8</v>
      </c>
      <c r="N753" t="s">
        <v>7</v>
      </c>
      <c r="P753">
        <f t="shared" si="999"/>
        <v>0.78036605657238045</v>
      </c>
      <c r="Q753">
        <f t="shared" si="1000"/>
        <v>569513.585099485</v>
      </c>
      <c r="R753">
        <f t="shared" si="1001"/>
        <v>6551444.9532883978</v>
      </c>
      <c r="S753">
        <f t="shared" si="1002"/>
        <v>65.514449532883972</v>
      </c>
      <c r="T753">
        <f t="shared" si="1003"/>
        <v>6.5514449532883975E-2</v>
      </c>
    </row>
    <row r="754" spans="1:20" x14ac:dyDescent="0.25">
      <c r="A754" s="5">
        <v>43839</v>
      </c>
      <c r="B754">
        <v>45.35</v>
      </c>
      <c r="C754">
        <v>45.79</v>
      </c>
      <c r="D754">
        <v>43.9</v>
      </c>
      <c r="E754">
        <v>44.74</v>
      </c>
      <c r="F754">
        <v>296221.65691999998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-0.11111111111110777</v>
      </c>
      <c r="Q754">
        <f t="shared" si="1000"/>
        <v>-32913.517435554568</v>
      </c>
      <c r="R754">
        <f t="shared" si="1001"/>
        <v>5981931.368188913</v>
      </c>
      <c r="S754">
        <f t="shared" si="1002"/>
        <v>59.819313681889128</v>
      </c>
      <c r="T754">
        <f t="shared" si="1003"/>
        <v>5.9819313681889127E-2</v>
      </c>
    </row>
    <row r="755" spans="1:20" x14ac:dyDescent="0.25">
      <c r="A755" s="5">
        <v>43838</v>
      </c>
      <c r="B755">
        <v>46.3</v>
      </c>
      <c r="C755">
        <v>48.54</v>
      </c>
      <c r="D755">
        <v>44</v>
      </c>
      <c r="E755">
        <v>45.35</v>
      </c>
      <c r="F755">
        <v>628050.68437999999</v>
      </c>
      <c r="G755">
        <v>0</v>
      </c>
      <c r="L755" t="s">
        <v>8</v>
      </c>
      <c r="M755" t="s">
        <v>8</v>
      </c>
      <c r="N755" t="s">
        <v>7</v>
      </c>
      <c r="P755">
        <f t="shared" si="999"/>
        <v>-0.40528634361233407</v>
      </c>
      <c r="Q755">
        <f t="shared" si="1000"/>
        <v>-254540.36547559424</v>
      </c>
      <c r="R755">
        <f t="shared" si="1001"/>
        <v>6014844.8856244674</v>
      </c>
      <c r="S755">
        <f t="shared" si="1002"/>
        <v>60.148448856244677</v>
      </c>
      <c r="T755">
        <f t="shared" si="1003"/>
        <v>6.014844885624468E-2</v>
      </c>
    </row>
    <row r="756" spans="1:20" x14ac:dyDescent="0.25">
      <c r="A756" s="5">
        <v>43837</v>
      </c>
      <c r="B756">
        <v>45.8</v>
      </c>
      <c r="C756">
        <v>47.03</v>
      </c>
      <c r="D756">
        <v>44.48</v>
      </c>
      <c r="E756">
        <v>46.3</v>
      </c>
      <c r="F756">
        <v>493847.10531999997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0.42745098039215468</v>
      </c>
      <c r="Q756">
        <f t="shared" si="1000"/>
        <v>211095.42933286165</v>
      </c>
      <c r="R756">
        <f t="shared" si="1001"/>
        <v>6269385.2511000615</v>
      </c>
      <c r="S756">
        <f t="shared" si="1002"/>
        <v>62.693852511000614</v>
      </c>
      <c r="T756">
        <f t="shared" si="1003"/>
        <v>6.2693852511000611E-2</v>
      </c>
    </row>
    <row r="757" spans="1:20" x14ac:dyDescent="0.25">
      <c r="A757" s="5">
        <v>43836</v>
      </c>
      <c r="B757">
        <v>43.29</v>
      </c>
      <c r="C757">
        <v>46.08</v>
      </c>
      <c r="D757">
        <v>43.16</v>
      </c>
      <c r="E757">
        <v>45.8</v>
      </c>
      <c r="F757">
        <v>384930.99089999998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0.80821917808219113</v>
      </c>
      <c r="Q757">
        <f t="shared" si="1000"/>
        <v>311108.60908356134</v>
      </c>
      <c r="R757">
        <f t="shared" si="1001"/>
        <v>6058289.8217671998</v>
      </c>
      <c r="S757">
        <f t="shared" si="1002"/>
        <v>60.582898217671996</v>
      </c>
      <c r="T757">
        <f t="shared" si="1003"/>
        <v>6.0582898217671995E-2</v>
      </c>
    </row>
    <row r="758" spans="1:20" x14ac:dyDescent="0.25">
      <c r="A758" s="5">
        <v>43835</v>
      </c>
      <c r="B758">
        <v>42.79</v>
      </c>
      <c r="C758">
        <v>44.61</v>
      </c>
      <c r="D758">
        <v>42.6</v>
      </c>
      <c r="E758">
        <v>43.3</v>
      </c>
      <c r="F758">
        <v>291964.84957999998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-0.30348258706468018</v>
      </c>
      <c r="Q758">
        <f t="shared" si="1000"/>
        <v>-88606.247882488591</v>
      </c>
      <c r="R758">
        <f t="shared" si="1001"/>
        <v>5747181.2126836386</v>
      </c>
      <c r="S758">
        <f t="shared" si="1002"/>
        <v>57.471812126836383</v>
      </c>
      <c r="T758">
        <f t="shared" si="1003"/>
        <v>5.7471812126836386E-2</v>
      </c>
    </row>
    <row r="759" spans="1:20" x14ac:dyDescent="0.25">
      <c r="A759" s="5">
        <v>43834</v>
      </c>
      <c r="B759">
        <v>42.23</v>
      </c>
      <c r="C759">
        <v>42.9</v>
      </c>
      <c r="D759">
        <v>41.77</v>
      </c>
      <c r="E759">
        <v>42.78</v>
      </c>
      <c r="F759">
        <v>248814.62818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0.78761061946903022</v>
      </c>
      <c r="Q759">
        <f t="shared" si="1000"/>
        <v>195969.04343380622</v>
      </c>
      <c r="R759">
        <f t="shared" si="1001"/>
        <v>5835787.4605661267</v>
      </c>
      <c r="S759">
        <f t="shared" si="1002"/>
        <v>58.357874605661266</v>
      </c>
      <c r="T759">
        <f t="shared" si="1003"/>
        <v>5.8357874605661268E-2</v>
      </c>
    </row>
    <row r="760" spans="1:20" x14ac:dyDescent="0.25">
      <c r="A760" s="5">
        <v>43833</v>
      </c>
      <c r="B760">
        <v>39.44</v>
      </c>
      <c r="C760">
        <v>42.39</v>
      </c>
      <c r="D760">
        <v>38.770000000000003</v>
      </c>
      <c r="E760">
        <v>42.23</v>
      </c>
      <c r="F760">
        <v>426771.00676000002</v>
      </c>
      <c r="G760">
        <v>0</v>
      </c>
      <c r="L760" t="s">
        <v>7</v>
      </c>
      <c r="M760" t="s">
        <v>8</v>
      </c>
      <c r="N760" t="s">
        <v>7</v>
      </c>
      <c r="P760">
        <f t="shared" si="999"/>
        <v>0.91160220994474928</v>
      </c>
      <c r="Q760">
        <f t="shared" si="1000"/>
        <v>389045.39290276152</v>
      </c>
      <c r="R760">
        <f t="shared" si="1001"/>
        <v>5639818.4171323208</v>
      </c>
      <c r="S760">
        <f t="shared" si="1002"/>
        <v>56.398184171323209</v>
      </c>
      <c r="T760">
        <f t="shared" si="1003"/>
        <v>5.639818417132321E-2</v>
      </c>
    </row>
    <row r="761" spans="1:20" x14ac:dyDescent="0.25">
      <c r="A761" s="5">
        <v>43832</v>
      </c>
      <c r="B761">
        <v>41.58</v>
      </c>
      <c r="C761">
        <v>41.74</v>
      </c>
      <c r="D761">
        <v>39.17</v>
      </c>
      <c r="E761">
        <v>39.43</v>
      </c>
      <c r="F761">
        <v>194486.2157</v>
      </c>
      <c r="G761">
        <v>0</v>
      </c>
      <c r="L761" t="s">
        <v>7</v>
      </c>
      <c r="M761" t="s">
        <v>8</v>
      </c>
      <c r="N761" t="s">
        <v>7</v>
      </c>
      <c r="P761">
        <f t="shared" si="999"/>
        <v>-0.79766536964980705</v>
      </c>
      <c r="Q761">
        <f t="shared" si="1000"/>
        <v>-155134.91913813259</v>
      </c>
      <c r="R761">
        <f t="shared" si="1001"/>
        <v>5250773.0242295591</v>
      </c>
      <c r="S761">
        <f t="shared" si="1002"/>
        <v>52.507730242295594</v>
      </c>
      <c r="T761">
        <f t="shared" si="1003"/>
        <v>5.2507730242295596E-2</v>
      </c>
    </row>
    <row r="762" spans="1:20" x14ac:dyDescent="0.25">
      <c r="A762" s="5">
        <v>43831</v>
      </c>
      <c r="B762">
        <v>41.29</v>
      </c>
      <c r="C762">
        <v>42.08</v>
      </c>
      <c r="D762">
        <v>41.16</v>
      </c>
      <c r="E762">
        <v>41.62</v>
      </c>
      <c r="F762">
        <v>110044.87445</v>
      </c>
      <c r="G762">
        <v>0</v>
      </c>
      <c r="L762" t="s">
        <v>7</v>
      </c>
      <c r="M762" t="s">
        <v>8</v>
      </c>
      <c r="N762" t="s">
        <v>7</v>
      </c>
      <c r="P762">
        <f t="shared" si="999"/>
        <v>0</v>
      </c>
      <c r="Q762">
        <f t="shared" si="1000"/>
        <v>0</v>
      </c>
      <c r="R762">
        <f t="shared" si="1001"/>
        <v>5405907.9433676917</v>
      </c>
      <c r="S762">
        <f t="shared" si="1002"/>
        <v>54.059079433676914</v>
      </c>
      <c r="T762">
        <f t="shared" si="1003"/>
        <v>5.4059079433676917E-2</v>
      </c>
    </row>
    <row r="763" spans="1:20" x14ac:dyDescent="0.25">
      <c r="A763" s="5">
        <v>43830</v>
      </c>
      <c r="B763">
        <v>42.36</v>
      </c>
      <c r="C763">
        <v>43.05</v>
      </c>
      <c r="D763">
        <v>41</v>
      </c>
      <c r="E763">
        <v>41.3</v>
      </c>
      <c r="F763">
        <v>201549.74137</v>
      </c>
      <c r="G763">
        <v>0</v>
      </c>
      <c r="L763" t="s">
        <v>7</v>
      </c>
      <c r="M763" t="s">
        <v>8</v>
      </c>
      <c r="N763" t="s">
        <v>7</v>
      </c>
      <c r="P763">
        <f t="shared" si="999"/>
        <v>-0.70731707317073411</v>
      </c>
      <c r="Q763">
        <f t="shared" si="1000"/>
        <v>-142559.57316414683</v>
      </c>
      <c r="R763">
        <f t="shared" si="1001"/>
        <v>5405907.9433676917</v>
      </c>
      <c r="S763">
        <f t="shared" si="1002"/>
        <v>54.059079433676914</v>
      </c>
      <c r="T763">
        <f t="shared" si="1003"/>
        <v>5.4059079433676917E-2</v>
      </c>
    </row>
    <row r="764" spans="1:20" x14ac:dyDescent="0.25">
      <c r="A764" s="5">
        <v>43829</v>
      </c>
      <c r="B764">
        <v>43.07</v>
      </c>
      <c r="C764">
        <v>44.18</v>
      </c>
      <c r="D764">
        <v>41.82</v>
      </c>
      <c r="E764">
        <v>42.38</v>
      </c>
      <c r="F764">
        <v>298595.46370999998</v>
      </c>
      <c r="G764">
        <v>0</v>
      </c>
      <c r="L764" t="s">
        <v>8</v>
      </c>
      <c r="M764" t="s">
        <v>8</v>
      </c>
      <c r="N764" t="s">
        <v>7</v>
      </c>
      <c r="P764">
        <f t="shared" si="999"/>
        <v>-0.52542372881355726</v>
      </c>
      <c r="Q764">
        <f t="shared" si="1000"/>
        <v>-156889.14194932141</v>
      </c>
      <c r="R764">
        <f t="shared" si="1001"/>
        <v>5548467.5165318381</v>
      </c>
      <c r="S764">
        <f t="shared" si="1002"/>
        <v>55.484675165318379</v>
      </c>
      <c r="T764">
        <f t="shared" si="1003"/>
        <v>5.5484675165318381E-2</v>
      </c>
    </row>
    <row r="765" spans="1:20" x14ac:dyDescent="0.25">
      <c r="A765" s="5">
        <v>43828</v>
      </c>
      <c r="B765">
        <v>42.84</v>
      </c>
      <c r="C765">
        <v>43.76</v>
      </c>
      <c r="D765">
        <v>42.14</v>
      </c>
      <c r="E765">
        <v>43.08</v>
      </c>
      <c r="F765">
        <v>337087.76870000002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0.16049382716049285</v>
      </c>
      <c r="Q765">
        <f t="shared" si="1000"/>
        <v>54100.506087653994</v>
      </c>
      <c r="R765">
        <f t="shared" si="1001"/>
        <v>5705356.6584811592</v>
      </c>
      <c r="S765">
        <f t="shared" si="1002"/>
        <v>57.053566584811591</v>
      </c>
      <c r="T765">
        <f t="shared" si="1003"/>
        <v>5.7053566584811588E-2</v>
      </c>
    </row>
    <row r="766" spans="1:20" x14ac:dyDescent="0.25">
      <c r="A766" s="5">
        <v>43827</v>
      </c>
      <c r="B766">
        <v>40.96</v>
      </c>
      <c r="C766">
        <v>43.76</v>
      </c>
      <c r="D766">
        <v>40.909999999999997</v>
      </c>
      <c r="E766">
        <v>42.83</v>
      </c>
      <c r="F766">
        <v>284295.33296000003</v>
      </c>
      <c r="G766">
        <v>0</v>
      </c>
      <c r="L766" t="s">
        <v>8</v>
      </c>
      <c r="M766" t="s">
        <v>8</v>
      </c>
      <c r="N766" t="s">
        <v>7</v>
      </c>
      <c r="P766">
        <f t="shared" si="999"/>
        <v>0.3473684210526321</v>
      </c>
      <c r="Q766">
        <f t="shared" si="1000"/>
        <v>98755.220922947527</v>
      </c>
      <c r="R766">
        <f t="shared" si="1001"/>
        <v>5651256.152393505</v>
      </c>
      <c r="S766">
        <f t="shared" si="1002"/>
        <v>56.512561523935048</v>
      </c>
      <c r="T766">
        <f t="shared" si="1003"/>
        <v>5.6512561523935051E-2</v>
      </c>
    </row>
    <row r="767" spans="1:20" x14ac:dyDescent="0.25">
      <c r="A767" s="5">
        <v>43826</v>
      </c>
      <c r="B767">
        <v>39.99</v>
      </c>
      <c r="C767">
        <v>41.5</v>
      </c>
      <c r="D767">
        <v>39.67</v>
      </c>
      <c r="E767">
        <v>40.950000000000003</v>
      </c>
      <c r="F767">
        <v>219242.83627999999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0.39890710382513916</v>
      </c>
      <c r="Q767">
        <f t="shared" ref="Q767:Q830" si="1005">F767*P767</f>
        <v>87457.52485486395</v>
      </c>
      <c r="R767">
        <f t="shared" ref="R767:R830" si="1006">R768+Q767</f>
        <v>5552500.9314705571</v>
      </c>
      <c r="S767">
        <f t="shared" ref="S767:S830" si="1007">R767/100000</f>
        <v>55.525009314705571</v>
      </c>
      <c r="T767">
        <f t="shared" ref="T767:T830" si="1008">S767/1000</f>
        <v>5.5525009314705567E-2</v>
      </c>
    </row>
    <row r="768" spans="1:20" x14ac:dyDescent="0.25">
      <c r="A768" s="5">
        <v>43825</v>
      </c>
      <c r="B768">
        <v>40.11</v>
      </c>
      <c r="C768">
        <v>41.73</v>
      </c>
      <c r="D768">
        <v>39.58</v>
      </c>
      <c r="E768">
        <v>40.01</v>
      </c>
      <c r="F768">
        <v>198471.35190000001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-0.6</v>
      </c>
      <c r="Q768">
        <f t="shared" si="1005"/>
        <v>-119082.81114000001</v>
      </c>
      <c r="R768">
        <f t="shared" si="1006"/>
        <v>5465043.4066156931</v>
      </c>
      <c r="S768">
        <f t="shared" si="1007"/>
        <v>54.650434066156933</v>
      </c>
      <c r="T768">
        <f t="shared" si="1008"/>
        <v>5.4650434066156932E-2</v>
      </c>
    </row>
    <row r="769" spans="1:20" x14ac:dyDescent="0.25">
      <c r="A769" s="5">
        <v>43824</v>
      </c>
      <c r="B769">
        <v>40.33</v>
      </c>
      <c r="C769">
        <v>40.479999999999997</v>
      </c>
      <c r="D769">
        <v>39.380000000000003</v>
      </c>
      <c r="E769">
        <v>40.08</v>
      </c>
      <c r="F769">
        <v>136397.58244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0.27272727272727154</v>
      </c>
      <c r="Q769">
        <f t="shared" si="1005"/>
        <v>37199.34066545438</v>
      </c>
      <c r="R769">
        <f t="shared" si="1006"/>
        <v>5584126.217755693</v>
      </c>
      <c r="S769">
        <f t="shared" si="1007"/>
        <v>55.841262177556928</v>
      </c>
      <c r="T769">
        <f t="shared" si="1008"/>
        <v>5.584126217755693E-2</v>
      </c>
    </row>
    <row r="770" spans="1:20" x14ac:dyDescent="0.25">
      <c r="A770" s="5">
        <v>43823</v>
      </c>
      <c r="B770">
        <v>40.56</v>
      </c>
      <c r="C770">
        <v>41.13</v>
      </c>
      <c r="D770">
        <v>39.68</v>
      </c>
      <c r="E770">
        <v>40.340000000000003</v>
      </c>
      <c r="F770">
        <v>211802.58489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-8.9655172413789785E-2</v>
      </c>
      <c r="Q770">
        <f t="shared" si="1005"/>
        <v>-18989.197265999297</v>
      </c>
      <c r="R770">
        <f t="shared" si="1006"/>
        <v>5546926.877090239</v>
      </c>
      <c r="S770">
        <f t="shared" si="1007"/>
        <v>55.469268770902389</v>
      </c>
      <c r="T770">
        <f t="shared" si="1008"/>
        <v>5.5469268770902386E-2</v>
      </c>
    </row>
    <row r="771" spans="1:20" x14ac:dyDescent="0.25">
      <c r="A771" s="5">
        <v>43822</v>
      </c>
      <c r="B771">
        <v>41.84</v>
      </c>
      <c r="C771">
        <v>42.67</v>
      </c>
      <c r="D771">
        <v>40.21</v>
      </c>
      <c r="E771">
        <v>40.56</v>
      </c>
      <c r="F771">
        <v>288871.46720999997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-0.71544715447154361</v>
      </c>
      <c r="Q771">
        <f t="shared" si="1005"/>
        <v>-206672.2692234143</v>
      </c>
      <c r="R771">
        <f t="shared" si="1006"/>
        <v>5565916.0743562384</v>
      </c>
      <c r="S771">
        <f t="shared" si="1007"/>
        <v>55.659160743562381</v>
      </c>
      <c r="T771">
        <f t="shared" si="1008"/>
        <v>5.5659160743562384E-2</v>
      </c>
    </row>
    <row r="772" spans="1:20" x14ac:dyDescent="0.25">
      <c r="A772" s="5">
        <v>43821</v>
      </c>
      <c r="B772">
        <v>39.67</v>
      </c>
      <c r="C772">
        <v>42.16</v>
      </c>
      <c r="D772">
        <v>39.619999999999997</v>
      </c>
      <c r="E772">
        <v>41.82</v>
      </c>
      <c r="F772">
        <v>208763.30093</v>
      </c>
      <c r="G772">
        <v>0</v>
      </c>
      <c r="L772" t="s">
        <v>8</v>
      </c>
      <c r="M772" t="s">
        <v>7</v>
      </c>
      <c r="N772" t="s">
        <v>7</v>
      </c>
      <c r="P772">
        <f t="shared" si="1004"/>
        <v>0.73228346456693194</v>
      </c>
      <c r="Q772">
        <f t="shared" si="1005"/>
        <v>152873.91327944939</v>
      </c>
      <c r="R772">
        <f t="shared" si="1006"/>
        <v>5772588.3435796527</v>
      </c>
      <c r="S772">
        <f t="shared" si="1007"/>
        <v>57.725883435796526</v>
      </c>
      <c r="T772">
        <f t="shared" si="1008"/>
        <v>5.7725883435796523E-2</v>
      </c>
    </row>
    <row r="773" spans="1:20" x14ac:dyDescent="0.25">
      <c r="A773" s="5">
        <v>43820</v>
      </c>
      <c r="B773">
        <v>40.15</v>
      </c>
      <c r="C773">
        <v>40.22</v>
      </c>
      <c r="D773">
        <v>39.409999999999997</v>
      </c>
      <c r="E773">
        <v>39.67</v>
      </c>
      <c r="F773">
        <v>91777.096399999995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-0.35802469135801385</v>
      </c>
      <c r="Q773">
        <f t="shared" si="1005"/>
        <v>-32858.46661234468</v>
      </c>
      <c r="R773">
        <f t="shared" si="1006"/>
        <v>5619714.4303002032</v>
      </c>
      <c r="S773">
        <f t="shared" si="1007"/>
        <v>56.197144303002034</v>
      </c>
      <c r="T773">
        <f t="shared" si="1008"/>
        <v>5.6197144303002031E-2</v>
      </c>
    </row>
    <row r="774" spans="1:20" x14ac:dyDescent="0.25">
      <c r="A774" s="5">
        <v>43819</v>
      </c>
      <c r="B774">
        <v>39.659999999999997</v>
      </c>
      <c r="C774">
        <v>40.409999999999997</v>
      </c>
      <c r="D774">
        <v>39.25</v>
      </c>
      <c r="E774">
        <v>40.17</v>
      </c>
      <c r="F774">
        <v>151508.47648000001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0.58620689655173175</v>
      </c>
      <c r="Q774">
        <f t="shared" si="1005"/>
        <v>88815.31379862185</v>
      </c>
      <c r="R774">
        <f t="shared" si="1006"/>
        <v>5652572.8969125478</v>
      </c>
      <c r="S774">
        <f t="shared" si="1007"/>
        <v>56.525728969125474</v>
      </c>
      <c r="T774">
        <f t="shared" si="1008"/>
        <v>5.6525728969125472E-2</v>
      </c>
    </row>
    <row r="775" spans="1:20" x14ac:dyDescent="0.25">
      <c r="A775" s="5">
        <v>43818</v>
      </c>
      <c r="B775">
        <v>40.79</v>
      </c>
      <c r="C775">
        <v>41.1</v>
      </c>
      <c r="D775">
        <v>39.06</v>
      </c>
      <c r="E775">
        <v>39.65</v>
      </c>
      <c r="F775">
        <v>240386.31479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-0.42156862745098378</v>
      </c>
      <c r="Q775">
        <f t="shared" si="1005"/>
        <v>-101339.32878402043</v>
      </c>
      <c r="R775">
        <f t="shared" si="1006"/>
        <v>5563757.5831139255</v>
      </c>
      <c r="S775">
        <f t="shared" si="1007"/>
        <v>55.637575831139259</v>
      </c>
      <c r="T775">
        <f t="shared" si="1008"/>
        <v>5.5637575831139256E-2</v>
      </c>
    </row>
    <row r="776" spans="1:20" x14ac:dyDescent="0.25">
      <c r="A776" s="5">
        <v>43817</v>
      </c>
      <c r="B776">
        <v>36.94</v>
      </c>
      <c r="C776">
        <v>41.71</v>
      </c>
      <c r="D776">
        <v>35.78</v>
      </c>
      <c r="E776">
        <v>40.79</v>
      </c>
      <c r="F776">
        <v>668186.50575999997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0.68971332209106184</v>
      </c>
      <c r="Q776">
        <f t="shared" si="1005"/>
        <v>460857.13466414803</v>
      </c>
      <c r="R776">
        <f t="shared" si="1006"/>
        <v>5665096.9118979461</v>
      </c>
      <c r="S776">
        <f t="shared" si="1007"/>
        <v>56.650969118979461</v>
      </c>
      <c r="T776">
        <f t="shared" si="1008"/>
        <v>5.6650969118979461E-2</v>
      </c>
    </row>
    <row r="777" spans="1:20" x14ac:dyDescent="0.25">
      <c r="A777" s="5">
        <v>43816</v>
      </c>
      <c r="B777">
        <v>39.979999999999997</v>
      </c>
      <c r="C777">
        <v>40.130000000000003</v>
      </c>
      <c r="D777">
        <v>36.1</v>
      </c>
      <c r="E777">
        <v>36.92</v>
      </c>
      <c r="F777">
        <v>648918.38856999995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-0.59305210918114137</v>
      </c>
      <c r="Q777">
        <f t="shared" si="1005"/>
        <v>-384842.41902786592</v>
      </c>
      <c r="R777">
        <f t="shared" si="1006"/>
        <v>5204239.7772337981</v>
      </c>
      <c r="S777">
        <f t="shared" si="1007"/>
        <v>52.042397772337978</v>
      </c>
      <c r="T777">
        <f t="shared" si="1008"/>
        <v>5.2042397772337975E-2</v>
      </c>
    </row>
    <row r="778" spans="1:20" x14ac:dyDescent="0.25">
      <c r="A778" s="5">
        <v>43815</v>
      </c>
      <c r="B778">
        <v>43.46</v>
      </c>
      <c r="C778">
        <v>43.56</v>
      </c>
      <c r="D778">
        <v>39.020000000000003</v>
      </c>
      <c r="E778">
        <v>39.99</v>
      </c>
      <c r="F778">
        <v>396847.07159000001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-0.57268722466960398</v>
      </c>
      <c r="Q778">
        <f t="shared" si="1005"/>
        <v>-227269.24804713676</v>
      </c>
      <c r="R778">
        <f t="shared" si="1006"/>
        <v>5589082.1962616639</v>
      </c>
      <c r="S778">
        <f t="shared" si="1007"/>
        <v>55.890821962616641</v>
      </c>
      <c r="T778">
        <f t="shared" si="1008"/>
        <v>5.5890821962616639E-2</v>
      </c>
    </row>
    <row r="779" spans="1:20" x14ac:dyDescent="0.25">
      <c r="A779" s="5">
        <v>43814</v>
      </c>
      <c r="B779">
        <v>43.28</v>
      </c>
      <c r="C779">
        <v>44.04</v>
      </c>
      <c r="D779">
        <v>42.9</v>
      </c>
      <c r="E779">
        <v>43.44</v>
      </c>
      <c r="F779">
        <v>105010.15867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-5.2631578947370389E-2</v>
      </c>
      <c r="Q779">
        <f t="shared" si="1005"/>
        <v>-5526.8504563159968</v>
      </c>
      <c r="R779">
        <f t="shared" si="1006"/>
        <v>5816351.4443088006</v>
      </c>
      <c r="S779">
        <f t="shared" si="1007"/>
        <v>58.163514443088005</v>
      </c>
      <c r="T779">
        <f t="shared" si="1008"/>
        <v>5.8163514443088003E-2</v>
      </c>
    </row>
    <row r="780" spans="1:20" x14ac:dyDescent="0.25">
      <c r="A780" s="5">
        <v>43813</v>
      </c>
      <c r="B780">
        <v>44.44</v>
      </c>
      <c r="C780">
        <v>44.67</v>
      </c>
      <c r="D780">
        <v>43.19</v>
      </c>
      <c r="E780">
        <v>43.25</v>
      </c>
      <c r="F780">
        <v>121589.21791000001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-0.91891891891891608</v>
      </c>
      <c r="Q780">
        <f t="shared" si="1005"/>
        <v>-111730.63267405372</v>
      </c>
      <c r="R780">
        <f t="shared" si="1006"/>
        <v>5821878.2947651166</v>
      </c>
      <c r="S780">
        <f t="shared" si="1007"/>
        <v>58.218782947651164</v>
      </c>
      <c r="T780">
        <f t="shared" si="1008"/>
        <v>5.8218782947651163E-2</v>
      </c>
    </row>
    <row r="781" spans="1:20" x14ac:dyDescent="0.25">
      <c r="A781" s="5">
        <v>43812</v>
      </c>
      <c r="B781">
        <v>43.65</v>
      </c>
      <c r="C781">
        <v>44.55</v>
      </c>
      <c r="D781">
        <v>43.43</v>
      </c>
      <c r="E781">
        <v>44.44</v>
      </c>
      <c r="F781">
        <v>127935.79567000001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0.80357142857142916</v>
      </c>
      <c r="Q781">
        <f t="shared" si="1005"/>
        <v>102805.55009196437</v>
      </c>
      <c r="R781">
        <f t="shared" si="1006"/>
        <v>5933608.92743917</v>
      </c>
      <c r="S781">
        <f t="shared" si="1007"/>
        <v>59.336089274391696</v>
      </c>
      <c r="T781">
        <f t="shared" si="1008"/>
        <v>5.9336089274391698E-2</v>
      </c>
    </row>
    <row r="782" spans="1:20" x14ac:dyDescent="0.25">
      <c r="A782" s="5">
        <v>43811</v>
      </c>
      <c r="B782">
        <v>43.7</v>
      </c>
      <c r="C782">
        <v>44.11</v>
      </c>
      <c r="D782">
        <v>42.84</v>
      </c>
      <c r="E782">
        <v>43.65</v>
      </c>
      <c r="F782">
        <v>169652.16018000001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0.27559055118109876</v>
      </c>
      <c r="Q782">
        <f t="shared" si="1005"/>
        <v>46754.532333070259</v>
      </c>
      <c r="R782">
        <f t="shared" si="1006"/>
        <v>5830803.3773472058</v>
      </c>
      <c r="S782">
        <f t="shared" si="1007"/>
        <v>58.308033773472054</v>
      </c>
      <c r="T782">
        <f t="shared" si="1008"/>
        <v>5.8308033773472052E-2</v>
      </c>
    </row>
    <row r="783" spans="1:20" x14ac:dyDescent="0.25">
      <c r="A783" s="5">
        <v>43810</v>
      </c>
      <c r="B783">
        <v>44.07</v>
      </c>
      <c r="C783">
        <v>44.46</v>
      </c>
      <c r="D783">
        <v>43.27</v>
      </c>
      <c r="E783">
        <v>43.7</v>
      </c>
      <c r="F783">
        <v>134280.00698000001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-0.27731092436974697</v>
      </c>
      <c r="Q783">
        <f t="shared" si="1005"/>
        <v>-37237.312859999874</v>
      </c>
      <c r="R783">
        <f t="shared" si="1006"/>
        <v>5784048.8450141354</v>
      </c>
      <c r="S783">
        <f t="shared" si="1007"/>
        <v>57.840488450141351</v>
      </c>
      <c r="T783">
        <f t="shared" si="1008"/>
        <v>5.784048845014135E-2</v>
      </c>
    </row>
    <row r="784" spans="1:20" x14ac:dyDescent="0.25">
      <c r="A784" s="5">
        <v>43809</v>
      </c>
      <c r="B784">
        <v>44.45</v>
      </c>
      <c r="C784">
        <v>44.67</v>
      </c>
      <c r="D784">
        <v>43.6</v>
      </c>
      <c r="E784">
        <v>44.09</v>
      </c>
      <c r="F784">
        <v>151332.98482000001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-8.4112149532706806E-2</v>
      </c>
      <c r="Q784">
        <f t="shared" si="1005"/>
        <v>-12728.94264841069</v>
      </c>
      <c r="R784">
        <f t="shared" si="1006"/>
        <v>5821286.1578741353</v>
      </c>
      <c r="S784">
        <f t="shared" si="1007"/>
        <v>58.212861578741354</v>
      </c>
      <c r="T784">
        <f t="shared" si="1008"/>
        <v>5.8212861578741351E-2</v>
      </c>
    </row>
    <row r="785" spans="1:20" x14ac:dyDescent="0.25">
      <c r="A785" s="5">
        <v>43808</v>
      </c>
      <c r="B785">
        <v>45.55</v>
      </c>
      <c r="C785">
        <v>45.87</v>
      </c>
      <c r="D785">
        <v>44.04</v>
      </c>
      <c r="E785">
        <v>44.45</v>
      </c>
      <c r="F785">
        <v>219794.24750999999</v>
      </c>
      <c r="G785">
        <v>0</v>
      </c>
      <c r="L785" t="s">
        <v>7</v>
      </c>
      <c r="M785" t="s">
        <v>7</v>
      </c>
      <c r="N785" t="s">
        <v>7</v>
      </c>
      <c r="P785">
        <f t="shared" si="1004"/>
        <v>-0.55191256830600643</v>
      </c>
      <c r="Q785">
        <f t="shared" si="1005"/>
        <v>-121307.20764213015</v>
      </c>
      <c r="R785">
        <f t="shared" si="1006"/>
        <v>5834015.1005225461</v>
      </c>
      <c r="S785">
        <f t="shared" si="1007"/>
        <v>58.340151005225458</v>
      </c>
      <c r="T785">
        <f t="shared" si="1008"/>
        <v>5.8340151005225459E-2</v>
      </c>
    </row>
    <row r="786" spans="1:20" x14ac:dyDescent="0.25">
      <c r="A786" s="5">
        <v>43807</v>
      </c>
      <c r="B786">
        <v>45.14</v>
      </c>
      <c r="C786">
        <v>46.2</v>
      </c>
      <c r="D786">
        <v>44.81</v>
      </c>
      <c r="E786">
        <v>45.56</v>
      </c>
      <c r="F786">
        <v>131675.58673000001</v>
      </c>
      <c r="G786">
        <v>0</v>
      </c>
      <c r="L786" t="s">
        <v>7</v>
      </c>
      <c r="M786" t="s">
        <v>7</v>
      </c>
      <c r="N786" t="s">
        <v>7</v>
      </c>
      <c r="P786">
        <f t="shared" si="1004"/>
        <v>7.9136690647481578E-2</v>
      </c>
      <c r="Q786">
        <f t="shared" si="1005"/>
        <v>10420.370172877641</v>
      </c>
      <c r="R786">
        <f t="shared" si="1006"/>
        <v>5955322.3081646767</v>
      </c>
      <c r="S786">
        <f t="shared" si="1007"/>
        <v>59.553223081646763</v>
      </c>
      <c r="T786">
        <f t="shared" si="1008"/>
        <v>5.9553223081646761E-2</v>
      </c>
    </row>
    <row r="787" spans="1:20" x14ac:dyDescent="0.25">
      <c r="A787" s="5">
        <v>43806</v>
      </c>
      <c r="B787">
        <v>45.26</v>
      </c>
      <c r="C787">
        <v>46.5</v>
      </c>
      <c r="D787">
        <v>44.94</v>
      </c>
      <c r="E787">
        <v>45.15</v>
      </c>
      <c r="F787">
        <v>195130.20296</v>
      </c>
      <c r="G787">
        <v>0</v>
      </c>
      <c r="L787" t="s">
        <v>7</v>
      </c>
      <c r="M787" t="s">
        <v>7</v>
      </c>
      <c r="N787" t="s">
        <v>7</v>
      </c>
      <c r="P787">
        <f t="shared" si="1004"/>
        <v>-0.73076923076923006</v>
      </c>
      <c r="Q787">
        <f t="shared" si="1005"/>
        <v>-142595.14831692295</v>
      </c>
      <c r="R787">
        <f t="shared" si="1006"/>
        <v>5944901.9379917989</v>
      </c>
      <c r="S787">
        <f t="shared" si="1007"/>
        <v>59.449019379917992</v>
      </c>
      <c r="T787">
        <f t="shared" si="1008"/>
        <v>5.9449019379917992E-2</v>
      </c>
    </row>
    <row r="788" spans="1:20" x14ac:dyDescent="0.25">
      <c r="A788" s="5">
        <v>43805</v>
      </c>
      <c r="B788">
        <v>44.78</v>
      </c>
      <c r="C788">
        <v>45.5</v>
      </c>
      <c r="D788">
        <v>44.05</v>
      </c>
      <c r="E788">
        <v>45.28</v>
      </c>
      <c r="F788">
        <v>273507.67563000001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0.6965517241379332</v>
      </c>
      <c r="Q788">
        <f t="shared" si="1005"/>
        <v>190512.24302503507</v>
      </c>
      <c r="R788">
        <f t="shared" si="1006"/>
        <v>6087497.0863087215</v>
      </c>
      <c r="S788">
        <f t="shared" si="1007"/>
        <v>60.874970863087214</v>
      </c>
      <c r="T788">
        <f t="shared" si="1008"/>
        <v>6.0874970863087213E-2</v>
      </c>
    </row>
    <row r="789" spans="1:20" x14ac:dyDescent="0.25">
      <c r="A789" s="5">
        <v>43804</v>
      </c>
      <c r="B789">
        <v>44.64</v>
      </c>
      <c r="C789">
        <v>45.21</v>
      </c>
      <c r="D789">
        <v>43.7</v>
      </c>
      <c r="E789">
        <v>44.81</v>
      </c>
      <c r="F789">
        <v>444840.89828000002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0.47019867549668992</v>
      </c>
      <c r="Q789">
        <f t="shared" si="1005"/>
        <v>209163.60117801378</v>
      </c>
      <c r="R789">
        <f t="shared" si="1006"/>
        <v>5896984.8432836868</v>
      </c>
      <c r="S789">
        <f t="shared" si="1007"/>
        <v>58.969848432836869</v>
      </c>
      <c r="T789">
        <f t="shared" si="1008"/>
        <v>5.8969848432836869E-2</v>
      </c>
    </row>
    <row r="790" spans="1:20" x14ac:dyDescent="0.25">
      <c r="A790" s="5">
        <v>43803</v>
      </c>
      <c r="B790">
        <v>44.76</v>
      </c>
      <c r="C790">
        <v>46.98</v>
      </c>
      <c r="D790">
        <v>43.69</v>
      </c>
      <c r="E790">
        <v>44.67</v>
      </c>
      <c r="F790">
        <v>555313.52752999996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-0.40425531914893359</v>
      </c>
      <c r="Q790">
        <f t="shared" si="1005"/>
        <v>-224488.44729936027</v>
      </c>
      <c r="R790">
        <f t="shared" si="1006"/>
        <v>5687821.2421056731</v>
      </c>
      <c r="S790">
        <f t="shared" si="1007"/>
        <v>56.87821242105673</v>
      </c>
      <c r="T790">
        <f t="shared" si="1008"/>
        <v>5.6878212421056729E-2</v>
      </c>
    </row>
    <row r="791" spans="1:20" x14ac:dyDescent="0.25">
      <c r="A791" s="5">
        <v>43802</v>
      </c>
      <c r="B791">
        <v>45.44</v>
      </c>
      <c r="C791">
        <v>46.22</v>
      </c>
      <c r="D791">
        <v>44.26</v>
      </c>
      <c r="E791">
        <v>44.75</v>
      </c>
      <c r="F791">
        <v>323943.46120000002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-0.49999999999999817</v>
      </c>
      <c r="Q791">
        <f t="shared" si="1005"/>
        <v>-161971.73059999943</v>
      </c>
      <c r="R791">
        <f t="shared" si="1006"/>
        <v>5912309.6894050334</v>
      </c>
      <c r="S791">
        <f t="shared" si="1007"/>
        <v>59.123096894050335</v>
      </c>
      <c r="T791">
        <f t="shared" si="1008"/>
        <v>5.9123096894050334E-2</v>
      </c>
    </row>
    <row r="792" spans="1:20" x14ac:dyDescent="0.25">
      <c r="A792" s="5">
        <v>43801</v>
      </c>
      <c r="B792">
        <v>47.45</v>
      </c>
      <c r="C792">
        <v>47.57</v>
      </c>
      <c r="D792">
        <v>44.71</v>
      </c>
      <c r="E792">
        <v>45.45</v>
      </c>
      <c r="F792">
        <v>302502.05197999999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-0.482517482517481</v>
      </c>
      <c r="Q792">
        <f t="shared" si="1005"/>
        <v>-145962.52857776178</v>
      </c>
      <c r="R792">
        <f t="shared" si="1006"/>
        <v>6074281.4200050328</v>
      </c>
      <c r="S792">
        <f t="shared" si="1007"/>
        <v>60.742814200050326</v>
      </c>
      <c r="T792">
        <f t="shared" si="1008"/>
        <v>6.0742814200050323E-2</v>
      </c>
    </row>
    <row r="793" spans="1:20" x14ac:dyDescent="0.25">
      <c r="A793" s="5">
        <v>43800</v>
      </c>
      <c r="B793">
        <v>47.21</v>
      </c>
      <c r="C793">
        <v>48.45</v>
      </c>
      <c r="D793">
        <v>45.5</v>
      </c>
      <c r="E793">
        <v>47.45</v>
      </c>
      <c r="F793">
        <v>313486.32182999997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0.32203389830508539</v>
      </c>
      <c r="Q793">
        <f t="shared" si="1005"/>
        <v>100953.22228423748</v>
      </c>
      <c r="R793">
        <f t="shared" si="1006"/>
        <v>6220243.9485827945</v>
      </c>
      <c r="S793">
        <f t="shared" si="1007"/>
        <v>62.202439485827945</v>
      </c>
      <c r="T793">
        <f t="shared" si="1008"/>
        <v>6.2202439485827946E-2</v>
      </c>
    </row>
    <row r="794" spans="1:20" x14ac:dyDescent="0.25">
      <c r="A794" s="5">
        <v>43799</v>
      </c>
      <c r="B794">
        <v>48.55</v>
      </c>
      <c r="C794">
        <v>48.76</v>
      </c>
      <c r="D794">
        <v>46.53</v>
      </c>
      <c r="E794">
        <v>47.21</v>
      </c>
      <c r="F794">
        <v>270874.56808</v>
      </c>
      <c r="G794">
        <v>0</v>
      </c>
      <c r="L794" t="s">
        <v>8</v>
      </c>
      <c r="M794" t="s">
        <v>7</v>
      </c>
      <c r="N794" t="s">
        <v>7</v>
      </c>
      <c r="P794">
        <f t="shared" si="1004"/>
        <v>-0.39013452914798147</v>
      </c>
      <c r="Q794">
        <f t="shared" si="1005"/>
        <v>-105677.52207605365</v>
      </c>
      <c r="R794">
        <f t="shared" si="1006"/>
        <v>6119290.7262985567</v>
      </c>
      <c r="S794">
        <f t="shared" si="1007"/>
        <v>61.192907262985564</v>
      </c>
      <c r="T794">
        <f t="shared" si="1008"/>
        <v>6.1192907262985562E-2</v>
      </c>
    </row>
    <row r="795" spans="1:20" x14ac:dyDescent="0.25">
      <c r="A795" s="5">
        <v>43798</v>
      </c>
      <c r="B795">
        <v>46.78</v>
      </c>
      <c r="C795">
        <v>49.33</v>
      </c>
      <c r="D795">
        <v>46.73</v>
      </c>
      <c r="E795">
        <v>48.54</v>
      </c>
      <c r="F795">
        <v>301668.56643000001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0.3923076923076933</v>
      </c>
      <c r="Q795">
        <f t="shared" si="1005"/>
        <v>118346.89913792338</v>
      </c>
      <c r="R795">
        <f t="shared" si="1006"/>
        <v>6224968.2483746102</v>
      </c>
      <c r="S795">
        <f t="shared" si="1007"/>
        <v>62.249682483746099</v>
      </c>
      <c r="T795">
        <f t="shared" si="1008"/>
        <v>6.2249682483746099E-2</v>
      </c>
    </row>
    <row r="796" spans="1:20" x14ac:dyDescent="0.25">
      <c r="A796" s="5">
        <v>43797</v>
      </c>
      <c r="B796">
        <v>47.69</v>
      </c>
      <c r="C796">
        <v>48</v>
      </c>
      <c r="D796">
        <v>46.01</v>
      </c>
      <c r="E796">
        <v>46.79</v>
      </c>
      <c r="F796">
        <v>267853.24106999999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-0.21608040201004988</v>
      </c>
      <c r="Q796">
        <f t="shared" si="1005"/>
        <v>-57877.8360101004</v>
      </c>
      <c r="R796">
        <f t="shared" si="1006"/>
        <v>6106621.3492366867</v>
      </c>
      <c r="S796">
        <f t="shared" si="1007"/>
        <v>61.06621349236687</v>
      </c>
      <c r="T796">
        <f t="shared" si="1008"/>
        <v>6.1066213492366871E-2</v>
      </c>
    </row>
    <row r="797" spans="1:20" x14ac:dyDescent="0.25">
      <c r="A797" s="5">
        <v>43796</v>
      </c>
      <c r="B797">
        <v>46.91</v>
      </c>
      <c r="C797">
        <v>48.69</v>
      </c>
      <c r="D797">
        <v>44.51</v>
      </c>
      <c r="E797">
        <v>47.7</v>
      </c>
      <c r="F797">
        <v>455880.87524000002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0.52631578947368662</v>
      </c>
      <c r="Q797">
        <f t="shared" si="1005"/>
        <v>239937.30275789584</v>
      </c>
      <c r="R797">
        <f t="shared" si="1006"/>
        <v>6164499.185246787</v>
      </c>
      <c r="S797">
        <f t="shared" si="1007"/>
        <v>61.644991852467868</v>
      </c>
      <c r="T797">
        <f t="shared" si="1008"/>
        <v>6.164499185246787E-2</v>
      </c>
    </row>
    <row r="798" spans="1:20" x14ac:dyDescent="0.25">
      <c r="A798" s="5">
        <v>43795</v>
      </c>
      <c r="B798">
        <v>45.48</v>
      </c>
      <c r="C798">
        <v>47.57</v>
      </c>
      <c r="D798">
        <v>45.22</v>
      </c>
      <c r="E798">
        <v>46.91</v>
      </c>
      <c r="F798">
        <v>310692.28240999999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0.43829787234042272</v>
      </c>
      <c r="Q798">
        <f t="shared" si="1005"/>
        <v>136175.76633289273</v>
      </c>
      <c r="R798">
        <f t="shared" si="1006"/>
        <v>5924561.8824888915</v>
      </c>
      <c r="S798">
        <f t="shared" si="1007"/>
        <v>59.245618824888915</v>
      </c>
      <c r="T798">
        <f t="shared" si="1008"/>
        <v>5.9245618824888914E-2</v>
      </c>
    </row>
    <row r="799" spans="1:20" x14ac:dyDescent="0.25">
      <c r="A799" s="5">
        <v>43794</v>
      </c>
      <c r="B799">
        <v>43.87</v>
      </c>
      <c r="C799">
        <v>47.42</v>
      </c>
      <c r="D799">
        <v>42.04</v>
      </c>
      <c r="E799">
        <v>45.47</v>
      </c>
      <c r="F799">
        <v>571324.21756999998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0.27509293680297325</v>
      </c>
      <c r="Q799">
        <f t="shared" si="1005"/>
        <v>157167.25687799216</v>
      </c>
      <c r="R799">
        <f t="shared" si="1006"/>
        <v>5788386.1161559988</v>
      </c>
      <c r="S799">
        <f t="shared" si="1007"/>
        <v>57.883861161559985</v>
      </c>
      <c r="T799">
        <f t="shared" si="1008"/>
        <v>5.7883861161559982E-2</v>
      </c>
    </row>
    <row r="800" spans="1:20" x14ac:dyDescent="0.25">
      <c r="A800" s="5">
        <v>43793</v>
      </c>
      <c r="B800">
        <v>48.11</v>
      </c>
      <c r="C800">
        <v>48.24</v>
      </c>
      <c r="D800">
        <v>43.45</v>
      </c>
      <c r="E800">
        <v>43.86</v>
      </c>
      <c r="F800">
        <v>419517.52854000003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-0.82881002087682809</v>
      </c>
      <c r="Q800">
        <f t="shared" si="1005"/>
        <v>-347700.33158743277</v>
      </c>
      <c r="R800">
        <f t="shared" si="1006"/>
        <v>5631218.8592780065</v>
      </c>
      <c r="S800">
        <f t="shared" si="1007"/>
        <v>56.312188592780068</v>
      </c>
      <c r="T800">
        <f t="shared" si="1008"/>
        <v>5.6312188592780067E-2</v>
      </c>
    </row>
    <row r="801" spans="1:20" x14ac:dyDescent="0.25">
      <c r="A801" s="5">
        <v>43792</v>
      </c>
      <c r="B801">
        <v>47.32</v>
      </c>
      <c r="C801">
        <v>48.53</v>
      </c>
      <c r="D801">
        <v>46.13</v>
      </c>
      <c r="E801">
        <v>48.1</v>
      </c>
      <c r="F801">
        <v>301729.20885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0.64166666666666672</v>
      </c>
      <c r="Q801">
        <f t="shared" si="1005"/>
        <v>193609.57567875</v>
      </c>
      <c r="R801">
        <f t="shared" si="1006"/>
        <v>5978919.1908654394</v>
      </c>
      <c r="S801">
        <f t="shared" si="1007"/>
        <v>59.789191908654395</v>
      </c>
      <c r="T801">
        <f t="shared" si="1008"/>
        <v>5.9789191908654393E-2</v>
      </c>
    </row>
    <row r="802" spans="1:20" x14ac:dyDescent="0.25">
      <c r="A802" s="5">
        <v>43791</v>
      </c>
      <c r="B802">
        <v>50.61</v>
      </c>
      <c r="C802">
        <v>51.55</v>
      </c>
      <c r="D802">
        <v>43.58</v>
      </c>
      <c r="E802">
        <v>47.32</v>
      </c>
      <c r="F802">
        <v>924579.32623999997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-6.1480552070262852E-2</v>
      </c>
      <c r="Q802">
        <f t="shared" si="1005"/>
        <v>-56843.647409986865</v>
      </c>
      <c r="R802">
        <f t="shared" si="1006"/>
        <v>5785309.6151866894</v>
      </c>
      <c r="S802">
        <f t="shared" si="1007"/>
        <v>57.853096151866893</v>
      </c>
      <c r="T802">
        <f t="shared" si="1008"/>
        <v>5.7853096151866894E-2</v>
      </c>
    </row>
    <row r="803" spans="1:20" x14ac:dyDescent="0.25">
      <c r="A803" s="5">
        <v>43790</v>
      </c>
      <c r="B803">
        <v>54.99</v>
      </c>
      <c r="C803">
        <v>55.29</v>
      </c>
      <c r="D803">
        <v>48.51</v>
      </c>
      <c r="E803">
        <v>50.61</v>
      </c>
      <c r="F803">
        <v>442743.26376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-0.38053097345132714</v>
      </c>
      <c r="Q803">
        <f t="shared" si="1005"/>
        <v>-168477.52514761049</v>
      </c>
      <c r="R803">
        <f t="shared" si="1006"/>
        <v>5842153.2625966761</v>
      </c>
      <c r="S803">
        <f t="shared" si="1007"/>
        <v>58.421532625966762</v>
      </c>
      <c r="T803">
        <f t="shared" si="1008"/>
        <v>5.8421532625966763E-2</v>
      </c>
    </row>
    <row r="804" spans="1:20" x14ac:dyDescent="0.25">
      <c r="A804" s="5">
        <v>43789</v>
      </c>
      <c r="B804">
        <v>55.13</v>
      </c>
      <c r="C804">
        <v>56.16</v>
      </c>
      <c r="D804">
        <v>54.61</v>
      </c>
      <c r="E804">
        <v>54.98</v>
      </c>
      <c r="F804">
        <v>224543.37210000001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-0.52258064516129277</v>
      </c>
      <c r="Q804">
        <f t="shared" si="1005"/>
        <v>-117342.02025871022</v>
      </c>
      <c r="R804">
        <f t="shared" si="1006"/>
        <v>6010630.7877442865</v>
      </c>
      <c r="S804">
        <f t="shared" si="1007"/>
        <v>60.106307877442866</v>
      </c>
      <c r="T804">
        <f t="shared" si="1008"/>
        <v>6.0106307877442866E-2</v>
      </c>
    </row>
    <row r="805" spans="1:20" x14ac:dyDescent="0.25">
      <c r="A805" s="5">
        <v>43788</v>
      </c>
      <c r="B805">
        <v>55.8</v>
      </c>
      <c r="C805">
        <v>56.23</v>
      </c>
      <c r="D805">
        <v>54.2</v>
      </c>
      <c r="E805">
        <v>55.13</v>
      </c>
      <c r="F805">
        <v>245040.39116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-8.37438423645296E-2</v>
      </c>
      <c r="Q805">
        <f t="shared" si="1005"/>
        <v>-20520.623890245712</v>
      </c>
      <c r="R805">
        <f t="shared" si="1006"/>
        <v>6127972.8080029963</v>
      </c>
      <c r="S805">
        <f t="shared" si="1007"/>
        <v>61.279728080029962</v>
      </c>
      <c r="T805">
        <f t="shared" si="1008"/>
        <v>6.127972808002996E-2</v>
      </c>
    </row>
    <row r="806" spans="1:20" x14ac:dyDescent="0.25">
      <c r="A806" s="5">
        <v>43787</v>
      </c>
      <c r="B806">
        <v>59.21</v>
      </c>
      <c r="C806">
        <v>59.3</v>
      </c>
      <c r="D806">
        <v>54</v>
      </c>
      <c r="E806">
        <v>55.81</v>
      </c>
      <c r="F806">
        <v>297441.77935999999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-0.31698113207547046</v>
      </c>
      <c r="Q806">
        <f t="shared" si="1005"/>
        <v>-94283.4319480751</v>
      </c>
      <c r="R806">
        <f t="shared" si="1006"/>
        <v>6148493.4318932416</v>
      </c>
      <c r="S806">
        <f t="shared" si="1007"/>
        <v>61.484934318932417</v>
      </c>
      <c r="T806">
        <f t="shared" si="1008"/>
        <v>6.148493431893242E-2</v>
      </c>
    </row>
    <row r="807" spans="1:20" x14ac:dyDescent="0.25">
      <c r="A807" s="5">
        <v>43786</v>
      </c>
      <c r="B807">
        <v>58.29</v>
      </c>
      <c r="C807">
        <v>59.97</v>
      </c>
      <c r="D807">
        <v>57.55</v>
      </c>
      <c r="E807">
        <v>59.22</v>
      </c>
      <c r="F807">
        <v>190026.97120999999</v>
      </c>
      <c r="G807">
        <v>0</v>
      </c>
      <c r="L807" t="s">
        <v>7</v>
      </c>
      <c r="M807" t="s">
        <v>8</v>
      </c>
      <c r="N807" t="s">
        <v>7</v>
      </c>
      <c r="P807">
        <f t="shared" si="1004"/>
        <v>0.3801652892561988</v>
      </c>
      <c r="Q807">
        <f t="shared" si="1005"/>
        <v>72241.658476529003</v>
      </c>
      <c r="R807">
        <f t="shared" si="1006"/>
        <v>6242776.8638413167</v>
      </c>
      <c r="S807">
        <f t="shared" si="1007"/>
        <v>62.42776863841317</v>
      </c>
      <c r="T807">
        <f t="shared" si="1008"/>
        <v>6.2427768638413171E-2</v>
      </c>
    </row>
    <row r="808" spans="1:20" x14ac:dyDescent="0.25">
      <c r="A808" s="5">
        <v>43785</v>
      </c>
      <c r="B808">
        <v>57.61</v>
      </c>
      <c r="C808">
        <v>58.98</v>
      </c>
      <c r="D808">
        <v>57.14</v>
      </c>
      <c r="E808">
        <v>58.3</v>
      </c>
      <c r="F808">
        <v>135649.07459999999</v>
      </c>
      <c r="G808">
        <v>0</v>
      </c>
      <c r="L808" t="s">
        <v>7</v>
      </c>
      <c r="M808" t="s">
        <v>8</v>
      </c>
      <c r="N808" t="s">
        <v>7</v>
      </c>
      <c r="P808">
        <f t="shared" si="1004"/>
        <v>0.26086956521739013</v>
      </c>
      <c r="Q808">
        <f t="shared" si="1005"/>
        <v>35386.715113043319</v>
      </c>
      <c r="R808">
        <f t="shared" si="1006"/>
        <v>6170535.205364788</v>
      </c>
      <c r="S808">
        <f t="shared" si="1007"/>
        <v>61.705352053647879</v>
      </c>
      <c r="T808">
        <f t="shared" si="1008"/>
        <v>6.1705352053647876E-2</v>
      </c>
    </row>
    <row r="809" spans="1:20" x14ac:dyDescent="0.25">
      <c r="A809" s="5">
        <v>43784</v>
      </c>
      <c r="B809">
        <v>59</v>
      </c>
      <c r="C809">
        <v>60.75</v>
      </c>
      <c r="D809">
        <v>56.2</v>
      </c>
      <c r="E809">
        <v>57.6</v>
      </c>
      <c r="F809">
        <v>333621.34492</v>
      </c>
      <c r="G809">
        <v>0</v>
      </c>
      <c r="L809" t="s">
        <v>7</v>
      </c>
      <c r="M809" t="s">
        <v>8</v>
      </c>
      <c r="N809" t="s">
        <v>7</v>
      </c>
      <c r="P809">
        <f t="shared" si="1004"/>
        <v>-0.38461538461538486</v>
      </c>
      <c r="Q809">
        <f t="shared" si="1005"/>
        <v>-128315.90189230778</v>
      </c>
      <c r="R809">
        <f t="shared" si="1006"/>
        <v>6135148.4902517442</v>
      </c>
      <c r="S809">
        <f t="shared" si="1007"/>
        <v>61.351484902517441</v>
      </c>
      <c r="T809">
        <f t="shared" si="1008"/>
        <v>6.1351484902517441E-2</v>
      </c>
    </row>
    <row r="810" spans="1:20" x14ac:dyDescent="0.25">
      <c r="A810" s="5">
        <v>43783</v>
      </c>
      <c r="B810">
        <v>60.96</v>
      </c>
      <c r="C810">
        <v>61.1</v>
      </c>
      <c r="D810">
        <v>58.25</v>
      </c>
      <c r="E810">
        <v>59</v>
      </c>
      <c r="F810">
        <v>289462.24047999998</v>
      </c>
      <c r="G810">
        <v>0</v>
      </c>
      <c r="L810" t="s">
        <v>7</v>
      </c>
      <c r="M810" t="s">
        <v>8</v>
      </c>
      <c r="N810" t="s">
        <v>7</v>
      </c>
      <c r="P810">
        <f t="shared" si="1004"/>
        <v>-0.47368421052631604</v>
      </c>
      <c r="Q810">
        <f t="shared" si="1005"/>
        <v>-137113.69285894744</v>
      </c>
      <c r="R810">
        <f t="shared" si="1006"/>
        <v>6263464.3921440523</v>
      </c>
      <c r="S810">
        <f t="shared" si="1007"/>
        <v>62.634643921440521</v>
      </c>
      <c r="T810">
        <f t="shared" si="1008"/>
        <v>6.2634643921440525E-2</v>
      </c>
    </row>
    <row r="811" spans="1:20" x14ac:dyDescent="0.25">
      <c r="A811" s="5">
        <v>43782</v>
      </c>
      <c r="B811">
        <v>61.45</v>
      </c>
      <c r="C811">
        <v>62.05</v>
      </c>
      <c r="D811">
        <v>60.27</v>
      </c>
      <c r="E811">
        <v>60.96</v>
      </c>
      <c r="F811">
        <v>175581.95546</v>
      </c>
      <c r="G811">
        <v>0</v>
      </c>
      <c r="L811" t="s">
        <v>7</v>
      </c>
      <c r="M811" t="s">
        <v>8</v>
      </c>
      <c r="N811" t="s">
        <v>7</v>
      </c>
      <c r="P811">
        <f t="shared" si="1004"/>
        <v>-0.22471910112359547</v>
      </c>
      <c r="Q811">
        <f t="shared" si="1005"/>
        <v>-39456.619204494375</v>
      </c>
      <c r="R811">
        <f t="shared" si="1006"/>
        <v>6400578.0850029998</v>
      </c>
      <c r="S811">
        <f t="shared" si="1007"/>
        <v>64.005780850029993</v>
      </c>
      <c r="T811">
        <f t="shared" si="1008"/>
        <v>6.4005780850029989E-2</v>
      </c>
    </row>
    <row r="812" spans="1:20" x14ac:dyDescent="0.25">
      <c r="A812" s="5">
        <v>43781</v>
      </c>
      <c r="B812">
        <v>61.84</v>
      </c>
      <c r="C812">
        <v>62.25</v>
      </c>
      <c r="D812">
        <v>59.75</v>
      </c>
      <c r="E812">
        <v>61.42</v>
      </c>
      <c r="F812">
        <v>299770.77159999998</v>
      </c>
      <c r="G812">
        <v>0</v>
      </c>
      <c r="L812" t="s">
        <v>7</v>
      </c>
      <c r="M812" t="s">
        <v>8</v>
      </c>
      <c r="N812" t="s">
        <v>7</v>
      </c>
      <c r="P812">
        <f t="shared" si="1004"/>
        <v>0.33600000000000135</v>
      </c>
      <c r="Q812">
        <f t="shared" si="1005"/>
        <v>100722.9792576004</v>
      </c>
      <c r="R812">
        <f t="shared" si="1006"/>
        <v>6440034.7042074939</v>
      </c>
      <c r="S812">
        <f t="shared" si="1007"/>
        <v>64.400347042074941</v>
      </c>
      <c r="T812">
        <f t="shared" si="1008"/>
        <v>6.4400347042074937E-2</v>
      </c>
    </row>
    <row r="813" spans="1:20" x14ac:dyDescent="0.25">
      <c r="A813" s="5">
        <v>43780</v>
      </c>
      <c r="B813">
        <v>63.65</v>
      </c>
      <c r="C813">
        <v>64.33</v>
      </c>
      <c r="D813">
        <v>60.47</v>
      </c>
      <c r="E813">
        <v>61.84</v>
      </c>
      <c r="F813">
        <v>409179.59194999997</v>
      </c>
      <c r="G813">
        <v>0</v>
      </c>
      <c r="L813" t="s">
        <v>7</v>
      </c>
      <c r="M813" t="s">
        <v>8</v>
      </c>
      <c r="N813" t="s">
        <v>7</v>
      </c>
      <c r="P813">
        <f t="shared" si="1004"/>
        <v>-0.29015544041450531</v>
      </c>
      <c r="Q813">
        <f t="shared" si="1005"/>
        <v>-118725.68471087981</v>
      </c>
      <c r="R813">
        <f t="shared" si="1006"/>
        <v>6339311.7249498935</v>
      </c>
      <c r="S813">
        <f t="shared" si="1007"/>
        <v>63.393117249498935</v>
      </c>
      <c r="T813">
        <f t="shared" si="1008"/>
        <v>6.3393117249498934E-2</v>
      </c>
    </row>
    <row r="814" spans="1:20" x14ac:dyDescent="0.25">
      <c r="A814" s="5">
        <v>43779</v>
      </c>
      <c r="B814">
        <v>62.04</v>
      </c>
      <c r="C814">
        <v>66.19</v>
      </c>
      <c r="D814">
        <v>60.8</v>
      </c>
      <c r="E814">
        <v>63.65</v>
      </c>
      <c r="F814">
        <v>437892.99669</v>
      </c>
      <c r="G814">
        <v>0</v>
      </c>
      <c r="L814" t="s">
        <v>8</v>
      </c>
      <c r="M814" t="s">
        <v>8</v>
      </c>
      <c r="N814" t="s">
        <v>7</v>
      </c>
      <c r="P814">
        <f t="shared" si="1004"/>
        <v>5.7513914656772212E-2</v>
      </c>
      <c r="Q814">
        <f t="shared" si="1005"/>
        <v>25184.940440426897</v>
      </c>
      <c r="R814">
        <f t="shared" si="1006"/>
        <v>6458037.4096607734</v>
      </c>
      <c r="S814">
        <f t="shared" si="1007"/>
        <v>64.580374096607727</v>
      </c>
      <c r="T814">
        <f t="shared" si="1008"/>
        <v>6.4580374096607732E-2</v>
      </c>
    </row>
    <row r="815" spans="1:20" x14ac:dyDescent="0.25">
      <c r="A815" s="5">
        <v>43778</v>
      </c>
      <c r="B815">
        <v>60.36</v>
      </c>
      <c r="C815">
        <v>62.37</v>
      </c>
      <c r="D815">
        <v>60.17</v>
      </c>
      <c r="E815">
        <v>62.04</v>
      </c>
      <c r="F815">
        <v>196430.96635</v>
      </c>
      <c r="G815">
        <v>0</v>
      </c>
      <c r="L815" t="s">
        <v>7</v>
      </c>
      <c r="M815" t="s">
        <v>8</v>
      </c>
      <c r="N815" t="s">
        <v>7</v>
      </c>
      <c r="P815">
        <f t="shared" si="1004"/>
        <v>0.70000000000000095</v>
      </c>
      <c r="Q815">
        <f t="shared" si="1005"/>
        <v>137501.67644500019</v>
      </c>
      <c r="R815">
        <f t="shared" si="1006"/>
        <v>6432852.4692203468</v>
      </c>
      <c r="S815">
        <f t="shared" si="1007"/>
        <v>64.328524692203473</v>
      </c>
      <c r="T815">
        <f t="shared" si="1008"/>
        <v>6.4328524692203473E-2</v>
      </c>
    </row>
    <row r="816" spans="1:20" x14ac:dyDescent="0.25">
      <c r="A816" s="5">
        <v>43777</v>
      </c>
      <c r="B816">
        <v>61.4</v>
      </c>
      <c r="C816">
        <v>62.49</v>
      </c>
      <c r="D816">
        <v>58.93</v>
      </c>
      <c r="E816">
        <v>60.38</v>
      </c>
      <c r="F816">
        <v>347351.93738999998</v>
      </c>
      <c r="G816">
        <v>0</v>
      </c>
      <c r="L816" t="s">
        <v>7</v>
      </c>
      <c r="M816" t="s">
        <v>8</v>
      </c>
      <c r="N816" t="s">
        <v>7</v>
      </c>
      <c r="P816">
        <f t="shared" si="1004"/>
        <v>-0.18539325842696522</v>
      </c>
      <c r="Q816">
        <f t="shared" si="1005"/>
        <v>-64396.707493651309</v>
      </c>
      <c r="R816">
        <f t="shared" si="1006"/>
        <v>6295350.7927753469</v>
      </c>
      <c r="S816">
        <f t="shared" si="1007"/>
        <v>62.953507927753471</v>
      </c>
      <c r="T816">
        <f t="shared" si="1008"/>
        <v>6.2953507927753477E-2</v>
      </c>
    </row>
    <row r="817" spans="1:20" x14ac:dyDescent="0.25">
      <c r="A817" s="5">
        <v>43776</v>
      </c>
      <c r="B817">
        <v>64.11</v>
      </c>
      <c r="C817">
        <v>64.33</v>
      </c>
      <c r="D817">
        <v>60.27</v>
      </c>
      <c r="E817">
        <v>61.39</v>
      </c>
      <c r="F817">
        <v>327504.17073000001</v>
      </c>
      <c r="G817">
        <v>0</v>
      </c>
      <c r="L817" t="s">
        <v>7</v>
      </c>
      <c r="M817" t="s">
        <v>8</v>
      </c>
      <c r="N817" t="s">
        <v>7</v>
      </c>
      <c r="P817">
        <f t="shared" si="1004"/>
        <v>-0.44827586206896614</v>
      </c>
      <c r="Q817">
        <f t="shared" si="1005"/>
        <v>-146812.21446517261</v>
      </c>
      <c r="R817">
        <f t="shared" si="1006"/>
        <v>6359747.5002689986</v>
      </c>
      <c r="S817">
        <f t="shared" si="1007"/>
        <v>63.597475002689983</v>
      </c>
      <c r="T817">
        <f t="shared" si="1008"/>
        <v>6.3597475002689988E-2</v>
      </c>
    </row>
    <row r="818" spans="1:20" x14ac:dyDescent="0.25">
      <c r="A818" s="5">
        <v>43775</v>
      </c>
      <c r="B818">
        <v>63.13</v>
      </c>
      <c r="C818">
        <v>64.33</v>
      </c>
      <c r="D818">
        <v>62.56</v>
      </c>
      <c r="E818">
        <v>64.11</v>
      </c>
      <c r="F818">
        <v>334742.14328000002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0.75141242937853181</v>
      </c>
      <c r="Q818">
        <f t="shared" si="1005"/>
        <v>251529.40709740139</v>
      </c>
      <c r="R818">
        <f t="shared" si="1006"/>
        <v>6506559.7147341715</v>
      </c>
      <c r="S818">
        <f t="shared" si="1007"/>
        <v>65.06559714734172</v>
      </c>
      <c r="T818">
        <f t="shared" si="1008"/>
        <v>6.5065597147341725E-2</v>
      </c>
    </row>
    <row r="819" spans="1:20" x14ac:dyDescent="0.25">
      <c r="A819" s="5">
        <v>43774</v>
      </c>
      <c r="B819">
        <v>61.26</v>
      </c>
      <c r="C819">
        <v>64.150000000000006</v>
      </c>
      <c r="D819">
        <v>60.89</v>
      </c>
      <c r="E819">
        <v>63.12</v>
      </c>
      <c r="F819">
        <v>527595.77833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0.36809815950919839</v>
      </c>
      <c r="Q819">
        <f t="shared" si="1005"/>
        <v>194207.03496809601</v>
      </c>
      <c r="R819">
        <f t="shared" si="1006"/>
        <v>6255030.3076367704</v>
      </c>
      <c r="S819">
        <f t="shared" si="1007"/>
        <v>62.550303076367705</v>
      </c>
      <c r="T819">
        <f t="shared" si="1008"/>
        <v>6.2550303076367705E-2</v>
      </c>
    </row>
    <row r="820" spans="1:20" x14ac:dyDescent="0.25">
      <c r="A820" s="5">
        <v>43773</v>
      </c>
      <c r="B820">
        <v>58.29</v>
      </c>
      <c r="C820">
        <v>62.4</v>
      </c>
      <c r="D820">
        <v>57.87</v>
      </c>
      <c r="E820">
        <v>61.29</v>
      </c>
      <c r="F820">
        <v>410380.76551</v>
      </c>
      <c r="G820">
        <v>0</v>
      </c>
      <c r="L820" t="s">
        <v>8</v>
      </c>
      <c r="M820" t="s">
        <v>8</v>
      </c>
      <c r="N820" t="s">
        <v>7</v>
      </c>
      <c r="P820">
        <f t="shared" si="1004"/>
        <v>0.50993377483443747</v>
      </c>
      <c r="Q820">
        <f t="shared" si="1005"/>
        <v>209267.01287596041</v>
      </c>
      <c r="R820">
        <f t="shared" si="1006"/>
        <v>6060823.2726686746</v>
      </c>
      <c r="S820">
        <f t="shared" si="1007"/>
        <v>60.608232726686744</v>
      </c>
      <c r="T820">
        <f t="shared" si="1008"/>
        <v>6.0608232726686743E-2</v>
      </c>
    </row>
    <row r="821" spans="1:20" x14ac:dyDescent="0.25">
      <c r="A821" s="5">
        <v>43772</v>
      </c>
      <c r="B821">
        <v>58.24</v>
      </c>
      <c r="C821">
        <v>58.75</v>
      </c>
      <c r="D821">
        <v>57.18</v>
      </c>
      <c r="E821">
        <v>58.29</v>
      </c>
      <c r="F821">
        <v>141302.66308</v>
      </c>
      <c r="G821">
        <v>0</v>
      </c>
      <c r="L821" t="s">
        <v>7</v>
      </c>
      <c r="M821" t="s">
        <v>8</v>
      </c>
      <c r="N821" t="s">
        <v>7</v>
      </c>
      <c r="P821">
        <f t="shared" si="1004"/>
        <v>0.4140127388535022</v>
      </c>
      <c r="Q821">
        <f t="shared" si="1005"/>
        <v>58501.102549044444</v>
      </c>
      <c r="R821">
        <f t="shared" si="1006"/>
        <v>5851556.2597927144</v>
      </c>
      <c r="S821">
        <f t="shared" si="1007"/>
        <v>58.515562597927143</v>
      </c>
      <c r="T821">
        <f t="shared" si="1008"/>
        <v>5.8515562597927145E-2</v>
      </c>
    </row>
    <row r="822" spans="1:20" x14ac:dyDescent="0.25">
      <c r="A822" s="5">
        <v>43771</v>
      </c>
      <c r="B822">
        <v>58.24</v>
      </c>
      <c r="C822">
        <v>59.19</v>
      </c>
      <c r="D822">
        <v>57.73</v>
      </c>
      <c r="E822">
        <v>58.25</v>
      </c>
      <c r="F822">
        <v>150647.4393</v>
      </c>
      <c r="G822">
        <v>0</v>
      </c>
      <c r="L822" t="s">
        <v>7</v>
      </c>
      <c r="M822" t="s">
        <v>8</v>
      </c>
      <c r="N822" t="s">
        <v>7</v>
      </c>
      <c r="P822">
        <f t="shared" si="1004"/>
        <v>-0.28767123287670848</v>
      </c>
      <c r="Q822">
        <f t="shared" si="1005"/>
        <v>-43336.934593150108</v>
      </c>
      <c r="R822">
        <f t="shared" si="1006"/>
        <v>5793055.15724367</v>
      </c>
      <c r="S822">
        <f t="shared" si="1007"/>
        <v>57.930551572436698</v>
      </c>
      <c r="T822">
        <f t="shared" si="1008"/>
        <v>5.7930551572436699E-2</v>
      </c>
    </row>
    <row r="823" spans="1:20" x14ac:dyDescent="0.25">
      <c r="A823" s="5">
        <v>43770</v>
      </c>
      <c r="B823">
        <v>58.29</v>
      </c>
      <c r="C823">
        <v>58.8</v>
      </c>
      <c r="D823">
        <v>56.68</v>
      </c>
      <c r="E823">
        <v>58.23</v>
      </c>
      <c r="F823">
        <v>221222.32939999999</v>
      </c>
      <c r="G823">
        <v>0</v>
      </c>
      <c r="L823" t="s">
        <v>7</v>
      </c>
      <c r="M823" t="s">
        <v>8</v>
      </c>
      <c r="N823" t="s">
        <v>7</v>
      </c>
      <c r="P823">
        <f t="shared" si="1004"/>
        <v>0.46226415094339529</v>
      </c>
      <c r="Q823">
        <f t="shared" si="1005"/>
        <v>102263.15226981111</v>
      </c>
      <c r="R823">
        <f t="shared" si="1006"/>
        <v>5836392.0918368204</v>
      </c>
      <c r="S823">
        <f t="shared" si="1007"/>
        <v>58.363920918368201</v>
      </c>
      <c r="T823">
        <f t="shared" si="1008"/>
        <v>5.8363920918368201E-2</v>
      </c>
    </row>
    <row r="824" spans="1:20" x14ac:dyDescent="0.25">
      <c r="A824" s="5">
        <v>43769</v>
      </c>
      <c r="B824">
        <v>57.9</v>
      </c>
      <c r="C824">
        <v>59.56</v>
      </c>
      <c r="D824">
        <v>57.01</v>
      </c>
      <c r="E824">
        <v>58.29</v>
      </c>
      <c r="F824">
        <v>269103.33623000002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3.9215686274501936E-3</v>
      </c>
      <c r="Q824">
        <f t="shared" si="1005"/>
        <v>1055.3072009017492</v>
      </c>
      <c r="R824">
        <f t="shared" si="1006"/>
        <v>5734128.939567009</v>
      </c>
      <c r="S824">
        <f t="shared" si="1007"/>
        <v>57.341289395670088</v>
      </c>
      <c r="T824">
        <f t="shared" si="1008"/>
        <v>5.7341289395670091E-2</v>
      </c>
    </row>
    <row r="825" spans="1:20" x14ac:dyDescent="0.25">
      <c r="A825" s="5">
        <v>43768</v>
      </c>
      <c r="B825">
        <v>59.76</v>
      </c>
      <c r="C825">
        <v>61.05</v>
      </c>
      <c r="D825">
        <v>56.88</v>
      </c>
      <c r="E825">
        <v>57.89</v>
      </c>
      <c r="F825">
        <v>341531.28519000002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-0.51558752997601953</v>
      </c>
      <c r="Q825">
        <f t="shared" si="1005"/>
        <v>-176089.27174064761</v>
      </c>
      <c r="R825">
        <f t="shared" si="1006"/>
        <v>5733073.6323661068</v>
      </c>
      <c r="S825">
        <f t="shared" si="1007"/>
        <v>57.330736323661071</v>
      </c>
      <c r="T825">
        <f t="shared" si="1008"/>
        <v>5.733073632366107E-2</v>
      </c>
    </row>
    <row r="826" spans="1:20" x14ac:dyDescent="0.25">
      <c r="A826" s="5">
        <v>43767</v>
      </c>
      <c r="B826">
        <v>57.7</v>
      </c>
      <c r="C826">
        <v>60.75</v>
      </c>
      <c r="D826">
        <v>57.65</v>
      </c>
      <c r="E826">
        <v>59.75</v>
      </c>
      <c r="F826">
        <v>401424.23907000001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0.35483870967741965</v>
      </c>
      <c r="Q826">
        <f t="shared" si="1005"/>
        <v>142440.85902483884</v>
      </c>
      <c r="R826">
        <f t="shared" si="1006"/>
        <v>5909162.9041067548</v>
      </c>
      <c r="S826">
        <f t="shared" si="1007"/>
        <v>59.091629041067549</v>
      </c>
      <c r="T826">
        <f t="shared" si="1008"/>
        <v>5.9091629041067552E-2</v>
      </c>
    </row>
    <row r="827" spans="1:20" x14ac:dyDescent="0.25">
      <c r="A827" s="5">
        <v>43766</v>
      </c>
      <c r="B827">
        <v>59.79</v>
      </c>
      <c r="C827">
        <v>62.47</v>
      </c>
      <c r="D827">
        <v>57.4</v>
      </c>
      <c r="E827">
        <v>57.7</v>
      </c>
      <c r="F827">
        <v>540004.69723000005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-0.8816568047337261</v>
      </c>
      <c r="Q827">
        <f t="shared" si="1005"/>
        <v>-476098.81590100506</v>
      </c>
      <c r="R827">
        <f t="shared" si="1006"/>
        <v>5766722.0450819163</v>
      </c>
      <c r="S827">
        <f t="shared" si="1007"/>
        <v>57.667220450819165</v>
      </c>
      <c r="T827">
        <f t="shared" si="1008"/>
        <v>5.7667220450819165E-2</v>
      </c>
    </row>
    <row r="828" spans="1:20" x14ac:dyDescent="0.25">
      <c r="A828" s="5">
        <v>43765</v>
      </c>
      <c r="B828">
        <v>56.69</v>
      </c>
      <c r="C828">
        <v>62.85</v>
      </c>
      <c r="D828">
        <v>55.59</v>
      </c>
      <c r="E828">
        <v>59.78</v>
      </c>
      <c r="F828">
        <v>661079.75268000003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0.15426997245179033</v>
      </c>
      <c r="Q828">
        <f t="shared" si="1005"/>
        <v>101984.75523437998</v>
      </c>
      <c r="R828">
        <f t="shared" si="1006"/>
        <v>6242820.860982921</v>
      </c>
      <c r="S828">
        <f t="shared" si="1007"/>
        <v>62.428208609829213</v>
      </c>
      <c r="T828">
        <f t="shared" si="1008"/>
        <v>6.2428208609829214E-2</v>
      </c>
    </row>
    <row r="829" spans="1:20" x14ac:dyDescent="0.25">
      <c r="A829" s="5">
        <v>43764</v>
      </c>
      <c r="B829">
        <v>56.94</v>
      </c>
      <c r="C829">
        <v>63.37</v>
      </c>
      <c r="D829">
        <v>54.14</v>
      </c>
      <c r="E829">
        <v>56.71</v>
      </c>
      <c r="F829">
        <v>1041416.04901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-0.44312026002166821</v>
      </c>
      <c r="Q829">
        <f t="shared" si="1005"/>
        <v>-461472.55042804952</v>
      </c>
      <c r="R829">
        <f t="shared" si="1006"/>
        <v>6140836.1057485407</v>
      </c>
      <c r="S829">
        <f t="shared" si="1007"/>
        <v>61.408361057485408</v>
      </c>
      <c r="T829">
        <f t="shared" si="1008"/>
        <v>6.1408361057485407E-2</v>
      </c>
    </row>
    <row r="830" spans="1:20" x14ac:dyDescent="0.25">
      <c r="A830" s="5">
        <v>43763</v>
      </c>
      <c r="B830">
        <v>49.55</v>
      </c>
      <c r="C830">
        <v>58.7</v>
      </c>
      <c r="D830">
        <v>49.01</v>
      </c>
      <c r="E830">
        <v>56.93</v>
      </c>
      <c r="F830">
        <v>761473.61476999999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0.63467492260061875</v>
      </c>
      <c r="Q830">
        <f t="shared" si="1005"/>
        <v>483288.20751656312</v>
      </c>
      <c r="R830">
        <f t="shared" si="1006"/>
        <v>6602308.6561765904</v>
      </c>
      <c r="S830">
        <f t="shared" si="1007"/>
        <v>66.023086561765908</v>
      </c>
      <c r="T830">
        <f t="shared" si="1008"/>
        <v>6.6023086561765906E-2</v>
      </c>
    </row>
    <row r="831" spans="1:20" x14ac:dyDescent="0.25">
      <c r="A831" s="5">
        <v>43762</v>
      </c>
      <c r="B831">
        <v>49.48</v>
      </c>
      <c r="C831">
        <v>50.32</v>
      </c>
      <c r="D831">
        <v>48.3</v>
      </c>
      <c r="E831">
        <v>49.54</v>
      </c>
      <c r="F831">
        <v>308330.52195999998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0.22772277227722779</v>
      </c>
      <c r="Q831">
        <f t="shared" ref="Q831:Q894" si="1010">F831*P831</f>
        <v>70213.881238415852</v>
      </c>
      <c r="R831">
        <f t="shared" ref="R831:R894" si="1011">R832+Q831</f>
        <v>6119020.4486600272</v>
      </c>
      <c r="S831">
        <f t="shared" ref="S831:S894" si="1012">R831/100000</f>
        <v>61.190204486600273</v>
      </c>
      <c r="T831">
        <f t="shared" ref="T831:T894" si="1013">S831/1000</f>
        <v>6.1190204486600272E-2</v>
      </c>
    </row>
    <row r="832" spans="1:20" x14ac:dyDescent="0.25">
      <c r="A832" s="5">
        <v>43761</v>
      </c>
      <c r="B832">
        <v>53.38</v>
      </c>
      <c r="C832">
        <v>53.44</v>
      </c>
      <c r="D832">
        <v>47.1</v>
      </c>
      <c r="E832">
        <v>49.5</v>
      </c>
      <c r="F832">
        <v>509593.26474000001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-0.24290220820189276</v>
      </c>
      <c r="Q832">
        <f t="shared" si="1010"/>
        <v>-123781.32929015774</v>
      </c>
      <c r="R832">
        <f t="shared" si="1011"/>
        <v>6048806.5674216114</v>
      </c>
      <c r="S832">
        <f t="shared" si="1012"/>
        <v>60.488065674216116</v>
      </c>
      <c r="T832">
        <f t="shared" si="1013"/>
        <v>6.0488065674216114E-2</v>
      </c>
    </row>
    <row r="833" spans="1:20" x14ac:dyDescent="0.25">
      <c r="A833" s="5">
        <v>43760</v>
      </c>
      <c r="B833">
        <v>54.57</v>
      </c>
      <c r="C833">
        <v>55.09</v>
      </c>
      <c r="D833">
        <v>52.97</v>
      </c>
      <c r="E833">
        <v>53.39</v>
      </c>
      <c r="F833">
        <v>159956.49835000001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-0.60377358490565958</v>
      </c>
      <c r="Q833">
        <f t="shared" si="1010"/>
        <v>-96577.508437735727</v>
      </c>
      <c r="R833">
        <f t="shared" si="1011"/>
        <v>6172587.8967117695</v>
      </c>
      <c r="S833">
        <f t="shared" si="1012"/>
        <v>61.725878967117694</v>
      </c>
      <c r="T833">
        <f t="shared" si="1013"/>
        <v>6.1725878967117696E-2</v>
      </c>
    </row>
    <row r="834" spans="1:20" x14ac:dyDescent="0.25">
      <c r="A834" s="5">
        <v>43759</v>
      </c>
      <c r="B834">
        <v>54.85</v>
      </c>
      <c r="C834">
        <v>55.74</v>
      </c>
      <c r="D834">
        <v>53.67</v>
      </c>
      <c r="E834">
        <v>54.57</v>
      </c>
      <c r="F834">
        <v>208464.19325000001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-0.13043478260869715</v>
      </c>
      <c r="Q834">
        <f t="shared" si="1010"/>
        <v>-27190.981728261184</v>
      </c>
      <c r="R834">
        <f t="shared" si="1011"/>
        <v>6269165.4051495055</v>
      </c>
      <c r="S834">
        <f t="shared" si="1012"/>
        <v>62.691654051495057</v>
      </c>
      <c r="T834">
        <f t="shared" si="1013"/>
        <v>6.2691654051495058E-2</v>
      </c>
    </row>
    <row r="835" spans="1:20" x14ac:dyDescent="0.25">
      <c r="A835" s="5">
        <v>43758</v>
      </c>
      <c r="B835">
        <v>53.72</v>
      </c>
      <c r="C835">
        <v>55.46</v>
      </c>
      <c r="D835">
        <v>52.58</v>
      </c>
      <c r="E835">
        <v>54.85</v>
      </c>
      <c r="F835">
        <v>208172.70191</v>
      </c>
      <c r="G835">
        <v>0</v>
      </c>
      <c r="L835" t="s">
        <v>8</v>
      </c>
      <c r="M835" t="s">
        <v>7</v>
      </c>
      <c r="N835" t="s">
        <v>7</v>
      </c>
      <c r="P835">
        <f t="shared" si="1009"/>
        <v>0.57638888888888962</v>
      </c>
      <c r="Q835">
        <f t="shared" si="1010"/>
        <v>119988.43235090293</v>
      </c>
      <c r="R835">
        <f t="shared" si="1011"/>
        <v>6296356.3868777668</v>
      </c>
      <c r="S835">
        <f t="shared" si="1012"/>
        <v>62.963563868777669</v>
      </c>
      <c r="T835">
        <f t="shared" si="1013"/>
        <v>6.2963563868777675E-2</v>
      </c>
    </row>
    <row r="836" spans="1:20" x14ac:dyDescent="0.25">
      <c r="A836" s="5">
        <v>43757</v>
      </c>
      <c r="B836">
        <v>53.21</v>
      </c>
      <c r="C836">
        <v>54.16</v>
      </c>
      <c r="D836">
        <v>52.54</v>
      </c>
      <c r="E836">
        <v>53.72</v>
      </c>
      <c r="F836">
        <v>152610.00837</v>
      </c>
      <c r="G836">
        <v>0</v>
      </c>
      <c r="L836" t="s">
        <v>8</v>
      </c>
      <c r="M836" t="s">
        <v>7</v>
      </c>
      <c r="N836" t="s">
        <v>7</v>
      </c>
      <c r="P836">
        <f t="shared" si="1009"/>
        <v>0.4567901234567921</v>
      </c>
      <c r="Q836">
        <f t="shared" si="1010"/>
        <v>69710.744564074368</v>
      </c>
      <c r="R836">
        <f t="shared" si="1011"/>
        <v>6176367.954526864</v>
      </c>
      <c r="S836">
        <f t="shared" si="1012"/>
        <v>61.763679545268637</v>
      </c>
      <c r="T836">
        <f t="shared" si="1013"/>
        <v>6.1763679545268638E-2</v>
      </c>
    </row>
    <row r="837" spans="1:20" x14ac:dyDescent="0.25">
      <c r="A837" s="5">
        <v>43756</v>
      </c>
      <c r="B837">
        <v>54.95</v>
      </c>
      <c r="C837">
        <v>55.01</v>
      </c>
      <c r="D837">
        <v>52.19</v>
      </c>
      <c r="E837">
        <v>53.21</v>
      </c>
      <c r="F837">
        <v>213517.39011000001</v>
      </c>
      <c r="G837">
        <v>0</v>
      </c>
      <c r="L837" t="s">
        <v>8</v>
      </c>
      <c r="M837" t="s">
        <v>7</v>
      </c>
      <c r="N837" t="s">
        <v>7</v>
      </c>
      <c r="P837">
        <f t="shared" si="1009"/>
        <v>-0.27659574468084891</v>
      </c>
      <c r="Q837">
        <f t="shared" si="1010"/>
        <v>-59058.001519786776</v>
      </c>
      <c r="R837">
        <f t="shared" si="1011"/>
        <v>6106657.2099627899</v>
      </c>
      <c r="S837">
        <f t="shared" si="1012"/>
        <v>61.066572099627898</v>
      </c>
      <c r="T837">
        <f t="shared" si="1013"/>
        <v>6.1066572099627896E-2</v>
      </c>
    </row>
    <row r="838" spans="1:20" x14ac:dyDescent="0.25">
      <c r="A838" s="5">
        <v>43755</v>
      </c>
      <c r="B838">
        <v>52.45</v>
      </c>
      <c r="C838">
        <v>55.22</v>
      </c>
      <c r="D838">
        <v>51.57</v>
      </c>
      <c r="E838">
        <v>54.94</v>
      </c>
      <c r="F838">
        <v>238776.40359999999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0.84657534246575272</v>
      </c>
      <c r="Q838">
        <f t="shared" si="1010"/>
        <v>202142.21565041077</v>
      </c>
      <c r="R838">
        <f t="shared" si="1011"/>
        <v>6165715.211482577</v>
      </c>
      <c r="S838">
        <f t="shared" si="1012"/>
        <v>61.65715211482577</v>
      </c>
      <c r="T838">
        <f t="shared" si="1013"/>
        <v>6.1657152114825767E-2</v>
      </c>
    </row>
    <row r="839" spans="1:20" x14ac:dyDescent="0.25">
      <c r="A839" s="5">
        <v>43754</v>
      </c>
      <c r="B839">
        <v>54.57</v>
      </c>
      <c r="C839">
        <v>55.39</v>
      </c>
      <c r="D839">
        <v>51</v>
      </c>
      <c r="E839">
        <v>52.45</v>
      </c>
      <c r="F839">
        <v>299556.40107000002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-0.33940774487471403</v>
      </c>
      <c r="Q839">
        <f t="shared" si="1010"/>
        <v>-101671.76254995409</v>
      </c>
      <c r="R839">
        <f t="shared" si="1011"/>
        <v>5963572.9958321666</v>
      </c>
      <c r="S839">
        <f t="shared" si="1012"/>
        <v>59.635729958321669</v>
      </c>
      <c r="T839">
        <f t="shared" si="1013"/>
        <v>5.963572995832167E-2</v>
      </c>
    </row>
    <row r="840" spans="1:20" x14ac:dyDescent="0.25">
      <c r="A840" s="5">
        <v>43753</v>
      </c>
      <c r="B840">
        <v>56.83</v>
      </c>
      <c r="C840">
        <v>57.39</v>
      </c>
      <c r="D840">
        <v>53.4</v>
      </c>
      <c r="E840">
        <v>54.58</v>
      </c>
      <c r="F840">
        <v>332451.21389999997</v>
      </c>
      <c r="G840">
        <v>0</v>
      </c>
      <c r="L840" t="s">
        <v>7</v>
      </c>
      <c r="M840" t="s">
        <v>7</v>
      </c>
      <c r="N840" t="s">
        <v>7</v>
      </c>
      <c r="P840">
        <f t="shared" si="1009"/>
        <v>-0.40852130325814578</v>
      </c>
      <c r="Q840">
        <f t="shared" si="1010"/>
        <v>-135813.40317218058</v>
      </c>
      <c r="R840">
        <f t="shared" si="1011"/>
        <v>6065244.7583821211</v>
      </c>
      <c r="S840">
        <f t="shared" si="1012"/>
        <v>60.652447583821214</v>
      </c>
      <c r="T840">
        <f t="shared" si="1013"/>
        <v>6.0652447583821212E-2</v>
      </c>
    </row>
    <row r="841" spans="1:20" x14ac:dyDescent="0.25">
      <c r="A841" s="5">
        <v>43752</v>
      </c>
      <c r="B841">
        <v>56.44</v>
      </c>
      <c r="C841">
        <v>57.1</v>
      </c>
      <c r="D841">
        <v>55.94</v>
      </c>
      <c r="E841">
        <v>56.83</v>
      </c>
      <c r="F841">
        <v>133434.14038</v>
      </c>
      <c r="G841">
        <v>0</v>
      </c>
      <c r="L841" t="s">
        <v>7</v>
      </c>
      <c r="M841" t="s">
        <v>7</v>
      </c>
      <c r="N841" t="s">
        <v>7</v>
      </c>
      <c r="P841">
        <f t="shared" si="1009"/>
        <v>0.53448275862068573</v>
      </c>
      <c r="Q841">
        <f t="shared" si="1010"/>
        <v>71318.247444482229</v>
      </c>
      <c r="R841">
        <f t="shared" si="1011"/>
        <v>6201058.1615543021</v>
      </c>
      <c r="S841">
        <f t="shared" si="1012"/>
        <v>62.010581615543018</v>
      </c>
      <c r="T841">
        <f t="shared" si="1013"/>
        <v>6.2010581615543015E-2</v>
      </c>
    </row>
    <row r="842" spans="1:20" x14ac:dyDescent="0.25">
      <c r="A842" s="5">
        <v>43751</v>
      </c>
      <c r="B842">
        <v>55.71</v>
      </c>
      <c r="C842">
        <v>57.69</v>
      </c>
      <c r="D842">
        <v>55.47</v>
      </c>
      <c r="E842">
        <v>56.46</v>
      </c>
      <c r="F842">
        <v>157772.38785</v>
      </c>
      <c r="G842">
        <v>0</v>
      </c>
      <c r="L842" t="s">
        <v>7</v>
      </c>
      <c r="M842" t="s">
        <v>7</v>
      </c>
      <c r="N842" t="s">
        <v>7</v>
      </c>
      <c r="P842">
        <f t="shared" si="1009"/>
        <v>-0.10810810810810587</v>
      </c>
      <c r="Q842">
        <f t="shared" si="1010"/>
        <v>-17056.474362161807</v>
      </c>
      <c r="R842">
        <f t="shared" si="1011"/>
        <v>6129739.9141098196</v>
      </c>
      <c r="S842">
        <f t="shared" si="1012"/>
        <v>61.297399141098197</v>
      </c>
      <c r="T842">
        <f t="shared" si="1013"/>
        <v>6.1297399141098198E-2</v>
      </c>
    </row>
    <row r="843" spans="1:20" x14ac:dyDescent="0.25">
      <c r="A843" s="5">
        <v>43750</v>
      </c>
      <c r="B843">
        <v>55.85</v>
      </c>
      <c r="C843">
        <v>56.5</v>
      </c>
      <c r="D843">
        <v>55.41</v>
      </c>
      <c r="E843">
        <v>55.7</v>
      </c>
      <c r="F843">
        <v>101685.84465</v>
      </c>
      <c r="G843">
        <v>0</v>
      </c>
      <c r="L843" t="s">
        <v>7</v>
      </c>
      <c r="M843" t="s">
        <v>7</v>
      </c>
      <c r="N843" t="s">
        <v>7</v>
      </c>
      <c r="P843">
        <f t="shared" si="1009"/>
        <v>-0.46788990825687093</v>
      </c>
      <c r="Q843">
        <f t="shared" si="1010"/>
        <v>-47577.780524310932</v>
      </c>
      <c r="R843">
        <f t="shared" si="1011"/>
        <v>6146796.3884719815</v>
      </c>
      <c r="S843">
        <f t="shared" si="1012"/>
        <v>61.467963884719815</v>
      </c>
      <c r="T843">
        <f t="shared" si="1013"/>
        <v>6.1467963884719812E-2</v>
      </c>
    </row>
    <row r="844" spans="1:20" x14ac:dyDescent="0.25">
      <c r="A844" s="5">
        <v>43749</v>
      </c>
      <c r="B844">
        <v>57.48</v>
      </c>
      <c r="C844">
        <v>58.42</v>
      </c>
      <c r="D844">
        <v>55.33</v>
      </c>
      <c r="E844">
        <v>55.85</v>
      </c>
      <c r="F844">
        <v>266818.0674</v>
      </c>
      <c r="G844">
        <v>0</v>
      </c>
      <c r="L844" t="s">
        <v>7</v>
      </c>
      <c r="M844" t="s">
        <v>7</v>
      </c>
      <c r="N844" t="s">
        <v>7</v>
      </c>
      <c r="P844">
        <f t="shared" si="1009"/>
        <v>-0.66343042071197245</v>
      </c>
      <c r="Q844">
        <f t="shared" si="1010"/>
        <v>-177015.22270873742</v>
      </c>
      <c r="R844">
        <f t="shared" si="1011"/>
        <v>6194374.1689962922</v>
      </c>
      <c r="S844">
        <f t="shared" si="1012"/>
        <v>61.94374168996292</v>
      </c>
      <c r="T844">
        <f t="shared" si="1013"/>
        <v>6.1943741689962917E-2</v>
      </c>
    </row>
    <row r="845" spans="1:20" x14ac:dyDescent="0.25">
      <c r="A845" s="5">
        <v>43748</v>
      </c>
      <c r="B845">
        <v>59.1</v>
      </c>
      <c r="C845">
        <v>59.33</v>
      </c>
      <c r="D845">
        <v>57</v>
      </c>
      <c r="E845">
        <v>57.47</v>
      </c>
      <c r="F845">
        <v>215031.29392</v>
      </c>
      <c r="G845">
        <v>0</v>
      </c>
      <c r="L845" t="s">
        <v>8</v>
      </c>
      <c r="M845" t="s">
        <v>7</v>
      </c>
      <c r="N845" t="s">
        <v>7</v>
      </c>
      <c r="P845">
        <f t="shared" si="1009"/>
        <v>-0.59656652360515094</v>
      </c>
      <c r="Q845">
        <f t="shared" si="1010"/>
        <v>-128280.47148017182</v>
      </c>
      <c r="R845">
        <f t="shared" si="1011"/>
        <v>6371389.3917050296</v>
      </c>
      <c r="S845">
        <f t="shared" si="1012"/>
        <v>63.713893917050299</v>
      </c>
      <c r="T845">
        <f t="shared" si="1013"/>
        <v>6.3713893917050304E-2</v>
      </c>
    </row>
    <row r="846" spans="1:20" x14ac:dyDescent="0.25">
      <c r="A846" s="5">
        <v>43747</v>
      </c>
      <c r="B846">
        <v>56.92</v>
      </c>
      <c r="C846">
        <v>60.06</v>
      </c>
      <c r="D846">
        <v>56.6</v>
      </c>
      <c r="E846">
        <v>59.12</v>
      </c>
      <c r="F846">
        <v>344098.90669999999</v>
      </c>
      <c r="G846">
        <v>0</v>
      </c>
      <c r="L846" t="s">
        <v>8</v>
      </c>
      <c r="M846" t="s">
        <v>7</v>
      </c>
      <c r="N846" t="s">
        <v>7</v>
      </c>
      <c r="P846">
        <f t="shared" si="1009"/>
        <v>0.45664739884392797</v>
      </c>
      <c r="Q846">
        <f t="shared" si="1010"/>
        <v>157131.87068959445</v>
      </c>
      <c r="R846">
        <f t="shared" si="1011"/>
        <v>6499669.8631852018</v>
      </c>
      <c r="S846">
        <f t="shared" si="1012"/>
        <v>64.996698631852013</v>
      </c>
      <c r="T846">
        <f t="shared" si="1013"/>
        <v>6.4996698631852007E-2</v>
      </c>
    </row>
    <row r="847" spans="1:20" x14ac:dyDescent="0.25">
      <c r="A847" s="5">
        <v>43746</v>
      </c>
      <c r="B847">
        <v>57.46</v>
      </c>
      <c r="C847">
        <v>58.45</v>
      </c>
      <c r="D847">
        <v>56.47</v>
      </c>
      <c r="E847">
        <v>56.94</v>
      </c>
      <c r="F847">
        <v>184201.79637</v>
      </c>
      <c r="G847">
        <v>0</v>
      </c>
      <c r="L847" t="s">
        <v>8</v>
      </c>
      <c r="M847" t="s">
        <v>7</v>
      </c>
      <c r="N847" t="s">
        <v>7</v>
      </c>
      <c r="P847">
        <f t="shared" si="1009"/>
        <v>-0.5252525252525273</v>
      </c>
      <c r="Q847">
        <f t="shared" si="1010"/>
        <v>-96752.458699394308</v>
      </c>
      <c r="R847">
        <f t="shared" si="1011"/>
        <v>6342537.9924956076</v>
      </c>
      <c r="S847">
        <f t="shared" si="1012"/>
        <v>63.425379924956076</v>
      </c>
      <c r="T847">
        <f t="shared" si="1013"/>
        <v>6.3425379924956074E-2</v>
      </c>
    </row>
    <row r="848" spans="1:20" x14ac:dyDescent="0.25">
      <c r="A848" s="5">
        <v>43745</v>
      </c>
      <c r="B848">
        <v>54.42</v>
      </c>
      <c r="C848">
        <v>58.65</v>
      </c>
      <c r="D848">
        <v>53.25</v>
      </c>
      <c r="E848">
        <v>57.46</v>
      </c>
      <c r="F848">
        <v>314689.40496999997</v>
      </c>
      <c r="G848">
        <v>0</v>
      </c>
      <c r="L848" t="s">
        <v>8</v>
      </c>
      <c r="M848" t="s">
        <v>7</v>
      </c>
      <c r="N848" t="s">
        <v>7</v>
      </c>
      <c r="P848">
        <f t="shared" si="1009"/>
        <v>0.55925925925926001</v>
      </c>
      <c r="Q848">
        <f t="shared" si="1010"/>
        <v>175992.96352025948</v>
      </c>
      <c r="R848">
        <f t="shared" si="1011"/>
        <v>6439290.4511950016</v>
      </c>
      <c r="S848">
        <f t="shared" si="1012"/>
        <v>64.392904511950022</v>
      </c>
      <c r="T848">
        <f t="shared" si="1013"/>
        <v>6.4392904511950025E-2</v>
      </c>
    </row>
    <row r="849" spans="1:20" x14ac:dyDescent="0.25">
      <c r="A849" s="5">
        <v>43744</v>
      </c>
      <c r="B849">
        <v>56.69</v>
      </c>
      <c r="C849">
        <v>56.8</v>
      </c>
      <c r="D849">
        <v>52.73</v>
      </c>
      <c r="E849">
        <v>54.41</v>
      </c>
      <c r="F849">
        <v>259829.37559000001</v>
      </c>
      <c r="G849">
        <v>0</v>
      </c>
      <c r="L849" t="s">
        <v>7</v>
      </c>
      <c r="M849" t="s">
        <v>7</v>
      </c>
      <c r="N849" t="s">
        <v>7</v>
      </c>
      <c r="P849">
        <f t="shared" si="1009"/>
        <v>-0.17444717444717464</v>
      </c>
      <c r="Q849">
        <f t="shared" si="1010"/>
        <v>-45326.500410049193</v>
      </c>
      <c r="R849">
        <f t="shared" si="1011"/>
        <v>6263297.487674742</v>
      </c>
      <c r="S849">
        <f t="shared" si="1012"/>
        <v>62.632974876747419</v>
      </c>
      <c r="T849">
        <f t="shared" si="1013"/>
        <v>6.2632974876747419E-2</v>
      </c>
    </row>
    <row r="850" spans="1:20" x14ac:dyDescent="0.25">
      <c r="A850" s="5">
        <v>43743</v>
      </c>
      <c r="B850">
        <v>56.3</v>
      </c>
      <c r="C850">
        <v>57.4</v>
      </c>
      <c r="D850">
        <v>55.57</v>
      </c>
      <c r="E850">
        <v>56.69</v>
      </c>
      <c r="F850">
        <v>177602.10058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0.22404371584699287</v>
      </c>
      <c r="Q850">
        <f t="shared" si="1010"/>
        <v>39790.634556174569</v>
      </c>
      <c r="R850">
        <f t="shared" si="1011"/>
        <v>6308623.9880847912</v>
      </c>
      <c r="S850">
        <f t="shared" si="1012"/>
        <v>63.086239880847913</v>
      </c>
      <c r="T850">
        <f t="shared" si="1013"/>
        <v>6.3086239880847911E-2</v>
      </c>
    </row>
    <row r="851" spans="1:20" x14ac:dyDescent="0.25">
      <c r="A851" s="5">
        <v>43742</v>
      </c>
      <c r="B851">
        <v>56.45</v>
      </c>
      <c r="C851">
        <v>57.5</v>
      </c>
      <c r="D851">
        <v>55.22</v>
      </c>
      <c r="E851">
        <v>56.3</v>
      </c>
      <c r="F851">
        <v>247275.45318000001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-5.2631578947370389E-2</v>
      </c>
      <c r="Q851">
        <f t="shared" si="1010"/>
        <v>-13014.49753578996</v>
      </c>
      <c r="R851">
        <f t="shared" si="1011"/>
        <v>6268833.3535286169</v>
      </c>
      <c r="S851">
        <f t="shared" si="1012"/>
        <v>62.688333535286169</v>
      </c>
      <c r="T851">
        <f t="shared" si="1013"/>
        <v>6.2688333535286175E-2</v>
      </c>
    </row>
    <row r="852" spans="1:20" x14ac:dyDescent="0.25">
      <c r="A852" s="5">
        <v>43741</v>
      </c>
      <c r="B852">
        <v>56.28</v>
      </c>
      <c r="C852">
        <v>57.07</v>
      </c>
      <c r="D852">
        <v>53.62</v>
      </c>
      <c r="E852">
        <v>56.44</v>
      </c>
      <c r="F852">
        <v>253310.60722999999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0.63478260869565095</v>
      </c>
      <c r="Q852">
        <f t="shared" si="1010"/>
        <v>160797.16806773882</v>
      </c>
      <c r="R852">
        <f t="shared" si="1011"/>
        <v>6281847.8510644073</v>
      </c>
      <c r="S852">
        <f t="shared" si="1012"/>
        <v>62.81847851064407</v>
      </c>
      <c r="T852">
        <f t="shared" si="1013"/>
        <v>6.2818478510644066E-2</v>
      </c>
    </row>
    <row r="853" spans="1:20" x14ac:dyDescent="0.25">
      <c r="A853" s="5">
        <v>43740</v>
      </c>
      <c r="B853">
        <v>55.59</v>
      </c>
      <c r="C853">
        <v>56.66</v>
      </c>
      <c r="D853">
        <v>55.13</v>
      </c>
      <c r="E853">
        <v>56.23</v>
      </c>
      <c r="F853">
        <v>215424.38456999999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0.43790849673202431</v>
      </c>
      <c r="Q853">
        <f t="shared" si="1010"/>
        <v>94336.168406470184</v>
      </c>
      <c r="R853">
        <f t="shared" si="1011"/>
        <v>6121050.6829966689</v>
      </c>
      <c r="S853">
        <f t="shared" si="1012"/>
        <v>61.21050682996669</v>
      </c>
      <c r="T853">
        <f t="shared" si="1013"/>
        <v>6.121050682996669E-2</v>
      </c>
    </row>
    <row r="854" spans="1:20" x14ac:dyDescent="0.25">
      <c r="A854" s="5">
        <v>43739</v>
      </c>
      <c r="B854">
        <v>56.01</v>
      </c>
      <c r="C854">
        <v>57.6</v>
      </c>
      <c r="D854">
        <v>54.82</v>
      </c>
      <c r="E854">
        <v>55.63</v>
      </c>
      <c r="F854">
        <v>333581.15687000001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-0.41726618705035834</v>
      </c>
      <c r="Q854">
        <f t="shared" si="1010"/>
        <v>-139192.13739899234</v>
      </c>
      <c r="R854">
        <f t="shared" si="1011"/>
        <v>6026714.5145901991</v>
      </c>
      <c r="S854">
        <f t="shared" si="1012"/>
        <v>60.267145145901992</v>
      </c>
      <c r="T854">
        <f t="shared" si="1013"/>
        <v>6.0267145145901993E-2</v>
      </c>
    </row>
    <row r="855" spans="1:20" x14ac:dyDescent="0.25">
      <c r="A855" s="5">
        <v>43738</v>
      </c>
      <c r="B855">
        <v>53.84</v>
      </c>
      <c r="C855">
        <v>56.25</v>
      </c>
      <c r="D855">
        <v>52.46</v>
      </c>
      <c r="E855">
        <v>55.99</v>
      </c>
      <c r="F855">
        <v>369529.68787000002</v>
      </c>
      <c r="G855">
        <v>0</v>
      </c>
      <c r="L855" t="s">
        <v>8</v>
      </c>
      <c r="M855" t="s">
        <v>7</v>
      </c>
      <c r="N855" t="s">
        <v>7</v>
      </c>
      <c r="P855">
        <f t="shared" si="1009"/>
        <v>0.86279683377308813</v>
      </c>
      <c r="Q855">
        <f t="shared" si="1010"/>
        <v>318829.04467939353</v>
      </c>
      <c r="R855">
        <f t="shared" si="1011"/>
        <v>6165906.6519891918</v>
      </c>
      <c r="S855">
        <f t="shared" si="1012"/>
        <v>61.659066519891915</v>
      </c>
      <c r="T855">
        <f t="shared" si="1013"/>
        <v>6.1659066519891913E-2</v>
      </c>
    </row>
    <row r="856" spans="1:20" x14ac:dyDescent="0.25">
      <c r="A856" s="5">
        <v>43737</v>
      </c>
      <c r="B856">
        <v>55.38</v>
      </c>
      <c r="C856">
        <v>55.58</v>
      </c>
      <c r="D856">
        <v>52.13</v>
      </c>
      <c r="E856">
        <v>53.82</v>
      </c>
      <c r="F856">
        <v>227546.40106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-2.0289855072463874E-2</v>
      </c>
      <c r="Q856">
        <f t="shared" si="1010"/>
        <v>-4616.8834997681397</v>
      </c>
      <c r="R856">
        <f t="shared" si="1011"/>
        <v>5847077.6073097987</v>
      </c>
      <c r="S856">
        <f t="shared" si="1012"/>
        <v>58.470776073097987</v>
      </c>
      <c r="T856">
        <f t="shared" si="1013"/>
        <v>5.8470776073097988E-2</v>
      </c>
    </row>
    <row r="857" spans="1:20" x14ac:dyDescent="0.25">
      <c r="A857" s="5">
        <v>43736</v>
      </c>
      <c r="B857">
        <v>55.86</v>
      </c>
      <c r="C857">
        <v>56.16</v>
      </c>
      <c r="D857">
        <v>53.67</v>
      </c>
      <c r="E857">
        <v>55.37</v>
      </c>
      <c r="F857">
        <v>258783.39517999999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0.36546184738955761</v>
      </c>
      <c r="Q857">
        <f t="shared" si="1010"/>
        <v>94575.457676224731</v>
      </c>
      <c r="R857">
        <f t="shared" si="1011"/>
        <v>5851694.4908095673</v>
      </c>
      <c r="S857">
        <f t="shared" si="1012"/>
        <v>58.516944908095674</v>
      </c>
      <c r="T857">
        <f t="shared" si="1013"/>
        <v>5.8516944908095676E-2</v>
      </c>
    </row>
    <row r="858" spans="1:20" x14ac:dyDescent="0.25">
      <c r="A858" s="5">
        <v>43735</v>
      </c>
      <c r="B858">
        <v>55.17</v>
      </c>
      <c r="C858">
        <v>56.61</v>
      </c>
      <c r="D858">
        <v>52.61</v>
      </c>
      <c r="E858">
        <v>55.86</v>
      </c>
      <c r="F858">
        <v>390379.87374000001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0.625</v>
      </c>
      <c r="Q858">
        <f t="shared" si="1010"/>
        <v>243987.4210875</v>
      </c>
      <c r="R858">
        <f t="shared" si="1011"/>
        <v>5757119.0331333429</v>
      </c>
      <c r="S858">
        <f t="shared" si="1012"/>
        <v>57.571190331333426</v>
      </c>
      <c r="T858">
        <f t="shared" si="1013"/>
        <v>5.7571190331333427E-2</v>
      </c>
    </row>
    <row r="859" spans="1:20" x14ac:dyDescent="0.25">
      <c r="A859" s="5">
        <v>43734</v>
      </c>
      <c r="B859">
        <v>57.48</v>
      </c>
      <c r="C859">
        <v>57.56</v>
      </c>
      <c r="D859">
        <v>50.3</v>
      </c>
      <c r="E859">
        <v>55.19</v>
      </c>
      <c r="F859">
        <v>630061.90746000002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0.34710743801652816</v>
      </c>
      <c r="Q859">
        <f t="shared" si="1010"/>
        <v>218699.17449024745</v>
      </c>
      <c r="R859">
        <f t="shared" si="1011"/>
        <v>5513131.6120458432</v>
      </c>
      <c r="S859">
        <f t="shared" si="1012"/>
        <v>55.131316120458429</v>
      </c>
      <c r="T859">
        <f t="shared" si="1013"/>
        <v>5.5131316120458428E-2</v>
      </c>
    </row>
    <row r="860" spans="1:20" x14ac:dyDescent="0.25">
      <c r="A860" s="5">
        <v>43733</v>
      </c>
      <c r="B860">
        <v>54.57</v>
      </c>
      <c r="C860">
        <v>58.34</v>
      </c>
      <c r="D860">
        <v>52.84</v>
      </c>
      <c r="E860">
        <v>57.43</v>
      </c>
      <c r="F860">
        <v>781318.26506999996</v>
      </c>
      <c r="G860">
        <v>0</v>
      </c>
      <c r="L860" t="s">
        <v>7</v>
      </c>
      <c r="M860" t="s">
        <v>7</v>
      </c>
      <c r="N860" t="s">
        <v>7</v>
      </c>
      <c r="P860">
        <f t="shared" si="1009"/>
        <v>0.66909090909090774</v>
      </c>
      <c r="Q860">
        <f t="shared" si="1010"/>
        <v>522772.94826501713</v>
      </c>
      <c r="R860">
        <f t="shared" si="1011"/>
        <v>5294432.4375555953</v>
      </c>
      <c r="S860">
        <f t="shared" si="1012"/>
        <v>52.944324375555951</v>
      </c>
      <c r="T860">
        <f t="shared" si="1013"/>
        <v>5.2944324375555948E-2</v>
      </c>
    </row>
    <row r="861" spans="1:20" x14ac:dyDescent="0.25">
      <c r="A861" s="5">
        <v>43732</v>
      </c>
      <c r="B861">
        <v>66.540000000000006</v>
      </c>
      <c r="C861">
        <v>67.42</v>
      </c>
      <c r="D861">
        <v>54.07</v>
      </c>
      <c r="E861">
        <v>54.57</v>
      </c>
      <c r="F861">
        <v>987995.23380000005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-0.92509363295880154</v>
      </c>
      <c r="Q861">
        <f t="shared" si="1010"/>
        <v>-913988.10018202255</v>
      </c>
      <c r="R861">
        <f t="shared" si="1011"/>
        <v>4771659.4892905783</v>
      </c>
      <c r="S861">
        <f t="shared" si="1012"/>
        <v>47.716594892905782</v>
      </c>
      <c r="T861">
        <f t="shared" si="1013"/>
        <v>4.7716594892905785E-2</v>
      </c>
    </row>
    <row r="862" spans="1:20" x14ac:dyDescent="0.25">
      <c r="A862" s="5">
        <v>43731</v>
      </c>
      <c r="B862">
        <v>72.260000000000005</v>
      </c>
      <c r="C862">
        <v>74.239999999999995</v>
      </c>
      <c r="D862">
        <v>61.88</v>
      </c>
      <c r="E862">
        <v>66.540000000000006</v>
      </c>
      <c r="F862">
        <v>527501.79121000005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-0.24595469255663324</v>
      </c>
      <c r="Q862">
        <f t="shared" si="1010"/>
        <v>-129741.5408801289</v>
      </c>
      <c r="R862">
        <f t="shared" si="1011"/>
        <v>5685647.5894726012</v>
      </c>
      <c r="S862">
        <f t="shared" si="1012"/>
        <v>56.85647589472601</v>
      </c>
      <c r="T862">
        <f t="shared" si="1013"/>
        <v>5.6856475894726012E-2</v>
      </c>
    </row>
    <row r="863" spans="1:20" x14ac:dyDescent="0.25">
      <c r="A863" s="5">
        <v>43730</v>
      </c>
      <c r="B863">
        <v>73.2</v>
      </c>
      <c r="C863">
        <v>73.22</v>
      </c>
      <c r="D863">
        <v>71.03</v>
      </c>
      <c r="E863">
        <v>72.23</v>
      </c>
      <c r="F863">
        <v>219392.15857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9.5890410958907837E-2</v>
      </c>
      <c r="Q863">
        <f t="shared" si="1010"/>
        <v>21037.604246439176</v>
      </c>
      <c r="R863">
        <f t="shared" si="1011"/>
        <v>5815389.1303527299</v>
      </c>
      <c r="S863">
        <f t="shared" si="1012"/>
        <v>58.153891303527303</v>
      </c>
      <c r="T863">
        <f t="shared" si="1013"/>
        <v>5.81538913035273E-2</v>
      </c>
    </row>
    <row r="864" spans="1:20" x14ac:dyDescent="0.25">
      <c r="A864" s="5">
        <v>43729</v>
      </c>
      <c r="B864">
        <v>75.06</v>
      </c>
      <c r="C864">
        <v>75.58</v>
      </c>
      <c r="D864">
        <v>72.06</v>
      </c>
      <c r="E864">
        <v>73.22</v>
      </c>
      <c r="F864">
        <v>211641.79196999999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-0.34090909090909211</v>
      </c>
      <c r="Q864">
        <f t="shared" si="1010"/>
        <v>-72150.610898863888</v>
      </c>
      <c r="R864">
        <f t="shared" si="1011"/>
        <v>5794351.5261062905</v>
      </c>
      <c r="S864">
        <f t="shared" si="1012"/>
        <v>57.943515261062906</v>
      </c>
      <c r="T864">
        <f t="shared" si="1013"/>
        <v>5.7943515261062908E-2</v>
      </c>
    </row>
    <row r="865" spans="1:20" x14ac:dyDescent="0.25">
      <c r="A865" s="5">
        <v>43728</v>
      </c>
      <c r="B865">
        <v>76.56</v>
      </c>
      <c r="C865">
        <v>77.08</v>
      </c>
      <c r="D865">
        <v>72.78</v>
      </c>
      <c r="E865">
        <v>75.05</v>
      </c>
      <c r="F865">
        <v>286151.47725</v>
      </c>
      <c r="G865">
        <v>0</v>
      </c>
      <c r="L865" t="s">
        <v>7</v>
      </c>
      <c r="M865" t="s">
        <v>8</v>
      </c>
      <c r="N865" t="s">
        <v>7</v>
      </c>
      <c r="P865">
        <f t="shared" si="1009"/>
        <v>5.581395348837094E-2</v>
      </c>
      <c r="Q865">
        <f t="shared" si="1010"/>
        <v>15971.245241860135</v>
      </c>
      <c r="R865">
        <f t="shared" si="1011"/>
        <v>5866502.137005154</v>
      </c>
      <c r="S865">
        <f t="shared" si="1012"/>
        <v>58.665021370051541</v>
      </c>
      <c r="T865">
        <f t="shared" si="1013"/>
        <v>5.8665021370051543E-2</v>
      </c>
    </row>
    <row r="866" spans="1:20" x14ac:dyDescent="0.25">
      <c r="A866" s="5">
        <v>43727</v>
      </c>
      <c r="B866">
        <v>77.77</v>
      </c>
      <c r="C866">
        <v>80.900000000000006</v>
      </c>
      <c r="D866">
        <v>72.62</v>
      </c>
      <c r="E866">
        <v>76.56</v>
      </c>
      <c r="F866">
        <v>516227.12488999998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-4.8309178743962032E-2</v>
      </c>
      <c r="Q866">
        <f t="shared" si="1010"/>
        <v>-24938.508448792621</v>
      </c>
      <c r="R866">
        <f t="shared" si="1011"/>
        <v>5850530.8917632941</v>
      </c>
      <c r="S866">
        <f t="shared" si="1012"/>
        <v>58.505308917632938</v>
      </c>
      <c r="T866">
        <f t="shared" si="1013"/>
        <v>5.8505308917632941E-2</v>
      </c>
    </row>
    <row r="867" spans="1:20" x14ac:dyDescent="0.25">
      <c r="A867" s="5">
        <v>43726</v>
      </c>
      <c r="B867">
        <v>74.06</v>
      </c>
      <c r="C867">
        <v>80.3</v>
      </c>
      <c r="D867">
        <v>73.98</v>
      </c>
      <c r="E867">
        <v>77.81</v>
      </c>
      <c r="F867">
        <v>463500.72712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0.21202531645569697</v>
      </c>
      <c r="Q867">
        <f t="shared" si="1010"/>
        <v>98273.888345063649</v>
      </c>
      <c r="R867">
        <f t="shared" si="1011"/>
        <v>5875469.4002120867</v>
      </c>
      <c r="S867">
        <f t="shared" si="1012"/>
        <v>58.754694002120864</v>
      </c>
      <c r="T867">
        <f t="shared" si="1013"/>
        <v>5.8754694002120862E-2</v>
      </c>
    </row>
    <row r="868" spans="1:20" x14ac:dyDescent="0.25">
      <c r="A868" s="5">
        <v>43725</v>
      </c>
      <c r="B868">
        <v>72.67</v>
      </c>
      <c r="C868">
        <v>77.59</v>
      </c>
      <c r="D868">
        <v>72.150000000000006</v>
      </c>
      <c r="E868">
        <v>74.040000000000006</v>
      </c>
      <c r="F868">
        <v>331820.84684999997</v>
      </c>
      <c r="G868">
        <v>0</v>
      </c>
      <c r="L868" t="s">
        <v>8</v>
      </c>
      <c r="M868" t="s">
        <v>8</v>
      </c>
      <c r="N868" t="s">
        <v>7</v>
      </c>
      <c r="P868">
        <f t="shared" si="1009"/>
        <v>-0.30514705882352894</v>
      </c>
      <c r="Q868">
        <f t="shared" si="1010"/>
        <v>-101254.15547261013</v>
      </c>
      <c r="R868">
        <f t="shared" si="1011"/>
        <v>5777195.5118670231</v>
      </c>
      <c r="S868">
        <f t="shared" si="1012"/>
        <v>57.771955118670228</v>
      </c>
      <c r="T868">
        <f t="shared" si="1013"/>
        <v>5.7771955118670226E-2</v>
      </c>
    </row>
    <row r="869" spans="1:20" x14ac:dyDescent="0.25">
      <c r="A869" s="5">
        <v>43724</v>
      </c>
      <c r="B869">
        <v>70.040000000000006</v>
      </c>
      <c r="C869">
        <v>73.67</v>
      </c>
      <c r="D869">
        <v>69.36</v>
      </c>
      <c r="E869">
        <v>72.63</v>
      </c>
      <c r="F869">
        <v>267731.58165000001</v>
      </c>
      <c r="G869">
        <v>0</v>
      </c>
      <c r="L869" t="s">
        <v>8</v>
      </c>
      <c r="M869" t="s">
        <v>8</v>
      </c>
      <c r="N869" t="s">
        <v>7</v>
      </c>
      <c r="P869">
        <f t="shared" si="1009"/>
        <v>0.51740139211136627</v>
      </c>
      <c r="Q869">
        <f t="shared" si="1010"/>
        <v>138524.69305788793</v>
      </c>
      <c r="R869">
        <f t="shared" si="1011"/>
        <v>5878449.6673396332</v>
      </c>
      <c r="S869">
        <f t="shared" si="1012"/>
        <v>58.784496673396333</v>
      </c>
      <c r="T869">
        <f t="shared" si="1013"/>
        <v>5.878449667339633E-2</v>
      </c>
    </row>
    <row r="870" spans="1:20" x14ac:dyDescent="0.25">
      <c r="A870" s="5">
        <v>43723</v>
      </c>
      <c r="B870">
        <v>70.489999999999995</v>
      </c>
      <c r="C870">
        <v>71.28</v>
      </c>
      <c r="D870">
        <v>69.5</v>
      </c>
      <c r="E870">
        <v>70.040000000000006</v>
      </c>
      <c r="F870">
        <v>123157.58775999999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-0.39325842696628549</v>
      </c>
      <c r="Q870">
        <f t="shared" si="1010"/>
        <v>-48432.759231459851</v>
      </c>
      <c r="R870">
        <f t="shared" si="1011"/>
        <v>5739924.974281745</v>
      </c>
      <c r="S870">
        <f t="shared" si="1012"/>
        <v>57.399249742817453</v>
      </c>
      <c r="T870">
        <f t="shared" si="1013"/>
        <v>5.7399249742817453E-2</v>
      </c>
    </row>
    <row r="871" spans="1:20" x14ac:dyDescent="0.25">
      <c r="A871" s="5">
        <v>43722</v>
      </c>
      <c r="B871">
        <v>68.930000000000007</v>
      </c>
      <c r="C871">
        <v>71.5</v>
      </c>
      <c r="D871">
        <v>68.2</v>
      </c>
      <c r="E871">
        <v>70.5</v>
      </c>
      <c r="F871">
        <v>179064.87018999999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0.39393939393939342</v>
      </c>
      <c r="Q871">
        <f t="shared" si="1010"/>
        <v>70540.706438484747</v>
      </c>
      <c r="R871">
        <f t="shared" si="1011"/>
        <v>5788357.7335132053</v>
      </c>
      <c r="S871">
        <f t="shared" si="1012"/>
        <v>57.883577335132053</v>
      </c>
      <c r="T871">
        <f t="shared" si="1013"/>
        <v>5.7883577335132053E-2</v>
      </c>
    </row>
    <row r="872" spans="1:20" x14ac:dyDescent="0.25">
      <c r="A872" s="5">
        <v>43721</v>
      </c>
      <c r="B872">
        <v>69.180000000000007</v>
      </c>
      <c r="C872">
        <v>69.58</v>
      </c>
      <c r="D872">
        <v>67.36</v>
      </c>
      <c r="E872">
        <v>68.930000000000007</v>
      </c>
      <c r="F872">
        <v>156416.29243999999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0.41441441441442178</v>
      </c>
      <c r="Q872">
        <f t="shared" si="1010"/>
        <v>64821.166236397548</v>
      </c>
      <c r="R872">
        <f t="shared" si="1011"/>
        <v>5717817.0270747207</v>
      </c>
      <c r="S872">
        <f t="shared" si="1012"/>
        <v>57.178170270747209</v>
      </c>
      <c r="T872">
        <f t="shared" si="1013"/>
        <v>5.717817027074721E-2</v>
      </c>
    </row>
    <row r="873" spans="1:20" x14ac:dyDescent="0.25">
      <c r="A873" s="5">
        <v>43720</v>
      </c>
      <c r="B873">
        <v>69.8</v>
      </c>
      <c r="C873">
        <v>70</v>
      </c>
      <c r="D873">
        <v>68.3</v>
      </c>
      <c r="E873">
        <v>69.150000000000006</v>
      </c>
      <c r="F873">
        <v>135570.08885</v>
      </c>
      <c r="G873">
        <v>0</v>
      </c>
      <c r="L873" t="s">
        <v>8</v>
      </c>
      <c r="M873" t="s">
        <v>7</v>
      </c>
      <c r="N873" t="s">
        <v>7</v>
      </c>
      <c r="P873">
        <f t="shared" si="1009"/>
        <v>8.3593263030599883E-15</v>
      </c>
      <c r="Q873">
        <f t="shared" si="1010"/>
        <v>1.1332746096319847E-9</v>
      </c>
      <c r="R873">
        <f t="shared" si="1011"/>
        <v>5652995.8608383229</v>
      </c>
      <c r="S873">
        <f t="shared" si="1012"/>
        <v>56.529958608383232</v>
      </c>
      <c r="T873">
        <f t="shared" si="1013"/>
        <v>5.6529958608383231E-2</v>
      </c>
    </row>
    <row r="874" spans="1:20" x14ac:dyDescent="0.25">
      <c r="A874" s="5">
        <v>43719</v>
      </c>
      <c r="B874">
        <v>70.849999999999994</v>
      </c>
      <c r="C874">
        <v>71.81</v>
      </c>
      <c r="D874">
        <v>68.25</v>
      </c>
      <c r="E874">
        <v>69.8</v>
      </c>
      <c r="F874">
        <v>208744.34146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-0.12921348314606956</v>
      </c>
      <c r="Q874">
        <f t="shared" si="1010"/>
        <v>-26972.583447079098</v>
      </c>
      <c r="R874">
        <f t="shared" si="1011"/>
        <v>5652995.860838322</v>
      </c>
      <c r="S874">
        <f t="shared" si="1012"/>
        <v>56.529958608383218</v>
      </c>
      <c r="T874">
        <f t="shared" si="1013"/>
        <v>5.6529958608383217E-2</v>
      </c>
    </row>
    <row r="875" spans="1:20" x14ac:dyDescent="0.25">
      <c r="A875" s="5">
        <v>43718</v>
      </c>
      <c r="B875">
        <v>69.86</v>
      </c>
      <c r="C875">
        <v>73.099999999999994</v>
      </c>
      <c r="D875">
        <v>69.77</v>
      </c>
      <c r="E875">
        <v>70.849999999999994</v>
      </c>
      <c r="F875">
        <v>315598.33705999999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-0.35135135135135204</v>
      </c>
      <c r="Q875">
        <f t="shared" si="1010"/>
        <v>-110885.90221027048</v>
      </c>
      <c r="R875">
        <f t="shared" si="1011"/>
        <v>5679968.4442854011</v>
      </c>
      <c r="S875">
        <f t="shared" si="1012"/>
        <v>56.799684442854009</v>
      </c>
      <c r="T875">
        <f t="shared" si="1013"/>
        <v>5.6799684442854007E-2</v>
      </c>
    </row>
    <row r="876" spans="1:20" x14ac:dyDescent="0.25">
      <c r="A876" s="5">
        <v>43717</v>
      </c>
      <c r="B876">
        <v>70.36</v>
      </c>
      <c r="C876">
        <v>71.38</v>
      </c>
      <c r="D876">
        <v>67.73</v>
      </c>
      <c r="E876">
        <v>69.89</v>
      </c>
      <c r="F876">
        <v>229275.26659000001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0.18356164383561732</v>
      </c>
      <c r="Q876">
        <f t="shared" si="1010"/>
        <v>42086.144826109798</v>
      </c>
      <c r="R876">
        <f t="shared" si="1011"/>
        <v>5790854.3464956712</v>
      </c>
      <c r="S876">
        <f t="shared" si="1012"/>
        <v>57.908543464956715</v>
      </c>
      <c r="T876">
        <f t="shared" si="1013"/>
        <v>5.7908543464956712E-2</v>
      </c>
    </row>
    <row r="877" spans="1:20" x14ac:dyDescent="0.25">
      <c r="A877" s="5">
        <v>43716</v>
      </c>
      <c r="B877">
        <v>68.77</v>
      </c>
      <c r="C877">
        <v>71.459999999999994</v>
      </c>
      <c r="D877">
        <v>68</v>
      </c>
      <c r="E877">
        <v>70.36</v>
      </c>
      <c r="F877">
        <v>315059.92830999999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0.36416184971098481</v>
      </c>
      <c r="Q877">
        <f t="shared" si="1010"/>
        <v>114732.80626317987</v>
      </c>
      <c r="R877">
        <f t="shared" si="1011"/>
        <v>5748768.2016695617</v>
      </c>
      <c r="S877">
        <f t="shared" si="1012"/>
        <v>57.487682016695615</v>
      </c>
      <c r="T877">
        <f t="shared" si="1013"/>
        <v>5.7487682016695615E-2</v>
      </c>
    </row>
    <row r="878" spans="1:20" x14ac:dyDescent="0.25">
      <c r="A878" s="5">
        <v>43715</v>
      </c>
      <c r="B878">
        <v>64.88</v>
      </c>
      <c r="C878">
        <v>70.569999999999993</v>
      </c>
      <c r="D878">
        <v>64.53</v>
      </c>
      <c r="E878">
        <v>68.77</v>
      </c>
      <c r="F878">
        <v>305501.47722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0.40397350993377501</v>
      </c>
      <c r="Q878">
        <f t="shared" si="1010"/>
        <v>123414.50404251661</v>
      </c>
      <c r="R878">
        <f t="shared" si="1011"/>
        <v>5634035.3954063822</v>
      </c>
      <c r="S878">
        <f t="shared" si="1012"/>
        <v>56.340353954063822</v>
      </c>
      <c r="T878">
        <f t="shared" si="1013"/>
        <v>5.6340353954063824E-2</v>
      </c>
    </row>
    <row r="879" spans="1:20" x14ac:dyDescent="0.25">
      <c r="A879" s="5">
        <v>43714</v>
      </c>
      <c r="B879">
        <v>65.239999999999995</v>
      </c>
      <c r="C879">
        <v>68</v>
      </c>
      <c r="D879">
        <v>63.54</v>
      </c>
      <c r="E879">
        <v>64.87</v>
      </c>
      <c r="F879">
        <v>278618.16431999998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-0.40358744394618601</v>
      </c>
      <c r="Q879">
        <f t="shared" si="1010"/>
        <v>-112446.79277488723</v>
      </c>
      <c r="R879">
        <f t="shared" si="1011"/>
        <v>5510620.8913638657</v>
      </c>
      <c r="S879">
        <f t="shared" si="1012"/>
        <v>55.10620891363866</v>
      </c>
      <c r="T879">
        <f t="shared" si="1013"/>
        <v>5.5106208913638662E-2</v>
      </c>
    </row>
    <row r="880" spans="1:20" x14ac:dyDescent="0.25">
      <c r="A880" s="5">
        <v>43713</v>
      </c>
      <c r="B880">
        <v>67.02</v>
      </c>
      <c r="C880">
        <v>67.39</v>
      </c>
      <c r="D880">
        <v>64.14</v>
      </c>
      <c r="E880">
        <v>65.23</v>
      </c>
      <c r="F880">
        <v>166569.36181999999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-0.32923076923076711</v>
      </c>
      <c r="Q880">
        <f t="shared" si="1010"/>
        <v>-54839.75912227657</v>
      </c>
      <c r="R880">
        <f t="shared" si="1011"/>
        <v>5623067.6841387525</v>
      </c>
      <c r="S880">
        <f t="shared" si="1012"/>
        <v>56.230676841387528</v>
      </c>
      <c r="T880">
        <f t="shared" si="1013"/>
        <v>5.6230676841387529E-2</v>
      </c>
    </row>
    <row r="881" spans="1:20" x14ac:dyDescent="0.25">
      <c r="A881" s="5">
        <v>43712</v>
      </c>
      <c r="B881">
        <v>69</v>
      </c>
      <c r="C881">
        <v>69.239999999999995</v>
      </c>
      <c r="D881">
        <v>66.400000000000006</v>
      </c>
      <c r="E881">
        <v>67.010000000000005</v>
      </c>
      <c r="F881">
        <v>219846.1354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-0.5704225352112664</v>
      </c>
      <c r="Q881">
        <f t="shared" si="1010"/>
        <v>-125405.18991126734</v>
      </c>
      <c r="R881">
        <f t="shared" si="1011"/>
        <v>5677907.4432610292</v>
      </c>
      <c r="S881">
        <f t="shared" si="1012"/>
        <v>56.779074432610294</v>
      </c>
      <c r="T881">
        <f t="shared" si="1013"/>
        <v>5.6779074432610294E-2</v>
      </c>
    </row>
    <row r="882" spans="1:20" x14ac:dyDescent="0.25">
      <c r="A882" s="5">
        <v>43711</v>
      </c>
      <c r="B882">
        <v>66.92</v>
      </c>
      <c r="C882">
        <v>71</v>
      </c>
      <c r="D882">
        <v>66.47</v>
      </c>
      <c r="E882">
        <v>69.06</v>
      </c>
      <c r="F882">
        <v>286130.47957000002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0.14348785871964803</v>
      </c>
      <c r="Q882">
        <f t="shared" si="1010"/>
        <v>41056.249827925298</v>
      </c>
      <c r="R882">
        <f t="shared" si="1011"/>
        <v>5803312.6331722969</v>
      </c>
      <c r="S882">
        <f t="shared" si="1012"/>
        <v>58.033126331722968</v>
      </c>
      <c r="T882">
        <f t="shared" si="1013"/>
        <v>5.8033126331722966E-2</v>
      </c>
    </row>
    <row r="883" spans="1:20" x14ac:dyDescent="0.25">
      <c r="A883" s="5">
        <v>43710</v>
      </c>
      <c r="B883">
        <v>65.849999999999994</v>
      </c>
      <c r="C883">
        <v>68.03</v>
      </c>
      <c r="D883">
        <v>64.8</v>
      </c>
      <c r="E883">
        <v>66.92</v>
      </c>
      <c r="F883">
        <v>210648.66086999999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0.31269349845201361</v>
      </c>
      <c r="Q883">
        <f t="shared" si="1010"/>
        <v>65868.466711672081</v>
      </c>
      <c r="R883">
        <f t="shared" si="1011"/>
        <v>5762256.3833443718</v>
      </c>
      <c r="S883">
        <f t="shared" si="1012"/>
        <v>57.622563833443721</v>
      </c>
      <c r="T883">
        <f t="shared" si="1013"/>
        <v>5.7622563833443718E-2</v>
      </c>
    </row>
    <row r="884" spans="1:20" x14ac:dyDescent="0.25">
      <c r="A884" s="5">
        <v>43709</v>
      </c>
      <c r="B884">
        <v>64.23</v>
      </c>
      <c r="C884">
        <v>67.209999999999994</v>
      </c>
      <c r="D884">
        <v>63.74</v>
      </c>
      <c r="E884">
        <v>65.89</v>
      </c>
      <c r="F884">
        <v>160452.85756999999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0.23919308357348915</v>
      </c>
      <c r="Q884">
        <f t="shared" si="1010"/>
        <v>38379.213770346156</v>
      </c>
      <c r="R884">
        <f t="shared" si="1011"/>
        <v>5696387.9166326998</v>
      </c>
      <c r="S884">
        <f t="shared" si="1012"/>
        <v>56.963879166326997</v>
      </c>
      <c r="T884">
        <f t="shared" si="1013"/>
        <v>5.6963879166326996E-2</v>
      </c>
    </row>
    <row r="885" spans="1:20" x14ac:dyDescent="0.25">
      <c r="A885" s="5">
        <v>43708</v>
      </c>
      <c r="B885">
        <v>64.180000000000007</v>
      </c>
      <c r="C885">
        <v>65.39</v>
      </c>
      <c r="D885">
        <v>62.25</v>
      </c>
      <c r="E885">
        <v>64.239999999999995</v>
      </c>
      <c r="F885">
        <v>148167.15877000001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0.26751592356687548</v>
      </c>
      <c r="Q885">
        <f t="shared" si="1010"/>
        <v>39637.074320636428</v>
      </c>
      <c r="R885">
        <f t="shared" si="1011"/>
        <v>5658008.702862354</v>
      </c>
      <c r="S885">
        <f t="shared" si="1012"/>
        <v>56.580087028623538</v>
      </c>
      <c r="T885">
        <f t="shared" si="1013"/>
        <v>5.6580087028623535E-2</v>
      </c>
    </row>
    <row r="886" spans="1:20" x14ac:dyDescent="0.25">
      <c r="A886" s="5">
        <v>43707</v>
      </c>
      <c r="B886">
        <v>63.55</v>
      </c>
      <c r="C886">
        <v>65.599999999999994</v>
      </c>
      <c r="D886">
        <v>62.16</v>
      </c>
      <c r="E886">
        <v>64.17</v>
      </c>
      <c r="F886">
        <v>188503.14428000001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0.16860465116279444</v>
      </c>
      <c r="Q886">
        <f t="shared" si="1010"/>
        <v>31782.506884419312</v>
      </c>
      <c r="R886">
        <f t="shared" si="1011"/>
        <v>5618371.6285417173</v>
      </c>
      <c r="S886">
        <f t="shared" si="1012"/>
        <v>56.183716285417177</v>
      </c>
      <c r="T886">
        <f t="shared" si="1013"/>
        <v>5.6183716285417178E-2</v>
      </c>
    </row>
    <row r="887" spans="1:20" x14ac:dyDescent="0.25">
      <c r="A887" s="5">
        <v>43706</v>
      </c>
      <c r="B887">
        <v>66.73</v>
      </c>
      <c r="C887">
        <v>66.77</v>
      </c>
      <c r="D887">
        <v>62</v>
      </c>
      <c r="E887">
        <v>63.59</v>
      </c>
      <c r="F887">
        <v>206167.47860999999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-0.33333333333333137</v>
      </c>
      <c r="Q887">
        <f t="shared" si="1010"/>
        <v>-68722.492869999594</v>
      </c>
      <c r="R887">
        <f t="shared" si="1011"/>
        <v>5586589.1216572979</v>
      </c>
      <c r="S887">
        <f t="shared" si="1012"/>
        <v>55.865891216572976</v>
      </c>
      <c r="T887">
        <f t="shared" si="1013"/>
        <v>5.5865891216572976E-2</v>
      </c>
    </row>
    <row r="888" spans="1:20" x14ac:dyDescent="0.25">
      <c r="A888" s="5">
        <v>43705</v>
      </c>
      <c r="B888">
        <v>72.88</v>
      </c>
      <c r="C888">
        <v>73.14</v>
      </c>
      <c r="D888">
        <v>65</v>
      </c>
      <c r="E888">
        <v>66.73</v>
      </c>
      <c r="F888">
        <v>295837.67733999999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-0.57493857493857403</v>
      </c>
      <c r="Q888">
        <f t="shared" si="1010"/>
        <v>-170088.49262299726</v>
      </c>
      <c r="R888">
        <f t="shared" si="1011"/>
        <v>5655311.6145272972</v>
      </c>
      <c r="S888">
        <f t="shared" si="1012"/>
        <v>56.553116145272973</v>
      </c>
      <c r="T888">
        <f t="shared" si="1013"/>
        <v>5.6553116145272975E-2</v>
      </c>
    </row>
    <row r="889" spans="1:20" x14ac:dyDescent="0.25">
      <c r="A889" s="5">
        <v>43704</v>
      </c>
      <c r="B889">
        <v>73.59</v>
      </c>
      <c r="C889">
        <v>73.75</v>
      </c>
      <c r="D889">
        <v>72.13</v>
      </c>
      <c r="E889">
        <v>72.900000000000006</v>
      </c>
      <c r="F889">
        <v>92746.017510000005</v>
      </c>
      <c r="G889">
        <v>0</v>
      </c>
      <c r="L889" t="s">
        <v>8</v>
      </c>
      <c r="M889" t="s">
        <v>7</v>
      </c>
      <c r="N889" t="s">
        <v>7</v>
      </c>
      <c r="P889">
        <f t="shared" si="1009"/>
        <v>-4.9382716049372756E-2</v>
      </c>
      <c r="Q889">
        <f t="shared" si="1010"/>
        <v>-4580.0502474064842</v>
      </c>
      <c r="R889">
        <f t="shared" si="1011"/>
        <v>5825400.1071502948</v>
      </c>
      <c r="S889">
        <f t="shared" si="1012"/>
        <v>58.254001071502948</v>
      </c>
      <c r="T889">
        <f t="shared" si="1013"/>
        <v>5.8254001071502949E-2</v>
      </c>
    </row>
    <row r="890" spans="1:20" x14ac:dyDescent="0.25">
      <c r="A890" s="5">
        <v>43703</v>
      </c>
      <c r="B890">
        <v>72.12</v>
      </c>
      <c r="C890">
        <v>75.459999999999994</v>
      </c>
      <c r="D890">
        <v>72.09</v>
      </c>
      <c r="E890">
        <v>73.540000000000006</v>
      </c>
      <c r="F890">
        <v>186459.72505000001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-0.13946587537091573</v>
      </c>
      <c r="Q890">
        <f t="shared" si="1010"/>
        <v>-26004.768775518514</v>
      </c>
      <c r="R890">
        <f t="shared" si="1011"/>
        <v>5829980.1573977014</v>
      </c>
      <c r="S890">
        <f t="shared" si="1012"/>
        <v>58.299801573977014</v>
      </c>
      <c r="T890">
        <f t="shared" si="1013"/>
        <v>5.8299801573977017E-2</v>
      </c>
    </row>
    <row r="891" spans="1:20" x14ac:dyDescent="0.25">
      <c r="A891" s="5">
        <v>43702</v>
      </c>
      <c r="B891">
        <v>73.319999999999993</v>
      </c>
      <c r="C891">
        <v>74.930000000000007</v>
      </c>
      <c r="D891">
        <v>70.56</v>
      </c>
      <c r="E891">
        <v>72.099999999999994</v>
      </c>
      <c r="F891">
        <v>143368.07876999999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-0.2951945080091577</v>
      </c>
      <c r="Q891">
        <f t="shared" si="1010"/>
        <v>-42321.469476728314</v>
      </c>
      <c r="R891">
        <f t="shared" si="1011"/>
        <v>5855984.9261732195</v>
      </c>
      <c r="S891">
        <f t="shared" si="1012"/>
        <v>58.559849261732197</v>
      </c>
      <c r="T891">
        <f t="shared" si="1013"/>
        <v>5.8559849261732196E-2</v>
      </c>
    </row>
    <row r="892" spans="1:20" x14ac:dyDescent="0.25">
      <c r="A892" s="5">
        <v>43701</v>
      </c>
      <c r="B892">
        <v>75.37</v>
      </c>
      <c r="C892">
        <v>75.650000000000006</v>
      </c>
      <c r="D892">
        <v>71.39</v>
      </c>
      <c r="E892">
        <v>73.319999999999993</v>
      </c>
      <c r="F892">
        <v>119841.86721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-9.3896713615028035E-2</v>
      </c>
      <c r="Q892">
        <f t="shared" si="1010"/>
        <v>-11252.757484507589</v>
      </c>
      <c r="R892">
        <f t="shared" si="1011"/>
        <v>5898306.3956499482</v>
      </c>
      <c r="S892">
        <f t="shared" si="1012"/>
        <v>58.983063956499478</v>
      </c>
      <c r="T892">
        <f t="shared" si="1013"/>
        <v>5.8983063956499479E-2</v>
      </c>
    </row>
    <row r="893" spans="1:20" x14ac:dyDescent="0.25">
      <c r="A893" s="5">
        <v>43700</v>
      </c>
      <c r="B893">
        <v>73.38</v>
      </c>
      <c r="C893">
        <v>75.92</v>
      </c>
      <c r="D893">
        <v>72.099999999999994</v>
      </c>
      <c r="E893">
        <v>75.38</v>
      </c>
      <c r="F893">
        <v>138535.90048000001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0.71727748691099202</v>
      </c>
      <c r="Q893">
        <f t="shared" si="1010"/>
        <v>99368.682543245697</v>
      </c>
      <c r="R893">
        <f t="shared" si="1011"/>
        <v>5909559.1531344559</v>
      </c>
      <c r="S893">
        <f t="shared" si="1012"/>
        <v>59.09559153134456</v>
      </c>
      <c r="T893">
        <f t="shared" si="1013"/>
        <v>5.9095591531344561E-2</v>
      </c>
    </row>
    <row r="894" spans="1:20" x14ac:dyDescent="0.25">
      <c r="A894" s="5">
        <v>43699</v>
      </c>
      <c r="B894">
        <v>73.180000000000007</v>
      </c>
      <c r="C894">
        <v>74.64</v>
      </c>
      <c r="D894">
        <v>71</v>
      </c>
      <c r="E894">
        <v>73.31</v>
      </c>
      <c r="F894">
        <v>159575.08558000001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0.26923076923077027</v>
      </c>
      <c r="Q894">
        <f t="shared" si="1010"/>
        <v>42962.523040769403</v>
      </c>
      <c r="R894">
        <f t="shared" si="1011"/>
        <v>5810190.4705912098</v>
      </c>
      <c r="S894">
        <f t="shared" si="1012"/>
        <v>58.101904705912098</v>
      </c>
      <c r="T894">
        <f t="shared" si="1013"/>
        <v>5.8101904705912095E-2</v>
      </c>
    </row>
    <row r="895" spans="1:20" x14ac:dyDescent="0.25">
      <c r="A895" s="5">
        <v>43698</v>
      </c>
      <c r="B895">
        <v>75.13</v>
      </c>
      <c r="C895">
        <v>75.33</v>
      </c>
      <c r="D895">
        <v>70.14</v>
      </c>
      <c r="E895">
        <v>73.27</v>
      </c>
      <c r="F895">
        <v>188740.48706000001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0.20616570327552863</v>
      </c>
      <c r="Q895">
        <f t="shared" ref="Q895:Q958" si="1015">F895*P895</f>
        <v>38911.815251290718</v>
      </c>
      <c r="R895">
        <f t="shared" ref="R895:R958" si="1016">R896+Q895</f>
        <v>5767227.9475504402</v>
      </c>
      <c r="S895">
        <f t="shared" ref="S895:S958" si="1017">R895/100000</f>
        <v>57.672279475504403</v>
      </c>
      <c r="T895">
        <f t="shared" ref="T895:T958" si="1018">S895/1000</f>
        <v>5.7672279475504407E-2</v>
      </c>
    </row>
    <row r="896" spans="1:20" x14ac:dyDescent="0.25">
      <c r="A896" s="5">
        <v>43697</v>
      </c>
      <c r="B896">
        <v>77.099999999999994</v>
      </c>
      <c r="C896">
        <v>77.3</v>
      </c>
      <c r="D896">
        <v>73.31</v>
      </c>
      <c r="E896">
        <v>75.14</v>
      </c>
      <c r="F896">
        <v>130580.76909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-8.2706766917292909E-2</v>
      </c>
      <c r="Q896">
        <f t="shared" si="1015"/>
        <v>-10799.913233007477</v>
      </c>
      <c r="R896">
        <f t="shared" si="1016"/>
        <v>5728316.1322991494</v>
      </c>
      <c r="S896">
        <f t="shared" si="1017"/>
        <v>57.283161322991496</v>
      </c>
      <c r="T896">
        <f t="shared" si="1018"/>
        <v>5.7283161322991494E-2</v>
      </c>
    </row>
    <row r="897" spans="1:20" x14ac:dyDescent="0.25">
      <c r="A897" s="5">
        <v>43696</v>
      </c>
      <c r="B897">
        <v>76.31</v>
      </c>
      <c r="C897">
        <v>78.95</v>
      </c>
      <c r="D897">
        <v>75.36</v>
      </c>
      <c r="E897">
        <v>77.099999999999994</v>
      </c>
      <c r="F897">
        <v>176507.93997000001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-3.064066852368065E-2</v>
      </c>
      <c r="Q897">
        <f t="shared" si="1015"/>
        <v>-5408.3212804184932</v>
      </c>
      <c r="R897">
        <f t="shared" si="1016"/>
        <v>5739116.0455321567</v>
      </c>
      <c r="S897">
        <f t="shared" si="1017"/>
        <v>57.391160455321568</v>
      </c>
      <c r="T897">
        <f t="shared" si="1018"/>
        <v>5.7391160455321569E-2</v>
      </c>
    </row>
    <row r="898" spans="1:20" x14ac:dyDescent="0.25">
      <c r="A898" s="5">
        <v>43695</v>
      </c>
      <c r="B898">
        <v>72.64</v>
      </c>
      <c r="C898">
        <v>78</v>
      </c>
      <c r="D898">
        <v>71.400000000000006</v>
      </c>
      <c r="E898">
        <v>76.25</v>
      </c>
      <c r="F898">
        <v>171800.85253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0.46969696969696922</v>
      </c>
      <c r="Q898">
        <f t="shared" si="1015"/>
        <v>80694.339824696886</v>
      </c>
      <c r="R898">
        <f t="shared" si="1016"/>
        <v>5744524.3668125756</v>
      </c>
      <c r="S898">
        <f t="shared" si="1017"/>
        <v>57.445243668125755</v>
      </c>
      <c r="T898">
        <f t="shared" si="1018"/>
        <v>5.7445243668125756E-2</v>
      </c>
    </row>
    <row r="899" spans="1:20" x14ac:dyDescent="0.25">
      <c r="A899" s="5">
        <v>43694</v>
      </c>
      <c r="B899">
        <v>74.63</v>
      </c>
      <c r="C899">
        <v>75.349999999999994</v>
      </c>
      <c r="D899">
        <v>71.5</v>
      </c>
      <c r="E899">
        <v>72.650000000000006</v>
      </c>
      <c r="F899">
        <v>131039.84431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-0.40259740259739879</v>
      </c>
      <c r="Q899">
        <f t="shared" si="1015"/>
        <v>-52756.300955973529</v>
      </c>
      <c r="R899">
        <f t="shared" si="1016"/>
        <v>5663830.0269878786</v>
      </c>
      <c r="S899">
        <f t="shared" si="1017"/>
        <v>56.638300269878783</v>
      </c>
      <c r="T899">
        <f t="shared" si="1018"/>
        <v>5.6638300269878782E-2</v>
      </c>
    </row>
    <row r="900" spans="1:20" x14ac:dyDescent="0.25">
      <c r="A900" s="5">
        <v>43693</v>
      </c>
      <c r="B900">
        <v>76.239999999999995</v>
      </c>
      <c r="C900">
        <v>76.42</v>
      </c>
      <c r="D900">
        <v>72.34</v>
      </c>
      <c r="E900">
        <v>74.67</v>
      </c>
      <c r="F900">
        <v>186709.02728000001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0.14215686274509767</v>
      </c>
      <c r="Q900">
        <f t="shared" si="1015"/>
        <v>26541.969564313658</v>
      </c>
      <c r="R900">
        <f t="shared" si="1016"/>
        <v>5716586.3279438522</v>
      </c>
      <c r="S900">
        <f t="shared" si="1017"/>
        <v>57.165863279438518</v>
      </c>
      <c r="T900">
        <f t="shared" si="1018"/>
        <v>5.7165863279438518E-2</v>
      </c>
    </row>
    <row r="901" spans="1:20" x14ac:dyDescent="0.25">
      <c r="A901" s="5">
        <v>43692</v>
      </c>
      <c r="B901">
        <v>75.91</v>
      </c>
      <c r="C901">
        <v>77.7</v>
      </c>
      <c r="D901">
        <v>74.36</v>
      </c>
      <c r="E901">
        <v>76.25</v>
      </c>
      <c r="F901">
        <v>157703.32105999999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0.13173652694610696</v>
      </c>
      <c r="Q901">
        <f t="shared" si="1015"/>
        <v>20775.287804311247</v>
      </c>
      <c r="R901">
        <f t="shared" si="1016"/>
        <v>5690044.3583795382</v>
      </c>
      <c r="S901">
        <f t="shared" si="1017"/>
        <v>56.900443583795379</v>
      </c>
      <c r="T901">
        <f t="shared" si="1018"/>
        <v>5.6900443583795382E-2</v>
      </c>
    </row>
    <row r="902" spans="1:20" x14ac:dyDescent="0.25">
      <c r="A902" s="5">
        <v>43691</v>
      </c>
      <c r="B902">
        <v>84.83</v>
      </c>
      <c r="C902">
        <v>86.32</v>
      </c>
      <c r="D902">
        <v>75</v>
      </c>
      <c r="E902">
        <v>75.900000000000006</v>
      </c>
      <c r="F902">
        <v>310895.4105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-0.84098939929328509</v>
      </c>
      <c r="Q902">
        <f t="shared" si="1015"/>
        <v>-261459.74451943429</v>
      </c>
      <c r="R902">
        <f t="shared" si="1016"/>
        <v>5669269.070575227</v>
      </c>
      <c r="S902">
        <f t="shared" si="1017"/>
        <v>56.69269070575227</v>
      </c>
      <c r="T902">
        <f t="shared" si="1018"/>
        <v>5.6692690705752273E-2</v>
      </c>
    </row>
    <row r="903" spans="1:20" x14ac:dyDescent="0.25">
      <c r="A903" s="5">
        <v>43690</v>
      </c>
      <c r="B903">
        <v>85.79</v>
      </c>
      <c r="C903">
        <v>86.79</v>
      </c>
      <c r="D903">
        <v>83.26</v>
      </c>
      <c r="E903">
        <v>84.88</v>
      </c>
      <c r="F903">
        <v>166783.80957000001</v>
      </c>
      <c r="G903">
        <v>0</v>
      </c>
      <c r="L903" t="s">
        <v>7</v>
      </c>
      <c r="M903" t="s">
        <v>7</v>
      </c>
      <c r="N903" t="s">
        <v>8</v>
      </c>
      <c r="P903">
        <f t="shared" si="1014"/>
        <v>-8.2152974504255058E-2</v>
      </c>
      <c r="Q903">
        <f t="shared" si="1015"/>
        <v>-13701.786055326742</v>
      </c>
      <c r="R903">
        <f t="shared" si="1016"/>
        <v>5930728.815094661</v>
      </c>
      <c r="S903">
        <f t="shared" si="1017"/>
        <v>59.307288150946611</v>
      </c>
      <c r="T903">
        <f t="shared" si="1018"/>
        <v>5.9307288150946609E-2</v>
      </c>
    </row>
    <row r="904" spans="1:20" x14ac:dyDescent="0.25">
      <c r="A904" s="5">
        <v>43689</v>
      </c>
      <c r="B904">
        <v>89.99</v>
      </c>
      <c r="C904">
        <v>90.04</v>
      </c>
      <c r="D904">
        <v>85.45</v>
      </c>
      <c r="E904">
        <v>85.79</v>
      </c>
      <c r="F904">
        <v>147573.87933</v>
      </c>
      <c r="G904">
        <v>0</v>
      </c>
      <c r="L904" t="s">
        <v>7</v>
      </c>
      <c r="M904" t="s">
        <v>7</v>
      </c>
      <c r="N904" t="s">
        <v>8</v>
      </c>
      <c r="P904">
        <f t="shared" si="1014"/>
        <v>-0.85185185185185053</v>
      </c>
      <c r="Q904">
        <f t="shared" si="1015"/>
        <v>-125711.08239222203</v>
      </c>
      <c r="R904">
        <f t="shared" si="1016"/>
        <v>5944430.6011499874</v>
      </c>
      <c r="S904">
        <f t="shared" si="1017"/>
        <v>59.444306011499876</v>
      </c>
      <c r="T904">
        <f t="shared" si="1018"/>
        <v>5.9444306011499873E-2</v>
      </c>
    </row>
    <row r="905" spans="1:20" x14ac:dyDescent="0.25">
      <c r="A905" s="5">
        <v>43688</v>
      </c>
      <c r="B905">
        <v>85.46</v>
      </c>
      <c r="C905">
        <v>91.57</v>
      </c>
      <c r="D905">
        <v>85.15</v>
      </c>
      <c r="E905">
        <v>89.93</v>
      </c>
      <c r="F905">
        <v>196951.40228000001</v>
      </c>
      <c r="G905">
        <v>0</v>
      </c>
      <c r="L905" t="s">
        <v>8</v>
      </c>
      <c r="M905" t="s">
        <v>7</v>
      </c>
      <c r="N905" t="s">
        <v>8</v>
      </c>
      <c r="P905">
        <f t="shared" si="1014"/>
        <v>0.48909657320872602</v>
      </c>
      <c r="Q905">
        <f t="shared" si="1015"/>
        <v>96328.255943801269</v>
      </c>
      <c r="R905">
        <f t="shared" si="1016"/>
        <v>6070141.6835422097</v>
      </c>
      <c r="S905">
        <f t="shared" si="1017"/>
        <v>60.701416835422094</v>
      </c>
      <c r="T905">
        <f t="shared" si="1018"/>
        <v>6.0701416835422094E-2</v>
      </c>
    </row>
    <row r="906" spans="1:20" x14ac:dyDescent="0.25">
      <c r="A906" s="5">
        <v>43687</v>
      </c>
      <c r="B906">
        <v>84.25</v>
      </c>
      <c r="C906">
        <v>87.5</v>
      </c>
      <c r="D906">
        <v>82.27</v>
      </c>
      <c r="E906">
        <v>85.46</v>
      </c>
      <c r="F906">
        <v>243663.59096999999</v>
      </c>
      <c r="G906">
        <v>0</v>
      </c>
      <c r="L906" t="s">
        <v>7</v>
      </c>
      <c r="M906" t="s">
        <v>7</v>
      </c>
      <c r="N906" t="s">
        <v>8</v>
      </c>
      <c r="P906">
        <f t="shared" si="1014"/>
        <v>0.21988527724665213</v>
      </c>
      <c r="Q906">
        <f t="shared" si="1015"/>
        <v>53578.03625535329</v>
      </c>
      <c r="R906">
        <f t="shared" si="1016"/>
        <v>5973813.4275984084</v>
      </c>
      <c r="S906">
        <f t="shared" si="1017"/>
        <v>59.738134275984088</v>
      </c>
      <c r="T906">
        <f t="shared" si="1018"/>
        <v>5.9738134275984088E-2</v>
      </c>
    </row>
    <row r="907" spans="1:20" x14ac:dyDescent="0.25">
      <c r="A907" s="5">
        <v>43686</v>
      </c>
      <c r="B907">
        <v>90.08</v>
      </c>
      <c r="C907">
        <v>90.45</v>
      </c>
      <c r="D907">
        <v>82.64</v>
      </c>
      <c r="E907">
        <v>84.24</v>
      </c>
      <c r="F907">
        <v>245919.9803</v>
      </c>
      <c r="G907">
        <v>0</v>
      </c>
      <c r="L907" t="s">
        <v>7</v>
      </c>
      <c r="M907" t="s">
        <v>7</v>
      </c>
      <c r="N907" t="s">
        <v>8</v>
      </c>
      <c r="P907">
        <f t="shared" si="1014"/>
        <v>-0.59026888604353556</v>
      </c>
      <c r="Q907">
        <f t="shared" si="1015"/>
        <v>-145158.91282752922</v>
      </c>
      <c r="R907">
        <f t="shared" si="1016"/>
        <v>5920235.3913430553</v>
      </c>
      <c r="S907">
        <f t="shared" si="1017"/>
        <v>59.202353913430549</v>
      </c>
      <c r="T907">
        <f t="shared" si="1018"/>
        <v>5.9202353913430553E-2</v>
      </c>
    </row>
    <row r="908" spans="1:20" x14ac:dyDescent="0.25">
      <c r="A908" s="5">
        <v>43685</v>
      </c>
      <c r="B908">
        <v>90.59</v>
      </c>
      <c r="C908">
        <v>92.75</v>
      </c>
      <c r="D908">
        <v>87.72</v>
      </c>
      <c r="E908">
        <v>90.15</v>
      </c>
      <c r="F908">
        <v>227275.85013000001</v>
      </c>
      <c r="G908">
        <v>0</v>
      </c>
      <c r="L908" t="s">
        <v>7</v>
      </c>
      <c r="M908" t="s">
        <v>7</v>
      </c>
      <c r="N908" t="s">
        <v>8</v>
      </c>
      <c r="P908">
        <f t="shared" si="1014"/>
        <v>-3.3797216699798696E-2</v>
      </c>
      <c r="Q908">
        <f t="shared" si="1015"/>
        <v>-7681.2911574745822</v>
      </c>
      <c r="R908">
        <f t="shared" si="1016"/>
        <v>6065394.3041705843</v>
      </c>
      <c r="S908">
        <f t="shared" si="1017"/>
        <v>60.653943041705844</v>
      </c>
      <c r="T908">
        <f t="shared" si="1018"/>
        <v>6.0653943041705842E-2</v>
      </c>
    </row>
    <row r="909" spans="1:20" x14ac:dyDescent="0.25">
      <c r="A909" s="5">
        <v>43684</v>
      </c>
      <c r="B909">
        <v>93.05</v>
      </c>
      <c r="C909">
        <v>94.45</v>
      </c>
      <c r="D909">
        <v>87.36</v>
      </c>
      <c r="E909">
        <v>90.59</v>
      </c>
      <c r="F909">
        <v>298275.75611999998</v>
      </c>
      <c r="G909">
        <v>0</v>
      </c>
      <c r="L909" t="s">
        <v>7</v>
      </c>
      <c r="M909" t="s">
        <v>7</v>
      </c>
      <c r="N909" t="s">
        <v>8</v>
      </c>
      <c r="P909">
        <f t="shared" si="1014"/>
        <v>-8.8857545839209476E-2</v>
      </c>
      <c r="Q909">
        <f t="shared" si="1015"/>
        <v>-26504.051672157766</v>
      </c>
      <c r="R909">
        <f t="shared" si="1016"/>
        <v>6073075.595328059</v>
      </c>
      <c r="S909">
        <f t="shared" si="1017"/>
        <v>60.730755953280593</v>
      </c>
      <c r="T909">
        <f t="shared" si="1018"/>
        <v>6.0730755953280591E-2</v>
      </c>
    </row>
    <row r="910" spans="1:20" x14ac:dyDescent="0.25">
      <c r="A910" s="5">
        <v>43683</v>
      </c>
      <c r="B910">
        <v>96.56</v>
      </c>
      <c r="C910">
        <v>99.32</v>
      </c>
      <c r="D910">
        <v>91</v>
      </c>
      <c r="E910">
        <v>92.99</v>
      </c>
      <c r="F910">
        <v>370218.49667000002</v>
      </c>
      <c r="G910">
        <v>0</v>
      </c>
      <c r="L910" t="s">
        <v>7</v>
      </c>
      <c r="M910" t="s">
        <v>8</v>
      </c>
      <c r="N910" t="s">
        <v>8</v>
      </c>
      <c r="P910">
        <f t="shared" si="1014"/>
        <v>-0.5216346153846162</v>
      </c>
      <c r="Q910">
        <f t="shared" si="1015"/>
        <v>-193118.78311872628</v>
      </c>
      <c r="R910">
        <f t="shared" si="1016"/>
        <v>6099579.6470002169</v>
      </c>
      <c r="S910">
        <f t="shared" si="1017"/>
        <v>60.995796470002169</v>
      </c>
      <c r="T910">
        <f t="shared" si="1018"/>
        <v>6.0995796470002167E-2</v>
      </c>
    </row>
    <row r="911" spans="1:20" x14ac:dyDescent="0.25">
      <c r="A911" s="5">
        <v>43682</v>
      </c>
      <c r="B911">
        <v>92.68</v>
      </c>
      <c r="C911">
        <v>106.77</v>
      </c>
      <c r="D911">
        <v>92.68</v>
      </c>
      <c r="E911">
        <v>96.56</v>
      </c>
      <c r="F911">
        <v>708024.73305000004</v>
      </c>
      <c r="G911">
        <v>0</v>
      </c>
      <c r="L911" t="s">
        <v>8</v>
      </c>
      <c r="M911" t="s">
        <v>8</v>
      </c>
      <c r="N911" t="s">
        <v>8</v>
      </c>
      <c r="P911">
        <f t="shared" si="1014"/>
        <v>-0.44925479063165386</v>
      </c>
      <c r="Q911">
        <f t="shared" si="1015"/>
        <v>-318083.5032084104</v>
      </c>
      <c r="R911">
        <f t="shared" si="1016"/>
        <v>6292698.4301189436</v>
      </c>
      <c r="S911">
        <f t="shared" si="1017"/>
        <v>62.926984301189435</v>
      </c>
      <c r="T911">
        <f t="shared" si="1018"/>
        <v>6.292698430118944E-2</v>
      </c>
    </row>
    <row r="912" spans="1:20" x14ac:dyDescent="0.25">
      <c r="A912" s="5">
        <v>43681</v>
      </c>
      <c r="B912">
        <v>94.15</v>
      </c>
      <c r="C912">
        <v>94.8</v>
      </c>
      <c r="D912">
        <v>90.11</v>
      </c>
      <c r="E912">
        <v>92.64</v>
      </c>
      <c r="F912">
        <v>210063.34432999999</v>
      </c>
      <c r="G912">
        <v>0</v>
      </c>
      <c r="L912" t="s">
        <v>7</v>
      </c>
      <c r="M912" t="s">
        <v>8</v>
      </c>
      <c r="N912" t="s">
        <v>8</v>
      </c>
      <c r="P912">
        <f t="shared" si="1014"/>
        <v>7.8891257995736611E-2</v>
      </c>
      <c r="Q912">
        <f t="shared" si="1015"/>
        <v>16572.161492985284</v>
      </c>
      <c r="R912">
        <f t="shared" si="1016"/>
        <v>6610781.9333273536</v>
      </c>
      <c r="S912">
        <f t="shared" si="1017"/>
        <v>66.10781933327354</v>
      </c>
      <c r="T912">
        <f t="shared" si="1018"/>
        <v>6.6107819333273546E-2</v>
      </c>
    </row>
    <row r="913" spans="1:20" x14ac:dyDescent="0.25">
      <c r="A913" s="5">
        <v>43680</v>
      </c>
      <c r="B913">
        <v>94.8</v>
      </c>
      <c r="C913">
        <v>96.7</v>
      </c>
      <c r="D913">
        <v>93.51</v>
      </c>
      <c r="E913">
        <v>94.17</v>
      </c>
      <c r="F913">
        <v>187442.26636000001</v>
      </c>
      <c r="G913">
        <v>0</v>
      </c>
      <c r="L913" t="s">
        <v>7</v>
      </c>
      <c r="M913" t="s">
        <v>8</v>
      </c>
      <c r="N913" t="s">
        <v>8</v>
      </c>
      <c r="P913">
        <f t="shared" si="1014"/>
        <v>-0.58620689655172598</v>
      </c>
      <c r="Q913">
        <f t="shared" si="1015"/>
        <v>-109879.94924551759</v>
      </c>
      <c r="R913">
        <f t="shared" si="1016"/>
        <v>6594209.7718343679</v>
      </c>
      <c r="S913">
        <f t="shared" si="1017"/>
        <v>65.942097718343675</v>
      </c>
      <c r="T913">
        <f t="shared" si="1018"/>
        <v>6.5942097718343681E-2</v>
      </c>
    </row>
    <row r="914" spans="1:20" x14ac:dyDescent="0.25">
      <c r="A914" s="5">
        <v>43679</v>
      </c>
      <c r="B914">
        <v>98.62</v>
      </c>
      <c r="C914">
        <v>98.77</v>
      </c>
      <c r="D914">
        <v>92.52</v>
      </c>
      <c r="E914">
        <v>94.76</v>
      </c>
      <c r="F914">
        <v>284902.02672999998</v>
      </c>
      <c r="G914">
        <v>0</v>
      </c>
      <c r="L914" t="s">
        <v>7</v>
      </c>
      <c r="M914" t="s">
        <v>8</v>
      </c>
      <c r="N914" t="s">
        <v>8</v>
      </c>
      <c r="P914">
        <f t="shared" si="1014"/>
        <v>-0.28319999999999707</v>
      </c>
      <c r="Q914">
        <f t="shared" si="1015"/>
        <v>-80684.253969935162</v>
      </c>
      <c r="R914">
        <f t="shared" si="1016"/>
        <v>6704089.721079885</v>
      </c>
      <c r="S914">
        <f t="shared" si="1017"/>
        <v>67.040897210798846</v>
      </c>
      <c r="T914">
        <f t="shared" si="1018"/>
        <v>6.7040897210798853E-2</v>
      </c>
    </row>
    <row r="915" spans="1:20" x14ac:dyDescent="0.25">
      <c r="A915" s="5">
        <v>43678</v>
      </c>
      <c r="B915">
        <v>98.77</v>
      </c>
      <c r="C915">
        <v>100.59</v>
      </c>
      <c r="D915">
        <v>95.23</v>
      </c>
      <c r="E915">
        <v>98.64</v>
      </c>
      <c r="F915">
        <v>256621.80027000001</v>
      </c>
      <c r="G915">
        <v>0</v>
      </c>
      <c r="L915" t="s">
        <v>8</v>
      </c>
      <c r="M915" t="s">
        <v>8</v>
      </c>
      <c r="N915" t="s">
        <v>8</v>
      </c>
      <c r="P915">
        <f t="shared" si="1014"/>
        <v>0.27238805970149138</v>
      </c>
      <c r="Q915">
        <f t="shared" si="1015"/>
        <v>69900.714252648962</v>
      </c>
      <c r="R915">
        <f t="shared" si="1016"/>
        <v>6784773.9750498198</v>
      </c>
      <c r="S915">
        <f t="shared" si="1017"/>
        <v>67.847739750498192</v>
      </c>
      <c r="T915">
        <f t="shared" si="1018"/>
        <v>6.7847739750498195E-2</v>
      </c>
    </row>
    <row r="916" spans="1:20" x14ac:dyDescent="0.25">
      <c r="A916" s="5">
        <v>43677</v>
      </c>
      <c r="B916">
        <v>90.12</v>
      </c>
      <c r="C916">
        <v>99.95</v>
      </c>
      <c r="D916">
        <v>89.81</v>
      </c>
      <c r="E916">
        <v>98.76</v>
      </c>
      <c r="F916">
        <v>280442.01906999998</v>
      </c>
      <c r="G916">
        <v>0</v>
      </c>
      <c r="L916" t="s">
        <v>8</v>
      </c>
      <c r="M916" t="s">
        <v>8</v>
      </c>
      <c r="N916" t="s">
        <v>8</v>
      </c>
      <c r="P916">
        <f t="shared" si="1014"/>
        <v>0.76528599605522729</v>
      </c>
      <c r="Q916">
        <f t="shared" si="1015"/>
        <v>214618.34989972398</v>
      </c>
      <c r="R916">
        <f t="shared" si="1016"/>
        <v>6714873.2607971709</v>
      </c>
      <c r="S916">
        <f t="shared" si="1017"/>
        <v>67.148732607971709</v>
      </c>
      <c r="T916">
        <f t="shared" si="1018"/>
        <v>6.7148732607971703E-2</v>
      </c>
    </row>
    <row r="917" spans="1:20" x14ac:dyDescent="0.25">
      <c r="A917" s="5">
        <v>43676</v>
      </c>
      <c r="B917">
        <v>90.33</v>
      </c>
      <c r="C917">
        <v>92.71</v>
      </c>
      <c r="D917">
        <v>88.5</v>
      </c>
      <c r="E917">
        <v>90.15</v>
      </c>
      <c r="F917">
        <v>166817.93325</v>
      </c>
      <c r="G917">
        <v>0</v>
      </c>
      <c r="L917" t="s">
        <v>8</v>
      </c>
      <c r="M917" t="s">
        <v>7</v>
      </c>
      <c r="N917" t="s">
        <v>8</v>
      </c>
      <c r="P917">
        <f t="shared" si="1014"/>
        <v>-0.21615201900237144</v>
      </c>
      <c r="Q917">
        <f t="shared" si="1015"/>
        <v>-36058.033077790329</v>
      </c>
      <c r="R917">
        <f t="shared" si="1016"/>
        <v>6500254.9108974468</v>
      </c>
      <c r="S917">
        <f t="shared" si="1017"/>
        <v>65.002549108974463</v>
      </c>
      <c r="T917">
        <f t="shared" si="1018"/>
        <v>6.5002549108974461E-2</v>
      </c>
    </row>
    <row r="918" spans="1:20" x14ac:dyDescent="0.25">
      <c r="A918" s="5">
        <v>43675</v>
      </c>
      <c r="B918">
        <v>90</v>
      </c>
      <c r="C918">
        <v>92.26</v>
      </c>
      <c r="D918">
        <v>87.48</v>
      </c>
      <c r="E918">
        <v>90.33</v>
      </c>
      <c r="F918">
        <v>233655.44073999999</v>
      </c>
      <c r="G918">
        <v>0</v>
      </c>
      <c r="L918" t="s">
        <v>8</v>
      </c>
      <c r="M918" t="s">
        <v>7</v>
      </c>
      <c r="N918" t="s">
        <v>8</v>
      </c>
      <c r="P918">
        <f t="shared" si="1014"/>
        <v>0.19246861924685926</v>
      </c>
      <c r="Q918">
        <f t="shared" si="1015"/>
        <v>44971.340058744143</v>
      </c>
      <c r="R918">
        <f t="shared" si="1016"/>
        <v>6536312.9439752372</v>
      </c>
      <c r="S918">
        <f t="shared" si="1017"/>
        <v>65.36312943975237</v>
      </c>
      <c r="T918">
        <f t="shared" si="1018"/>
        <v>6.5363129439752365E-2</v>
      </c>
    </row>
    <row r="919" spans="1:20" x14ac:dyDescent="0.25">
      <c r="A919" s="5">
        <v>43674</v>
      </c>
      <c r="B919">
        <v>88.83</v>
      </c>
      <c r="C919">
        <v>90.9</v>
      </c>
      <c r="D919">
        <v>83.13</v>
      </c>
      <c r="E919">
        <v>90</v>
      </c>
      <c r="F919">
        <v>201075.77208</v>
      </c>
      <c r="G919">
        <v>0</v>
      </c>
      <c r="L919" t="s">
        <v>7</v>
      </c>
      <c r="M919" t="s">
        <v>7</v>
      </c>
      <c r="N919" t="s">
        <v>8</v>
      </c>
      <c r="P919">
        <f t="shared" si="1014"/>
        <v>0.76833976833976714</v>
      </c>
      <c r="Q919">
        <f t="shared" si="1015"/>
        <v>154494.51213868702</v>
      </c>
      <c r="R919">
        <f t="shared" si="1016"/>
        <v>6491341.6039164932</v>
      </c>
      <c r="S919">
        <f t="shared" si="1017"/>
        <v>64.913416039164929</v>
      </c>
      <c r="T919">
        <f t="shared" si="1018"/>
        <v>6.4913416039164923E-2</v>
      </c>
    </row>
    <row r="920" spans="1:20" x14ac:dyDescent="0.25">
      <c r="A920" s="5">
        <v>43673</v>
      </c>
      <c r="B920">
        <v>94.01</v>
      </c>
      <c r="C920">
        <v>96.09</v>
      </c>
      <c r="D920">
        <v>86.67</v>
      </c>
      <c r="E920">
        <v>88.79</v>
      </c>
      <c r="F920">
        <v>250915.24992</v>
      </c>
      <c r="G920">
        <v>0</v>
      </c>
      <c r="L920" t="s">
        <v>7</v>
      </c>
      <c r="M920" t="s">
        <v>7</v>
      </c>
      <c r="N920" t="s">
        <v>8</v>
      </c>
      <c r="P920">
        <f t="shared" si="1014"/>
        <v>-0.54989384288747256</v>
      </c>
      <c r="Q920">
        <f t="shared" si="1015"/>
        <v>-137976.7510175794</v>
      </c>
      <c r="R920">
        <f t="shared" si="1016"/>
        <v>6336847.0917778062</v>
      </c>
      <c r="S920">
        <f t="shared" si="1017"/>
        <v>63.368470917778062</v>
      </c>
      <c r="T920">
        <f t="shared" si="1018"/>
        <v>6.3368470917778058E-2</v>
      </c>
    </row>
    <row r="921" spans="1:20" x14ac:dyDescent="0.25">
      <c r="A921" s="5">
        <v>43672</v>
      </c>
      <c r="B921">
        <v>93.23</v>
      </c>
      <c r="C921">
        <v>94.52</v>
      </c>
      <c r="D921">
        <v>89.83</v>
      </c>
      <c r="E921">
        <v>94.06</v>
      </c>
      <c r="F921">
        <v>169220.32032999999</v>
      </c>
      <c r="G921">
        <v>0</v>
      </c>
      <c r="L921" t="s">
        <v>8</v>
      </c>
      <c r="M921" t="s">
        <v>7</v>
      </c>
      <c r="N921" t="s">
        <v>8</v>
      </c>
      <c r="P921">
        <f t="shared" si="1014"/>
        <v>0.80383795309168704</v>
      </c>
      <c r="Q921">
        <f t="shared" si="1015"/>
        <v>136025.7159155868</v>
      </c>
      <c r="R921">
        <f t="shared" si="1016"/>
        <v>6474823.842795386</v>
      </c>
      <c r="S921">
        <f t="shared" si="1017"/>
        <v>64.748238427953865</v>
      </c>
      <c r="T921">
        <f t="shared" si="1018"/>
        <v>6.4748238427953866E-2</v>
      </c>
    </row>
    <row r="922" spans="1:20" x14ac:dyDescent="0.25">
      <c r="A922" s="5">
        <v>43671</v>
      </c>
      <c r="B922">
        <v>94.43</v>
      </c>
      <c r="C922">
        <v>96.67</v>
      </c>
      <c r="D922">
        <v>91.06</v>
      </c>
      <c r="E922">
        <v>93.22</v>
      </c>
      <c r="F922">
        <v>228403.48379</v>
      </c>
      <c r="G922">
        <v>0</v>
      </c>
      <c r="L922" t="s">
        <v>8</v>
      </c>
      <c r="M922" t="s">
        <v>7</v>
      </c>
      <c r="N922" t="s">
        <v>8</v>
      </c>
      <c r="P922">
        <f t="shared" si="1014"/>
        <v>-0.22994652406417226</v>
      </c>
      <c r="Q922">
        <f t="shared" si="1015"/>
        <v>-52520.587181658011</v>
      </c>
      <c r="R922">
        <f t="shared" si="1016"/>
        <v>6338798.1268797992</v>
      </c>
      <c r="S922">
        <f t="shared" si="1017"/>
        <v>63.387981268797994</v>
      </c>
      <c r="T922">
        <f t="shared" si="1018"/>
        <v>6.3387981268797994E-2</v>
      </c>
    </row>
    <row r="923" spans="1:20" x14ac:dyDescent="0.25">
      <c r="A923" s="5">
        <v>43670</v>
      </c>
      <c r="B923">
        <v>90.1</v>
      </c>
      <c r="C923">
        <v>97.45</v>
      </c>
      <c r="D923">
        <v>86.8</v>
      </c>
      <c r="E923">
        <v>94.5</v>
      </c>
      <c r="F923">
        <v>355813.0883</v>
      </c>
      <c r="G923">
        <v>0</v>
      </c>
      <c r="L923" t="s">
        <v>7</v>
      </c>
      <c r="M923" t="s">
        <v>7</v>
      </c>
      <c r="N923" t="s">
        <v>8</v>
      </c>
      <c r="P923">
        <f t="shared" si="1014"/>
        <v>0.44600938967136128</v>
      </c>
      <c r="Q923">
        <f t="shared" si="1015"/>
        <v>158695.97834976518</v>
      </c>
      <c r="R923">
        <f t="shared" si="1016"/>
        <v>6391318.7140614567</v>
      </c>
      <c r="S923">
        <f t="shared" si="1017"/>
        <v>63.913187140614568</v>
      </c>
      <c r="T923">
        <f t="shared" si="1018"/>
        <v>6.3913187140614572E-2</v>
      </c>
    </row>
    <row r="924" spans="1:20" x14ac:dyDescent="0.25">
      <c r="A924" s="5">
        <v>43669</v>
      </c>
      <c r="B924">
        <v>95.31</v>
      </c>
      <c r="C924">
        <v>95.35</v>
      </c>
      <c r="D924">
        <v>88.62</v>
      </c>
      <c r="E924">
        <v>90.15</v>
      </c>
      <c r="F924">
        <v>264516.21574000001</v>
      </c>
      <c r="G924">
        <v>0</v>
      </c>
      <c r="L924" t="s">
        <v>7</v>
      </c>
      <c r="M924" t="s">
        <v>7</v>
      </c>
      <c r="N924" t="s">
        <v>8</v>
      </c>
      <c r="P924">
        <f t="shared" si="1014"/>
        <v>-0.54531946508172258</v>
      </c>
      <c r="Q924">
        <f t="shared" si="1015"/>
        <v>-144245.84127277834</v>
      </c>
      <c r="R924">
        <f t="shared" si="1016"/>
        <v>6232622.7357116919</v>
      </c>
      <c r="S924">
        <f t="shared" si="1017"/>
        <v>62.32622735711692</v>
      </c>
      <c r="T924">
        <f t="shared" si="1018"/>
        <v>6.2326227357116917E-2</v>
      </c>
    </row>
    <row r="925" spans="1:20" x14ac:dyDescent="0.25">
      <c r="A925" s="5">
        <v>43668</v>
      </c>
      <c r="B925">
        <v>99.74</v>
      </c>
      <c r="C925">
        <v>100.91</v>
      </c>
      <c r="D925">
        <v>91.14</v>
      </c>
      <c r="E925">
        <v>95.31</v>
      </c>
      <c r="F925">
        <v>318533.96013999998</v>
      </c>
      <c r="G925">
        <v>0</v>
      </c>
      <c r="L925" t="s">
        <v>7</v>
      </c>
      <c r="M925" t="s">
        <v>8</v>
      </c>
      <c r="N925" t="s">
        <v>8</v>
      </c>
      <c r="P925">
        <f t="shared" si="1014"/>
        <v>-0.14636642784032683</v>
      </c>
      <c r="Q925">
        <f t="shared" si="1015"/>
        <v>-46622.677891524851</v>
      </c>
      <c r="R925">
        <f t="shared" si="1016"/>
        <v>6376868.5769844698</v>
      </c>
      <c r="S925">
        <f t="shared" si="1017"/>
        <v>63.768685769844694</v>
      </c>
      <c r="T925">
        <f t="shared" si="1018"/>
        <v>6.3768685769844694E-2</v>
      </c>
    </row>
    <row r="926" spans="1:20" x14ac:dyDescent="0.25">
      <c r="A926" s="5">
        <v>43667</v>
      </c>
      <c r="B926">
        <v>100.26</v>
      </c>
      <c r="C926">
        <v>101.41</v>
      </c>
      <c r="D926">
        <v>96.4</v>
      </c>
      <c r="E926">
        <v>99.7</v>
      </c>
      <c r="F926">
        <v>247121.43139000001</v>
      </c>
      <c r="G926">
        <v>0</v>
      </c>
      <c r="L926" t="s">
        <v>7</v>
      </c>
      <c r="M926" t="s">
        <v>8</v>
      </c>
      <c r="N926" t="s">
        <v>8</v>
      </c>
      <c r="P926">
        <f t="shared" si="1014"/>
        <v>0.31736526946107912</v>
      </c>
      <c r="Q926">
        <f t="shared" si="1015"/>
        <v>78427.759662694938</v>
      </c>
      <c r="R926">
        <f t="shared" si="1016"/>
        <v>6423491.2548759943</v>
      </c>
      <c r="S926">
        <f t="shared" si="1017"/>
        <v>64.234912548759937</v>
      </c>
      <c r="T926">
        <f t="shared" si="1018"/>
        <v>6.4234912548759932E-2</v>
      </c>
    </row>
    <row r="927" spans="1:20" x14ac:dyDescent="0.25">
      <c r="A927" s="5">
        <v>43666</v>
      </c>
      <c r="B927">
        <v>98.25</v>
      </c>
      <c r="C927">
        <v>105.88</v>
      </c>
      <c r="D927">
        <v>97.42</v>
      </c>
      <c r="E927">
        <v>100.25</v>
      </c>
      <c r="F927">
        <v>355926.02334999997</v>
      </c>
      <c r="G927">
        <v>0</v>
      </c>
      <c r="L927" t="s">
        <v>8</v>
      </c>
      <c r="M927" t="s">
        <v>8</v>
      </c>
      <c r="N927" t="s">
        <v>8</v>
      </c>
      <c r="P927">
        <f t="shared" si="1014"/>
        <v>-0.33096926713947983</v>
      </c>
      <c r="Q927">
        <f t="shared" si="1015"/>
        <v>-117800.57510401888</v>
      </c>
      <c r="R927">
        <f t="shared" si="1016"/>
        <v>6345063.4952132991</v>
      </c>
      <c r="S927">
        <f t="shared" si="1017"/>
        <v>63.450634952132994</v>
      </c>
      <c r="T927">
        <f t="shared" si="1018"/>
        <v>6.3450634952132989E-2</v>
      </c>
    </row>
    <row r="928" spans="1:20" x14ac:dyDescent="0.25">
      <c r="A928" s="5">
        <v>43665</v>
      </c>
      <c r="B928">
        <v>101.15</v>
      </c>
      <c r="C928">
        <v>101.26</v>
      </c>
      <c r="D928">
        <v>94.73</v>
      </c>
      <c r="E928">
        <v>98.23</v>
      </c>
      <c r="F928">
        <v>366646.23978</v>
      </c>
      <c r="G928">
        <v>0</v>
      </c>
      <c r="L928" t="s">
        <v>7</v>
      </c>
      <c r="M928" t="s">
        <v>8</v>
      </c>
      <c r="N928" t="s">
        <v>8</v>
      </c>
      <c r="P928">
        <f t="shared" si="1014"/>
        <v>7.1975497702909466E-2</v>
      </c>
      <c r="Q928">
        <f t="shared" si="1015"/>
        <v>26389.545589065783</v>
      </c>
      <c r="R928">
        <f t="shared" si="1016"/>
        <v>6462864.0703173177</v>
      </c>
      <c r="S928">
        <f t="shared" si="1017"/>
        <v>64.628640703173176</v>
      </c>
      <c r="T928">
        <f t="shared" si="1018"/>
        <v>6.4628640703173174E-2</v>
      </c>
    </row>
    <row r="929" spans="1:20" x14ac:dyDescent="0.25">
      <c r="A929" s="5">
        <v>43664</v>
      </c>
      <c r="B929">
        <v>89.98</v>
      </c>
      <c r="C929">
        <v>104.5</v>
      </c>
      <c r="D929">
        <v>86.87</v>
      </c>
      <c r="E929">
        <v>101.16</v>
      </c>
      <c r="F929">
        <v>609872.10131000006</v>
      </c>
      <c r="G929">
        <v>0</v>
      </c>
      <c r="L929" t="s">
        <v>8</v>
      </c>
      <c r="M929" t="s">
        <v>8</v>
      </c>
      <c r="N929" t="s">
        <v>8</v>
      </c>
      <c r="P929">
        <f t="shared" si="1014"/>
        <v>0.6211003970504817</v>
      </c>
      <c r="Q929">
        <f t="shared" si="1015"/>
        <v>378791.80427365261</v>
      </c>
      <c r="R929">
        <f t="shared" si="1016"/>
        <v>6436474.5247282516</v>
      </c>
      <c r="S929">
        <f t="shared" si="1017"/>
        <v>64.364745247282514</v>
      </c>
      <c r="T929">
        <f t="shared" si="1018"/>
        <v>6.4364745247282515E-2</v>
      </c>
    </row>
    <row r="930" spans="1:20" x14ac:dyDescent="0.25">
      <c r="A930" s="5">
        <v>43663</v>
      </c>
      <c r="B930">
        <v>79.62</v>
      </c>
      <c r="C930">
        <v>94.65</v>
      </c>
      <c r="D930">
        <v>71</v>
      </c>
      <c r="E930">
        <v>89.95</v>
      </c>
      <c r="F930">
        <v>611125.08258000005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0.60253699788583492</v>
      </c>
      <c r="Q930">
        <f t="shared" si="1015"/>
        <v>368225.47259048617</v>
      </c>
      <c r="R930">
        <f t="shared" si="1016"/>
        <v>6057682.7204545988</v>
      </c>
      <c r="S930">
        <f t="shared" si="1017"/>
        <v>60.576827204545985</v>
      </c>
      <c r="T930">
        <f t="shared" si="1018"/>
        <v>6.0576827204545984E-2</v>
      </c>
    </row>
    <row r="931" spans="1:20" x14ac:dyDescent="0.25">
      <c r="A931" s="5">
        <v>43662</v>
      </c>
      <c r="B931">
        <v>90.43</v>
      </c>
      <c r="C931">
        <v>91.91</v>
      </c>
      <c r="D931">
        <v>76.599999999999994</v>
      </c>
      <c r="E931">
        <v>79.61</v>
      </c>
      <c r="F931">
        <v>483565.93206999998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-0.60679294578706666</v>
      </c>
      <c r="Q931">
        <f t="shared" si="1015"/>
        <v>-293424.39640302386</v>
      </c>
      <c r="R931">
        <f t="shared" si="1016"/>
        <v>5689457.2478641123</v>
      </c>
      <c r="S931">
        <f t="shared" si="1017"/>
        <v>56.894572478641123</v>
      </c>
      <c r="T931">
        <f t="shared" si="1018"/>
        <v>5.6894572478641124E-2</v>
      </c>
    </row>
    <row r="932" spans="1:20" x14ac:dyDescent="0.25">
      <c r="A932" s="5">
        <v>43661</v>
      </c>
      <c r="B932">
        <v>89.67</v>
      </c>
      <c r="C932">
        <v>92.99</v>
      </c>
      <c r="D932">
        <v>84.6</v>
      </c>
      <c r="E932">
        <v>90.43</v>
      </c>
      <c r="F932">
        <v>382169.24803000002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0.38974970202622455</v>
      </c>
      <c r="Q932">
        <f t="shared" si="1015"/>
        <v>148950.35054327882</v>
      </c>
      <c r="R932">
        <f t="shared" si="1016"/>
        <v>5982881.6442671362</v>
      </c>
      <c r="S932">
        <f t="shared" si="1017"/>
        <v>59.828816442671361</v>
      </c>
      <c r="T932">
        <f t="shared" si="1018"/>
        <v>5.9828816442671358E-2</v>
      </c>
    </row>
    <row r="933" spans="1:20" x14ac:dyDescent="0.25">
      <c r="A933" s="5">
        <v>43660</v>
      </c>
      <c r="B933">
        <v>101.06</v>
      </c>
      <c r="C933">
        <v>101.9</v>
      </c>
      <c r="D933">
        <v>87.58</v>
      </c>
      <c r="E933">
        <v>89.66</v>
      </c>
      <c r="F933">
        <v>429594.96948999999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-0.70949720670391103</v>
      </c>
      <c r="Q933">
        <f t="shared" si="1015"/>
        <v>-304796.43086720689</v>
      </c>
      <c r="R933">
        <f t="shared" si="1016"/>
        <v>5833931.293723857</v>
      </c>
      <c r="S933">
        <f t="shared" si="1017"/>
        <v>58.339312937238567</v>
      </c>
      <c r="T933">
        <f t="shared" si="1018"/>
        <v>5.8339312937238569E-2</v>
      </c>
    </row>
    <row r="934" spans="1:20" x14ac:dyDescent="0.25">
      <c r="A934" s="5">
        <v>43659</v>
      </c>
      <c r="B934">
        <v>104.86</v>
      </c>
      <c r="C934">
        <v>105.03</v>
      </c>
      <c r="D934">
        <v>97.64</v>
      </c>
      <c r="E934">
        <v>101.03</v>
      </c>
      <c r="F934">
        <v>229252.96129000001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-8.2543978349120348E-2</v>
      </c>
      <c r="Q934">
        <f t="shared" si="1015"/>
        <v>-18923.451473193487</v>
      </c>
      <c r="R934">
        <f t="shared" si="1016"/>
        <v>6138727.7245910643</v>
      </c>
      <c r="S934">
        <f t="shared" si="1017"/>
        <v>61.387277245910646</v>
      </c>
      <c r="T934">
        <f t="shared" si="1018"/>
        <v>6.1387277245910643E-2</v>
      </c>
    </row>
    <row r="935" spans="1:20" x14ac:dyDescent="0.25">
      <c r="A935" s="5">
        <v>43658</v>
      </c>
      <c r="B935">
        <v>103</v>
      </c>
      <c r="C935">
        <v>107.02</v>
      </c>
      <c r="D935">
        <v>100.65</v>
      </c>
      <c r="E935">
        <v>104.86</v>
      </c>
      <c r="F935">
        <v>204977.52431000001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0.32182103610675045</v>
      </c>
      <c r="Q935">
        <f t="shared" si="1015"/>
        <v>65966.079252040829</v>
      </c>
      <c r="R935">
        <f t="shared" si="1016"/>
        <v>6157651.1760642575</v>
      </c>
      <c r="S935">
        <f t="shared" si="1017"/>
        <v>61.576511760642575</v>
      </c>
      <c r="T935">
        <f t="shared" si="1018"/>
        <v>6.1576511760642577E-2</v>
      </c>
    </row>
    <row r="936" spans="1:20" x14ac:dyDescent="0.25">
      <c r="A936" s="5">
        <v>43657</v>
      </c>
      <c r="B936">
        <v>108.29</v>
      </c>
      <c r="C936">
        <v>108.33</v>
      </c>
      <c r="D936">
        <v>95.21</v>
      </c>
      <c r="E936">
        <v>102.98</v>
      </c>
      <c r="F936">
        <v>566917.40665999998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0.18445121951219628</v>
      </c>
      <c r="Q936">
        <f t="shared" si="1015"/>
        <v>104568.6070211287</v>
      </c>
      <c r="R936">
        <f t="shared" si="1016"/>
        <v>6091685.0968122166</v>
      </c>
      <c r="S936">
        <f t="shared" si="1017"/>
        <v>60.916850968122162</v>
      </c>
      <c r="T936">
        <f t="shared" si="1018"/>
        <v>6.091685096812216E-2</v>
      </c>
    </row>
    <row r="937" spans="1:20" x14ac:dyDescent="0.25">
      <c r="A937" s="5">
        <v>43656</v>
      </c>
      <c r="B937">
        <v>119.23</v>
      </c>
      <c r="C937">
        <v>120.13</v>
      </c>
      <c r="D937">
        <v>102.5</v>
      </c>
      <c r="E937">
        <v>108.31</v>
      </c>
      <c r="F937">
        <v>507821.30862000003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-0.34089619965967061</v>
      </c>
      <c r="Q937">
        <f t="shared" si="1015"/>
        <v>-173114.35421475873</v>
      </c>
      <c r="R937">
        <f t="shared" si="1016"/>
        <v>5987116.4897910878</v>
      </c>
      <c r="S937">
        <f t="shared" si="1017"/>
        <v>59.87116489791088</v>
      </c>
      <c r="T937">
        <f t="shared" si="1018"/>
        <v>5.9871164897910882E-2</v>
      </c>
    </row>
    <row r="938" spans="1:20" x14ac:dyDescent="0.25">
      <c r="A938" s="5">
        <v>43655</v>
      </c>
      <c r="B938">
        <v>122.92</v>
      </c>
      <c r="C938">
        <v>124.08</v>
      </c>
      <c r="D938">
        <v>117.64</v>
      </c>
      <c r="E938">
        <v>119.24</v>
      </c>
      <c r="F938">
        <v>233440.12041</v>
      </c>
      <c r="G938">
        <v>0</v>
      </c>
      <c r="L938" t="s">
        <v>7</v>
      </c>
      <c r="M938" t="s">
        <v>7</v>
      </c>
      <c r="N938" t="s">
        <v>8</v>
      </c>
      <c r="P938">
        <f t="shared" si="1014"/>
        <v>-0.50310559006211342</v>
      </c>
      <c r="Q938">
        <f t="shared" si="1015"/>
        <v>-117445.02952304386</v>
      </c>
      <c r="R938">
        <f t="shared" si="1016"/>
        <v>6160230.8440058464</v>
      </c>
      <c r="S938">
        <f t="shared" si="1017"/>
        <v>61.602308440058465</v>
      </c>
      <c r="T938">
        <f t="shared" si="1018"/>
        <v>6.1602308440058463E-2</v>
      </c>
    </row>
    <row r="939" spans="1:20" x14ac:dyDescent="0.25">
      <c r="A939" s="5">
        <v>43654</v>
      </c>
      <c r="B939">
        <v>119.48</v>
      </c>
      <c r="C939">
        <v>125.07</v>
      </c>
      <c r="D939">
        <v>117.77</v>
      </c>
      <c r="E939">
        <v>122.92</v>
      </c>
      <c r="F939">
        <v>219116.92194</v>
      </c>
      <c r="G939">
        <v>0</v>
      </c>
      <c r="L939" t="s">
        <v>7</v>
      </c>
      <c r="M939" t="s">
        <v>7</v>
      </c>
      <c r="N939" t="s">
        <v>8</v>
      </c>
      <c r="P939">
        <f t="shared" si="1014"/>
        <v>0.41095890410959113</v>
      </c>
      <c r="Q939">
        <f t="shared" si="1015"/>
        <v>90048.05011232922</v>
      </c>
      <c r="R939">
        <f t="shared" si="1016"/>
        <v>6277675.8735288903</v>
      </c>
      <c r="S939">
        <f t="shared" si="1017"/>
        <v>62.776758735288901</v>
      </c>
      <c r="T939">
        <f t="shared" si="1018"/>
        <v>6.2776758735288901E-2</v>
      </c>
    </row>
    <row r="940" spans="1:20" x14ac:dyDescent="0.25">
      <c r="A940" s="5">
        <v>43653</v>
      </c>
      <c r="B940">
        <v>118.28</v>
      </c>
      <c r="C940">
        <v>120.35</v>
      </c>
      <c r="D940">
        <v>117</v>
      </c>
      <c r="E940">
        <v>119.48</v>
      </c>
      <c r="F940">
        <v>142378.61429</v>
      </c>
      <c r="G940">
        <v>0</v>
      </c>
      <c r="L940" t="s">
        <v>7</v>
      </c>
      <c r="M940" t="s">
        <v>7</v>
      </c>
      <c r="N940" t="s">
        <v>8</v>
      </c>
      <c r="P940">
        <f t="shared" si="1014"/>
        <v>0.48059701492537804</v>
      </c>
      <c r="Q940">
        <f t="shared" si="1015"/>
        <v>68426.737016985775</v>
      </c>
      <c r="R940">
        <f t="shared" si="1016"/>
        <v>6187627.8234165609</v>
      </c>
      <c r="S940">
        <f t="shared" si="1017"/>
        <v>61.876278234165611</v>
      </c>
      <c r="T940">
        <f t="shared" si="1018"/>
        <v>6.187627823416561E-2</v>
      </c>
    </row>
    <row r="941" spans="1:20" x14ac:dyDescent="0.25">
      <c r="A941" s="5">
        <v>43652</v>
      </c>
      <c r="B941">
        <v>118.29</v>
      </c>
      <c r="C941">
        <v>121.8</v>
      </c>
      <c r="D941">
        <v>117.06</v>
      </c>
      <c r="E941">
        <v>118.31</v>
      </c>
      <c r="F941">
        <v>153816.69797000001</v>
      </c>
      <c r="G941">
        <v>0</v>
      </c>
      <c r="L941" t="s">
        <v>7</v>
      </c>
      <c r="M941" t="s">
        <v>7</v>
      </c>
      <c r="N941" t="s">
        <v>8</v>
      </c>
      <c r="P941">
        <f t="shared" si="1014"/>
        <v>-0.4725738396624467</v>
      </c>
      <c r="Q941">
        <f t="shared" si="1015"/>
        <v>-72689.74756388177</v>
      </c>
      <c r="R941">
        <f t="shared" si="1016"/>
        <v>6119201.0863995748</v>
      </c>
      <c r="S941">
        <f t="shared" si="1017"/>
        <v>61.192010863995748</v>
      </c>
      <c r="T941">
        <f t="shared" si="1018"/>
        <v>6.1192010863995748E-2</v>
      </c>
    </row>
    <row r="942" spans="1:20" x14ac:dyDescent="0.25">
      <c r="A942" s="5">
        <v>43651</v>
      </c>
      <c r="B942">
        <v>119.64</v>
      </c>
      <c r="C942">
        <v>120.99</v>
      </c>
      <c r="D942">
        <v>116.22</v>
      </c>
      <c r="E942">
        <v>118.35</v>
      </c>
      <c r="F942">
        <v>223608.71264000001</v>
      </c>
      <c r="G942">
        <v>0</v>
      </c>
      <c r="L942" t="s">
        <v>7</v>
      </c>
      <c r="M942" t="s">
        <v>7</v>
      </c>
      <c r="N942" t="s">
        <v>8</v>
      </c>
      <c r="P942">
        <f t="shared" si="1014"/>
        <v>-0.10691823899371185</v>
      </c>
      <c r="Q942">
        <f t="shared" si="1015"/>
        <v>-23907.849779119755</v>
      </c>
      <c r="R942">
        <f t="shared" si="1016"/>
        <v>6191890.8339634566</v>
      </c>
      <c r="S942">
        <f t="shared" si="1017"/>
        <v>61.918908339634562</v>
      </c>
      <c r="T942">
        <f t="shared" si="1018"/>
        <v>6.1918908339634565E-2</v>
      </c>
    </row>
    <row r="943" spans="1:20" x14ac:dyDescent="0.25">
      <c r="A943" s="5">
        <v>43650</v>
      </c>
      <c r="B943">
        <v>121.34</v>
      </c>
      <c r="C943">
        <v>127.03</v>
      </c>
      <c r="D943">
        <v>118.51</v>
      </c>
      <c r="E943">
        <v>119.61</v>
      </c>
      <c r="F943">
        <v>375062.74273</v>
      </c>
      <c r="G943">
        <v>0</v>
      </c>
      <c r="L943" t="s">
        <v>8</v>
      </c>
      <c r="M943" t="s">
        <v>7</v>
      </c>
      <c r="N943" t="s">
        <v>8</v>
      </c>
      <c r="P943">
        <f t="shared" si="1014"/>
        <v>-0.74178403755868672</v>
      </c>
      <c r="Q943">
        <f t="shared" si="1015"/>
        <v>-278215.55564009439</v>
      </c>
      <c r="R943">
        <f t="shared" si="1016"/>
        <v>6215798.6837425763</v>
      </c>
      <c r="S943">
        <f t="shared" si="1017"/>
        <v>62.15798683742576</v>
      </c>
      <c r="T943">
        <f t="shared" si="1018"/>
        <v>6.2157986837425759E-2</v>
      </c>
    </row>
    <row r="944" spans="1:20" x14ac:dyDescent="0.25">
      <c r="A944" s="5">
        <v>43649</v>
      </c>
      <c r="B944">
        <v>118.74</v>
      </c>
      <c r="C944">
        <v>123.15</v>
      </c>
      <c r="D944">
        <v>116.78</v>
      </c>
      <c r="E944">
        <v>121.36</v>
      </c>
      <c r="F944">
        <v>365008.0675</v>
      </c>
      <c r="G944">
        <v>0</v>
      </c>
      <c r="L944" t="s">
        <v>8</v>
      </c>
      <c r="M944" t="s">
        <v>7</v>
      </c>
      <c r="N944" t="s">
        <v>8</v>
      </c>
      <c r="P944">
        <f t="shared" si="1014"/>
        <v>0.43799058084772213</v>
      </c>
      <c r="Q944">
        <f t="shared" si="1015"/>
        <v>159870.09549842958</v>
      </c>
      <c r="R944">
        <f t="shared" si="1016"/>
        <v>6494014.2393826703</v>
      </c>
      <c r="S944">
        <f t="shared" si="1017"/>
        <v>64.940142393826704</v>
      </c>
      <c r="T944">
        <f t="shared" si="1018"/>
        <v>6.49401423938267E-2</v>
      </c>
    </row>
    <row r="945" spans="1:20" x14ac:dyDescent="0.25">
      <c r="A945" s="5">
        <v>43648</v>
      </c>
      <c r="B945">
        <v>123.16</v>
      </c>
      <c r="C945">
        <v>124</v>
      </c>
      <c r="D945">
        <v>112.63</v>
      </c>
      <c r="E945">
        <v>118.77</v>
      </c>
      <c r="F945">
        <v>469582.087</v>
      </c>
      <c r="G945">
        <v>0</v>
      </c>
      <c r="L945" t="s">
        <v>7</v>
      </c>
      <c r="M945" t="s">
        <v>7</v>
      </c>
      <c r="N945" t="s">
        <v>8</v>
      </c>
      <c r="P945">
        <f t="shared" si="1014"/>
        <v>8.0035180299032213E-2</v>
      </c>
      <c r="Q945">
        <f t="shared" si="1015"/>
        <v>37583.086998240833</v>
      </c>
      <c r="R945">
        <f t="shared" si="1016"/>
        <v>6334144.1438842406</v>
      </c>
      <c r="S945">
        <f t="shared" si="1017"/>
        <v>63.341441438842409</v>
      </c>
      <c r="T945">
        <f t="shared" si="1018"/>
        <v>6.3341441438842405E-2</v>
      </c>
    </row>
    <row r="946" spans="1:20" x14ac:dyDescent="0.25">
      <c r="A946" s="5">
        <v>43647</v>
      </c>
      <c r="B946">
        <v>123.22</v>
      </c>
      <c r="C946">
        <v>127.03</v>
      </c>
      <c r="D946">
        <v>113.82</v>
      </c>
      <c r="E946">
        <v>123.17</v>
      </c>
      <c r="F946">
        <v>612063.25919000001</v>
      </c>
      <c r="G946">
        <v>0</v>
      </c>
      <c r="L946" t="s">
        <v>7</v>
      </c>
      <c r="M946" t="s">
        <v>8</v>
      </c>
      <c r="N946" t="s">
        <v>8</v>
      </c>
      <c r="P946">
        <f t="shared" si="1014"/>
        <v>0.41559424678274076</v>
      </c>
      <c r="Q946">
        <f t="shared" si="1015"/>
        <v>254369.96918645749</v>
      </c>
      <c r="R946">
        <f t="shared" si="1016"/>
        <v>6296561.0568859996</v>
      </c>
      <c r="S946">
        <f t="shared" si="1017"/>
        <v>62.965610568859994</v>
      </c>
      <c r="T946">
        <f t="shared" si="1018"/>
        <v>6.2965610568859992E-2</v>
      </c>
    </row>
    <row r="947" spans="1:20" x14ac:dyDescent="0.25">
      <c r="A947" s="5">
        <v>43646</v>
      </c>
      <c r="B947">
        <v>133.88</v>
      </c>
      <c r="C947">
        <v>137.44</v>
      </c>
      <c r="D947">
        <v>120.54</v>
      </c>
      <c r="E947">
        <v>123.25</v>
      </c>
      <c r="F947">
        <v>808645.44775000005</v>
      </c>
      <c r="G947">
        <v>0</v>
      </c>
      <c r="L947" t="s">
        <v>7</v>
      </c>
      <c r="M947" t="s">
        <v>8</v>
      </c>
      <c r="N947" t="s">
        <v>8</v>
      </c>
      <c r="P947">
        <f t="shared" si="1014"/>
        <v>-0.67928994082840299</v>
      </c>
      <c r="Q947">
        <f t="shared" si="1015"/>
        <v>-549304.71835325495</v>
      </c>
      <c r="R947">
        <f t="shared" si="1016"/>
        <v>6042191.0876995418</v>
      </c>
      <c r="S947">
        <f t="shared" si="1017"/>
        <v>60.421910876995419</v>
      </c>
      <c r="T947">
        <f t="shared" si="1018"/>
        <v>6.0421910876995416E-2</v>
      </c>
    </row>
    <row r="948" spans="1:20" x14ac:dyDescent="0.25">
      <c r="A948" s="5">
        <v>43645</v>
      </c>
      <c r="B948">
        <v>119.99</v>
      </c>
      <c r="C948">
        <v>137</v>
      </c>
      <c r="D948">
        <v>116</v>
      </c>
      <c r="E948">
        <v>133.86000000000001</v>
      </c>
      <c r="F948">
        <v>650966.52780000004</v>
      </c>
      <c r="G948">
        <v>0</v>
      </c>
      <c r="L948" t="s">
        <v>8</v>
      </c>
      <c r="M948" t="s">
        <v>8</v>
      </c>
      <c r="N948" t="s">
        <v>8</v>
      </c>
      <c r="P948">
        <f t="shared" si="1014"/>
        <v>0.70095238095238221</v>
      </c>
      <c r="Q948">
        <f t="shared" si="1015"/>
        <v>456296.53758171515</v>
      </c>
      <c r="R948">
        <f t="shared" si="1016"/>
        <v>6591495.8060527965</v>
      </c>
      <c r="S948">
        <f t="shared" si="1017"/>
        <v>65.914958060527965</v>
      </c>
      <c r="T948">
        <f t="shared" si="1018"/>
        <v>6.5914958060527967E-2</v>
      </c>
    </row>
    <row r="949" spans="1:20" x14ac:dyDescent="0.25">
      <c r="A949" s="5">
        <v>43644</v>
      </c>
      <c r="B949">
        <v>116.02</v>
      </c>
      <c r="C949">
        <v>122.19</v>
      </c>
      <c r="D949">
        <v>114.49</v>
      </c>
      <c r="E949">
        <v>120.01</v>
      </c>
      <c r="F949">
        <v>455587.96464000002</v>
      </c>
      <c r="G949">
        <v>0</v>
      </c>
      <c r="L949" t="s">
        <v>8</v>
      </c>
      <c r="M949" t="s">
        <v>7</v>
      </c>
      <c r="N949" t="s">
        <v>8</v>
      </c>
      <c r="P949">
        <f t="shared" si="1014"/>
        <v>0.43376623376623591</v>
      </c>
      <c r="Q949">
        <f t="shared" si="1015"/>
        <v>197618.67557111787</v>
      </c>
      <c r="R949">
        <f t="shared" si="1016"/>
        <v>6135199.2684710817</v>
      </c>
      <c r="S949">
        <f t="shared" si="1017"/>
        <v>61.351992684710815</v>
      </c>
      <c r="T949">
        <f t="shared" si="1018"/>
        <v>6.1351992684710817E-2</v>
      </c>
    </row>
    <row r="950" spans="1:20" x14ac:dyDescent="0.25">
      <c r="A950" s="5">
        <v>43643</v>
      </c>
      <c r="B950">
        <v>132.24</v>
      </c>
      <c r="C950">
        <v>133.5</v>
      </c>
      <c r="D950">
        <v>111.82</v>
      </c>
      <c r="E950">
        <v>116.01</v>
      </c>
      <c r="F950">
        <v>932158.03694000002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-0.61346863468634594</v>
      </c>
      <c r="Q950">
        <f t="shared" si="1015"/>
        <v>-571849.71823348629</v>
      </c>
      <c r="R950">
        <f t="shared" si="1016"/>
        <v>5937580.5928999642</v>
      </c>
      <c r="S950">
        <f t="shared" si="1017"/>
        <v>59.37580592899964</v>
      </c>
      <c r="T950">
        <f t="shared" si="1018"/>
        <v>5.9375805928999638E-2</v>
      </c>
    </row>
    <row r="951" spans="1:20" x14ac:dyDescent="0.25">
      <c r="A951" s="5">
        <v>43642</v>
      </c>
      <c r="B951">
        <v>136.32</v>
      </c>
      <c r="C951">
        <v>138.5</v>
      </c>
      <c r="D951">
        <v>127.5</v>
      </c>
      <c r="E951">
        <v>132.25</v>
      </c>
      <c r="F951">
        <v>659208.45476999995</v>
      </c>
      <c r="G951">
        <v>0</v>
      </c>
      <c r="L951" t="s">
        <v>7</v>
      </c>
      <c r="M951" t="s">
        <v>8</v>
      </c>
      <c r="N951" t="s">
        <v>8</v>
      </c>
      <c r="P951">
        <f t="shared" si="1014"/>
        <v>-0.13636363636363635</v>
      </c>
      <c r="Q951">
        <f t="shared" si="1015"/>
        <v>-89892.062014090901</v>
      </c>
      <c r="R951">
        <f t="shared" si="1016"/>
        <v>6509430.3111334508</v>
      </c>
      <c r="S951">
        <f t="shared" si="1017"/>
        <v>65.094303111334511</v>
      </c>
      <c r="T951">
        <f t="shared" si="1018"/>
        <v>6.5094303111334517E-2</v>
      </c>
    </row>
    <row r="952" spans="1:20" x14ac:dyDescent="0.25">
      <c r="A952" s="5">
        <v>43641</v>
      </c>
      <c r="B952">
        <v>135.78</v>
      </c>
      <c r="C952">
        <v>138.63</v>
      </c>
      <c r="D952">
        <v>129.75</v>
      </c>
      <c r="E952">
        <v>136.33000000000001</v>
      </c>
      <c r="F952">
        <v>343042.31825999997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0.48198198198198555</v>
      </c>
      <c r="Q952">
        <f t="shared" si="1015"/>
        <v>165340.21645864987</v>
      </c>
      <c r="R952">
        <f t="shared" si="1016"/>
        <v>6599322.3731475417</v>
      </c>
      <c r="S952">
        <f t="shared" si="1017"/>
        <v>65.99322373147541</v>
      </c>
      <c r="T952">
        <f t="shared" si="1018"/>
        <v>6.5993223731475412E-2</v>
      </c>
    </row>
    <row r="953" spans="1:20" x14ac:dyDescent="0.25">
      <c r="A953" s="5">
        <v>43640</v>
      </c>
      <c r="B953">
        <v>137.5</v>
      </c>
      <c r="C953">
        <v>137.52000000000001</v>
      </c>
      <c r="D953">
        <v>132.65</v>
      </c>
      <c r="E953">
        <v>135.77000000000001</v>
      </c>
      <c r="F953">
        <v>269137.08964000002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0.28131416837782408</v>
      </c>
      <c r="Q953">
        <f t="shared" si="1015"/>
        <v>75712.076551704493</v>
      </c>
      <c r="R953">
        <f t="shared" si="1016"/>
        <v>6433982.1566888914</v>
      </c>
      <c r="S953">
        <f t="shared" si="1017"/>
        <v>64.339821566888915</v>
      </c>
      <c r="T953">
        <f t="shared" si="1018"/>
        <v>6.4339821566888916E-2</v>
      </c>
    </row>
    <row r="954" spans="1:20" x14ac:dyDescent="0.25">
      <c r="A954" s="5">
        <v>43639</v>
      </c>
      <c r="B954">
        <v>142.19999999999999</v>
      </c>
      <c r="C954">
        <v>143.34</v>
      </c>
      <c r="D954">
        <v>136.15</v>
      </c>
      <c r="E954">
        <v>137.5</v>
      </c>
      <c r="F954">
        <v>273142.66174000001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-0.62447844228094718</v>
      </c>
      <c r="Q954">
        <f t="shared" si="1015"/>
        <v>-170571.70392386688</v>
      </c>
      <c r="R954">
        <f t="shared" si="1016"/>
        <v>6358270.0801371867</v>
      </c>
      <c r="S954">
        <f t="shared" si="1017"/>
        <v>63.582700801371864</v>
      </c>
      <c r="T954">
        <f t="shared" si="1018"/>
        <v>6.3582700801371864E-2</v>
      </c>
    </row>
    <row r="955" spans="1:20" x14ac:dyDescent="0.25">
      <c r="A955" s="5">
        <v>43638</v>
      </c>
      <c r="B955">
        <v>138.30000000000001</v>
      </c>
      <c r="C955">
        <v>145.9</v>
      </c>
      <c r="D955">
        <v>136.01</v>
      </c>
      <c r="E955">
        <v>142.26</v>
      </c>
      <c r="F955">
        <v>670112.19411000004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0.26390293225480094</v>
      </c>
      <c r="Q955">
        <f t="shared" si="1015"/>
        <v>176844.57296532736</v>
      </c>
      <c r="R955">
        <f t="shared" si="1016"/>
        <v>6528841.7840610538</v>
      </c>
      <c r="S955">
        <f t="shared" si="1017"/>
        <v>65.288417840610535</v>
      </c>
      <c r="T955">
        <f t="shared" si="1018"/>
        <v>6.5288417840610541E-2</v>
      </c>
    </row>
    <row r="956" spans="1:20" x14ac:dyDescent="0.25">
      <c r="A956" s="5">
        <v>43637</v>
      </c>
      <c r="B956">
        <v>135.44999999999999</v>
      </c>
      <c r="C956">
        <v>141.29</v>
      </c>
      <c r="D956">
        <v>131</v>
      </c>
      <c r="E956">
        <v>138.28</v>
      </c>
      <c r="F956">
        <v>392390.97749999998</v>
      </c>
      <c r="G956">
        <v>0</v>
      </c>
      <c r="L956" t="s">
        <v>8</v>
      </c>
      <c r="M956" t="s">
        <v>8</v>
      </c>
      <c r="N956" t="s">
        <v>8</v>
      </c>
      <c r="P956">
        <f t="shared" si="1014"/>
        <v>0.41496598639455912</v>
      </c>
      <c r="Q956">
        <f t="shared" si="1015"/>
        <v>162828.90903061273</v>
      </c>
      <c r="R956">
        <f t="shared" si="1016"/>
        <v>6351997.2110957261</v>
      </c>
      <c r="S956">
        <f t="shared" si="1017"/>
        <v>63.519972110957262</v>
      </c>
      <c r="T956">
        <f t="shared" si="1018"/>
        <v>6.3519972110957265E-2</v>
      </c>
    </row>
    <row r="957" spans="1:20" x14ac:dyDescent="0.25">
      <c r="A957" s="5">
        <v>43636</v>
      </c>
      <c r="B957">
        <v>136.41</v>
      </c>
      <c r="C957">
        <v>136.75</v>
      </c>
      <c r="D957">
        <v>133</v>
      </c>
      <c r="E957">
        <v>135.46</v>
      </c>
      <c r="F957">
        <v>236819.61408999999</v>
      </c>
      <c r="G957">
        <v>0</v>
      </c>
      <c r="L957" t="s">
        <v>8</v>
      </c>
      <c r="M957" t="s">
        <v>8</v>
      </c>
      <c r="N957" t="s">
        <v>8</v>
      </c>
      <c r="P957">
        <f t="shared" si="1014"/>
        <v>0.31200000000000422</v>
      </c>
      <c r="Q957">
        <f t="shared" si="1015"/>
        <v>73887.719596080991</v>
      </c>
      <c r="R957">
        <f t="shared" si="1016"/>
        <v>6189168.3020651136</v>
      </c>
      <c r="S957">
        <f t="shared" si="1017"/>
        <v>61.891683020651136</v>
      </c>
      <c r="T957">
        <f t="shared" si="1018"/>
        <v>6.1891683020651136E-2</v>
      </c>
    </row>
    <row r="958" spans="1:20" x14ac:dyDescent="0.25">
      <c r="A958" s="5">
        <v>43635</v>
      </c>
      <c r="B958">
        <v>135.25</v>
      </c>
      <c r="C958">
        <v>139.5</v>
      </c>
      <c r="D958">
        <v>133.5</v>
      </c>
      <c r="E958">
        <v>136.43</v>
      </c>
      <c r="F958">
        <v>373850.88300999999</v>
      </c>
      <c r="G958">
        <v>0</v>
      </c>
      <c r="L958" t="s">
        <v>8</v>
      </c>
      <c r="M958" t="s">
        <v>8</v>
      </c>
      <c r="N958" t="s">
        <v>8</v>
      </c>
      <c r="P958">
        <f t="shared" si="1014"/>
        <v>-2.3333333333331058E-2</v>
      </c>
      <c r="Q958">
        <f t="shared" si="1015"/>
        <v>-8723.1872702324818</v>
      </c>
      <c r="R958">
        <f t="shared" si="1016"/>
        <v>6115280.5824690321</v>
      </c>
      <c r="S958">
        <f t="shared" si="1017"/>
        <v>61.152805824690319</v>
      </c>
      <c r="T958">
        <f t="shared" si="1018"/>
        <v>6.1152805824690321E-2</v>
      </c>
    </row>
    <row r="959" spans="1:20" x14ac:dyDescent="0.25">
      <c r="A959" s="5">
        <v>43634</v>
      </c>
      <c r="B959">
        <v>133.80000000000001</v>
      </c>
      <c r="C959">
        <v>136.84</v>
      </c>
      <c r="D959">
        <v>128</v>
      </c>
      <c r="E959">
        <v>135.22</v>
      </c>
      <c r="F959">
        <v>400995.83149000001</v>
      </c>
      <c r="G959">
        <v>0</v>
      </c>
      <c r="L959" t="s">
        <v>7</v>
      </c>
      <c r="M959" t="s">
        <v>8</v>
      </c>
      <c r="N959" t="s">
        <v>8</v>
      </c>
      <c r="P959">
        <f t="shared" ref="P959:P1022" si="1019">IF(C959=D959,0,((E959-D959)-(C959-E959))/(C959-D959))</f>
        <v>0.63348416289592668</v>
      </c>
      <c r="Q959">
        <f t="shared" ref="Q959:Q1022" si="1020">F959*P959</f>
        <v>254024.50863619873</v>
      </c>
      <c r="R959">
        <f t="shared" ref="R959:R1022" si="1021">R960+Q959</f>
        <v>6124003.7697392646</v>
      </c>
      <c r="S959">
        <f t="shared" ref="S959:S1022" si="1022">R959/100000</f>
        <v>61.240037697392644</v>
      </c>
      <c r="T959">
        <f t="shared" ref="T959:T1022" si="1023">S959/1000</f>
        <v>6.1240037697392641E-2</v>
      </c>
    </row>
    <row r="960" spans="1:20" x14ac:dyDescent="0.25">
      <c r="A960" s="5">
        <v>43633</v>
      </c>
      <c r="B960">
        <v>136.41999999999999</v>
      </c>
      <c r="C960">
        <v>136.82</v>
      </c>
      <c r="D960">
        <v>131.53</v>
      </c>
      <c r="E960">
        <v>133.80000000000001</v>
      </c>
      <c r="F960">
        <v>302485.50096999999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-0.14177693761814228</v>
      </c>
      <c r="Q960">
        <f t="shared" si="1020"/>
        <v>-42885.468001416208</v>
      </c>
      <c r="R960">
        <f t="shared" si="1021"/>
        <v>5869979.2611030657</v>
      </c>
      <c r="S960">
        <f t="shared" si="1022"/>
        <v>58.699792611030659</v>
      </c>
      <c r="T960">
        <f t="shared" si="1023"/>
        <v>5.8699792611030657E-2</v>
      </c>
    </row>
    <row r="961" spans="1:20" x14ac:dyDescent="0.25">
      <c r="A961" s="5">
        <v>43632</v>
      </c>
      <c r="B961">
        <v>137.51</v>
      </c>
      <c r="C961">
        <v>138.19999999999999</v>
      </c>
      <c r="D961">
        <v>133.15</v>
      </c>
      <c r="E961">
        <v>136.44999999999999</v>
      </c>
      <c r="F961">
        <v>392560.10492999997</v>
      </c>
      <c r="G961">
        <v>0</v>
      </c>
      <c r="L961" t="s">
        <v>8</v>
      </c>
      <c r="M961" t="s">
        <v>8</v>
      </c>
      <c r="N961" t="s">
        <v>8</v>
      </c>
      <c r="P961">
        <f t="shared" si="1019"/>
        <v>0.30693069306930459</v>
      </c>
      <c r="Q961">
        <f t="shared" si="1020"/>
        <v>120488.74507752382</v>
      </c>
      <c r="R961">
        <f t="shared" si="1021"/>
        <v>5912864.7291044816</v>
      </c>
      <c r="S961">
        <f t="shared" si="1022"/>
        <v>59.128647291044814</v>
      </c>
      <c r="T961">
        <f t="shared" si="1023"/>
        <v>5.9128647291044813E-2</v>
      </c>
    </row>
    <row r="962" spans="1:20" x14ac:dyDescent="0.25">
      <c r="A962" s="5">
        <v>43631</v>
      </c>
      <c r="B962">
        <v>132.03</v>
      </c>
      <c r="C962">
        <v>139.5</v>
      </c>
      <c r="D962">
        <v>132.01</v>
      </c>
      <c r="E962">
        <v>137.54</v>
      </c>
      <c r="F962">
        <v>389908.37622999999</v>
      </c>
      <c r="G962">
        <v>0</v>
      </c>
      <c r="L962" t="s">
        <v>8</v>
      </c>
      <c r="M962" t="s">
        <v>8</v>
      </c>
      <c r="N962" t="s">
        <v>8</v>
      </c>
      <c r="P962">
        <f t="shared" si="1019"/>
        <v>0.47663551401869009</v>
      </c>
      <c r="Q962">
        <f t="shared" si="1020"/>
        <v>185844.17932457884</v>
      </c>
      <c r="R962">
        <f t="shared" si="1021"/>
        <v>5792375.9840269582</v>
      </c>
      <c r="S962">
        <f t="shared" si="1022"/>
        <v>57.923759840269582</v>
      </c>
      <c r="T962">
        <f t="shared" si="1023"/>
        <v>5.7923759840269581E-2</v>
      </c>
    </row>
    <row r="963" spans="1:20" x14ac:dyDescent="0.25">
      <c r="A963" s="5">
        <v>43630</v>
      </c>
      <c r="B963">
        <v>130.55000000000001</v>
      </c>
      <c r="C963">
        <v>133.03</v>
      </c>
      <c r="D963">
        <v>125.22</v>
      </c>
      <c r="E963">
        <v>132</v>
      </c>
      <c r="F963">
        <v>460272.62793000002</v>
      </c>
      <c r="G963">
        <v>0</v>
      </c>
      <c r="L963" t="s">
        <v>7</v>
      </c>
      <c r="M963" t="s">
        <v>8</v>
      </c>
      <c r="N963" t="s">
        <v>8</v>
      </c>
      <c r="P963">
        <f t="shared" si="1019"/>
        <v>0.73623559539052474</v>
      </c>
      <c r="Q963">
        <f t="shared" si="1020"/>
        <v>338869.09226600506</v>
      </c>
      <c r="R963">
        <f t="shared" si="1021"/>
        <v>5606531.8047023797</v>
      </c>
      <c r="S963">
        <f t="shared" si="1022"/>
        <v>56.065318047023794</v>
      </c>
      <c r="T963">
        <f t="shared" si="1023"/>
        <v>5.6065318047023797E-2</v>
      </c>
    </row>
    <row r="964" spans="1:20" x14ac:dyDescent="0.25">
      <c r="A964" s="5">
        <v>43629</v>
      </c>
      <c r="B964">
        <v>135.32</v>
      </c>
      <c r="C964">
        <v>136.52000000000001</v>
      </c>
      <c r="D964">
        <v>127.92</v>
      </c>
      <c r="E964">
        <v>130.55000000000001</v>
      </c>
      <c r="F964">
        <v>477007.30523</v>
      </c>
      <c r="G964">
        <v>0</v>
      </c>
      <c r="L964" t="s">
        <v>7</v>
      </c>
      <c r="M964" t="s">
        <v>8</v>
      </c>
      <c r="N964" t="s">
        <v>8</v>
      </c>
      <c r="P964">
        <f t="shared" si="1019"/>
        <v>-0.38837209302325415</v>
      </c>
      <c r="Q964">
        <f t="shared" si="1020"/>
        <v>-185256.32551955734</v>
      </c>
      <c r="R964">
        <f t="shared" si="1021"/>
        <v>5267662.7124363743</v>
      </c>
      <c r="S964">
        <f t="shared" si="1022"/>
        <v>52.676627124363741</v>
      </c>
      <c r="T964">
        <f t="shared" si="1023"/>
        <v>5.2676627124363738E-2</v>
      </c>
    </row>
    <row r="965" spans="1:20" x14ac:dyDescent="0.25">
      <c r="A965" s="5">
        <v>43628</v>
      </c>
      <c r="B965">
        <v>135.79</v>
      </c>
      <c r="C965">
        <v>143.19</v>
      </c>
      <c r="D965">
        <v>129.86000000000001</v>
      </c>
      <c r="E965">
        <v>135.32</v>
      </c>
      <c r="F965">
        <v>1015972.9286400001</v>
      </c>
      <c r="G965">
        <v>0</v>
      </c>
      <c r="L965" t="s">
        <v>8</v>
      </c>
      <c r="M965" t="s">
        <v>8</v>
      </c>
      <c r="N965" t="s">
        <v>8</v>
      </c>
      <c r="P965">
        <f t="shared" si="1019"/>
        <v>-0.18079519879970202</v>
      </c>
      <c r="Q965">
        <f t="shared" si="1020"/>
        <v>-183683.02760858429</v>
      </c>
      <c r="R965">
        <f t="shared" si="1021"/>
        <v>5452919.0379559314</v>
      </c>
      <c r="S965">
        <f t="shared" si="1022"/>
        <v>54.529190379559317</v>
      </c>
      <c r="T965">
        <f t="shared" si="1023"/>
        <v>5.452919037955932E-2</v>
      </c>
    </row>
    <row r="966" spans="1:20" x14ac:dyDescent="0.25">
      <c r="A966" s="5">
        <v>43627</v>
      </c>
      <c r="B966">
        <v>129.19</v>
      </c>
      <c r="C966">
        <v>138.56</v>
      </c>
      <c r="D966">
        <v>124.85</v>
      </c>
      <c r="E966">
        <v>135.69</v>
      </c>
      <c r="F966">
        <v>836034.97354000004</v>
      </c>
      <c r="G966">
        <v>0</v>
      </c>
      <c r="L966" t="s">
        <v>8</v>
      </c>
      <c r="M966" t="s">
        <v>8</v>
      </c>
      <c r="N966" t="s">
        <v>8</v>
      </c>
      <c r="P966">
        <f t="shared" si="1019"/>
        <v>0.58132749817651308</v>
      </c>
      <c r="Q966">
        <f t="shared" si="1020"/>
        <v>486010.11955607554</v>
      </c>
      <c r="R966">
        <f t="shared" si="1021"/>
        <v>5636602.065564516</v>
      </c>
      <c r="S966">
        <f t="shared" si="1022"/>
        <v>56.366020655645158</v>
      </c>
      <c r="T966">
        <f t="shared" si="1023"/>
        <v>5.6366020655645159E-2</v>
      </c>
    </row>
    <row r="967" spans="1:20" x14ac:dyDescent="0.25">
      <c r="A967" s="5">
        <v>43626</v>
      </c>
      <c r="B967">
        <v>114.66</v>
      </c>
      <c r="C967">
        <v>130.12</v>
      </c>
      <c r="D967">
        <v>112.54</v>
      </c>
      <c r="E967">
        <v>129.15</v>
      </c>
      <c r="F967">
        <v>793211.22328000003</v>
      </c>
      <c r="G967">
        <v>0</v>
      </c>
      <c r="L967" t="s">
        <v>8</v>
      </c>
      <c r="M967" t="s">
        <v>8</v>
      </c>
      <c r="N967" t="s">
        <v>8</v>
      </c>
      <c r="P967">
        <f t="shared" si="1019"/>
        <v>0.88964732650739486</v>
      </c>
      <c r="Q967">
        <f t="shared" si="1020"/>
        <v>705678.24414671224</v>
      </c>
      <c r="R967">
        <f t="shared" si="1021"/>
        <v>5150591.9460084401</v>
      </c>
      <c r="S967">
        <f t="shared" si="1022"/>
        <v>51.505919460084399</v>
      </c>
      <c r="T967">
        <f t="shared" si="1023"/>
        <v>5.1505919460084398E-2</v>
      </c>
    </row>
    <row r="968" spans="1:20" x14ac:dyDescent="0.25">
      <c r="A968" s="5">
        <v>43625</v>
      </c>
      <c r="B968">
        <v>118.01</v>
      </c>
      <c r="C968">
        <v>118.94</v>
      </c>
      <c r="D968">
        <v>111.02</v>
      </c>
      <c r="E968">
        <v>114.66</v>
      </c>
      <c r="F968">
        <v>425246.36748999998</v>
      </c>
      <c r="G968">
        <v>0</v>
      </c>
      <c r="L968" t="s">
        <v>7</v>
      </c>
      <c r="M968" t="s">
        <v>8</v>
      </c>
      <c r="N968" t="s">
        <v>8</v>
      </c>
      <c r="P968">
        <f t="shared" si="1019"/>
        <v>-8.0808080808080857E-2</v>
      </c>
      <c r="Q968">
        <f t="shared" si="1020"/>
        <v>-34363.342827474764</v>
      </c>
      <c r="R968">
        <f t="shared" si="1021"/>
        <v>4444913.701861728</v>
      </c>
      <c r="S968">
        <f t="shared" si="1022"/>
        <v>44.449137018617279</v>
      </c>
      <c r="T968">
        <f t="shared" si="1023"/>
        <v>4.4449137018617281E-2</v>
      </c>
    </row>
    <row r="969" spans="1:20" x14ac:dyDescent="0.25">
      <c r="A969" s="5">
        <v>43624</v>
      </c>
      <c r="B969">
        <v>116.74</v>
      </c>
      <c r="C969">
        <v>119.7</v>
      </c>
      <c r="D969">
        <v>113.5</v>
      </c>
      <c r="E969">
        <v>118.01</v>
      </c>
      <c r="F969">
        <v>454621.75368999998</v>
      </c>
      <c r="G969">
        <v>0</v>
      </c>
      <c r="L969" t="s">
        <v>7</v>
      </c>
      <c r="M969" t="s">
        <v>8</v>
      </c>
      <c r="N969" t="s">
        <v>8</v>
      </c>
      <c r="P969">
        <f t="shared" si="1019"/>
        <v>0.45483870967742035</v>
      </c>
      <c r="Q969">
        <f t="shared" si="1020"/>
        <v>206779.57183964559</v>
      </c>
      <c r="R969">
        <f t="shared" si="1021"/>
        <v>4479277.0446892027</v>
      </c>
      <c r="S969">
        <f t="shared" si="1022"/>
        <v>44.792770446892028</v>
      </c>
      <c r="T969">
        <f t="shared" si="1023"/>
        <v>4.4792770446892026E-2</v>
      </c>
    </row>
    <row r="970" spans="1:20" x14ac:dyDescent="0.25">
      <c r="A970" s="5">
        <v>43623</v>
      </c>
      <c r="B970">
        <v>111.25</v>
      </c>
      <c r="C970">
        <v>121</v>
      </c>
      <c r="D970">
        <v>109.53</v>
      </c>
      <c r="E970">
        <v>116.71</v>
      </c>
      <c r="F970">
        <v>619792.48982999998</v>
      </c>
      <c r="G970">
        <v>0</v>
      </c>
      <c r="L970" t="s">
        <v>8</v>
      </c>
      <c r="M970" t="s">
        <v>8</v>
      </c>
      <c r="N970" t="s">
        <v>8</v>
      </c>
      <c r="P970">
        <f t="shared" si="1019"/>
        <v>0.25196163905841207</v>
      </c>
      <c r="Q970">
        <f t="shared" si="1020"/>
        <v>156163.931613661</v>
      </c>
      <c r="R970">
        <f t="shared" si="1021"/>
        <v>4272497.4728495572</v>
      </c>
      <c r="S970">
        <f t="shared" si="1022"/>
        <v>42.724974728495575</v>
      </c>
      <c r="T970">
        <f t="shared" si="1023"/>
        <v>4.2724974728495575E-2</v>
      </c>
    </row>
    <row r="971" spans="1:20" x14ac:dyDescent="0.25">
      <c r="A971" s="5">
        <v>43622</v>
      </c>
      <c r="B971">
        <v>103.61</v>
      </c>
      <c r="C971">
        <v>112.07</v>
      </c>
      <c r="D971">
        <v>101</v>
      </c>
      <c r="E971">
        <v>111.19</v>
      </c>
      <c r="F971">
        <v>488905.21587999997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0.84101174345076857</v>
      </c>
      <c r="Q971">
        <f t="shared" si="1020"/>
        <v>411175.02798941318</v>
      </c>
      <c r="R971">
        <f t="shared" si="1021"/>
        <v>4116333.5412358958</v>
      </c>
      <c r="S971">
        <f t="shared" si="1022"/>
        <v>41.163335412358961</v>
      </c>
      <c r="T971">
        <f t="shared" si="1023"/>
        <v>4.1163335412358962E-2</v>
      </c>
    </row>
    <row r="972" spans="1:20" x14ac:dyDescent="0.25">
      <c r="A972" s="5">
        <v>43621</v>
      </c>
      <c r="B972">
        <v>102.2</v>
      </c>
      <c r="C972">
        <v>105.21</v>
      </c>
      <c r="D972">
        <v>100.11</v>
      </c>
      <c r="E972">
        <v>103.66</v>
      </c>
      <c r="F972">
        <v>379894.44482999999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0.39215686274509848</v>
      </c>
      <c r="Q972">
        <f t="shared" si="1020"/>
        <v>148978.21365882369</v>
      </c>
      <c r="R972">
        <f t="shared" si="1021"/>
        <v>3705158.5132464827</v>
      </c>
      <c r="S972">
        <f t="shared" si="1022"/>
        <v>37.05158513246483</v>
      </c>
      <c r="T972">
        <f t="shared" si="1023"/>
        <v>3.7051585132464829E-2</v>
      </c>
    </row>
    <row r="973" spans="1:20" x14ac:dyDescent="0.25">
      <c r="A973" s="5">
        <v>43620</v>
      </c>
      <c r="B973">
        <v>105.94</v>
      </c>
      <c r="C973">
        <v>106.8</v>
      </c>
      <c r="D973">
        <v>98.13</v>
      </c>
      <c r="E973">
        <v>102.2</v>
      </c>
      <c r="F973">
        <v>673951.14145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-6.1130334486734349E-2</v>
      </c>
      <c r="Q973">
        <f t="shared" si="1020"/>
        <v>-41198.858704554914</v>
      </c>
      <c r="R973">
        <f t="shared" si="1021"/>
        <v>3556180.2995876591</v>
      </c>
      <c r="S973">
        <f t="shared" si="1022"/>
        <v>35.56180299587659</v>
      </c>
      <c r="T973">
        <f t="shared" si="1023"/>
        <v>3.5561802995876593E-2</v>
      </c>
    </row>
    <row r="974" spans="1:20" x14ac:dyDescent="0.25">
      <c r="A974" s="5">
        <v>43619</v>
      </c>
      <c r="B974">
        <v>114.44</v>
      </c>
      <c r="C974">
        <v>116.2</v>
      </c>
      <c r="D974">
        <v>105.01</v>
      </c>
      <c r="E974">
        <v>105.99</v>
      </c>
      <c r="F974">
        <v>441610.78457999998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-0.82484361036640041</v>
      </c>
      <c r="Q974">
        <f t="shared" si="1020"/>
        <v>-364259.8339297059</v>
      </c>
      <c r="R974">
        <f t="shared" si="1021"/>
        <v>3597379.1582922139</v>
      </c>
      <c r="S974">
        <f t="shared" si="1022"/>
        <v>35.973791582922139</v>
      </c>
      <c r="T974">
        <f t="shared" si="1023"/>
        <v>3.5973791582922139E-2</v>
      </c>
    </row>
    <row r="975" spans="1:20" x14ac:dyDescent="0.25">
      <c r="A975" s="5">
        <v>43618</v>
      </c>
      <c r="B975">
        <v>112.34</v>
      </c>
      <c r="C975">
        <v>116.48</v>
      </c>
      <c r="D975">
        <v>111.25</v>
      </c>
      <c r="E975">
        <v>114.39</v>
      </c>
      <c r="F975">
        <v>234192.23298999999</v>
      </c>
      <c r="G975">
        <v>0</v>
      </c>
      <c r="L975" t="s">
        <v>8</v>
      </c>
      <c r="M975" t="s">
        <v>7</v>
      </c>
      <c r="N975" t="s">
        <v>8</v>
      </c>
      <c r="P975">
        <f t="shared" si="1019"/>
        <v>0.20076481835563983</v>
      </c>
      <c r="Q975">
        <f t="shared" si="1020"/>
        <v>47017.561116539029</v>
      </c>
      <c r="R975">
        <f t="shared" si="1021"/>
        <v>3961638.9922219198</v>
      </c>
      <c r="S975">
        <f t="shared" si="1022"/>
        <v>39.616389922219199</v>
      </c>
      <c r="T975">
        <f t="shared" si="1023"/>
        <v>3.9616389922219199E-2</v>
      </c>
    </row>
    <row r="976" spans="1:20" x14ac:dyDescent="0.25">
      <c r="A976" s="5">
        <v>43617</v>
      </c>
      <c r="B976">
        <v>114.65</v>
      </c>
      <c r="C976">
        <v>116.28</v>
      </c>
      <c r="D976">
        <v>110.51</v>
      </c>
      <c r="E976">
        <v>112.35</v>
      </c>
      <c r="F976">
        <v>318759.84041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-0.36221837088388548</v>
      </c>
      <c r="Q976">
        <f t="shared" si="1020"/>
        <v>-115460.67009651753</v>
      </c>
      <c r="R976">
        <f t="shared" si="1021"/>
        <v>3914621.4311053809</v>
      </c>
      <c r="S976">
        <f t="shared" si="1022"/>
        <v>39.146214311053811</v>
      </c>
      <c r="T976">
        <f t="shared" si="1023"/>
        <v>3.9146214311053813E-2</v>
      </c>
    </row>
    <row r="977" spans="1:20" x14ac:dyDescent="0.25">
      <c r="A977" s="5">
        <v>43616</v>
      </c>
      <c r="B977">
        <v>107.78</v>
      </c>
      <c r="C977">
        <v>114.93</v>
      </c>
      <c r="D977">
        <v>104.55</v>
      </c>
      <c r="E977">
        <v>114.6</v>
      </c>
      <c r="F977">
        <v>487341.72798999998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0.93641618497109591</v>
      </c>
      <c r="Q977">
        <f t="shared" si="1020"/>
        <v>456354.68170161732</v>
      </c>
      <c r="R977">
        <f t="shared" si="1021"/>
        <v>4030082.1012018984</v>
      </c>
      <c r="S977">
        <f t="shared" si="1022"/>
        <v>40.300821012018986</v>
      </c>
      <c r="T977">
        <f t="shared" si="1023"/>
        <v>4.0300821012018984E-2</v>
      </c>
    </row>
    <row r="978" spans="1:20" x14ac:dyDescent="0.25">
      <c r="A978" s="5">
        <v>43615</v>
      </c>
      <c r="B978">
        <v>115.03</v>
      </c>
      <c r="C978">
        <v>120.35</v>
      </c>
      <c r="D978">
        <v>102.4</v>
      </c>
      <c r="E978">
        <v>107.78</v>
      </c>
      <c r="F978">
        <v>708618.82449999999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-0.400557103064067</v>
      </c>
      <c r="Q978">
        <f t="shared" si="1020"/>
        <v>-283842.30351838452</v>
      </c>
      <c r="R978">
        <f t="shared" si="1021"/>
        <v>3573727.4195002811</v>
      </c>
      <c r="S978">
        <f t="shared" si="1022"/>
        <v>35.737274195002811</v>
      </c>
      <c r="T978">
        <f t="shared" si="1023"/>
        <v>3.5737274195002812E-2</v>
      </c>
    </row>
    <row r="979" spans="1:20" x14ac:dyDescent="0.25">
      <c r="A979" s="5">
        <v>43614</v>
      </c>
      <c r="B979">
        <v>114.87</v>
      </c>
      <c r="C979">
        <v>118.33</v>
      </c>
      <c r="D979">
        <v>108</v>
      </c>
      <c r="E979">
        <v>115.06</v>
      </c>
      <c r="F979">
        <v>359489.09795999998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0.3668925459825757</v>
      </c>
      <c r="Q979">
        <f t="shared" si="1020"/>
        <v>131893.87040352396</v>
      </c>
      <c r="R979">
        <f t="shared" si="1021"/>
        <v>3857569.7230186658</v>
      </c>
      <c r="S979">
        <f t="shared" si="1022"/>
        <v>38.575697230186655</v>
      </c>
      <c r="T979">
        <f t="shared" si="1023"/>
        <v>3.8575697230186654E-2</v>
      </c>
    </row>
    <row r="980" spans="1:20" x14ac:dyDescent="0.25">
      <c r="A980" s="5">
        <v>43613</v>
      </c>
      <c r="B980">
        <v>116.41</v>
      </c>
      <c r="C980">
        <v>118.22</v>
      </c>
      <c r="D980">
        <v>111.08</v>
      </c>
      <c r="E980">
        <v>114.81</v>
      </c>
      <c r="F980">
        <v>399902.25403000001</v>
      </c>
      <c r="G980">
        <v>0</v>
      </c>
      <c r="L980" t="s">
        <v>7</v>
      </c>
      <c r="M980" t="s">
        <v>8</v>
      </c>
      <c r="N980" t="s">
        <v>8</v>
      </c>
      <c r="P980">
        <f t="shared" si="1019"/>
        <v>4.4817927170869382E-2</v>
      </c>
      <c r="Q980">
        <f t="shared" si="1020"/>
        <v>17922.790096583049</v>
      </c>
      <c r="R980">
        <f t="shared" si="1021"/>
        <v>3725675.8526151418</v>
      </c>
      <c r="S980">
        <f t="shared" si="1022"/>
        <v>37.256758526151415</v>
      </c>
      <c r="T980">
        <f t="shared" si="1023"/>
        <v>3.7256758526151415E-2</v>
      </c>
    </row>
    <row r="981" spans="1:20" x14ac:dyDescent="0.25">
      <c r="A981" s="5">
        <v>43612</v>
      </c>
      <c r="B981">
        <v>111.03</v>
      </c>
      <c r="C981">
        <v>121.89</v>
      </c>
      <c r="D981">
        <v>109.94</v>
      </c>
      <c r="E981">
        <v>116.3</v>
      </c>
      <c r="F981">
        <v>873684.89847000001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6.4435146443514293E-2</v>
      </c>
      <c r="Q981">
        <f t="shared" si="1020"/>
        <v>56296.014378401371</v>
      </c>
      <c r="R981">
        <f t="shared" si="1021"/>
        <v>3707753.0625185589</v>
      </c>
      <c r="S981">
        <f t="shared" si="1022"/>
        <v>37.077530625185588</v>
      </c>
      <c r="T981">
        <f t="shared" si="1023"/>
        <v>3.7077530625185588E-2</v>
      </c>
    </row>
    <row r="982" spans="1:20" x14ac:dyDescent="0.25">
      <c r="A982" s="5">
        <v>43611</v>
      </c>
      <c r="B982">
        <v>102.66</v>
      </c>
      <c r="C982">
        <v>114</v>
      </c>
      <c r="D982">
        <v>97.5</v>
      </c>
      <c r="E982">
        <v>111</v>
      </c>
      <c r="F982">
        <v>658431.91144000005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0.63636363636363635</v>
      </c>
      <c r="Q982">
        <f t="shared" si="1020"/>
        <v>419002.12546181818</v>
      </c>
      <c r="R982">
        <f t="shared" si="1021"/>
        <v>3651457.0481401575</v>
      </c>
      <c r="S982">
        <f t="shared" si="1022"/>
        <v>36.514570481401577</v>
      </c>
      <c r="T982">
        <f t="shared" si="1023"/>
        <v>3.6514570481401575E-2</v>
      </c>
    </row>
    <row r="983" spans="1:20" x14ac:dyDescent="0.25">
      <c r="A983" s="5">
        <v>43610</v>
      </c>
      <c r="B983">
        <v>100.5</v>
      </c>
      <c r="C983">
        <v>105.07</v>
      </c>
      <c r="D983">
        <v>98.87</v>
      </c>
      <c r="E983">
        <v>102.66</v>
      </c>
      <c r="F983">
        <v>519802.98950000003</v>
      </c>
      <c r="G983">
        <v>0</v>
      </c>
      <c r="L983" t="s">
        <v>8</v>
      </c>
      <c r="M983" t="s">
        <v>8</v>
      </c>
      <c r="N983" t="s">
        <v>8</v>
      </c>
      <c r="P983">
        <f t="shared" si="1019"/>
        <v>0.22258064516129</v>
      </c>
      <c r="Q983">
        <f t="shared" si="1020"/>
        <v>115698.08475967727</v>
      </c>
      <c r="R983">
        <f t="shared" si="1021"/>
        <v>3232454.9226783393</v>
      </c>
      <c r="S983">
        <f t="shared" si="1022"/>
        <v>32.32454922678339</v>
      </c>
      <c r="T983">
        <f t="shared" si="1023"/>
        <v>3.2324549226783392E-2</v>
      </c>
    </row>
    <row r="984" spans="1:20" x14ac:dyDescent="0.25">
      <c r="A984" s="5">
        <v>43609</v>
      </c>
      <c r="B984">
        <v>88.67</v>
      </c>
      <c r="C984">
        <v>103.77</v>
      </c>
      <c r="D984">
        <v>88.01</v>
      </c>
      <c r="E984">
        <v>100.5</v>
      </c>
      <c r="F984">
        <v>832985.16125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0.58502538071066013</v>
      </c>
      <c r="Q984">
        <f t="shared" si="1020"/>
        <v>487317.46108661185</v>
      </c>
      <c r="R984">
        <f t="shared" si="1021"/>
        <v>3116756.837918662</v>
      </c>
      <c r="S984">
        <f t="shared" si="1022"/>
        <v>31.167568379186619</v>
      </c>
      <c r="T984">
        <f t="shared" si="1023"/>
        <v>3.1167568379186619E-2</v>
      </c>
    </row>
    <row r="985" spans="1:20" x14ac:dyDescent="0.25">
      <c r="A985" s="5">
        <v>43608</v>
      </c>
      <c r="B985">
        <v>87.74</v>
      </c>
      <c r="C985">
        <v>89.53</v>
      </c>
      <c r="D985">
        <v>84.62</v>
      </c>
      <c r="E985">
        <v>88.61</v>
      </c>
      <c r="F985">
        <v>208332.29525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0.6252545824847241</v>
      </c>
      <c r="Q985">
        <f t="shared" si="1020"/>
        <v>130260.72228462301</v>
      </c>
      <c r="R985">
        <f t="shared" si="1021"/>
        <v>2629439.3768320503</v>
      </c>
      <c r="S985">
        <f t="shared" si="1022"/>
        <v>26.294393768320504</v>
      </c>
      <c r="T985">
        <f t="shared" si="1023"/>
        <v>2.6294393768320504E-2</v>
      </c>
    </row>
    <row r="986" spans="1:20" x14ac:dyDescent="0.25">
      <c r="A986" s="5">
        <v>43607</v>
      </c>
      <c r="B986">
        <v>90.77</v>
      </c>
      <c r="C986">
        <v>92.04</v>
      </c>
      <c r="D986">
        <v>85.83</v>
      </c>
      <c r="E986">
        <v>87.74</v>
      </c>
      <c r="F986">
        <v>308520.29109000001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-0.38486312399356065</v>
      </c>
      <c r="Q986">
        <f t="shared" si="1020"/>
        <v>-118738.0830443001</v>
      </c>
      <c r="R986">
        <f t="shared" si="1021"/>
        <v>2499178.6545474273</v>
      </c>
      <c r="S986">
        <f t="shared" si="1022"/>
        <v>24.991786545474273</v>
      </c>
      <c r="T986">
        <f t="shared" si="1023"/>
        <v>2.4991786545474272E-2</v>
      </c>
    </row>
    <row r="987" spans="1:20" x14ac:dyDescent="0.25">
      <c r="A987" s="5">
        <v>43606</v>
      </c>
      <c r="B987">
        <v>91.1</v>
      </c>
      <c r="C987">
        <v>93.02</v>
      </c>
      <c r="D987">
        <v>88.83</v>
      </c>
      <c r="E987">
        <v>90.79</v>
      </c>
      <c r="F987">
        <v>335538.23308999999</v>
      </c>
      <c r="G987">
        <v>0</v>
      </c>
      <c r="L987" t="s">
        <v>7</v>
      </c>
      <c r="M987" t="s">
        <v>7</v>
      </c>
      <c r="N987" t="s">
        <v>8</v>
      </c>
      <c r="P987">
        <f t="shared" si="1019"/>
        <v>-6.4439140811451537E-2</v>
      </c>
      <c r="Q987">
        <f t="shared" si="1020"/>
        <v>-21621.795449712157</v>
      </c>
      <c r="R987">
        <f t="shared" si="1021"/>
        <v>2617916.7375917276</v>
      </c>
      <c r="S987">
        <f t="shared" si="1022"/>
        <v>26.179167375917277</v>
      </c>
      <c r="T987">
        <f t="shared" si="1023"/>
        <v>2.6179167375917276E-2</v>
      </c>
    </row>
    <row r="988" spans="1:20" x14ac:dyDescent="0.25">
      <c r="A988" s="5">
        <v>43605</v>
      </c>
      <c r="B988">
        <v>94.55</v>
      </c>
      <c r="C988">
        <v>94.58</v>
      </c>
      <c r="D988">
        <v>87.11</v>
      </c>
      <c r="E988">
        <v>91.1</v>
      </c>
      <c r="F988">
        <v>447735.71614999999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6.8273092369476707E-2</v>
      </c>
      <c r="Q988">
        <f t="shared" si="1020"/>
        <v>30568.301905822755</v>
      </c>
      <c r="R988">
        <f t="shared" si="1021"/>
        <v>2639538.53304144</v>
      </c>
      <c r="S988">
        <f t="shared" si="1022"/>
        <v>26.395385330414399</v>
      </c>
      <c r="T988">
        <f t="shared" si="1023"/>
        <v>2.6395385330414398E-2</v>
      </c>
    </row>
    <row r="989" spans="1:20" x14ac:dyDescent="0.25">
      <c r="A989" s="5">
        <v>43604</v>
      </c>
      <c r="B989">
        <v>86.55</v>
      </c>
      <c r="C989">
        <v>96.81</v>
      </c>
      <c r="D989">
        <v>86.07</v>
      </c>
      <c r="E989">
        <v>94.58</v>
      </c>
      <c r="F989">
        <v>584649.51758999994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0.58472998137802568</v>
      </c>
      <c r="Q989">
        <f t="shared" si="1020"/>
        <v>341862.10153307236</v>
      </c>
      <c r="R989">
        <f t="shared" si="1021"/>
        <v>2608970.231135617</v>
      </c>
      <c r="S989">
        <f t="shared" si="1022"/>
        <v>26.08970231135617</v>
      </c>
      <c r="T989">
        <f t="shared" si="1023"/>
        <v>2.6089702311356169E-2</v>
      </c>
    </row>
    <row r="990" spans="1:20" x14ac:dyDescent="0.25">
      <c r="A990" s="5">
        <v>43603</v>
      </c>
      <c r="B990">
        <v>89.76</v>
      </c>
      <c r="C990">
        <v>90.51</v>
      </c>
      <c r="D990">
        <v>85.11</v>
      </c>
      <c r="E990">
        <v>86.51</v>
      </c>
      <c r="F990">
        <v>380542.14296999999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-0.4814814814814799</v>
      </c>
      <c r="Q990">
        <f t="shared" si="1020"/>
        <v>-183223.99476333274</v>
      </c>
      <c r="R990">
        <f t="shared" si="1021"/>
        <v>2267108.1296025445</v>
      </c>
      <c r="S990">
        <f t="shared" si="1022"/>
        <v>22.671081296025445</v>
      </c>
      <c r="T990">
        <f t="shared" si="1023"/>
        <v>2.2671081296025446E-2</v>
      </c>
    </row>
    <row r="991" spans="1:20" x14ac:dyDescent="0.25">
      <c r="A991" s="5">
        <v>43602</v>
      </c>
      <c r="B991">
        <v>95.49</v>
      </c>
      <c r="C991">
        <v>97.48</v>
      </c>
      <c r="D991">
        <v>84.27</v>
      </c>
      <c r="E991">
        <v>89.76</v>
      </c>
      <c r="F991">
        <v>914179.22548000002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-0.16881150643451842</v>
      </c>
      <c r="Q991">
        <f t="shared" si="1020"/>
        <v>-154323.9722044201</v>
      </c>
      <c r="R991">
        <f t="shared" si="1021"/>
        <v>2450332.1243658774</v>
      </c>
      <c r="S991">
        <f t="shared" si="1022"/>
        <v>24.503321243658775</v>
      </c>
      <c r="T991">
        <f t="shared" si="1023"/>
        <v>2.4503321243658775E-2</v>
      </c>
    </row>
    <row r="992" spans="1:20" x14ac:dyDescent="0.25">
      <c r="A992" s="5">
        <v>43601</v>
      </c>
      <c r="B992">
        <v>102.03</v>
      </c>
      <c r="C992">
        <v>107.14</v>
      </c>
      <c r="D992">
        <v>90.73</v>
      </c>
      <c r="E992">
        <v>95.49</v>
      </c>
      <c r="F992">
        <v>1179885.10784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-0.4198659354052417</v>
      </c>
      <c r="Q992">
        <f t="shared" si="1020"/>
        <v>-495393.56447395607</v>
      </c>
      <c r="R992">
        <f t="shared" si="1021"/>
        <v>2604656.0965702976</v>
      </c>
      <c r="S992">
        <f t="shared" si="1022"/>
        <v>26.046560965702977</v>
      </c>
      <c r="T992">
        <f t="shared" si="1023"/>
        <v>2.6046560965702976E-2</v>
      </c>
    </row>
    <row r="993" spans="1:20" x14ac:dyDescent="0.25">
      <c r="A993" s="5">
        <v>43600</v>
      </c>
      <c r="B993">
        <v>91.15</v>
      </c>
      <c r="C993">
        <v>104.25</v>
      </c>
      <c r="D993">
        <v>89.69</v>
      </c>
      <c r="E993">
        <v>102.02</v>
      </c>
      <c r="F993">
        <v>673429.92611999996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0.69368131868131822</v>
      </c>
      <c r="Q993">
        <f t="shared" si="1020"/>
        <v>467145.7591903843</v>
      </c>
      <c r="R993">
        <f t="shared" si="1021"/>
        <v>3100049.6610442535</v>
      </c>
      <c r="S993">
        <f t="shared" si="1022"/>
        <v>31.000496610442536</v>
      </c>
      <c r="T993">
        <f t="shared" si="1023"/>
        <v>3.1000496610442536E-2</v>
      </c>
    </row>
    <row r="994" spans="1:20" x14ac:dyDescent="0.25">
      <c r="A994" s="5">
        <v>43599</v>
      </c>
      <c r="B994">
        <v>87.34</v>
      </c>
      <c r="C994">
        <v>93.61</v>
      </c>
      <c r="D994">
        <v>86.5</v>
      </c>
      <c r="E994">
        <v>91.17</v>
      </c>
      <c r="F994">
        <v>644139.06466999999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0.31364275668073194</v>
      </c>
      <c r="Q994">
        <f t="shared" si="1020"/>
        <v>202029.55192884707</v>
      </c>
      <c r="R994">
        <f t="shared" si="1021"/>
        <v>2632903.9018538692</v>
      </c>
      <c r="S994">
        <f t="shared" si="1022"/>
        <v>26.32903901853869</v>
      </c>
      <c r="T994">
        <f t="shared" si="1023"/>
        <v>2.632903901853869E-2</v>
      </c>
    </row>
    <row r="995" spans="1:20" x14ac:dyDescent="0.25">
      <c r="A995" s="5">
        <v>43598</v>
      </c>
      <c r="B995">
        <v>84.71</v>
      </c>
      <c r="C995">
        <v>92.49</v>
      </c>
      <c r="D995">
        <v>84.1</v>
      </c>
      <c r="E995">
        <v>87.16</v>
      </c>
      <c r="F995">
        <v>627311.35572999995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-0.27056019070321763</v>
      </c>
      <c r="Q995">
        <f t="shared" si="1020"/>
        <v>-169725.48003660279</v>
      </c>
      <c r="R995">
        <f t="shared" si="1021"/>
        <v>2430874.3499250221</v>
      </c>
      <c r="S995">
        <f t="shared" si="1022"/>
        <v>24.30874349925022</v>
      </c>
      <c r="T995">
        <f t="shared" si="1023"/>
        <v>2.4308743499250218E-2</v>
      </c>
    </row>
    <row r="996" spans="1:20" x14ac:dyDescent="0.25">
      <c r="A996" s="5">
        <v>43597</v>
      </c>
      <c r="B996">
        <v>86.59</v>
      </c>
      <c r="C996">
        <v>94.01</v>
      </c>
      <c r="D996">
        <v>83</v>
      </c>
      <c r="E996">
        <v>84.73</v>
      </c>
      <c r="F996">
        <v>797262.85973000003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-0.68574023614895496</v>
      </c>
      <c r="Q996">
        <f t="shared" si="1020"/>
        <v>-546715.22170404135</v>
      </c>
      <c r="R996">
        <f t="shared" si="1021"/>
        <v>2600599.8299616249</v>
      </c>
      <c r="S996">
        <f t="shared" si="1022"/>
        <v>26.005998299616248</v>
      </c>
      <c r="T996">
        <f t="shared" si="1023"/>
        <v>2.6005998299616247E-2</v>
      </c>
    </row>
    <row r="997" spans="1:20" x14ac:dyDescent="0.25">
      <c r="A997" s="5">
        <v>43596</v>
      </c>
      <c r="B997">
        <v>77.12</v>
      </c>
      <c r="C997">
        <v>95</v>
      </c>
      <c r="D997">
        <v>76.849999999999994</v>
      </c>
      <c r="E997">
        <v>86.59</v>
      </c>
      <c r="F997">
        <v>909602.12693999999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7.3278236914601211E-2</v>
      </c>
      <c r="Q997">
        <f t="shared" si="1020"/>
        <v>66654.04015593449</v>
      </c>
      <c r="R997">
        <f t="shared" si="1021"/>
        <v>3147315.0516656665</v>
      </c>
      <c r="S997">
        <f t="shared" si="1022"/>
        <v>31.473150516656666</v>
      </c>
      <c r="T997">
        <f t="shared" si="1023"/>
        <v>3.1473150516656667E-2</v>
      </c>
    </row>
    <row r="998" spans="1:20" x14ac:dyDescent="0.25">
      <c r="A998" s="5">
        <v>43595</v>
      </c>
      <c r="B998">
        <v>74.180000000000007</v>
      </c>
      <c r="C998">
        <v>79.61</v>
      </c>
      <c r="D998">
        <v>72.66</v>
      </c>
      <c r="E998">
        <v>77.11</v>
      </c>
      <c r="F998">
        <v>422915.9252</v>
      </c>
      <c r="G998">
        <v>0</v>
      </c>
      <c r="L998" t="s">
        <v>8</v>
      </c>
      <c r="M998" t="s">
        <v>8</v>
      </c>
      <c r="N998" t="s">
        <v>7</v>
      </c>
      <c r="P998">
        <f t="shared" si="1019"/>
        <v>0.28057553956834563</v>
      </c>
      <c r="Q998">
        <f t="shared" si="1020"/>
        <v>118659.86390503609</v>
      </c>
      <c r="R998">
        <f t="shared" si="1021"/>
        <v>3080661.0115097319</v>
      </c>
      <c r="S998">
        <f t="shared" si="1022"/>
        <v>30.806610115097318</v>
      </c>
      <c r="T998">
        <f t="shared" si="1023"/>
        <v>3.0806610115097319E-2</v>
      </c>
    </row>
    <row r="999" spans="1:20" x14ac:dyDescent="0.25">
      <c r="A999" s="5">
        <v>43594</v>
      </c>
      <c r="B999">
        <v>74.44</v>
      </c>
      <c r="C999">
        <v>75.900000000000006</v>
      </c>
      <c r="D999">
        <v>72.77</v>
      </c>
      <c r="E999">
        <v>74.19</v>
      </c>
      <c r="F999">
        <v>240477.43667</v>
      </c>
      <c r="G999">
        <v>0</v>
      </c>
      <c r="L999" t="s">
        <v>7</v>
      </c>
      <c r="M999" t="s">
        <v>8</v>
      </c>
      <c r="N999" t="s">
        <v>7</v>
      </c>
      <c r="P999">
        <f t="shared" si="1019"/>
        <v>-9.265175718850012E-2</v>
      </c>
      <c r="Q999">
        <f t="shared" si="1020"/>
        <v>-22280.657071661753</v>
      </c>
      <c r="R999">
        <f t="shared" si="1021"/>
        <v>2962001.147604696</v>
      </c>
      <c r="S999">
        <f t="shared" si="1022"/>
        <v>29.620011476046958</v>
      </c>
      <c r="T999">
        <f t="shared" si="1023"/>
        <v>2.9620011476046957E-2</v>
      </c>
    </row>
    <row r="1000" spans="1:20" x14ac:dyDescent="0.25">
      <c r="A1000" s="5">
        <v>43593</v>
      </c>
      <c r="B1000">
        <v>74.59</v>
      </c>
      <c r="C1000">
        <v>75.5</v>
      </c>
      <c r="D1000">
        <v>72.400000000000006</v>
      </c>
      <c r="E1000">
        <v>74.44</v>
      </c>
      <c r="F1000">
        <v>206081.78547999999</v>
      </c>
      <c r="G1000">
        <v>0</v>
      </c>
      <c r="L1000" t="s">
        <v>7</v>
      </c>
      <c r="M1000" t="s">
        <v>8</v>
      </c>
      <c r="N1000" t="s">
        <v>7</v>
      </c>
      <c r="P1000">
        <f t="shared" si="1019"/>
        <v>0.31612903225806177</v>
      </c>
      <c r="Q1000">
        <f t="shared" si="1020"/>
        <v>65148.435409805883</v>
      </c>
      <c r="R1000">
        <f t="shared" si="1021"/>
        <v>2984281.8046763577</v>
      </c>
      <c r="S1000">
        <f t="shared" si="1022"/>
        <v>29.842818046763576</v>
      </c>
      <c r="T1000">
        <f t="shared" si="1023"/>
        <v>2.9842818046763576E-2</v>
      </c>
    </row>
    <row r="1001" spans="1:20" x14ac:dyDescent="0.25">
      <c r="A1001" s="5">
        <v>43592</v>
      </c>
      <c r="B1001">
        <v>74.95</v>
      </c>
      <c r="C1001">
        <v>78.75</v>
      </c>
      <c r="D1001">
        <v>73.400000000000006</v>
      </c>
      <c r="E1001">
        <v>74.61</v>
      </c>
      <c r="F1001">
        <v>357677.92794999998</v>
      </c>
      <c r="G1001">
        <v>0</v>
      </c>
      <c r="L1001" t="s">
        <v>8</v>
      </c>
      <c r="M1001" t="s">
        <v>8</v>
      </c>
      <c r="N1001" t="s">
        <v>7</v>
      </c>
      <c r="P1001">
        <f t="shared" si="1019"/>
        <v>-0.54766355140187106</v>
      </c>
      <c r="Q1001">
        <f t="shared" si="1020"/>
        <v>-195887.16427915954</v>
      </c>
      <c r="R1001">
        <f t="shared" si="1021"/>
        <v>2919133.3692665519</v>
      </c>
      <c r="S1001">
        <f t="shared" si="1022"/>
        <v>29.19133369266552</v>
      </c>
      <c r="T1001">
        <f t="shared" si="1023"/>
        <v>2.9191333692665519E-2</v>
      </c>
    </row>
    <row r="1002" spans="1:20" x14ac:dyDescent="0.25">
      <c r="A1002" s="5">
        <v>43591</v>
      </c>
      <c r="B1002">
        <v>75.7</v>
      </c>
      <c r="C1002">
        <v>76.91</v>
      </c>
      <c r="D1002">
        <v>71.64</v>
      </c>
      <c r="E1002">
        <v>74.94</v>
      </c>
      <c r="F1002">
        <v>389445.48037</v>
      </c>
      <c r="G1002">
        <v>0</v>
      </c>
      <c r="L1002" t="s">
        <v>7</v>
      </c>
      <c r="M1002" t="s">
        <v>8</v>
      </c>
      <c r="N1002" t="s">
        <v>7</v>
      </c>
      <c r="P1002">
        <f t="shared" si="1019"/>
        <v>0.25237191650853874</v>
      </c>
      <c r="Q1002">
        <f t="shared" si="1020"/>
        <v>98285.102256565398</v>
      </c>
      <c r="R1002">
        <f t="shared" si="1021"/>
        <v>3115020.5335457115</v>
      </c>
      <c r="S1002">
        <f t="shared" si="1022"/>
        <v>31.150205335457116</v>
      </c>
      <c r="T1002">
        <f t="shared" si="1023"/>
        <v>3.1150205335457117E-2</v>
      </c>
    </row>
    <row r="1003" spans="1:20" x14ac:dyDescent="0.25">
      <c r="A1003" s="5">
        <v>43590</v>
      </c>
      <c r="B1003">
        <v>77.73</v>
      </c>
      <c r="C1003">
        <v>78.16</v>
      </c>
      <c r="D1003">
        <v>75.400000000000006</v>
      </c>
      <c r="E1003">
        <v>75.7</v>
      </c>
      <c r="F1003">
        <v>236821.31245</v>
      </c>
      <c r="G1003">
        <v>0</v>
      </c>
      <c r="L1003" t="s">
        <v>7</v>
      </c>
      <c r="M1003" t="s">
        <v>8</v>
      </c>
      <c r="N1003" t="s">
        <v>7</v>
      </c>
      <c r="P1003">
        <f t="shared" si="1019"/>
        <v>-0.78260869565217528</v>
      </c>
      <c r="Q1003">
        <f t="shared" si="1020"/>
        <v>-185338.41843913076</v>
      </c>
      <c r="R1003">
        <f t="shared" si="1021"/>
        <v>3016735.4312891462</v>
      </c>
      <c r="S1003">
        <f t="shared" si="1022"/>
        <v>30.167354312891462</v>
      </c>
      <c r="T1003">
        <f t="shared" si="1023"/>
        <v>3.0167354312891463E-2</v>
      </c>
    </row>
    <row r="1004" spans="1:20" x14ac:dyDescent="0.25">
      <c r="A1004" s="5">
        <v>43589</v>
      </c>
      <c r="B1004">
        <v>79.260000000000005</v>
      </c>
      <c r="C1004">
        <v>82.76</v>
      </c>
      <c r="D1004">
        <v>74.540000000000006</v>
      </c>
      <c r="E1004">
        <v>77.77</v>
      </c>
      <c r="F1004">
        <v>457004.01484000002</v>
      </c>
      <c r="G1004">
        <v>0</v>
      </c>
      <c r="L1004" t="s">
        <v>8</v>
      </c>
      <c r="M1004" t="s">
        <v>8</v>
      </c>
      <c r="N1004" t="s">
        <v>7</v>
      </c>
      <c r="P1004">
        <f t="shared" si="1019"/>
        <v>-0.2141119221411216</v>
      </c>
      <c r="Q1004">
        <f t="shared" si="1020"/>
        <v>-97850.008043602065</v>
      </c>
      <c r="R1004">
        <f t="shared" si="1021"/>
        <v>3202073.849728277</v>
      </c>
      <c r="S1004">
        <f t="shared" si="1022"/>
        <v>32.020738497282771</v>
      </c>
      <c r="T1004">
        <f t="shared" si="1023"/>
        <v>3.202073849728277E-2</v>
      </c>
    </row>
    <row r="1005" spans="1:20" x14ac:dyDescent="0.25">
      <c r="A1005" s="5">
        <v>43588</v>
      </c>
      <c r="B1005">
        <v>73.650000000000006</v>
      </c>
      <c r="C1005">
        <v>80.58</v>
      </c>
      <c r="D1005">
        <v>73.31</v>
      </c>
      <c r="E1005">
        <v>79.22</v>
      </c>
      <c r="F1005">
        <v>538448.40523000003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0.62585969738651992</v>
      </c>
      <c r="Q1005">
        <f t="shared" si="1020"/>
        <v>336993.15595550206</v>
      </c>
      <c r="R1005">
        <f t="shared" si="1021"/>
        <v>3299923.8577718791</v>
      </c>
      <c r="S1005">
        <f t="shared" si="1022"/>
        <v>32.999238577718792</v>
      </c>
      <c r="T1005">
        <f t="shared" si="1023"/>
        <v>3.299923857771879E-2</v>
      </c>
    </row>
    <row r="1006" spans="1:20" x14ac:dyDescent="0.25">
      <c r="A1006" s="5">
        <v>43587</v>
      </c>
      <c r="B1006">
        <v>73.349999999999994</v>
      </c>
      <c r="C1006">
        <v>74.42</v>
      </c>
      <c r="D1006">
        <v>72.73</v>
      </c>
      <c r="E1006">
        <v>73.680000000000007</v>
      </c>
      <c r="F1006">
        <v>289626.45366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0.12426035502959068</v>
      </c>
      <c r="Q1006">
        <f t="shared" si="1020"/>
        <v>35989.08595775289</v>
      </c>
      <c r="R1006">
        <f t="shared" si="1021"/>
        <v>2962930.7018163772</v>
      </c>
      <c r="S1006">
        <f t="shared" si="1022"/>
        <v>29.629307018163772</v>
      </c>
      <c r="T1006">
        <f t="shared" si="1023"/>
        <v>2.9629307018163773E-2</v>
      </c>
    </row>
    <row r="1007" spans="1:20" x14ac:dyDescent="0.25">
      <c r="A1007" s="5">
        <v>43586</v>
      </c>
      <c r="B1007">
        <v>74.31</v>
      </c>
      <c r="C1007">
        <v>75.36</v>
      </c>
      <c r="D1007">
        <v>71.78</v>
      </c>
      <c r="E1007">
        <v>73.36</v>
      </c>
      <c r="F1007">
        <v>273831.04765000002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-0.11731843575419047</v>
      </c>
      <c r="Q1007">
        <f t="shared" si="1020"/>
        <v>-32125.430171229196</v>
      </c>
      <c r="R1007">
        <f t="shared" si="1021"/>
        <v>2926941.6158586242</v>
      </c>
      <c r="S1007">
        <f t="shared" si="1022"/>
        <v>29.269416158586242</v>
      </c>
      <c r="T1007">
        <f t="shared" si="1023"/>
        <v>2.9269416158586241E-2</v>
      </c>
    </row>
    <row r="1008" spans="1:20" x14ac:dyDescent="0.25">
      <c r="A1008" s="5">
        <v>43585</v>
      </c>
      <c r="B1008">
        <v>67.86</v>
      </c>
      <c r="C1008">
        <v>74.739999999999995</v>
      </c>
      <c r="D1008">
        <v>67.86</v>
      </c>
      <c r="E1008">
        <v>74.319999999999993</v>
      </c>
      <c r="F1008">
        <v>354469.13537999999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0.8779069767441855</v>
      </c>
      <c r="Q1008">
        <f t="shared" si="1020"/>
        <v>311190.92699058121</v>
      </c>
      <c r="R1008">
        <f t="shared" si="1021"/>
        <v>2959067.0460298536</v>
      </c>
      <c r="S1008">
        <f t="shared" si="1022"/>
        <v>29.590670460298536</v>
      </c>
      <c r="T1008">
        <f t="shared" si="1023"/>
        <v>2.9590670460298535E-2</v>
      </c>
    </row>
    <row r="1009" spans="1:20" x14ac:dyDescent="0.25">
      <c r="A1009" s="5">
        <v>43584</v>
      </c>
      <c r="B1009">
        <v>69.89</v>
      </c>
      <c r="C1009">
        <v>70.37</v>
      </c>
      <c r="D1009">
        <v>66.5</v>
      </c>
      <c r="E1009">
        <v>67.87</v>
      </c>
      <c r="F1009">
        <v>203603.18601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-0.29198966408268584</v>
      </c>
      <c r="Q1009">
        <f t="shared" si="1020"/>
        <v>-59450.025889224504</v>
      </c>
      <c r="R1009">
        <f t="shared" si="1021"/>
        <v>2647876.1190392724</v>
      </c>
      <c r="S1009">
        <f t="shared" si="1022"/>
        <v>26.478761190392724</v>
      </c>
      <c r="T1009">
        <f t="shared" si="1023"/>
        <v>2.6478761190392726E-2</v>
      </c>
    </row>
    <row r="1010" spans="1:20" x14ac:dyDescent="0.25">
      <c r="A1010" s="5">
        <v>43583</v>
      </c>
      <c r="B1010">
        <v>72.239999999999995</v>
      </c>
      <c r="C1010">
        <v>72.72</v>
      </c>
      <c r="D1010">
        <v>68.95</v>
      </c>
      <c r="E1010">
        <v>69.89</v>
      </c>
      <c r="F1010">
        <v>218635.58958999999</v>
      </c>
      <c r="G1010">
        <v>0</v>
      </c>
      <c r="L1010" t="s">
        <v>7</v>
      </c>
      <c r="M1010" t="s">
        <v>7</v>
      </c>
      <c r="N1010" t="s">
        <v>7</v>
      </c>
      <c r="P1010">
        <f t="shared" si="1019"/>
        <v>-0.50132625994695024</v>
      </c>
      <c r="Q1010">
        <f t="shared" si="1020"/>
        <v>-109607.76242045106</v>
      </c>
      <c r="R1010">
        <f t="shared" si="1021"/>
        <v>2707326.1449284968</v>
      </c>
      <c r="S1010">
        <f t="shared" si="1022"/>
        <v>27.073261449284967</v>
      </c>
      <c r="T1010">
        <f t="shared" si="1023"/>
        <v>2.7073261449284968E-2</v>
      </c>
    </row>
    <row r="1011" spans="1:20" x14ac:dyDescent="0.25">
      <c r="A1011" s="5">
        <v>43582</v>
      </c>
      <c r="B1011">
        <v>73.83</v>
      </c>
      <c r="C1011">
        <v>74.010000000000005</v>
      </c>
      <c r="D1011">
        <v>71.83</v>
      </c>
      <c r="E1011">
        <v>72.23</v>
      </c>
      <c r="F1011">
        <v>102336.98217</v>
      </c>
      <c r="G1011">
        <v>0</v>
      </c>
      <c r="L1011" t="s">
        <v>7</v>
      </c>
      <c r="M1011" t="s">
        <v>7</v>
      </c>
      <c r="N1011" t="s">
        <v>7</v>
      </c>
      <c r="P1011">
        <f t="shared" si="1019"/>
        <v>-0.6330275229357758</v>
      </c>
      <c r="Q1011">
        <f t="shared" si="1020"/>
        <v>-64782.126327797756</v>
      </c>
      <c r="R1011">
        <f t="shared" si="1021"/>
        <v>2816933.9073489481</v>
      </c>
      <c r="S1011">
        <f t="shared" si="1022"/>
        <v>28.169339073489482</v>
      </c>
      <c r="T1011">
        <f t="shared" si="1023"/>
        <v>2.8169339073489483E-2</v>
      </c>
    </row>
    <row r="1012" spans="1:20" x14ac:dyDescent="0.25">
      <c r="A1012" s="5">
        <v>43581</v>
      </c>
      <c r="B1012">
        <v>71.790000000000006</v>
      </c>
      <c r="C1012">
        <v>76.5</v>
      </c>
      <c r="D1012">
        <v>70.31</v>
      </c>
      <c r="E1012">
        <v>73.819999999999993</v>
      </c>
      <c r="F1012">
        <v>345014.87676000001</v>
      </c>
      <c r="G1012">
        <v>0</v>
      </c>
      <c r="L1012" t="s">
        <v>8</v>
      </c>
      <c r="M1012" t="s">
        <v>7</v>
      </c>
      <c r="N1012" t="s">
        <v>7</v>
      </c>
      <c r="P1012">
        <f t="shared" si="1019"/>
        <v>0.13408723747980361</v>
      </c>
      <c r="Q1012">
        <f t="shared" si="1020"/>
        <v>46262.091714183298</v>
      </c>
      <c r="R1012">
        <f t="shared" si="1021"/>
        <v>2881716.0336767458</v>
      </c>
      <c r="S1012">
        <f t="shared" si="1022"/>
        <v>28.817160336767458</v>
      </c>
      <c r="T1012">
        <f t="shared" si="1023"/>
        <v>2.8817160336767459E-2</v>
      </c>
    </row>
    <row r="1013" spans="1:20" x14ac:dyDescent="0.25">
      <c r="A1013" s="5">
        <v>43580</v>
      </c>
      <c r="B1013">
        <v>72.849999999999994</v>
      </c>
      <c r="C1013">
        <v>74.430000000000007</v>
      </c>
      <c r="D1013">
        <v>70.599999999999994</v>
      </c>
      <c r="E1013">
        <v>71.78</v>
      </c>
      <c r="F1013">
        <v>307408.70386000001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-0.38381201044386271</v>
      </c>
      <c r="Q1013">
        <f t="shared" si="1020"/>
        <v>-117987.15265644863</v>
      </c>
      <c r="R1013">
        <f t="shared" si="1021"/>
        <v>2835453.9419625625</v>
      </c>
      <c r="S1013">
        <f t="shared" si="1022"/>
        <v>28.354539419625624</v>
      </c>
      <c r="T1013">
        <f t="shared" si="1023"/>
        <v>2.8354539419625624E-2</v>
      </c>
    </row>
    <row r="1014" spans="1:20" x14ac:dyDescent="0.25">
      <c r="A1014" s="5">
        <v>43579</v>
      </c>
      <c r="B1014">
        <v>73.67</v>
      </c>
      <c r="C1014">
        <v>74.69</v>
      </c>
      <c r="D1014">
        <v>69.900000000000006</v>
      </c>
      <c r="E1014">
        <v>72.849999999999994</v>
      </c>
      <c r="F1014">
        <v>466422.90921999997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0.23173277661795136</v>
      </c>
      <c r="Q1014">
        <f t="shared" si="1020"/>
        <v>108085.47583177326</v>
      </c>
      <c r="R1014">
        <f t="shared" si="1021"/>
        <v>2953441.094619011</v>
      </c>
      <c r="S1014">
        <f t="shared" si="1022"/>
        <v>29.534410946190111</v>
      </c>
      <c r="T1014">
        <f t="shared" si="1023"/>
        <v>2.9534410946190109E-2</v>
      </c>
    </row>
    <row r="1015" spans="1:20" x14ac:dyDescent="0.25">
      <c r="A1015" s="5">
        <v>43578</v>
      </c>
      <c r="B1015">
        <v>76.47</v>
      </c>
      <c r="C1015">
        <v>79.290000000000006</v>
      </c>
      <c r="D1015">
        <v>73.33</v>
      </c>
      <c r="E1015">
        <v>73.7</v>
      </c>
      <c r="F1015">
        <v>408341.22655000002</v>
      </c>
      <c r="G1015">
        <v>0</v>
      </c>
      <c r="L1015" t="s">
        <v>8</v>
      </c>
      <c r="M1015" t="s">
        <v>7</v>
      </c>
      <c r="N1015" t="s">
        <v>7</v>
      </c>
      <c r="P1015">
        <f t="shared" si="1019"/>
        <v>-0.87583892617449532</v>
      </c>
      <c r="Q1015">
        <f t="shared" si="1020"/>
        <v>-357641.14137432835</v>
      </c>
      <c r="R1015">
        <f t="shared" si="1021"/>
        <v>2845355.6187872379</v>
      </c>
      <c r="S1015">
        <f t="shared" si="1022"/>
        <v>28.45355618787238</v>
      </c>
      <c r="T1015">
        <f t="shared" si="1023"/>
        <v>2.8453556187872379E-2</v>
      </c>
    </row>
    <row r="1016" spans="1:20" x14ac:dyDescent="0.25">
      <c r="A1016" s="5">
        <v>43577</v>
      </c>
      <c r="B1016">
        <v>76.61</v>
      </c>
      <c r="C1016">
        <v>77.63</v>
      </c>
      <c r="D1016">
        <v>74.900000000000006</v>
      </c>
      <c r="E1016">
        <v>76.510000000000005</v>
      </c>
      <c r="F1016">
        <v>285737.83886000002</v>
      </c>
      <c r="G1016">
        <v>0</v>
      </c>
      <c r="L1016" t="s">
        <v>7</v>
      </c>
      <c r="M1016" t="s">
        <v>7</v>
      </c>
      <c r="N1016" t="s">
        <v>7</v>
      </c>
      <c r="P1016">
        <f t="shared" si="1019"/>
        <v>0.17948717948718348</v>
      </c>
      <c r="Q1016">
        <f t="shared" si="1020"/>
        <v>51286.278769744735</v>
      </c>
      <c r="R1016">
        <f t="shared" si="1021"/>
        <v>3202996.7601615661</v>
      </c>
      <c r="S1016">
        <f t="shared" si="1022"/>
        <v>32.02996760161566</v>
      </c>
      <c r="T1016">
        <f t="shared" si="1023"/>
        <v>3.202996760161566E-2</v>
      </c>
    </row>
    <row r="1017" spans="1:20" x14ac:dyDescent="0.25">
      <c r="A1017" s="5">
        <v>43576</v>
      </c>
      <c r="B1017">
        <v>81.16</v>
      </c>
      <c r="C1017">
        <v>81.849999999999994</v>
      </c>
      <c r="D1017">
        <v>72.86</v>
      </c>
      <c r="E1017">
        <v>76.650000000000006</v>
      </c>
      <c r="F1017">
        <v>405449.35651999997</v>
      </c>
      <c r="G1017">
        <v>0</v>
      </c>
      <c r="L1017" t="s">
        <v>7</v>
      </c>
      <c r="M1017" t="s">
        <v>7</v>
      </c>
      <c r="N1017" t="s">
        <v>7</v>
      </c>
      <c r="P1017">
        <f t="shared" si="1019"/>
        <v>-0.15684093437152205</v>
      </c>
      <c r="Q1017">
        <f t="shared" si="1020"/>
        <v>-63591.055916929159</v>
      </c>
      <c r="R1017">
        <f t="shared" si="1021"/>
        <v>3151710.4813918215</v>
      </c>
      <c r="S1017">
        <f t="shared" si="1022"/>
        <v>31.517104813918216</v>
      </c>
      <c r="T1017">
        <f t="shared" si="1023"/>
        <v>3.1517104813918215E-2</v>
      </c>
    </row>
    <row r="1018" spans="1:20" x14ac:dyDescent="0.25">
      <c r="A1018" s="5">
        <v>43575</v>
      </c>
      <c r="B1018">
        <v>82.05</v>
      </c>
      <c r="C1018">
        <v>82.69</v>
      </c>
      <c r="D1018">
        <v>79.33</v>
      </c>
      <c r="E1018">
        <v>81.150000000000006</v>
      </c>
      <c r="F1018">
        <v>209481.54759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8.3333333333337908E-2</v>
      </c>
      <c r="Q1018">
        <f t="shared" si="1020"/>
        <v>17456.795632500958</v>
      </c>
      <c r="R1018">
        <f t="shared" si="1021"/>
        <v>3215301.5373087507</v>
      </c>
      <c r="S1018">
        <f t="shared" si="1022"/>
        <v>32.153015373087506</v>
      </c>
      <c r="T1018">
        <f t="shared" si="1023"/>
        <v>3.2153015373087505E-2</v>
      </c>
    </row>
    <row r="1019" spans="1:20" x14ac:dyDescent="0.25">
      <c r="A1019" s="5">
        <v>43574</v>
      </c>
      <c r="B1019">
        <v>81.67</v>
      </c>
      <c r="C1019">
        <v>83.17</v>
      </c>
      <c r="D1019">
        <v>79.48</v>
      </c>
      <c r="E1019">
        <v>82.05</v>
      </c>
      <c r="F1019">
        <v>265365.49382999999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0.39295392953929253</v>
      </c>
      <c r="Q1019">
        <f t="shared" si="1020"/>
        <v>104276.41356463339</v>
      </c>
      <c r="R1019">
        <f t="shared" si="1021"/>
        <v>3197844.7416762495</v>
      </c>
      <c r="S1019">
        <f t="shared" si="1022"/>
        <v>31.978447416762496</v>
      </c>
      <c r="T1019">
        <f t="shared" si="1023"/>
        <v>3.1978447416762493E-2</v>
      </c>
    </row>
    <row r="1020" spans="1:20" x14ac:dyDescent="0.25">
      <c r="A1020" s="5">
        <v>43573</v>
      </c>
      <c r="B1020">
        <v>78.819999999999993</v>
      </c>
      <c r="C1020">
        <v>83.66</v>
      </c>
      <c r="D1020">
        <v>78.739999999999995</v>
      </c>
      <c r="E1020">
        <v>81.680000000000007</v>
      </c>
      <c r="F1020">
        <v>328509.77036999998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0.19512195121951664</v>
      </c>
      <c r="Q1020">
        <f t="shared" si="1020"/>
        <v>64099.467389269754</v>
      </c>
      <c r="R1020">
        <f t="shared" si="1021"/>
        <v>3093568.328111616</v>
      </c>
      <c r="S1020">
        <f t="shared" si="1022"/>
        <v>30.935683281116159</v>
      </c>
      <c r="T1020">
        <f t="shared" si="1023"/>
        <v>3.093568328111616E-2</v>
      </c>
    </row>
    <row r="1021" spans="1:20" x14ac:dyDescent="0.25">
      <c r="A1021" s="5">
        <v>43572</v>
      </c>
      <c r="B1021">
        <v>80.27</v>
      </c>
      <c r="C1021">
        <v>81.5</v>
      </c>
      <c r="D1021">
        <v>78</v>
      </c>
      <c r="E1021">
        <v>78.77</v>
      </c>
      <c r="F1021">
        <v>232336.81062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-0.56000000000000227</v>
      </c>
      <c r="Q1021">
        <f t="shared" si="1020"/>
        <v>-130108.61394720053</v>
      </c>
      <c r="R1021">
        <f t="shared" si="1021"/>
        <v>3029468.8607223462</v>
      </c>
      <c r="S1021">
        <f t="shared" si="1022"/>
        <v>30.294688607223463</v>
      </c>
      <c r="T1021">
        <f t="shared" si="1023"/>
        <v>3.0294688607223463E-2</v>
      </c>
    </row>
    <row r="1022" spans="1:20" x14ac:dyDescent="0.25">
      <c r="A1022" s="5">
        <v>43571</v>
      </c>
      <c r="B1022">
        <v>78.06</v>
      </c>
      <c r="C1022">
        <v>81.489999999999995</v>
      </c>
      <c r="D1022">
        <v>76.88</v>
      </c>
      <c r="E1022">
        <v>80.27</v>
      </c>
      <c r="F1022">
        <v>295134.17728</v>
      </c>
      <c r="G1022">
        <v>0</v>
      </c>
      <c r="L1022" t="s">
        <v>8</v>
      </c>
      <c r="M1022" t="s">
        <v>7</v>
      </c>
      <c r="N1022" t="s">
        <v>8</v>
      </c>
      <c r="P1022">
        <f t="shared" si="1019"/>
        <v>0.47071583514099824</v>
      </c>
      <c r="Q1022">
        <f t="shared" si="1020"/>
        <v>138924.33073700662</v>
      </c>
      <c r="R1022">
        <f t="shared" si="1021"/>
        <v>3159577.4746695468</v>
      </c>
      <c r="S1022">
        <f t="shared" si="1022"/>
        <v>31.595774746695469</v>
      </c>
      <c r="T1022">
        <f t="shared" si="1023"/>
        <v>3.1595774746695469E-2</v>
      </c>
    </row>
    <row r="1023" spans="1:20" x14ac:dyDescent="0.25">
      <c r="A1023" s="5">
        <v>43570</v>
      </c>
      <c r="B1023">
        <v>83.31</v>
      </c>
      <c r="C1023">
        <v>84.41</v>
      </c>
      <c r="D1023">
        <v>75</v>
      </c>
      <c r="E1023">
        <v>78.069999999999993</v>
      </c>
      <c r="F1023">
        <v>437925.65448999999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86" si="1024">IF(C1023=D1023,0,((E1023-D1023)-(C1023-E1023))/(C1023-D1023))</f>
        <v>-0.34750265674814151</v>
      </c>
      <c r="Q1023">
        <f t="shared" ref="Q1023:Q1086" si="1025">F1023*P1023</f>
        <v>-152180.32839344369</v>
      </c>
      <c r="R1023">
        <f t="shared" ref="R1023:R1086" si="1026">R1024+Q1023</f>
        <v>3020653.14393254</v>
      </c>
      <c r="S1023">
        <f t="shared" ref="S1023:S1086" si="1027">R1023/100000</f>
        <v>30.206531439325399</v>
      </c>
      <c r="T1023">
        <f t="shared" ref="T1023:T1086" si="1028">S1023/1000</f>
        <v>3.0206531439325401E-2</v>
      </c>
    </row>
    <row r="1024" spans="1:20" x14ac:dyDescent="0.25">
      <c r="A1024" s="5">
        <v>43569</v>
      </c>
      <c r="B1024">
        <v>77.58</v>
      </c>
      <c r="C1024">
        <v>83.6</v>
      </c>
      <c r="D1024">
        <v>76.09</v>
      </c>
      <c r="E1024">
        <v>83.28</v>
      </c>
      <c r="F1024">
        <v>242418.41303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0.91478029294274477</v>
      </c>
      <c r="Q1024">
        <f t="shared" si="1025"/>
        <v>221759.5868862987</v>
      </c>
      <c r="R1024">
        <f t="shared" si="1026"/>
        <v>3172833.4723259835</v>
      </c>
      <c r="S1024">
        <f t="shared" si="1027"/>
        <v>31.728334723259835</v>
      </c>
      <c r="T1024">
        <f t="shared" si="1028"/>
        <v>3.1728334723259838E-2</v>
      </c>
    </row>
    <row r="1025" spans="1:20" x14ac:dyDescent="0.25">
      <c r="A1025" s="5">
        <v>43568</v>
      </c>
      <c r="B1025">
        <v>78.430000000000007</v>
      </c>
      <c r="C1025">
        <v>81.02</v>
      </c>
      <c r="D1025">
        <v>75.510000000000005</v>
      </c>
      <c r="E1025">
        <v>77.62</v>
      </c>
      <c r="F1025">
        <v>276710.71090000001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-0.23411978221415503</v>
      </c>
      <c r="Q1025">
        <f t="shared" si="1025"/>
        <v>-64783.451372232012</v>
      </c>
      <c r="R1025">
        <f t="shared" si="1026"/>
        <v>2951073.8854396846</v>
      </c>
      <c r="S1025">
        <f t="shared" si="1027"/>
        <v>29.510738854396845</v>
      </c>
      <c r="T1025">
        <f t="shared" si="1028"/>
        <v>2.9510738854396843E-2</v>
      </c>
    </row>
    <row r="1026" spans="1:20" x14ac:dyDescent="0.25">
      <c r="A1026" s="5">
        <v>43567</v>
      </c>
      <c r="B1026">
        <v>78.900000000000006</v>
      </c>
      <c r="C1026">
        <v>80.430000000000007</v>
      </c>
      <c r="D1026">
        <v>75</v>
      </c>
      <c r="E1026">
        <v>78.47</v>
      </c>
      <c r="F1026">
        <v>351092.11924000003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0.2780847145488009</v>
      </c>
      <c r="Q1026">
        <f t="shared" si="1025"/>
        <v>97633.351759188983</v>
      </c>
      <c r="R1026">
        <f t="shared" si="1026"/>
        <v>3015857.3368119164</v>
      </c>
      <c r="S1026">
        <f t="shared" si="1027"/>
        <v>30.158573368119164</v>
      </c>
      <c r="T1026">
        <f t="shared" si="1028"/>
        <v>3.0158573368119165E-2</v>
      </c>
    </row>
    <row r="1027" spans="1:20" x14ac:dyDescent="0.25">
      <c r="A1027" s="5">
        <v>43566</v>
      </c>
      <c r="B1027">
        <v>88.16</v>
      </c>
      <c r="C1027">
        <v>88.45</v>
      </c>
      <c r="D1027">
        <v>74.64</v>
      </c>
      <c r="E1027">
        <v>78.88</v>
      </c>
      <c r="F1027">
        <v>663804.98497999995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-0.38595220854453377</v>
      </c>
      <c r="Q1027">
        <f t="shared" si="1025"/>
        <v>-256196.99999590204</v>
      </c>
      <c r="R1027">
        <f t="shared" si="1026"/>
        <v>2918223.9850527276</v>
      </c>
      <c r="S1027">
        <f t="shared" si="1027"/>
        <v>29.182239850527278</v>
      </c>
      <c r="T1027">
        <f t="shared" si="1028"/>
        <v>2.9182239850527279E-2</v>
      </c>
    </row>
    <row r="1028" spans="1:20" x14ac:dyDescent="0.25">
      <c r="A1028" s="5">
        <v>43565</v>
      </c>
      <c r="B1028">
        <v>86.19</v>
      </c>
      <c r="C1028">
        <v>91.1</v>
      </c>
      <c r="D1028">
        <v>85.91</v>
      </c>
      <c r="E1028">
        <v>88.16</v>
      </c>
      <c r="F1028">
        <v>315727.23676</v>
      </c>
      <c r="G1028">
        <v>0</v>
      </c>
      <c r="L1028" t="s">
        <v>8</v>
      </c>
      <c r="M1028" t="s">
        <v>8</v>
      </c>
      <c r="N1028" t="s">
        <v>8</v>
      </c>
      <c r="P1028">
        <f t="shared" si="1024"/>
        <v>-0.13294797687861235</v>
      </c>
      <c r="Q1028">
        <f t="shared" si="1025"/>
        <v>-41975.297372716646</v>
      </c>
      <c r="R1028">
        <f t="shared" si="1026"/>
        <v>3174420.9850486298</v>
      </c>
      <c r="S1028">
        <f t="shared" si="1027"/>
        <v>31.7442098504863</v>
      </c>
      <c r="T1028">
        <f t="shared" si="1028"/>
        <v>3.1744209850486302E-2</v>
      </c>
    </row>
    <row r="1029" spans="1:20" x14ac:dyDescent="0.25">
      <c r="A1029" s="5">
        <v>43564</v>
      </c>
      <c r="B1029">
        <v>88.57</v>
      </c>
      <c r="C1029">
        <v>88.71</v>
      </c>
      <c r="D1029">
        <v>82.61</v>
      </c>
      <c r="E1029">
        <v>86.17</v>
      </c>
      <c r="F1029">
        <v>317748.78519000002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0.16721311475410019</v>
      </c>
      <c r="Q1029">
        <f t="shared" si="1025"/>
        <v>53131.764080951405</v>
      </c>
      <c r="R1029">
        <f t="shared" si="1026"/>
        <v>3216396.2824213463</v>
      </c>
      <c r="S1029">
        <f t="shared" si="1027"/>
        <v>32.163962824213463</v>
      </c>
      <c r="T1029">
        <f t="shared" si="1028"/>
        <v>3.2163962824213466E-2</v>
      </c>
    </row>
    <row r="1030" spans="1:20" x14ac:dyDescent="0.25">
      <c r="A1030" s="5">
        <v>43563</v>
      </c>
      <c r="B1030">
        <v>91.55</v>
      </c>
      <c r="C1030">
        <v>94</v>
      </c>
      <c r="D1030">
        <v>85.2</v>
      </c>
      <c r="E1030">
        <v>88.57</v>
      </c>
      <c r="F1030">
        <v>439909.33843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-0.23409090909091104</v>
      </c>
      <c r="Q1030">
        <f t="shared" si="1025"/>
        <v>-102978.77695065994</v>
      </c>
      <c r="R1030">
        <f t="shared" si="1026"/>
        <v>3163264.5183403948</v>
      </c>
      <c r="S1030">
        <f t="shared" si="1027"/>
        <v>31.632645183403948</v>
      </c>
      <c r="T1030">
        <f t="shared" si="1028"/>
        <v>3.1632645183403946E-2</v>
      </c>
    </row>
    <row r="1031" spans="1:20" x14ac:dyDescent="0.25">
      <c r="A1031" s="5">
        <v>43562</v>
      </c>
      <c r="B1031">
        <v>92.23</v>
      </c>
      <c r="C1031">
        <v>95.44</v>
      </c>
      <c r="D1031">
        <v>88.74</v>
      </c>
      <c r="E1031">
        <v>91.55</v>
      </c>
      <c r="F1031">
        <v>404878.13429000002</v>
      </c>
      <c r="G1031">
        <v>0</v>
      </c>
      <c r="L1031" t="s">
        <v>7</v>
      </c>
      <c r="M1031" t="s">
        <v>8</v>
      </c>
      <c r="N1031" t="s">
        <v>8</v>
      </c>
      <c r="P1031">
        <f t="shared" si="1024"/>
        <v>-0.16119402985074593</v>
      </c>
      <c r="Q1031">
        <f t="shared" si="1025"/>
        <v>-65263.938064656584</v>
      </c>
      <c r="R1031">
        <f t="shared" si="1026"/>
        <v>3266243.295291055</v>
      </c>
      <c r="S1031">
        <f t="shared" si="1027"/>
        <v>32.662432952910549</v>
      </c>
      <c r="T1031">
        <f t="shared" si="1028"/>
        <v>3.2662432952910547E-2</v>
      </c>
    </row>
    <row r="1032" spans="1:20" x14ac:dyDescent="0.25">
      <c r="A1032" s="5">
        <v>43561</v>
      </c>
      <c r="B1032">
        <v>88.24</v>
      </c>
      <c r="C1032">
        <v>97.54</v>
      </c>
      <c r="D1032">
        <v>85</v>
      </c>
      <c r="E1032">
        <v>92.21</v>
      </c>
      <c r="F1032">
        <v>706789.23459000001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0.14992025518341151</v>
      </c>
      <c r="Q1032">
        <f t="shared" si="1025"/>
        <v>105962.02241062091</v>
      </c>
      <c r="R1032">
        <f t="shared" si="1026"/>
        <v>3331507.2333557117</v>
      </c>
      <c r="S1032">
        <f t="shared" si="1027"/>
        <v>33.315072333557119</v>
      </c>
      <c r="T1032">
        <f t="shared" si="1028"/>
        <v>3.3315072333557121E-2</v>
      </c>
    </row>
    <row r="1033" spans="1:20" x14ac:dyDescent="0.25">
      <c r="A1033" s="5">
        <v>43560</v>
      </c>
      <c r="B1033">
        <v>84.71</v>
      </c>
      <c r="C1033">
        <v>89.85</v>
      </c>
      <c r="D1033">
        <v>83.65</v>
      </c>
      <c r="E1033">
        <v>88.24</v>
      </c>
      <c r="F1033">
        <v>366668.99563000002</v>
      </c>
      <c r="G1033">
        <v>0</v>
      </c>
      <c r="L1033" t="s">
        <v>8</v>
      </c>
      <c r="M1033" t="s">
        <v>7</v>
      </c>
      <c r="N1033" t="s">
        <v>8</v>
      </c>
      <c r="P1033">
        <f t="shared" si="1024"/>
        <v>0.48064516129032181</v>
      </c>
      <c r="Q1033">
        <f t="shared" si="1025"/>
        <v>176237.67854474165</v>
      </c>
      <c r="R1033">
        <f t="shared" si="1026"/>
        <v>3225545.2109450907</v>
      </c>
      <c r="S1033">
        <f t="shared" si="1027"/>
        <v>32.255452109450907</v>
      </c>
      <c r="T1033">
        <f t="shared" si="1028"/>
        <v>3.2255452109450904E-2</v>
      </c>
    </row>
    <row r="1034" spans="1:20" x14ac:dyDescent="0.25">
      <c r="A1034" s="5">
        <v>43559</v>
      </c>
      <c r="B1034">
        <v>85.02</v>
      </c>
      <c r="C1034">
        <v>89.85</v>
      </c>
      <c r="D1034">
        <v>79.849999999999994</v>
      </c>
      <c r="E1034">
        <v>84.7</v>
      </c>
      <c r="F1034">
        <v>775702.67217000003</v>
      </c>
      <c r="G1034">
        <v>0</v>
      </c>
      <c r="L1034" t="s">
        <v>7</v>
      </c>
      <c r="M1034" t="s">
        <v>7</v>
      </c>
      <c r="N1034" t="s">
        <v>8</v>
      </c>
      <c r="P1034">
        <f t="shared" si="1024"/>
        <v>-2.9999999999998295E-2</v>
      </c>
      <c r="Q1034">
        <f t="shared" si="1025"/>
        <v>-23271.08016509868</v>
      </c>
      <c r="R1034">
        <f t="shared" si="1026"/>
        <v>3049307.5324003492</v>
      </c>
      <c r="S1034">
        <f t="shared" si="1027"/>
        <v>30.493075324003492</v>
      </c>
      <c r="T1034">
        <f t="shared" si="1028"/>
        <v>3.0493075324003492E-2</v>
      </c>
    </row>
    <row r="1035" spans="1:20" x14ac:dyDescent="0.25">
      <c r="A1035" s="5">
        <v>43558</v>
      </c>
      <c r="B1035">
        <v>76.760000000000005</v>
      </c>
      <c r="C1035">
        <v>98.5</v>
      </c>
      <c r="D1035">
        <v>76.239999999999995</v>
      </c>
      <c r="E1035">
        <v>85.19</v>
      </c>
      <c r="F1035">
        <v>1514710.2931299999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-0.19586702605570522</v>
      </c>
      <c r="Q1035">
        <f t="shared" si="1025"/>
        <v>-296681.80045133858</v>
      </c>
      <c r="R1035">
        <f t="shared" si="1026"/>
        <v>3072578.612565448</v>
      </c>
      <c r="S1035">
        <f t="shared" si="1027"/>
        <v>30.72578612565448</v>
      </c>
      <c r="T1035">
        <f t="shared" si="1028"/>
        <v>3.0725786125654481E-2</v>
      </c>
    </row>
    <row r="1036" spans="1:20" x14ac:dyDescent="0.25">
      <c r="A1036" s="5">
        <v>43557</v>
      </c>
      <c r="B1036">
        <v>60.45</v>
      </c>
      <c r="C1036">
        <v>78.400000000000006</v>
      </c>
      <c r="D1036">
        <v>59.95</v>
      </c>
      <c r="E1036">
        <v>76.78</v>
      </c>
      <c r="F1036">
        <v>805505.16575000004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0.82439024390243854</v>
      </c>
      <c r="Q1036">
        <f t="shared" si="1025"/>
        <v>664050.60005731671</v>
      </c>
      <c r="R1036">
        <f t="shared" si="1026"/>
        <v>3369260.4130167868</v>
      </c>
      <c r="S1036">
        <f t="shared" si="1027"/>
        <v>33.692604130167865</v>
      </c>
      <c r="T1036">
        <f t="shared" si="1028"/>
        <v>3.3692604130167864E-2</v>
      </c>
    </row>
    <row r="1037" spans="1:20" x14ac:dyDescent="0.25">
      <c r="A1037" s="5">
        <v>43556</v>
      </c>
      <c r="B1037">
        <v>60.47</v>
      </c>
      <c r="C1037">
        <v>60.9</v>
      </c>
      <c r="D1037">
        <v>59.62</v>
      </c>
      <c r="E1037">
        <v>60.45</v>
      </c>
      <c r="F1037">
        <v>129238.66121000001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0.29687500000000727</v>
      </c>
      <c r="Q1037">
        <f t="shared" si="1025"/>
        <v>38367.727546719689</v>
      </c>
      <c r="R1037">
        <f t="shared" si="1026"/>
        <v>2705209.8129594703</v>
      </c>
      <c r="S1037">
        <f t="shared" si="1027"/>
        <v>27.052098129594704</v>
      </c>
      <c r="T1037">
        <f t="shared" si="1028"/>
        <v>2.7052098129594703E-2</v>
      </c>
    </row>
    <row r="1038" spans="1:20" x14ac:dyDescent="0.25">
      <c r="A1038" s="5">
        <v>43555</v>
      </c>
      <c r="B1038">
        <v>60.45</v>
      </c>
      <c r="C1038">
        <v>60.72</v>
      </c>
      <c r="D1038">
        <v>59.83</v>
      </c>
      <c r="E1038">
        <v>60.48</v>
      </c>
      <c r="F1038">
        <v>120015.86005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0.46067415730336664</v>
      </c>
      <c r="Q1038">
        <f t="shared" si="1025"/>
        <v>55288.205191572539</v>
      </c>
      <c r="R1038">
        <f t="shared" si="1026"/>
        <v>2666842.0854127505</v>
      </c>
      <c r="S1038">
        <f t="shared" si="1027"/>
        <v>26.668420854127504</v>
      </c>
      <c r="T1038">
        <f t="shared" si="1028"/>
        <v>2.6668420854127503E-2</v>
      </c>
    </row>
    <row r="1039" spans="1:20" x14ac:dyDescent="0.25">
      <c r="A1039" s="5">
        <v>43554</v>
      </c>
      <c r="B1039">
        <v>61.41</v>
      </c>
      <c r="C1039">
        <v>61.56</v>
      </c>
      <c r="D1039">
        <v>59.59</v>
      </c>
      <c r="E1039">
        <v>60.45</v>
      </c>
      <c r="F1039">
        <v>161304.26128000001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-0.12690355329949246</v>
      </c>
      <c r="Q1039">
        <f t="shared" si="1025"/>
        <v>-20470.08391878174</v>
      </c>
      <c r="R1039">
        <f t="shared" si="1026"/>
        <v>2611553.8802211778</v>
      </c>
      <c r="S1039">
        <f t="shared" si="1027"/>
        <v>26.115538802211777</v>
      </c>
      <c r="T1039">
        <f t="shared" si="1028"/>
        <v>2.6115538802211777E-2</v>
      </c>
    </row>
    <row r="1040" spans="1:20" x14ac:dyDescent="0.25">
      <c r="A1040" s="5">
        <v>43553</v>
      </c>
      <c r="B1040">
        <v>60.48</v>
      </c>
      <c r="C1040">
        <v>61.8</v>
      </c>
      <c r="D1040">
        <v>60.15</v>
      </c>
      <c r="E1040">
        <v>61.45</v>
      </c>
      <c r="F1040">
        <v>200422.34534999999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0.57575757575758224</v>
      </c>
      <c r="Q1040">
        <f t="shared" si="1025"/>
        <v>115394.68368636492</v>
      </c>
      <c r="R1040">
        <f t="shared" si="1026"/>
        <v>2632023.9641399598</v>
      </c>
      <c r="S1040">
        <f t="shared" si="1027"/>
        <v>26.320239641399599</v>
      </c>
      <c r="T1040">
        <f t="shared" si="1028"/>
        <v>2.6320239641399599E-2</v>
      </c>
    </row>
    <row r="1041" spans="1:20" x14ac:dyDescent="0.25">
      <c r="A1041" s="5">
        <v>43552</v>
      </c>
      <c r="B1041">
        <v>61.43</v>
      </c>
      <c r="C1041">
        <v>61.43</v>
      </c>
      <c r="D1041">
        <v>60.15</v>
      </c>
      <c r="E1041">
        <v>60.5</v>
      </c>
      <c r="F1041">
        <v>160785.54618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-0.45312499999999828</v>
      </c>
      <c r="Q1041">
        <f t="shared" si="1025"/>
        <v>-72855.95061281223</v>
      </c>
      <c r="R1041">
        <f t="shared" si="1026"/>
        <v>2516629.2804535949</v>
      </c>
      <c r="S1041">
        <f t="shared" si="1027"/>
        <v>25.166292804535949</v>
      </c>
      <c r="T1041">
        <f t="shared" si="1028"/>
        <v>2.5166292804535948E-2</v>
      </c>
    </row>
    <row r="1042" spans="1:20" x14ac:dyDescent="0.25">
      <c r="A1042" s="5">
        <v>43551</v>
      </c>
      <c r="B1042">
        <v>58.81</v>
      </c>
      <c r="C1042">
        <v>61.87</v>
      </c>
      <c r="D1042">
        <v>58.58</v>
      </c>
      <c r="E1042">
        <v>61.44</v>
      </c>
      <c r="F1042">
        <v>260971.73061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0.73860182370820682</v>
      </c>
      <c r="Q1042">
        <f t="shared" si="1025"/>
        <v>192754.19616483286</v>
      </c>
      <c r="R1042">
        <f t="shared" si="1026"/>
        <v>2589485.2310664072</v>
      </c>
      <c r="S1042">
        <f t="shared" si="1027"/>
        <v>25.894852310664071</v>
      </c>
      <c r="T1042">
        <f t="shared" si="1028"/>
        <v>2.589485231066407E-2</v>
      </c>
    </row>
    <row r="1043" spans="1:20" x14ac:dyDescent="0.25">
      <c r="A1043" s="5">
        <v>43550</v>
      </c>
      <c r="B1043">
        <v>59.06</v>
      </c>
      <c r="C1043">
        <v>59.35</v>
      </c>
      <c r="D1043">
        <v>57.23</v>
      </c>
      <c r="E1043">
        <v>58.79</v>
      </c>
      <c r="F1043">
        <v>175752.00925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0.47169811320754618</v>
      </c>
      <c r="Q1043">
        <f t="shared" si="1025"/>
        <v>82901.891155660211</v>
      </c>
      <c r="R1043">
        <f t="shared" si="1026"/>
        <v>2396731.0349015743</v>
      </c>
      <c r="S1043">
        <f t="shared" si="1027"/>
        <v>23.967310349015744</v>
      </c>
      <c r="T1043">
        <f t="shared" si="1028"/>
        <v>2.3967310349015745E-2</v>
      </c>
    </row>
    <row r="1044" spans="1:20" x14ac:dyDescent="0.25">
      <c r="A1044" s="5">
        <v>43549</v>
      </c>
      <c r="B1044">
        <v>59.81</v>
      </c>
      <c r="C1044">
        <v>60.7</v>
      </c>
      <c r="D1044">
        <v>58.2</v>
      </c>
      <c r="E1044">
        <v>59.04</v>
      </c>
      <c r="F1044">
        <v>216703.66967999999</v>
      </c>
      <c r="G1044">
        <v>0</v>
      </c>
      <c r="L1044" t="s">
        <v>8</v>
      </c>
      <c r="M1044" t="s">
        <v>8</v>
      </c>
      <c r="N1044" t="s">
        <v>8</v>
      </c>
      <c r="P1044">
        <f t="shared" si="1024"/>
        <v>-0.32800000000000296</v>
      </c>
      <c r="Q1044">
        <f t="shared" si="1025"/>
        <v>-71078.80365504064</v>
      </c>
      <c r="R1044">
        <f t="shared" si="1026"/>
        <v>2313829.1437459141</v>
      </c>
      <c r="S1044">
        <f t="shared" si="1027"/>
        <v>23.138291437459142</v>
      </c>
      <c r="T1044">
        <f t="shared" si="1028"/>
        <v>2.313829143745914E-2</v>
      </c>
    </row>
    <row r="1045" spans="1:20" x14ac:dyDescent="0.25">
      <c r="A1045" s="5">
        <v>43548</v>
      </c>
      <c r="B1045">
        <v>60.88</v>
      </c>
      <c r="C1045">
        <v>60.9</v>
      </c>
      <c r="D1045">
        <v>58.84</v>
      </c>
      <c r="E1045">
        <v>59.82</v>
      </c>
      <c r="F1045">
        <v>360926.15706</v>
      </c>
      <c r="G1045">
        <v>0</v>
      </c>
      <c r="L1045" t="s">
        <v>8</v>
      </c>
      <c r="M1045" t="s">
        <v>8</v>
      </c>
      <c r="N1045" t="s">
        <v>8</v>
      </c>
      <c r="P1045">
        <f t="shared" si="1024"/>
        <v>-4.8543689320389154E-2</v>
      </c>
      <c r="Q1045">
        <f t="shared" si="1025"/>
        <v>-17520.687235922622</v>
      </c>
      <c r="R1045">
        <f t="shared" si="1026"/>
        <v>2384907.9474009546</v>
      </c>
      <c r="S1045">
        <f t="shared" si="1027"/>
        <v>23.849079474009546</v>
      </c>
      <c r="T1045">
        <f t="shared" si="1028"/>
        <v>2.3849079474009546E-2</v>
      </c>
    </row>
    <row r="1046" spans="1:20" x14ac:dyDescent="0.25">
      <c r="A1046" s="5">
        <v>43547</v>
      </c>
      <c r="B1046">
        <v>59.23</v>
      </c>
      <c r="C1046">
        <v>61.76</v>
      </c>
      <c r="D1046">
        <v>58.93</v>
      </c>
      <c r="E1046">
        <v>60.89</v>
      </c>
      <c r="F1046">
        <v>372961.54781000002</v>
      </c>
      <c r="G1046">
        <v>0</v>
      </c>
      <c r="L1046" t="s">
        <v>8</v>
      </c>
      <c r="M1046" t="s">
        <v>8</v>
      </c>
      <c r="N1046" t="s">
        <v>8</v>
      </c>
      <c r="P1046">
        <f t="shared" si="1024"/>
        <v>0.38515901060070817</v>
      </c>
      <c r="Q1046">
        <f t="shared" si="1025"/>
        <v>143649.50074660833</v>
      </c>
      <c r="R1046">
        <f t="shared" si="1026"/>
        <v>2402428.6346368771</v>
      </c>
      <c r="S1046">
        <f t="shared" si="1027"/>
        <v>24.024286346368772</v>
      </c>
      <c r="T1046">
        <f t="shared" si="1028"/>
        <v>2.4024286346368773E-2</v>
      </c>
    </row>
    <row r="1047" spans="1:20" x14ac:dyDescent="0.25">
      <c r="A1047" s="5">
        <v>43546</v>
      </c>
      <c r="B1047">
        <v>58.54</v>
      </c>
      <c r="C1047">
        <v>59.6</v>
      </c>
      <c r="D1047">
        <v>58</v>
      </c>
      <c r="E1047">
        <v>59.26</v>
      </c>
      <c r="F1047">
        <v>184427.33587000001</v>
      </c>
      <c r="G1047">
        <v>0</v>
      </c>
      <c r="L1047" t="s">
        <v>8</v>
      </c>
      <c r="M1047" t="s">
        <v>8</v>
      </c>
      <c r="N1047" t="s">
        <v>8</v>
      </c>
      <c r="P1047">
        <f t="shared" si="1024"/>
        <v>0.57499999999999607</v>
      </c>
      <c r="Q1047">
        <f t="shared" si="1025"/>
        <v>106045.71812524927</v>
      </c>
      <c r="R1047">
        <f t="shared" si="1026"/>
        <v>2258779.1338902689</v>
      </c>
      <c r="S1047">
        <f t="shared" si="1027"/>
        <v>22.58779133890269</v>
      </c>
      <c r="T1047">
        <f t="shared" si="1028"/>
        <v>2.258779133890269E-2</v>
      </c>
    </row>
    <row r="1048" spans="1:20" x14ac:dyDescent="0.25">
      <c r="A1048" s="5">
        <v>43545</v>
      </c>
      <c r="B1048">
        <v>60.29</v>
      </c>
      <c r="C1048">
        <v>60.64</v>
      </c>
      <c r="D1048">
        <v>56.98</v>
      </c>
      <c r="E1048">
        <v>58.54</v>
      </c>
      <c r="F1048">
        <v>164946.60535</v>
      </c>
      <c r="G1048">
        <v>0</v>
      </c>
      <c r="L1048" t="s">
        <v>8</v>
      </c>
      <c r="M1048" t="s">
        <v>8</v>
      </c>
      <c r="N1048" t="s">
        <v>8</v>
      </c>
      <c r="P1048">
        <f t="shared" si="1024"/>
        <v>-0.14754098360655699</v>
      </c>
      <c r="Q1048">
        <f t="shared" si="1025"/>
        <v>-24336.384395901576</v>
      </c>
      <c r="R1048">
        <f t="shared" si="1026"/>
        <v>2152733.4157650196</v>
      </c>
      <c r="S1048">
        <f t="shared" si="1027"/>
        <v>21.527334157650195</v>
      </c>
      <c r="T1048">
        <f t="shared" si="1028"/>
        <v>2.1527334157650194E-2</v>
      </c>
    </row>
    <row r="1049" spans="1:20" x14ac:dyDescent="0.25">
      <c r="A1049" s="5">
        <v>43544</v>
      </c>
      <c r="B1049">
        <v>59.5</v>
      </c>
      <c r="C1049">
        <v>60.74</v>
      </c>
      <c r="D1049">
        <v>56.64</v>
      </c>
      <c r="E1049">
        <v>60.27</v>
      </c>
      <c r="F1049">
        <v>285413.79340000002</v>
      </c>
      <c r="G1049">
        <v>0</v>
      </c>
      <c r="L1049" t="s">
        <v>7</v>
      </c>
      <c r="M1049" t="s">
        <v>8</v>
      </c>
      <c r="N1049" t="s">
        <v>8</v>
      </c>
      <c r="P1049">
        <f t="shared" si="1024"/>
        <v>0.77073170731707386</v>
      </c>
      <c r="Q1049">
        <f t="shared" si="1025"/>
        <v>219977.46027902461</v>
      </c>
      <c r="R1049">
        <f t="shared" si="1026"/>
        <v>2177069.8001609212</v>
      </c>
      <c r="S1049">
        <f t="shared" si="1027"/>
        <v>21.770698001609212</v>
      </c>
      <c r="T1049">
        <f t="shared" si="1028"/>
        <v>2.1770698001609211E-2</v>
      </c>
    </row>
    <row r="1050" spans="1:20" x14ac:dyDescent="0.25">
      <c r="A1050" s="5">
        <v>43543</v>
      </c>
      <c r="B1050">
        <v>59.2</v>
      </c>
      <c r="C1050">
        <v>59.96</v>
      </c>
      <c r="D1050">
        <v>58.33</v>
      </c>
      <c r="E1050">
        <v>59.52</v>
      </c>
      <c r="F1050">
        <v>221995.59833000001</v>
      </c>
      <c r="G1050">
        <v>0</v>
      </c>
      <c r="L1050" t="s">
        <v>8</v>
      </c>
      <c r="M1050" t="s">
        <v>8</v>
      </c>
      <c r="N1050" t="s">
        <v>8</v>
      </c>
      <c r="P1050">
        <f t="shared" si="1024"/>
        <v>0.46012269938650668</v>
      </c>
      <c r="Q1050">
        <f t="shared" si="1025"/>
        <v>102145.21395552228</v>
      </c>
      <c r="R1050">
        <f t="shared" si="1026"/>
        <v>1957092.3398818967</v>
      </c>
      <c r="S1050">
        <f t="shared" si="1027"/>
        <v>19.570923398818966</v>
      </c>
      <c r="T1050">
        <f t="shared" si="1028"/>
        <v>1.9570923398818964E-2</v>
      </c>
    </row>
    <row r="1051" spans="1:20" x14ac:dyDescent="0.25">
      <c r="A1051" s="5">
        <v>43542</v>
      </c>
      <c r="B1051">
        <v>60.47</v>
      </c>
      <c r="C1051">
        <v>62.63</v>
      </c>
      <c r="D1051">
        <v>58.2</v>
      </c>
      <c r="E1051">
        <v>59.17</v>
      </c>
      <c r="F1051">
        <v>301146.21398</v>
      </c>
      <c r="G1051">
        <v>0</v>
      </c>
      <c r="L1051" t="s">
        <v>8</v>
      </c>
      <c r="M1051" t="s">
        <v>8</v>
      </c>
      <c r="N1051" t="s">
        <v>8</v>
      </c>
      <c r="P1051">
        <f t="shared" si="1024"/>
        <v>-0.56207674943566643</v>
      </c>
      <c r="Q1051">
        <f t="shared" si="1025"/>
        <v>-169267.28505873604</v>
      </c>
      <c r="R1051">
        <f t="shared" si="1026"/>
        <v>1854947.1259263745</v>
      </c>
      <c r="S1051">
        <f t="shared" si="1027"/>
        <v>18.549471259263743</v>
      </c>
      <c r="T1051">
        <f t="shared" si="1028"/>
        <v>1.8549471259263744E-2</v>
      </c>
    </row>
    <row r="1052" spans="1:20" x14ac:dyDescent="0.25">
      <c r="A1052" s="5">
        <v>43541</v>
      </c>
      <c r="B1052">
        <v>61.22</v>
      </c>
      <c r="C1052">
        <v>61.32</v>
      </c>
      <c r="D1052">
        <v>59.57</v>
      </c>
      <c r="E1052">
        <v>60.47</v>
      </c>
      <c r="F1052">
        <v>174833.31912999999</v>
      </c>
      <c r="G1052">
        <v>0</v>
      </c>
      <c r="L1052" t="s">
        <v>8</v>
      </c>
      <c r="M1052" t="s">
        <v>8</v>
      </c>
      <c r="N1052" t="s">
        <v>8</v>
      </c>
      <c r="P1052">
        <f t="shared" si="1024"/>
        <v>2.8571428571426947E-2</v>
      </c>
      <c r="Q1052">
        <f t="shared" si="1025"/>
        <v>4995.237689428287</v>
      </c>
      <c r="R1052">
        <f t="shared" si="1026"/>
        <v>2024214.4109851106</v>
      </c>
      <c r="S1052">
        <f t="shared" si="1027"/>
        <v>20.242144109851104</v>
      </c>
      <c r="T1052">
        <f t="shared" si="1028"/>
        <v>2.0242144109851104E-2</v>
      </c>
    </row>
    <row r="1053" spans="1:20" x14ac:dyDescent="0.25">
      <c r="A1053" s="5">
        <v>43540</v>
      </c>
      <c r="B1053">
        <v>58.52</v>
      </c>
      <c r="C1053">
        <v>61.97</v>
      </c>
      <c r="D1053">
        <v>58.41</v>
      </c>
      <c r="E1053">
        <v>61.21</v>
      </c>
      <c r="F1053">
        <v>375314.79265999998</v>
      </c>
      <c r="G1053">
        <v>0</v>
      </c>
      <c r="L1053" t="s">
        <v>8</v>
      </c>
      <c r="M1053" t="s">
        <v>8</v>
      </c>
      <c r="N1053" t="s">
        <v>8</v>
      </c>
      <c r="P1053">
        <f t="shared" si="1024"/>
        <v>0.57303370786516994</v>
      </c>
      <c r="Q1053">
        <f t="shared" si="1025"/>
        <v>215068.02725460727</v>
      </c>
      <c r="R1053">
        <f t="shared" si="1026"/>
        <v>2019219.1732956823</v>
      </c>
      <c r="S1053">
        <f t="shared" si="1027"/>
        <v>20.192191732956822</v>
      </c>
      <c r="T1053">
        <f t="shared" si="1028"/>
        <v>2.0192191732956822E-2</v>
      </c>
    </row>
    <row r="1054" spans="1:20" x14ac:dyDescent="0.25">
      <c r="A1054" s="5">
        <v>43539</v>
      </c>
      <c r="B1054">
        <v>55.94</v>
      </c>
      <c r="C1054">
        <v>59.15</v>
      </c>
      <c r="D1054">
        <v>55.94</v>
      </c>
      <c r="E1054">
        <v>58.52</v>
      </c>
      <c r="F1054">
        <v>295307.77677</v>
      </c>
      <c r="G1054">
        <v>0</v>
      </c>
      <c r="L1054" t="s">
        <v>8</v>
      </c>
      <c r="M1054" t="s">
        <v>8</v>
      </c>
      <c r="N1054" t="s">
        <v>8</v>
      </c>
      <c r="P1054">
        <f t="shared" si="1024"/>
        <v>0.60747663551402165</v>
      </c>
      <c r="Q1054">
        <f t="shared" si="1025"/>
        <v>179392.57467336537</v>
      </c>
      <c r="R1054">
        <f t="shared" si="1026"/>
        <v>1804151.146041075</v>
      </c>
      <c r="S1054">
        <f t="shared" si="1027"/>
        <v>18.041511460410749</v>
      </c>
      <c r="T1054">
        <f t="shared" si="1028"/>
        <v>1.8041511460410751E-2</v>
      </c>
    </row>
    <row r="1055" spans="1:20" x14ac:dyDescent="0.25">
      <c r="A1055" s="5">
        <v>43538</v>
      </c>
      <c r="B1055">
        <v>55.29</v>
      </c>
      <c r="C1055">
        <v>58.2</v>
      </c>
      <c r="D1055">
        <v>51.66</v>
      </c>
      <c r="E1055">
        <v>55.94</v>
      </c>
      <c r="F1055">
        <v>333686.39630999998</v>
      </c>
      <c r="G1055">
        <v>0</v>
      </c>
      <c r="L1055" t="s">
        <v>7</v>
      </c>
      <c r="M1055" t="s">
        <v>8</v>
      </c>
      <c r="N1055" t="s">
        <v>8</v>
      </c>
      <c r="P1055">
        <f t="shared" si="1024"/>
        <v>0.3088685015290511</v>
      </c>
      <c r="Q1055">
        <f t="shared" si="1025"/>
        <v>103065.21720889879</v>
      </c>
      <c r="R1055">
        <f t="shared" si="1026"/>
        <v>1624758.5713677097</v>
      </c>
      <c r="S1055">
        <f t="shared" si="1027"/>
        <v>16.247585713677097</v>
      </c>
      <c r="T1055">
        <f t="shared" si="1028"/>
        <v>1.6247585713677098E-2</v>
      </c>
    </row>
    <row r="1056" spans="1:20" x14ac:dyDescent="0.25">
      <c r="A1056" s="5">
        <v>43537</v>
      </c>
      <c r="B1056">
        <v>56.6</v>
      </c>
      <c r="C1056">
        <v>56.84</v>
      </c>
      <c r="D1056">
        <v>54.3</v>
      </c>
      <c r="E1056">
        <v>55.29</v>
      </c>
      <c r="F1056">
        <v>234206.35923</v>
      </c>
      <c r="G1056">
        <v>0</v>
      </c>
      <c r="L1056" t="s">
        <v>7</v>
      </c>
      <c r="M1056" t="s">
        <v>8</v>
      </c>
      <c r="N1056" t="s">
        <v>8</v>
      </c>
      <c r="P1056">
        <f t="shared" si="1024"/>
        <v>-0.22047244094488225</v>
      </c>
      <c r="Q1056">
        <f t="shared" si="1025"/>
        <v>-51636.047704252051</v>
      </c>
      <c r="R1056">
        <f t="shared" si="1026"/>
        <v>1521693.3541588108</v>
      </c>
      <c r="S1056">
        <f t="shared" si="1027"/>
        <v>15.216933541588109</v>
      </c>
      <c r="T1056">
        <f t="shared" si="1028"/>
        <v>1.5216933541588108E-2</v>
      </c>
    </row>
    <row r="1057" spans="1:20" x14ac:dyDescent="0.25">
      <c r="A1057" s="5">
        <v>43536</v>
      </c>
      <c r="B1057">
        <v>54.82</v>
      </c>
      <c r="C1057">
        <v>56.96</v>
      </c>
      <c r="D1057">
        <v>53.72</v>
      </c>
      <c r="E1057">
        <v>56.58</v>
      </c>
      <c r="F1057">
        <v>186798.97334</v>
      </c>
      <c r="G1057">
        <v>0</v>
      </c>
      <c r="L1057" t="s">
        <v>7</v>
      </c>
      <c r="M1057" t="s">
        <v>8</v>
      </c>
      <c r="N1057" t="s">
        <v>8</v>
      </c>
      <c r="P1057">
        <f t="shared" si="1024"/>
        <v>0.76543209876543061</v>
      </c>
      <c r="Q1057">
        <f t="shared" si="1025"/>
        <v>142981.93021086391</v>
      </c>
      <c r="R1057">
        <f t="shared" si="1026"/>
        <v>1573329.4018630628</v>
      </c>
      <c r="S1057">
        <f t="shared" si="1027"/>
        <v>15.733294018630627</v>
      </c>
      <c r="T1057">
        <f t="shared" si="1028"/>
        <v>1.5733294018630627E-2</v>
      </c>
    </row>
    <row r="1058" spans="1:20" x14ac:dyDescent="0.25">
      <c r="A1058" s="5">
        <v>43535</v>
      </c>
      <c r="B1058">
        <v>56.63</v>
      </c>
      <c r="C1058">
        <v>57.37</v>
      </c>
      <c r="D1058">
        <v>54</v>
      </c>
      <c r="E1058">
        <v>54.82</v>
      </c>
      <c r="F1058">
        <v>319640.84363000002</v>
      </c>
      <c r="G1058">
        <v>0</v>
      </c>
      <c r="L1058" t="s">
        <v>7</v>
      </c>
      <c r="M1058" t="s">
        <v>8</v>
      </c>
      <c r="N1058" t="s">
        <v>8</v>
      </c>
      <c r="P1058">
        <f t="shared" si="1024"/>
        <v>-0.51335311572700248</v>
      </c>
      <c r="Q1058">
        <f t="shared" si="1025"/>
        <v>-164088.62299106811</v>
      </c>
      <c r="R1058">
        <f t="shared" si="1026"/>
        <v>1430347.4716521988</v>
      </c>
      <c r="S1058">
        <f t="shared" si="1027"/>
        <v>14.303474716521988</v>
      </c>
      <c r="T1058">
        <f t="shared" si="1028"/>
        <v>1.4303474716521988E-2</v>
      </c>
    </row>
    <row r="1059" spans="1:20" x14ac:dyDescent="0.25">
      <c r="A1059" s="5">
        <v>43534</v>
      </c>
      <c r="B1059">
        <v>57.78</v>
      </c>
      <c r="C1059">
        <v>58.04</v>
      </c>
      <c r="D1059">
        <v>55.84</v>
      </c>
      <c r="E1059">
        <v>56.59</v>
      </c>
      <c r="F1059">
        <v>198932.23727000001</v>
      </c>
      <c r="G1059">
        <v>0</v>
      </c>
      <c r="L1059" t="s">
        <v>8</v>
      </c>
      <c r="M1059" t="s">
        <v>8</v>
      </c>
      <c r="N1059" t="s">
        <v>8</v>
      </c>
      <c r="P1059">
        <f t="shared" si="1024"/>
        <v>-0.31818181818181684</v>
      </c>
      <c r="Q1059">
        <f t="shared" si="1025"/>
        <v>-63296.620949545191</v>
      </c>
      <c r="R1059">
        <f t="shared" si="1026"/>
        <v>1594436.0946432669</v>
      </c>
      <c r="S1059">
        <f t="shared" si="1027"/>
        <v>15.944360946432669</v>
      </c>
      <c r="T1059">
        <f t="shared" si="1028"/>
        <v>1.594436094643267E-2</v>
      </c>
    </row>
    <row r="1060" spans="1:20" x14ac:dyDescent="0.25">
      <c r="A1060" s="5">
        <v>43533</v>
      </c>
      <c r="B1060">
        <v>55.58</v>
      </c>
      <c r="C1060">
        <v>59.83</v>
      </c>
      <c r="D1060">
        <v>55.38</v>
      </c>
      <c r="E1060">
        <v>57.78</v>
      </c>
      <c r="F1060">
        <v>413625.10436</v>
      </c>
      <c r="G1060">
        <v>0</v>
      </c>
      <c r="L1060" t="s">
        <v>8</v>
      </c>
      <c r="M1060" t="s">
        <v>8</v>
      </c>
      <c r="N1060" t="s">
        <v>8</v>
      </c>
      <c r="P1060">
        <f t="shared" si="1024"/>
        <v>7.8651685393258827E-2</v>
      </c>
      <c r="Q1060">
        <f t="shared" si="1025"/>
        <v>32532.311578876568</v>
      </c>
      <c r="R1060">
        <f t="shared" si="1026"/>
        <v>1657732.715592812</v>
      </c>
      <c r="S1060">
        <f t="shared" si="1027"/>
        <v>16.577327155928121</v>
      </c>
      <c r="T1060">
        <f t="shared" si="1028"/>
        <v>1.657732715592812E-2</v>
      </c>
    </row>
    <row r="1061" spans="1:20" x14ac:dyDescent="0.25">
      <c r="A1061" s="5">
        <v>43532</v>
      </c>
      <c r="B1061">
        <v>56.73</v>
      </c>
      <c r="C1061">
        <v>57.6</v>
      </c>
      <c r="D1061">
        <v>54.3</v>
      </c>
      <c r="E1061">
        <v>55.61</v>
      </c>
      <c r="F1061">
        <v>440480.65904</v>
      </c>
      <c r="G1061">
        <v>0</v>
      </c>
      <c r="L1061" t="s">
        <v>7</v>
      </c>
      <c r="M1061" t="s">
        <v>8</v>
      </c>
      <c r="N1061" t="s">
        <v>8</v>
      </c>
      <c r="P1061">
        <f t="shared" si="1024"/>
        <v>-0.20606060606060569</v>
      </c>
      <c r="Q1061">
        <f t="shared" si="1025"/>
        <v>-90765.711559757416</v>
      </c>
      <c r="R1061">
        <f t="shared" si="1026"/>
        <v>1625200.4040139355</v>
      </c>
      <c r="S1061">
        <f t="shared" si="1027"/>
        <v>16.252004040139354</v>
      </c>
      <c r="T1061">
        <f t="shared" si="1028"/>
        <v>1.6252004040139354E-2</v>
      </c>
    </row>
    <row r="1062" spans="1:20" x14ac:dyDescent="0.25">
      <c r="A1062" s="5">
        <v>43531</v>
      </c>
      <c r="B1062">
        <v>55.37</v>
      </c>
      <c r="C1062">
        <v>59.12</v>
      </c>
      <c r="D1062">
        <v>53.77</v>
      </c>
      <c r="E1062">
        <v>56.73</v>
      </c>
      <c r="F1062">
        <v>816612.77049000002</v>
      </c>
      <c r="G1062">
        <v>0</v>
      </c>
      <c r="L1062" t="s">
        <v>8</v>
      </c>
      <c r="M1062" t="s">
        <v>8</v>
      </c>
      <c r="N1062" t="s">
        <v>8</v>
      </c>
      <c r="P1062">
        <f t="shared" si="1024"/>
        <v>0.10654205607476519</v>
      </c>
      <c r="Q1062">
        <f t="shared" si="1025"/>
        <v>87003.603584914934</v>
      </c>
      <c r="R1062">
        <f t="shared" si="1026"/>
        <v>1715966.1155736928</v>
      </c>
      <c r="S1062">
        <f t="shared" si="1027"/>
        <v>17.159661155736927</v>
      </c>
      <c r="T1062">
        <f t="shared" si="1028"/>
        <v>1.7159661155736926E-2</v>
      </c>
    </row>
    <row r="1063" spans="1:20" x14ac:dyDescent="0.25">
      <c r="A1063" s="5">
        <v>43530</v>
      </c>
      <c r="B1063">
        <v>52.52</v>
      </c>
      <c r="C1063">
        <v>56.81</v>
      </c>
      <c r="D1063">
        <v>51.11</v>
      </c>
      <c r="E1063">
        <v>55.37</v>
      </c>
      <c r="F1063">
        <v>670227.49402999994</v>
      </c>
      <c r="G1063">
        <v>0</v>
      </c>
      <c r="L1063" t="s">
        <v>8</v>
      </c>
      <c r="M1063" t="s">
        <v>8</v>
      </c>
      <c r="N1063" t="s">
        <v>8</v>
      </c>
      <c r="P1063">
        <f t="shared" si="1024"/>
        <v>0.4947368421052617</v>
      </c>
      <c r="Q1063">
        <f t="shared" si="1025"/>
        <v>331586.23388852528</v>
      </c>
      <c r="R1063">
        <f t="shared" si="1026"/>
        <v>1628962.5119887779</v>
      </c>
      <c r="S1063">
        <f t="shared" si="1027"/>
        <v>16.289625119887781</v>
      </c>
      <c r="T1063">
        <f t="shared" si="1028"/>
        <v>1.6289625119887782E-2</v>
      </c>
    </row>
    <row r="1064" spans="1:20" x14ac:dyDescent="0.25">
      <c r="A1064" s="5">
        <v>43529</v>
      </c>
      <c r="B1064">
        <v>45.78</v>
      </c>
      <c r="C1064">
        <v>54.25</v>
      </c>
      <c r="D1064">
        <v>45.38</v>
      </c>
      <c r="E1064">
        <v>52.52</v>
      </c>
      <c r="F1064">
        <v>798938.10367999994</v>
      </c>
      <c r="G1064">
        <v>0</v>
      </c>
      <c r="L1064" t="s">
        <v>8</v>
      </c>
      <c r="M1064" t="s">
        <v>8</v>
      </c>
      <c r="N1064" t="s">
        <v>8</v>
      </c>
      <c r="P1064">
        <f t="shared" si="1024"/>
        <v>0.60992108229988784</v>
      </c>
      <c r="Q1064">
        <f t="shared" si="1025"/>
        <v>487289.1928871256</v>
      </c>
      <c r="R1064">
        <f t="shared" si="1026"/>
        <v>1297376.2781002526</v>
      </c>
      <c r="S1064">
        <f t="shared" si="1027"/>
        <v>12.973762781002526</v>
      </c>
      <c r="T1064">
        <f t="shared" si="1028"/>
        <v>1.2973762781002526E-2</v>
      </c>
    </row>
    <row r="1065" spans="1:20" x14ac:dyDescent="0.25">
      <c r="A1065" s="5">
        <v>43528</v>
      </c>
      <c r="B1065">
        <v>47.87</v>
      </c>
      <c r="C1065">
        <v>48.22</v>
      </c>
      <c r="D1065">
        <v>44.57</v>
      </c>
      <c r="E1065">
        <v>45.78</v>
      </c>
      <c r="F1065">
        <v>306985.27977000002</v>
      </c>
      <c r="G1065">
        <v>0</v>
      </c>
      <c r="L1065" t="s">
        <v>7</v>
      </c>
      <c r="M1065" t="s">
        <v>7</v>
      </c>
      <c r="N1065" t="s">
        <v>8</v>
      </c>
      <c r="P1065">
        <f t="shared" si="1024"/>
        <v>-0.3369863013698623</v>
      </c>
      <c r="Q1065">
        <f t="shared" si="1025"/>
        <v>-103449.83400468472</v>
      </c>
      <c r="R1065">
        <f t="shared" si="1026"/>
        <v>810087.08521312708</v>
      </c>
      <c r="S1065">
        <f t="shared" si="1027"/>
        <v>8.1008708521312709</v>
      </c>
      <c r="T1065">
        <f t="shared" si="1028"/>
        <v>8.1008708521312714E-3</v>
      </c>
    </row>
    <row r="1066" spans="1:20" x14ac:dyDescent="0.25">
      <c r="A1066" s="5">
        <v>43527</v>
      </c>
      <c r="B1066">
        <v>48.51</v>
      </c>
      <c r="C1066">
        <v>49.1</v>
      </c>
      <c r="D1066">
        <v>47.18</v>
      </c>
      <c r="E1066">
        <v>47.86</v>
      </c>
      <c r="F1066">
        <v>218511.99395999999</v>
      </c>
      <c r="G1066">
        <v>0</v>
      </c>
      <c r="L1066" t="s">
        <v>8</v>
      </c>
      <c r="M1066" t="s">
        <v>7</v>
      </c>
      <c r="N1066" t="s">
        <v>8</v>
      </c>
      <c r="P1066">
        <f t="shared" si="1024"/>
        <v>-0.29166666666666757</v>
      </c>
      <c r="Q1066">
        <f t="shared" si="1025"/>
        <v>-63732.664905000194</v>
      </c>
      <c r="R1066">
        <f t="shared" si="1026"/>
        <v>913536.91921781178</v>
      </c>
      <c r="S1066">
        <f t="shared" si="1027"/>
        <v>9.1353691921781177</v>
      </c>
      <c r="T1066">
        <f t="shared" si="1028"/>
        <v>9.135369192178118E-3</v>
      </c>
    </row>
    <row r="1067" spans="1:20" x14ac:dyDescent="0.25">
      <c r="A1067" s="5">
        <v>43526</v>
      </c>
      <c r="B1067">
        <v>47.02</v>
      </c>
      <c r="C1067">
        <v>49.4</v>
      </c>
      <c r="D1067">
        <v>46.38</v>
      </c>
      <c r="E1067">
        <v>48.49</v>
      </c>
      <c r="F1067">
        <v>325733.94734999997</v>
      </c>
      <c r="G1067">
        <v>0</v>
      </c>
      <c r="L1067" t="s">
        <v>8</v>
      </c>
      <c r="M1067" t="s">
        <v>7</v>
      </c>
      <c r="N1067" t="s">
        <v>8</v>
      </c>
      <c r="P1067">
        <f t="shared" si="1024"/>
        <v>0.39735099337748492</v>
      </c>
      <c r="Q1067">
        <f t="shared" si="1025"/>
        <v>129430.70755629186</v>
      </c>
      <c r="R1067">
        <f t="shared" si="1026"/>
        <v>977269.58412281203</v>
      </c>
      <c r="S1067">
        <f t="shared" si="1027"/>
        <v>9.7726958412281206</v>
      </c>
      <c r="T1067">
        <f t="shared" si="1028"/>
        <v>9.7726958412281198E-3</v>
      </c>
    </row>
    <row r="1068" spans="1:20" x14ac:dyDescent="0.25">
      <c r="A1068" s="5">
        <v>43525</v>
      </c>
      <c r="B1068">
        <v>45.62</v>
      </c>
      <c r="C1068">
        <v>48.95</v>
      </c>
      <c r="D1068">
        <v>45.53</v>
      </c>
      <c r="E1068">
        <v>47.05</v>
      </c>
      <c r="F1068">
        <v>336011.92294000002</v>
      </c>
      <c r="G1068">
        <v>0</v>
      </c>
      <c r="L1068" t="s">
        <v>8</v>
      </c>
      <c r="M1068" t="s">
        <v>7</v>
      </c>
      <c r="N1068" t="s">
        <v>8</v>
      </c>
      <c r="P1068">
        <f t="shared" si="1024"/>
        <v>-0.11111111111111388</v>
      </c>
      <c r="Q1068">
        <f t="shared" si="1025"/>
        <v>-37334.658104445378</v>
      </c>
      <c r="R1068">
        <f t="shared" si="1026"/>
        <v>847838.87656652019</v>
      </c>
      <c r="S1068">
        <f t="shared" si="1027"/>
        <v>8.4783887656652013</v>
      </c>
      <c r="T1068">
        <f t="shared" si="1028"/>
        <v>8.4783887656652013E-3</v>
      </c>
    </row>
    <row r="1069" spans="1:20" x14ac:dyDescent="0.25">
      <c r="A1069" s="5">
        <v>43524</v>
      </c>
      <c r="B1069">
        <v>45.15</v>
      </c>
      <c r="C1069">
        <v>46.7</v>
      </c>
      <c r="D1069">
        <v>44.44</v>
      </c>
      <c r="E1069">
        <v>45.61</v>
      </c>
      <c r="F1069">
        <v>258562.96779</v>
      </c>
      <c r="G1069">
        <v>0</v>
      </c>
      <c r="L1069" t="s">
        <v>8</v>
      </c>
      <c r="M1069" t="s">
        <v>7</v>
      </c>
      <c r="N1069" t="s">
        <v>8</v>
      </c>
      <c r="P1069">
        <f t="shared" si="1024"/>
        <v>3.5398230088494742E-2</v>
      </c>
      <c r="Q1069">
        <f t="shared" si="1025"/>
        <v>9152.6714261944744</v>
      </c>
      <c r="R1069">
        <f t="shared" si="1026"/>
        <v>885173.53467096551</v>
      </c>
      <c r="S1069">
        <f t="shared" si="1027"/>
        <v>8.8517353467096545</v>
      </c>
      <c r="T1069">
        <f t="shared" si="1028"/>
        <v>8.8517353467096552E-3</v>
      </c>
    </row>
    <row r="1070" spans="1:20" x14ac:dyDescent="0.25">
      <c r="A1070" s="5">
        <v>43523</v>
      </c>
      <c r="B1070">
        <v>44.77</v>
      </c>
      <c r="C1070">
        <v>45.53</v>
      </c>
      <c r="D1070">
        <v>42.51</v>
      </c>
      <c r="E1070">
        <v>45.16</v>
      </c>
      <c r="F1070">
        <v>223940.94505000001</v>
      </c>
      <c r="G1070">
        <v>0</v>
      </c>
      <c r="L1070" t="s">
        <v>7</v>
      </c>
      <c r="M1070" t="s">
        <v>7</v>
      </c>
      <c r="N1070" t="s">
        <v>8</v>
      </c>
      <c r="P1070">
        <f t="shared" si="1024"/>
        <v>0.75496688741721574</v>
      </c>
      <c r="Q1070">
        <f t="shared" si="1025"/>
        <v>169067.99824966825</v>
      </c>
      <c r="R1070">
        <f t="shared" si="1026"/>
        <v>876020.86324477103</v>
      </c>
      <c r="S1070">
        <f t="shared" si="1027"/>
        <v>8.7602086324477106</v>
      </c>
      <c r="T1070">
        <f t="shared" si="1028"/>
        <v>8.7602086324477108E-3</v>
      </c>
    </row>
    <row r="1071" spans="1:20" x14ac:dyDescent="0.25">
      <c r="A1071" s="5">
        <v>43522</v>
      </c>
      <c r="B1071">
        <v>45.4</v>
      </c>
      <c r="C1071">
        <v>45.89</v>
      </c>
      <c r="D1071">
        <v>44.06</v>
      </c>
      <c r="E1071">
        <v>44.76</v>
      </c>
      <c r="F1071">
        <v>220101.55494</v>
      </c>
      <c r="G1071">
        <v>0</v>
      </c>
      <c r="L1071" t="s">
        <v>8</v>
      </c>
      <c r="M1071" t="s">
        <v>7</v>
      </c>
      <c r="N1071" t="s">
        <v>8</v>
      </c>
      <c r="P1071">
        <f t="shared" si="1024"/>
        <v>-0.23497267759563237</v>
      </c>
      <c r="Q1071">
        <f t="shared" si="1025"/>
        <v>-51717.851707213988</v>
      </c>
      <c r="R1071">
        <f t="shared" si="1026"/>
        <v>706952.86499510275</v>
      </c>
      <c r="S1071">
        <f t="shared" si="1027"/>
        <v>7.0695286499510273</v>
      </c>
      <c r="T1071">
        <f t="shared" si="1028"/>
        <v>7.0695286499510273E-3</v>
      </c>
    </row>
    <row r="1072" spans="1:20" x14ac:dyDescent="0.25">
      <c r="A1072" s="5">
        <v>43521</v>
      </c>
      <c r="B1072">
        <v>43.74</v>
      </c>
      <c r="C1072">
        <v>46.85</v>
      </c>
      <c r="D1072">
        <v>43</v>
      </c>
      <c r="E1072">
        <v>45.4</v>
      </c>
      <c r="F1072">
        <v>377273.17275000003</v>
      </c>
      <c r="G1072">
        <v>0</v>
      </c>
      <c r="L1072" t="s">
        <v>7</v>
      </c>
      <c r="M1072" t="s">
        <v>7</v>
      </c>
      <c r="N1072" t="s">
        <v>8</v>
      </c>
      <c r="P1072">
        <f t="shared" si="1024"/>
        <v>0.24675324675324556</v>
      </c>
      <c r="Q1072">
        <f t="shared" si="1025"/>
        <v>93093.380288960601</v>
      </c>
      <c r="R1072">
        <f t="shared" si="1026"/>
        <v>758670.71670231677</v>
      </c>
      <c r="S1072">
        <f t="shared" si="1027"/>
        <v>7.5867071670231674</v>
      </c>
      <c r="T1072">
        <f t="shared" si="1028"/>
        <v>7.5867071670231677E-3</v>
      </c>
    </row>
    <row r="1073" spans="1:20" x14ac:dyDescent="0.25">
      <c r="A1073" s="5">
        <v>43520</v>
      </c>
      <c r="B1073">
        <v>51.39</v>
      </c>
      <c r="C1073">
        <v>53.53</v>
      </c>
      <c r="D1073">
        <v>42.37</v>
      </c>
      <c r="E1073">
        <v>43.75</v>
      </c>
      <c r="F1073">
        <v>685277.01607999997</v>
      </c>
      <c r="G1073">
        <v>0</v>
      </c>
      <c r="L1073" t="s">
        <v>8</v>
      </c>
      <c r="M1073" t="s">
        <v>7</v>
      </c>
      <c r="N1073" t="s">
        <v>8</v>
      </c>
      <c r="P1073">
        <f t="shared" si="1024"/>
        <v>-0.75268817204301042</v>
      </c>
      <c r="Q1073">
        <f t="shared" si="1025"/>
        <v>-515799.90457634383</v>
      </c>
      <c r="R1073">
        <f t="shared" si="1026"/>
        <v>665577.33641335613</v>
      </c>
      <c r="S1073">
        <f t="shared" si="1027"/>
        <v>6.6557733641335615</v>
      </c>
      <c r="T1073">
        <f t="shared" si="1028"/>
        <v>6.6557733641335612E-3</v>
      </c>
    </row>
    <row r="1074" spans="1:20" x14ac:dyDescent="0.25">
      <c r="A1074" s="5">
        <v>43519</v>
      </c>
      <c r="B1074">
        <v>49.22</v>
      </c>
      <c r="C1074">
        <v>51.88</v>
      </c>
      <c r="D1074">
        <v>48</v>
      </c>
      <c r="E1074">
        <v>51.4</v>
      </c>
      <c r="F1074">
        <v>411115.3383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0.75257731958762697</v>
      </c>
      <c r="Q1074">
        <f t="shared" si="1025"/>
        <v>309396.0793391745</v>
      </c>
      <c r="R1074">
        <f t="shared" si="1026"/>
        <v>1181377.2409897</v>
      </c>
      <c r="S1074">
        <f t="shared" si="1027"/>
        <v>11.813772409897</v>
      </c>
      <c r="T1074">
        <f t="shared" si="1028"/>
        <v>1.1813772409897E-2</v>
      </c>
    </row>
    <row r="1075" spans="1:20" x14ac:dyDescent="0.25">
      <c r="A1075" s="5">
        <v>43518</v>
      </c>
      <c r="B1075">
        <v>48.93</v>
      </c>
      <c r="C1075">
        <v>49.97</v>
      </c>
      <c r="D1075">
        <v>48.08</v>
      </c>
      <c r="E1075">
        <v>49.19</v>
      </c>
      <c r="F1075">
        <v>265979.43488999997</v>
      </c>
      <c r="G1075">
        <v>0</v>
      </c>
      <c r="L1075" t="s">
        <v>7</v>
      </c>
      <c r="M1075" t="s">
        <v>8</v>
      </c>
      <c r="N1075" t="s">
        <v>8</v>
      </c>
      <c r="P1075">
        <f t="shared" si="1024"/>
        <v>0.17460317460317365</v>
      </c>
      <c r="Q1075">
        <f t="shared" si="1025"/>
        <v>46440.85371095212</v>
      </c>
      <c r="R1075">
        <f t="shared" si="1026"/>
        <v>871981.16165052552</v>
      </c>
      <c r="S1075">
        <f t="shared" si="1027"/>
        <v>8.7198116165052557</v>
      </c>
      <c r="T1075">
        <f t="shared" si="1028"/>
        <v>8.7198116165052558E-3</v>
      </c>
    </row>
    <row r="1076" spans="1:20" x14ac:dyDescent="0.25">
      <c r="A1076" s="5">
        <v>43517</v>
      </c>
      <c r="B1076">
        <v>51.47</v>
      </c>
      <c r="C1076">
        <v>51.65</v>
      </c>
      <c r="D1076">
        <v>47.35</v>
      </c>
      <c r="E1076">
        <v>48.94</v>
      </c>
      <c r="F1076">
        <v>383781.90032000002</v>
      </c>
      <c r="G1076">
        <v>0</v>
      </c>
      <c r="L1076" t="s">
        <v>7</v>
      </c>
      <c r="M1076" t="s">
        <v>8</v>
      </c>
      <c r="N1076" t="s">
        <v>8</v>
      </c>
      <c r="P1076">
        <f t="shared" si="1024"/>
        <v>-0.26046511627907099</v>
      </c>
      <c r="Q1076">
        <f t="shared" si="1025"/>
        <v>-99961.797292651638</v>
      </c>
      <c r="R1076">
        <f t="shared" si="1026"/>
        <v>825540.30793957342</v>
      </c>
      <c r="S1076">
        <f t="shared" si="1027"/>
        <v>8.2554030793957338</v>
      </c>
      <c r="T1076">
        <f t="shared" si="1028"/>
        <v>8.2554030793957345E-3</v>
      </c>
    </row>
    <row r="1077" spans="1:20" x14ac:dyDescent="0.25">
      <c r="A1077" s="5">
        <v>43516</v>
      </c>
      <c r="B1077">
        <v>47.16</v>
      </c>
      <c r="C1077">
        <v>52.21</v>
      </c>
      <c r="D1077">
        <v>46.25</v>
      </c>
      <c r="E1077">
        <v>51.5</v>
      </c>
      <c r="F1077">
        <v>566874.12072999997</v>
      </c>
      <c r="G1077">
        <v>0</v>
      </c>
      <c r="L1077" t="s">
        <v>8</v>
      </c>
      <c r="M1077" t="s">
        <v>8</v>
      </c>
      <c r="N1077" t="s">
        <v>8</v>
      </c>
      <c r="P1077">
        <f t="shared" si="1024"/>
        <v>0.76174496644295275</v>
      </c>
      <c r="Q1077">
        <f t="shared" si="1025"/>
        <v>431813.50807285216</v>
      </c>
      <c r="R1077">
        <f t="shared" si="1026"/>
        <v>925502.10523222503</v>
      </c>
      <c r="S1077">
        <f t="shared" si="1027"/>
        <v>9.2550210523222507</v>
      </c>
      <c r="T1077">
        <f t="shared" si="1028"/>
        <v>9.2550210523222511E-3</v>
      </c>
    </row>
    <row r="1078" spans="1:20" x14ac:dyDescent="0.25">
      <c r="A1078" s="5">
        <v>43515</v>
      </c>
      <c r="B1078">
        <v>47.81</v>
      </c>
      <c r="C1078">
        <v>49.1</v>
      </c>
      <c r="D1078">
        <v>46.56</v>
      </c>
      <c r="E1078">
        <v>47.14</v>
      </c>
      <c r="F1078">
        <v>404786.75783999998</v>
      </c>
      <c r="G1078">
        <v>0</v>
      </c>
      <c r="L1078" t="s">
        <v>8</v>
      </c>
      <c r="M1078" t="s">
        <v>8</v>
      </c>
      <c r="N1078" t="s">
        <v>8</v>
      </c>
      <c r="P1078">
        <f t="shared" si="1024"/>
        <v>-0.54330708661417437</v>
      </c>
      <c r="Q1078">
        <f t="shared" si="1025"/>
        <v>-219923.51410204769</v>
      </c>
      <c r="R1078">
        <f t="shared" si="1026"/>
        <v>493688.59715937288</v>
      </c>
      <c r="S1078">
        <f t="shared" si="1027"/>
        <v>4.9368859715937283</v>
      </c>
      <c r="T1078">
        <f t="shared" si="1028"/>
        <v>4.9368859715937284E-3</v>
      </c>
    </row>
    <row r="1079" spans="1:20" x14ac:dyDescent="0.25">
      <c r="A1079" s="5">
        <v>43514</v>
      </c>
      <c r="B1079">
        <v>43.89</v>
      </c>
      <c r="C1079">
        <v>49.03</v>
      </c>
      <c r="D1079">
        <v>43.62</v>
      </c>
      <c r="E1079">
        <v>47.84</v>
      </c>
      <c r="F1079">
        <v>744029.87121000001</v>
      </c>
      <c r="G1079">
        <v>0</v>
      </c>
      <c r="L1079" t="s">
        <v>8</v>
      </c>
      <c r="M1079" t="s">
        <v>8</v>
      </c>
      <c r="N1079" t="s">
        <v>8</v>
      </c>
      <c r="P1079">
        <f t="shared" si="1024"/>
        <v>0.56007393715342069</v>
      </c>
      <c r="Q1079">
        <f t="shared" si="1025"/>
        <v>416711.73932833725</v>
      </c>
      <c r="R1079">
        <f t="shared" si="1026"/>
        <v>713612.11126142053</v>
      </c>
      <c r="S1079">
        <f t="shared" si="1027"/>
        <v>7.1361211126142052</v>
      </c>
      <c r="T1079">
        <f t="shared" si="1028"/>
        <v>7.1361211126142049E-3</v>
      </c>
    </row>
    <row r="1080" spans="1:20" x14ac:dyDescent="0.25">
      <c r="A1080" s="5">
        <v>43513</v>
      </c>
      <c r="B1080">
        <v>43.34</v>
      </c>
      <c r="C1080">
        <v>45.13</v>
      </c>
      <c r="D1080">
        <v>42.6</v>
      </c>
      <c r="E1080">
        <v>43.91</v>
      </c>
      <c r="F1080">
        <v>331698.79603000003</v>
      </c>
      <c r="G1080">
        <v>0</v>
      </c>
      <c r="L1080" t="s">
        <v>8</v>
      </c>
      <c r="M1080" t="s">
        <v>7</v>
      </c>
      <c r="N1080" t="s">
        <v>8</v>
      </c>
      <c r="P1080">
        <f t="shared" si="1024"/>
        <v>3.5573122529639983E-2</v>
      </c>
      <c r="Q1080">
        <f t="shared" si="1025"/>
        <v>11799.561914109252</v>
      </c>
      <c r="R1080">
        <f t="shared" si="1026"/>
        <v>296900.37193308328</v>
      </c>
      <c r="S1080">
        <f t="shared" si="1027"/>
        <v>2.969003719330833</v>
      </c>
      <c r="T1080">
        <f t="shared" si="1028"/>
        <v>2.9690037193308328E-3</v>
      </c>
    </row>
    <row r="1081" spans="1:20" x14ac:dyDescent="0.25">
      <c r="A1081" s="5">
        <v>43512</v>
      </c>
      <c r="B1081">
        <v>42.6</v>
      </c>
      <c r="C1081">
        <v>44.37</v>
      </c>
      <c r="D1081">
        <v>42.28</v>
      </c>
      <c r="E1081">
        <v>43.34</v>
      </c>
      <c r="F1081">
        <v>326691.70792999998</v>
      </c>
      <c r="G1081">
        <v>0</v>
      </c>
      <c r="L1081" t="s">
        <v>8</v>
      </c>
      <c r="M1081" t="s">
        <v>7</v>
      </c>
      <c r="N1081" t="s">
        <v>8</v>
      </c>
      <c r="P1081">
        <f t="shared" si="1024"/>
        <v>1.4354066985649902E-2</v>
      </c>
      <c r="Q1081">
        <f t="shared" si="1025"/>
        <v>4689.3546592835928</v>
      </c>
      <c r="R1081">
        <f t="shared" si="1026"/>
        <v>285100.81001897401</v>
      </c>
      <c r="S1081">
        <f t="shared" si="1027"/>
        <v>2.8510081001897403</v>
      </c>
      <c r="T1081">
        <f t="shared" si="1028"/>
        <v>2.8510081001897401E-3</v>
      </c>
    </row>
    <row r="1082" spans="1:20" x14ac:dyDescent="0.25">
      <c r="A1082" s="5">
        <v>43511</v>
      </c>
      <c r="B1082">
        <v>41.26</v>
      </c>
      <c r="C1082">
        <v>44.6</v>
      </c>
      <c r="D1082">
        <v>41.06</v>
      </c>
      <c r="E1082">
        <v>42.58</v>
      </c>
      <c r="F1082">
        <v>389950.95212999999</v>
      </c>
      <c r="G1082">
        <v>0</v>
      </c>
      <c r="L1082" t="s">
        <v>8</v>
      </c>
      <c r="M1082" t="s">
        <v>7</v>
      </c>
      <c r="N1082" t="s">
        <v>8</v>
      </c>
      <c r="P1082">
        <f t="shared" si="1024"/>
        <v>-0.14124293785310937</v>
      </c>
      <c r="Q1082">
        <f t="shared" si="1025"/>
        <v>-55077.818097458417</v>
      </c>
      <c r="R1082">
        <f t="shared" si="1026"/>
        <v>280411.45535969042</v>
      </c>
      <c r="S1082">
        <f t="shared" si="1027"/>
        <v>2.8041145535969041</v>
      </c>
      <c r="T1082">
        <f t="shared" si="1028"/>
        <v>2.8041145535969039E-3</v>
      </c>
    </row>
    <row r="1083" spans="1:20" x14ac:dyDescent="0.25">
      <c r="A1083" s="5">
        <v>43510</v>
      </c>
      <c r="B1083">
        <v>41.61</v>
      </c>
      <c r="C1083">
        <v>42.45</v>
      </c>
      <c r="D1083">
        <v>40.31</v>
      </c>
      <c r="E1083">
        <v>41.26</v>
      </c>
      <c r="F1083">
        <v>285144.93738999998</v>
      </c>
      <c r="G1083">
        <v>0</v>
      </c>
      <c r="L1083" t="s">
        <v>7</v>
      </c>
      <c r="M1083" t="s">
        <v>7</v>
      </c>
      <c r="N1083" t="s">
        <v>8</v>
      </c>
      <c r="P1083">
        <f t="shared" si="1024"/>
        <v>-0.11214953271028459</v>
      </c>
      <c r="Q1083">
        <f t="shared" si="1025"/>
        <v>-31978.871482991854</v>
      </c>
      <c r="R1083">
        <f t="shared" si="1026"/>
        <v>335489.27345714881</v>
      </c>
      <c r="S1083">
        <f t="shared" si="1027"/>
        <v>3.3548927345714881</v>
      </c>
      <c r="T1083">
        <f t="shared" si="1028"/>
        <v>3.3548927345714882E-3</v>
      </c>
    </row>
    <row r="1084" spans="1:20" x14ac:dyDescent="0.25">
      <c r="A1084" s="5">
        <v>43509</v>
      </c>
      <c r="B1084">
        <v>43.89</v>
      </c>
      <c r="C1084">
        <v>44.66</v>
      </c>
      <c r="D1084">
        <v>40.64</v>
      </c>
      <c r="E1084">
        <v>41.61</v>
      </c>
      <c r="F1084">
        <v>333914.84325999999</v>
      </c>
      <c r="G1084">
        <v>0</v>
      </c>
      <c r="L1084" t="s">
        <v>7</v>
      </c>
      <c r="M1084" t="s">
        <v>7</v>
      </c>
      <c r="N1084" t="s">
        <v>8</v>
      </c>
      <c r="P1084">
        <f t="shared" si="1024"/>
        <v>-0.51741293532338317</v>
      </c>
      <c r="Q1084">
        <f t="shared" si="1025"/>
        <v>-172771.85919920402</v>
      </c>
      <c r="R1084">
        <f t="shared" si="1026"/>
        <v>367468.14494014066</v>
      </c>
      <c r="S1084">
        <f t="shared" si="1027"/>
        <v>3.6746814494014064</v>
      </c>
      <c r="T1084">
        <f t="shared" si="1028"/>
        <v>3.6746814494014062E-3</v>
      </c>
    </row>
    <row r="1085" spans="1:20" x14ac:dyDescent="0.25">
      <c r="A1085" s="5">
        <v>43508</v>
      </c>
      <c r="B1085">
        <v>42.88</v>
      </c>
      <c r="C1085">
        <v>44.57</v>
      </c>
      <c r="D1085">
        <v>41.84</v>
      </c>
      <c r="E1085">
        <v>43.89</v>
      </c>
      <c r="F1085">
        <v>326731.55800999998</v>
      </c>
      <c r="G1085">
        <v>0</v>
      </c>
      <c r="L1085" t="s">
        <v>7</v>
      </c>
      <c r="M1085" t="s">
        <v>8</v>
      </c>
      <c r="N1085" t="s">
        <v>8</v>
      </c>
      <c r="P1085">
        <f t="shared" si="1024"/>
        <v>0.50183150183150149</v>
      </c>
      <c r="Q1085">
        <f t="shared" si="1025"/>
        <v>163964.18845190463</v>
      </c>
      <c r="R1085">
        <f t="shared" si="1026"/>
        <v>540240.00413934467</v>
      </c>
      <c r="S1085">
        <f t="shared" si="1027"/>
        <v>5.402400041393447</v>
      </c>
      <c r="T1085">
        <f t="shared" si="1028"/>
        <v>5.4024000413934467E-3</v>
      </c>
    </row>
    <row r="1086" spans="1:20" x14ac:dyDescent="0.25">
      <c r="A1086" s="5">
        <v>43507</v>
      </c>
      <c r="B1086">
        <v>46.8</v>
      </c>
      <c r="C1086">
        <v>46.87</v>
      </c>
      <c r="D1086">
        <v>41.81</v>
      </c>
      <c r="E1086">
        <v>42.9</v>
      </c>
      <c r="F1086">
        <v>570398.48991</v>
      </c>
      <c r="G1086">
        <v>0</v>
      </c>
      <c r="L1086" t="s">
        <v>7</v>
      </c>
      <c r="M1086" t="s">
        <v>8</v>
      </c>
      <c r="N1086" t="s">
        <v>8</v>
      </c>
      <c r="P1086">
        <f t="shared" si="1024"/>
        <v>-0.56916996047430934</v>
      </c>
      <c r="Q1086">
        <f t="shared" si="1025"/>
        <v>-324653.68595668045</v>
      </c>
      <c r="R1086">
        <f t="shared" si="1026"/>
        <v>376275.8156874401</v>
      </c>
      <c r="S1086">
        <f t="shared" si="1027"/>
        <v>3.7627581568744009</v>
      </c>
      <c r="T1086">
        <f t="shared" si="1028"/>
        <v>3.7627581568744008E-3</v>
      </c>
    </row>
    <row r="1087" spans="1:20" x14ac:dyDescent="0.25">
      <c r="A1087" s="5">
        <v>43506</v>
      </c>
      <c r="B1087">
        <v>44.68</v>
      </c>
      <c r="C1087">
        <v>47.59</v>
      </c>
      <c r="D1087">
        <v>42</v>
      </c>
      <c r="E1087">
        <v>46.79</v>
      </c>
      <c r="F1087">
        <v>667594.46229000005</v>
      </c>
      <c r="G1087">
        <v>0</v>
      </c>
      <c r="L1087" t="s">
        <v>8</v>
      </c>
      <c r="M1087" t="s">
        <v>8</v>
      </c>
      <c r="N1087" t="s">
        <v>8</v>
      </c>
      <c r="P1087">
        <f t="shared" ref="P1087:P1150" si="1029">IF(C1087=D1087,0,((E1087-D1087)-(C1087-E1087))/(C1087-D1087))</f>
        <v>0.71377459749552641</v>
      </c>
      <c r="Q1087">
        <f t="shared" ref="Q1087:Q1150" si="1030">F1087*P1087</f>
        <v>476511.96861128719</v>
      </c>
      <c r="R1087">
        <f t="shared" ref="R1087:R1150" si="1031">R1088+Q1087</f>
        <v>700929.50164412055</v>
      </c>
      <c r="S1087">
        <f t="shared" ref="S1087:S1150" si="1032">R1087/100000</f>
        <v>7.0092950164412056</v>
      </c>
      <c r="T1087">
        <f t="shared" ref="T1087:T1150" si="1033">S1087/1000</f>
        <v>7.0092950164412056E-3</v>
      </c>
    </row>
    <row r="1088" spans="1:20" x14ac:dyDescent="0.25">
      <c r="A1088" s="5">
        <v>43505</v>
      </c>
      <c r="B1088">
        <v>42.99</v>
      </c>
      <c r="C1088">
        <v>46.95</v>
      </c>
      <c r="D1088">
        <v>42.05</v>
      </c>
      <c r="E1088">
        <v>44.68</v>
      </c>
      <c r="F1088">
        <v>993529.35851000005</v>
      </c>
      <c r="G1088">
        <v>0</v>
      </c>
      <c r="L1088" t="s">
        <v>8</v>
      </c>
      <c r="M1088" t="s">
        <v>8</v>
      </c>
      <c r="N1088" t="s">
        <v>8</v>
      </c>
      <c r="P1088">
        <f t="shared" si="1029"/>
        <v>7.3469387755101839E-2</v>
      </c>
      <c r="Q1088">
        <f t="shared" si="1030"/>
        <v>72993.993686448783</v>
      </c>
      <c r="R1088">
        <f t="shared" si="1031"/>
        <v>224417.53303283337</v>
      </c>
      <c r="S1088">
        <f t="shared" si="1032"/>
        <v>2.2441753303283338</v>
      </c>
      <c r="T1088">
        <f t="shared" si="1033"/>
        <v>2.2441753303283339E-3</v>
      </c>
    </row>
    <row r="1089" spans="1:20" x14ac:dyDescent="0.25">
      <c r="A1089" s="5">
        <v>43504</v>
      </c>
      <c r="B1089">
        <v>33.229999999999997</v>
      </c>
      <c r="C1089">
        <v>44.85</v>
      </c>
      <c r="D1089">
        <v>32.75</v>
      </c>
      <c r="E1089">
        <v>42.99</v>
      </c>
      <c r="F1089">
        <v>1237384.07012</v>
      </c>
      <c r="G1089">
        <v>0</v>
      </c>
      <c r="L1089" t="s">
        <v>8</v>
      </c>
      <c r="M1089" t="s">
        <v>8</v>
      </c>
      <c r="N1089" t="s">
        <v>8</v>
      </c>
      <c r="P1089">
        <f t="shared" si="1029"/>
        <v>0.69256198347107456</v>
      </c>
      <c r="Q1089">
        <f t="shared" si="1030"/>
        <v>856965.16591781843</v>
      </c>
      <c r="R1089">
        <f t="shared" si="1031"/>
        <v>151423.53934638458</v>
      </c>
      <c r="S1089">
        <f t="shared" si="1032"/>
        <v>1.5142353934638457</v>
      </c>
      <c r="T1089">
        <f t="shared" si="1033"/>
        <v>1.5142353934638458E-3</v>
      </c>
    </row>
    <row r="1090" spans="1:20" x14ac:dyDescent="0.25">
      <c r="A1090" s="5">
        <v>43503</v>
      </c>
      <c r="B1090">
        <v>32.78</v>
      </c>
      <c r="C1090">
        <v>33.61</v>
      </c>
      <c r="D1090">
        <v>32.729999999999997</v>
      </c>
      <c r="E1090">
        <v>33.24</v>
      </c>
      <c r="F1090">
        <v>144528.08084000001</v>
      </c>
      <c r="G1090">
        <v>0</v>
      </c>
      <c r="L1090" t="s">
        <v>7</v>
      </c>
      <c r="M1090" t="s">
        <v>8</v>
      </c>
      <c r="N1090" t="s">
        <v>8</v>
      </c>
      <c r="P1090">
        <f t="shared" si="1029"/>
        <v>0.15909090909091736</v>
      </c>
      <c r="Q1090">
        <f t="shared" si="1030"/>
        <v>22993.103770001195</v>
      </c>
      <c r="R1090">
        <f t="shared" si="1031"/>
        <v>-705541.62657143385</v>
      </c>
      <c r="S1090">
        <f t="shared" si="1032"/>
        <v>-7.0554162657143387</v>
      </c>
      <c r="T1090">
        <f t="shared" si="1033"/>
        <v>-7.0554162657143387E-3</v>
      </c>
    </row>
    <row r="1091" spans="1:20" x14ac:dyDescent="0.25">
      <c r="A1091" s="5">
        <v>43502</v>
      </c>
      <c r="B1091">
        <v>34.35</v>
      </c>
      <c r="C1091">
        <v>34.5</v>
      </c>
      <c r="D1091">
        <v>32.25</v>
      </c>
      <c r="E1091">
        <v>32.79</v>
      </c>
      <c r="F1091">
        <v>312456.54200999998</v>
      </c>
      <c r="G1091">
        <v>0</v>
      </c>
      <c r="L1091" t="s">
        <v>7</v>
      </c>
      <c r="M1091" t="s">
        <v>8</v>
      </c>
      <c r="N1091" t="s">
        <v>8</v>
      </c>
      <c r="P1091">
        <f t="shared" si="1029"/>
        <v>-0.52000000000000079</v>
      </c>
      <c r="Q1091">
        <f t="shared" si="1030"/>
        <v>-162477.40184520025</v>
      </c>
      <c r="R1091">
        <f t="shared" si="1031"/>
        <v>-728534.73034143506</v>
      </c>
      <c r="S1091">
        <f t="shared" si="1032"/>
        <v>-7.2853473034143503</v>
      </c>
      <c r="T1091">
        <f t="shared" si="1033"/>
        <v>-7.2853473034143502E-3</v>
      </c>
    </row>
    <row r="1092" spans="1:20" x14ac:dyDescent="0.25">
      <c r="A1092" s="5">
        <v>43501</v>
      </c>
      <c r="B1092">
        <v>34.08</v>
      </c>
      <c r="C1092">
        <v>34.54</v>
      </c>
      <c r="D1092">
        <v>33.630000000000003</v>
      </c>
      <c r="E1092">
        <v>34.340000000000003</v>
      </c>
      <c r="F1092">
        <v>214319.34234999999</v>
      </c>
      <c r="G1092">
        <v>0</v>
      </c>
      <c r="L1092" t="s">
        <v>8</v>
      </c>
      <c r="M1092" t="s">
        <v>8</v>
      </c>
      <c r="N1092" t="s">
        <v>8</v>
      </c>
      <c r="P1092">
        <f t="shared" si="1029"/>
        <v>0.56043956043956811</v>
      </c>
      <c r="Q1092">
        <f t="shared" si="1030"/>
        <v>120113.03802033131</v>
      </c>
      <c r="R1092">
        <f t="shared" si="1031"/>
        <v>-566057.32849623484</v>
      </c>
      <c r="S1092">
        <f t="shared" si="1032"/>
        <v>-5.6605732849623482</v>
      </c>
      <c r="T1092">
        <f t="shared" si="1033"/>
        <v>-5.6605732849623483E-3</v>
      </c>
    </row>
    <row r="1093" spans="1:20" x14ac:dyDescent="0.25">
      <c r="A1093" s="5">
        <v>43500</v>
      </c>
      <c r="B1093">
        <v>33.43</v>
      </c>
      <c r="C1093">
        <v>34.5</v>
      </c>
      <c r="D1093">
        <v>33.36</v>
      </c>
      <c r="E1093">
        <v>34.090000000000003</v>
      </c>
      <c r="F1093">
        <v>206649.66902</v>
      </c>
      <c r="G1093">
        <v>0</v>
      </c>
      <c r="L1093" t="s">
        <v>8</v>
      </c>
      <c r="M1093" t="s">
        <v>8</v>
      </c>
      <c r="N1093" t="s">
        <v>8</v>
      </c>
      <c r="P1093">
        <f t="shared" si="1029"/>
        <v>0.28070175438597128</v>
      </c>
      <c r="Q1093">
        <f t="shared" si="1030"/>
        <v>58006.924637194301</v>
      </c>
      <c r="R1093">
        <f t="shared" si="1031"/>
        <v>-686170.36651656614</v>
      </c>
      <c r="S1093">
        <f t="shared" si="1032"/>
        <v>-6.8617036651656615</v>
      </c>
      <c r="T1093">
        <f t="shared" si="1033"/>
        <v>-6.8617036651656615E-3</v>
      </c>
    </row>
    <row r="1094" spans="1:20" x14ac:dyDescent="0.25">
      <c r="A1094" s="5">
        <v>43499</v>
      </c>
      <c r="B1094">
        <v>34.590000000000003</v>
      </c>
      <c r="C1094">
        <v>34.89</v>
      </c>
      <c r="D1094">
        <v>32.86</v>
      </c>
      <c r="E1094">
        <v>33.44</v>
      </c>
      <c r="F1094">
        <v>348406.73223999998</v>
      </c>
      <c r="G1094">
        <v>0</v>
      </c>
      <c r="L1094" t="s">
        <v>8</v>
      </c>
      <c r="M1094" t="s">
        <v>8</v>
      </c>
      <c r="N1094" t="s">
        <v>8</v>
      </c>
      <c r="P1094">
        <f t="shared" si="1029"/>
        <v>-0.42857142857143055</v>
      </c>
      <c r="Q1094">
        <f t="shared" si="1030"/>
        <v>-149317.17096000069</v>
      </c>
      <c r="R1094">
        <f t="shared" si="1031"/>
        <v>-744177.29115376039</v>
      </c>
      <c r="S1094">
        <f t="shared" si="1032"/>
        <v>-7.4417729115376039</v>
      </c>
      <c r="T1094">
        <f t="shared" si="1033"/>
        <v>-7.4417729115376042E-3</v>
      </c>
    </row>
    <row r="1095" spans="1:20" x14ac:dyDescent="0.25">
      <c r="A1095" s="5">
        <v>43498</v>
      </c>
      <c r="B1095">
        <v>32.61</v>
      </c>
      <c r="C1095">
        <v>35.01</v>
      </c>
      <c r="D1095">
        <v>32.44</v>
      </c>
      <c r="E1095">
        <v>34.590000000000003</v>
      </c>
      <c r="F1095">
        <v>268052.52354000002</v>
      </c>
      <c r="G1095">
        <v>0</v>
      </c>
      <c r="L1095" t="s">
        <v>8</v>
      </c>
      <c r="M1095" t="s">
        <v>8</v>
      </c>
      <c r="N1095" t="s">
        <v>8</v>
      </c>
      <c r="P1095">
        <f t="shared" si="1029"/>
        <v>0.67315175097276692</v>
      </c>
      <c r="Q1095">
        <f t="shared" si="1030"/>
        <v>180440.02557361985</v>
      </c>
      <c r="R1095">
        <f t="shared" si="1031"/>
        <v>-594860.12019375968</v>
      </c>
      <c r="S1095">
        <f t="shared" si="1032"/>
        <v>-5.9486012019375964</v>
      </c>
      <c r="T1095">
        <f t="shared" si="1033"/>
        <v>-5.9486012019375964E-3</v>
      </c>
    </row>
    <row r="1096" spans="1:20" x14ac:dyDescent="0.25">
      <c r="A1096" s="5">
        <v>43497</v>
      </c>
      <c r="B1096">
        <v>31.43</v>
      </c>
      <c r="C1096">
        <v>33.64</v>
      </c>
      <c r="D1096">
        <v>30.7</v>
      </c>
      <c r="E1096">
        <v>32.65</v>
      </c>
      <c r="F1096">
        <v>335544.96445000003</v>
      </c>
      <c r="G1096">
        <v>0</v>
      </c>
      <c r="L1096" t="s">
        <v>8</v>
      </c>
      <c r="M1096" t="s">
        <v>8</v>
      </c>
      <c r="N1096" t="s">
        <v>8</v>
      </c>
      <c r="P1096">
        <f t="shared" si="1029"/>
        <v>0.32653061224489688</v>
      </c>
      <c r="Q1096">
        <f t="shared" si="1030"/>
        <v>109565.70267755067</v>
      </c>
      <c r="R1096">
        <f t="shared" si="1031"/>
        <v>-775300.14576737955</v>
      </c>
      <c r="S1096">
        <f t="shared" si="1032"/>
        <v>-7.7530014576737951</v>
      </c>
      <c r="T1096">
        <f t="shared" si="1033"/>
        <v>-7.7530014576737954E-3</v>
      </c>
    </row>
    <row r="1097" spans="1:20" x14ac:dyDescent="0.25">
      <c r="A1097" s="5">
        <v>43496</v>
      </c>
      <c r="B1097">
        <v>31.68</v>
      </c>
      <c r="C1097">
        <v>32.33</v>
      </c>
      <c r="D1097">
        <v>31.08</v>
      </c>
      <c r="E1097">
        <v>31.41</v>
      </c>
      <c r="F1097">
        <v>154708.17426999999</v>
      </c>
      <c r="G1097">
        <v>0</v>
      </c>
      <c r="L1097" t="s">
        <v>8</v>
      </c>
      <c r="M1097" t="s">
        <v>8</v>
      </c>
      <c r="N1097" t="s">
        <v>8</v>
      </c>
      <c r="P1097">
        <f t="shared" si="1029"/>
        <v>-0.47199999999999703</v>
      </c>
      <c r="Q1097">
        <f t="shared" si="1030"/>
        <v>-73022.258255439534</v>
      </c>
      <c r="R1097">
        <f t="shared" si="1031"/>
        <v>-884865.84844493028</v>
      </c>
      <c r="S1097">
        <f t="shared" si="1032"/>
        <v>-8.8486584844493024</v>
      </c>
      <c r="T1097">
        <f t="shared" si="1033"/>
        <v>-8.8486584844493024E-3</v>
      </c>
    </row>
    <row r="1098" spans="1:20" x14ac:dyDescent="0.25">
      <c r="A1098" s="5">
        <v>43495</v>
      </c>
      <c r="B1098">
        <v>30.8</v>
      </c>
      <c r="C1098">
        <v>31.97</v>
      </c>
      <c r="D1098">
        <v>30.47</v>
      </c>
      <c r="E1098">
        <v>31.68</v>
      </c>
      <c r="F1098">
        <v>129114.99705000001</v>
      </c>
      <c r="G1098">
        <v>0</v>
      </c>
      <c r="L1098" t="s">
        <v>7</v>
      </c>
      <c r="M1098" t="s">
        <v>8</v>
      </c>
      <c r="N1098" t="s">
        <v>8</v>
      </c>
      <c r="P1098">
        <f t="shared" si="1029"/>
        <v>0.61333333333333451</v>
      </c>
      <c r="Q1098">
        <f t="shared" si="1030"/>
        <v>79190.531524000151</v>
      </c>
      <c r="R1098">
        <f t="shared" si="1031"/>
        <v>-811843.5901894907</v>
      </c>
      <c r="S1098">
        <f t="shared" si="1032"/>
        <v>-8.118435901894907</v>
      </c>
      <c r="T1098">
        <f t="shared" si="1033"/>
        <v>-8.1184359018949062E-3</v>
      </c>
    </row>
    <row r="1099" spans="1:20" x14ac:dyDescent="0.25">
      <c r="A1099" s="5">
        <v>43494</v>
      </c>
      <c r="B1099">
        <v>30.94</v>
      </c>
      <c r="C1099">
        <v>31.26</v>
      </c>
      <c r="D1099">
        <v>29.91</v>
      </c>
      <c r="E1099">
        <v>30.81</v>
      </c>
      <c r="F1099">
        <v>135879.85879999999</v>
      </c>
      <c r="G1099">
        <v>0</v>
      </c>
      <c r="L1099" t="s">
        <v>7</v>
      </c>
      <c r="M1099" t="s">
        <v>8</v>
      </c>
      <c r="N1099" t="s">
        <v>8</v>
      </c>
      <c r="P1099">
        <f t="shared" si="1029"/>
        <v>0.33333333333332982</v>
      </c>
      <c r="Q1099">
        <f t="shared" si="1030"/>
        <v>45293.286266666182</v>
      </c>
      <c r="R1099">
        <f t="shared" si="1031"/>
        <v>-891034.12171349081</v>
      </c>
      <c r="S1099">
        <f t="shared" si="1032"/>
        <v>-8.9103412171349081</v>
      </c>
      <c r="T1099">
        <f t="shared" si="1033"/>
        <v>-8.9103412171349077E-3</v>
      </c>
    </row>
    <row r="1100" spans="1:20" x14ac:dyDescent="0.25">
      <c r="A1100" s="5">
        <v>43493</v>
      </c>
      <c r="B1100">
        <v>32.22</v>
      </c>
      <c r="C1100">
        <v>32.53</v>
      </c>
      <c r="D1100">
        <v>30</v>
      </c>
      <c r="E1100">
        <v>30.94</v>
      </c>
      <c r="F1100">
        <v>267887.62942000001</v>
      </c>
      <c r="G1100">
        <v>0</v>
      </c>
      <c r="L1100" t="s">
        <v>7</v>
      </c>
      <c r="M1100" t="s">
        <v>8</v>
      </c>
      <c r="N1100" t="s">
        <v>8</v>
      </c>
      <c r="P1100">
        <f t="shared" si="1029"/>
        <v>-0.25691699604743018</v>
      </c>
      <c r="Q1100">
        <f t="shared" si="1030"/>
        <v>-68824.88502885359</v>
      </c>
      <c r="R1100">
        <f t="shared" si="1031"/>
        <v>-936327.40798015695</v>
      </c>
      <c r="S1100">
        <f t="shared" si="1032"/>
        <v>-9.3632740798015703</v>
      </c>
      <c r="T1100">
        <f t="shared" si="1033"/>
        <v>-9.3632740798015712E-3</v>
      </c>
    </row>
    <row r="1101" spans="1:20" x14ac:dyDescent="0.25">
      <c r="A1101" s="5">
        <v>43492</v>
      </c>
      <c r="B1101">
        <v>32.79</v>
      </c>
      <c r="C1101">
        <v>33.200000000000003</v>
      </c>
      <c r="D1101">
        <v>31.05</v>
      </c>
      <c r="E1101">
        <v>32.21</v>
      </c>
      <c r="F1101">
        <v>173697.81998</v>
      </c>
      <c r="G1101">
        <v>0</v>
      </c>
      <c r="L1101" t="s">
        <v>7</v>
      </c>
      <c r="M1101" t="s">
        <v>8</v>
      </c>
      <c r="N1101" t="s">
        <v>8</v>
      </c>
      <c r="P1101">
        <f t="shared" si="1029"/>
        <v>7.9069767441859534E-2</v>
      </c>
      <c r="Q1101">
        <f t="shared" si="1030"/>
        <v>13734.246230976583</v>
      </c>
      <c r="R1101">
        <f t="shared" si="1031"/>
        <v>-867502.5229513034</v>
      </c>
      <c r="S1101">
        <f t="shared" si="1032"/>
        <v>-8.6750252295130341</v>
      </c>
      <c r="T1101">
        <f t="shared" si="1033"/>
        <v>-8.6750252295130347E-3</v>
      </c>
    </row>
    <row r="1102" spans="1:20" x14ac:dyDescent="0.25">
      <c r="A1102" s="5">
        <v>43491</v>
      </c>
      <c r="B1102">
        <v>32.68</v>
      </c>
      <c r="C1102">
        <v>33.950000000000003</v>
      </c>
      <c r="D1102">
        <v>32.57</v>
      </c>
      <c r="E1102">
        <v>32.799999999999997</v>
      </c>
      <c r="F1102">
        <v>166677.42808000001</v>
      </c>
      <c r="G1102">
        <v>0</v>
      </c>
      <c r="L1102" t="s">
        <v>8</v>
      </c>
      <c r="M1102" t="s">
        <v>8</v>
      </c>
      <c r="N1102" t="s">
        <v>8</v>
      </c>
      <c r="P1102">
        <f t="shared" si="1029"/>
        <v>-0.66666666666667185</v>
      </c>
      <c r="Q1102">
        <f t="shared" si="1030"/>
        <v>-111118.28538666754</v>
      </c>
      <c r="R1102">
        <f t="shared" si="1031"/>
        <v>-881236.76918227994</v>
      </c>
      <c r="S1102">
        <f t="shared" si="1032"/>
        <v>-8.8123676918228</v>
      </c>
      <c r="T1102">
        <f t="shared" si="1033"/>
        <v>-8.8123676918228002E-3</v>
      </c>
    </row>
    <row r="1103" spans="1:20" x14ac:dyDescent="0.25">
      <c r="A1103" s="5">
        <v>43490</v>
      </c>
      <c r="B1103">
        <v>32.520000000000003</v>
      </c>
      <c r="C1103">
        <v>33</v>
      </c>
      <c r="D1103">
        <v>31.87</v>
      </c>
      <c r="E1103">
        <v>32.69</v>
      </c>
      <c r="F1103">
        <v>169242.53382000001</v>
      </c>
      <c r="G1103">
        <v>0</v>
      </c>
      <c r="L1103" t="s">
        <v>8</v>
      </c>
      <c r="M1103" t="s">
        <v>7</v>
      </c>
      <c r="N1103" t="s">
        <v>8</v>
      </c>
      <c r="P1103">
        <f t="shared" si="1029"/>
        <v>0.45132743362831407</v>
      </c>
      <c r="Q1103">
        <f t="shared" si="1030"/>
        <v>76383.79844973376</v>
      </c>
      <c r="R1103">
        <f t="shared" si="1031"/>
        <v>-770118.48379561235</v>
      </c>
      <c r="S1103">
        <f t="shared" si="1032"/>
        <v>-7.7011848379561236</v>
      </c>
      <c r="T1103">
        <f t="shared" si="1033"/>
        <v>-7.7011848379561236E-3</v>
      </c>
    </row>
    <row r="1104" spans="1:20" x14ac:dyDescent="0.25">
      <c r="A1104" s="5">
        <v>43489</v>
      </c>
      <c r="B1104">
        <v>31.69</v>
      </c>
      <c r="C1104">
        <v>33.1</v>
      </c>
      <c r="D1104">
        <v>30.89</v>
      </c>
      <c r="E1104">
        <v>32.51</v>
      </c>
      <c r="F1104">
        <v>138812.16216000001</v>
      </c>
      <c r="G1104">
        <v>0</v>
      </c>
      <c r="L1104" t="s">
        <v>8</v>
      </c>
      <c r="M1104" t="s">
        <v>7</v>
      </c>
      <c r="N1104" t="s">
        <v>8</v>
      </c>
      <c r="P1104">
        <f t="shared" si="1029"/>
        <v>0.46606334841628672</v>
      </c>
      <c r="Q1104">
        <f t="shared" si="1030"/>
        <v>64695.261097194176</v>
      </c>
      <c r="R1104">
        <f t="shared" si="1031"/>
        <v>-846502.28224534611</v>
      </c>
      <c r="S1104">
        <f t="shared" si="1032"/>
        <v>-8.4650228224534612</v>
      </c>
      <c r="T1104">
        <f t="shared" si="1033"/>
        <v>-8.4650228224534604E-3</v>
      </c>
    </row>
    <row r="1105" spans="1:20" x14ac:dyDescent="0.25">
      <c r="A1105" s="5">
        <v>43488</v>
      </c>
      <c r="B1105">
        <v>31.4</v>
      </c>
      <c r="C1105">
        <v>32.18</v>
      </c>
      <c r="D1105">
        <v>31.24</v>
      </c>
      <c r="E1105">
        <v>31.69</v>
      </c>
      <c r="F1105">
        <v>123577.27232</v>
      </c>
      <c r="G1105">
        <v>0</v>
      </c>
      <c r="L1105" t="s">
        <v>8</v>
      </c>
      <c r="M1105" t="s">
        <v>7</v>
      </c>
      <c r="N1105" t="s">
        <v>8</v>
      </c>
      <c r="P1105">
        <f t="shared" si="1029"/>
        <v>-4.2553191489356955E-2</v>
      </c>
      <c r="Q1105">
        <f t="shared" si="1030"/>
        <v>-5258.6073327653712</v>
      </c>
      <c r="R1105">
        <f t="shared" si="1031"/>
        <v>-911197.54334254027</v>
      </c>
      <c r="S1105">
        <f t="shared" si="1032"/>
        <v>-9.1119754334254033</v>
      </c>
      <c r="T1105">
        <f t="shared" si="1033"/>
        <v>-9.1119754334254028E-3</v>
      </c>
    </row>
    <row r="1106" spans="1:20" x14ac:dyDescent="0.25">
      <c r="A1106" s="5">
        <v>43487</v>
      </c>
      <c r="B1106">
        <v>30.82</v>
      </c>
      <c r="C1106">
        <v>32</v>
      </c>
      <c r="D1106">
        <v>29.48</v>
      </c>
      <c r="E1106">
        <v>31.41</v>
      </c>
      <c r="F1106">
        <v>199887.16256999999</v>
      </c>
      <c r="G1106">
        <v>0</v>
      </c>
      <c r="L1106" t="s">
        <v>8</v>
      </c>
      <c r="M1106" t="s">
        <v>7</v>
      </c>
      <c r="N1106" t="s">
        <v>8</v>
      </c>
      <c r="P1106">
        <f t="shared" si="1029"/>
        <v>0.53174603174603174</v>
      </c>
      <c r="Q1106">
        <f t="shared" si="1030"/>
        <v>106289.20549357143</v>
      </c>
      <c r="R1106">
        <f t="shared" si="1031"/>
        <v>-905938.93600977492</v>
      </c>
      <c r="S1106">
        <f t="shared" si="1032"/>
        <v>-9.0593893600977484</v>
      </c>
      <c r="T1106">
        <f t="shared" si="1033"/>
        <v>-9.0593893600977478E-3</v>
      </c>
    </row>
    <row r="1107" spans="1:20" x14ac:dyDescent="0.25">
      <c r="A1107" s="5">
        <v>43486</v>
      </c>
      <c r="B1107">
        <v>30.63</v>
      </c>
      <c r="C1107">
        <v>31.22</v>
      </c>
      <c r="D1107">
        <v>30.34</v>
      </c>
      <c r="E1107">
        <v>30.82</v>
      </c>
      <c r="F1107">
        <v>110305.75866000001</v>
      </c>
      <c r="G1107">
        <v>0</v>
      </c>
      <c r="L1107" t="s">
        <v>8</v>
      </c>
      <c r="M1107" t="s">
        <v>7</v>
      </c>
      <c r="N1107" t="s">
        <v>8</v>
      </c>
      <c r="P1107">
        <f t="shared" si="1029"/>
        <v>9.0909090909093104E-2</v>
      </c>
      <c r="Q1107">
        <f t="shared" si="1030"/>
        <v>10027.796241818425</v>
      </c>
      <c r="R1107">
        <f t="shared" si="1031"/>
        <v>-1012228.1415033464</v>
      </c>
      <c r="S1107">
        <f t="shared" si="1032"/>
        <v>-10.122281415033465</v>
      </c>
      <c r="T1107">
        <f t="shared" si="1033"/>
        <v>-1.0122281415033465E-2</v>
      </c>
    </row>
    <row r="1108" spans="1:20" x14ac:dyDescent="0.25">
      <c r="A1108" s="5">
        <v>43485</v>
      </c>
      <c r="B1108">
        <v>31.94</v>
      </c>
      <c r="C1108">
        <v>33.200000000000003</v>
      </c>
      <c r="D1108">
        <v>28.45</v>
      </c>
      <c r="E1108">
        <v>30.64</v>
      </c>
      <c r="F1108">
        <v>249450.00408000001</v>
      </c>
      <c r="G1108">
        <v>0</v>
      </c>
      <c r="L1108" t="s">
        <v>7</v>
      </c>
      <c r="M1108" t="s">
        <v>7</v>
      </c>
      <c r="N1108" t="s">
        <v>8</v>
      </c>
      <c r="P1108">
        <f t="shared" si="1029"/>
        <v>-7.7894736842105419E-2</v>
      </c>
      <c r="Q1108">
        <f t="shared" si="1030"/>
        <v>-19430.842423073726</v>
      </c>
      <c r="R1108">
        <f t="shared" si="1031"/>
        <v>-1022255.9377451648</v>
      </c>
      <c r="S1108">
        <f t="shared" si="1032"/>
        <v>-10.222559377451649</v>
      </c>
      <c r="T1108">
        <f t="shared" si="1033"/>
        <v>-1.0222559377451649E-2</v>
      </c>
    </row>
    <row r="1109" spans="1:20" x14ac:dyDescent="0.25">
      <c r="A1109" s="5">
        <v>43484</v>
      </c>
      <c r="B1109">
        <v>30.78</v>
      </c>
      <c r="C1109">
        <v>32.92</v>
      </c>
      <c r="D1109">
        <v>30.77</v>
      </c>
      <c r="E1109">
        <v>32</v>
      </c>
      <c r="F1109">
        <v>164989.63668</v>
      </c>
      <c r="G1109">
        <v>0</v>
      </c>
      <c r="L1109" t="s">
        <v>8</v>
      </c>
      <c r="M1109" t="s">
        <v>7</v>
      </c>
      <c r="N1109" t="s">
        <v>8</v>
      </c>
      <c r="P1109">
        <f t="shared" si="1029"/>
        <v>0.14418604651162717</v>
      </c>
      <c r="Q1109">
        <f t="shared" si="1030"/>
        <v>23789.203428278946</v>
      </c>
      <c r="R1109">
        <f t="shared" si="1031"/>
        <v>-1002825.0953220911</v>
      </c>
      <c r="S1109">
        <f t="shared" si="1032"/>
        <v>-10.028250953220912</v>
      </c>
      <c r="T1109">
        <f t="shared" si="1033"/>
        <v>-1.0028250953220913E-2</v>
      </c>
    </row>
    <row r="1110" spans="1:20" x14ac:dyDescent="0.25">
      <c r="A1110" s="5">
        <v>43483</v>
      </c>
      <c r="B1110">
        <v>31.38</v>
      </c>
      <c r="C1110">
        <v>31.53</v>
      </c>
      <c r="D1110">
        <v>30.31</v>
      </c>
      <c r="E1110">
        <v>30.77</v>
      </c>
      <c r="F1110">
        <v>150711.34443999999</v>
      </c>
      <c r="G1110">
        <v>0</v>
      </c>
      <c r="L1110" t="s">
        <v>7</v>
      </c>
      <c r="M1110" t="s">
        <v>7</v>
      </c>
      <c r="N1110" t="s">
        <v>8</v>
      </c>
      <c r="P1110">
        <f t="shared" si="1029"/>
        <v>-0.2459016393442624</v>
      </c>
      <c r="Q1110">
        <f t="shared" si="1030"/>
        <v>-37060.166665573786</v>
      </c>
      <c r="R1110">
        <f t="shared" si="1031"/>
        <v>-1026614.29875037</v>
      </c>
      <c r="S1110">
        <f t="shared" si="1032"/>
        <v>-10.2661429875037</v>
      </c>
      <c r="T1110">
        <f t="shared" si="1033"/>
        <v>-1.0266142987503701E-2</v>
      </c>
    </row>
    <row r="1111" spans="1:20" x14ac:dyDescent="0.25">
      <c r="A1111" s="5">
        <v>43482</v>
      </c>
      <c r="B1111">
        <v>31.29</v>
      </c>
      <c r="C1111">
        <v>31.55</v>
      </c>
      <c r="D1111">
        <v>29.8</v>
      </c>
      <c r="E1111">
        <v>31.4</v>
      </c>
      <c r="F1111">
        <v>203218.00286000001</v>
      </c>
      <c r="G1111">
        <v>0</v>
      </c>
      <c r="L1111" t="s">
        <v>7</v>
      </c>
      <c r="M1111" t="s">
        <v>7</v>
      </c>
      <c r="N1111" t="s">
        <v>8</v>
      </c>
      <c r="P1111">
        <f t="shared" si="1029"/>
        <v>0.82857142857142618</v>
      </c>
      <c r="Q1111">
        <f t="shared" si="1030"/>
        <v>168380.63094114239</v>
      </c>
      <c r="R1111">
        <f t="shared" si="1031"/>
        <v>-989554.13208479621</v>
      </c>
      <c r="S1111">
        <f t="shared" si="1032"/>
        <v>-9.8955413208479612</v>
      </c>
      <c r="T1111">
        <f t="shared" si="1033"/>
        <v>-9.8955413208479618E-3</v>
      </c>
    </row>
    <row r="1112" spans="1:20" x14ac:dyDescent="0.25">
      <c r="A1112" s="5">
        <v>43481</v>
      </c>
      <c r="B1112">
        <v>30.74</v>
      </c>
      <c r="C1112">
        <v>31.93</v>
      </c>
      <c r="D1112">
        <v>30.47</v>
      </c>
      <c r="E1112">
        <v>31.29</v>
      </c>
      <c r="F1112">
        <v>153939.59622000001</v>
      </c>
      <c r="G1112">
        <v>0</v>
      </c>
      <c r="L1112" t="s">
        <v>7</v>
      </c>
      <c r="M1112" t="s">
        <v>7</v>
      </c>
      <c r="N1112" t="s">
        <v>8</v>
      </c>
      <c r="P1112">
        <f t="shared" si="1029"/>
        <v>0.12328767123287644</v>
      </c>
      <c r="Q1112">
        <f t="shared" si="1030"/>
        <v>18978.854328493111</v>
      </c>
      <c r="R1112">
        <f t="shared" si="1031"/>
        <v>-1157934.7630259385</v>
      </c>
      <c r="S1112">
        <f t="shared" si="1032"/>
        <v>-11.579347630259385</v>
      </c>
      <c r="T1112">
        <f t="shared" si="1033"/>
        <v>-1.1579347630259385E-2</v>
      </c>
    </row>
    <row r="1113" spans="1:20" x14ac:dyDescent="0.25">
      <c r="A1113" s="5">
        <v>43480</v>
      </c>
      <c r="B1113">
        <v>31.72</v>
      </c>
      <c r="C1113">
        <v>32.270000000000003</v>
      </c>
      <c r="D1113">
        <v>29.95</v>
      </c>
      <c r="E1113">
        <v>30.75</v>
      </c>
      <c r="F1113">
        <v>216841.86085</v>
      </c>
      <c r="G1113">
        <v>0</v>
      </c>
      <c r="L1113" t="s">
        <v>7</v>
      </c>
      <c r="M1113" t="s">
        <v>7</v>
      </c>
      <c r="N1113" t="s">
        <v>8</v>
      </c>
      <c r="P1113">
        <f t="shared" si="1029"/>
        <v>-0.31034482758620741</v>
      </c>
      <c r="Q1113">
        <f t="shared" si="1030"/>
        <v>-67295.749918965623</v>
      </c>
      <c r="R1113">
        <f t="shared" si="1031"/>
        <v>-1176913.6173544317</v>
      </c>
      <c r="S1113">
        <f t="shared" si="1032"/>
        <v>-11.769136173544316</v>
      </c>
      <c r="T1113">
        <f t="shared" si="1033"/>
        <v>-1.1769136173544316E-2</v>
      </c>
    </row>
    <row r="1114" spans="1:20" x14ac:dyDescent="0.25">
      <c r="A1114" s="5">
        <v>43479</v>
      </c>
      <c r="B1114">
        <v>29.6</v>
      </c>
      <c r="C1114">
        <v>32.5</v>
      </c>
      <c r="D1114">
        <v>29.38</v>
      </c>
      <c r="E1114">
        <v>31.71</v>
      </c>
      <c r="F1114">
        <v>255282.35801</v>
      </c>
      <c r="G1114">
        <v>0</v>
      </c>
      <c r="L1114" t="s">
        <v>8</v>
      </c>
      <c r="M1114" t="s">
        <v>7</v>
      </c>
      <c r="N1114" t="s">
        <v>8</v>
      </c>
      <c r="P1114">
        <f t="shared" si="1029"/>
        <v>0.49358974358974428</v>
      </c>
      <c r="Q1114">
        <f t="shared" si="1030"/>
        <v>126004.7536331412</v>
      </c>
      <c r="R1114">
        <f t="shared" si="1031"/>
        <v>-1109617.867435466</v>
      </c>
      <c r="S1114">
        <f t="shared" si="1032"/>
        <v>-11.096178674354661</v>
      </c>
      <c r="T1114">
        <f t="shared" si="1033"/>
        <v>-1.1096178674354661E-2</v>
      </c>
    </row>
    <row r="1115" spans="1:20" x14ac:dyDescent="0.25">
      <c r="A1115" s="5">
        <v>43478</v>
      </c>
      <c r="B1115">
        <v>31.65</v>
      </c>
      <c r="C1115">
        <v>32.630000000000003</v>
      </c>
      <c r="D1115">
        <v>29.12</v>
      </c>
      <c r="E1115">
        <v>29.59</v>
      </c>
      <c r="F1115">
        <v>229264.11927</v>
      </c>
      <c r="G1115">
        <v>0</v>
      </c>
      <c r="L1115" t="s">
        <v>7</v>
      </c>
      <c r="M1115" t="s">
        <v>7</v>
      </c>
      <c r="N1115" t="s">
        <v>8</v>
      </c>
      <c r="P1115">
        <f t="shared" si="1029"/>
        <v>-0.73219373219373296</v>
      </c>
      <c r="Q1115">
        <f t="shared" si="1030"/>
        <v>-167865.75114641042</v>
      </c>
      <c r="R1115">
        <f t="shared" si="1031"/>
        <v>-1235622.6210686073</v>
      </c>
      <c r="S1115">
        <f t="shared" si="1032"/>
        <v>-12.356226210686073</v>
      </c>
      <c r="T1115">
        <f t="shared" si="1033"/>
        <v>-1.2356226210686072E-2</v>
      </c>
    </row>
    <row r="1116" spans="1:20" x14ac:dyDescent="0.25">
      <c r="A1116" s="5">
        <v>43477</v>
      </c>
      <c r="B1116">
        <v>31.48</v>
      </c>
      <c r="C1116">
        <v>32.130000000000003</v>
      </c>
      <c r="D1116">
        <v>31.07</v>
      </c>
      <c r="E1116">
        <v>31.65</v>
      </c>
      <c r="F1116">
        <v>178476.28718000001</v>
      </c>
      <c r="G1116">
        <v>0</v>
      </c>
      <c r="L1116" t="s">
        <v>8</v>
      </c>
      <c r="M1116" t="s">
        <v>7</v>
      </c>
      <c r="N1116" t="s">
        <v>8</v>
      </c>
      <c r="P1116">
        <f t="shared" si="1029"/>
        <v>9.4339622641503876E-2</v>
      </c>
      <c r="Q1116">
        <f t="shared" si="1030"/>
        <v>16837.385583017876</v>
      </c>
      <c r="R1116">
        <f t="shared" si="1031"/>
        <v>-1067756.869922197</v>
      </c>
      <c r="S1116">
        <f t="shared" si="1032"/>
        <v>-10.67756869922197</v>
      </c>
      <c r="T1116">
        <f t="shared" si="1033"/>
        <v>-1.067756869922197E-2</v>
      </c>
    </row>
    <row r="1117" spans="1:20" x14ac:dyDescent="0.25">
      <c r="A1117" s="5">
        <v>43476</v>
      </c>
      <c r="B1117">
        <v>32.81</v>
      </c>
      <c r="C1117">
        <v>33.22</v>
      </c>
      <c r="D1117">
        <v>29.68</v>
      </c>
      <c r="E1117">
        <v>31.49</v>
      </c>
      <c r="F1117">
        <v>351182.38165</v>
      </c>
      <c r="G1117">
        <v>0</v>
      </c>
      <c r="L1117" t="s">
        <v>7</v>
      </c>
      <c r="M1117" t="s">
        <v>7</v>
      </c>
      <c r="N1117" t="s">
        <v>8</v>
      </c>
      <c r="P1117">
        <f t="shared" si="1029"/>
        <v>2.25988700564967E-2</v>
      </c>
      <c r="Q1117">
        <f t="shared" si="1030"/>
        <v>7936.3250090393813</v>
      </c>
      <c r="R1117">
        <f t="shared" si="1031"/>
        <v>-1084594.2555052149</v>
      </c>
      <c r="S1117">
        <f t="shared" si="1032"/>
        <v>-10.845942555052149</v>
      </c>
      <c r="T1117">
        <f t="shared" si="1033"/>
        <v>-1.0845942555052149E-2</v>
      </c>
    </row>
    <row r="1118" spans="1:20" x14ac:dyDescent="0.25">
      <c r="A1118" s="5">
        <v>43475</v>
      </c>
      <c r="B1118">
        <v>38.17</v>
      </c>
      <c r="C1118">
        <v>38.770000000000003</v>
      </c>
      <c r="D1118">
        <v>31</v>
      </c>
      <c r="E1118">
        <v>32.81</v>
      </c>
      <c r="F1118">
        <v>584622.45389999996</v>
      </c>
      <c r="G1118">
        <v>0</v>
      </c>
      <c r="L1118" t="s">
        <v>7</v>
      </c>
      <c r="M1118" t="s">
        <v>7</v>
      </c>
      <c r="N1118" t="s">
        <v>8</v>
      </c>
      <c r="P1118">
        <f t="shared" si="1029"/>
        <v>-0.53410553410553374</v>
      </c>
      <c r="Q1118">
        <f t="shared" si="1030"/>
        <v>-312250.08799034724</v>
      </c>
      <c r="R1118">
        <f t="shared" si="1031"/>
        <v>-1092530.5805142543</v>
      </c>
      <c r="S1118">
        <f t="shared" si="1032"/>
        <v>-10.925305805142543</v>
      </c>
      <c r="T1118">
        <f t="shared" si="1033"/>
        <v>-1.0925305805142543E-2</v>
      </c>
    </row>
    <row r="1119" spans="1:20" x14ac:dyDescent="0.25">
      <c r="A1119" s="5">
        <v>43474</v>
      </c>
      <c r="B1119">
        <v>38.700000000000003</v>
      </c>
      <c r="C1119">
        <v>39.72</v>
      </c>
      <c r="D1119">
        <v>38</v>
      </c>
      <c r="E1119">
        <v>38.17</v>
      </c>
      <c r="F1119">
        <v>312030.13020999997</v>
      </c>
      <c r="G1119">
        <v>0</v>
      </c>
      <c r="L1119" t="s">
        <v>7</v>
      </c>
      <c r="M1119" t="s">
        <v>8</v>
      </c>
      <c r="N1119" t="s">
        <v>8</v>
      </c>
      <c r="P1119">
        <f t="shared" si="1029"/>
        <v>-0.80232558139534671</v>
      </c>
      <c r="Q1119">
        <f t="shared" si="1030"/>
        <v>-250349.75563360396</v>
      </c>
      <c r="R1119">
        <f t="shared" si="1031"/>
        <v>-780280.49252390699</v>
      </c>
      <c r="S1119">
        <f t="shared" si="1032"/>
        <v>-7.8028049252390694</v>
      </c>
      <c r="T1119">
        <f t="shared" si="1033"/>
        <v>-7.8028049252390694E-3</v>
      </c>
    </row>
    <row r="1120" spans="1:20" x14ac:dyDescent="0.25">
      <c r="A1120" s="5">
        <v>43473</v>
      </c>
      <c r="B1120">
        <v>37.35</v>
      </c>
      <c r="C1120">
        <v>40.799999999999997</v>
      </c>
      <c r="D1120">
        <v>36.909999999999997</v>
      </c>
      <c r="E1120">
        <v>38.700000000000003</v>
      </c>
      <c r="F1120">
        <v>522510.17142000003</v>
      </c>
      <c r="G1120">
        <v>0</v>
      </c>
      <c r="L1120" t="s">
        <v>8</v>
      </c>
      <c r="M1120" t="s">
        <v>8</v>
      </c>
      <c r="N1120" t="s">
        <v>8</v>
      </c>
      <c r="P1120">
        <f t="shared" si="1029"/>
        <v>-7.9691516709508484E-2</v>
      </c>
      <c r="Q1120">
        <f t="shared" si="1030"/>
        <v>-41639.628056605077</v>
      </c>
      <c r="R1120">
        <f t="shared" si="1031"/>
        <v>-529930.73689030297</v>
      </c>
      <c r="S1120">
        <f t="shared" si="1032"/>
        <v>-5.2993073689030297</v>
      </c>
      <c r="T1120">
        <f t="shared" si="1033"/>
        <v>-5.2993073689030293E-3</v>
      </c>
    </row>
    <row r="1121" spans="1:20" x14ac:dyDescent="0.25">
      <c r="A1121" s="5">
        <v>43472</v>
      </c>
      <c r="B1121">
        <v>38.29</v>
      </c>
      <c r="C1121">
        <v>39.04</v>
      </c>
      <c r="D1121">
        <v>36.53</v>
      </c>
      <c r="E1121">
        <v>37.35</v>
      </c>
      <c r="F1121">
        <v>444975.92430999997</v>
      </c>
      <c r="G1121">
        <v>0</v>
      </c>
      <c r="L1121" t="s">
        <v>7</v>
      </c>
      <c r="M1121" t="s">
        <v>8</v>
      </c>
      <c r="N1121" t="s">
        <v>8</v>
      </c>
      <c r="P1121">
        <f t="shared" si="1029"/>
        <v>-0.34661354581673232</v>
      </c>
      <c r="Q1121">
        <f t="shared" si="1030"/>
        <v>-154234.68292816699</v>
      </c>
      <c r="R1121">
        <f t="shared" si="1031"/>
        <v>-488291.10883369792</v>
      </c>
      <c r="S1121">
        <f t="shared" si="1032"/>
        <v>-4.8829110883369795</v>
      </c>
      <c r="T1121">
        <f t="shared" si="1033"/>
        <v>-4.8829110883369794E-3</v>
      </c>
    </row>
    <row r="1122" spans="1:20" x14ac:dyDescent="0.25">
      <c r="A1122" s="5">
        <v>43471</v>
      </c>
      <c r="B1122">
        <v>34.33</v>
      </c>
      <c r="C1122">
        <v>39.71</v>
      </c>
      <c r="D1122">
        <v>33.89</v>
      </c>
      <c r="E1122">
        <v>38.299999999999997</v>
      </c>
      <c r="F1122">
        <v>761396.10676</v>
      </c>
      <c r="G1122">
        <v>0</v>
      </c>
      <c r="L1122" t="s">
        <v>8</v>
      </c>
      <c r="M1122" t="s">
        <v>8</v>
      </c>
      <c r="N1122" t="s">
        <v>8</v>
      </c>
      <c r="P1122">
        <f t="shared" si="1029"/>
        <v>0.51546391752577192</v>
      </c>
      <c r="Q1122">
        <f t="shared" si="1030"/>
        <v>392472.21997938049</v>
      </c>
      <c r="R1122">
        <f t="shared" si="1031"/>
        <v>-334056.42590553092</v>
      </c>
      <c r="S1122">
        <f t="shared" si="1032"/>
        <v>-3.3405642590553093</v>
      </c>
      <c r="T1122">
        <f t="shared" si="1033"/>
        <v>-3.3405642590553092E-3</v>
      </c>
    </row>
    <row r="1123" spans="1:20" x14ac:dyDescent="0.25">
      <c r="A1123" s="5">
        <v>43470</v>
      </c>
      <c r="B1123">
        <v>31.76</v>
      </c>
      <c r="C1123">
        <v>35.950000000000003</v>
      </c>
      <c r="D1123">
        <v>31.76</v>
      </c>
      <c r="E1123">
        <v>34.33</v>
      </c>
      <c r="F1123">
        <v>335581.55848000001</v>
      </c>
      <c r="G1123">
        <v>0</v>
      </c>
      <c r="L1123" t="s">
        <v>8</v>
      </c>
      <c r="M1123" t="s">
        <v>8</v>
      </c>
      <c r="N1123" t="s">
        <v>8</v>
      </c>
      <c r="P1123">
        <f t="shared" si="1029"/>
        <v>0.22673031026252791</v>
      </c>
      <c r="Q1123">
        <f t="shared" si="1030"/>
        <v>76086.510872553059</v>
      </c>
      <c r="R1123">
        <f t="shared" si="1031"/>
        <v>-726528.64588491141</v>
      </c>
      <c r="S1123">
        <f t="shared" si="1032"/>
        <v>-7.2652864588491139</v>
      </c>
      <c r="T1123">
        <f t="shared" si="1033"/>
        <v>-7.2652864588491142E-3</v>
      </c>
    </row>
    <row r="1124" spans="1:20" x14ac:dyDescent="0.25">
      <c r="A1124" s="5">
        <v>43469</v>
      </c>
      <c r="B1124">
        <v>31.41</v>
      </c>
      <c r="C1124">
        <v>32.53</v>
      </c>
      <c r="D1124">
        <v>30.78</v>
      </c>
      <c r="E1124">
        <v>31.76</v>
      </c>
      <c r="F1124">
        <v>108636.82193000001</v>
      </c>
      <c r="G1124">
        <v>0</v>
      </c>
      <c r="L1124" t="s">
        <v>7</v>
      </c>
      <c r="M1124" t="s">
        <v>8</v>
      </c>
      <c r="N1124" t="s">
        <v>8</v>
      </c>
      <c r="P1124">
        <f t="shared" si="1029"/>
        <v>0.12000000000000048</v>
      </c>
      <c r="Q1124">
        <f t="shared" si="1030"/>
        <v>13036.418631600052</v>
      </c>
      <c r="R1124">
        <f t="shared" si="1031"/>
        <v>-802615.15675746452</v>
      </c>
      <c r="S1124">
        <f t="shared" si="1032"/>
        <v>-8.0261515675746455</v>
      </c>
      <c r="T1124">
        <f t="shared" si="1033"/>
        <v>-8.0261515675746457E-3</v>
      </c>
    </row>
    <row r="1125" spans="1:20" x14ac:dyDescent="0.25">
      <c r="A1125" s="5">
        <v>43468</v>
      </c>
      <c r="B1125">
        <v>32.68</v>
      </c>
      <c r="C1125">
        <v>32.799999999999997</v>
      </c>
      <c r="D1125">
        <v>30.62</v>
      </c>
      <c r="E1125">
        <v>31.39</v>
      </c>
      <c r="F1125">
        <v>94129.851139999999</v>
      </c>
      <c r="G1125">
        <v>0</v>
      </c>
      <c r="L1125" t="s">
        <v>7</v>
      </c>
      <c r="M1125" t="s">
        <v>8</v>
      </c>
      <c r="N1125" t="s">
        <v>8</v>
      </c>
      <c r="P1125">
        <f t="shared" si="1029"/>
        <v>-0.29357798165137527</v>
      </c>
      <c r="Q1125">
        <f t="shared" si="1030"/>
        <v>-27634.451710825604</v>
      </c>
      <c r="R1125">
        <f t="shared" si="1031"/>
        <v>-815651.57538906462</v>
      </c>
      <c r="S1125">
        <f t="shared" si="1032"/>
        <v>-8.1565157538906465</v>
      </c>
      <c r="T1125">
        <f t="shared" si="1033"/>
        <v>-8.1565157538906457E-3</v>
      </c>
    </row>
    <row r="1126" spans="1:20" x14ac:dyDescent="0.25">
      <c r="A1126" s="5">
        <v>43467</v>
      </c>
      <c r="B1126">
        <v>31.47</v>
      </c>
      <c r="C1126">
        <v>33.29</v>
      </c>
      <c r="D1126">
        <v>31.07</v>
      </c>
      <c r="E1126">
        <v>32.67</v>
      </c>
      <c r="F1126">
        <v>118306.23317000001</v>
      </c>
      <c r="G1126">
        <v>0</v>
      </c>
      <c r="L1126" t="s">
        <v>8</v>
      </c>
      <c r="M1126" t="s">
        <v>8</v>
      </c>
      <c r="N1126" t="s">
        <v>8</v>
      </c>
      <c r="P1126">
        <f t="shared" si="1029"/>
        <v>0.44144144144144348</v>
      </c>
      <c r="Q1126">
        <f t="shared" si="1030"/>
        <v>52225.274102072319</v>
      </c>
      <c r="R1126">
        <f t="shared" si="1031"/>
        <v>-788017.12367823906</v>
      </c>
      <c r="S1126">
        <f t="shared" si="1032"/>
        <v>-7.8801712367823908</v>
      </c>
      <c r="T1126">
        <f t="shared" si="1033"/>
        <v>-7.8801712367823906E-3</v>
      </c>
    </row>
    <row r="1127" spans="1:20" x14ac:dyDescent="0.25">
      <c r="A1127" s="5">
        <v>43466</v>
      </c>
      <c r="B1127">
        <v>29.92</v>
      </c>
      <c r="C1127">
        <v>31.8</v>
      </c>
      <c r="D1127">
        <v>29.56</v>
      </c>
      <c r="E1127">
        <v>31.48</v>
      </c>
      <c r="F1127">
        <v>103182.73765</v>
      </c>
      <c r="G1127">
        <v>0</v>
      </c>
      <c r="L1127" t="s">
        <v>8</v>
      </c>
      <c r="M1127" t="s">
        <v>8</v>
      </c>
      <c r="N1127" t="s">
        <v>8</v>
      </c>
      <c r="P1127">
        <f t="shared" si="1029"/>
        <v>0.7142857142857143</v>
      </c>
      <c r="Q1127">
        <f t="shared" si="1030"/>
        <v>73701.955464285711</v>
      </c>
      <c r="R1127">
        <f t="shared" si="1031"/>
        <v>-840242.39778031141</v>
      </c>
      <c r="S1127">
        <f t="shared" si="1032"/>
        <v>-8.4024239778031138</v>
      </c>
      <c r="T1127">
        <f t="shared" si="1033"/>
        <v>-8.4024239778031137E-3</v>
      </c>
    </row>
    <row r="1128" spans="1:20" x14ac:dyDescent="0.25">
      <c r="A1128" s="5">
        <v>43465</v>
      </c>
      <c r="B1128">
        <v>31.38</v>
      </c>
      <c r="C1128">
        <v>31.43</v>
      </c>
      <c r="D1128">
        <v>29.42</v>
      </c>
      <c r="E1128">
        <v>29.9</v>
      </c>
      <c r="F1128">
        <v>97446.112410000002</v>
      </c>
      <c r="G1128">
        <v>0</v>
      </c>
      <c r="L1128" t="s">
        <v>7</v>
      </c>
      <c r="M1128" t="s">
        <v>8</v>
      </c>
      <c r="N1128" t="s">
        <v>8</v>
      </c>
      <c r="P1128">
        <f t="shared" si="1029"/>
        <v>-0.52238805970149516</v>
      </c>
      <c r="Q1128">
        <f t="shared" si="1030"/>
        <v>-50904.685587313688</v>
      </c>
      <c r="R1128">
        <f t="shared" si="1031"/>
        <v>-913944.35324459709</v>
      </c>
      <c r="S1128">
        <f t="shared" si="1032"/>
        <v>-9.1394435324459717</v>
      </c>
      <c r="T1128">
        <f t="shared" si="1033"/>
        <v>-9.1394435324459716E-3</v>
      </c>
    </row>
    <row r="1129" spans="1:20" x14ac:dyDescent="0.25">
      <c r="A1129" s="5">
        <v>43464</v>
      </c>
      <c r="B1129">
        <v>30.28</v>
      </c>
      <c r="C1129">
        <v>32</v>
      </c>
      <c r="D1129">
        <v>29.68</v>
      </c>
      <c r="E1129">
        <v>31.38</v>
      </c>
      <c r="F1129">
        <v>151572.93045000001</v>
      </c>
      <c r="G1129">
        <v>0</v>
      </c>
      <c r="L1129" t="s">
        <v>8</v>
      </c>
      <c r="M1129" t="s">
        <v>8</v>
      </c>
      <c r="N1129" t="s">
        <v>8</v>
      </c>
      <c r="P1129">
        <f t="shared" si="1029"/>
        <v>0.46551724137930955</v>
      </c>
      <c r="Q1129">
        <f t="shared" si="1030"/>
        <v>70559.812450861951</v>
      </c>
      <c r="R1129">
        <f t="shared" si="1031"/>
        <v>-863039.66765728337</v>
      </c>
      <c r="S1129">
        <f t="shared" si="1032"/>
        <v>-8.6303966765728344</v>
      </c>
      <c r="T1129">
        <f t="shared" si="1033"/>
        <v>-8.6303966765728345E-3</v>
      </c>
    </row>
    <row r="1130" spans="1:20" x14ac:dyDescent="0.25">
      <c r="A1130" s="5">
        <v>43463</v>
      </c>
      <c r="B1130">
        <v>31.78</v>
      </c>
      <c r="C1130">
        <v>32.81</v>
      </c>
      <c r="D1130">
        <v>29.91</v>
      </c>
      <c r="E1130">
        <v>30.28</v>
      </c>
      <c r="F1130">
        <v>222196.85698000001</v>
      </c>
      <c r="G1130">
        <v>0</v>
      </c>
      <c r="L1130" t="s">
        <v>7</v>
      </c>
      <c r="M1130" t="s">
        <v>8</v>
      </c>
      <c r="N1130" t="s">
        <v>8</v>
      </c>
      <c r="P1130">
        <f t="shared" si="1029"/>
        <v>-0.74482758620689604</v>
      </c>
      <c r="Q1130">
        <f t="shared" si="1030"/>
        <v>-165498.3486471723</v>
      </c>
      <c r="R1130">
        <f t="shared" si="1031"/>
        <v>-933599.48010814528</v>
      </c>
      <c r="S1130">
        <f t="shared" si="1032"/>
        <v>-9.3359948010814531</v>
      </c>
      <c r="T1130">
        <f t="shared" si="1033"/>
        <v>-9.3359948010814531E-3</v>
      </c>
    </row>
    <row r="1131" spans="1:20" x14ac:dyDescent="0.25">
      <c r="A1131" s="5">
        <v>43462</v>
      </c>
      <c r="B1131">
        <v>27.55</v>
      </c>
      <c r="C1131">
        <v>33.08</v>
      </c>
      <c r="D1131">
        <v>27.39</v>
      </c>
      <c r="E1131">
        <v>31.8</v>
      </c>
      <c r="F1131">
        <v>242123.89749999999</v>
      </c>
      <c r="G1131">
        <v>0</v>
      </c>
      <c r="L1131" t="s">
        <v>8</v>
      </c>
      <c r="M1131" t="s">
        <v>8</v>
      </c>
      <c r="N1131" t="s">
        <v>8</v>
      </c>
      <c r="P1131">
        <f t="shared" si="1029"/>
        <v>0.5500878734622151</v>
      </c>
      <c r="Q1131">
        <f t="shared" si="1030"/>
        <v>133189.41989015834</v>
      </c>
      <c r="R1131">
        <f t="shared" si="1031"/>
        <v>-768101.13146097295</v>
      </c>
      <c r="S1131">
        <f t="shared" si="1032"/>
        <v>-7.6810113146097292</v>
      </c>
      <c r="T1131">
        <f t="shared" si="1033"/>
        <v>-7.6810113146097295E-3</v>
      </c>
    </row>
    <row r="1132" spans="1:20" x14ac:dyDescent="0.25">
      <c r="A1132" s="5">
        <v>43461</v>
      </c>
      <c r="B1132">
        <v>30.27</v>
      </c>
      <c r="C1132">
        <v>30.89</v>
      </c>
      <c r="D1132">
        <v>27.17</v>
      </c>
      <c r="E1132">
        <v>27.55</v>
      </c>
      <c r="F1132">
        <v>157817.22610999999</v>
      </c>
      <c r="G1132">
        <v>0</v>
      </c>
      <c r="L1132" t="s">
        <v>7</v>
      </c>
      <c r="M1132" t="s">
        <v>7</v>
      </c>
      <c r="N1132" t="s">
        <v>8</v>
      </c>
      <c r="P1132">
        <f t="shared" si="1029"/>
        <v>-0.79569892473118331</v>
      </c>
      <c r="Q1132">
        <f t="shared" si="1030"/>
        <v>-125574.99711978502</v>
      </c>
      <c r="R1132">
        <f t="shared" si="1031"/>
        <v>-901290.55135113129</v>
      </c>
      <c r="S1132">
        <f t="shared" si="1032"/>
        <v>-9.0129055135113134</v>
      </c>
      <c r="T1132">
        <f t="shared" si="1033"/>
        <v>-9.0129055135113132E-3</v>
      </c>
    </row>
    <row r="1133" spans="1:20" x14ac:dyDescent="0.25">
      <c r="A1133" s="5">
        <v>43460</v>
      </c>
      <c r="B1133">
        <v>30.5</v>
      </c>
      <c r="C1133">
        <v>31.68</v>
      </c>
      <c r="D1133">
        <v>28.79</v>
      </c>
      <c r="E1133">
        <v>30.3</v>
      </c>
      <c r="F1133">
        <v>174048.04136</v>
      </c>
      <c r="G1133">
        <v>0</v>
      </c>
      <c r="L1133" t="s">
        <v>7</v>
      </c>
      <c r="M1133" t="s">
        <v>7</v>
      </c>
      <c r="N1133" t="s">
        <v>8</v>
      </c>
      <c r="P1133">
        <f t="shared" si="1029"/>
        <v>4.4982698961938593E-2</v>
      </c>
      <c r="Q1133">
        <f t="shared" si="1030"/>
        <v>7829.1506494119176</v>
      </c>
      <c r="R1133">
        <f t="shared" si="1031"/>
        <v>-775715.55423134624</v>
      </c>
      <c r="S1133">
        <f t="shared" si="1032"/>
        <v>-7.7571555423134626</v>
      </c>
      <c r="T1133">
        <f t="shared" si="1033"/>
        <v>-7.7571555423134623E-3</v>
      </c>
    </row>
    <row r="1134" spans="1:20" x14ac:dyDescent="0.25">
      <c r="A1134" s="5">
        <v>43459</v>
      </c>
      <c r="B1134">
        <v>32.69</v>
      </c>
      <c r="C1134">
        <v>32.93</v>
      </c>
      <c r="D1134">
        <v>29.19</v>
      </c>
      <c r="E1134">
        <v>30.5</v>
      </c>
      <c r="F1134">
        <v>248993.55556000001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-0.29946524064171159</v>
      </c>
      <c r="Q1134">
        <f t="shared" si="1030"/>
        <v>-74564.915034010788</v>
      </c>
      <c r="R1134">
        <f t="shared" si="1031"/>
        <v>-783544.70488075819</v>
      </c>
      <c r="S1134">
        <f t="shared" si="1032"/>
        <v>-7.8354470488075822</v>
      </c>
      <c r="T1134">
        <f t="shared" si="1033"/>
        <v>-7.8354470488075818E-3</v>
      </c>
    </row>
    <row r="1135" spans="1:20" x14ac:dyDescent="0.25">
      <c r="A1135" s="5">
        <v>43458</v>
      </c>
      <c r="B1135">
        <v>32.979999999999997</v>
      </c>
      <c r="C1135">
        <v>36.119999999999997</v>
      </c>
      <c r="D1135">
        <v>32.17</v>
      </c>
      <c r="E1135">
        <v>32.68</v>
      </c>
      <c r="F1135">
        <v>305504.74498000002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-0.74177215189873491</v>
      </c>
      <c r="Q1135">
        <f t="shared" si="1030"/>
        <v>-226614.91209908883</v>
      </c>
      <c r="R1135">
        <f t="shared" si="1031"/>
        <v>-708979.78984674742</v>
      </c>
      <c r="S1135">
        <f t="shared" si="1032"/>
        <v>-7.0897978984674745</v>
      </c>
      <c r="T1135">
        <f t="shared" si="1033"/>
        <v>-7.0897978984674741E-3</v>
      </c>
    </row>
    <row r="1136" spans="1:20" x14ac:dyDescent="0.25">
      <c r="A1136" s="5">
        <v>43457</v>
      </c>
      <c r="B1136">
        <v>31.29</v>
      </c>
      <c r="C1136">
        <v>33.840000000000003</v>
      </c>
      <c r="D1136">
        <v>31.09</v>
      </c>
      <c r="E1136">
        <v>32.97</v>
      </c>
      <c r="F1136">
        <v>255561.72891000001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0.36727272727272481</v>
      </c>
      <c r="Q1136">
        <f t="shared" si="1030"/>
        <v>93860.853163308464</v>
      </c>
      <c r="R1136">
        <f t="shared" si="1031"/>
        <v>-482364.87774765864</v>
      </c>
      <c r="S1136">
        <f t="shared" si="1032"/>
        <v>-4.8236487774765866</v>
      </c>
      <c r="T1136">
        <f t="shared" si="1033"/>
        <v>-4.8236487774765864E-3</v>
      </c>
    </row>
    <row r="1137" spans="1:20" x14ac:dyDescent="0.25">
      <c r="A1137" s="5">
        <v>43456</v>
      </c>
      <c r="B1137">
        <v>30.29</v>
      </c>
      <c r="C1137">
        <v>31.49</v>
      </c>
      <c r="D1137">
        <v>29.7</v>
      </c>
      <c r="E1137">
        <v>31.33</v>
      </c>
      <c r="F1137">
        <v>106033.33577000001</v>
      </c>
      <c r="G1137">
        <v>0</v>
      </c>
      <c r="L1137" t="s">
        <v>8</v>
      </c>
      <c r="M1137" t="s">
        <v>8</v>
      </c>
      <c r="N1137" t="s">
        <v>8</v>
      </c>
      <c r="P1137">
        <f t="shared" si="1029"/>
        <v>0.82122905027932935</v>
      </c>
      <c r="Q1137">
        <f t="shared" si="1030"/>
        <v>87077.655632346345</v>
      </c>
      <c r="R1137">
        <f t="shared" si="1031"/>
        <v>-576225.7309109671</v>
      </c>
      <c r="S1137">
        <f t="shared" si="1032"/>
        <v>-5.7622573091096712</v>
      </c>
      <c r="T1137">
        <f t="shared" si="1033"/>
        <v>-5.7622573091096708E-3</v>
      </c>
    </row>
    <row r="1138" spans="1:20" x14ac:dyDescent="0.25">
      <c r="A1138" s="5">
        <v>43455</v>
      </c>
      <c r="B1138">
        <v>32.18</v>
      </c>
      <c r="C1138">
        <v>32.869999999999997</v>
      </c>
      <c r="D1138">
        <v>29.55</v>
      </c>
      <c r="E1138">
        <v>30.29</v>
      </c>
      <c r="F1138">
        <v>222927.66344999999</v>
      </c>
      <c r="G1138">
        <v>0</v>
      </c>
      <c r="L1138" t="s">
        <v>7</v>
      </c>
      <c r="M1138" t="s">
        <v>8</v>
      </c>
      <c r="N1138" t="s">
        <v>8</v>
      </c>
      <c r="P1138">
        <f t="shared" si="1029"/>
        <v>-0.55421686746987997</v>
      </c>
      <c r="Q1138">
        <f t="shared" si="1030"/>
        <v>-123550.27130963866</v>
      </c>
      <c r="R1138">
        <f t="shared" si="1031"/>
        <v>-663303.38654331351</v>
      </c>
      <c r="S1138">
        <f t="shared" si="1032"/>
        <v>-6.6330338654331351</v>
      </c>
      <c r="T1138">
        <f t="shared" si="1033"/>
        <v>-6.6330338654331349E-3</v>
      </c>
    </row>
    <row r="1139" spans="1:20" x14ac:dyDescent="0.25">
      <c r="A1139" s="5">
        <v>43454</v>
      </c>
      <c r="B1139">
        <v>28.83</v>
      </c>
      <c r="C1139">
        <v>32.76</v>
      </c>
      <c r="D1139">
        <v>28.52</v>
      </c>
      <c r="E1139">
        <v>32.18</v>
      </c>
      <c r="F1139">
        <v>347428.50186999998</v>
      </c>
      <c r="G1139">
        <v>0</v>
      </c>
      <c r="L1139" t="s">
        <v>8</v>
      </c>
      <c r="M1139" t="s">
        <v>8</v>
      </c>
      <c r="N1139" t="s">
        <v>8</v>
      </c>
      <c r="P1139">
        <f t="shared" si="1029"/>
        <v>0.72641509433962337</v>
      </c>
      <c r="Q1139">
        <f t="shared" si="1030"/>
        <v>252377.30796217005</v>
      </c>
      <c r="R1139">
        <f t="shared" si="1031"/>
        <v>-539753.11523367488</v>
      </c>
      <c r="S1139">
        <f t="shared" si="1032"/>
        <v>-5.3975311523367484</v>
      </c>
      <c r="T1139">
        <f t="shared" si="1033"/>
        <v>-5.3975311523367488E-3</v>
      </c>
    </row>
    <row r="1140" spans="1:20" x14ac:dyDescent="0.25">
      <c r="A1140" s="5">
        <v>43453</v>
      </c>
      <c r="B1140">
        <v>29.89</v>
      </c>
      <c r="C1140">
        <v>31.55</v>
      </c>
      <c r="D1140">
        <v>28.51</v>
      </c>
      <c r="E1140">
        <v>28.83</v>
      </c>
      <c r="F1140">
        <v>464104.88134000002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-0.78947368421052844</v>
      </c>
      <c r="Q1140">
        <f t="shared" si="1030"/>
        <v>-366398.59053157998</v>
      </c>
      <c r="R1140">
        <f t="shared" si="1031"/>
        <v>-792130.42319584498</v>
      </c>
      <c r="S1140">
        <f t="shared" si="1032"/>
        <v>-7.9213042319584499</v>
      </c>
      <c r="T1140">
        <f t="shared" si="1033"/>
        <v>-7.9213042319584495E-3</v>
      </c>
    </row>
    <row r="1141" spans="1:20" x14ac:dyDescent="0.25">
      <c r="A1141" s="5">
        <v>43452</v>
      </c>
      <c r="B1141">
        <v>28.97</v>
      </c>
      <c r="C1141">
        <v>30.15</v>
      </c>
      <c r="D1141">
        <v>27.39</v>
      </c>
      <c r="E1141">
        <v>29.89</v>
      </c>
      <c r="F1141">
        <v>241540.21994000001</v>
      </c>
      <c r="G1141">
        <v>0</v>
      </c>
      <c r="L1141" t="s">
        <v>7</v>
      </c>
      <c r="M1141" t="s">
        <v>8</v>
      </c>
      <c r="N1141" t="s">
        <v>7</v>
      </c>
      <c r="P1141">
        <f t="shared" si="1029"/>
        <v>0.811594202898552</v>
      </c>
      <c r="Q1141">
        <f t="shared" si="1030"/>
        <v>196032.64227014524</v>
      </c>
      <c r="R1141">
        <f t="shared" si="1031"/>
        <v>-425731.83266426506</v>
      </c>
      <c r="S1141">
        <f t="shared" si="1032"/>
        <v>-4.2573183266426504</v>
      </c>
      <c r="T1141">
        <f t="shared" si="1033"/>
        <v>-4.2573183266426508E-3</v>
      </c>
    </row>
    <row r="1142" spans="1:20" x14ac:dyDescent="0.25">
      <c r="A1142" s="5">
        <v>43451</v>
      </c>
      <c r="B1142">
        <v>25.51</v>
      </c>
      <c r="C1142">
        <v>30.3</v>
      </c>
      <c r="D1142">
        <v>25.43</v>
      </c>
      <c r="E1142">
        <v>28.95</v>
      </c>
      <c r="F1142">
        <v>415677.55008999998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0.44558521560574904</v>
      </c>
      <c r="Q1142">
        <f t="shared" si="1030"/>
        <v>185219.77077932219</v>
      </c>
      <c r="R1142">
        <f t="shared" si="1031"/>
        <v>-621764.4749344103</v>
      </c>
      <c r="S1142">
        <f t="shared" si="1032"/>
        <v>-6.2176447493441032</v>
      </c>
      <c r="T1142">
        <f t="shared" si="1033"/>
        <v>-6.2176447493441029E-3</v>
      </c>
    </row>
    <row r="1143" spans="1:20" x14ac:dyDescent="0.25">
      <c r="A1143" s="5">
        <v>43450</v>
      </c>
      <c r="B1143">
        <v>23.59</v>
      </c>
      <c r="C1143">
        <v>26.96</v>
      </c>
      <c r="D1143">
        <v>23.48</v>
      </c>
      <c r="E1143">
        <v>25.52</v>
      </c>
      <c r="F1143">
        <v>284638.36642999999</v>
      </c>
      <c r="G1143">
        <v>0</v>
      </c>
      <c r="L1143" t="s">
        <v>8</v>
      </c>
      <c r="M1143" t="s">
        <v>8</v>
      </c>
      <c r="N1143" t="s">
        <v>7</v>
      </c>
      <c r="P1143">
        <f t="shared" si="1029"/>
        <v>0.17241379310344765</v>
      </c>
      <c r="Q1143">
        <f t="shared" si="1030"/>
        <v>49075.580418965335</v>
      </c>
      <c r="R1143">
        <f t="shared" si="1031"/>
        <v>-806984.24571373255</v>
      </c>
      <c r="S1143">
        <f t="shared" si="1032"/>
        <v>-8.0698424571373248</v>
      </c>
      <c r="T1143">
        <f t="shared" si="1033"/>
        <v>-8.0698424571373252E-3</v>
      </c>
    </row>
    <row r="1144" spans="1:20" x14ac:dyDescent="0.25">
      <c r="A1144" s="5">
        <v>43449</v>
      </c>
      <c r="B1144">
        <v>23.33</v>
      </c>
      <c r="C1144">
        <v>24.06</v>
      </c>
      <c r="D1144">
        <v>23.09</v>
      </c>
      <c r="E1144">
        <v>23.6</v>
      </c>
      <c r="F1144">
        <v>114346.73652000001</v>
      </c>
      <c r="G1144">
        <v>0</v>
      </c>
      <c r="L1144" t="s">
        <v>7</v>
      </c>
      <c r="M1144" t="s">
        <v>7</v>
      </c>
      <c r="N1144" t="s">
        <v>7</v>
      </c>
      <c r="P1144">
        <f t="shared" si="1029"/>
        <v>5.1546391752581779E-2</v>
      </c>
      <c r="Q1144">
        <f t="shared" si="1030"/>
        <v>5894.1616762891699</v>
      </c>
      <c r="R1144">
        <f t="shared" si="1031"/>
        <v>-856059.82613269787</v>
      </c>
      <c r="S1144">
        <f t="shared" si="1032"/>
        <v>-8.5605982613269784</v>
      </c>
      <c r="T1144">
        <f t="shared" si="1033"/>
        <v>-8.5605982613269783E-3</v>
      </c>
    </row>
    <row r="1145" spans="1:20" x14ac:dyDescent="0.25">
      <c r="A1145" s="5">
        <v>43448</v>
      </c>
      <c r="B1145">
        <v>23.06</v>
      </c>
      <c r="C1145">
        <v>23.76</v>
      </c>
      <c r="D1145">
        <v>22.5</v>
      </c>
      <c r="E1145">
        <v>23.34</v>
      </c>
      <c r="F1145">
        <v>115451.19357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0.33333333333333143</v>
      </c>
      <c r="Q1145">
        <f t="shared" si="1030"/>
        <v>38483.73118999978</v>
      </c>
      <c r="R1145">
        <f t="shared" si="1031"/>
        <v>-861953.98780898703</v>
      </c>
      <c r="S1145">
        <f t="shared" si="1032"/>
        <v>-8.6195398780898707</v>
      </c>
      <c r="T1145">
        <f t="shared" si="1033"/>
        <v>-8.6195398780898706E-3</v>
      </c>
    </row>
    <row r="1146" spans="1:20" x14ac:dyDescent="0.25">
      <c r="A1146" s="5">
        <v>43447</v>
      </c>
      <c r="B1146">
        <v>24.13</v>
      </c>
      <c r="C1146">
        <v>24.29</v>
      </c>
      <c r="D1146">
        <v>22.91</v>
      </c>
      <c r="E1146">
        <v>23.08</v>
      </c>
      <c r="F1146">
        <v>101343.24553</v>
      </c>
      <c r="G1146">
        <v>0</v>
      </c>
      <c r="L1146" t="s">
        <v>7</v>
      </c>
      <c r="M1146" t="s">
        <v>8</v>
      </c>
      <c r="N1146" t="s">
        <v>7</v>
      </c>
      <c r="P1146">
        <f t="shared" si="1029"/>
        <v>-0.75362318840579956</v>
      </c>
      <c r="Q1146">
        <f t="shared" si="1030"/>
        <v>-76374.619819710395</v>
      </c>
      <c r="R1146">
        <f t="shared" si="1031"/>
        <v>-900437.71899898676</v>
      </c>
      <c r="S1146">
        <f t="shared" si="1032"/>
        <v>-9.0043771899898672</v>
      </c>
      <c r="T1146">
        <f t="shared" si="1033"/>
        <v>-9.0043771899898668E-3</v>
      </c>
    </row>
    <row r="1147" spans="1:20" x14ac:dyDescent="0.25">
      <c r="A1147" s="5">
        <v>43446</v>
      </c>
      <c r="B1147">
        <v>23.4</v>
      </c>
      <c r="C1147">
        <v>24.98</v>
      </c>
      <c r="D1147">
        <v>23.2</v>
      </c>
      <c r="E1147">
        <v>24.13</v>
      </c>
      <c r="F1147">
        <v>116697.01621</v>
      </c>
      <c r="G1147">
        <v>0</v>
      </c>
      <c r="L1147" t="s">
        <v>8</v>
      </c>
      <c r="M1147" t="s">
        <v>8</v>
      </c>
      <c r="N1147" t="s">
        <v>7</v>
      </c>
      <c r="P1147">
        <f t="shared" si="1029"/>
        <v>4.4943820224718115E-2</v>
      </c>
      <c r="Q1147">
        <f t="shared" si="1030"/>
        <v>5244.8097173032556</v>
      </c>
      <c r="R1147">
        <f t="shared" si="1031"/>
        <v>-824063.09917927638</v>
      </c>
      <c r="S1147">
        <f t="shared" si="1032"/>
        <v>-8.2406309917927647</v>
      </c>
      <c r="T1147">
        <f t="shared" si="1033"/>
        <v>-8.2406309917927648E-3</v>
      </c>
    </row>
    <row r="1148" spans="1:20" x14ac:dyDescent="0.25">
      <c r="A1148" s="5">
        <v>43445</v>
      </c>
      <c r="B1148">
        <v>24.15</v>
      </c>
      <c r="C1148">
        <v>24.63</v>
      </c>
      <c r="D1148">
        <v>22.94</v>
      </c>
      <c r="E1148">
        <v>23.41</v>
      </c>
      <c r="F1148">
        <v>116912.31068</v>
      </c>
      <c r="G1148">
        <v>0</v>
      </c>
      <c r="L1148" t="s">
        <v>7</v>
      </c>
      <c r="M1148" t="s">
        <v>8</v>
      </c>
      <c r="N1148" t="s">
        <v>7</v>
      </c>
      <c r="P1148">
        <f t="shared" si="1029"/>
        <v>-0.44378698224852131</v>
      </c>
      <c r="Q1148">
        <f t="shared" si="1030"/>
        <v>-51884.161544378767</v>
      </c>
      <c r="R1148">
        <f t="shared" si="1031"/>
        <v>-829307.90889657964</v>
      </c>
      <c r="S1148">
        <f t="shared" si="1032"/>
        <v>-8.293079088965797</v>
      </c>
      <c r="T1148">
        <f t="shared" si="1033"/>
        <v>-8.2930790889657966E-3</v>
      </c>
    </row>
    <row r="1149" spans="1:20" x14ac:dyDescent="0.25">
      <c r="A1149" s="5">
        <v>43444</v>
      </c>
      <c r="B1149">
        <v>25.37</v>
      </c>
      <c r="C1149">
        <v>25.82</v>
      </c>
      <c r="D1149">
        <v>23.67</v>
      </c>
      <c r="E1149">
        <v>24.14</v>
      </c>
      <c r="F1149">
        <v>159523.3339</v>
      </c>
      <c r="G1149">
        <v>0</v>
      </c>
      <c r="L1149" t="s">
        <v>7</v>
      </c>
      <c r="M1149" t="s">
        <v>8</v>
      </c>
      <c r="N1149" t="s">
        <v>7</v>
      </c>
      <c r="P1149">
        <f t="shared" si="1029"/>
        <v>-0.56279069767441936</v>
      </c>
      <c r="Q1149">
        <f t="shared" si="1030"/>
        <v>-89778.248380930352</v>
      </c>
      <c r="R1149">
        <f t="shared" si="1031"/>
        <v>-777423.74735220091</v>
      </c>
      <c r="S1149">
        <f t="shared" si="1032"/>
        <v>-7.7742374735220094</v>
      </c>
      <c r="T1149">
        <f t="shared" si="1033"/>
        <v>-7.7742374735220096E-3</v>
      </c>
    </row>
    <row r="1150" spans="1:20" x14ac:dyDescent="0.25">
      <c r="A1150" s="5">
        <v>43443</v>
      </c>
      <c r="B1150">
        <v>24.23</v>
      </c>
      <c r="C1150">
        <v>26.75</v>
      </c>
      <c r="D1150">
        <v>24.2</v>
      </c>
      <c r="E1150">
        <v>25.37</v>
      </c>
      <c r="F1150">
        <v>185392.27773999999</v>
      </c>
      <c r="G1150">
        <v>0</v>
      </c>
      <c r="L1150" t="s">
        <v>7</v>
      </c>
      <c r="M1150" t="s">
        <v>8</v>
      </c>
      <c r="N1150" t="s">
        <v>7</v>
      </c>
      <c r="P1150">
        <f t="shared" si="1029"/>
        <v>-8.2352941176469505E-2</v>
      </c>
      <c r="Q1150">
        <f t="shared" si="1030"/>
        <v>-15267.599343293916</v>
      </c>
      <c r="R1150">
        <f t="shared" si="1031"/>
        <v>-687645.49897127051</v>
      </c>
      <c r="S1150">
        <f t="shared" si="1032"/>
        <v>-6.8764549897127054</v>
      </c>
      <c r="T1150">
        <f t="shared" si="1033"/>
        <v>-6.8764549897127056E-3</v>
      </c>
    </row>
    <row r="1151" spans="1:20" x14ac:dyDescent="0.25">
      <c r="A1151" s="5">
        <v>43442</v>
      </c>
      <c r="B1151">
        <v>24.88</v>
      </c>
      <c r="C1151">
        <v>26.63</v>
      </c>
      <c r="D1151">
        <v>22.89</v>
      </c>
      <c r="E1151">
        <v>24.22</v>
      </c>
      <c r="F1151">
        <v>272026.24011999997</v>
      </c>
      <c r="G1151">
        <v>0</v>
      </c>
      <c r="L1151" t="s">
        <v>8</v>
      </c>
      <c r="M1151" t="s">
        <v>8</v>
      </c>
      <c r="N1151" t="s">
        <v>7</v>
      </c>
      <c r="P1151">
        <f t="shared" ref="P1151:P1195" si="1034">IF(C1151=D1151,0,((E1151-D1151)-(C1151-E1151))/(C1151-D1151))</f>
        <v>-0.28877005347593643</v>
      </c>
      <c r="Q1151">
        <f t="shared" ref="Q1151:Q1195" si="1035">F1151*P1151</f>
        <v>-78553.031906310309</v>
      </c>
      <c r="R1151">
        <f t="shared" ref="R1151:R1195" si="1036">R1152+Q1151</f>
        <v>-672377.89962797659</v>
      </c>
      <c r="S1151">
        <f t="shared" ref="S1151:S1195" si="1037">R1151/100000</f>
        <v>-6.7237789962797656</v>
      </c>
      <c r="T1151">
        <f t="shared" ref="T1151:T1195" si="1038">S1151/1000</f>
        <v>-6.7237789962797659E-3</v>
      </c>
    </row>
    <row r="1152" spans="1:20" x14ac:dyDescent="0.25">
      <c r="A1152" s="5">
        <v>43441</v>
      </c>
      <c r="B1152">
        <v>26.74</v>
      </c>
      <c r="C1152">
        <v>26.94</v>
      </c>
      <c r="D1152">
        <v>22.32</v>
      </c>
      <c r="E1152">
        <v>24.91</v>
      </c>
      <c r="F1152">
        <v>344334.77132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0.12121212121212091</v>
      </c>
      <c r="Q1152">
        <f t="shared" si="1035"/>
        <v>41737.548038787776</v>
      </c>
      <c r="R1152">
        <f t="shared" si="1036"/>
        <v>-593824.86772166623</v>
      </c>
      <c r="S1152">
        <f t="shared" si="1037"/>
        <v>-5.9382486772166621</v>
      </c>
      <c r="T1152">
        <f t="shared" si="1038"/>
        <v>-5.9382486772166622E-3</v>
      </c>
    </row>
    <row r="1153" spans="1:20" x14ac:dyDescent="0.25">
      <c r="A1153" s="5">
        <v>43440</v>
      </c>
      <c r="B1153">
        <v>29.28</v>
      </c>
      <c r="C1153">
        <v>30.49</v>
      </c>
      <c r="D1153">
        <v>26.25</v>
      </c>
      <c r="E1153">
        <v>26.78</v>
      </c>
      <c r="F1153">
        <v>186020.5287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-0.74999999999999933</v>
      </c>
      <c r="Q1153">
        <f t="shared" si="1035"/>
        <v>-139515.39652499987</v>
      </c>
      <c r="R1153">
        <f t="shared" si="1036"/>
        <v>-635562.41576045402</v>
      </c>
      <c r="S1153">
        <f t="shared" si="1037"/>
        <v>-6.3556241576045398</v>
      </c>
      <c r="T1153">
        <f t="shared" si="1038"/>
        <v>-6.3556241576045395E-3</v>
      </c>
    </row>
    <row r="1154" spans="1:20" x14ac:dyDescent="0.25">
      <c r="A1154" s="5">
        <v>43439</v>
      </c>
      <c r="B1154">
        <v>31.14</v>
      </c>
      <c r="C1154">
        <v>31.4</v>
      </c>
      <c r="D1154">
        <v>29.15</v>
      </c>
      <c r="E1154">
        <v>29.27</v>
      </c>
      <c r="F1154">
        <v>122536.95918999999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-0.89333333333333242</v>
      </c>
      <c r="Q1154">
        <f t="shared" si="1035"/>
        <v>-109466.35020973322</v>
      </c>
      <c r="R1154">
        <f t="shared" si="1036"/>
        <v>-496047.01923545409</v>
      </c>
      <c r="S1154">
        <f t="shared" si="1037"/>
        <v>-4.9604701923545411</v>
      </c>
      <c r="T1154">
        <f t="shared" si="1038"/>
        <v>-4.960470192354541E-3</v>
      </c>
    </row>
    <row r="1155" spans="1:20" x14ac:dyDescent="0.25">
      <c r="A1155" s="5">
        <v>43438</v>
      </c>
      <c r="B1155">
        <v>30.92</v>
      </c>
      <c r="C1155">
        <v>32.25</v>
      </c>
      <c r="D1155">
        <v>29.87</v>
      </c>
      <c r="E1155">
        <v>31.13</v>
      </c>
      <c r="F1155">
        <v>125624.10064999999</v>
      </c>
      <c r="G1155">
        <v>0</v>
      </c>
      <c r="L1155" t="s">
        <v>8</v>
      </c>
      <c r="M1155" t="s">
        <v>7</v>
      </c>
      <c r="N1155" t="s">
        <v>7</v>
      </c>
      <c r="P1155">
        <f t="shared" si="1034"/>
        <v>5.8823529411763477E-2</v>
      </c>
      <c r="Q1155">
        <f t="shared" si="1035"/>
        <v>7389.6529794116095</v>
      </c>
      <c r="R1155">
        <f t="shared" si="1036"/>
        <v>-386580.66902572085</v>
      </c>
      <c r="S1155">
        <f t="shared" si="1037"/>
        <v>-3.8658066902572084</v>
      </c>
      <c r="T1155">
        <f t="shared" si="1038"/>
        <v>-3.8658066902572084E-3</v>
      </c>
    </row>
    <row r="1156" spans="1:20" x14ac:dyDescent="0.25">
      <c r="A1156" s="5">
        <v>43437</v>
      </c>
      <c r="B1156">
        <v>33.81</v>
      </c>
      <c r="C1156">
        <v>33.97</v>
      </c>
      <c r="D1156">
        <v>30.08</v>
      </c>
      <c r="E1156">
        <v>30.9</v>
      </c>
      <c r="F1156">
        <v>160953.47618999999</v>
      </c>
      <c r="G1156">
        <v>0</v>
      </c>
      <c r="L1156" t="s">
        <v>7</v>
      </c>
      <c r="M1156" t="s">
        <v>7</v>
      </c>
      <c r="N1156" t="s">
        <v>7</v>
      </c>
      <c r="P1156">
        <f t="shared" si="1034"/>
        <v>-0.57840616966580971</v>
      </c>
      <c r="Q1156">
        <f t="shared" si="1035"/>
        <v>-93096.483657454999</v>
      </c>
      <c r="R1156">
        <f t="shared" si="1036"/>
        <v>-393970.32200513245</v>
      </c>
      <c r="S1156">
        <f t="shared" si="1037"/>
        <v>-3.9397032200513245</v>
      </c>
      <c r="T1156">
        <f t="shared" si="1038"/>
        <v>-3.9397032200513245E-3</v>
      </c>
    </row>
    <row r="1157" spans="1:20" x14ac:dyDescent="0.25">
      <c r="A1157" s="5">
        <v>43436</v>
      </c>
      <c r="B1157">
        <v>34.11</v>
      </c>
      <c r="C1157">
        <v>35.24</v>
      </c>
      <c r="D1157">
        <v>33.21</v>
      </c>
      <c r="E1157">
        <v>33.82</v>
      </c>
      <c r="F1157">
        <v>126562.51308</v>
      </c>
      <c r="G1157">
        <v>0</v>
      </c>
      <c r="L1157" t="s">
        <v>8</v>
      </c>
      <c r="M1157" t="s">
        <v>8</v>
      </c>
      <c r="N1157" t="s">
        <v>7</v>
      </c>
      <c r="P1157">
        <f t="shared" si="1034"/>
        <v>-0.39901477832512405</v>
      </c>
      <c r="Q1157">
        <f t="shared" si="1035"/>
        <v>-50500.313100886815</v>
      </c>
      <c r="R1157">
        <f t="shared" si="1036"/>
        <v>-300873.83834767743</v>
      </c>
      <c r="S1157">
        <f t="shared" si="1037"/>
        <v>-3.0087383834767745</v>
      </c>
      <c r="T1157">
        <f t="shared" si="1038"/>
        <v>-3.0087383834767746E-3</v>
      </c>
    </row>
    <row r="1158" spans="1:20" x14ac:dyDescent="0.25">
      <c r="A1158" s="5">
        <v>43435</v>
      </c>
      <c r="B1158">
        <v>32.19</v>
      </c>
      <c r="C1158">
        <v>35.1</v>
      </c>
      <c r="D1158">
        <v>31.38</v>
      </c>
      <c r="E1158">
        <v>34.17</v>
      </c>
      <c r="F1158">
        <v>130601.17527000001</v>
      </c>
      <c r="G1158">
        <v>0</v>
      </c>
      <c r="L1158" t="s">
        <v>8</v>
      </c>
      <c r="M1158" t="s">
        <v>8</v>
      </c>
      <c r="N1158" t="s">
        <v>7</v>
      </c>
      <c r="P1158">
        <f t="shared" si="1034"/>
        <v>0.50000000000000044</v>
      </c>
      <c r="Q1158">
        <f t="shared" si="1035"/>
        <v>65300.587635000062</v>
      </c>
      <c r="R1158">
        <f t="shared" si="1036"/>
        <v>-250373.52524679061</v>
      </c>
      <c r="S1158">
        <f t="shared" si="1037"/>
        <v>-2.503735252467906</v>
      </c>
      <c r="T1158">
        <f t="shared" si="1038"/>
        <v>-2.5037352524679059E-3</v>
      </c>
    </row>
    <row r="1159" spans="1:20" x14ac:dyDescent="0.25">
      <c r="A1159" s="5">
        <v>43434</v>
      </c>
      <c r="B1159">
        <v>33.9</v>
      </c>
      <c r="C1159">
        <v>34.53</v>
      </c>
      <c r="D1159">
        <v>31.07</v>
      </c>
      <c r="E1159">
        <v>32.21</v>
      </c>
      <c r="F1159">
        <v>182324.55561000001</v>
      </c>
      <c r="G1159">
        <v>0</v>
      </c>
      <c r="L1159" t="s">
        <v>7</v>
      </c>
      <c r="M1159" t="s">
        <v>8</v>
      </c>
      <c r="N1159" t="s">
        <v>7</v>
      </c>
      <c r="P1159">
        <f t="shared" si="1034"/>
        <v>-0.34104046242774549</v>
      </c>
      <c r="Q1159">
        <f t="shared" si="1035"/>
        <v>-62180.050757167599</v>
      </c>
      <c r="R1159">
        <f t="shared" si="1036"/>
        <v>-315674.11288179067</v>
      </c>
      <c r="S1159">
        <f t="shared" si="1037"/>
        <v>-3.1567411288179068</v>
      </c>
      <c r="T1159">
        <f t="shared" si="1038"/>
        <v>-3.1567411288179067E-3</v>
      </c>
    </row>
    <row r="1160" spans="1:20" x14ac:dyDescent="0.25">
      <c r="A1160" s="5">
        <v>43433</v>
      </c>
      <c r="B1160">
        <v>34.74</v>
      </c>
      <c r="C1160">
        <v>36</v>
      </c>
      <c r="D1160">
        <v>33.08</v>
      </c>
      <c r="E1160">
        <v>33.880000000000003</v>
      </c>
      <c r="F1160">
        <v>206424.03941</v>
      </c>
      <c r="G1160">
        <v>0</v>
      </c>
      <c r="L1160" t="s">
        <v>7</v>
      </c>
      <c r="M1160" t="s">
        <v>8</v>
      </c>
      <c r="N1160" t="s">
        <v>7</v>
      </c>
      <c r="P1160">
        <f t="shared" si="1034"/>
        <v>-0.45205479452054537</v>
      </c>
      <c r="Q1160">
        <f t="shared" si="1035"/>
        <v>-93314.976719588507</v>
      </c>
      <c r="R1160">
        <f t="shared" si="1036"/>
        <v>-253494.06212462307</v>
      </c>
      <c r="S1160">
        <f t="shared" si="1037"/>
        <v>-2.5349406212462307</v>
      </c>
      <c r="T1160">
        <f t="shared" si="1038"/>
        <v>-2.5349406212462305E-3</v>
      </c>
    </row>
    <row r="1161" spans="1:20" x14ac:dyDescent="0.25">
      <c r="A1161" s="5">
        <v>43432</v>
      </c>
      <c r="B1161">
        <v>31.62</v>
      </c>
      <c r="C1161">
        <v>36.51</v>
      </c>
      <c r="D1161">
        <v>31.39</v>
      </c>
      <c r="E1161">
        <v>34.74</v>
      </c>
      <c r="F1161">
        <v>261988.56211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0.30859375000000122</v>
      </c>
      <c r="Q1161">
        <f t="shared" si="1035"/>
        <v>80848.032838633138</v>
      </c>
      <c r="R1161">
        <f t="shared" si="1036"/>
        <v>-160179.08540503457</v>
      </c>
      <c r="S1161">
        <f t="shared" si="1037"/>
        <v>-1.6017908540503456</v>
      </c>
      <c r="T1161">
        <f t="shared" si="1038"/>
        <v>-1.6017908540503457E-3</v>
      </c>
    </row>
    <row r="1162" spans="1:20" x14ac:dyDescent="0.25">
      <c r="A1162" s="5">
        <v>43431</v>
      </c>
      <c r="B1162">
        <v>30.18</v>
      </c>
      <c r="C1162">
        <v>32.159999999999997</v>
      </c>
      <c r="D1162">
        <v>29.05</v>
      </c>
      <c r="E1162">
        <v>31.61</v>
      </c>
      <c r="F1162">
        <v>194024.53090000001</v>
      </c>
      <c r="G1162">
        <v>0</v>
      </c>
      <c r="L1162" t="s">
        <v>7</v>
      </c>
      <c r="M1162" t="s">
        <v>7</v>
      </c>
      <c r="N1162" t="s">
        <v>7</v>
      </c>
      <c r="P1162">
        <f t="shared" si="1034"/>
        <v>0.64630225080385983</v>
      </c>
      <c r="Q1162">
        <f t="shared" si="1035"/>
        <v>125398.49103183307</v>
      </c>
      <c r="R1162">
        <f t="shared" si="1036"/>
        <v>-241027.1182436677</v>
      </c>
      <c r="S1162">
        <f t="shared" si="1037"/>
        <v>-2.4102711824366772</v>
      </c>
      <c r="T1162">
        <f t="shared" si="1038"/>
        <v>-2.4102711824366772E-3</v>
      </c>
    </row>
    <row r="1163" spans="1:20" x14ac:dyDescent="0.25">
      <c r="A1163" s="5">
        <v>43430</v>
      </c>
      <c r="B1163">
        <v>31.51</v>
      </c>
      <c r="C1163">
        <v>32.880000000000003</v>
      </c>
      <c r="D1163">
        <v>28.66</v>
      </c>
      <c r="E1163">
        <v>30.18</v>
      </c>
      <c r="F1163">
        <v>346086.77239</v>
      </c>
      <c r="G1163">
        <v>0</v>
      </c>
      <c r="L1163" t="s">
        <v>8</v>
      </c>
      <c r="M1163" t="s">
        <v>7</v>
      </c>
      <c r="N1163" t="s">
        <v>7</v>
      </c>
      <c r="P1163">
        <f t="shared" si="1034"/>
        <v>-0.27962085308056933</v>
      </c>
      <c r="Q1163">
        <f t="shared" si="1035"/>
        <v>-96773.078535592635</v>
      </c>
      <c r="R1163">
        <f t="shared" si="1036"/>
        <v>-366425.60927550076</v>
      </c>
      <c r="S1163">
        <f t="shared" si="1037"/>
        <v>-3.6642560927550076</v>
      </c>
      <c r="T1163">
        <f t="shared" si="1038"/>
        <v>-3.6642560927550075E-3</v>
      </c>
    </row>
    <row r="1164" spans="1:20" x14ac:dyDescent="0.25">
      <c r="A1164" s="5">
        <v>43429</v>
      </c>
      <c r="B1164">
        <v>29.72</v>
      </c>
      <c r="C1164">
        <v>32.93</v>
      </c>
      <c r="D1164">
        <v>27.7</v>
      </c>
      <c r="E1164">
        <v>31.49</v>
      </c>
      <c r="F1164">
        <v>330712.41278000001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0.44933078393881409</v>
      </c>
      <c r="Q1164">
        <f t="shared" si="1035"/>
        <v>148599.26769273408</v>
      </c>
      <c r="R1164">
        <f t="shared" si="1036"/>
        <v>-269652.53073990811</v>
      </c>
      <c r="S1164">
        <f t="shared" si="1037"/>
        <v>-2.6965253073990811</v>
      </c>
      <c r="T1164">
        <f t="shared" si="1038"/>
        <v>-2.696525307399081E-3</v>
      </c>
    </row>
    <row r="1165" spans="1:20" x14ac:dyDescent="0.25">
      <c r="A1165" s="5">
        <v>43428</v>
      </c>
      <c r="B1165">
        <v>32.74</v>
      </c>
      <c r="C1165">
        <v>34.299999999999997</v>
      </c>
      <c r="D1165">
        <v>29.07</v>
      </c>
      <c r="E1165">
        <v>29.73</v>
      </c>
      <c r="F1165">
        <v>175080.65020999999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-0.74760994263862313</v>
      </c>
      <c r="Q1165">
        <f t="shared" si="1035"/>
        <v>-130892.03486063093</v>
      </c>
      <c r="R1165">
        <f t="shared" si="1036"/>
        <v>-418251.79843264219</v>
      </c>
      <c r="S1165">
        <f t="shared" si="1037"/>
        <v>-4.182517984326422</v>
      </c>
      <c r="T1165">
        <f t="shared" si="1038"/>
        <v>-4.1825179843264218E-3</v>
      </c>
    </row>
    <row r="1166" spans="1:20" x14ac:dyDescent="0.25">
      <c r="A1166" s="5">
        <v>43427</v>
      </c>
      <c r="B1166">
        <v>32.090000000000003</v>
      </c>
      <c r="C1166">
        <v>33.81</v>
      </c>
      <c r="D1166">
        <v>31.1</v>
      </c>
      <c r="E1166">
        <v>32.74</v>
      </c>
      <c r="F1166">
        <v>178263.37599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0.21033210332103325</v>
      </c>
      <c r="Q1166">
        <f t="shared" si="1035"/>
        <v>37494.510817084876</v>
      </c>
      <c r="R1166">
        <f t="shared" si="1036"/>
        <v>-287359.76357201126</v>
      </c>
      <c r="S1166">
        <f t="shared" si="1037"/>
        <v>-2.8735976357201127</v>
      </c>
      <c r="T1166">
        <f t="shared" si="1038"/>
        <v>-2.8735976357201127E-3</v>
      </c>
    </row>
    <row r="1167" spans="1:20" x14ac:dyDescent="0.25">
      <c r="A1167" s="5">
        <v>43426</v>
      </c>
      <c r="B1167">
        <v>35.17</v>
      </c>
      <c r="C1167">
        <v>35.68</v>
      </c>
      <c r="D1167">
        <v>31.84</v>
      </c>
      <c r="E1167">
        <v>32.11</v>
      </c>
      <c r="F1167">
        <v>140470.92968999999</v>
      </c>
      <c r="G1167">
        <v>0</v>
      </c>
      <c r="L1167" t="s">
        <v>7</v>
      </c>
      <c r="M1167" t="s">
        <v>7</v>
      </c>
      <c r="N1167" t="s">
        <v>7</v>
      </c>
      <c r="P1167">
        <f t="shared" si="1034"/>
        <v>-0.85937500000000022</v>
      </c>
      <c r="Q1167">
        <f t="shared" si="1035"/>
        <v>-120717.20520234377</v>
      </c>
      <c r="R1167">
        <f t="shared" si="1036"/>
        <v>-324854.27438909613</v>
      </c>
      <c r="S1167">
        <f t="shared" si="1037"/>
        <v>-3.2485427438909613</v>
      </c>
      <c r="T1167">
        <f t="shared" si="1038"/>
        <v>-3.2485427438909615E-3</v>
      </c>
    </row>
    <row r="1168" spans="1:20" x14ac:dyDescent="0.25">
      <c r="A1168" s="5">
        <v>43425</v>
      </c>
      <c r="B1168">
        <v>33.71</v>
      </c>
      <c r="C1168">
        <v>35.380000000000003</v>
      </c>
      <c r="D1168">
        <v>32.17</v>
      </c>
      <c r="E1168">
        <v>35.15</v>
      </c>
      <c r="F1168">
        <v>307689.28613999998</v>
      </c>
      <c r="G1168">
        <v>0</v>
      </c>
      <c r="L1168" t="s">
        <v>8</v>
      </c>
      <c r="M1168" t="s">
        <v>7</v>
      </c>
      <c r="N1168" t="s">
        <v>7</v>
      </c>
      <c r="P1168">
        <f t="shared" si="1034"/>
        <v>0.85669781931463929</v>
      </c>
      <c r="Q1168">
        <f t="shared" si="1035"/>
        <v>263596.74046261603</v>
      </c>
      <c r="R1168">
        <f t="shared" si="1036"/>
        <v>-204137.06918675237</v>
      </c>
      <c r="S1168">
        <f t="shared" si="1037"/>
        <v>-2.0413706918675238</v>
      </c>
      <c r="T1168">
        <f t="shared" si="1038"/>
        <v>-2.041370691867524E-3</v>
      </c>
    </row>
    <row r="1169" spans="1:20" x14ac:dyDescent="0.25">
      <c r="A1169" s="5">
        <v>43424</v>
      </c>
      <c r="B1169">
        <v>37.11</v>
      </c>
      <c r="C1169">
        <v>38.799999999999997</v>
      </c>
      <c r="D1169">
        <v>31.47</v>
      </c>
      <c r="E1169">
        <v>33.799999999999997</v>
      </c>
      <c r="F1169">
        <v>481972.20552000002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-0.36425648021828133</v>
      </c>
      <c r="Q1169">
        <f t="shared" si="1035"/>
        <v>-175561.49914575732</v>
      </c>
      <c r="R1169">
        <f t="shared" si="1036"/>
        <v>-467733.8096493684</v>
      </c>
      <c r="S1169">
        <f t="shared" si="1037"/>
        <v>-4.6773380964936839</v>
      </c>
      <c r="T1169">
        <f t="shared" si="1038"/>
        <v>-4.6773380964936842E-3</v>
      </c>
    </row>
    <row r="1170" spans="1:20" x14ac:dyDescent="0.25">
      <c r="A1170" s="5">
        <v>43423</v>
      </c>
      <c r="B1170">
        <v>42.63</v>
      </c>
      <c r="C1170">
        <v>42.65</v>
      </c>
      <c r="D1170">
        <v>35.94</v>
      </c>
      <c r="E1170">
        <v>37.07</v>
      </c>
      <c r="F1170">
        <v>266627.81809999997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-0.66318926974664605</v>
      </c>
      <c r="Q1170">
        <f t="shared" si="1035"/>
        <v>-176824.70797988056</v>
      </c>
      <c r="R1170">
        <f t="shared" si="1036"/>
        <v>-292172.31050361111</v>
      </c>
      <c r="S1170">
        <f t="shared" si="1037"/>
        <v>-2.921723105036111</v>
      </c>
      <c r="T1170">
        <f t="shared" si="1038"/>
        <v>-2.9217231050361111E-3</v>
      </c>
    </row>
    <row r="1171" spans="1:20" x14ac:dyDescent="0.25">
      <c r="A1171" s="5">
        <v>43422</v>
      </c>
      <c r="B1171">
        <v>42.46</v>
      </c>
      <c r="C1171">
        <v>43.84</v>
      </c>
      <c r="D1171">
        <v>42.11</v>
      </c>
      <c r="E1171">
        <v>42.61</v>
      </c>
      <c r="F1171">
        <v>69727.518179999999</v>
      </c>
      <c r="G1171">
        <v>0</v>
      </c>
      <c r="L1171" t="s">
        <v>7</v>
      </c>
      <c r="M1171" t="s">
        <v>7</v>
      </c>
      <c r="N1171" t="s">
        <v>7</v>
      </c>
      <c r="P1171">
        <f t="shared" si="1034"/>
        <v>-0.42196531791907649</v>
      </c>
      <c r="Q1171">
        <f t="shared" si="1035"/>
        <v>-29422.594376531884</v>
      </c>
      <c r="R1171">
        <f t="shared" si="1036"/>
        <v>-115347.60252373057</v>
      </c>
      <c r="S1171">
        <f t="shared" si="1037"/>
        <v>-1.1534760252373057</v>
      </c>
      <c r="T1171">
        <f t="shared" si="1038"/>
        <v>-1.1534760252373058E-3</v>
      </c>
    </row>
    <row r="1172" spans="1:20" x14ac:dyDescent="0.25">
      <c r="A1172" s="5">
        <v>43421</v>
      </c>
      <c r="B1172">
        <v>42.89</v>
      </c>
      <c r="C1172">
        <v>42.94</v>
      </c>
      <c r="D1172">
        <v>41.92</v>
      </c>
      <c r="E1172">
        <v>42.43</v>
      </c>
      <c r="F1172">
        <v>64923.269749999999</v>
      </c>
      <c r="G1172">
        <v>0</v>
      </c>
      <c r="L1172" t="s">
        <v>7</v>
      </c>
      <c r="M1172" t="s">
        <v>7</v>
      </c>
      <c r="N1172" t="s">
        <v>7</v>
      </c>
      <c r="P1172">
        <f t="shared" si="1034"/>
        <v>0</v>
      </c>
      <c r="Q1172">
        <f t="shared" si="1035"/>
        <v>0</v>
      </c>
      <c r="R1172">
        <f t="shared" si="1036"/>
        <v>-85925.008147198692</v>
      </c>
      <c r="S1172">
        <f t="shared" si="1037"/>
        <v>-0.85925008147198689</v>
      </c>
      <c r="T1172">
        <f t="shared" si="1038"/>
        <v>-8.5925008147198691E-4</v>
      </c>
    </row>
    <row r="1173" spans="1:20" x14ac:dyDescent="0.25">
      <c r="A1173" s="5">
        <v>43420</v>
      </c>
      <c r="B1173">
        <v>44.78</v>
      </c>
      <c r="C1173">
        <v>44.95</v>
      </c>
      <c r="D1173">
        <v>42.38</v>
      </c>
      <c r="E1173">
        <v>42.89</v>
      </c>
      <c r="F1173">
        <v>126959.93429999999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-0.6031128404669277</v>
      </c>
      <c r="Q1173">
        <f t="shared" si="1035"/>
        <v>-76571.166601167512</v>
      </c>
      <c r="R1173">
        <f t="shared" si="1036"/>
        <v>-85925.008147198692</v>
      </c>
      <c r="S1173">
        <f t="shared" si="1037"/>
        <v>-0.85925008147198689</v>
      </c>
      <c r="T1173">
        <f t="shared" si="1038"/>
        <v>-8.5925008147198691E-4</v>
      </c>
    </row>
    <row r="1174" spans="1:20" x14ac:dyDescent="0.25">
      <c r="A1174" s="5">
        <v>43419</v>
      </c>
      <c r="B1174">
        <v>45.05</v>
      </c>
      <c r="C1174">
        <v>45.8</v>
      </c>
      <c r="D1174">
        <v>40.4</v>
      </c>
      <c r="E1174">
        <v>44.78</v>
      </c>
      <c r="F1174">
        <v>239147.14363000001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0.62222222222222356</v>
      </c>
      <c r="Q1174">
        <f t="shared" si="1035"/>
        <v>148802.66714755588</v>
      </c>
      <c r="R1174">
        <f t="shared" si="1036"/>
        <v>-9353.8415460311808</v>
      </c>
      <c r="S1174">
        <f t="shared" si="1037"/>
        <v>-9.3538415460311802E-2</v>
      </c>
      <c r="T1174">
        <f t="shared" si="1038"/>
        <v>-9.3538415460311808E-5</v>
      </c>
    </row>
    <row r="1175" spans="1:20" x14ac:dyDescent="0.25">
      <c r="A1175" s="5">
        <v>43418</v>
      </c>
      <c r="B1175">
        <v>50.41</v>
      </c>
      <c r="C1175">
        <v>51.08</v>
      </c>
      <c r="D1175">
        <v>42</v>
      </c>
      <c r="E1175">
        <v>45.05</v>
      </c>
      <c r="F1175">
        <v>307943.67228</v>
      </c>
      <c r="G1175">
        <v>0</v>
      </c>
      <c r="L1175" t="s">
        <v>7</v>
      </c>
      <c r="M1175" t="s">
        <v>7</v>
      </c>
      <c r="N1175" t="s">
        <v>8</v>
      </c>
      <c r="P1175">
        <f t="shared" si="1034"/>
        <v>-0.32819383259911944</v>
      </c>
      <c r="Q1175">
        <f t="shared" si="1035"/>
        <v>-101065.21403022042</v>
      </c>
      <c r="R1175">
        <f t="shared" si="1036"/>
        <v>-158156.50869358706</v>
      </c>
      <c r="S1175">
        <f t="shared" si="1037"/>
        <v>-1.5815650869358706</v>
      </c>
      <c r="T1175">
        <f t="shared" si="1038"/>
        <v>-1.5815650869358707E-3</v>
      </c>
    </row>
    <row r="1176" spans="1:20" x14ac:dyDescent="0.25">
      <c r="A1176" s="5">
        <v>43417</v>
      </c>
      <c r="B1176">
        <v>51.26</v>
      </c>
      <c r="C1176">
        <v>51.66</v>
      </c>
      <c r="D1176">
        <v>49.6</v>
      </c>
      <c r="E1176">
        <v>50.43</v>
      </c>
      <c r="F1176">
        <v>63966.883430000002</v>
      </c>
      <c r="G1176">
        <v>0</v>
      </c>
      <c r="L1176" t="s">
        <v>7</v>
      </c>
      <c r="M1176" t="s">
        <v>8</v>
      </c>
      <c r="N1176" t="s">
        <v>8</v>
      </c>
      <c r="P1176">
        <f t="shared" si="1034"/>
        <v>-0.19417475728155317</v>
      </c>
      <c r="Q1176">
        <f t="shared" si="1035"/>
        <v>-12420.754064077655</v>
      </c>
      <c r="R1176">
        <f t="shared" si="1036"/>
        <v>-57091.294663366651</v>
      </c>
      <c r="S1176">
        <f t="shared" si="1037"/>
        <v>-0.57091294663366654</v>
      </c>
      <c r="T1176">
        <f t="shared" si="1038"/>
        <v>-5.7091294663366655E-4</v>
      </c>
    </row>
    <row r="1177" spans="1:20" x14ac:dyDescent="0.25">
      <c r="A1177" s="5">
        <v>43416</v>
      </c>
      <c r="B1177">
        <v>51.5</v>
      </c>
      <c r="C1177">
        <v>52.04</v>
      </c>
      <c r="D1177">
        <v>50.59</v>
      </c>
      <c r="E1177">
        <v>51.26</v>
      </c>
      <c r="F1177">
        <v>60038.96458</v>
      </c>
      <c r="G1177">
        <v>0</v>
      </c>
      <c r="L1177" t="s">
        <v>7</v>
      </c>
      <c r="M1177" t="s">
        <v>8</v>
      </c>
      <c r="N1177" t="s">
        <v>8</v>
      </c>
      <c r="P1177">
        <f t="shared" si="1034"/>
        <v>-7.5862068965521973E-2</v>
      </c>
      <c r="Q1177">
        <f t="shared" si="1035"/>
        <v>-4554.6800715864911</v>
      </c>
      <c r="R1177">
        <f t="shared" si="1036"/>
        <v>-44670.540599288994</v>
      </c>
      <c r="S1177">
        <f t="shared" si="1037"/>
        <v>-0.44670540599288994</v>
      </c>
      <c r="T1177">
        <f t="shared" si="1038"/>
        <v>-4.4670540599288995E-4</v>
      </c>
    </row>
    <row r="1178" spans="1:20" x14ac:dyDescent="0.25">
      <c r="A1178" s="5">
        <v>43415</v>
      </c>
      <c r="B1178">
        <v>52.47</v>
      </c>
      <c r="C1178">
        <v>52.57</v>
      </c>
      <c r="D1178">
        <v>49.79</v>
      </c>
      <c r="E1178">
        <v>51.46</v>
      </c>
      <c r="F1178">
        <v>66550.494630000001</v>
      </c>
      <c r="G1178">
        <v>0</v>
      </c>
      <c r="L1178" t="s">
        <v>7</v>
      </c>
      <c r="M1178" t="s">
        <v>8</v>
      </c>
      <c r="N1178" t="s">
        <v>8</v>
      </c>
      <c r="P1178">
        <f t="shared" si="1034"/>
        <v>0.20143884892086406</v>
      </c>
      <c r="Q1178">
        <f t="shared" si="1035"/>
        <v>13405.855033381345</v>
      </c>
      <c r="R1178">
        <f t="shared" si="1036"/>
        <v>-40115.860527702505</v>
      </c>
      <c r="S1178">
        <f t="shared" si="1037"/>
        <v>-0.40115860527702507</v>
      </c>
      <c r="T1178">
        <f t="shared" si="1038"/>
        <v>-4.0115860527702504E-4</v>
      </c>
    </row>
    <row r="1179" spans="1:20" x14ac:dyDescent="0.25">
      <c r="A1179" s="5">
        <v>43414</v>
      </c>
      <c r="B1179">
        <v>52.28</v>
      </c>
      <c r="C1179">
        <v>53.08</v>
      </c>
      <c r="D1179">
        <v>51.97</v>
      </c>
      <c r="E1179">
        <v>52.48</v>
      </c>
      <c r="F1179">
        <v>37947.990619999997</v>
      </c>
      <c r="G1179">
        <v>0</v>
      </c>
      <c r="L1179" t="s">
        <v>7</v>
      </c>
      <c r="M1179" t="s">
        <v>8</v>
      </c>
      <c r="N1179" t="s">
        <v>8</v>
      </c>
      <c r="P1179">
        <f t="shared" si="1034"/>
        <v>-8.1081081081084194E-2</v>
      </c>
      <c r="Q1179">
        <f t="shared" si="1035"/>
        <v>-3076.864104324442</v>
      </c>
      <c r="R1179">
        <f t="shared" si="1036"/>
        <v>-53521.715561083853</v>
      </c>
      <c r="S1179">
        <f t="shared" si="1037"/>
        <v>-0.53521715561083849</v>
      </c>
      <c r="T1179">
        <f t="shared" si="1038"/>
        <v>-5.352171556108385E-4</v>
      </c>
    </row>
    <row r="1180" spans="1:20" x14ac:dyDescent="0.25">
      <c r="A1180" s="5">
        <v>43413</v>
      </c>
      <c r="B1180">
        <v>52.7</v>
      </c>
      <c r="C1180">
        <v>53.15</v>
      </c>
      <c r="D1180">
        <v>51.62</v>
      </c>
      <c r="E1180">
        <v>52.25</v>
      </c>
      <c r="F1180">
        <v>54807.000079999998</v>
      </c>
      <c r="G1180">
        <v>0</v>
      </c>
      <c r="L1180" t="s">
        <v>7</v>
      </c>
      <c r="M1180" t="s">
        <v>8</v>
      </c>
      <c r="N1180" t="s">
        <v>8</v>
      </c>
      <c r="P1180">
        <f t="shared" si="1034"/>
        <v>-0.17647058823529138</v>
      </c>
      <c r="Q1180">
        <f t="shared" si="1035"/>
        <v>-9671.8235435292609</v>
      </c>
      <c r="R1180">
        <f t="shared" si="1036"/>
        <v>-50444.85145675941</v>
      </c>
      <c r="S1180">
        <f t="shared" si="1037"/>
        <v>-0.5044485145675941</v>
      </c>
      <c r="T1180">
        <f t="shared" si="1038"/>
        <v>-5.0444851456759405E-4</v>
      </c>
    </row>
    <row r="1181" spans="1:20" x14ac:dyDescent="0.25">
      <c r="A1181" s="5">
        <v>43412</v>
      </c>
      <c r="B1181">
        <v>54.49</v>
      </c>
      <c r="C1181">
        <v>55.12</v>
      </c>
      <c r="D1181">
        <v>52.42</v>
      </c>
      <c r="E1181">
        <v>52.72</v>
      </c>
      <c r="F1181">
        <v>71785.251170000003</v>
      </c>
      <c r="G1181">
        <v>0</v>
      </c>
      <c r="L1181" t="s">
        <v>7</v>
      </c>
      <c r="M1181" t="s">
        <v>8</v>
      </c>
      <c r="N1181" t="s">
        <v>8</v>
      </c>
      <c r="P1181">
        <f t="shared" si="1034"/>
        <v>-0.77777777777777957</v>
      </c>
      <c r="Q1181">
        <f t="shared" si="1035"/>
        <v>-55832.973132222352</v>
      </c>
      <c r="R1181">
        <f t="shared" si="1036"/>
        <v>-40773.027913230151</v>
      </c>
      <c r="S1181">
        <f t="shared" si="1037"/>
        <v>-0.40773027913230153</v>
      </c>
      <c r="T1181">
        <f t="shared" si="1038"/>
        <v>-4.0773027913230156E-4</v>
      </c>
    </row>
    <row r="1182" spans="1:20" x14ac:dyDescent="0.25">
      <c r="A1182" s="5">
        <v>43411</v>
      </c>
      <c r="B1182">
        <v>56.44</v>
      </c>
      <c r="C1182">
        <v>56.92</v>
      </c>
      <c r="D1182">
        <v>53.52</v>
      </c>
      <c r="E1182">
        <v>54.47</v>
      </c>
      <c r="F1182">
        <v>96697.105710000003</v>
      </c>
      <c r="G1182">
        <v>0</v>
      </c>
      <c r="L1182" t="s">
        <v>7</v>
      </c>
      <c r="M1182" t="s">
        <v>8</v>
      </c>
      <c r="N1182" t="s">
        <v>8</v>
      </c>
      <c r="P1182">
        <f t="shared" si="1034"/>
        <v>-0.44117647058823756</v>
      </c>
      <c r="Q1182">
        <f t="shared" si="1035"/>
        <v>-42660.487813235515</v>
      </c>
      <c r="R1182">
        <f t="shared" si="1036"/>
        <v>15059.945218992201</v>
      </c>
      <c r="S1182">
        <f t="shared" si="1037"/>
        <v>0.15059945218992202</v>
      </c>
      <c r="T1182">
        <f t="shared" si="1038"/>
        <v>1.5059945218992202E-4</v>
      </c>
    </row>
    <row r="1183" spans="1:20" x14ac:dyDescent="0.25">
      <c r="A1183" s="5">
        <v>43410</v>
      </c>
      <c r="B1183">
        <v>53.93</v>
      </c>
      <c r="C1183">
        <v>56.88</v>
      </c>
      <c r="D1183">
        <v>53.87</v>
      </c>
      <c r="E1183">
        <v>56.48</v>
      </c>
      <c r="F1183">
        <v>82733.193750000006</v>
      </c>
      <c r="G1183">
        <v>0</v>
      </c>
      <c r="L1183" t="s">
        <v>8</v>
      </c>
      <c r="M1183" t="s">
        <v>8</v>
      </c>
      <c r="N1183" t="s">
        <v>8</v>
      </c>
      <c r="P1183">
        <f t="shared" si="1034"/>
        <v>0.73421926910298674</v>
      </c>
      <c r="Q1183">
        <f t="shared" si="1035"/>
        <v>60744.305045680798</v>
      </c>
      <c r="R1183">
        <f t="shared" si="1036"/>
        <v>57720.433032227716</v>
      </c>
      <c r="S1183">
        <f t="shared" si="1037"/>
        <v>0.57720433032227714</v>
      </c>
      <c r="T1183">
        <f t="shared" si="1038"/>
        <v>5.7720433032227712E-4</v>
      </c>
    </row>
    <row r="1184" spans="1:20" x14ac:dyDescent="0.25">
      <c r="A1184" s="5">
        <v>43409</v>
      </c>
      <c r="B1184">
        <v>54.6</v>
      </c>
      <c r="C1184">
        <v>55.15</v>
      </c>
      <c r="D1184">
        <v>53.01</v>
      </c>
      <c r="E1184">
        <v>53.91</v>
      </c>
      <c r="F1184">
        <v>71425.68187</v>
      </c>
      <c r="G1184">
        <v>0</v>
      </c>
      <c r="L1184" t="s">
        <v>8</v>
      </c>
      <c r="M1184" t="s">
        <v>8</v>
      </c>
      <c r="N1184" t="s">
        <v>8</v>
      </c>
      <c r="P1184">
        <f t="shared" si="1034"/>
        <v>-0.15887850467289874</v>
      </c>
      <c r="Q1184">
        <f t="shared" si="1035"/>
        <v>-11348.005530747774</v>
      </c>
      <c r="R1184">
        <f t="shared" si="1036"/>
        <v>-3023.8720134530813</v>
      </c>
      <c r="S1184">
        <f t="shared" si="1037"/>
        <v>-3.0238720134530814E-2</v>
      </c>
      <c r="T1184">
        <f t="shared" si="1038"/>
        <v>-3.0238720134530815E-5</v>
      </c>
    </row>
    <row r="1185" spans="1:20" x14ac:dyDescent="0.25">
      <c r="A1185" s="5">
        <v>43408</v>
      </c>
      <c r="B1185">
        <v>51.09</v>
      </c>
      <c r="C1185">
        <v>56.33</v>
      </c>
      <c r="D1185">
        <v>50.77</v>
      </c>
      <c r="E1185">
        <v>54.6</v>
      </c>
      <c r="F1185">
        <v>131563.21909999999</v>
      </c>
      <c r="G1185">
        <v>0</v>
      </c>
      <c r="L1185" t="s">
        <v>8</v>
      </c>
      <c r="M1185" t="s">
        <v>8</v>
      </c>
      <c r="N1185" t="s">
        <v>8</v>
      </c>
      <c r="P1185">
        <f t="shared" si="1034"/>
        <v>0.3776978417266193</v>
      </c>
      <c r="Q1185">
        <f t="shared" si="1035"/>
        <v>49691.143904676333</v>
      </c>
      <c r="R1185">
        <f t="shared" si="1036"/>
        <v>8324.1335172946929</v>
      </c>
      <c r="S1185">
        <f t="shared" si="1037"/>
        <v>8.3241335172946934E-2</v>
      </c>
      <c r="T1185">
        <f t="shared" si="1038"/>
        <v>8.3241335172946931E-5</v>
      </c>
    </row>
    <row r="1186" spans="1:20" x14ac:dyDescent="0.25">
      <c r="A1186" s="5">
        <v>43407</v>
      </c>
      <c r="B1186">
        <v>51.78</v>
      </c>
      <c r="C1186">
        <v>51.81</v>
      </c>
      <c r="D1186">
        <v>50.6</v>
      </c>
      <c r="E1186">
        <v>51.04</v>
      </c>
      <c r="F1186">
        <v>44526.44126</v>
      </c>
      <c r="G1186">
        <v>0</v>
      </c>
      <c r="L1186" t="s">
        <v>8</v>
      </c>
      <c r="M1186" t="s">
        <v>8</v>
      </c>
      <c r="N1186" t="s">
        <v>8</v>
      </c>
      <c r="P1186">
        <f t="shared" si="1034"/>
        <v>-0.27272727272727698</v>
      </c>
      <c r="Q1186">
        <f t="shared" si="1035"/>
        <v>-12143.574889091098</v>
      </c>
      <c r="R1186">
        <f t="shared" si="1036"/>
        <v>-41367.010387381641</v>
      </c>
      <c r="S1186">
        <f t="shared" si="1037"/>
        <v>-0.41367010387381642</v>
      </c>
      <c r="T1186">
        <f t="shared" si="1038"/>
        <v>-4.1367010387381644E-4</v>
      </c>
    </row>
    <row r="1187" spans="1:20" x14ac:dyDescent="0.25">
      <c r="A1187" s="5">
        <v>43406</v>
      </c>
      <c r="B1187">
        <v>50.63</v>
      </c>
      <c r="C1187">
        <v>52.2</v>
      </c>
      <c r="D1187">
        <v>50.56</v>
      </c>
      <c r="E1187">
        <v>51.78</v>
      </c>
      <c r="F1187">
        <v>55439.542269999998</v>
      </c>
      <c r="G1187">
        <v>0</v>
      </c>
      <c r="L1187" t="s">
        <v>8</v>
      </c>
      <c r="M1187" t="s">
        <v>8</v>
      </c>
      <c r="N1187" t="s">
        <v>8</v>
      </c>
      <c r="P1187">
        <f t="shared" si="1034"/>
        <v>0.48780487804877859</v>
      </c>
      <c r="Q1187">
        <f t="shared" si="1035"/>
        <v>27043.679156097456</v>
      </c>
      <c r="R1187">
        <f t="shared" si="1036"/>
        <v>-29223.435498290546</v>
      </c>
      <c r="S1187">
        <f t="shared" si="1037"/>
        <v>-0.29223435498290545</v>
      </c>
      <c r="T1187">
        <f t="shared" si="1038"/>
        <v>-2.9223435498290548E-4</v>
      </c>
    </row>
    <row r="1188" spans="1:20" x14ac:dyDescent="0.25">
      <c r="A1188" s="5">
        <v>43405</v>
      </c>
      <c r="B1188">
        <v>49.94</v>
      </c>
      <c r="C1188">
        <v>50.85</v>
      </c>
      <c r="D1188">
        <v>49.78</v>
      </c>
      <c r="E1188">
        <v>50.61</v>
      </c>
      <c r="F1188">
        <v>40743.549039999998</v>
      </c>
      <c r="G1188">
        <v>0</v>
      </c>
      <c r="L1188" t="s">
        <v>7</v>
      </c>
      <c r="M1188" t="s">
        <v>8</v>
      </c>
      <c r="N1188" t="s">
        <v>8</v>
      </c>
      <c r="P1188">
        <f t="shared" si="1034"/>
        <v>0.5514018691588749</v>
      </c>
      <c r="Q1188">
        <f t="shared" si="1035"/>
        <v>22466.069096822281</v>
      </c>
      <c r="R1188">
        <f t="shared" si="1036"/>
        <v>-56267.114654388002</v>
      </c>
      <c r="S1188">
        <f t="shared" si="1037"/>
        <v>-0.56267114654388006</v>
      </c>
      <c r="T1188">
        <f t="shared" si="1038"/>
        <v>-5.6267114654388005E-4</v>
      </c>
    </row>
    <row r="1189" spans="1:20" x14ac:dyDescent="0.25">
      <c r="A1189" s="5">
        <v>43404</v>
      </c>
      <c r="B1189">
        <v>49.35</v>
      </c>
      <c r="C1189">
        <v>50.71</v>
      </c>
      <c r="D1189">
        <v>47.71</v>
      </c>
      <c r="E1189">
        <v>49.93</v>
      </c>
      <c r="F1189">
        <v>59069.936399999999</v>
      </c>
      <c r="G1189">
        <v>0</v>
      </c>
      <c r="L1189" t="s">
        <v>7</v>
      </c>
      <c r="M1189" t="s">
        <v>8</v>
      </c>
      <c r="N1189" t="s">
        <v>8</v>
      </c>
      <c r="P1189">
        <f t="shared" si="1034"/>
        <v>0.47999999999999926</v>
      </c>
      <c r="Q1189">
        <f t="shared" si="1035"/>
        <v>28353.569471999956</v>
      </c>
      <c r="R1189">
        <f t="shared" si="1036"/>
        <v>-78733.183751210279</v>
      </c>
      <c r="S1189">
        <f t="shared" si="1037"/>
        <v>-0.78733183751210278</v>
      </c>
      <c r="T1189">
        <f t="shared" si="1038"/>
        <v>-7.873318375121028E-4</v>
      </c>
    </row>
    <row r="1190" spans="1:20" x14ac:dyDescent="0.25">
      <c r="A1190" s="5">
        <v>43403</v>
      </c>
      <c r="B1190">
        <v>49.16</v>
      </c>
      <c r="C1190">
        <v>49.96</v>
      </c>
      <c r="D1190">
        <v>49.02</v>
      </c>
      <c r="E1190">
        <v>49.34</v>
      </c>
      <c r="F1190">
        <v>41869.784330000002</v>
      </c>
      <c r="G1190">
        <v>0</v>
      </c>
      <c r="L1190" t="s">
        <v>7</v>
      </c>
      <c r="M1190" t="s">
        <v>8</v>
      </c>
      <c r="N1190" t="s">
        <v>8</v>
      </c>
      <c r="P1190">
        <f t="shared" si="1034"/>
        <v>-0.31914893617021051</v>
      </c>
      <c r="Q1190">
        <f t="shared" si="1035"/>
        <v>-13362.697126595651</v>
      </c>
      <c r="R1190">
        <f t="shared" si="1036"/>
        <v>-107086.75322321024</v>
      </c>
      <c r="S1190">
        <f t="shared" si="1037"/>
        <v>-1.0708675322321024</v>
      </c>
      <c r="T1190">
        <f t="shared" si="1038"/>
        <v>-1.0708675322321024E-3</v>
      </c>
    </row>
    <row r="1191" spans="1:20" x14ac:dyDescent="0.25">
      <c r="A1191" s="5">
        <v>43402</v>
      </c>
      <c r="B1191">
        <v>52.1</v>
      </c>
      <c r="C1191">
        <v>52.26</v>
      </c>
      <c r="D1191">
        <v>48.17</v>
      </c>
      <c r="E1191">
        <v>49.21</v>
      </c>
      <c r="F1191">
        <v>93056.556330000007</v>
      </c>
      <c r="G1191">
        <v>0</v>
      </c>
      <c r="L1191" t="s">
        <v>7</v>
      </c>
      <c r="M1191" t="s">
        <v>8</v>
      </c>
      <c r="N1191" t="s">
        <v>8</v>
      </c>
      <c r="P1191">
        <f t="shared" si="1034"/>
        <v>-0.491442542787286</v>
      </c>
      <c r="Q1191">
        <f t="shared" si="1035"/>
        <v>-45731.95066584352</v>
      </c>
      <c r="R1191">
        <f t="shared" si="1036"/>
        <v>-93724.056096614586</v>
      </c>
      <c r="S1191">
        <f t="shared" si="1037"/>
        <v>-0.93724056096614583</v>
      </c>
      <c r="T1191">
        <f t="shared" si="1038"/>
        <v>-9.3724056096614581E-4</v>
      </c>
    </row>
    <row r="1192" spans="1:20" x14ac:dyDescent="0.25">
      <c r="A1192" s="5">
        <v>43401</v>
      </c>
      <c r="B1192">
        <v>52.25</v>
      </c>
      <c r="C1192">
        <v>52.66</v>
      </c>
      <c r="D1192">
        <v>51.7</v>
      </c>
      <c r="E1192">
        <v>52.07</v>
      </c>
      <c r="F1192">
        <v>35288.397019999997</v>
      </c>
      <c r="G1192">
        <v>0</v>
      </c>
      <c r="L1192" t="s">
        <v>8</v>
      </c>
      <c r="M1192" t="s">
        <v>8</v>
      </c>
      <c r="N1192" t="s">
        <v>8</v>
      </c>
      <c r="P1192">
        <f t="shared" si="1034"/>
        <v>-0.22916666666666696</v>
      </c>
      <c r="Q1192">
        <f t="shared" si="1035"/>
        <v>-8086.9243170833433</v>
      </c>
      <c r="R1192">
        <f t="shared" si="1036"/>
        <v>-47992.105430771066</v>
      </c>
      <c r="S1192">
        <f t="shared" si="1037"/>
        <v>-0.47992105430771065</v>
      </c>
      <c r="T1192">
        <f t="shared" si="1038"/>
        <v>-4.7992105430771063E-4</v>
      </c>
    </row>
    <row r="1193" spans="1:20" x14ac:dyDescent="0.25">
      <c r="A1193" s="5">
        <v>43400</v>
      </c>
      <c r="B1193">
        <v>52.6</v>
      </c>
      <c r="C1193">
        <v>53.08</v>
      </c>
      <c r="D1193">
        <v>51.72</v>
      </c>
      <c r="E1193">
        <v>52.25</v>
      </c>
      <c r="F1193">
        <v>39585.130850000001</v>
      </c>
      <c r="G1193">
        <v>0</v>
      </c>
      <c r="L1193" t="s">
        <v>8</v>
      </c>
      <c r="M1193" t="s">
        <v>8</v>
      </c>
      <c r="N1193" t="s">
        <v>8</v>
      </c>
      <c r="P1193">
        <f t="shared" si="1034"/>
        <v>-0.22058823529411564</v>
      </c>
      <c r="Q1193">
        <f t="shared" si="1035"/>
        <v>-8732.0141580881555</v>
      </c>
      <c r="R1193">
        <f t="shared" si="1036"/>
        <v>-39905.181113687722</v>
      </c>
      <c r="S1193">
        <f t="shared" si="1037"/>
        <v>-0.39905181113687721</v>
      </c>
      <c r="T1193">
        <f t="shared" si="1038"/>
        <v>-3.9905181113687721E-4</v>
      </c>
    </row>
    <row r="1194" spans="1:20" x14ac:dyDescent="0.25">
      <c r="A1194" s="5">
        <v>43399</v>
      </c>
      <c r="B1194">
        <v>52.81</v>
      </c>
      <c r="C1194">
        <v>53.55</v>
      </c>
      <c r="D1194">
        <v>52.23</v>
      </c>
      <c r="E1194">
        <v>52.56</v>
      </c>
      <c r="F1194">
        <v>49669.653859999999</v>
      </c>
      <c r="G1194">
        <v>0</v>
      </c>
      <c r="L1194" t="s">
        <v>8</v>
      </c>
      <c r="M1194" t="s">
        <v>8</v>
      </c>
      <c r="N1194" t="s">
        <v>8</v>
      </c>
      <c r="P1194">
        <f t="shared" si="1034"/>
        <v>-0.49999999999999195</v>
      </c>
      <c r="Q1194">
        <f t="shared" si="1035"/>
        <v>-24834.826929999599</v>
      </c>
      <c r="R1194">
        <f t="shared" si="1036"/>
        <v>-31173.166955599569</v>
      </c>
      <c r="S1194">
        <f t="shared" si="1037"/>
        <v>-0.31173166955599568</v>
      </c>
      <c r="T1194">
        <f t="shared" si="1038"/>
        <v>-3.117316695559957E-4</v>
      </c>
    </row>
    <row r="1195" spans="1:20" x14ac:dyDescent="0.25">
      <c r="A1195" s="5">
        <v>43398</v>
      </c>
      <c r="B1195">
        <v>53.12</v>
      </c>
      <c r="C1195">
        <v>53.27</v>
      </c>
      <c r="D1195">
        <v>52.52</v>
      </c>
      <c r="E1195">
        <v>52.84</v>
      </c>
      <c r="F1195">
        <v>43215.954720000002</v>
      </c>
      <c r="G1195">
        <v>0</v>
      </c>
      <c r="P1195">
        <f t="shared" si="1034"/>
        <v>-0.14666666666666592</v>
      </c>
      <c r="Q1195">
        <f t="shared" si="1035"/>
        <v>-6338.3400255999677</v>
      </c>
      <c r="R1195">
        <f t="shared" si="1036"/>
        <v>-6338.3400255999677</v>
      </c>
      <c r="S1195">
        <f t="shared" si="1037"/>
        <v>-6.3383400255999672E-2</v>
      </c>
      <c r="T1195">
        <f t="shared" si="1038"/>
        <v>-6.3383400255999676E-5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L351" sqref="PL35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$A$350</v>
      </c>
      <c r="D111" s="1" t="str">
        <f>ADDRESS(C121-1,D121,1,1)</f>
        <v>$PL$350</v>
      </c>
      <c r="E111"/>
    </row>
    <row r="112" spans="1:5" x14ac:dyDescent="0.25">
      <c r="A112" s="7">
        <v>12164.144957890772</v>
      </c>
      <c r="C112" s="1" t="str">
        <f>ADDRESS(C121,1,1,1)</f>
        <v>$A$351</v>
      </c>
      <c r="D112" s="1" t="str">
        <f>ADDRESS(C121,D121-1,1,1)</f>
        <v>$PK$351</v>
      </c>
      <c r="E112"/>
    </row>
    <row r="113" spans="1:5" x14ac:dyDescent="0.25">
      <c r="A113" s="7">
        <v>11925.63231165762</v>
      </c>
      <c r="C113" s="1" t="str">
        <f>ADDRESS(C121+1,1,1,1)</f>
        <v>$A$352</v>
      </c>
      <c r="D113" s="1" t="str">
        <f>ADDRESS(C121-1,D121+1,1,1)</f>
        <v>$PM$350</v>
      </c>
    </row>
    <row r="114" spans="1:5" x14ac:dyDescent="0.25">
      <c r="A114" s="7">
        <v>11691.796383978059</v>
      </c>
      <c r="C114" s="1" t="str">
        <f>ADDRESS(C121,D121,1,1)</f>
        <v>$PL$351</v>
      </c>
      <c r="D114" s="1" t="str">
        <f>ADDRESS(C121+1,D121+1,1,1)</f>
        <v>$PM$352</v>
      </c>
    </row>
    <row r="115" spans="1:5" x14ac:dyDescent="0.25">
      <c r="A115" s="7">
        <v>11462.545474488292</v>
      </c>
      <c r="C115" s="1" t="str">
        <f>ADDRESS(C121+1,D121,1,1)</f>
        <v>$PL$352</v>
      </c>
    </row>
    <row r="116" spans="1:5" x14ac:dyDescent="0.25">
      <c r="A116" s="7">
        <v>11237.789680870874</v>
      </c>
      <c r="C116" s="1">
        <f>C117-1</f>
        <v>350</v>
      </c>
    </row>
    <row r="117" spans="1:5" x14ac:dyDescent="0.25">
      <c r="A117" s="7">
        <v>11017.440863598895</v>
      </c>
      <c r="C117" s="1">
        <f>C121</f>
        <v>351</v>
      </c>
      <c r="D117" s="1">
        <f>D121</f>
        <v>428</v>
      </c>
    </row>
    <row r="118" spans="1:5" x14ac:dyDescent="0.25">
      <c r="A118" s="7">
        <v>10801.412611371465</v>
      </c>
      <c r="C118" s="1">
        <f>C117+1</f>
        <v>352</v>
      </c>
      <c r="D118" s="1">
        <f>D117+1</f>
        <v>429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351</v>
      </c>
      <c r="D121" s="19">
        <v>428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R351</v>
      </c>
      <c r="D123" s="1" t="str">
        <f>"C"&amp;D121</f>
        <v>C428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107.06327789904566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332" x14ac:dyDescent="0.25">
      <c r="A273" s="7">
        <v>501.71135837085484</v>
      </c>
      <c r="B273"/>
      <c r="C273"/>
      <c r="D273"/>
      <c r="E273"/>
    </row>
    <row r="274" spans="1:332" x14ac:dyDescent="0.25">
      <c r="A274" s="7">
        <v>491.87388075574</v>
      </c>
      <c r="B274"/>
      <c r="C274"/>
      <c r="D274"/>
      <c r="E274"/>
    </row>
    <row r="275" spans="1:332" x14ac:dyDescent="0.25">
      <c r="A275" s="7">
        <v>482.22929485856861</v>
      </c>
      <c r="B275"/>
      <c r="C275"/>
      <c r="D275"/>
      <c r="E275"/>
    </row>
    <row r="276" spans="1:332" x14ac:dyDescent="0.25">
      <c r="A276" s="7">
        <v>472.77381848879276</v>
      </c>
      <c r="B276"/>
      <c r="C276"/>
      <c r="D276"/>
      <c r="E276"/>
    </row>
    <row r="277" spans="1:332" x14ac:dyDescent="0.25">
      <c r="A277" s="7">
        <v>463.50374361646345</v>
      </c>
      <c r="B277"/>
      <c r="C277"/>
      <c r="D277"/>
      <c r="E277"/>
    </row>
    <row r="278" spans="1:332" x14ac:dyDescent="0.25">
      <c r="A278" s="7">
        <v>454.41543491810143</v>
      </c>
      <c r="B278"/>
      <c r="C278"/>
      <c r="D278"/>
      <c r="E278"/>
    </row>
    <row r="279" spans="1:332" x14ac:dyDescent="0.25">
      <c r="A279" s="7">
        <v>445.50532835107981</v>
      </c>
      <c r="B279"/>
      <c r="C279"/>
      <c r="D279"/>
      <c r="E279"/>
    </row>
    <row r="280" spans="1:332" x14ac:dyDescent="0.25">
      <c r="A280" s="7">
        <v>436.76992975596062</v>
      </c>
      <c r="B280"/>
      <c r="C280"/>
      <c r="D280"/>
      <c r="E280"/>
    </row>
    <row r="281" spans="1:332" x14ac:dyDescent="0.25">
      <c r="A281" s="7">
        <v>428.20581348623591</v>
      </c>
      <c r="B281"/>
      <c r="C281"/>
      <c r="D281"/>
      <c r="E281"/>
    </row>
    <row r="282" spans="1:332" x14ac:dyDescent="0.25">
      <c r="A282" s="7">
        <v>419.80962106493718</v>
      </c>
      <c r="B282"/>
      <c r="C282"/>
      <c r="D282"/>
      <c r="E282"/>
    </row>
    <row r="283" spans="1:332" x14ac:dyDescent="0.25">
      <c r="A283" s="7">
        <v>411.57805986758547</v>
      </c>
      <c r="B283"/>
      <c r="C283"/>
      <c r="D283"/>
      <c r="E283"/>
      <c r="LS283" s="27" t="s">
        <v>8</v>
      </c>
    </row>
    <row r="284" spans="1:332" x14ac:dyDescent="0.25">
      <c r="A284" s="7">
        <v>403.50790183096615</v>
      </c>
      <c r="B284"/>
      <c r="C284"/>
      <c r="D284"/>
      <c r="E284"/>
      <c r="LS284" s="27" t="s">
        <v>8</v>
      </c>
      <c r="LT284" s="27" t="s">
        <v>7</v>
      </c>
    </row>
    <row r="285" spans="1:332" x14ac:dyDescent="0.25">
      <c r="A285" s="7">
        <v>395.59598218722169</v>
      </c>
      <c r="B285"/>
      <c r="C285"/>
      <c r="D285"/>
      <c r="E285"/>
      <c r="LS285" s="27" t="s">
        <v>8</v>
      </c>
      <c r="LT285" s="27" t="s">
        <v>7</v>
      </c>
    </row>
    <row r="286" spans="1:332" x14ac:dyDescent="0.25">
      <c r="A286" s="7">
        <v>387.83919822276636</v>
      </c>
      <c r="B286"/>
      <c r="C286"/>
      <c r="D286"/>
      <c r="E286"/>
      <c r="LS286" s="27" t="s">
        <v>8</v>
      </c>
      <c r="LT286" s="27" t="s">
        <v>7</v>
      </c>
    </row>
    <row r="287" spans="1:332" x14ac:dyDescent="0.25">
      <c r="A287" s="7">
        <v>380.23450806153562</v>
      </c>
      <c r="B287"/>
      <c r="C287"/>
      <c r="D287"/>
      <c r="E287"/>
      <c r="LS287" s="27" t="s">
        <v>8</v>
      </c>
      <c r="LT287" s="27" t="s">
        <v>7</v>
      </c>
    </row>
    <row r="288" spans="1:332" x14ac:dyDescent="0.25">
      <c r="A288" s="7">
        <v>372.77892947209375</v>
      </c>
      <c r="B288"/>
      <c r="C288"/>
      <c r="D288"/>
      <c r="E288"/>
      <c r="LQ288" s="27" t="s">
        <v>8</v>
      </c>
      <c r="LS288" s="27" t="s">
        <v>8</v>
      </c>
      <c r="LT288" s="27" t="s">
        <v>7</v>
      </c>
    </row>
    <row r="289" spans="1:402" x14ac:dyDescent="0.25">
      <c r="A289" s="7">
        <v>365.46953869813115</v>
      </c>
      <c r="B289"/>
      <c r="C289"/>
      <c r="D289"/>
      <c r="E289"/>
      <c r="LQ289" s="27" t="s">
        <v>8</v>
      </c>
      <c r="LR289" s="27" t="s">
        <v>7</v>
      </c>
      <c r="LS289" s="27" t="s">
        <v>8</v>
      </c>
      <c r="LT289" s="27" t="s">
        <v>7</v>
      </c>
    </row>
    <row r="290" spans="1:402" x14ac:dyDescent="0.25">
      <c r="A290" s="7">
        <v>358.30346931189325</v>
      </c>
      <c r="B290"/>
      <c r="C290"/>
      <c r="D290"/>
      <c r="E290"/>
      <c r="LO290" s="27" t="s">
        <v>8</v>
      </c>
      <c r="LQ290" s="27" t="s">
        <v>8</v>
      </c>
      <c r="LR290" s="27" t="s">
        <v>7</v>
      </c>
      <c r="LS290" s="27" t="s">
        <v>8</v>
      </c>
      <c r="LT290" s="27" t="s">
        <v>7</v>
      </c>
    </row>
    <row r="291" spans="1:402" x14ac:dyDescent="0.25">
      <c r="A291" s="7">
        <v>351.27791109009144</v>
      </c>
      <c r="B291"/>
      <c r="C291"/>
      <c r="D291"/>
      <c r="E291"/>
      <c r="LO291" s="27" t="s">
        <v>8</v>
      </c>
      <c r="LP291" s="27" t="s">
        <v>7</v>
      </c>
      <c r="LQ291" s="27" t="s">
        <v>8</v>
      </c>
      <c r="LR291" s="27" t="s">
        <v>7</v>
      </c>
      <c r="LS291" s="27" t="s">
        <v>8</v>
      </c>
      <c r="LT291" s="27" t="s">
        <v>7</v>
      </c>
    </row>
    <row r="292" spans="1:402" x14ac:dyDescent="0.25">
      <c r="A292" s="7">
        <v>344.39010891185433</v>
      </c>
      <c r="B292"/>
      <c r="C292"/>
      <c r="D292"/>
      <c r="E292"/>
      <c r="LO292" s="27" t="s">
        <v>8</v>
      </c>
      <c r="LP292" s="27" t="s">
        <v>7</v>
      </c>
      <c r="LQ292" s="27" t="s">
        <v>8</v>
      </c>
      <c r="LR292" s="27" t="s">
        <v>7</v>
      </c>
      <c r="LS292" s="27" t="s">
        <v>8</v>
      </c>
      <c r="LT292" s="27" t="s">
        <v>7</v>
      </c>
    </row>
    <row r="293" spans="1:402" x14ac:dyDescent="0.25">
      <c r="A293" s="7">
        <v>337.63736167828853</v>
      </c>
      <c r="B293"/>
      <c r="C293"/>
      <c r="D293"/>
      <c r="E293"/>
      <c r="LO293" s="27" t="s">
        <v>8</v>
      </c>
      <c r="LP293" s="27" t="s">
        <v>7</v>
      </c>
      <c r="LQ293" s="27" t="s">
        <v>8</v>
      </c>
      <c r="LR293" s="27" t="s">
        <v>7</v>
      </c>
      <c r="LT293" s="27" t="s">
        <v>7</v>
      </c>
      <c r="LU293" s="27" t="s">
        <v>8</v>
      </c>
    </row>
    <row r="294" spans="1:402" x14ac:dyDescent="0.25">
      <c r="A294" s="7">
        <v>331.01702125322402</v>
      </c>
      <c r="B294"/>
      <c r="C294"/>
      <c r="D294"/>
      <c r="E294"/>
      <c r="LE294" s="27" t="s">
        <v>8</v>
      </c>
      <c r="LO294" s="27" t="s">
        <v>8</v>
      </c>
      <c r="LP294" s="27" t="s">
        <v>7</v>
      </c>
      <c r="LQ294" s="27" t="s">
        <v>8</v>
      </c>
      <c r="LT294" s="27" t="s">
        <v>7</v>
      </c>
      <c r="LU294" s="27" t="s">
        <v>8</v>
      </c>
      <c r="LV294" s="27" t="s">
        <v>7</v>
      </c>
    </row>
    <row r="295" spans="1:402" x14ac:dyDescent="0.25">
      <c r="A295" s="7">
        <v>324.52649142472944</v>
      </c>
      <c r="B295"/>
      <c r="C295"/>
      <c r="D295"/>
      <c r="E295"/>
      <c r="LE295" s="27" t="s">
        <v>8</v>
      </c>
      <c r="LF295" s="27" t="s">
        <v>7</v>
      </c>
      <c r="LO295" s="27" t="s">
        <v>8</v>
      </c>
      <c r="LP295" s="27" t="s">
        <v>7</v>
      </c>
      <c r="LQ295" s="27" t="s">
        <v>8</v>
      </c>
      <c r="LT295" s="27" t="s">
        <v>7</v>
      </c>
      <c r="LU295" s="27" t="s">
        <v>8</v>
      </c>
      <c r="LV295" s="27" t="s">
        <v>7</v>
      </c>
    </row>
    <row r="296" spans="1:402" x14ac:dyDescent="0.25">
      <c r="A296" s="7">
        <v>318.16322688698966</v>
      </c>
      <c r="B296"/>
      <c r="C296"/>
      <c r="D296"/>
      <c r="E296"/>
      <c r="LE296" s="27" t="s">
        <v>8</v>
      </c>
      <c r="LF296" s="27" t="s">
        <v>7</v>
      </c>
      <c r="LO296" s="27" t="s">
        <v>8</v>
      </c>
      <c r="LP296" s="27" t="s">
        <v>7</v>
      </c>
      <c r="LT296" s="27" t="s">
        <v>7</v>
      </c>
      <c r="LU296" s="27" t="s">
        <v>8</v>
      </c>
      <c r="LV296" s="27" t="s">
        <v>7</v>
      </c>
    </row>
    <row r="297" spans="1:402" x14ac:dyDescent="0.25">
      <c r="A297" s="7">
        <v>311.92473224214672</v>
      </c>
      <c r="B297"/>
      <c r="C297"/>
      <c r="D297"/>
      <c r="E297"/>
      <c r="LE297" s="27" t="s">
        <v>8</v>
      </c>
      <c r="LF297" s="27" t="s">
        <v>7</v>
      </c>
      <c r="LO297" s="27" t="s">
        <v>8</v>
      </c>
      <c r="LT297" s="27" t="s">
        <v>7</v>
      </c>
      <c r="LU297" s="27" t="s">
        <v>8</v>
      </c>
      <c r="LV297" s="27" t="s">
        <v>7</v>
      </c>
      <c r="LW297" s="27" t="s">
        <v>8</v>
      </c>
    </row>
    <row r="298" spans="1:402" x14ac:dyDescent="0.25">
      <c r="A298" s="7">
        <v>305.80856102171248</v>
      </c>
      <c r="B298"/>
      <c r="C298"/>
      <c r="D298"/>
      <c r="E298"/>
      <c r="LE298" s="27" t="s">
        <v>8</v>
      </c>
      <c r="LF298" s="27" t="s">
        <v>7</v>
      </c>
      <c r="LO298" s="27" t="s">
        <v>8</v>
      </c>
      <c r="LT298" s="27" t="s">
        <v>7</v>
      </c>
      <c r="LU298" s="27" t="s">
        <v>8</v>
      </c>
      <c r="LV298" s="27" t="s">
        <v>7</v>
      </c>
      <c r="LW298" s="27" t="s">
        <v>8</v>
      </c>
      <c r="LX298" s="27" t="s">
        <v>7</v>
      </c>
    </row>
    <row r="299" spans="1:402" x14ac:dyDescent="0.25">
      <c r="A299" s="7">
        <v>299.81231472716911</v>
      </c>
      <c r="B299"/>
      <c r="C299"/>
      <c r="D299"/>
      <c r="E299"/>
      <c r="LE299" s="27" t="s">
        <v>8</v>
      </c>
      <c r="LF299" s="27" t="s">
        <v>7</v>
      </c>
      <c r="LO299" s="27" t="s">
        <v>8</v>
      </c>
      <c r="LT299" s="27" t="s">
        <v>7</v>
      </c>
      <c r="LU299" s="27" t="s">
        <v>8</v>
      </c>
      <c r="LV299" s="27" t="s">
        <v>7</v>
      </c>
      <c r="LW299" s="27" t="s">
        <v>8</v>
      </c>
      <c r="LX299" s="27" t="s">
        <v>7</v>
      </c>
    </row>
    <row r="300" spans="1:402" x14ac:dyDescent="0.25">
      <c r="A300" s="7">
        <v>293.93364188938148</v>
      </c>
      <c r="B300"/>
      <c r="C300"/>
      <c r="D300"/>
      <c r="E300"/>
      <c r="LE300" s="27" t="s">
        <v>8</v>
      </c>
      <c r="LF300" s="27" t="s">
        <v>7</v>
      </c>
      <c r="LO300" s="27" t="s">
        <v>8</v>
      </c>
      <c r="LT300" s="27" t="s">
        <v>7</v>
      </c>
      <c r="LV300" s="27" t="s">
        <v>7</v>
      </c>
      <c r="LW300" s="27" t="s">
        <v>8</v>
      </c>
      <c r="LX300" s="27" t="s">
        <v>7</v>
      </c>
      <c r="OI300" s="27" t="s">
        <v>8</v>
      </c>
    </row>
    <row r="301" spans="1:402" x14ac:dyDescent="0.25">
      <c r="A301" s="7">
        <v>288.17023714645245</v>
      </c>
      <c r="B301"/>
      <c r="C301"/>
      <c r="D301"/>
      <c r="E301"/>
      <c r="LE301" s="27" t="s">
        <v>8</v>
      </c>
      <c r="LF301" s="27" t="s">
        <v>7</v>
      </c>
      <c r="LI301" s="27" t="s">
        <v>8</v>
      </c>
      <c r="LO301" s="27" t="s">
        <v>8</v>
      </c>
      <c r="LV301" s="27" t="s">
        <v>7</v>
      </c>
      <c r="LW301" s="27" t="s">
        <v>8</v>
      </c>
      <c r="LX301" s="27" t="s">
        <v>7</v>
      </c>
      <c r="OI301" s="27" t="s">
        <v>8</v>
      </c>
      <c r="OJ301" s="27" t="s">
        <v>7</v>
      </c>
    </row>
    <row r="302" spans="1:402" x14ac:dyDescent="0.25">
      <c r="A302" s="7">
        <v>282.51984033965925</v>
      </c>
      <c r="B302"/>
      <c r="C302"/>
      <c r="D302"/>
      <c r="E302"/>
      <c r="LE302" s="27" t="s">
        <v>8</v>
      </c>
      <c r="LF302" s="27" t="s">
        <v>7</v>
      </c>
      <c r="LG302" s="27" t="s">
        <v>8</v>
      </c>
      <c r="LI302" s="27" t="s">
        <v>8</v>
      </c>
      <c r="LJ302" s="27" t="s">
        <v>7</v>
      </c>
      <c r="LO302" s="27" t="s">
        <v>8</v>
      </c>
      <c r="LV302" s="27" t="s">
        <v>7</v>
      </c>
      <c r="LW302" s="27" t="s">
        <v>8</v>
      </c>
      <c r="LX302" s="27" t="s">
        <v>7</v>
      </c>
      <c r="OI302" s="27" t="s">
        <v>8</v>
      </c>
      <c r="OJ302" s="27" t="s">
        <v>7</v>
      </c>
    </row>
    <row r="303" spans="1:402" x14ac:dyDescent="0.25">
      <c r="A303" s="7">
        <v>276.98023562711688</v>
      </c>
      <c r="B303"/>
      <c r="C303"/>
      <c r="D303"/>
      <c r="E303"/>
      <c r="LE303" s="27" t="s">
        <v>8</v>
      </c>
      <c r="LF303" s="27" t="s">
        <v>7</v>
      </c>
      <c r="LG303" s="27" t="s">
        <v>8</v>
      </c>
      <c r="LH303" s="27" t="s">
        <v>7</v>
      </c>
      <c r="LI303" s="27" t="s">
        <v>8</v>
      </c>
      <c r="LJ303" s="27" t="s">
        <v>7</v>
      </c>
      <c r="LO303" s="27" t="s">
        <v>8</v>
      </c>
      <c r="LV303" s="27" t="s">
        <v>7</v>
      </c>
      <c r="LW303" s="27" t="s">
        <v>8</v>
      </c>
      <c r="LX303" s="27" t="s">
        <v>7</v>
      </c>
      <c r="OI303" s="27" t="s">
        <v>8</v>
      </c>
      <c r="OJ303" s="27" t="s">
        <v>7</v>
      </c>
      <c r="OK303" s="27" t="s">
        <v>8</v>
      </c>
    </row>
    <row r="304" spans="1:402" x14ac:dyDescent="0.25">
      <c r="A304" s="7">
        <v>271.54925061482049</v>
      </c>
      <c r="B304"/>
      <c r="C304"/>
      <c r="D304"/>
      <c r="E304"/>
      <c r="LE304" s="27" t="s">
        <v>8</v>
      </c>
      <c r="LF304" s="27" t="s">
        <v>7</v>
      </c>
      <c r="LG304" s="27" t="s">
        <v>8</v>
      </c>
      <c r="LH304" s="27" t="s">
        <v>7</v>
      </c>
      <c r="LI304" s="27" t="s">
        <v>8</v>
      </c>
      <c r="LJ304" s="27" t="s">
        <v>7</v>
      </c>
      <c r="LO304" s="27" t="s">
        <v>8</v>
      </c>
      <c r="LV304" s="27" t="s">
        <v>7</v>
      </c>
      <c r="LW304" s="27" t="s">
        <v>8</v>
      </c>
      <c r="LX304" s="27" t="s">
        <v>7</v>
      </c>
      <c r="OI304" s="27" t="s">
        <v>8</v>
      </c>
      <c r="OJ304" s="27" t="s">
        <v>7</v>
      </c>
      <c r="OK304" s="27" t="s">
        <v>8</v>
      </c>
      <c r="OL304" s="27" t="s">
        <v>7</v>
      </c>
    </row>
    <row r="305" spans="1:408" x14ac:dyDescent="0.25">
      <c r="A305" s="7">
        <v>266.22475550472598</v>
      </c>
      <c r="B305"/>
      <c r="C305"/>
      <c r="D305"/>
      <c r="E305"/>
      <c r="LE305" s="27" t="s">
        <v>8</v>
      </c>
      <c r="LF305" s="27" t="s">
        <v>7</v>
      </c>
      <c r="LG305" s="27" t="s">
        <v>8</v>
      </c>
      <c r="LH305" s="27" t="s">
        <v>7</v>
      </c>
      <c r="LI305" s="27" t="s">
        <v>8</v>
      </c>
      <c r="LJ305" s="27" t="s">
        <v>7</v>
      </c>
      <c r="LM305" s="27" t="s">
        <v>8</v>
      </c>
      <c r="LO305" s="27" t="s">
        <v>8</v>
      </c>
      <c r="LV305" s="27" t="s">
        <v>7</v>
      </c>
      <c r="LX305" s="27" t="s">
        <v>7</v>
      </c>
      <c r="OI305" s="27" t="s">
        <v>8</v>
      </c>
      <c r="OJ305" s="27" t="s">
        <v>7</v>
      </c>
      <c r="OK305" s="27" t="s">
        <v>8</v>
      </c>
      <c r="OL305" s="27" t="s">
        <v>7</v>
      </c>
    </row>
    <row r="306" spans="1:408" x14ac:dyDescent="0.25">
      <c r="A306" s="7">
        <v>261.00466225953528</v>
      </c>
      <c r="B306"/>
      <c r="C306"/>
      <c r="D306"/>
      <c r="E306"/>
      <c r="LC306" s="27" t="s">
        <v>8</v>
      </c>
      <c r="LE306" s="27" t="s">
        <v>8</v>
      </c>
      <c r="LF306" s="27" t="s">
        <v>7</v>
      </c>
      <c r="LG306" s="27" t="s">
        <v>8</v>
      </c>
      <c r="LH306" s="27" t="s">
        <v>7</v>
      </c>
      <c r="LI306" s="27" t="s">
        <v>8</v>
      </c>
      <c r="LJ306" s="27" t="s">
        <v>7</v>
      </c>
      <c r="LM306" s="27" t="s">
        <v>8</v>
      </c>
      <c r="LN306" s="27" t="s">
        <v>7</v>
      </c>
      <c r="LO306" s="27" t="s">
        <v>8</v>
      </c>
      <c r="LX306" s="27" t="s">
        <v>7</v>
      </c>
      <c r="OI306" s="27" t="s">
        <v>8</v>
      </c>
      <c r="OJ306" s="27" t="s">
        <v>7</v>
      </c>
      <c r="OK306" s="27" t="s">
        <v>8</v>
      </c>
      <c r="OL306" s="27" t="s">
        <v>7</v>
      </c>
    </row>
    <row r="307" spans="1:408" x14ac:dyDescent="0.25">
      <c r="A307" s="7">
        <v>255.88692378385809</v>
      </c>
      <c r="B307"/>
      <c r="C307"/>
      <c r="D307"/>
      <c r="E307"/>
      <c r="LC307" s="27" t="s">
        <v>8</v>
      </c>
      <c r="LD307" s="27" t="s">
        <v>7</v>
      </c>
      <c r="LE307" s="27" t="s">
        <v>8</v>
      </c>
      <c r="LF307" s="27" t="s">
        <v>7</v>
      </c>
      <c r="LG307" s="27" t="s">
        <v>8</v>
      </c>
      <c r="LH307" s="27" t="s">
        <v>7</v>
      </c>
      <c r="LI307" s="27" t="s">
        <v>8</v>
      </c>
      <c r="LJ307" s="27" t="s">
        <v>7</v>
      </c>
      <c r="LM307" s="27" t="s">
        <v>8</v>
      </c>
      <c r="LN307" s="27" t="s">
        <v>7</v>
      </c>
      <c r="LO307" s="27" t="s">
        <v>8</v>
      </c>
      <c r="LX307" s="27" t="s">
        <v>7</v>
      </c>
      <c r="OI307" s="27" t="s">
        <v>8</v>
      </c>
      <c r="OJ307" s="27" t="s">
        <v>7</v>
      </c>
      <c r="OK307" s="27" t="s">
        <v>8</v>
      </c>
      <c r="OL307" s="27" t="s">
        <v>7</v>
      </c>
    </row>
    <row r="308" spans="1:408" x14ac:dyDescent="0.25">
      <c r="A308" s="7">
        <v>250.8695331214295</v>
      </c>
      <c r="B308"/>
      <c r="C308"/>
      <c r="D308"/>
      <c r="E308"/>
      <c r="LC308" s="27" t="s">
        <v>8</v>
      </c>
      <c r="LD308" s="27" t="s">
        <v>7</v>
      </c>
      <c r="LE308" s="27" t="s">
        <v>8</v>
      </c>
      <c r="LF308" s="27" t="s">
        <v>7</v>
      </c>
      <c r="LG308" s="27" t="s">
        <v>8</v>
      </c>
      <c r="LH308" s="27" t="s">
        <v>7</v>
      </c>
      <c r="LI308" s="27" t="s">
        <v>8</v>
      </c>
      <c r="LJ308" s="27" t="s">
        <v>7</v>
      </c>
      <c r="LM308" s="27" t="s">
        <v>8</v>
      </c>
      <c r="LN308" s="27" t="s">
        <v>7</v>
      </c>
      <c r="LX308" s="27" t="s">
        <v>7</v>
      </c>
      <c r="OI308" s="27" t="s">
        <v>8</v>
      </c>
      <c r="OJ308" s="27" t="s">
        <v>7</v>
      </c>
      <c r="OK308" s="27" t="s">
        <v>8</v>
      </c>
      <c r="OL308" s="27" t="s">
        <v>7</v>
      </c>
    </row>
    <row r="309" spans="1:408" x14ac:dyDescent="0.25">
      <c r="A309" s="7">
        <v>245.95052266806812</v>
      </c>
      <c r="B309"/>
      <c r="C309"/>
      <c r="D309"/>
      <c r="E309"/>
      <c r="KK309" s="27" t="s">
        <v>8</v>
      </c>
      <c r="LC309" s="27" t="s">
        <v>8</v>
      </c>
      <c r="LD309" s="27" t="s">
        <v>7</v>
      </c>
      <c r="LE309" s="27" t="s">
        <v>8</v>
      </c>
      <c r="LF309" s="27" t="s">
        <v>7</v>
      </c>
      <c r="LG309" s="27" t="s">
        <v>8</v>
      </c>
      <c r="LH309" s="27" t="s">
        <v>7</v>
      </c>
      <c r="LI309" s="27" t="s">
        <v>8</v>
      </c>
      <c r="LJ309" s="27" t="s">
        <v>7</v>
      </c>
      <c r="LM309" s="27" t="s">
        <v>8</v>
      </c>
      <c r="LX309" s="27" t="s">
        <v>7</v>
      </c>
      <c r="OI309" s="27" t="s">
        <v>8</v>
      </c>
      <c r="OJ309" s="27" t="s">
        <v>7</v>
      </c>
      <c r="OL309" s="27" t="s">
        <v>7</v>
      </c>
    </row>
    <row r="310" spans="1:408" x14ac:dyDescent="0.25">
      <c r="A310" s="7">
        <v>241.12796340006679</v>
      </c>
      <c r="B310"/>
      <c r="C310"/>
      <c r="D310"/>
      <c r="E310"/>
      <c r="KK310" s="27" t="s">
        <v>8</v>
      </c>
      <c r="KL310" s="27" t="s">
        <v>7</v>
      </c>
      <c r="LA310" s="27" t="s">
        <v>8</v>
      </c>
      <c r="LC310" s="27" t="s">
        <v>8</v>
      </c>
      <c r="LD310" s="27" t="s">
        <v>7</v>
      </c>
      <c r="LF310" s="27" t="s">
        <v>7</v>
      </c>
      <c r="LG310" s="27" t="s">
        <v>8</v>
      </c>
      <c r="LH310" s="27" t="s">
        <v>7</v>
      </c>
      <c r="LI310" s="27" t="s">
        <v>8</v>
      </c>
      <c r="LJ310" s="27" t="s">
        <v>7</v>
      </c>
      <c r="LK310" s="27" t="s">
        <v>8</v>
      </c>
      <c r="LM310" s="27" t="s">
        <v>8</v>
      </c>
      <c r="LX310" s="27" t="s">
        <v>7</v>
      </c>
      <c r="OI310" s="27" t="s">
        <v>8</v>
      </c>
      <c r="OL310" s="27" t="s">
        <v>7</v>
      </c>
    </row>
    <row r="311" spans="1:408" x14ac:dyDescent="0.25">
      <c r="A311" s="7">
        <v>236.39996411771253</v>
      </c>
      <c r="B311"/>
      <c r="C311"/>
      <c r="D311"/>
      <c r="E311"/>
      <c r="KI311" s="27" t="s">
        <v>8</v>
      </c>
      <c r="KK311" s="27" t="s">
        <v>8</v>
      </c>
      <c r="KL311" s="27" t="s">
        <v>7</v>
      </c>
      <c r="LA311" s="27" t="s">
        <v>8</v>
      </c>
      <c r="LB311" s="27" t="s">
        <v>7</v>
      </c>
      <c r="LC311" s="27" t="s">
        <v>8</v>
      </c>
      <c r="LF311" s="27" t="s">
        <v>7</v>
      </c>
      <c r="LG311" s="27" t="s">
        <v>8</v>
      </c>
      <c r="LH311" s="27" t="s">
        <v>7</v>
      </c>
      <c r="LJ311" s="27" t="s">
        <v>7</v>
      </c>
      <c r="LK311" s="27" t="s">
        <v>8</v>
      </c>
      <c r="LL311" s="27" t="s">
        <v>7</v>
      </c>
      <c r="LM311" s="27" t="s">
        <v>8</v>
      </c>
      <c r="LX311" s="27" t="s">
        <v>7</v>
      </c>
      <c r="NO311" s="27" t="s">
        <v>8</v>
      </c>
      <c r="OI311" s="27" t="s">
        <v>8</v>
      </c>
      <c r="OL311" s="27" t="s">
        <v>7</v>
      </c>
    </row>
    <row r="312" spans="1:408" x14ac:dyDescent="0.25">
      <c r="A312" s="7">
        <v>231.76467070363972</v>
      </c>
      <c r="B312"/>
      <c r="C312"/>
      <c r="D312"/>
      <c r="E312"/>
      <c r="KI312" s="27" t="s">
        <v>8</v>
      </c>
      <c r="KJ312" s="27" t="s">
        <v>7</v>
      </c>
      <c r="KK312" s="27" t="s">
        <v>8</v>
      </c>
      <c r="KL312" s="27" t="s">
        <v>7</v>
      </c>
      <c r="LA312" s="27" t="s">
        <v>8</v>
      </c>
      <c r="LB312" s="27" t="s">
        <v>7</v>
      </c>
      <c r="LC312" s="27" t="s">
        <v>8</v>
      </c>
      <c r="LF312" s="27" t="s">
        <v>7</v>
      </c>
      <c r="LJ312" s="27" t="s">
        <v>7</v>
      </c>
      <c r="LK312" s="27" t="s">
        <v>8</v>
      </c>
      <c r="LL312" s="27" t="s">
        <v>7</v>
      </c>
      <c r="LM312" s="27" t="s">
        <v>8</v>
      </c>
      <c r="LX312" s="27" t="s">
        <v>7</v>
      </c>
      <c r="NK312" s="27" t="s">
        <v>8</v>
      </c>
      <c r="NO312" s="27" t="s">
        <v>8</v>
      </c>
      <c r="NP312" s="27" t="s">
        <v>7</v>
      </c>
      <c r="OI312" s="27" t="s">
        <v>8</v>
      </c>
      <c r="OL312" s="27" t="s">
        <v>7</v>
      </c>
    </row>
    <row r="313" spans="1:408" x14ac:dyDescent="0.25">
      <c r="A313" s="7">
        <v>227.22026539572522</v>
      </c>
      <c r="B313"/>
      <c r="C313"/>
      <c r="D313"/>
      <c r="E313"/>
      <c r="KG313" s="27" t="s">
        <v>8</v>
      </c>
      <c r="KI313" s="27" t="s">
        <v>8</v>
      </c>
      <c r="KJ313" s="27" t="s">
        <v>7</v>
      </c>
      <c r="KK313" s="27" t="s">
        <v>8</v>
      </c>
      <c r="KL313" s="27" t="s">
        <v>7</v>
      </c>
      <c r="KU313" s="27" t="s">
        <v>8</v>
      </c>
      <c r="LA313" s="27" t="s">
        <v>8</v>
      </c>
      <c r="LB313" s="27" t="s">
        <v>7</v>
      </c>
      <c r="LC313" s="27" t="s">
        <v>8</v>
      </c>
      <c r="LJ313" s="27" t="s">
        <v>7</v>
      </c>
      <c r="LK313" s="27" t="s">
        <v>8</v>
      </c>
      <c r="LL313" s="27" t="s">
        <v>7</v>
      </c>
      <c r="LM313" s="27" t="s">
        <v>8</v>
      </c>
      <c r="LX313" s="27" t="s">
        <v>7</v>
      </c>
      <c r="NK313" s="27" t="s">
        <v>8</v>
      </c>
      <c r="NL313" s="27" t="s">
        <v>7</v>
      </c>
      <c r="NO313" s="27" t="s">
        <v>8</v>
      </c>
      <c r="NP313" s="27" t="s">
        <v>7</v>
      </c>
      <c r="OI313" s="27" t="s">
        <v>8</v>
      </c>
      <c r="OL313" s="27" t="s">
        <v>7</v>
      </c>
      <c r="OM313" s="27" t="s">
        <v>8</v>
      </c>
      <c r="OO313" s="27" t="s">
        <v>8</v>
      </c>
    </row>
    <row r="314" spans="1:408" x14ac:dyDescent="0.25">
      <c r="A314" s="7">
        <v>222.76496607424042</v>
      </c>
      <c r="B314"/>
      <c r="C314"/>
      <c r="D314"/>
      <c r="E314"/>
      <c r="KG314" s="27" t="s">
        <v>8</v>
      </c>
      <c r="KH314" s="27" t="s">
        <v>7</v>
      </c>
      <c r="KI314" s="27" t="s">
        <v>8</v>
      </c>
      <c r="KJ314" s="27" t="s">
        <v>7</v>
      </c>
      <c r="KL314" s="27" t="s">
        <v>7</v>
      </c>
      <c r="KU314" s="27" t="s">
        <v>8</v>
      </c>
      <c r="KV314" s="27" t="s">
        <v>7</v>
      </c>
      <c r="LA314" s="27" t="s">
        <v>8</v>
      </c>
      <c r="LB314" s="27" t="s">
        <v>7</v>
      </c>
      <c r="LC314" s="27" t="s">
        <v>8</v>
      </c>
      <c r="LJ314" s="27" t="s">
        <v>7</v>
      </c>
      <c r="LK314" s="27" t="s">
        <v>8</v>
      </c>
      <c r="LL314" s="27" t="s">
        <v>7</v>
      </c>
      <c r="LM314" s="27" t="s">
        <v>8</v>
      </c>
      <c r="LX314" s="27" t="s">
        <v>7</v>
      </c>
      <c r="LY314" s="27" t="s">
        <v>8</v>
      </c>
      <c r="NK314" s="27" t="s">
        <v>8</v>
      </c>
      <c r="NL314" s="27" t="s">
        <v>7</v>
      </c>
      <c r="NO314" s="27" t="s">
        <v>8</v>
      </c>
      <c r="NP314" s="27" t="s">
        <v>7</v>
      </c>
      <c r="OI314" s="27" t="s">
        <v>8</v>
      </c>
      <c r="OL314" s="27" t="s">
        <v>7</v>
      </c>
      <c r="OM314" s="27" t="s">
        <v>8</v>
      </c>
      <c r="ON314" s="27" t="s">
        <v>7</v>
      </c>
      <c r="OO314" s="27" t="s">
        <v>8</v>
      </c>
      <c r="OP314" s="27" t="s">
        <v>7</v>
      </c>
    </row>
    <row r="315" spans="1:408" x14ac:dyDescent="0.25">
      <c r="A315" s="7">
        <v>218.39702556298079</v>
      </c>
      <c r="B315"/>
      <c r="C315"/>
      <c r="D315"/>
      <c r="E315"/>
      <c r="KG315" s="27" t="s">
        <v>8</v>
      </c>
      <c r="KH315" s="27" t="s">
        <v>7</v>
      </c>
      <c r="KI315" s="27" t="s">
        <v>8</v>
      </c>
      <c r="KL315" s="27" t="s">
        <v>7</v>
      </c>
      <c r="KU315" s="27" t="s">
        <v>8</v>
      </c>
      <c r="KV315" s="27" t="s">
        <v>7</v>
      </c>
      <c r="LA315" s="27" t="s">
        <v>8</v>
      </c>
      <c r="LB315" s="27" t="s">
        <v>7</v>
      </c>
      <c r="LC315" s="27" t="s">
        <v>8</v>
      </c>
      <c r="LJ315" s="27" t="s">
        <v>7</v>
      </c>
      <c r="LK315" s="27" t="s">
        <v>8</v>
      </c>
      <c r="LL315" s="27" t="s">
        <v>7</v>
      </c>
      <c r="LM315" s="27" t="s">
        <v>8</v>
      </c>
      <c r="LX315" s="27" t="s">
        <v>7</v>
      </c>
      <c r="LY315" s="27" t="s">
        <v>8</v>
      </c>
      <c r="LZ315" s="27" t="s">
        <v>7</v>
      </c>
      <c r="NK315" s="27" t="s">
        <v>8</v>
      </c>
      <c r="NL315" s="27" t="s">
        <v>7</v>
      </c>
      <c r="NO315" s="27" t="s">
        <v>8</v>
      </c>
      <c r="NP315" s="27" t="s">
        <v>7</v>
      </c>
      <c r="OI315" s="27" t="s">
        <v>8</v>
      </c>
      <c r="OL315" s="27" t="s">
        <v>7</v>
      </c>
      <c r="OM315" s="27" t="s">
        <v>8</v>
      </c>
      <c r="ON315" s="27" t="s">
        <v>7</v>
      </c>
      <c r="OO315" s="27" t="s">
        <v>8</v>
      </c>
      <c r="OP315" s="27" t="s">
        <v>7</v>
      </c>
      <c r="OQ315" s="27" t="s">
        <v>8</v>
      </c>
    </row>
    <row r="316" spans="1:408" x14ac:dyDescent="0.25">
      <c r="A316" s="7">
        <v>214.1147309440988</v>
      </c>
      <c r="B316"/>
      <c r="C316"/>
      <c r="D316"/>
      <c r="E316"/>
      <c r="KG316" s="27" t="s">
        <v>8</v>
      </c>
      <c r="KH316" s="27" t="s">
        <v>7</v>
      </c>
      <c r="KI316" s="27" t="s">
        <v>8</v>
      </c>
      <c r="KL316" s="27" t="s">
        <v>7</v>
      </c>
      <c r="KU316" s="27" t="s">
        <v>8</v>
      </c>
      <c r="KV316" s="27" t="s">
        <v>7</v>
      </c>
      <c r="KY316" s="27" t="s">
        <v>8</v>
      </c>
      <c r="LA316" s="27" t="s">
        <v>8</v>
      </c>
      <c r="LB316" s="27" t="s">
        <v>7</v>
      </c>
      <c r="LJ316" s="27" t="s">
        <v>7</v>
      </c>
      <c r="LK316" s="27" t="s">
        <v>8</v>
      </c>
      <c r="LL316" s="27" t="s">
        <v>7</v>
      </c>
      <c r="LX316" s="27" t="s">
        <v>7</v>
      </c>
      <c r="LY316" s="27" t="s">
        <v>8</v>
      </c>
      <c r="LZ316" s="27" t="s">
        <v>7</v>
      </c>
      <c r="NK316" s="27" t="s">
        <v>8</v>
      </c>
      <c r="NL316" s="27" t="s">
        <v>7</v>
      </c>
      <c r="NO316" s="27" t="s">
        <v>8</v>
      </c>
      <c r="NP316" s="27" t="s">
        <v>7</v>
      </c>
      <c r="OC316" s="27" t="s">
        <v>8</v>
      </c>
      <c r="OI316" s="27" t="s">
        <v>8</v>
      </c>
      <c r="OL316" s="27" t="s">
        <v>7</v>
      </c>
      <c r="OM316" s="27" t="s">
        <v>8</v>
      </c>
      <c r="ON316" s="27" t="s">
        <v>7</v>
      </c>
      <c r="OO316" s="27" t="s">
        <v>8</v>
      </c>
      <c r="OP316" s="27" t="s">
        <v>7</v>
      </c>
      <c r="OQ316" s="27" t="s">
        <v>8</v>
      </c>
      <c r="OR316" s="27" t="s">
        <v>7</v>
      </c>
    </row>
    <row r="317" spans="1:408" x14ac:dyDescent="0.25">
      <c r="A317" s="7">
        <v>209.91640288637137</v>
      </c>
      <c r="B317"/>
      <c r="C317"/>
      <c r="D317"/>
      <c r="E317"/>
      <c r="KG317" s="27" t="s">
        <v>8</v>
      </c>
      <c r="KH317" s="27" t="s">
        <v>7</v>
      </c>
      <c r="KI317" s="27" t="s">
        <v>8</v>
      </c>
      <c r="KL317" s="27" t="s">
        <v>7</v>
      </c>
      <c r="KU317" s="27" t="s">
        <v>8</v>
      </c>
      <c r="KV317" s="27" t="s">
        <v>7</v>
      </c>
      <c r="KY317" s="27" t="s">
        <v>8</v>
      </c>
      <c r="KZ317" s="27" t="s">
        <v>7</v>
      </c>
      <c r="LA317" s="27" t="s">
        <v>8</v>
      </c>
      <c r="LJ317" s="27" t="s">
        <v>7</v>
      </c>
      <c r="LX317" s="27" t="s">
        <v>7</v>
      </c>
      <c r="LY317" s="27" t="s">
        <v>8</v>
      </c>
      <c r="LZ317" s="27" t="s">
        <v>7</v>
      </c>
      <c r="NK317" s="27" t="s">
        <v>8</v>
      </c>
      <c r="NL317" s="27" t="s">
        <v>7</v>
      </c>
      <c r="NO317" s="27" t="s">
        <v>8</v>
      </c>
      <c r="NP317" s="27" t="s">
        <v>7</v>
      </c>
      <c r="OC317" s="27" t="s">
        <v>8</v>
      </c>
      <c r="OD317" s="27" t="s">
        <v>7</v>
      </c>
      <c r="OI317" s="27" t="s">
        <v>8</v>
      </c>
      <c r="OL317" s="27" t="s">
        <v>7</v>
      </c>
      <c r="OM317" s="27" t="s">
        <v>8</v>
      </c>
      <c r="ON317" s="27" t="s">
        <v>7</v>
      </c>
      <c r="OO317" s="27" t="s">
        <v>8</v>
      </c>
      <c r="OP317" s="27" t="s">
        <v>7</v>
      </c>
      <c r="OQ317" s="27" t="s">
        <v>8</v>
      </c>
      <c r="OR317" s="27" t="s">
        <v>7</v>
      </c>
    </row>
    <row r="318" spans="1:408" x14ac:dyDescent="0.25">
      <c r="A318" s="7">
        <v>205.80039498663859</v>
      </c>
      <c r="B318"/>
      <c r="C318"/>
      <c r="D318"/>
      <c r="E318"/>
      <c r="KG318" s="27" t="s">
        <v>8</v>
      </c>
      <c r="KH318" s="27" t="s">
        <v>7</v>
      </c>
      <c r="KI318" s="27" t="s">
        <v>8</v>
      </c>
      <c r="KL318" s="27" t="s">
        <v>7</v>
      </c>
      <c r="KS318" s="27" t="s">
        <v>8</v>
      </c>
      <c r="KU318" s="27" t="s">
        <v>8</v>
      </c>
      <c r="KV318" s="27" t="s">
        <v>7</v>
      </c>
      <c r="KW318" s="27" t="s">
        <v>8</v>
      </c>
      <c r="KY318" s="27" t="s">
        <v>8</v>
      </c>
      <c r="KZ318" s="27" t="s">
        <v>7</v>
      </c>
      <c r="LA318" s="27" t="s">
        <v>8</v>
      </c>
      <c r="LX318" s="27" t="s">
        <v>7</v>
      </c>
      <c r="LY318" s="27" t="s">
        <v>8</v>
      </c>
      <c r="LZ318" s="27" t="s">
        <v>7</v>
      </c>
      <c r="MC318" s="27" t="s">
        <v>8</v>
      </c>
      <c r="NK318" s="27" t="s">
        <v>8</v>
      </c>
      <c r="NL318" s="27" t="s">
        <v>7</v>
      </c>
      <c r="NO318" s="27" t="s">
        <v>8</v>
      </c>
      <c r="NP318" s="27" t="s">
        <v>7</v>
      </c>
      <c r="OC318" s="27" t="s">
        <v>8</v>
      </c>
      <c r="OD318" s="27" t="s">
        <v>7</v>
      </c>
      <c r="OG318" s="27" t="s">
        <v>8</v>
      </c>
      <c r="OI318" s="27" t="s">
        <v>8</v>
      </c>
      <c r="OL318" s="27" t="s">
        <v>7</v>
      </c>
      <c r="OM318" s="27" t="s">
        <v>8</v>
      </c>
      <c r="ON318" s="27" t="s">
        <v>7</v>
      </c>
      <c r="OP318" s="27" t="s">
        <v>7</v>
      </c>
      <c r="OQ318" s="27" t="s">
        <v>8</v>
      </c>
      <c r="OR318" s="27" t="s">
        <v>7</v>
      </c>
    </row>
    <row r="319" spans="1:408" x14ac:dyDescent="0.25">
      <c r="A319" s="7">
        <v>201.76509312415547</v>
      </c>
      <c r="B319"/>
      <c r="C319"/>
      <c r="D319"/>
      <c r="E319"/>
      <c r="KG319" s="27" t="s">
        <v>8</v>
      </c>
      <c r="KH319" s="27" t="s">
        <v>7</v>
      </c>
      <c r="KI319" s="27" t="s">
        <v>8</v>
      </c>
      <c r="KL319" s="27" t="s">
        <v>7</v>
      </c>
      <c r="KM319" s="27" t="s">
        <v>8</v>
      </c>
      <c r="KS319" s="27" t="s">
        <v>8</v>
      </c>
      <c r="KT319" s="27" t="s">
        <v>7</v>
      </c>
      <c r="KU319" s="27" t="s">
        <v>8</v>
      </c>
      <c r="KV319" s="27" t="s">
        <v>7</v>
      </c>
      <c r="KW319" s="27" t="s">
        <v>8</v>
      </c>
      <c r="KX319" s="27" t="s">
        <v>7</v>
      </c>
      <c r="KY319" s="27" t="s">
        <v>8</v>
      </c>
      <c r="KZ319" s="27" t="s">
        <v>7</v>
      </c>
      <c r="LA319" s="27" t="s">
        <v>8</v>
      </c>
      <c r="LX319" s="27" t="s">
        <v>7</v>
      </c>
      <c r="LY319" s="27" t="s">
        <v>8</v>
      </c>
      <c r="LZ319" s="27" t="s">
        <v>7</v>
      </c>
      <c r="MC319" s="27" t="s">
        <v>8</v>
      </c>
      <c r="MD319" s="27" t="s">
        <v>7</v>
      </c>
      <c r="NK319" s="27" t="s">
        <v>8</v>
      </c>
      <c r="NL319" s="27" t="s">
        <v>7</v>
      </c>
      <c r="NO319" s="27" t="s">
        <v>8</v>
      </c>
      <c r="NP319" s="27" t="s">
        <v>7</v>
      </c>
      <c r="OC319" s="27" t="s">
        <v>8</v>
      </c>
      <c r="OD319" s="27" t="s">
        <v>7</v>
      </c>
      <c r="OE319" s="27" t="s">
        <v>8</v>
      </c>
      <c r="OG319" s="27" t="s">
        <v>8</v>
      </c>
      <c r="OH319" s="27" t="s">
        <v>7</v>
      </c>
      <c r="OI319" s="27" t="s">
        <v>8</v>
      </c>
      <c r="OL319" s="27" t="s">
        <v>7</v>
      </c>
      <c r="OP319" s="27" t="s">
        <v>7</v>
      </c>
      <c r="OQ319" s="27" t="s">
        <v>8</v>
      </c>
      <c r="OR319" s="27" t="s">
        <v>7</v>
      </c>
    </row>
    <row r="320" spans="1:408" x14ac:dyDescent="0.25">
      <c r="A320" s="7">
        <v>197.80891482760339</v>
      </c>
      <c r="B320"/>
      <c r="C320"/>
      <c r="D320"/>
      <c r="E320"/>
      <c r="KG320" s="27" t="s">
        <v>8</v>
      </c>
      <c r="KH320" s="27" t="s">
        <v>7</v>
      </c>
      <c r="KI320" s="27" t="s">
        <v>8</v>
      </c>
      <c r="KL320" s="27" t="s">
        <v>7</v>
      </c>
      <c r="KM320" s="27" t="s">
        <v>8</v>
      </c>
      <c r="KN320" s="27" t="s">
        <v>7</v>
      </c>
      <c r="KS320" s="27" t="s">
        <v>8</v>
      </c>
      <c r="KT320" s="27" t="s">
        <v>7</v>
      </c>
      <c r="KU320" s="27" t="s">
        <v>8</v>
      </c>
      <c r="KV320" s="27" t="s">
        <v>7</v>
      </c>
      <c r="KW320" s="27" t="s">
        <v>8</v>
      </c>
      <c r="KX320" s="27" t="s">
        <v>7</v>
      </c>
      <c r="KY320" s="27" t="s">
        <v>8</v>
      </c>
      <c r="KZ320" s="27" t="s">
        <v>7</v>
      </c>
      <c r="LA320" s="27" t="s">
        <v>8</v>
      </c>
      <c r="LX320" s="27" t="s">
        <v>7</v>
      </c>
      <c r="LY320" s="27" t="s">
        <v>8</v>
      </c>
      <c r="LZ320" s="27" t="s">
        <v>7</v>
      </c>
      <c r="MC320" s="27" t="s">
        <v>8</v>
      </c>
      <c r="MD320" s="27" t="s">
        <v>7</v>
      </c>
      <c r="NK320" s="27" t="s">
        <v>8</v>
      </c>
      <c r="NL320" s="27" t="s">
        <v>7</v>
      </c>
      <c r="NO320" s="27" t="s">
        <v>8</v>
      </c>
      <c r="NP320" s="27" t="s">
        <v>7</v>
      </c>
      <c r="OC320" s="27" t="s">
        <v>8</v>
      </c>
      <c r="OD320" s="27" t="s">
        <v>7</v>
      </c>
      <c r="OE320" s="27" t="s">
        <v>8</v>
      </c>
      <c r="OF320" s="27" t="s">
        <v>7</v>
      </c>
      <c r="OG320" s="27" t="s">
        <v>8</v>
      </c>
      <c r="OH320" s="27" t="s">
        <v>7</v>
      </c>
      <c r="OI320" s="27" t="s">
        <v>8</v>
      </c>
      <c r="OP320" s="27" t="s">
        <v>7</v>
      </c>
      <c r="OQ320" s="27" t="s">
        <v>8</v>
      </c>
      <c r="OR320" s="27" t="s">
        <v>7</v>
      </c>
    </row>
    <row r="321" spans="1:424" x14ac:dyDescent="0.25">
      <c r="A321" s="7">
        <v>193.93030865451311</v>
      </c>
      <c r="B321"/>
      <c r="C321"/>
      <c r="D321"/>
      <c r="E321"/>
      <c r="KE321" s="27" t="s">
        <v>8</v>
      </c>
      <c r="KG321" s="27" t="s">
        <v>8</v>
      </c>
      <c r="KH321" s="27" t="s">
        <v>7</v>
      </c>
      <c r="KI321" s="27" t="s">
        <v>8</v>
      </c>
      <c r="KL321" s="27" t="s">
        <v>7</v>
      </c>
      <c r="KM321" s="27" t="s">
        <v>8</v>
      </c>
      <c r="KN321" s="27" t="s">
        <v>7</v>
      </c>
      <c r="KQ321" s="27" t="s">
        <v>8</v>
      </c>
      <c r="KS321" s="27" t="s">
        <v>8</v>
      </c>
      <c r="KT321" s="27" t="s">
        <v>7</v>
      </c>
      <c r="KV321" s="27" t="s">
        <v>7</v>
      </c>
      <c r="KX321" s="27" t="s">
        <v>7</v>
      </c>
      <c r="KY321" s="27" t="s">
        <v>8</v>
      </c>
      <c r="KZ321" s="27" t="s">
        <v>7</v>
      </c>
      <c r="LX321" s="27" t="s">
        <v>7</v>
      </c>
      <c r="LY321" s="27" t="s">
        <v>8</v>
      </c>
      <c r="LZ321" s="27" t="s">
        <v>7</v>
      </c>
      <c r="MC321" s="27" t="s">
        <v>8</v>
      </c>
      <c r="MD321" s="27" t="s">
        <v>7</v>
      </c>
      <c r="MG321" s="27" t="s">
        <v>8</v>
      </c>
      <c r="NK321" s="27" t="s">
        <v>8</v>
      </c>
      <c r="NL321" s="27" t="s">
        <v>7</v>
      </c>
      <c r="NO321" s="27" t="s">
        <v>8</v>
      </c>
      <c r="NP321" s="27" t="s">
        <v>7</v>
      </c>
      <c r="NQ321" s="27" t="s">
        <v>8</v>
      </c>
      <c r="OC321" s="27" t="s">
        <v>8</v>
      </c>
      <c r="OD321" s="27" t="s">
        <v>7</v>
      </c>
      <c r="OE321" s="27" t="s">
        <v>8</v>
      </c>
      <c r="OF321" s="27" t="s">
        <v>7</v>
      </c>
      <c r="OG321" s="27" t="s">
        <v>8</v>
      </c>
      <c r="OH321" s="27" t="s">
        <v>7</v>
      </c>
      <c r="OP321" s="27" t="s">
        <v>7</v>
      </c>
      <c r="OQ321" s="27" t="s">
        <v>8</v>
      </c>
      <c r="OR321" s="27" t="s">
        <v>7</v>
      </c>
    </row>
    <row r="322" spans="1:424" x14ac:dyDescent="0.25">
      <c r="A322" s="7">
        <v>190.127753582856</v>
      </c>
      <c r="B322"/>
      <c r="C322"/>
      <c r="D322"/>
      <c r="E322"/>
      <c r="KE322" s="27" t="s">
        <v>8</v>
      </c>
      <c r="KF322" s="27" t="s">
        <v>7</v>
      </c>
      <c r="KG322" s="27" t="s">
        <v>8</v>
      </c>
      <c r="KH322" s="27" t="s">
        <v>7</v>
      </c>
      <c r="KI322" s="27" t="s">
        <v>8</v>
      </c>
      <c r="KL322" s="27" t="s">
        <v>7</v>
      </c>
      <c r="KM322" s="27" t="s">
        <v>8</v>
      </c>
      <c r="KN322" s="27" t="s">
        <v>7</v>
      </c>
      <c r="KQ322" s="27" t="s">
        <v>8</v>
      </c>
      <c r="KR322" s="27" t="s">
        <v>7</v>
      </c>
      <c r="KS322" s="27" t="s">
        <v>8</v>
      </c>
      <c r="KX322" s="27" t="s">
        <v>7</v>
      </c>
      <c r="KY322" s="27" t="s">
        <v>8</v>
      </c>
      <c r="LX322" s="27" t="s">
        <v>7</v>
      </c>
      <c r="LY322" s="27" t="s">
        <v>8</v>
      </c>
      <c r="LZ322" s="27" t="s">
        <v>7</v>
      </c>
      <c r="MC322" s="27" t="s">
        <v>8</v>
      </c>
      <c r="MD322" s="27" t="s">
        <v>7</v>
      </c>
      <c r="ME322" s="27" t="s">
        <v>8</v>
      </c>
      <c r="MG322" s="27" t="s">
        <v>8</v>
      </c>
      <c r="MH322" s="27" t="s">
        <v>7</v>
      </c>
      <c r="NG322" s="27" t="s">
        <v>8</v>
      </c>
      <c r="NK322" s="27" t="s">
        <v>8</v>
      </c>
      <c r="NL322" s="27" t="s">
        <v>7</v>
      </c>
      <c r="NO322" s="27" t="s">
        <v>8</v>
      </c>
      <c r="NP322" s="27" t="s">
        <v>7</v>
      </c>
      <c r="NQ322" s="27" t="s">
        <v>8</v>
      </c>
      <c r="NR322" s="27" t="s">
        <v>7</v>
      </c>
      <c r="OA322" s="27" t="s">
        <v>8</v>
      </c>
      <c r="OC322" s="27" t="s">
        <v>8</v>
      </c>
      <c r="OD322" s="27" t="s">
        <v>7</v>
      </c>
      <c r="OE322" s="27" t="s">
        <v>8</v>
      </c>
      <c r="OF322" s="27" t="s">
        <v>7</v>
      </c>
      <c r="OG322" s="27" t="s">
        <v>8</v>
      </c>
      <c r="OP322" s="27" t="s">
        <v>7</v>
      </c>
      <c r="OQ322" s="27" t="s">
        <v>8</v>
      </c>
      <c r="OR322" s="27" t="s">
        <v>7</v>
      </c>
    </row>
    <row r="323" spans="1:424" x14ac:dyDescent="0.25">
      <c r="A323" s="7">
        <v>186.3997584145647</v>
      </c>
      <c r="B323"/>
      <c r="C323"/>
      <c r="D323"/>
      <c r="E323"/>
      <c r="KE323" s="27" t="s">
        <v>8</v>
      </c>
      <c r="KF323" s="27" t="s">
        <v>7</v>
      </c>
      <c r="KG323" s="27" t="s">
        <v>8</v>
      </c>
      <c r="KH323" s="27" t="s">
        <v>7</v>
      </c>
      <c r="KL323" s="27" t="s">
        <v>7</v>
      </c>
      <c r="KM323" s="27" t="s">
        <v>8</v>
      </c>
      <c r="KN323" s="27" t="s">
        <v>7</v>
      </c>
      <c r="KQ323" s="27" t="s">
        <v>8</v>
      </c>
      <c r="KR323" s="27" t="s">
        <v>7</v>
      </c>
      <c r="KS323" s="27" t="s">
        <v>8</v>
      </c>
      <c r="KX323" s="27" t="s">
        <v>7</v>
      </c>
      <c r="KY323" s="27" t="s">
        <v>8</v>
      </c>
      <c r="LX323" s="27" t="s">
        <v>7</v>
      </c>
      <c r="LY323" s="27" t="s">
        <v>8</v>
      </c>
      <c r="LZ323" s="27" t="s">
        <v>7</v>
      </c>
      <c r="MC323" s="27" t="s">
        <v>8</v>
      </c>
      <c r="MD323" s="27" t="s">
        <v>7</v>
      </c>
      <c r="ME323" s="27" t="s">
        <v>8</v>
      </c>
      <c r="MF323" s="27" t="s">
        <v>7</v>
      </c>
      <c r="MG323" s="27" t="s">
        <v>8</v>
      </c>
      <c r="MH323" s="27" t="s">
        <v>7</v>
      </c>
      <c r="NE323" s="27" t="s">
        <v>8</v>
      </c>
      <c r="NG323" s="27" t="s">
        <v>8</v>
      </c>
      <c r="NH323" s="27" t="s">
        <v>7</v>
      </c>
      <c r="NK323" s="27" t="s">
        <v>8</v>
      </c>
      <c r="NL323" s="27" t="s">
        <v>7</v>
      </c>
      <c r="NM323" s="27" t="s">
        <v>8</v>
      </c>
      <c r="NO323" s="27" t="s">
        <v>8</v>
      </c>
      <c r="NP323" s="27" t="s">
        <v>7</v>
      </c>
      <c r="NQ323" s="27" t="s">
        <v>8</v>
      </c>
      <c r="NR323" s="27" t="s">
        <v>7</v>
      </c>
      <c r="NY323" s="27" t="s">
        <v>8</v>
      </c>
      <c r="OA323" s="27" t="s">
        <v>8</v>
      </c>
      <c r="OB323" s="27" t="s">
        <v>7</v>
      </c>
      <c r="OC323" s="27" t="s">
        <v>8</v>
      </c>
      <c r="OD323" s="27" t="s">
        <v>7</v>
      </c>
      <c r="OF323" s="27" t="s">
        <v>7</v>
      </c>
      <c r="OG323" s="27" t="s">
        <v>8</v>
      </c>
      <c r="OP323" s="27" t="s">
        <v>7</v>
      </c>
      <c r="OQ323" s="27" t="s">
        <v>8</v>
      </c>
      <c r="OR323" s="27" t="s">
        <v>7</v>
      </c>
    </row>
    <row r="324" spans="1:424" x14ac:dyDescent="0.25">
      <c r="A324" s="7">
        <v>182.7448611907497</v>
      </c>
      <c r="B324"/>
      <c r="C324"/>
      <c r="D324"/>
      <c r="E324"/>
      <c r="JO324" s="27" t="s">
        <v>8</v>
      </c>
      <c r="KE324" s="27" t="s">
        <v>8</v>
      </c>
      <c r="KF324" s="27" t="s">
        <v>7</v>
      </c>
      <c r="KG324" s="27" t="s">
        <v>8</v>
      </c>
      <c r="KL324" s="27" t="s">
        <v>7</v>
      </c>
      <c r="KM324" s="27" t="s">
        <v>8</v>
      </c>
      <c r="KN324" s="27" t="s">
        <v>7</v>
      </c>
      <c r="KQ324" s="27" t="s">
        <v>8</v>
      </c>
      <c r="KR324" s="27" t="s">
        <v>7</v>
      </c>
      <c r="KS324" s="27" t="s">
        <v>8</v>
      </c>
      <c r="KX324" s="27" t="s">
        <v>7</v>
      </c>
      <c r="KY324" s="27" t="s">
        <v>8</v>
      </c>
      <c r="LX324" s="27" t="s">
        <v>7</v>
      </c>
      <c r="LY324" s="27" t="s">
        <v>8</v>
      </c>
      <c r="LZ324" s="27" t="s">
        <v>7</v>
      </c>
      <c r="MA324" s="27" t="s">
        <v>8</v>
      </c>
      <c r="MC324" s="27" t="s">
        <v>8</v>
      </c>
      <c r="MD324" s="27" t="s">
        <v>7</v>
      </c>
      <c r="ME324" s="27" t="s">
        <v>8</v>
      </c>
      <c r="MF324" s="27" t="s">
        <v>7</v>
      </c>
      <c r="MG324" s="27" t="s">
        <v>8</v>
      </c>
      <c r="MH324" s="27" t="s">
        <v>7</v>
      </c>
      <c r="NE324" s="27" t="s">
        <v>8</v>
      </c>
      <c r="NF324" s="27" t="s">
        <v>7</v>
      </c>
      <c r="NG324" s="27" t="s">
        <v>8</v>
      </c>
      <c r="NH324" s="27" t="s">
        <v>7</v>
      </c>
      <c r="NK324" s="27" t="s">
        <v>8</v>
      </c>
      <c r="NL324" s="27" t="s">
        <v>7</v>
      </c>
      <c r="NM324" s="27" t="s">
        <v>8</v>
      </c>
      <c r="NN324" s="27" t="s">
        <v>7</v>
      </c>
      <c r="NO324" s="27" t="s">
        <v>8</v>
      </c>
      <c r="NP324" s="27" t="s">
        <v>7</v>
      </c>
      <c r="NQ324" s="27" t="s">
        <v>8</v>
      </c>
      <c r="NR324" s="27" t="s">
        <v>7</v>
      </c>
      <c r="NY324" s="27" t="s">
        <v>8</v>
      </c>
      <c r="NZ324" s="27" t="s">
        <v>7</v>
      </c>
      <c r="OA324" s="27" t="s">
        <v>8</v>
      </c>
      <c r="OB324" s="27" t="s">
        <v>7</v>
      </c>
      <c r="OC324" s="27" t="s">
        <v>8</v>
      </c>
      <c r="OF324" s="27" t="s">
        <v>7</v>
      </c>
      <c r="OG324" s="27" t="s">
        <v>8</v>
      </c>
      <c r="OP324" s="27" t="s">
        <v>7</v>
      </c>
      <c r="OR324" s="27" t="s">
        <v>7</v>
      </c>
    </row>
    <row r="325" spans="1:424" x14ac:dyDescent="0.25">
      <c r="A325" s="7">
        <v>179.16162861838205</v>
      </c>
      <c r="B325"/>
      <c r="C325"/>
      <c r="D325"/>
      <c r="E325"/>
      <c r="JM325" s="27" t="s">
        <v>8</v>
      </c>
      <c r="JO325" s="27" t="s">
        <v>8</v>
      </c>
      <c r="JP325" s="27" t="s">
        <v>7</v>
      </c>
      <c r="KE325" s="27" t="s">
        <v>8</v>
      </c>
      <c r="KF325" s="27" t="s">
        <v>7</v>
      </c>
      <c r="KL325" s="27" t="s">
        <v>7</v>
      </c>
      <c r="KM325" s="27" t="s">
        <v>8</v>
      </c>
      <c r="KN325" s="27" t="s">
        <v>7</v>
      </c>
      <c r="KO325" s="27" t="s">
        <v>8</v>
      </c>
      <c r="KQ325" s="27" t="s">
        <v>8</v>
      </c>
      <c r="KR325" s="27" t="s">
        <v>7</v>
      </c>
      <c r="KS325" s="27" t="s">
        <v>8</v>
      </c>
      <c r="KX325" s="27" t="s">
        <v>7</v>
      </c>
      <c r="KY325" s="27" t="s">
        <v>8</v>
      </c>
      <c r="LX325" s="27" t="s">
        <v>7</v>
      </c>
      <c r="LY325" s="27" t="s">
        <v>8</v>
      </c>
      <c r="LZ325" s="27" t="s">
        <v>7</v>
      </c>
      <c r="MA325" s="27" t="s">
        <v>8</v>
      </c>
      <c r="MB325" s="27" t="s">
        <v>7</v>
      </c>
      <c r="MC325" s="27" t="s">
        <v>8</v>
      </c>
      <c r="MD325" s="27" t="s">
        <v>7</v>
      </c>
      <c r="ME325" s="27" t="s">
        <v>8</v>
      </c>
      <c r="MF325" s="27" t="s">
        <v>7</v>
      </c>
      <c r="MH325" s="27" t="s">
        <v>7</v>
      </c>
      <c r="MI325" s="27" t="s">
        <v>8</v>
      </c>
      <c r="MO325" s="27" t="s">
        <v>8</v>
      </c>
      <c r="NE325" s="27" t="s">
        <v>8</v>
      </c>
      <c r="NF325" s="27" t="s">
        <v>7</v>
      </c>
      <c r="NG325" s="27" t="s">
        <v>8</v>
      </c>
      <c r="NH325" s="27" t="s">
        <v>7</v>
      </c>
      <c r="NI325" s="27" t="s">
        <v>8</v>
      </c>
      <c r="NK325" s="27" t="s">
        <v>8</v>
      </c>
      <c r="NL325" s="27" t="s">
        <v>7</v>
      </c>
      <c r="NM325" s="27" t="s">
        <v>8</v>
      </c>
      <c r="NN325" s="27" t="s">
        <v>7</v>
      </c>
      <c r="NO325" s="27" t="s">
        <v>8</v>
      </c>
      <c r="NP325" s="27" t="s">
        <v>7</v>
      </c>
      <c r="NR325" s="27" t="s">
        <v>7</v>
      </c>
      <c r="NY325" s="27" t="s">
        <v>8</v>
      </c>
      <c r="NZ325" s="27" t="s">
        <v>7</v>
      </c>
      <c r="OA325" s="27" t="s">
        <v>8</v>
      </c>
      <c r="OB325" s="27" t="s">
        <v>7</v>
      </c>
      <c r="OF325" s="27" t="s">
        <v>7</v>
      </c>
      <c r="OR325" s="27" t="s">
        <v>7</v>
      </c>
    </row>
    <row r="326" spans="1:424" x14ac:dyDescent="0.25">
      <c r="A326" s="7">
        <v>175.6486555082177</v>
      </c>
      <c r="B326"/>
      <c r="C326"/>
      <c r="D326"/>
      <c r="E326"/>
      <c r="JM326" s="27" t="s">
        <v>8</v>
      </c>
      <c r="JN326" s="27" t="s">
        <v>7</v>
      </c>
      <c r="JO326" s="27" t="s">
        <v>8</v>
      </c>
      <c r="JP326" s="27" t="s">
        <v>7</v>
      </c>
      <c r="KE326" s="27" t="s">
        <v>8</v>
      </c>
      <c r="KL326" s="27" t="s">
        <v>7</v>
      </c>
      <c r="KM326" s="27" t="s">
        <v>8</v>
      </c>
      <c r="KN326" s="27" t="s">
        <v>7</v>
      </c>
      <c r="KO326" s="27" t="s">
        <v>8</v>
      </c>
      <c r="KP326" s="27" t="s">
        <v>7</v>
      </c>
      <c r="KQ326" s="27" t="s">
        <v>8</v>
      </c>
      <c r="KR326" s="27" t="s">
        <v>7</v>
      </c>
      <c r="KS326" s="27" t="s">
        <v>8</v>
      </c>
      <c r="KX326" s="27" t="s">
        <v>7</v>
      </c>
      <c r="KY326" s="27" t="s">
        <v>8</v>
      </c>
      <c r="LX326" s="27" t="s">
        <v>7</v>
      </c>
      <c r="LY326" s="27" t="s">
        <v>8</v>
      </c>
      <c r="LZ326" s="27" t="s">
        <v>7</v>
      </c>
      <c r="MA326" s="27" t="s">
        <v>8</v>
      </c>
      <c r="MB326" s="27" t="s">
        <v>7</v>
      </c>
      <c r="MC326" s="27" t="s">
        <v>8</v>
      </c>
      <c r="MD326" s="27" t="s">
        <v>7</v>
      </c>
      <c r="ME326" s="27" t="s">
        <v>8</v>
      </c>
      <c r="MH326" s="27" t="s">
        <v>7</v>
      </c>
      <c r="MI326" s="27" t="s">
        <v>8</v>
      </c>
      <c r="MJ326" s="27" t="s">
        <v>7</v>
      </c>
      <c r="MO326" s="27" t="s">
        <v>8</v>
      </c>
      <c r="MP326" s="27" t="s">
        <v>7</v>
      </c>
      <c r="NE326" s="27" t="s">
        <v>8</v>
      </c>
      <c r="NF326" s="27" t="s">
        <v>7</v>
      </c>
      <c r="NG326" s="27" t="s">
        <v>8</v>
      </c>
      <c r="NH326" s="27" t="s">
        <v>7</v>
      </c>
      <c r="NI326" s="27" t="s">
        <v>8</v>
      </c>
      <c r="NJ326" s="27" t="s">
        <v>7</v>
      </c>
      <c r="NK326" s="27" t="s">
        <v>8</v>
      </c>
      <c r="NL326" s="27" t="s">
        <v>7</v>
      </c>
      <c r="NM326" s="27" t="s">
        <v>8</v>
      </c>
      <c r="NN326" s="27" t="s">
        <v>7</v>
      </c>
      <c r="NO326" s="27" t="s">
        <v>8</v>
      </c>
      <c r="NR326" s="27" t="s">
        <v>7</v>
      </c>
      <c r="NY326" s="27" t="s">
        <v>8</v>
      </c>
      <c r="NZ326" s="27" t="s">
        <v>7</v>
      </c>
      <c r="OA326" s="27" t="s">
        <v>8</v>
      </c>
      <c r="OR326" s="27" t="s">
        <v>7</v>
      </c>
    </row>
    <row r="327" spans="1:424" x14ac:dyDescent="0.25">
      <c r="A327" s="7">
        <v>172.20456422374284</v>
      </c>
      <c r="B327"/>
      <c r="C327"/>
      <c r="D327"/>
      <c r="E327"/>
      <c r="JK327" s="27" t="s">
        <v>8</v>
      </c>
      <c r="JM327" s="27" t="s">
        <v>8</v>
      </c>
      <c r="JN327" s="27" t="s">
        <v>7</v>
      </c>
      <c r="JO327" s="27" t="s">
        <v>8</v>
      </c>
      <c r="JP327" s="27" t="s">
        <v>7</v>
      </c>
      <c r="KE327" s="27" t="s">
        <v>8</v>
      </c>
      <c r="KL327" s="27" t="s">
        <v>7</v>
      </c>
      <c r="KM327" s="27" t="s">
        <v>8</v>
      </c>
      <c r="KN327" s="27" t="s">
        <v>7</v>
      </c>
      <c r="KO327" s="27" t="s">
        <v>8</v>
      </c>
      <c r="KP327" s="27" t="s">
        <v>7</v>
      </c>
      <c r="KQ327" s="27" t="s">
        <v>8</v>
      </c>
      <c r="KR327" s="27" t="s">
        <v>7</v>
      </c>
      <c r="KS327" s="27" t="s">
        <v>8</v>
      </c>
      <c r="KX327" s="27" t="s">
        <v>7</v>
      </c>
      <c r="KY327" s="27" t="s">
        <v>8</v>
      </c>
      <c r="LX327" s="27" t="s">
        <v>7</v>
      </c>
      <c r="LY327" s="27" t="s">
        <v>8</v>
      </c>
      <c r="LZ327" s="27" t="s">
        <v>7</v>
      </c>
      <c r="MA327" s="27" t="s">
        <v>8</v>
      </c>
      <c r="MB327" s="27" t="s">
        <v>7</v>
      </c>
      <c r="MC327" s="27" t="s">
        <v>8</v>
      </c>
      <c r="MD327" s="27" t="s">
        <v>7</v>
      </c>
      <c r="ME327" s="27" t="s">
        <v>8</v>
      </c>
      <c r="MH327" s="27" t="s">
        <v>7</v>
      </c>
      <c r="MI327" s="27" t="s">
        <v>8</v>
      </c>
      <c r="MJ327" s="27" t="s">
        <v>7</v>
      </c>
      <c r="MK327" s="27" t="s">
        <v>8</v>
      </c>
      <c r="MM327" s="27" t="s">
        <v>8</v>
      </c>
      <c r="MO327" s="27" t="s">
        <v>8</v>
      </c>
      <c r="MP327" s="27" t="s">
        <v>7</v>
      </c>
      <c r="NE327" s="27" t="s">
        <v>8</v>
      </c>
      <c r="NF327" s="27" t="s">
        <v>7</v>
      </c>
      <c r="NG327" s="27" t="s">
        <v>8</v>
      </c>
      <c r="NH327" s="27" t="s">
        <v>7</v>
      </c>
      <c r="NI327" s="27" t="s">
        <v>8</v>
      </c>
      <c r="NJ327" s="27" t="s">
        <v>7</v>
      </c>
      <c r="NK327" s="27" t="s">
        <v>8</v>
      </c>
      <c r="NL327" s="27" t="s">
        <v>7</v>
      </c>
      <c r="NM327" s="27" t="s">
        <v>8</v>
      </c>
      <c r="NN327" s="27" t="s">
        <v>7</v>
      </c>
      <c r="NR327" s="27" t="s">
        <v>7</v>
      </c>
      <c r="NW327" s="27" t="s">
        <v>8</v>
      </c>
      <c r="NY327" s="27" t="s">
        <v>8</v>
      </c>
      <c r="NZ327" s="27" t="s">
        <v>7</v>
      </c>
      <c r="OA327" s="27" t="s">
        <v>8</v>
      </c>
      <c r="OR327" s="27" t="s">
        <v>7</v>
      </c>
    </row>
    <row r="328" spans="1:424" x14ac:dyDescent="0.25">
      <c r="A328" s="7">
        <v>168.82800414092435</v>
      </c>
      <c r="B328"/>
      <c r="C328"/>
      <c r="D328"/>
      <c r="E328"/>
      <c r="JK328" s="27" t="s">
        <v>8</v>
      </c>
      <c r="JL328" s="27" t="s">
        <v>7</v>
      </c>
      <c r="JM328" s="27" t="s">
        <v>8</v>
      </c>
      <c r="JN328" s="27" t="s">
        <v>7</v>
      </c>
      <c r="JO328" s="27" t="s">
        <v>8</v>
      </c>
      <c r="JP328" s="27" t="s">
        <v>7</v>
      </c>
      <c r="KE328" s="27" t="s">
        <v>8</v>
      </c>
      <c r="KL328" s="27" t="s">
        <v>7</v>
      </c>
      <c r="KM328" s="27" t="s">
        <v>8</v>
      </c>
      <c r="KN328" s="27" t="s">
        <v>7</v>
      </c>
      <c r="KO328" s="27" t="s">
        <v>8</v>
      </c>
      <c r="KP328" s="27" t="s">
        <v>7</v>
      </c>
      <c r="KQ328" s="27" t="s">
        <v>8</v>
      </c>
      <c r="KR328" s="27" t="s">
        <v>7</v>
      </c>
      <c r="KX328" s="27" t="s">
        <v>7</v>
      </c>
      <c r="LX328" s="27" t="s">
        <v>7</v>
      </c>
      <c r="LY328" s="27" t="s">
        <v>8</v>
      </c>
      <c r="LZ328" s="27" t="s">
        <v>7</v>
      </c>
      <c r="MA328" s="27" t="s">
        <v>8</v>
      </c>
      <c r="MB328" s="27" t="s">
        <v>7</v>
      </c>
      <c r="MC328" s="27" t="s">
        <v>8</v>
      </c>
      <c r="MD328" s="27" t="s">
        <v>7</v>
      </c>
      <c r="ME328" s="27" t="s">
        <v>8</v>
      </c>
      <c r="MH328" s="27" t="s">
        <v>7</v>
      </c>
      <c r="MJ328" s="27" t="s">
        <v>7</v>
      </c>
      <c r="MK328" s="27" t="s">
        <v>8</v>
      </c>
      <c r="ML328" s="27" t="s">
        <v>7</v>
      </c>
      <c r="MM328" s="27" t="s">
        <v>8</v>
      </c>
      <c r="MN328" s="27" t="s">
        <v>7</v>
      </c>
      <c r="MO328" s="27" t="s">
        <v>8</v>
      </c>
      <c r="MP328" s="27" t="s">
        <v>7</v>
      </c>
      <c r="NC328" s="27" t="s">
        <v>8</v>
      </c>
      <c r="NE328" s="27" t="s">
        <v>8</v>
      </c>
      <c r="NF328" s="27" t="s">
        <v>7</v>
      </c>
      <c r="NG328" s="27" t="s">
        <v>8</v>
      </c>
      <c r="NH328" s="27" t="s">
        <v>7</v>
      </c>
      <c r="NI328" s="27" t="s">
        <v>8</v>
      </c>
      <c r="NJ328" s="27" t="s">
        <v>7</v>
      </c>
      <c r="NL328" s="27" t="s">
        <v>7</v>
      </c>
      <c r="NM328" s="27" t="s">
        <v>8</v>
      </c>
      <c r="NR328" s="27" t="s">
        <v>7</v>
      </c>
      <c r="NW328" s="27" t="s">
        <v>8</v>
      </c>
      <c r="NX328" s="27" t="s">
        <v>7</v>
      </c>
      <c r="NY328" s="27" t="s">
        <v>8</v>
      </c>
      <c r="NZ328" s="27" t="s">
        <v>7</v>
      </c>
      <c r="OR328" s="27" t="s">
        <v>7</v>
      </c>
      <c r="OU328" s="27" t="s">
        <v>8</v>
      </c>
    </row>
    <row r="329" spans="1:424" x14ac:dyDescent="0.25">
      <c r="A329" s="7">
        <v>165.51765111855329</v>
      </c>
      <c r="B329"/>
      <c r="C329"/>
      <c r="D329"/>
      <c r="E329"/>
      <c r="JK329" s="27" t="s">
        <v>8</v>
      </c>
      <c r="JL329" s="27" t="s">
        <v>7</v>
      </c>
      <c r="JM329" s="27" t="s">
        <v>8</v>
      </c>
      <c r="JN329" s="27" t="s">
        <v>7</v>
      </c>
      <c r="JO329" s="27" t="s">
        <v>8</v>
      </c>
      <c r="JP329" s="27" t="s">
        <v>7</v>
      </c>
      <c r="JU329" s="27" t="s">
        <v>8</v>
      </c>
      <c r="KE329" s="27" t="s">
        <v>8</v>
      </c>
      <c r="KL329" s="27" t="s">
        <v>7</v>
      </c>
      <c r="KM329" s="27" t="s">
        <v>8</v>
      </c>
      <c r="KN329" s="27" t="s">
        <v>7</v>
      </c>
      <c r="KP329" s="27" t="s">
        <v>7</v>
      </c>
      <c r="KQ329" s="27" t="s">
        <v>8</v>
      </c>
      <c r="LX329" s="27" t="s">
        <v>7</v>
      </c>
      <c r="LY329" s="27" t="s">
        <v>8</v>
      </c>
      <c r="LZ329" s="27" t="s">
        <v>7</v>
      </c>
      <c r="MA329" s="27" t="s">
        <v>8</v>
      </c>
      <c r="MB329" s="27" t="s">
        <v>7</v>
      </c>
      <c r="MC329" s="27" t="s">
        <v>8</v>
      </c>
      <c r="MD329" s="27" t="s">
        <v>7</v>
      </c>
      <c r="ME329" s="27" t="s">
        <v>8</v>
      </c>
      <c r="MJ329" s="27" t="s">
        <v>7</v>
      </c>
      <c r="MK329" s="27" t="s">
        <v>8</v>
      </c>
      <c r="ML329" s="27" t="s">
        <v>7</v>
      </c>
      <c r="MM329" s="27" t="s">
        <v>8</v>
      </c>
      <c r="MN329" s="27" t="s">
        <v>7</v>
      </c>
      <c r="MO329" s="27" t="s">
        <v>8</v>
      </c>
      <c r="MP329" s="27" t="s">
        <v>7</v>
      </c>
      <c r="NC329" s="27" t="s">
        <v>8</v>
      </c>
      <c r="ND329" s="27" t="s">
        <v>7</v>
      </c>
      <c r="NE329" s="27" t="s">
        <v>8</v>
      </c>
      <c r="NF329" s="27" t="s">
        <v>7</v>
      </c>
      <c r="NH329" s="27" t="s">
        <v>7</v>
      </c>
      <c r="NL329" s="27" t="s">
        <v>7</v>
      </c>
      <c r="NM329" s="27" t="s">
        <v>8</v>
      </c>
      <c r="NR329" s="27" t="s">
        <v>7</v>
      </c>
      <c r="NS329" s="27" t="s">
        <v>8</v>
      </c>
      <c r="NW329" s="27" t="s">
        <v>8</v>
      </c>
      <c r="NX329" s="27" t="s">
        <v>7</v>
      </c>
      <c r="NY329" s="27" t="s">
        <v>8</v>
      </c>
      <c r="OR329" s="27" t="s">
        <v>7</v>
      </c>
      <c r="OU329" s="27" t="s">
        <v>8</v>
      </c>
      <c r="OV329" s="27" t="s">
        <v>7</v>
      </c>
      <c r="PC329" s="27" t="s">
        <v>8</v>
      </c>
    </row>
    <row r="330" spans="1:424" x14ac:dyDescent="0.25">
      <c r="A330" s="7">
        <v>162.2722069789738</v>
      </c>
      <c r="B330"/>
      <c r="C330"/>
      <c r="D330"/>
      <c r="E330"/>
      <c r="JK330" s="27" t="s">
        <v>8</v>
      </c>
      <c r="JL330" s="27" t="s">
        <v>7</v>
      </c>
      <c r="JM330" s="27" t="s">
        <v>8</v>
      </c>
      <c r="JN330" s="27" t="s">
        <v>7</v>
      </c>
      <c r="JO330" s="27" t="s">
        <v>8</v>
      </c>
      <c r="JP330" s="27" t="s">
        <v>7</v>
      </c>
      <c r="JU330" s="27" t="s">
        <v>8</v>
      </c>
      <c r="JV330" s="27" t="s">
        <v>7</v>
      </c>
      <c r="KC330" s="27" t="s">
        <v>8</v>
      </c>
      <c r="KE330" s="27" t="s">
        <v>8</v>
      </c>
      <c r="KL330" s="27" t="s">
        <v>7</v>
      </c>
      <c r="KM330" s="27" t="s">
        <v>8</v>
      </c>
      <c r="KP330" s="27" t="s">
        <v>7</v>
      </c>
      <c r="KQ330" s="27" t="s">
        <v>8</v>
      </c>
      <c r="LX330" s="27" t="s">
        <v>7</v>
      </c>
      <c r="LY330" s="27" t="s">
        <v>8</v>
      </c>
      <c r="LZ330" s="27" t="s">
        <v>7</v>
      </c>
      <c r="MA330" s="27" t="s">
        <v>8</v>
      </c>
      <c r="MB330" s="27" t="s">
        <v>7</v>
      </c>
      <c r="MC330" s="27" t="s">
        <v>8</v>
      </c>
      <c r="MD330" s="27" t="s">
        <v>7</v>
      </c>
      <c r="ME330" s="27" t="s">
        <v>8</v>
      </c>
      <c r="MJ330" s="27" t="s">
        <v>7</v>
      </c>
      <c r="MK330" s="27" t="s">
        <v>8</v>
      </c>
      <c r="ML330" s="27" t="s">
        <v>7</v>
      </c>
      <c r="MN330" s="27" t="s">
        <v>7</v>
      </c>
      <c r="MO330" s="27" t="s">
        <v>8</v>
      </c>
      <c r="MP330" s="27" t="s">
        <v>7</v>
      </c>
      <c r="NC330" s="27" t="s">
        <v>8</v>
      </c>
      <c r="ND330" s="27" t="s">
        <v>7</v>
      </c>
      <c r="NE330" s="27" t="s">
        <v>8</v>
      </c>
      <c r="NL330" s="27" t="s">
        <v>7</v>
      </c>
      <c r="NR330" s="27" t="s">
        <v>7</v>
      </c>
      <c r="NS330" s="27" t="s">
        <v>8</v>
      </c>
      <c r="NT330" s="27" t="s">
        <v>7</v>
      </c>
      <c r="NW330" s="27" t="s">
        <v>8</v>
      </c>
      <c r="NX330" s="27" t="s">
        <v>7</v>
      </c>
      <c r="OR330" s="27" t="s">
        <v>7</v>
      </c>
      <c r="OS330" s="27" t="s">
        <v>8</v>
      </c>
      <c r="OU330" s="27" t="s">
        <v>8</v>
      </c>
      <c r="OV330" s="27" t="s">
        <v>7</v>
      </c>
      <c r="OW330" s="27" t="s">
        <v>8</v>
      </c>
      <c r="PC330" s="27" t="s">
        <v>8</v>
      </c>
      <c r="PD330" s="27" t="s">
        <v>7</v>
      </c>
    </row>
    <row r="331" spans="1:424" x14ac:dyDescent="0.25">
      <c r="A331" s="7">
        <v>159.09039899899392</v>
      </c>
      <c r="B331"/>
      <c r="C331"/>
      <c r="D331"/>
      <c r="E331"/>
      <c r="JK331" s="27" t="s">
        <v>8</v>
      </c>
      <c r="JL331" s="27" t="s">
        <v>7</v>
      </c>
      <c r="JM331" s="27" t="s">
        <v>8</v>
      </c>
      <c r="JN331" s="27" t="s">
        <v>7</v>
      </c>
      <c r="JO331" s="27" t="s">
        <v>8</v>
      </c>
      <c r="JP331" s="27" t="s">
        <v>7</v>
      </c>
      <c r="JU331" s="27" t="s">
        <v>8</v>
      </c>
      <c r="JV331" s="27" t="s">
        <v>7</v>
      </c>
      <c r="KC331" s="27" t="s">
        <v>8</v>
      </c>
      <c r="KD331" s="27" t="s">
        <v>7</v>
      </c>
      <c r="KE331" s="27" t="s">
        <v>8</v>
      </c>
      <c r="KL331" s="27" t="s">
        <v>7</v>
      </c>
      <c r="KP331" s="27" t="s">
        <v>7</v>
      </c>
      <c r="KQ331" s="27" t="s">
        <v>8</v>
      </c>
      <c r="LX331" s="27" t="s">
        <v>7</v>
      </c>
      <c r="LY331" s="27" t="s">
        <v>8</v>
      </c>
      <c r="LZ331" s="27" t="s">
        <v>7</v>
      </c>
      <c r="MB331" s="27" t="s">
        <v>7</v>
      </c>
      <c r="MC331" s="27" t="s">
        <v>8</v>
      </c>
      <c r="MD331" s="27" t="s">
        <v>7</v>
      </c>
      <c r="ME331" s="27" t="s">
        <v>8</v>
      </c>
      <c r="MJ331" s="27" t="s">
        <v>7</v>
      </c>
      <c r="MK331" s="27" t="s">
        <v>8</v>
      </c>
      <c r="MN331" s="27" t="s">
        <v>7</v>
      </c>
      <c r="MO331" s="27" t="s">
        <v>8</v>
      </c>
      <c r="MP331" s="27" t="s">
        <v>7</v>
      </c>
      <c r="NC331" s="27" t="s">
        <v>8</v>
      </c>
      <c r="ND331" s="27" t="s">
        <v>7</v>
      </c>
      <c r="NR331" s="27" t="s">
        <v>7</v>
      </c>
      <c r="NS331" s="27" t="s">
        <v>8</v>
      </c>
      <c r="NT331" s="27" t="s">
        <v>7</v>
      </c>
      <c r="NW331" s="27" t="s">
        <v>8</v>
      </c>
      <c r="OR331" s="27" t="s">
        <v>7</v>
      </c>
      <c r="OS331" s="27" t="s">
        <v>8</v>
      </c>
      <c r="OT331" s="27" t="s">
        <v>7</v>
      </c>
      <c r="OU331" s="27" t="s">
        <v>8</v>
      </c>
      <c r="OV331" s="27" t="s">
        <v>7</v>
      </c>
      <c r="OW331" s="27" t="s">
        <v>8</v>
      </c>
      <c r="OX331" s="27" t="s">
        <v>7</v>
      </c>
      <c r="PA331" s="27" t="s">
        <v>8</v>
      </c>
      <c r="PC331" s="27" t="s">
        <v>8</v>
      </c>
      <c r="PD331" s="27" t="s">
        <v>7</v>
      </c>
    </row>
    <row r="332" spans="1:424" x14ac:dyDescent="0.25">
      <c r="A332" s="7">
        <v>155.97097941077834</v>
      </c>
      <c r="B332"/>
      <c r="C332"/>
      <c r="D332"/>
      <c r="E332"/>
      <c r="JK332" s="27" t="s">
        <v>8</v>
      </c>
      <c r="JL332" s="27" t="s">
        <v>7</v>
      </c>
      <c r="JM332" s="27" t="s">
        <v>8</v>
      </c>
      <c r="JN332" s="27" t="s">
        <v>7</v>
      </c>
      <c r="JO332" s="27" t="s">
        <v>8</v>
      </c>
      <c r="JP332" s="27" t="s">
        <v>7</v>
      </c>
      <c r="JQ332" s="27" t="s">
        <v>8</v>
      </c>
      <c r="JU332" s="27" t="s">
        <v>8</v>
      </c>
      <c r="JV332" s="27" t="s">
        <v>7</v>
      </c>
      <c r="KA332" s="27" t="s">
        <v>8</v>
      </c>
      <c r="KC332" s="27" t="s">
        <v>8</v>
      </c>
      <c r="KD332" s="27" t="s">
        <v>7</v>
      </c>
      <c r="KE332" s="27" t="s">
        <v>8</v>
      </c>
      <c r="KP332" s="27" t="s">
        <v>7</v>
      </c>
      <c r="KQ332" s="27" t="s">
        <v>8</v>
      </c>
      <c r="LX332" s="27" t="s">
        <v>7</v>
      </c>
      <c r="LY332" s="27" t="s">
        <v>8</v>
      </c>
      <c r="MB332" s="27" t="s">
        <v>7</v>
      </c>
      <c r="MC332" s="27" t="s">
        <v>8</v>
      </c>
      <c r="MD332" s="27" t="s">
        <v>7</v>
      </c>
      <c r="MJ332" s="27" t="s">
        <v>7</v>
      </c>
      <c r="MK332" s="27" t="s">
        <v>8</v>
      </c>
      <c r="MN332" s="27" t="s">
        <v>7</v>
      </c>
      <c r="MP332" s="27" t="s">
        <v>7</v>
      </c>
      <c r="NC332" s="27" t="s">
        <v>8</v>
      </c>
      <c r="NR332" s="27" t="s">
        <v>7</v>
      </c>
      <c r="NS332" s="27" t="s">
        <v>8</v>
      </c>
      <c r="NT332" s="27" t="s">
        <v>7</v>
      </c>
      <c r="NW332" s="27" t="s">
        <v>8</v>
      </c>
      <c r="OR332" s="27" t="s">
        <v>7</v>
      </c>
      <c r="OS332" s="27" t="s">
        <v>8</v>
      </c>
      <c r="OT332" s="27" t="s">
        <v>7</v>
      </c>
      <c r="OU332" s="27" t="s">
        <v>8</v>
      </c>
      <c r="OV332" s="27" t="s">
        <v>7</v>
      </c>
      <c r="OW332" s="27" t="s">
        <v>8</v>
      </c>
      <c r="OX332" s="27" t="s">
        <v>7</v>
      </c>
      <c r="OY332" s="27" t="s">
        <v>8</v>
      </c>
      <c r="PA332" s="27" t="s">
        <v>8</v>
      </c>
      <c r="PB332" s="27" t="s">
        <v>7</v>
      </c>
      <c r="PC332" s="27" t="s">
        <v>8</v>
      </c>
      <c r="PD332" s="27" t="s">
        <v>7</v>
      </c>
    </row>
    <row r="333" spans="1:424" x14ac:dyDescent="0.25">
      <c r="A333" s="7">
        <v>152.91272491252778</v>
      </c>
      <c r="B333"/>
      <c r="C333"/>
      <c r="D333"/>
      <c r="E333"/>
      <c r="JK333" s="27" t="s">
        <v>8</v>
      </c>
      <c r="JL333" s="27" t="s">
        <v>7</v>
      </c>
      <c r="JM333" s="27" t="s">
        <v>8</v>
      </c>
      <c r="JN333" s="27" t="s">
        <v>7</v>
      </c>
      <c r="JP333" s="27" t="s">
        <v>7</v>
      </c>
      <c r="JQ333" s="27" t="s">
        <v>8</v>
      </c>
      <c r="JR333" s="27" t="s">
        <v>7</v>
      </c>
      <c r="JU333" s="27" t="s">
        <v>8</v>
      </c>
      <c r="JV333" s="27" t="s">
        <v>7</v>
      </c>
      <c r="KA333" s="27" t="s">
        <v>8</v>
      </c>
      <c r="KB333" s="27" t="s">
        <v>7</v>
      </c>
      <c r="KC333" s="27" t="s">
        <v>8</v>
      </c>
      <c r="KD333" s="27" t="s">
        <v>7</v>
      </c>
      <c r="KE333" s="27" t="s">
        <v>8</v>
      </c>
      <c r="KP333" s="27" t="s">
        <v>7</v>
      </c>
      <c r="LX333" s="27" t="s">
        <v>7</v>
      </c>
      <c r="LY333" s="27" t="s">
        <v>8</v>
      </c>
      <c r="MB333" s="27" t="s">
        <v>7</v>
      </c>
      <c r="MC333" s="27" t="s">
        <v>8</v>
      </c>
      <c r="MJ333" s="27" t="s">
        <v>7</v>
      </c>
      <c r="MK333" s="27" t="s">
        <v>8</v>
      </c>
      <c r="MP333" s="27" t="s">
        <v>7</v>
      </c>
      <c r="NC333" s="27" t="s">
        <v>8</v>
      </c>
      <c r="NR333" s="27" t="s">
        <v>7</v>
      </c>
      <c r="NS333" s="27" t="s">
        <v>8</v>
      </c>
      <c r="NT333" s="27" t="s">
        <v>7</v>
      </c>
      <c r="NU333" s="27" t="s">
        <v>8</v>
      </c>
      <c r="NW333" s="27" t="s">
        <v>8</v>
      </c>
      <c r="OR333" s="27" t="s">
        <v>7</v>
      </c>
      <c r="OS333" s="27" t="s">
        <v>8</v>
      </c>
      <c r="OT333" s="27" t="s">
        <v>7</v>
      </c>
      <c r="OU333" s="27" t="s">
        <v>8</v>
      </c>
      <c r="OV333" s="27" t="s">
        <v>7</v>
      </c>
      <c r="OW333" s="27" t="s">
        <v>8</v>
      </c>
      <c r="OX333" s="27" t="s">
        <v>7</v>
      </c>
      <c r="OY333" s="27" t="s">
        <v>8</v>
      </c>
      <c r="OZ333" s="27" t="s">
        <v>7</v>
      </c>
      <c r="PA333" s="27" t="s">
        <v>8</v>
      </c>
      <c r="PB333" s="27" t="s">
        <v>7</v>
      </c>
      <c r="PC333" s="27" t="s">
        <v>8</v>
      </c>
      <c r="PD333" s="27" t="s">
        <v>7</v>
      </c>
      <c r="PE333" s="27" t="s">
        <v>8</v>
      </c>
      <c r="PG333" s="27" t="s">
        <v>8</v>
      </c>
    </row>
    <row r="334" spans="1:424" x14ac:dyDescent="0.25">
      <c r="A334" s="7">
        <v>149.91443618875272</v>
      </c>
      <c r="B334"/>
      <c r="C334"/>
      <c r="D334"/>
      <c r="E334"/>
      <c r="JK334" s="27" t="s">
        <v>8</v>
      </c>
      <c r="JL334" s="27" t="s">
        <v>7</v>
      </c>
      <c r="JM334" s="27" t="s">
        <v>8</v>
      </c>
      <c r="JP334" s="27" t="s">
        <v>7</v>
      </c>
      <c r="JQ334" s="27" t="s">
        <v>8</v>
      </c>
      <c r="JR334" s="27" t="s">
        <v>7</v>
      </c>
      <c r="JS334" s="27" t="s">
        <v>8</v>
      </c>
      <c r="JU334" s="27" t="s">
        <v>8</v>
      </c>
      <c r="JV334" s="27" t="s">
        <v>7</v>
      </c>
      <c r="KA334" s="27" t="s">
        <v>8</v>
      </c>
      <c r="KB334" s="27" t="s">
        <v>7</v>
      </c>
      <c r="KC334" s="27" t="s">
        <v>8</v>
      </c>
      <c r="KD334" s="27" t="s">
        <v>7</v>
      </c>
      <c r="KE334" s="27" t="s">
        <v>8</v>
      </c>
      <c r="LX334" s="27" t="s">
        <v>7</v>
      </c>
      <c r="MB334" s="27" t="s">
        <v>7</v>
      </c>
      <c r="MC334" s="27" t="s">
        <v>8</v>
      </c>
      <c r="MJ334" s="27" t="s">
        <v>7</v>
      </c>
      <c r="MK334" s="27" t="s">
        <v>8</v>
      </c>
      <c r="MP334" s="27" t="s">
        <v>7</v>
      </c>
      <c r="NC334" s="27" t="s">
        <v>8</v>
      </c>
      <c r="NR334" s="27" t="s">
        <v>7</v>
      </c>
      <c r="NS334" s="27" t="s">
        <v>8</v>
      </c>
      <c r="NT334" s="27" t="s">
        <v>7</v>
      </c>
      <c r="NU334" s="27" t="s">
        <v>8</v>
      </c>
      <c r="NV334" s="27" t="s">
        <v>7</v>
      </c>
      <c r="NW334" s="27" t="s">
        <v>8</v>
      </c>
      <c r="OR334" s="27" t="s">
        <v>7</v>
      </c>
      <c r="OS334" s="27" t="s">
        <v>8</v>
      </c>
      <c r="OT334" s="27" t="s">
        <v>7</v>
      </c>
      <c r="OU334" s="27" t="s">
        <v>8</v>
      </c>
      <c r="OV334" s="27" t="s">
        <v>7</v>
      </c>
      <c r="OW334" s="27" t="s">
        <v>8</v>
      </c>
      <c r="OX334" s="27" t="s">
        <v>7</v>
      </c>
      <c r="OY334" s="27" t="s">
        <v>8</v>
      </c>
      <c r="OZ334" s="27" t="s">
        <v>7</v>
      </c>
      <c r="PA334" s="27" t="s">
        <v>8</v>
      </c>
      <c r="PB334" s="27" t="s">
        <v>7</v>
      </c>
      <c r="PC334" s="27" t="s">
        <v>8</v>
      </c>
      <c r="PD334" s="27" t="s">
        <v>7</v>
      </c>
      <c r="PE334" s="27" t="s">
        <v>8</v>
      </c>
      <c r="PF334" s="27" t="s">
        <v>7</v>
      </c>
      <c r="PG334" s="27" t="s">
        <v>8</v>
      </c>
      <c r="PH334" s="27" t="s">
        <v>7</v>
      </c>
    </row>
    <row r="335" spans="1:424" x14ac:dyDescent="0.25">
      <c r="A335" s="7">
        <v>146.97493743995364</v>
      </c>
      <c r="B335"/>
      <c r="C335"/>
      <c r="D335"/>
      <c r="E335"/>
      <c r="JK335" s="27" t="s">
        <v>8</v>
      </c>
      <c r="JL335" s="27" t="s">
        <v>7</v>
      </c>
      <c r="JP335" s="27" t="s">
        <v>7</v>
      </c>
      <c r="JQ335" s="27" t="s">
        <v>8</v>
      </c>
      <c r="JR335" s="27" t="s">
        <v>7</v>
      </c>
      <c r="JS335" s="27" t="s">
        <v>8</v>
      </c>
      <c r="JT335" s="27" t="s">
        <v>7</v>
      </c>
      <c r="JU335" s="27" t="s">
        <v>8</v>
      </c>
      <c r="JV335" s="27" t="s">
        <v>7</v>
      </c>
      <c r="JW335" s="27" t="s">
        <v>8</v>
      </c>
      <c r="KA335" s="27" t="s">
        <v>8</v>
      </c>
      <c r="KB335" s="27" t="s">
        <v>7</v>
      </c>
      <c r="KC335" s="27" t="s">
        <v>8</v>
      </c>
      <c r="KD335" s="27" t="s">
        <v>7</v>
      </c>
      <c r="MB335" s="27" t="s">
        <v>7</v>
      </c>
      <c r="MC335" s="27" t="s">
        <v>8</v>
      </c>
      <c r="MJ335" s="27" t="s">
        <v>7</v>
      </c>
      <c r="MP335" s="27" t="s">
        <v>7</v>
      </c>
      <c r="MS335" s="27" t="s">
        <v>8</v>
      </c>
      <c r="MU335" s="27" t="s">
        <v>8</v>
      </c>
      <c r="NA335" s="27" t="s">
        <v>8</v>
      </c>
      <c r="NC335" s="27" t="s">
        <v>8</v>
      </c>
      <c r="NR335" s="27" t="s">
        <v>7</v>
      </c>
      <c r="NT335" s="27" t="s">
        <v>7</v>
      </c>
      <c r="NU335" s="27" t="s">
        <v>8</v>
      </c>
      <c r="NV335" s="27" t="s">
        <v>7</v>
      </c>
      <c r="NW335" s="27" t="s">
        <v>8</v>
      </c>
      <c r="OR335" s="27" t="s">
        <v>7</v>
      </c>
      <c r="OS335" s="27" t="s">
        <v>8</v>
      </c>
      <c r="OT335" s="27" t="s">
        <v>7</v>
      </c>
      <c r="OU335" s="27" t="s">
        <v>8</v>
      </c>
      <c r="OV335" s="27" t="s">
        <v>7</v>
      </c>
      <c r="OX335" s="27" t="s">
        <v>7</v>
      </c>
      <c r="OY335" s="27" t="s">
        <v>8</v>
      </c>
      <c r="OZ335" s="27" t="s">
        <v>7</v>
      </c>
      <c r="PA335" s="27" t="s">
        <v>8</v>
      </c>
      <c r="PB335" s="27" t="s">
        <v>7</v>
      </c>
      <c r="PD335" s="27" t="s">
        <v>7</v>
      </c>
      <c r="PE335" s="27" t="s">
        <v>8</v>
      </c>
      <c r="PF335" s="27" t="s">
        <v>7</v>
      </c>
      <c r="PG335" s="27" t="s">
        <v>8</v>
      </c>
      <c r="PH335" s="27" t="s">
        <v>7</v>
      </c>
    </row>
    <row r="336" spans="1:424" x14ac:dyDescent="0.25">
      <c r="A336" s="7">
        <v>144.09307592152317</v>
      </c>
      <c r="B336"/>
      <c r="C336"/>
      <c r="D336"/>
      <c r="E336"/>
      <c r="CY336" s="27" t="s">
        <v>8</v>
      </c>
      <c r="JK336" s="27" t="s">
        <v>8</v>
      </c>
      <c r="JP336" s="27" t="s">
        <v>7</v>
      </c>
      <c r="JQ336" s="27" t="s">
        <v>8</v>
      </c>
      <c r="JR336" s="27" t="s">
        <v>7</v>
      </c>
      <c r="JS336" s="27" t="s">
        <v>8</v>
      </c>
      <c r="JT336" s="27" t="s">
        <v>7</v>
      </c>
      <c r="JU336" s="27" t="s">
        <v>8</v>
      </c>
      <c r="JV336" s="27" t="s">
        <v>7</v>
      </c>
      <c r="JW336" s="27" t="s">
        <v>8</v>
      </c>
      <c r="JX336" s="27" t="s">
        <v>7</v>
      </c>
      <c r="JY336" s="27" t="s">
        <v>8</v>
      </c>
      <c r="KA336" s="27" t="s">
        <v>8</v>
      </c>
      <c r="KB336" s="27" t="s">
        <v>7</v>
      </c>
      <c r="KC336" s="27" t="s">
        <v>8</v>
      </c>
      <c r="MB336" s="27" t="s">
        <v>7</v>
      </c>
      <c r="MC336" s="27" t="s">
        <v>8</v>
      </c>
      <c r="MP336" s="27" t="s">
        <v>7</v>
      </c>
      <c r="MS336" s="27" t="s">
        <v>8</v>
      </c>
      <c r="MT336" s="27" t="s">
        <v>7</v>
      </c>
      <c r="MU336" s="27" t="s">
        <v>8</v>
      </c>
      <c r="MV336" s="27" t="s">
        <v>7</v>
      </c>
      <c r="NA336" s="27" t="s">
        <v>8</v>
      </c>
      <c r="NB336" s="27" t="s">
        <v>7</v>
      </c>
      <c r="NC336" s="27" t="s">
        <v>8</v>
      </c>
      <c r="NT336" s="27" t="s">
        <v>7</v>
      </c>
      <c r="NV336" s="27" t="s">
        <v>7</v>
      </c>
      <c r="NW336" s="27" t="s">
        <v>8</v>
      </c>
      <c r="OR336" s="27" t="s">
        <v>7</v>
      </c>
      <c r="OS336" s="27" t="s">
        <v>8</v>
      </c>
      <c r="OT336" s="27" t="s">
        <v>7</v>
      </c>
      <c r="OX336" s="27" t="s">
        <v>7</v>
      </c>
      <c r="OZ336" s="27" t="s">
        <v>7</v>
      </c>
      <c r="PA336" s="27" t="s">
        <v>8</v>
      </c>
      <c r="PD336" s="27" t="s">
        <v>7</v>
      </c>
      <c r="PF336" s="27" t="s">
        <v>7</v>
      </c>
      <c r="PG336" s="27" t="s">
        <v>8</v>
      </c>
      <c r="PH336" s="27" t="s">
        <v>7</v>
      </c>
    </row>
    <row r="337" spans="1:428" x14ac:dyDescent="0.25">
      <c r="A337" s="7">
        <v>141.26772149168937</v>
      </c>
      <c r="B337"/>
      <c r="C337"/>
      <c r="D337"/>
      <c r="E337"/>
      <c r="CU337" s="27" t="s">
        <v>8</v>
      </c>
      <c r="CY337" s="27" t="s">
        <v>8</v>
      </c>
      <c r="CZ337" s="27" t="s">
        <v>7</v>
      </c>
      <c r="JK337" s="27" t="s">
        <v>8</v>
      </c>
      <c r="JP337" s="27" t="s">
        <v>7</v>
      </c>
      <c r="JQ337" s="27" t="s">
        <v>8</v>
      </c>
      <c r="JR337" s="27" t="s">
        <v>7</v>
      </c>
      <c r="JS337" s="27" t="s">
        <v>8</v>
      </c>
      <c r="JT337" s="27" t="s">
        <v>7</v>
      </c>
      <c r="JU337" s="27" t="s">
        <v>8</v>
      </c>
      <c r="JV337" s="27" t="s">
        <v>7</v>
      </c>
      <c r="JW337" s="27" t="s">
        <v>8</v>
      </c>
      <c r="JX337" s="27" t="s">
        <v>7</v>
      </c>
      <c r="JY337" s="27" t="s">
        <v>8</v>
      </c>
      <c r="JZ337" s="27" t="s">
        <v>7</v>
      </c>
      <c r="KA337" s="27" t="s">
        <v>8</v>
      </c>
      <c r="KB337" s="27" t="s">
        <v>7</v>
      </c>
      <c r="MB337" s="27" t="s">
        <v>7</v>
      </c>
      <c r="MC337" s="27" t="s">
        <v>8</v>
      </c>
      <c r="MP337" s="27" t="s">
        <v>7</v>
      </c>
      <c r="MS337" s="27" t="s">
        <v>8</v>
      </c>
      <c r="MT337" s="27" t="s">
        <v>7</v>
      </c>
      <c r="MU337" s="27" t="s">
        <v>8</v>
      </c>
      <c r="MV337" s="27" t="s">
        <v>7</v>
      </c>
      <c r="NA337" s="27" t="s">
        <v>8</v>
      </c>
      <c r="NB337" s="27" t="s">
        <v>7</v>
      </c>
      <c r="NC337" s="27" t="s">
        <v>8</v>
      </c>
      <c r="NV337" s="27" t="s">
        <v>7</v>
      </c>
      <c r="OR337" s="27" t="s">
        <v>7</v>
      </c>
      <c r="OS337" s="27" t="s">
        <v>8</v>
      </c>
      <c r="OZ337" s="27" t="s">
        <v>7</v>
      </c>
      <c r="PF337" s="27" t="s">
        <v>7</v>
      </c>
      <c r="PG337" s="27" t="s">
        <v>8</v>
      </c>
      <c r="PH337" s="27" t="s">
        <v>7</v>
      </c>
    </row>
    <row r="338" spans="1:428" x14ac:dyDescent="0.25">
      <c r="A338" s="7">
        <v>138.4977661683229</v>
      </c>
      <c r="B338"/>
      <c r="C338"/>
      <c r="D338"/>
      <c r="E338"/>
      <c r="CU338" s="27" t="s">
        <v>8</v>
      </c>
      <c r="CV338" s="27" t="s">
        <v>7</v>
      </c>
      <c r="CW338" s="27" t="s">
        <v>8</v>
      </c>
      <c r="CY338" s="27" t="s">
        <v>8</v>
      </c>
      <c r="CZ338" s="27" t="s">
        <v>7</v>
      </c>
      <c r="JG338" s="27" t="s">
        <v>8</v>
      </c>
      <c r="JK338" s="27" t="s">
        <v>8</v>
      </c>
      <c r="JP338" s="27" t="s">
        <v>7</v>
      </c>
      <c r="JQ338" s="27" t="s">
        <v>8</v>
      </c>
      <c r="JR338" s="27" t="s">
        <v>7</v>
      </c>
      <c r="JS338" s="27" t="s">
        <v>8</v>
      </c>
      <c r="JT338" s="27" t="s">
        <v>7</v>
      </c>
      <c r="JV338" s="27" t="s">
        <v>7</v>
      </c>
      <c r="JW338" s="27" t="s">
        <v>8</v>
      </c>
      <c r="JX338" s="27" t="s">
        <v>7</v>
      </c>
      <c r="JY338" s="27" t="s">
        <v>8</v>
      </c>
      <c r="JZ338" s="27" t="s">
        <v>7</v>
      </c>
      <c r="KA338" s="27" t="s">
        <v>8</v>
      </c>
      <c r="MB338" s="27" t="s">
        <v>7</v>
      </c>
      <c r="MC338" s="27" t="s">
        <v>8</v>
      </c>
      <c r="MP338" s="27" t="s">
        <v>7</v>
      </c>
      <c r="MS338" s="27" t="s">
        <v>8</v>
      </c>
      <c r="MT338" s="27" t="s">
        <v>7</v>
      </c>
      <c r="MU338" s="27" t="s">
        <v>8</v>
      </c>
      <c r="MV338" s="27" t="s">
        <v>7</v>
      </c>
      <c r="MW338" s="27" t="s">
        <v>8</v>
      </c>
      <c r="MY338" s="27" t="s">
        <v>8</v>
      </c>
      <c r="NA338" s="27" t="s">
        <v>8</v>
      </c>
      <c r="NB338" s="27" t="s">
        <v>7</v>
      </c>
      <c r="NC338" s="27" t="s">
        <v>8</v>
      </c>
      <c r="OR338" s="27" t="s">
        <v>7</v>
      </c>
      <c r="OS338" s="27" t="s">
        <v>8</v>
      </c>
      <c r="PF338" s="27" t="s">
        <v>7</v>
      </c>
      <c r="PG338" s="27" t="s">
        <v>8</v>
      </c>
      <c r="PH338" s="27" t="s">
        <v>7</v>
      </c>
    </row>
    <row r="339" spans="1:428" x14ac:dyDescent="0.25">
      <c r="A339" s="7">
        <v>135.7821236944342</v>
      </c>
      <c r="B339"/>
      <c r="C339"/>
      <c r="D339"/>
      <c r="E339"/>
      <c r="CU339" s="27" t="s">
        <v>8</v>
      </c>
      <c r="CV339" s="27" t="s">
        <v>7</v>
      </c>
      <c r="CW339" s="27" t="s">
        <v>8</v>
      </c>
      <c r="CX339" s="27" t="s">
        <v>7</v>
      </c>
      <c r="CY339" s="27" t="s">
        <v>8</v>
      </c>
      <c r="CZ339" s="27" t="s">
        <v>7</v>
      </c>
      <c r="DA339" s="27" t="s">
        <v>8</v>
      </c>
      <c r="JG339" s="27" t="s">
        <v>8</v>
      </c>
      <c r="JH339" s="27" t="s">
        <v>7</v>
      </c>
      <c r="JK339" s="27" t="s">
        <v>8</v>
      </c>
      <c r="JP339" s="27" t="s">
        <v>7</v>
      </c>
      <c r="JQ339" s="27" t="s">
        <v>8</v>
      </c>
      <c r="JR339" s="27" t="s">
        <v>7</v>
      </c>
      <c r="JS339" s="27" t="s">
        <v>8</v>
      </c>
      <c r="JV339" s="27" t="s">
        <v>7</v>
      </c>
      <c r="JW339" s="27" t="s">
        <v>8</v>
      </c>
      <c r="JX339" s="27" t="s">
        <v>7</v>
      </c>
      <c r="JY339" s="27" t="s">
        <v>8</v>
      </c>
      <c r="JZ339" s="27" t="s">
        <v>7</v>
      </c>
      <c r="KA339" s="27" t="s">
        <v>8</v>
      </c>
      <c r="MB339" s="27" t="s">
        <v>7</v>
      </c>
      <c r="MC339" s="27" t="s">
        <v>8</v>
      </c>
      <c r="MP339" s="27" t="s">
        <v>7</v>
      </c>
      <c r="MQ339" s="27" t="s">
        <v>8</v>
      </c>
      <c r="MS339" s="27" t="s">
        <v>8</v>
      </c>
      <c r="MT339" s="27" t="s">
        <v>7</v>
      </c>
      <c r="MU339" s="27" t="s">
        <v>8</v>
      </c>
      <c r="MV339" s="27" t="s">
        <v>7</v>
      </c>
      <c r="MW339" s="27" t="s">
        <v>8</v>
      </c>
      <c r="MX339" s="27" t="s">
        <v>7</v>
      </c>
      <c r="MY339" s="27" t="s">
        <v>8</v>
      </c>
      <c r="MZ339" s="27" t="s">
        <v>7</v>
      </c>
      <c r="NA339" s="27" t="s">
        <v>8</v>
      </c>
      <c r="NB339" s="27" t="s">
        <v>7</v>
      </c>
      <c r="OR339" s="27" t="s">
        <v>7</v>
      </c>
      <c r="OS339" s="27" t="s">
        <v>8</v>
      </c>
      <c r="PF339" s="27" t="s">
        <v>7</v>
      </c>
      <c r="PG339" s="27" t="s">
        <v>8</v>
      </c>
      <c r="PH339" s="27" t="s">
        <v>7</v>
      </c>
    </row>
    <row r="340" spans="1:428" x14ac:dyDescent="0.25">
      <c r="A340" s="7">
        <v>133.11972911219038</v>
      </c>
      <c r="B340"/>
      <c r="C340"/>
      <c r="D340"/>
      <c r="E340"/>
      <c r="CU340" s="27" t="s">
        <v>8</v>
      </c>
      <c r="CV340" s="27" t="s">
        <v>7</v>
      </c>
      <c r="CW340" s="27" t="s">
        <v>8</v>
      </c>
      <c r="CX340" s="27" t="s">
        <v>7</v>
      </c>
      <c r="CY340" s="27" t="s">
        <v>8</v>
      </c>
      <c r="CZ340" s="27" t="s">
        <v>7</v>
      </c>
      <c r="DA340" s="27" t="s">
        <v>8</v>
      </c>
      <c r="DB340" s="27" t="s">
        <v>7</v>
      </c>
      <c r="JG340" s="27" t="s">
        <v>8</v>
      </c>
      <c r="JH340" s="27" t="s">
        <v>7</v>
      </c>
      <c r="JK340" s="27" t="s">
        <v>8</v>
      </c>
      <c r="JP340" s="27" t="s">
        <v>7</v>
      </c>
      <c r="JQ340" s="27" t="s">
        <v>8</v>
      </c>
      <c r="JR340" s="27" t="s">
        <v>7</v>
      </c>
      <c r="JS340" s="27" t="s">
        <v>8</v>
      </c>
      <c r="JV340" s="27" t="s">
        <v>7</v>
      </c>
      <c r="JW340" s="27" t="s">
        <v>8</v>
      </c>
      <c r="JX340" s="27" t="s">
        <v>7</v>
      </c>
      <c r="JY340" s="27" t="s">
        <v>8</v>
      </c>
      <c r="JZ340" s="27" t="s">
        <v>7</v>
      </c>
      <c r="KA340" s="27" t="s">
        <v>8</v>
      </c>
      <c r="MB340" s="27" t="s">
        <v>7</v>
      </c>
      <c r="MC340" s="27" t="s">
        <v>8</v>
      </c>
      <c r="MP340" s="27" t="s">
        <v>7</v>
      </c>
      <c r="MQ340" s="27" t="s">
        <v>8</v>
      </c>
      <c r="MR340" s="27" t="s">
        <v>7</v>
      </c>
      <c r="MS340" s="27" t="s">
        <v>8</v>
      </c>
      <c r="MT340" s="27" t="s">
        <v>7</v>
      </c>
      <c r="MV340" s="27" t="s">
        <v>7</v>
      </c>
      <c r="MW340" s="27" t="s">
        <v>8</v>
      </c>
      <c r="MX340" s="27" t="s">
        <v>7</v>
      </c>
      <c r="MY340" s="27" t="s">
        <v>8</v>
      </c>
      <c r="MZ340" s="27" t="s">
        <v>7</v>
      </c>
      <c r="NA340" s="27" t="s">
        <v>8</v>
      </c>
      <c r="OR340" s="27" t="s">
        <v>7</v>
      </c>
      <c r="OS340" s="27" t="s">
        <v>8</v>
      </c>
      <c r="PF340" s="27" t="s">
        <v>7</v>
      </c>
      <c r="PG340" s="27" t="s">
        <v>8</v>
      </c>
      <c r="PH340" s="27" t="s">
        <v>7</v>
      </c>
    </row>
    <row r="341" spans="1:428" x14ac:dyDescent="0.25">
      <c r="A341" s="7">
        <v>130.50953834528468</v>
      </c>
      <c r="B341"/>
      <c r="C341"/>
      <c r="D341"/>
      <c r="E341"/>
      <c r="CU341" s="27" t="s">
        <v>8</v>
      </c>
      <c r="CV341" s="27" t="s">
        <v>7</v>
      </c>
      <c r="CW341" s="27" t="s">
        <v>8</v>
      </c>
      <c r="CX341" s="27" t="s">
        <v>7</v>
      </c>
      <c r="CZ341" s="27" t="s">
        <v>7</v>
      </c>
      <c r="DA341" s="27" t="s">
        <v>8</v>
      </c>
      <c r="DB341" s="27" t="s">
        <v>7</v>
      </c>
      <c r="JG341" s="27" t="s">
        <v>8</v>
      </c>
      <c r="JH341" s="27" t="s">
        <v>7</v>
      </c>
      <c r="JI341" s="27" t="s">
        <v>8</v>
      </c>
      <c r="JK341" s="27" t="s">
        <v>8</v>
      </c>
      <c r="JP341" s="27" t="s">
        <v>7</v>
      </c>
      <c r="JQ341" s="27" t="s">
        <v>8</v>
      </c>
      <c r="JR341" s="27" t="s">
        <v>7</v>
      </c>
      <c r="JV341" s="27" t="s">
        <v>7</v>
      </c>
      <c r="JW341" s="27" t="s">
        <v>8</v>
      </c>
      <c r="JX341" s="27" t="s">
        <v>7</v>
      </c>
      <c r="JY341" s="27" t="s">
        <v>8</v>
      </c>
      <c r="JZ341" s="27" t="s">
        <v>7</v>
      </c>
      <c r="KA341" s="27" t="s">
        <v>8</v>
      </c>
      <c r="MB341" s="27" t="s">
        <v>7</v>
      </c>
      <c r="MC341" s="27" t="s">
        <v>8</v>
      </c>
      <c r="MP341" s="27" t="s">
        <v>7</v>
      </c>
      <c r="MQ341" s="27" t="s">
        <v>8</v>
      </c>
      <c r="MR341" s="27" t="s">
        <v>7</v>
      </c>
      <c r="MS341" s="27" t="s">
        <v>8</v>
      </c>
      <c r="MV341" s="27" t="s">
        <v>7</v>
      </c>
      <c r="MW341" s="27" t="s">
        <v>8</v>
      </c>
      <c r="MX341" s="27" t="s">
        <v>7</v>
      </c>
      <c r="MY341" s="27" t="s">
        <v>8</v>
      </c>
      <c r="MZ341" s="27" t="s">
        <v>7</v>
      </c>
      <c r="NA341" s="27" t="s">
        <v>8</v>
      </c>
      <c r="OR341" s="27" t="s">
        <v>7</v>
      </c>
      <c r="PF341" s="27" t="s">
        <v>7</v>
      </c>
      <c r="PG341" s="27" t="s">
        <v>8</v>
      </c>
      <c r="PH341" s="27" t="s">
        <v>7</v>
      </c>
    </row>
    <row r="342" spans="1:428" x14ac:dyDescent="0.25">
      <c r="A342" s="7">
        <v>127.95052778949477</v>
      </c>
      <c r="B342"/>
      <c r="C342"/>
      <c r="D342"/>
      <c r="E342"/>
      <c r="CU342" s="27" t="s">
        <v>8</v>
      </c>
      <c r="CV342" s="27" t="s">
        <v>7</v>
      </c>
      <c r="CW342" s="27" t="s">
        <v>8</v>
      </c>
      <c r="CZ342" s="27" t="s">
        <v>7</v>
      </c>
      <c r="DA342" s="27" t="s">
        <v>8</v>
      </c>
      <c r="DB342" s="27" t="s">
        <v>7</v>
      </c>
      <c r="JG342" s="27" t="s">
        <v>8</v>
      </c>
      <c r="JH342" s="27" t="s">
        <v>7</v>
      </c>
      <c r="JI342" s="27" t="s">
        <v>8</v>
      </c>
      <c r="JJ342" s="27" t="s">
        <v>7</v>
      </c>
      <c r="JK342" s="27" t="s">
        <v>8</v>
      </c>
      <c r="JP342" s="27" t="s">
        <v>7</v>
      </c>
      <c r="JQ342" s="27" t="s">
        <v>8</v>
      </c>
      <c r="JV342" s="27" t="s">
        <v>7</v>
      </c>
      <c r="JW342" s="27" t="s">
        <v>8</v>
      </c>
      <c r="JX342" s="27" t="s">
        <v>7</v>
      </c>
      <c r="JY342" s="27" t="s">
        <v>8</v>
      </c>
      <c r="JZ342" s="27" t="s">
        <v>7</v>
      </c>
      <c r="MB342" s="27" t="s">
        <v>7</v>
      </c>
      <c r="MC342" s="27" t="s">
        <v>8</v>
      </c>
      <c r="MP342" s="27" t="s">
        <v>7</v>
      </c>
      <c r="MQ342" s="27" t="s">
        <v>8</v>
      </c>
      <c r="MR342" s="27" t="s">
        <v>7</v>
      </c>
      <c r="MS342" s="27" t="s">
        <v>8</v>
      </c>
      <c r="MV342" s="27" t="s">
        <v>7</v>
      </c>
      <c r="MX342" s="27" t="s">
        <v>7</v>
      </c>
      <c r="MY342" s="27" t="s">
        <v>8</v>
      </c>
      <c r="MZ342" s="27" t="s">
        <v>7</v>
      </c>
      <c r="PF342" s="27" t="s">
        <v>7</v>
      </c>
      <c r="PG342" s="27" t="s">
        <v>8</v>
      </c>
      <c r="PH342" s="27" t="s">
        <v>7</v>
      </c>
    </row>
    <row r="343" spans="1:428" x14ac:dyDescent="0.25">
      <c r="A343" s="7">
        <v>125.44169391126938</v>
      </c>
      <c r="B343"/>
      <c r="C343"/>
      <c r="D343"/>
      <c r="E343"/>
      <c r="CU343" s="27" t="s">
        <v>8</v>
      </c>
      <c r="CV343" s="27" t="s">
        <v>7</v>
      </c>
      <c r="CZ343" s="27" t="s">
        <v>7</v>
      </c>
      <c r="DA343" s="27" t="s">
        <v>8</v>
      </c>
      <c r="DB343" s="27" t="s">
        <v>7</v>
      </c>
      <c r="DC343" s="27" t="s">
        <v>8</v>
      </c>
      <c r="JG343" s="27" t="s">
        <v>8</v>
      </c>
      <c r="JH343" s="27" t="s">
        <v>7</v>
      </c>
      <c r="JI343" s="27" t="s">
        <v>8</v>
      </c>
      <c r="JJ343" s="27" t="s">
        <v>7</v>
      </c>
      <c r="JK343" s="27" t="s">
        <v>8</v>
      </c>
      <c r="JP343" s="27" t="s">
        <v>7</v>
      </c>
      <c r="JQ343" s="27" t="s">
        <v>8</v>
      </c>
      <c r="JV343" s="27" t="s">
        <v>7</v>
      </c>
      <c r="JW343" s="27" t="s">
        <v>8</v>
      </c>
      <c r="JX343" s="27" t="s">
        <v>7</v>
      </c>
      <c r="JY343" s="27" t="s">
        <v>8</v>
      </c>
      <c r="MB343" s="27" t="s">
        <v>7</v>
      </c>
      <c r="MC343" s="27" t="s">
        <v>8</v>
      </c>
      <c r="MP343" s="27" t="s">
        <v>7</v>
      </c>
      <c r="MQ343" s="27" t="s">
        <v>8</v>
      </c>
      <c r="MR343" s="27" t="s">
        <v>7</v>
      </c>
      <c r="MS343" s="27" t="s">
        <v>8</v>
      </c>
      <c r="MX343" s="27" t="s">
        <v>7</v>
      </c>
      <c r="MY343" s="27" t="s">
        <v>8</v>
      </c>
      <c r="PF343" s="27" t="s">
        <v>7</v>
      </c>
      <c r="PG343" s="27" t="s">
        <v>8</v>
      </c>
      <c r="PH343" s="27" t="s">
        <v>7</v>
      </c>
    </row>
    <row r="344" spans="1:428" x14ac:dyDescent="0.25">
      <c r="A344" s="7">
        <v>122.98205285418567</v>
      </c>
      <c r="B344"/>
      <c r="C344"/>
      <c r="D344"/>
      <c r="E344"/>
      <c r="CU344" s="27" t="s">
        <v>8</v>
      </c>
      <c r="CZ344" s="27" t="s">
        <v>7</v>
      </c>
      <c r="DA344" s="27" t="s">
        <v>8</v>
      </c>
      <c r="DB344" s="27" t="s">
        <v>7</v>
      </c>
      <c r="DC344" s="27" t="s">
        <v>8</v>
      </c>
      <c r="DD344" s="27" t="s">
        <v>7</v>
      </c>
      <c r="JE344" s="27" t="s">
        <v>8</v>
      </c>
      <c r="JG344" s="27" t="s">
        <v>8</v>
      </c>
      <c r="JH344" s="27" t="s">
        <v>7</v>
      </c>
      <c r="JI344" s="27" t="s">
        <v>8</v>
      </c>
      <c r="JJ344" s="27" t="s">
        <v>7</v>
      </c>
      <c r="JP344" s="27" t="s">
        <v>7</v>
      </c>
      <c r="JQ344" s="27" t="s">
        <v>8</v>
      </c>
      <c r="JV344" s="27" t="s">
        <v>7</v>
      </c>
      <c r="JX344" s="27" t="s">
        <v>7</v>
      </c>
      <c r="JY344" s="27" t="s">
        <v>8</v>
      </c>
      <c r="MB344" s="27" t="s">
        <v>7</v>
      </c>
      <c r="MC344" s="27" t="s">
        <v>8</v>
      </c>
      <c r="MP344" s="27" t="s">
        <v>7</v>
      </c>
      <c r="MQ344" s="27" t="s">
        <v>8</v>
      </c>
      <c r="MR344" s="27" t="s">
        <v>7</v>
      </c>
      <c r="MS344" s="27" t="s">
        <v>8</v>
      </c>
      <c r="MX344" s="27" t="s">
        <v>7</v>
      </c>
      <c r="MY344" s="27" t="s">
        <v>8</v>
      </c>
      <c r="PF344" s="27" t="s">
        <v>7</v>
      </c>
      <c r="PH344" s="27" t="s">
        <v>7</v>
      </c>
    </row>
    <row r="345" spans="1:428" x14ac:dyDescent="0.25">
      <c r="A345" s="7">
        <v>120.5706400531232</v>
      </c>
      <c r="B345"/>
      <c r="C345"/>
      <c r="D345"/>
      <c r="E345"/>
      <c r="CO345" s="27" t="s">
        <v>8</v>
      </c>
      <c r="CS345" s="27" t="s">
        <v>8</v>
      </c>
      <c r="CU345" s="27" t="s">
        <v>8</v>
      </c>
      <c r="CZ345" s="27" t="s">
        <v>7</v>
      </c>
      <c r="DA345" s="27" t="s">
        <v>8</v>
      </c>
      <c r="DB345" s="27" t="s">
        <v>7</v>
      </c>
      <c r="DC345" s="27" t="s">
        <v>8</v>
      </c>
      <c r="DD345" s="27" t="s">
        <v>7</v>
      </c>
      <c r="JE345" s="27" t="s">
        <v>8</v>
      </c>
      <c r="JF345" s="27" t="s">
        <v>7</v>
      </c>
      <c r="JG345" s="27" t="s">
        <v>8</v>
      </c>
      <c r="JH345" s="27" t="s">
        <v>7</v>
      </c>
      <c r="JP345" s="27" t="s">
        <v>7</v>
      </c>
      <c r="JQ345" s="27" t="s">
        <v>8</v>
      </c>
      <c r="JX345" s="27" t="s">
        <v>7</v>
      </c>
      <c r="JY345" s="27" t="s">
        <v>8</v>
      </c>
      <c r="MB345" s="27" t="s">
        <v>7</v>
      </c>
      <c r="MC345" s="27" t="s">
        <v>8</v>
      </c>
      <c r="MP345" s="27" t="s">
        <v>7</v>
      </c>
      <c r="MQ345" s="27" t="s">
        <v>8</v>
      </c>
      <c r="MR345" s="27" t="s">
        <v>7</v>
      </c>
      <c r="MX345" s="27" t="s">
        <v>7</v>
      </c>
      <c r="MY345" s="27" t="s">
        <v>8</v>
      </c>
      <c r="PH345" s="27" t="s">
        <v>7</v>
      </c>
    </row>
    <row r="346" spans="1:428" x14ac:dyDescent="0.25">
      <c r="A346" s="7">
        <v>118.20650985600314</v>
      </c>
      <c r="B346"/>
      <c r="C346"/>
      <c r="D346"/>
      <c r="E346"/>
      <c r="CO346" s="27" t="s">
        <v>8</v>
      </c>
      <c r="CP346" s="27" t="s">
        <v>7</v>
      </c>
      <c r="CS346" s="27" t="s">
        <v>8</v>
      </c>
      <c r="CT346" s="27" t="s">
        <v>7</v>
      </c>
      <c r="CU346" s="27" t="s">
        <v>8</v>
      </c>
      <c r="CZ346" s="27" t="s">
        <v>7</v>
      </c>
      <c r="DA346" s="27" t="s">
        <v>8</v>
      </c>
      <c r="DB346" s="27" t="s">
        <v>7</v>
      </c>
      <c r="DC346" s="27" t="s">
        <v>8</v>
      </c>
      <c r="DD346" s="27" t="s">
        <v>7</v>
      </c>
      <c r="JE346" s="27" t="s">
        <v>8</v>
      </c>
      <c r="JF346" s="27" t="s">
        <v>7</v>
      </c>
      <c r="JG346" s="27" t="s">
        <v>8</v>
      </c>
      <c r="JP346" s="27" t="s">
        <v>7</v>
      </c>
      <c r="JQ346" s="27" t="s">
        <v>8</v>
      </c>
      <c r="JX346" s="27" t="s">
        <v>7</v>
      </c>
      <c r="MB346" s="27" t="s">
        <v>7</v>
      </c>
      <c r="MP346" s="27" t="s">
        <v>7</v>
      </c>
      <c r="MQ346" s="27" t="s">
        <v>8</v>
      </c>
      <c r="MX346" s="27" t="s">
        <v>7</v>
      </c>
      <c r="MY346" s="27" t="s">
        <v>8</v>
      </c>
      <c r="PH346" s="27" t="s">
        <v>7</v>
      </c>
    </row>
    <row r="347" spans="1:428" x14ac:dyDescent="0.25">
      <c r="A347" s="7">
        <v>115.88873515294425</v>
      </c>
      <c r="B347"/>
      <c r="C347"/>
      <c r="D347"/>
      <c r="E347"/>
      <c r="CO347" s="27" t="s">
        <v>8</v>
      </c>
      <c r="CP347" s="27" t="s">
        <v>7</v>
      </c>
      <c r="CQ347" s="27" t="s">
        <v>8</v>
      </c>
      <c r="CS347" s="27" t="s">
        <v>8</v>
      </c>
      <c r="CT347" s="27" t="s">
        <v>7</v>
      </c>
      <c r="CU347" s="27" t="s">
        <v>8</v>
      </c>
      <c r="CZ347" s="27" t="s">
        <v>7</v>
      </c>
      <c r="DA347" s="27" t="s">
        <v>8</v>
      </c>
      <c r="DB347" s="27" t="s">
        <v>7</v>
      </c>
      <c r="DC347" s="27" t="s">
        <v>8</v>
      </c>
      <c r="DD347" s="27" t="s">
        <v>7</v>
      </c>
      <c r="JE347" s="27" t="s">
        <v>8</v>
      </c>
      <c r="JF347" s="27" t="s">
        <v>7</v>
      </c>
      <c r="JG347" s="27" t="s">
        <v>8</v>
      </c>
      <c r="JP347" s="27" t="s">
        <v>7</v>
      </c>
      <c r="JQ347" s="27" t="s">
        <v>8</v>
      </c>
      <c r="MP347" s="27" t="s">
        <v>7</v>
      </c>
      <c r="MQ347" s="27" t="s">
        <v>8</v>
      </c>
      <c r="MX347" s="27" t="s">
        <v>7</v>
      </c>
      <c r="MY347" s="27" t="s">
        <v>8</v>
      </c>
      <c r="PH347" s="27" t="s">
        <v>7</v>
      </c>
      <c r="PK347" s="27" t="s">
        <v>8</v>
      </c>
    </row>
    <row r="348" spans="1:428" x14ac:dyDescent="0.25">
      <c r="A348" s="7">
        <v>113.61640701269044</v>
      </c>
      <c r="B348"/>
      <c r="C348"/>
      <c r="D348"/>
      <c r="E348"/>
      <c r="CO348" s="27" t="s">
        <v>8</v>
      </c>
      <c r="CP348" s="27" t="s">
        <v>7</v>
      </c>
      <c r="CQ348" s="27" t="s">
        <v>8</v>
      </c>
      <c r="CR348" s="27" t="s">
        <v>7</v>
      </c>
      <c r="CS348" s="27" t="s">
        <v>8</v>
      </c>
      <c r="CT348" s="27" t="s">
        <v>7</v>
      </c>
      <c r="CU348" s="27" t="s">
        <v>8</v>
      </c>
      <c r="CZ348" s="27" t="s">
        <v>7</v>
      </c>
      <c r="DB348" s="27" t="s">
        <v>7</v>
      </c>
      <c r="DD348" s="27" t="s">
        <v>7</v>
      </c>
      <c r="JE348" s="27" t="s">
        <v>8</v>
      </c>
      <c r="JF348" s="27" t="s">
        <v>7</v>
      </c>
      <c r="JG348" s="27" t="s">
        <v>8</v>
      </c>
      <c r="JP348" s="27" t="s">
        <v>7</v>
      </c>
      <c r="MP348" s="27" t="s">
        <v>7</v>
      </c>
      <c r="MQ348" s="27" t="s">
        <v>8</v>
      </c>
      <c r="MX348" s="18" t="s">
        <v>7</v>
      </c>
      <c r="MY348" s="27" t="s">
        <v>8</v>
      </c>
      <c r="PH348" s="27" t="s">
        <v>7</v>
      </c>
      <c r="PK348" s="27" t="s">
        <v>8</v>
      </c>
      <c r="PL348" s="27" t="s">
        <v>7</v>
      </c>
    </row>
    <row r="349" spans="1:428" x14ac:dyDescent="0.25">
      <c r="A349" s="7">
        <v>111.38863432616711</v>
      </c>
      <c r="B349"/>
      <c r="C349"/>
      <c r="D349"/>
      <c r="E349"/>
      <c r="CO349" s="27" t="s">
        <v>8</v>
      </c>
      <c r="CP349" s="27" t="s">
        <v>7</v>
      </c>
      <c r="CQ349" s="27" t="s">
        <v>8</v>
      </c>
      <c r="CR349" s="27" t="s">
        <v>7</v>
      </c>
      <c r="CS349" s="27" t="s">
        <v>8</v>
      </c>
      <c r="CT349" s="27" t="s">
        <v>7</v>
      </c>
      <c r="DD349" s="27" t="s">
        <v>7</v>
      </c>
      <c r="JE349" s="27" t="s">
        <v>8</v>
      </c>
      <c r="JF349" s="27" t="s">
        <v>7</v>
      </c>
      <c r="JG349" s="27" t="s">
        <v>8</v>
      </c>
      <c r="MP349" s="27" t="s">
        <v>7</v>
      </c>
      <c r="MQ349" s="27" t="s">
        <v>8</v>
      </c>
      <c r="MX349" s="27" t="s">
        <v>7</v>
      </c>
      <c r="MY349" s="27" t="s">
        <v>8</v>
      </c>
      <c r="PH349" s="27" t="s">
        <v>7</v>
      </c>
      <c r="PI349" s="27" t="s">
        <v>8</v>
      </c>
      <c r="PK349" s="27" t="s">
        <v>8</v>
      </c>
      <c r="PL349" s="27" t="s">
        <v>7</v>
      </c>
    </row>
    <row r="350" spans="1:428" x14ac:dyDescent="0.25">
      <c r="A350" s="7">
        <v>109.20454345702657</v>
      </c>
      <c r="B350"/>
      <c r="C350"/>
      <c r="D350"/>
      <c r="E350"/>
      <c r="CO350" s="27" t="s">
        <v>8</v>
      </c>
      <c r="CP350" s="27" t="s">
        <v>7</v>
      </c>
      <c r="CQ350" s="27" t="s">
        <v>8</v>
      </c>
      <c r="CR350" s="27" t="s">
        <v>7</v>
      </c>
      <c r="CS350" s="27" t="s">
        <v>8</v>
      </c>
      <c r="DD350" s="27" t="s">
        <v>7</v>
      </c>
      <c r="JE350" s="27" t="s">
        <v>8</v>
      </c>
      <c r="JF350" s="27" t="s">
        <v>7</v>
      </c>
      <c r="JG350" s="27" t="s">
        <v>8</v>
      </c>
      <c r="MP350" s="27" t="s">
        <v>7</v>
      </c>
      <c r="MQ350" s="27" t="s">
        <v>8</v>
      </c>
      <c r="MX350" s="27" t="s">
        <v>7</v>
      </c>
      <c r="MY350" s="27" t="s">
        <v>8</v>
      </c>
      <c r="PH350" s="27" t="s">
        <v>7</v>
      </c>
      <c r="PI350" s="27" t="s">
        <v>8</v>
      </c>
      <c r="PJ350" s="27" t="s">
        <v>7</v>
      </c>
      <c r="PK350" s="27" t="s">
        <v>8</v>
      </c>
      <c r="PL350" s="27" t="s">
        <v>7</v>
      </c>
    </row>
    <row r="351" spans="1:428" x14ac:dyDescent="0.25">
      <c r="A351" s="7">
        <v>107.06327789904566</v>
      </c>
      <c r="B351"/>
      <c r="C351"/>
      <c r="D351"/>
      <c r="E351"/>
      <c r="CK351" s="27" t="s">
        <v>8</v>
      </c>
      <c r="CO351" s="27" t="s">
        <v>8</v>
      </c>
      <c r="CP351" s="27" t="s">
        <v>7</v>
      </c>
      <c r="CQ351" s="27" t="s">
        <v>8</v>
      </c>
      <c r="CR351" s="27" t="s">
        <v>7</v>
      </c>
      <c r="CS351" s="27" t="s">
        <v>8</v>
      </c>
      <c r="DD351" s="27" t="s">
        <v>7</v>
      </c>
      <c r="JE351" s="27" t="s">
        <v>8</v>
      </c>
      <c r="JF351" s="27" t="s">
        <v>7</v>
      </c>
      <c r="JG351" s="27" t="s">
        <v>8</v>
      </c>
      <c r="MP351" s="27" t="s">
        <v>7</v>
      </c>
      <c r="MQ351" s="27" t="s">
        <v>8</v>
      </c>
      <c r="MX351" s="27" t="s">
        <v>7</v>
      </c>
      <c r="MY351" s="27" t="s">
        <v>8</v>
      </c>
      <c r="PH351" s="27" t="s">
        <v>7</v>
      </c>
      <c r="PI351" s="27" t="s">
        <v>8</v>
      </c>
      <c r="PJ351" s="27" t="s">
        <v>7</v>
      </c>
      <c r="PK351" s="27" t="s">
        <v>8</v>
      </c>
      <c r="PL351" s="27" t="s">
        <v>7</v>
      </c>
    </row>
    <row r="352" spans="1:428" x14ac:dyDescent="0.25">
      <c r="A352" s="7">
        <v>104.96399794024084</v>
      </c>
      <c r="B352"/>
      <c r="C352"/>
      <c r="D352"/>
      <c r="E352"/>
      <c r="CK352" s="27" t="s">
        <v>8</v>
      </c>
      <c r="CL352" s="27" t="s">
        <v>7</v>
      </c>
      <c r="CO352" s="27" t="s">
        <v>8</v>
      </c>
      <c r="CP352" s="27" t="s">
        <v>7</v>
      </c>
      <c r="CQ352" s="27" t="s">
        <v>8</v>
      </c>
      <c r="CR352" s="27" t="s">
        <v>7</v>
      </c>
      <c r="CS352" s="27" t="s">
        <v>8</v>
      </c>
      <c r="DD352" s="27" t="s">
        <v>7</v>
      </c>
      <c r="DE352" s="27" t="s">
        <v>8</v>
      </c>
      <c r="DI352" s="27" t="s">
        <v>8</v>
      </c>
      <c r="DO352" s="27" t="s">
        <v>8</v>
      </c>
      <c r="JE352" s="27" t="s">
        <v>8</v>
      </c>
      <c r="JF352" s="27" t="s">
        <v>7</v>
      </c>
      <c r="JG352" s="27" t="s">
        <v>8</v>
      </c>
      <c r="MP352" s="27" t="s">
        <v>7</v>
      </c>
      <c r="MX352" s="27" t="s">
        <v>7</v>
      </c>
      <c r="PH352" s="27" t="s">
        <v>7</v>
      </c>
      <c r="PI352" s="27" t="s">
        <v>8</v>
      </c>
      <c r="PJ352" s="27" t="s">
        <v>7</v>
      </c>
      <c r="PK352" s="27" t="s">
        <v>8</v>
      </c>
    </row>
    <row r="353" spans="1:427" x14ac:dyDescent="0.25">
      <c r="A353" s="7">
        <v>102.90588033356946</v>
      </c>
      <c r="B353"/>
      <c r="C353"/>
      <c r="D353"/>
      <c r="E353"/>
      <c r="CK353" s="27" t="s">
        <v>8</v>
      </c>
      <c r="CL353" s="27" t="s">
        <v>7</v>
      </c>
      <c r="CO353" s="27" t="s">
        <v>8</v>
      </c>
      <c r="CP353" s="27" t="s">
        <v>7</v>
      </c>
      <c r="CR353" s="27" t="s">
        <v>7</v>
      </c>
      <c r="CS353" s="27" t="s">
        <v>8</v>
      </c>
      <c r="DD353" s="27" t="s">
        <v>7</v>
      </c>
      <c r="DE353" s="27" t="s">
        <v>8</v>
      </c>
      <c r="DF353" s="27" t="s">
        <v>7</v>
      </c>
      <c r="DG353" s="27" t="s">
        <v>8</v>
      </c>
      <c r="DI353" s="27" t="s">
        <v>8</v>
      </c>
      <c r="DJ353" s="27" t="s">
        <v>7</v>
      </c>
      <c r="DO353" s="27" t="s">
        <v>8</v>
      </c>
      <c r="DP353" s="27" t="s">
        <v>7</v>
      </c>
      <c r="JE353" s="27" t="s">
        <v>8</v>
      </c>
      <c r="JF353" s="27" t="s">
        <v>7</v>
      </c>
      <c r="JG353" s="27" t="s">
        <v>8</v>
      </c>
      <c r="PH353" s="27" t="s">
        <v>7</v>
      </c>
      <c r="PI353" s="27" t="s">
        <v>8</v>
      </c>
      <c r="PJ353" s="27" t="s">
        <v>7</v>
      </c>
      <c r="PK353" s="27" t="s">
        <v>8</v>
      </c>
    </row>
    <row r="354" spans="1:427" x14ac:dyDescent="0.25">
      <c r="A354" s="7">
        <v>100.88811797408771</v>
      </c>
      <c r="B354"/>
      <c r="C354"/>
      <c r="D354"/>
      <c r="E354"/>
      <c r="CK354" s="27" t="s">
        <v>8</v>
      </c>
      <c r="CL354" s="27" t="s">
        <v>7</v>
      </c>
      <c r="CO354" s="27" t="s">
        <v>8</v>
      </c>
      <c r="CR354" s="27" t="s">
        <v>7</v>
      </c>
      <c r="CS354" s="27" t="s">
        <v>8</v>
      </c>
      <c r="DD354" s="27" t="s">
        <v>7</v>
      </c>
      <c r="DE354" s="27" t="s">
        <v>8</v>
      </c>
      <c r="DF354" s="27" t="s">
        <v>7</v>
      </c>
      <c r="DG354" s="27" t="s">
        <v>8</v>
      </c>
      <c r="DH354" s="27" t="s">
        <v>7</v>
      </c>
      <c r="DI354" s="27" t="s">
        <v>8</v>
      </c>
      <c r="DJ354" s="27" t="s">
        <v>7</v>
      </c>
      <c r="DO354" s="27" t="s">
        <v>8</v>
      </c>
      <c r="DP354" s="27" t="s">
        <v>7</v>
      </c>
      <c r="JE354" s="27" t="s">
        <v>8</v>
      </c>
      <c r="JF354" s="27" t="s">
        <v>7</v>
      </c>
      <c r="JG354" s="27" t="s">
        <v>8</v>
      </c>
      <c r="PH354" s="27" t="s">
        <v>7</v>
      </c>
      <c r="PI354" s="27" t="s">
        <v>8</v>
      </c>
      <c r="PJ354" s="27" t="s">
        <v>7</v>
      </c>
      <c r="PK354" s="27" t="s">
        <v>8</v>
      </c>
    </row>
    <row r="355" spans="1:427" x14ac:dyDescent="0.25">
      <c r="A355" s="7">
        <v>98.909919582438931</v>
      </c>
      <c r="B355"/>
      <c r="C355"/>
      <c r="D355"/>
      <c r="E355"/>
      <c r="CK355" s="27" t="s">
        <v>8</v>
      </c>
      <c r="CL355" s="27" t="s">
        <v>7</v>
      </c>
      <c r="CO355" s="27" t="s">
        <v>8</v>
      </c>
      <c r="CR355" s="27" t="s">
        <v>7</v>
      </c>
      <c r="DD355" s="27" t="s">
        <v>7</v>
      </c>
      <c r="DE355" s="27" t="s">
        <v>8</v>
      </c>
      <c r="DF355" s="27" t="s">
        <v>7</v>
      </c>
      <c r="DG355" s="27" t="s">
        <v>8</v>
      </c>
      <c r="DH355" s="27" t="s">
        <v>7</v>
      </c>
      <c r="DI355" s="27" t="s">
        <v>8</v>
      </c>
      <c r="DJ355" s="27" t="s">
        <v>7</v>
      </c>
      <c r="DM355" s="27" t="s">
        <v>8</v>
      </c>
      <c r="DO355" s="27" t="s">
        <v>8</v>
      </c>
      <c r="DP355" s="27" t="s">
        <v>7</v>
      </c>
      <c r="JE355" s="27" t="s">
        <v>8</v>
      </c>
      <c r="JF355" s="27" t="s">
        <v>7</v>
      </c>
      <c r="JG355" s="27" t="s">
        <v>8</v>
      </c>
      <c r="PH355" s="27" t="s">
        <v>7</v>
      </c>
      <c r="PI355" s="27" t="s">
        <v>8</v>
      </c>
      <c r="PJ355" s="27" t="s">
        <v>7</v>
      </c>
    </row>
    <row r="356" spans="1:427" x14ac:dyDescent="0.25">
      <c r="A356" s="7">
        <v>96.970509394547975</v>
      </c>
      <c r="B356"/>
      <c r="C356"/>
      <c r="D356"/>
      <c r="E356"/>
      <c r="BQ356" s="27" t="s">
        <v>8</v>
      </c>
      <c r="BS356" s="27" t="s">
        <v>8</v>
      </c>
      <c r="CK356" s="27" t="s">
        <v>8</v>
      </c>
      <c r="CL356" s="27" t="s">
        <v>7</v>
      </c>
      <c r="CO356" s="27" t="s">
        <v>8</v>
      </c>
      <c r="DD356" s="27" t="s">
        <v>7</v>
      </c>
      <c r="DF356" s="27" t="s">
        <v>7</v>
      </c>
      <c r="DG356" s="27" t="s">
        <v>8</v>
      </c>
      <c r="DH356" s="27" t="s">
        <v>7</v>
      </c>
      <c r="DI356" s="27" t="s">
        <v>8</v>
      </c>
      <c r="DJ356" s="27" t="s">
        <v>7</v>
      </c>
      <c r="DM356" s="27" t="s">
        <v>8</v>
      </c>
      <c r="DN356" s="27" t="s">
        <v>7</v>
      </c>
      <c r="DO356" s="27" t="s">
        <v>8</v>
      </c>
      <c r="DP356" s="27" t="s">
        <v>7</v>
      </c>
      <c r="JE356" s="27" t="s">
        <v>8</v>
      </c>
      <c r="JF356" s="27" t="s">
        <v>7</v>
      </c>
      <c r="PH356" s="27" t="s">
        <v>7</v>
      </c>
    </row>
    <row r="357" spans="1:427" x14ac:dyDescent="0.25">
      <c r="A357" s="7">
        <v>95.069126857399979</v>
      </c>
      <c r="B357"/>
      <c r="C357"/>
      <c r="D357"/>
      <c r="E357"/>
      <c r="BQ357" s="27" t="s">
        <v>8</v>
      </c>
      <c r="BR357" s="27" t="s">
        <v>7</v>
      </c>
      <c r="BS357" s="27" t="s">
        <v>8</v>
      </c>
      <c r="BT357" s="27" t="s">
        <v>7</v>
      </c>
      <c r="CK357" s="27" t="s">
        <v>8</v>
      </c>
      <c r="CL357" s="27" t="s">
        <v>7</v>
      </c>
      <c r="CM357" s="27" t="s">
        <v>8</v>
      </c>
      <c r="CO357" s="27" t="s">
        <v>8</v>
      </c>
      <c r="DF357" s="27" t="s">
        <v>7</v>
      </c>
      <c r="DG357" s="27" t="s">
        <v>8</v>
      </c>
      <c r="DH357" s="27" t="s">
        <v>7</v>
      </c>
      <c r="DJ357" s="27" t="s">
        <v>7</v>
      </c>
      <c r="DK357" s="27" t="s">
        <v>8</v>
      </c>
      <c r="DM357" s="27" t="s">
        <v>8</v>
      </c>
      <c r="DN357" s="27" t="s">
        <v>7</v>
      </c>
      <c r="DO357" s="27" t="s">
        <v>8</v>
      </c>
      <c r="DP357" s="27" t="s">
        <v>7</v>
      </c>
      <c r="JE357" s="27" t="s">
        <v>8</v>
      </c>
    </row>
    <row r="358" spans="1:427" x14ac:dyDescent="0.25">
      <c r="A358" s="7">
        <v>93.205026330784293</v>
      </c>
      <c r="B358"/>
      <c r="C358"/>
      <c r="D358"/>
      <c r="E358"/>
      <c r="BQ358" s="27" t="s">
        <v>8</v>
      </c>
      <c r="BR358" s="27" t="s">
        <v>7</v>
      </c>
      <c r="BS358" s="27" t="s">
        <v>8</v>
      </c>
      <c r="BT358" s="27" t="s">
        <v>7</v>
      </c>
      <c r="CI358" s="27" t="s">
        <v>8</v>
      </c>
      <c r="CK358" s="27" t="s">
        <v>8</v>
      </c>
      <c r="CL358" s="27" t="s">
        <v>7</v>
      </c>
      <c r="CM358" s="27" t="s">
        <v>8</v>
      </c>
      <c r="CN358" s="27" t="s">
        <v>7</v>
      </c>
      <c r="CO358" s="27" t="s">
        <v>8</v>
      </c>
      <c r="DF358" s="27" t="s">
        <v>7</v>
      </c>
      <c r="DG358" s="27" t="s">
        <v>8</v>
      </c>
      <c r="DJ358" s="27" t="s">
        <v>7</v>
      </c>
      <c r="DK358" s="27" t="s">
        <v>8</v>
      </c>
      <c r="DL358" s="27" t="s">
        <v>7</v>
      </c>
      <c r="DM358" s="27" t="s">
        <v>8</v>
      </c>
      <c r="DN358" s="27" t="s">
        <v>7</v>
      </c>
      <c r="DO358" s="27" t="s">
        <v>8</v>
      </c>
      <c r="DP358" s="27" t="s">
        <v>7</v>
      </c>
      <c r="IW358" s="27" t="s">
        <v>8</v>
      </c>
      <c r="JE358" s="27" t="s">
        <v>8</v>
      </c>
    </row>
    <row r="359" spans="1:427" x14ac:dyDescent="0.25">
      <c r="A359" s="7">
        <v>91.377476794886562</v>
      </c>
      <c r="B359"/>
      <c r="C359"/>
      <c r="D359"/>
      <c r="E359"/>
      <c r="BQ359" s="27" t="s">
        <v>8</v>
      </c>
      <c r="BR359" s="27" t="s">
        <v>7</v>
      </c>
      <c r="BS359" s="27" t="s">
        <v>8</v>
      </c>
      <c r="BT359" s="27" t="s">
        <v>7</v>
      </c>
      <c r="CI359" s="27" t="s">
        <v>8</v>
      </c>
      <c r="CJ359" s="27" t="s">
        <v>7</v>
      </c>
      <c r="CK359" s="27" t="s">
        <v>8</v>
      </c>
      <c r="CL359" s="27" t="s">
        <v>7</v>
      </c>
      <c r="CM359" s="27" t="s">
        <v>8</v>
      </c>
      <c r="CN359" s="27" t="s">
        <v>7</v>
      </c>
      <c r="CO359" s="27" t="s">
        <v>8</v>
      </c>
      <c r="DF359" s="27" t="s">
        <v>7</v>
      </c>
      <c r="DG359" s="27" t="s">
        <v>8</v>
      </c>
      <c r="DJ359" s="27" t="s">
        <v>7</v>
      </c>
      <c r="DK359" s="27" t="s">
        <v>8</v>
      </c>
      <c r="DL359" s="27" t="s">
        <v>7</v>
      </c>
      <c r="DM359" s="27" t="s">
        <v>8</v>
      </c>
      <c r="DN359" s="27" t="s">
        <v>7</v>
      </c>
      <c r="DP359" s="27" t="s">
        <v>7</v>
      </c>
      <c r="DQ359" s="27" t="s">
        <v>8</v>
      </c>
      <c r="IW359" s="27" t="s">
        <v>8</v>
      </c>
      <c r="IX359" s="27" t="s">
        <v>7</v>
      </c>
      <c r="IY359" s="27" t="s">
        <v>8</v>
      </c>
      <c r="JA359" s="27" t="s">
        <v>8</v>
      </c>
      <c r="JE359" s="27" t="s">
        <v>8</v>
      </c>
    </row>
    <row r="360" spans="1:427" x14ac:dyDescent="0.25">
      <c r="A360" s="7">
        <v>89.58576156361427</v>
      </c>
      <c r="B360"/>
      <c r="C360"/>
      <c r="D360"/>
      <c r="E360"/>
      <c r="BQ360" s="27" t="s">
        <v>8</v>
      </c>
      <c r="BR360" s="27" t="s">
        <v>7</v>
      </c>
      <c r="BS360" s="27" t="s">
        <v>8</v>
      </c>
      <c r="BT360" s="27" t="s">
        <v>7</v>
      </c>
      <c r="BU360" s="27" t="s">
        <v>8</v>
      </c>
      <c r="CI360" s="27" t="s">
        <v>8</v>
      </c>
      <c r="CJ360" s="27" t="s">
        <v>7</v>
      </c>
      <c r="CK360" s="27" t="s">
        <v>8</v>
      </c>
      <c r="CL360" s="27" t="s">
        <v>7</v>
      </c>
      <c r="CM360" s="27" t="s">
        <v>8</v>
      </c>
      <c r="CN360" s="27" t="s">
        <v>7</v>
      </c>
      <c r="CO360" s="27" t="s">
        <v>8</v>
      </c>
      <c r="DF360" s="27" t="s">
        <v>7</v>
      </c>
      <c r="DG360" s="27" t="s">
        <v>8</v>
      </c>
      <c r="DJ360" s="27" t="s">
        <v>7</v>
      </c>
      <c r="DK360" s="27" t="s">
        <v>8</v>
      </c>
      <c r="DL360" s="27" t="s">
        <v>7</v>
      </c>
      <c r="DM360" s="27" t="s">
        <v>8</v>
      </c>
      <c r="DP360" s="27" t="s">
        <v>7</v>
      </c>
      <c r="DQ360" s="27" t="s">
        <v>8</v>
      </c>
      <c r="DR360" s="27" t="s">
        <v>7</v>
      </c>
      <c r="IW360" s="27" t="s">
        <v>8</v>
      </c>
      <c r="IX360" s="27" t="s">
        <v>7</v>
      </c>
      <c r="IY360" s="27" t="s">
        <v>8</v>
      </c>
      <c r="IZ360" s="27" t="s">
        <v>7</v>
      </c>
      <c r="JA360" s="27" t="s">
        <v>8</v>
      </c>
      <c r="JB360" s="27" t="s">
        <v>7</v>
      </c>
      <c r="JE360" s="27" t="s">
        <v>8</v>
      </c>
    </row>
    <row r="361" spans="1:427" x14ac:dyDescent="0.25">
      <c r="A361" s="7">
        <v>87.829178003543404</v>
      </c>
      <c r="B361"/>
      <c r="C361"/>
      <c r="D361"/>
      <c r="E361"/>
      <c r="BQ361" s="27" t="s">
        <v>8</v>
      </c>
      <c r="BR361" s="27" t="s">
        <v>7</v>
      </c>
      <c r="BS361" s="27" t="s">
        <v>8</v>
      </c>
      <c r="BT361" s="27" t="s">
        <v>7</v>
      </c>
      <c r="BU361" s="27" t="s">
        <v>8</v>
      </c>
      <c r="BV361" s="27" t="s">
        <v>7</v>
      </c>
      <c r="CI361" s="27" t="s">
        <v>8</v>
      </c>
      <c r="CJ361" s="27" t="s">
        <v>7</v>
      </c>
      <c r="CK361" s="27" t="s">
        <v>8</v>
      </c>
      <c r="CL361" s="27" t="s">
        <v>7</v>
      </c>
      <c r="CM361" s="27" t="s">
        <v>8</v>
      </c>
      <c r="CN361" s="27" t="s">
        <v>7</v>
      </c>
      <c r="CO361" s="27" t="s">
        <v>8</v>
      </c>
      <c r="DF361" s="27" t="s">
        <v>7</v>
      </c>
      <c r="DG361" s="27" t="s">
        <v>8</v>
      </c>
      <c r="DJ361" s="27" t="s">
        <v>7</v>
      </c>
      <c r="DL361" s="27" t="s">
        <v>7</v>
      </c>
      <c r="DM361" s="27" t="s">
        <v>8</v>
      </c>
      <c r="DP361" s="27" t="s">
        <v>7</v>
      </c>
      <c r="DQ361" s="27" t="s">
        <v>8</v>
      </c>
      <c r="DR361" s="27" t="s">
        <v>7</v>
      </c>
      <c r="IU361" s="27" t="s">
        <v>8</v>
      </c>
      <c r="IW361" s="27" t="s">
        <v>8</v>
      </c>
      <c r="IX361" s="27" t="s">
        <v>7</v>
      </c>
      <c r="IY361" s="27" t="s">
        <v>8</v>
      </c>
      <c r="IZ361" s="27" t="s">
        <v>7</v>
      </c>
      <c r="JA361" s="27" t="s">
        <v>8</v>
      </c>
      <c r="JB361" s="27" t="s">
        <v>7</v>
      </c>
      <c r="JE361" s="27" t="s">
        <v>8</v>
      </c>
    </row>
    <row r="362" spans="1:427" x14ac:dyDescent="0.25">
      <c r="A362" s="7">
        <v>86.107037258375883</v>
      </c>
      <c r="B362"/>
      <c r="C362"/>
      <c r="D362"/>
      <c r="E362"/>
      <c r="BQ362" s="27" t="s">
        <v>8</v>
      </c>
      <c r="BR362" s="27" t="s">
        <v>7</v>
      </c>
      <c r="BS362" s="27" t="s">
        <v>8</v>
      </c>
      <c r="BT362" s="27" t="s">
        <v>7</v>
      </c>
      <c r="BU362" s="27" t="s">
        <v>8</v>
      </c>
      <c r="BV362" s="27" t="s">
        <v>7</v>
      </c>
      <c r="CI362" s="27" t="s">
        <v>8</v>
      </c>
      <c r="CJ362" s="27" t="s">
        <v>7</v>
      </c>
      <c r="CK362" s="27" t="s">
        <v>8</v>
      </c>
      <c r="CL362" s="27" t="s">
        <v>7</v>
      </c>
      <c r="CM362" s="27" t="s">
        <v>8</v>
      </c>
      <c r="CN362" s="27" t="s">
        <v>7</v>
      </c>
      <c r="DF362" s="27" t="s">
        <v>7</v>
      </c>
      <c r="DG362" s="27" t="s">
        <v>8</v>
      </c>
      <c r="DL362" s="27" t="s">
        <v>7</v>
      </c>
      <c r="DM362" s="27" t="s">
        <v>8</v>
      </c>
      <c r="DP362" s="27" t="s">
        <v>7</v>
      </c>
      <c r="DQ362" s="27" t="s">
        <v>8</v>
      </c>
      <c r="DR362" s="27" t="s">
        <v>7</v>
      </c>
      <c r="IU362" s="27" t="s">
        <v>8</v>
      </c>
      <c r="IV362" s="27" t="s">
        <v>7</v>
      </c>
      <c r="IW362" s="27" t="s">
        <v>8</v>
      </c>
      <c r="IX362" s="27" t="s">
        <v>7</v>
      </c>
      <c r="IY362" s="27" t="s">
        <v>8</v>
      </c>
      <c r="IZ362" s="27" t="s">
        <v>7</v>
      </c>
      <c r="JA362" s="27" t="s">
        <v>8</v>
      </c>
      <c r="JB362" s="27" t="s">
        <v>7</v>
      </c>
      <c r="JC362" s="27" t="s">
        <v>8</v>
      </c>
      <c r="JE362" s="27" t="s">
        <v>8</v>
      </c>
    </row>
    <row r="363" spans="1:427" x14ac:dyDescent="0.25">
      <c r="A363" s="7">
        <v>84.418663978799884</v>
      </c>
      <c r="B363"/>
      <c r="C363"/>
      <c r="D363"/>
      <c r="E363"/>
      <c r="BQ363" s="27" t="s">
        <v>8</v>
      </c>
      <c r="BR363" s="27" t="s">
        <v>7</v>
      </c>
      <c r="BS363" s="27" t="s">
        <v>8</v>
      </c>
      <c r="BT363" s="27" t="s">
        <v>7</v>
      </c>
      <c r="BU363" s="27" t="s">
        <v>8</v>
      </c>
      <c r="BV363" s="27" t="s">
        <v>7</v>
      </c>
      <c r="CI363" s="27" t="s">
        <v>8</v>
      </c>
      <c r="CJ363" s="27" t="s">
        <v>7</v>
      </c>
      <c r="CL363" s="27" t="s">
        <v>7</v>
      </c>
      <c r="DF363" s="27" t="s">
        <v>7</v>
      </c>
      <c r="DG363" s="27" t="s">
        <v>8</v>
      </c>
      <c r="DL363" s="27" t="s">
        <v>7</v>
      </c>
      <c r="DP363" s="27" t="s">
        <v>7</v>
      </c>
      <c r="DQ363" s="27" t="s">
        <v>8</v>
      </c>
      <c r="DR363" s="27" t="s">
        <v>7</v>
      </c>
      <c r="IU363" s="27" t="s">
        <v>8</v>
      </c>
      <c r="IV363" s="27" t="s">
        <v>7</v>
      </c>
      <c r="IW363" s="27" t="s">
        <v>8</v>
      </c>
      <c r="IX363" s="27" t="s">
        <v>7</v>
      </c>
      <c r="IY363" s="27" t="s">
        <v>8</v>
      </c>
      <c r="IZ363" s="27" t="s">
        <v>7</v>
      </c>
      <c r="JA363" s="27" t="s">
        <v>8</v>
      </c>
      <c r="JB363" s="27" t="s">
        <v>7</v>
      </c>
      <c r="JC363" s="27" t="s">
        <v>8</v>
      </c>
      <c r="JD363" s="27" t="s">
        <v>7</v>
      </c>
      <c r="JE363" s="27" t="s">
        <v>8</v>
      </c>
    </row>
    <row r="364" spans="1:427" x14ac:dyDescent="0.25">
      <c r="A364" s="7">
        <v>82.763396057646943</v>
      </c>
      <c r="B364"/>
      <c r="C364"/>
      <c r="D364"/>
      <c r="E364"/>
      <c r="BQ364" s="27" t="s">
        <v>8</v>
      </c>
      <c r="BR364" s="27" t="s">
        <v>7</v>
      </c>
      <c r="BS364" s="27" t="s">
        <v>8</v>
      </c>
      <c r="BT364" s="27" t="s">
        <v>7</v>
      </c>
      <c r="BV364" s="27" t="s">
        <v>7</v>
      </c>
      <c r="BW364" s="27" t="s">
        <v>8</v>
      </c>
      <c r="BY364" s="27" t="s">
        <v>8</v>
      </c>
      <c r="CI364" s="27" t="s">
        <v>8</v>
      </c>
      <c r="DF364" s="27" t="s">
        <v>7</v>
      </c>
      <c r="DG364" s="27" t="s">
        <v>8</v>
      </c>
      <c r="DP364" s="27" t="s">
        <v>7</v>
      </c>
      <c r="DR364" s="27" t="s">
        <v>7</v>
      </c>
      <c r="FO364" s="27" t="s">
        <v>8</v>
      </c>
      <c r="FQ364" s="27" t="s">
        <v>8</v>
      </c>
      <c r="IU364" s="27" t="s">
        <v>8</v>
      </c>
      <c r="IV364" s="27" t="s">
        <v>7</v>
      </c>
      <c r="IW364" s="27" t="s">
        <v>8</v>
      </c>
      <c r="IX364" s="27" t="s">
        <v>7</v>
      </c>
      <c r="IY364" s="27" t="s">
        <v>8</v>
      </c>
      <c r="IZ364" s="27" t="s">
        <v>7</v>
      </c>
      <c r="JB364" s="27" t="s">
        <v>7</v>
      </c>
      <c r="JC364" s="27" t="s">
        <v>8</v>
      </c>
      <c r="JD364" s="27" t="s">
        <v>7</v>
      </c>
      <c r="JE364" s="27" t="s">
        <v>8</v>
      </c>
    </row>
    <row r="365" spans="1:427" x14ac:dyDescent="0.25">
      <c r="A365" s="7">
        <v>81.140584370242095</v>
      </c>
      <c r="B365"/>
      <c r="C365"/>
      <c r="D365"/>
      <c r="E365"/>
      <c r="BQ365" s="27" t="s">
        <v>8</v>
      </c>
      <c r="BR365" s="27" t="s">
        <v>7</v>
      </c>
      <c r="BV365" s="27" t="s">
        <v>7</v>
      </c>
      <c r="BW365" s="27" t="s">
        <v>8</v>
      </c>
      <c r="BX365" s="27" t="s">
        <v>7</v>
      </c>
      <c r="BY365" s="27" t="s">
        <v>8</v>
      </c>
      <c r="BZ365" s="27" t="s">
        <v>7</v>
      </c>
      <c r="CE365" s="27" t="s">
        <v>8</v>
      </c>
      <c r="CI365" s="27" t="s">
        <v>8</v>
      </c>
      <c r="DF365" s="27" t="s">
        <v>7</v>
      </c>
      <c r="DG365" s="27" t="s">
        <v>8</v>
      </c>
      <c r="DR365" s="27" t="s">
        <v>7</v>
      </c>
      <c r="FO365" s="27" t="s">
        <v>8</v>
      </c>
      <c r="FP365" s="27" t="s">
        <v>7</v>
      </c>
      <c r="FQ365" s="27" t="s">
        <v>8</v>
      </c>
      <c r="FR365" s="27" t="s">
        <v>7</v>
      </c>
      <c r="IU365" s="27" t="s">
        <v>8</v>
      </c>
      <c r="IV365" s="27" t="s">
        <v>7</v>
      </c>
      <c r="IW365" s="27" t="s">
        <v>8</v>
      </c>
      <c r="IX365" s="27" t="s">
        <v>7</v>
      </c>
      <c r="IY365" s="27" t="s">
        <v>8</v>
      </c>
      <c r="JB365" s="27" t="s">
        <v>7</v>
      </c>
      <c r="JC365" s="27" t="s">
        <v>8</v>
      </c>
      <c r="JD365" s="27" t="s">
        <v>7</v>
      </c>
      <c r="JE365" s="27" t="s">
        <v>8</v>
      </c>
    </row>
    <row r="366" spans="1:427" x14ac:dyDescent="0.25">
      <c r="A366" s="7">
        <v>79.549592519845191</v>
      </c>
      <c r="B366"/>
      <c r="C366"/>
      <c r="D366"/>
      <c r="E366"/>
      <c r="BQ366" s="27" t="s">
        <v>8</v>
      </c>
      <c r="BV366" s="27" t="s">
        <v>7</v>
      </c>
      <c r="BW366" s="27" t="s">
        <v>8</v>
      </c>
      <c r="BX366" s="27" t="s">
        <v>7</v>
      </c>
      <c r="BY366" s="27" t="s">
        <v>8</v>
      </c>
      <c r="BZ366" s="27" t="s">
        <v>7</v>
      </c>
      <c r="CE366" s="27" t="s">
        <v>8</v>
      </c>
      <c r="CF366" s="27" t="s">
        <v>7</v>
      </c>
      <c r="CI366" s="27" t="s">
        <v>8</v>
      </c>
      <c r="DF366" s="27" t="s">
        <v>7</v>
      </c>
      <c r="DG366" s="27" t="s">
        <v>8</v>
      </c>
      <c r="DR366" s="27" t="s">
        <v>7</v>
      </c>
      <c r="EC366" s="27" t="s">
        <v>8</v>
      </c>
      <c r="FO366" s="27" t="s">
        <v>8</v>
      </c>
      <c r="FP366" s="27" t="s">
        <v>7</v>
      </c>
      <c r="FQ366" s="27" t="s">
        <v>8</v>
      </c>
      <c r="FR366" s="27" t="s">
        <v>7</v>
      </c>
      <c r="FU366" s="27" t="s">
        <v>8</v>
      </c>
      <c r="IU366" s="27" t="s">
        <v>8</v>
      </c>
      <c r="IV366" s="27" t="s">
        <v>7</v>
      </c>
      <c r="IW366" s="27" t="s">
        <v>8</v>
      </c>
      <c r="IX366" s="27" t="s">
        <v>7</v>
      </c>
      <c r="IY366" s="27" t="s">
        <v>8</v>
      </c>
      <c r="JB366" s="27" t="s">
        <v>7</v>
      </c>
      <c r="JC366" s="27" t="s">
        <v>8</v>
      </c>
      <c r="JD366" s="27" t="s">
        <v>7</v>
      </c>
      <c r="JE366" s="27" t="s">
        <v>8</v>
      </c>
    </row>
    <row r="367" spans="1:427" x14ac:dyDescent="0.25">
      <c r="A367" s="7">
        <v>77.989796588083522</v>
      </c>
      <c r="B367"/>
      <c r="C367"/>
      <c r="D367"/>
      <c r="E367"/>
      <c r="BQ367" s="27" t="s">
        <v>8</v>
      </c>
      <c r="BV367" s="27" t="s">
        <v>7</v>
      </c>
      <c r="BW367" s="27" t="s">
        <v>8</v>
      </c>
      <c r="BX367" s="27" t="s">
        <v>7</v>
      </c>
      <c r="BY367" s="27" t="s">
        <v>8</v>
      </c>
      <c r="BZ367" s="27" t="s">
        <v>7</v>
      </c>
      <c r="CA367" s="27" t="s">
        <v>8</v>
      </c>
      <c r="CE367" s="27" t="s">
        <v>8</v>
      </c>
      <c r="CF367" s="27" t="s">
        <v>7</v>
      </c>
      <c r="CG367" s="27" t="s">
        <v>8</v>
      </c>
      <c r="CI367" s="27" t="s">
        <v>8</v>
      </c>
      <c r="DF367" s="27" t="s">
        <v>7</v>
      </c>
      <c r="DG367" s="27" t="s">
        <v>8</v>
      </c>
      <c r="DR367" s="27" t="s">
        <v>7</v>
      </c>
      <c r="DS367" s="27" t="s">
        <v>8</v>
      </c>
      <c r="EC367" s="27" t="s">
        <v>8</v>
      </c>
      <c r="ED367" s="27" t="s">
        <v>7</v>
      </c>
      <c r="FM367" s="27" t="s">
        <v>8</v>
      </c>
      <c r="FO367" s="27" t="s">
        <v>8</v>
      </c>
      <c r="FP367" s="27" t="s">
        <v>7</v>
      </c>
      <c r="FR367" s="27" t="s">
        <v>7</v>
      </c>
      <c r="FS367" s="27" t="s">
        <v>8</v>
      </c>
      <c r="FU367" s="27" t="s">
        <v>8</v>
      </c>
      <c r="FV367" s="27" t="s">
        <v>7</v>
      </c>
      <c r="IU367" s="27" t="s">
        <v>8</v>
      </c>
      <c r="IV367" s="27" t="s">
        <v>7</v>
      </c>
      <c r="IX367" s="27" t="s">
        <v>7</v>
      </c>
      <c r="IY367" s="27" t="s">
        <v>8</v>
      </c>
      <c r="JB367" s="27" t="s">
        <v>7</v>
      </c>
      <c r="JD367" s="27" t="s">
        <v>7</v>
      </c>
      <c r="JE367" s="27" t="s">
        <v>8</v>
      </c>
    </row>
    <row r="368" spans="1:427" x14ac:dyDescent="0.25">
      <c r="A368" s="7">
        <v>76.460584890277957</v>
      </c>
      <c r="B368"/>
      <c r="C368"/>
      <c r="D368"/>
      <c r="E368"/>
      <c r="BQ368" s="27" t="s">
        <v>8</v>
      </c>
      <c r="BV368" s="27" t="s">
        <v>7</v>
      </c>
      <c r="BW368" s="27" t="s">
        <v>8</v>
      </c>
      <c r="BX368" s="27" t="s">
        <v>7</v>
      </c>
      <c r="BZ368" s="27" t="s">
        <v>7</v>
      </c>
      <c r="CA368" s="27" t="s">
        <v>8</v>
      </c>
      <c r="CB368" s="27" t="s">
        <v>7</v>
      </c>
      <c r="CC368" s="27" t="s">
        <v>8</v>
      </c>
      <c r="CE368" s="27" t="s">
        <v>8</v>
      </c>
      <c r="CF368" s="27" t="s">
        <v>7</v>
      </c>
      <c r="CG368" s="27" t="s">
        <v>8</v>
      </c>
      <c r="CH368" s="27" t="s">
        <v>7</v>
      </c>
      <c r="CI368" s="27" t="s">
        <v>8</v>
      </c>
      <c r="DF368" s="27" t="s">
        <v>7</v>
      </c>
      <c r="DG368" s="27" t="s">
        <v>8</v>
      </c>
      <c r="DR368" s="27" t="s">
        <v>7</v>
      </c>
      <c r="DS368" s="27" t="s">
        <v>8</v>
      </c>
      <c r="DT368" s="27" t="s">
        <v>7</v>
      </c>
      <c r="EC368" s="27" t="s">
        <v>8</v>
      </c>
      <c r="ED368" s="27" t="s">
        <v>7</v>
      </c>
      <c r="FM368" s="27" t="s">
        <v>8</v>
      </c>
      <c r="FN368" s="27" t="s">
        <v>7</v>
      </c>
      <c r="FO368" s="27" t="s">
        <v>8</v>
      </c>
      <c r="FR368" s="27" t="s">
        <v>7</v>
      </c>
      <c r="FS368" s="27" t="s">
        <v>8</v>
      </c>
      <c r="FT368" s="27" t="s">
        <v>7</v>
      </c>
      <c r="FU368" s="27" t="s">
        <v>8</v>
      </c>
      <c r="FV368" s="27" t="s">
        <v>7</v>
      </c>
      <c r="IS368" s="27" t="s">
        <v>8</v>
      </c>
      <c r="IU368" s="27" t="s">
        <v>8</v>
      </c>
      <c r="IX368" s="27" t="s">
        <v>7</v>
      </c>
      <c r="IY368" s="27" t="s">
        <v>8</v>
      </c>
      <c r="JD368" s="27" t="s">
        <v>7</v>
      </c>
      <c r="JE368" s="27" t="s">
        <v>8</v>
      </c>
    </row>
    <row r="369" spans="1:265" x14ac:dyDescent="0.25">
      <c r="A369" s="7">
        <v>74.961357735566622</v>
      </c>
      <c r="B369"/>
      <c r="C369"/>
      <c r="D369"/>
      <c r="E369"/>
      <c r="BQ369" s="27" t="s">
        <v>8</v>
      </c>
      <c r="BV369" s="27" t="s">
        <v>7</v>
      </c>
      <c r="BZ369" s="27" t="s">
        <v>7</v>
      </c>
      <c r="CA369" s="27" t="s">
        <v>8</v>
      </c>
      <c r="CB369" s="27" t="s">
        <v>7</v>
      </c>
      <c r="CC369" s="27" t="s">
        <v>8</v>
      </c>
      <c r="CD369" s="27" t="s">
        <v>7</v>
      </c>
      <c r="CE369" s="27" t="s">
        <v>8</v>
      </c>
      <c r="CF369" s="27" t="s">
        <v>7</v>
      </c>
      <c r="CG369" s="27" t="s">
        <v>8</v>
      </c>
      <c r="CH369" s="27" t="s">
        <v>7</v>
      </c>
      <c r="CI369" s="27" t="s">
        <v>8</v>
      </c>
      <c r="DF369" s="27" t="s">
        <v>7</v>
      </c>
      <c r="DG369" s="27" t="s">
        <v>8</v>
      </c>
      <c r="DR369" s="27" t="s">
        <v>7</v>
      </c>
      <c r="DS369" s="27" t="s">
        <v>8</v>
      </c>
      <c r="DT369" s="27" t="s">
        <v>7</v>
      </c>
      <c r="DU369" s="27" t="s">
        <v>8</v>
      </c>
      <c r="DW369" s="27" t="s">
        <v>8</v>
      </c>
      <c r="EC369" s="27" t="s">
        <v>8</v>
      </c>
      <c r="ED369" s="27" t="s">
        <v>7</v>
      </c>
      <c r="FM369" s="27" t="s">
        <v>8</v>
      </c>
      <c r="FN369" s="27" t="s">
        <v>7</v>
      </c>
      <c r="FO369" s="27" t="s">
        <v>8</v>
      </c>
      <c r="FR369" s="27" t="s">
        <v>7</v>
      </c>
      <c r="FS369" s="27" t="s">
        <v>8</v>
      </c>
      <c r="FT369" s="27" t="s">
        <v>7</v>
      </c>
      <c r="FU369" s="27" t="s">
        <v>8</v>
      </c>
      <c r="FV369" s="27" t="s">
        <v>7</v>
      </c>
      <c r="IS369" s="27" t="s">
        <v>8</v>
      </c>
      <c r="IT369" s="27" t="s">
        <v>7</v>
      </c>
      <c r="IU369" s="27" t="s">
        <v>8</v>
      </c>
      <c r="IX369" s="27" t="s">
        <v>7</v>
      </c>
      <c r="IY369" s="27" t="s">
        <v>8</v>
      </c>
      <c r="JD369" s="27" t="s">
        <v>7</v>
      </c>
      <c r="JE369" s="27" t="s">
        <v>8</v>
      </c>
    </row>
    <row r="370" spans="1:265" x14ac:dyDescent="0.25">
      <c r="A370" s="7">
        <v>73.491527191731976</v>
      </c>
      <c r="B370"/>
      <c r="C370"/>
      <c r="D370"/>
      <c r="E370"/>
      <c r="BQ370" s="27" t="s">
        <v>8</v>
      </c>
      <c r="BZ370" s="27" t="s">
        <v>7</v>
      </c>
      <c r="CB370" s="27" t="s">
        <v>7</v>
      </c>
      <c r="CC370" s="27" t="s">
        <v>8</v>
      </c>
      <c r="CD370" s="27" t="s">
        <v>7</v>
      </c>
      <c r="CE370" s="27" t="s">
        <v>8</v>
      </c>
      <c r="CF370" s="27" t="s">
        <v>7</v>
      </c>
      <c r="CG370" s="27" t="s">
        <v>8</v>
      </c>
      <c r="CH370" s="27" t="s">
        <v>7</v>
      </c>
      <c r="DF370" s="27" t="s">
        <v>7</v>
      </c>
      <c r="DG370" s="27" t="s">
        <v>8</v>
      </c>
      <c r="DR370" s="27" t="s">
        <v>7</v>
      </c>
      <c r="DS370" s="27" t="s">
        <v>8</v>
      </c>
      <c r="DT370" s="27" t="s">
        <v>7</v>
      </c>
      <c r="DU370" s="27" t="s">
        <v>8</v>
      </c>
      <c r="DV370" s="27" t="s">
        <v>7</v>
      </c>
      <c r="DW370" s="27" t="s">
        <v>8</v>
      </c>
      <c r="DX370" s="27" t="s">
        <v>7</v>
      </c>
      <c r="EC370" s="27" t="s">
        <v>8</v>
      </c>
      <c r="ED370" s="27" t="s">
        <v>7</v>
      </c>
      <c r="FK370" s="27" t="s">
        <v>8</v>
      </c>
      <c r="FM370" s="27" t="s">
        <v>8</v>
      </c>
      <c r="FN370" s="27" t="s">
        <v>7</v>
      </c>
      <c r="FR370" s="27" t="s">
        <v>7</v>
      </c>
      <c r="FS370" s="27" t="s">
        <v>8</v>
      </c>
      <c r="FT370" s="27" t="s">
        <v>7</v>
      </c>
      <c r="FU370" s="27" t="s">
        <v>8</v>
      </c>
      <c r="FV370" s="27" t="s">
        <v>7</v>
      </c>
      <c r="IS370" s="27" t="s">
        <v>8</v>
      </c>
      <c r="IT370" s="27" t="s">
        <v>7</v>
      </c>
      <c r="IU370" s="27" t="s">
        <v>8</v>
      </c>
      <c r="IX370" s="27" t="s">
        <v>7</v>
      </c>
      <c r="IY370" s="27" t="s">
        <v>8</v>
      </c>
      <c r="JD370" s="27" t="s">
        <v>7</v>
      </c>
      <c r="JE370" s="27" t="s">
        <v>8</v>
      </c>
    </row>
    <row r="371" spans="1:265" x14ac:dyDescent="0.25">
      <c r="A371" s="7">
        <v>72.050516854639184</v>
      </c>
      <c r="B371"/>
      <c r="C371"/>
      <c r="D371"/>
      <c r="E371"/>
      <c r="BQ371" s="27" t="s">
        <v>8</v>
      </c>
      <c r="CB371" s="27" t="s">
        <v>7</v>
      </c>
      <c r="CC371" s="27" t="s">
        <v>8</v>
      </c>
      <c r="CD371" s="27" t="s">
        <v>7</v>
      </c>
      <c r="CE371" s="27" t="s">
        <v>8</v>
      </c>
      <c r="CF371" s="27" t="s">
        <v>7</v>
      </c>
      <c r="DF371" s="27" t="s">
        <v>7</v>
      </c>
      <c r="DR371" s="27" t="s">
        <v>7</v>
      </c>
      <c r="DT371" s="27" t="s">
        <v>7</v>
      </c>
      <c r="DU371" s="27" t="s">
        <v>8</v>
      </c>
      <c r="DV371" s="27" t="s">
        <v>7</v>
      </c>
      <c r="DW371" s="27" t="s">
        <v>8</v>
      </c>
      <c r="DX371" s="27" t="s">
        <v>7</v>
      </c>
      <c r="EA371" s="27" t="s">
        <v>8</v>
      </c>
      <c r="EC371" s="27" t="s">
        <v>8</v>
      </c>
      <c r="ED371" s="27" t="s">
        <v>7</v>
      </c>
      <c r="FK371" s="27" t="s">
        <v>8</v>
      </c>
      <c r="FL371" s="27" t="s">
        <v>7</v>
      </c>
      <c r="FM371" s="27" t="s">
        <v>8</v>
      </c>
      <c r="FR371" s="27" t="s">
        <v>7</v>
      </c>
      <c r="FS371" s="27" t="s">
        <v>8</v>
      </c>
      <c r="FT371" s="27" t="s">
        <v>7</v>
      </c>
      <c r="FU371" s="27" t="s">
        <v>8</v>
      </c>
      <c r="FV371" s="27" t="s">
        <v>7</v>
      </c>
      <c r="IS371" s="27" t="s">
        <v>8</v>
      </c>
      <c r="IT371" s="27" t="s">
        <v>7</v>
      </c>
      <c r="IU371" s="27" t="s">
        <v>8</v>
      </c>
      <c r="IX371" s="27" t="s">
        <v>7</v>
      </c>
      <c r="IY371" s="27" t="s">
        <v>8</v>
      </c>
      <c r="JD371" s="27" t="s">
        <v>7</v>
      </c>
      <c r="JE371" s="27" t="s">
        <v>8</v>
      </c>
    </row>
    <row r="372" spans="1:265" x14ac:dyDescent="0.25">
      <c r="A372" s="7">
        <v>70.637761622195271</v>
      </c>
      <c r="B372"/>
      <c r="C372"/>
      <c r="D372"/>
      <c r="E372"/>
      <c r="BQ372" s="27" t="s">
        <v>8</v>
      </c>
      <c r="CB372" s="27" t="s">
        <v>7</v>
      </c>
      <c r="CD372" s="27" t="s">
        <v>7</v>
      </c>
      <c r="CE372" s="27" t="s">
        <v>8</v>
      </c>
      <c r="DT372" s="27" t="s">
        <v>7</v>
      </c>
      <c r="DV372" s="27" t="s">
        <v>7</v>
      </c>
      <c r="DX372" s="27" t="s">
        <v>7</v>
      </c>
      <c r="DY372" s="27" t="s">
        <v>8</v>
      </c>
      <c r="EA372" s="27" t="s">
        <v>8</v>
      </c>
      <c r="EB372" s="27" t="s">
        <v>7</v>
      </c>
      <c r="EC372" s="27" t="s">
        <v>8</v>
      </c>
      <c r="ED372" s="27" t="s">
        <v>7</v>
      </c>
      <c r="FK372" s="27" t="s">
        <v>8</v>
      </c>
      <c r="FL372" s="27" t="s">
        <v>7</v>
      </c>
      <c r="FM372" s="27" t="s">
        <v>8</v>
      </c>
      <c r="FR372" s="27" t="s">
        <v>7</v>
      </c>
      <c r="FS372" s="27" t="s">
        <v>8</v>
      </c>
      <c r="FT372" s="27" t="s">
        <v>7</v>
      </c>
      <c r="FU372" s="27" t="s">
        <v>8</v>
      </c>
      <c r="FV372" s="27" t="s">
        <v>7</v>
      </c>
      <c r="IS372" s="27" t="s">
        <v>8</v>
      </c>
      <c r="IT372" s="27" t="s">
        <v>7</v>
      </c>
      <c r="IU372" s="27" t="s">
        <v>8</v>
      </c>
      <c r="IX372" s="27" t="s">
        <v>7</v>
      </c>
      <c r="IY372" s="27" t="s">
        <v>8</v>
      </c>
      <c r="JD372" s="27" t="s">
        <v>7</v>
      </c>
    </row>
    <row r="373" spans="1:265" x14ac:dyDescent="0.25">
      <c r="A373" s="7">
        <v>69.252707472740454</v>
      </c>
      <c r="B373"/>
      <c r="C373"/>
      <c r="D373"/>
      <c r="E373"/>
      <c r="BQ373" s="27" t="s">
        <v>8</v>
      </c>
      <c r="CD373" s="27" t="s">
        <v>7</v>
      </c>
      <c r="CE373" s="27" t="s">
        <v>8</v>
      </c>
      <c r="DX373" s="27" t="s">
        <v>7</v>
      </c>
      <c r="DY373" s="27" t="s">
        <v>8</v>
      </c>
      <c r="DZ373" s="27" t="s">
        <v>7</v>
      </c>
      <c r="EA373" s="27" t="s">
        <v>8</v>
      </c>
      <c r="EB373" s="27" t="s">
        <v>7</v>
      </c>
      <c r="EC373" s="27" t="s">
        <v>8</v>
      </c>
      <c r="ED373" s="27" t="s">
        <v>7</v>
      </c>
      <c r="FK373" s="27" t="s">
        <v>8</v>
      </c>
      <c r="FL373" s="27" t="s">
        <v>7</v>
      </c>
      <c r="FM373" s="27" t="s">
        <v>8</v>
      </c>
      <c r="FR373" s="27" t="s">
        <v>7</v>
      </c>
      <c r="FS373" s="27" t="s">
        <v>8</v>
      </c>
      <c r="FT373" s="27" t="s">
        <v>7</v>
      </c>
      <c r="FU373" s="27" t="s">
        <v>8</v>
      </c>
      <c r="FV373" s="27" t="s">
        <v>7</v>
      </c>
      <c r="IS373" s="27" t="s">
        <v>8</v>
      </c>
      <c r="IT373" s="27" t="s">
        <v>7</v>
      </c>
      <c r="IU373" s="27" t="s">
        <v>8</v>
      </c>
      <c r="IX373" s="27" t="s">
        <v>7</v>
      </c>
      <c r="IY373" s="27" t="s">
        <v>8</v>
      </c>
    </row>
    <row r="374" spans="1:265" x14ac:dyDescent="0.25">
      <c r="A374" s="7">
        <v>67.894811247784759</v>
      </c>
      <c r="B374"/>
      <c r="C374"/>
      <c r="D374"/>
      <c r="E374"/>
      <c r="BQ374" s="27" t="s">
        <v>8</v>
      </c>
      <c r="CD374" s="27" t="s">
        <v>7</v>
      </c>
      <c r="CE374" s="27" t="s">
        <v>8</v>
      </c>
      <c r="DX374" s="27" t="s">
        <v>7</v>
      </c>
      <c r="DY374" s="27" t="s">
        <v>8</v>
      </c>
      <c r="DZ374" s="27" t="s">
        <v>7</v>
      </c>
      <c r="EA374" s="27" t="s">
        <v>8</v>
      </c>
      <c r="EB374" s="27" t="s">
        <v>7</v>
      </c>
      <c r="ED374" s="27" t="s">
        <v>7</v>
      </c>
      <c r="FK374" s="27" t="s">
        <v>8</v>
      </c>
      <c r="FL374" s="27" t="s">
        <v>7</v>
      </c>
      <c r="FR374" s="27" t="s">
        <v>7</v>
      </c>
      <c r="FT374" s="27" t="s">
        <v>7</v>
      </c>
      <c r="FU374" s="27" t="s">
        <v>8</v>
      </c>
      <c r="FV374" s="27" t="s">
        <v>7</v>
      </c>
      <c r="HQ374" s="27" t="s">
        <v>8</v>
      </c>
      <c r="IS374" s="27" t="s">
        <v>8</v>
      </c>
      <c r="IT374" s="27" t="s">
        <v>7</v>
      </c>
      <c r="IX374" s="27" t="s">
        <v>7</v>
      </c>
      <c r="IY374" s="27" t="s">
        <v>8</v>
      </c>
    </row>
    <row r="375" spans="1:265" x14ac:dyDescent="0.25">
      <c r="A375" s="7">
        <v>66.563540439004669</v>
      </c>
      <c r="B375"/>
      <c r="C375"/>
      <c r="D375"/>
      <c r="E375"/>
      <c r="BQ375" s="27" t="s">
        <v>8</v>
      </c>
      <c r="CD375" s="27" t="s">
        <v>7</v>
      </c>
      <c r="DX375" s="27" t="s">
        <v>7</v>
      </c>
      <c r="DY375" s="27" t="s">
        <v>8</v>
      </c>
      <c r="DZ375" s="27" t="s">
        <v>7</v>
      </c>
      <c r="EA375" s="27" t="s">
        <v>8</v>
      </c>
      <c r="ED375" s="27" t="s">
        <v>7</v>
      </c>
      <c r="FK375" s="27" t="s">
        <v>8</v>
      </c>
      <c r="FT375" s="27" t="s">
        <v>7</v>
      </c>
      <c r="FV375" s="27" t="s">
        <v>7</v>
      </c>
      <c r="HQ375" s="27" t="s">
        <v>8</v>
      </c>
      <c r="HR375" s="27" t="s">
        <v>7</v>
      </c>
      <c r="IQ375" s="27" t="s">
        <v>8</v>
      </c>
      <c r="IS375" s="27" t="s">
        <v>8</v>
      </c>
      <c r="IX375" s="27" t="s">
        <v>7</v>
      </c>
      <c r="IY375" s="27" t="s">
        <v>8</v>
      </c>
    </row>
    <row r="376" spans="1:265" x14ac:dyDescent="0.25">
      <c r="A376" s="7">
        <v>65.258372979416336</v>
      </c>
      <c r="B376"/>
      <c r="C376"/>
      <c r="D376"/>
      <c r="E376"/>
      <c r="BQ376" s="27" t="s">
        <v>8</v>
      </c>
      <c r="DX376" s="27" t="s">
        <v>7</v>
      </c>
      <c r="DY376" s="27" t="s">
        <v>8</v>
      </c>
      <c r="DZ376" s="27" t="s">
        <v>7</v>
      </c>
      <c r="EA376" s="27" t="s">
        <v>8</v>
      </c>
      <c r="ED376" s="27" t="s">
        <v>7</v>
      </c>
      <c r="ES376" s="27" t="s">
        <v>8</v>
      </c>
      <c r="FK376" s="27" t="s">
        <v>8</v>
      </c>
      <c r="FV376" s="27" t="s">
        <v>7</v>
      </c>
      <c r="HQ376" s="27" t="s">
        <v>8</v>
      </c>
      <c r="HR376" s="27" t="s">
        <v>7</v>
      </c>
      <c r="IQ376" s="27" t="s">
        <v>8</v>
      </c>
      <c r="IR376" s="27" t="s">
        <v>7</v>
      </c>
      <c r="IS376" s="27" t="s">
        <v>8</v>
      </c>
      <c r="IX376" s="27" t="s">
        <v>7</v>
      </c>
    </row>
    <row r="377" spans="1:265" x14ac:dyDescent="0.25">
      <c r="A377" s="7">
        <v>63.978797038643471</v>
      </c>
      <c r="B377"/>
      <c r="C377"/>
      <c r="D377"/>
      <c r="E377"/>
      <c r="BQ377" s="27" t="s">
        <v>8</v>
      </c>
      <c r="DX377" s="27" t="s">
        <v>7</v>
      </c>
      <c r="DY377" s="27" t="s">
        <v>8</v>
      </c>
      <c r="DZ377" s="27" t="s">
        <v>7</v>
      </c>
      <c r="ED377" s="27" t="s">
        <v>7</v>
      </c>
      <c r="EQ377" s="27" t="s">
        <v>8</v>
      </c>
      <c r="ES377" s="27" t="s">
        <v>8</v>
      </c>
      <c r="ET377" s="27" t="s">
        <v>7</v>
      </c>
      <c r="FK377" s="27" t="s">
        <v>8</v>
      </c>
      <c r="FV377" s="27" t="s">
        <v>7</v>
      </c>
      <c r="FW377" s="27" t="s">
        <v>8</v>
      </c>
      <c r="HK377" s="27" t="s">
        <v>8</v>
      </c>
      <c r="HQ377" s="27" t="s">
        <v>8</v>
      </c>
      <c r="HR377" s="27" t="s">
        <v>7</v>
      </c>
      <c r="HW377" s="27" t="s">
        <v>8</v>
      </c>
      <c r="IO377" s="27" t="s">
        <v>8</v>
      </c>
      <c r="IQ377" s="27" t="s">
        <v>8</v>
      </c>
      <c r="IR377" s="27" t="s">
        <v>7</v>
      </c>
      <c r="IS377" s="27" t="s">
        <v>8</v>
      </c>
    </row>
    <row r="378" spans="1:265" x14ac:dyDescent="0.25">
      <c r="A378" s="7">
        <v>62.724310822199477</v>
      </c>
      <c r="B378"/>
      <c r="C378"/>
      <c r="D378"/>
      <c r="E378"/>
      <c r="BQ378" s="27" t="s">
        <v>8</v>
      </c>
      <c r="DX378" s="27" t="s">
        <v>7</v>
      </c>
      <c r="ED378" s="27" t="s">
        <v>7</v>
      </c>
      <c r="EM378" s="27" t="s">
        <v>8</v>
      </c>
      <c r="EQ378" s="27" t="s">
        <v>8</v>
      </c>
      <c r="ER378" s="27" t="s">
        <v>7</v>
      </c>
      <c r="ES378" s="27" t="s">
        <v>8</v>
      </c>
      <c r="ET378" s="27" t="s">
        <v>7</v>
      </c>
      <c r="FG378" s="27" t="s">
        <v>8</v>
      </c>
      <c r="FK378" s="27" t="s">
        <v>8</v>
      </c>
      <c r="FV378" s="27" t="s">
        <v>7</v>
      </c>
      <c r="FW378" s="27" t="s">
        <v>8</v>
      </c>
      <c r="FX378" s="27" t="s">
        <v>7</v>
      </c>
      <c r="GA378" s="27" t="s">
        <v>8</v>
      </c>
      <c r="HK378" s="27" t="s">
        <v>8</v>
      </c>
      <c r="HL378" s="27" t="s">
        <v>7</v>
      </c>
      <c r="HQ378" s="27" t="s">
        <v>8</v>
      </c>
      <c r="HR378" s="27" t="s">
        <v>7</v>
      </c>
      <c r="HS378" s="27" t="s">
        <v>8</v>
      </c>
      <c r="HU378" s="27" t="s">
        <v>8</v>
      </c>
      <c r="HW378" s="27" t="s">
        <v>8</v>
      </c>
      <c r="HX378" s="27" t="s">
        <v>7</v>
      </c>
      <c r="IO378" s="27" t="s">
        <v>8</v>
      </c>
      <c r="IP378" s="27" t="s">
        <v>7</v>
      </c>
      <c r="IQ378" s="27" t="s">
        <v>8</v>
      </c>
      <c r="IR378" s="27" t="s">
        <v>7</v>
      </c>
      <c r="IS378" s="27" t="s">
        <v>8</v>
      </c>
    </row>
    <row r="379" spans="1:265" x14ac:dyDescent="0.25">
      <c r="A379" s="7">
        <v>61.494422374705366</v>
      </c>
      <c r="B379"/>
      <c r="C379"/>
      <c r="D379"/>
      <c r="E379"/>
      <c r="BM379" s="27" t="s">
        <v>8</v>
      </c>
      <c r="BO379" s="27" t="s">
        <v>8</v>
      </c>
      <c r="BQ379" s="27" t="s">
        <v>8</v>
      </c>
      <c r="ED379" s="27" t="s">
        <v>7</v>
      </c>
      <c r="EM379" s="27" t="s">
        <v>8</v>
      </c>
      <c r="EN379" s="27" t="s">
        <v>7</v>
      </c>
      <c r="EO379" s="27" t="s">
        <v>8</v>
      </c>
      <c r="EQ379" s="27" t="s">
        <v>8</v>
      </c>
      <c r="ER379" s="27" t="s">
        <v>7</v>
      </c>
      <c r="ES379" s="27" t="s">
        <v>8</v>
      </c>
      <c r="ET379" s="27" t="s">
        <v>7</v>
      </c>
      <c r="FG379" s="27" t="s">
        <v>8</v>
      </c>
      <c r="FH379" s="27" t="s">
        <v>7</v>
      </c>
      <c r="FK379" s="27" t="s">
        <v>8</v>
      </c>
      <c r="FV379" s="27" t="s">
        <v>7</v>
      </c>
      <c r="FW379" s="27" t="s">
        <v>8</v>
      </c>
      <c r="FX379" s="27" t="s">
        <v>7</v>
      </c>
      <c r="FY379" s="27" t="s">
        <v>8</v>
      </c>
      <c r="GA379" s="27" t="s">
        <v>8</v>
      </c>
      <c r="GB379" s="27" t="s">
        <v>7</v>
      </c>
      <c r="HK379" s="27" t="s">
        <v>8</v>
      </c>
      <c r="HL379" s="27" t="s">
        <v>7</v>
      </c>
      <c r="HQ379" s="27" t="s">
        <v>8</v>
      </c>
      <c r="HR379" s="27" t="s">
        <v>7</v>
      </c>
      <c r="HS379" s="27" t="s">
        <v>8</v>
      </c>
      <c r="HT379" s="27" t="s">
        <v>7</v>
      </c>
      <c r="HU379" s="27" t="s">
        <v>8</v>
      </c>
      <c r="HV379" s="27" t="s">
        <v>7</v>
      </c>
      <c r="HW379" s="27" t="s">
        <v>8</v>
      </c>
      <c r="HX379" s="27" t="s">
        <v>7</v>
      </c>
      <c r="IO379" s="27" t="s">
        <v>8</v>
      </c>
      <c r="IP379" s="27" t="s">
        <v>7</v>
      </c>
      <c r="IQ379" s="27" t="s">
        <v>8</v>
      </c>
      <c r="IR379" s="27" t="s">
        <v>7</v>
      </c>
    </row>
    <row r="380" spans="1:265" x14ac:dyDescent="0.25">
      <c r="A380" s="7">
        <v>60.288649386966043</v>
      </c>
      <c r="B380"/>
      <c r="C380"/>
      <c r="D380"/>
      <c r="E380"/>
      <c r="BM380" s="27" t="s">
        <v>8</v>
      </c>
      <c r="BN380" s="27" t="s">
        <v>7</v>
      </c>
      <c r="BO380" s="27" t="s">
        <v>8</v>
      </c>
      <c r="BP380" s="27" t="s">
        <v>7</v>
      </c>
      <c r="BQ380" s="27" t="s">
        <v>8</v>
      </c>
      <c r="ED380" s="27" t="s">
        <v>7</v>
      </c>
      <c r="EM380" s="27" t="s">
        <v>8</v>
      </c>
      <c r="EN380" s="27" t="s">
        <v>7</v>
      </c>
      <c r="EO380" s="27" t="s">
        <v>8</v>
      </c>
      <c r="EP380" s="27" t="s">
        <v>7</v>
      </c>
      <c r="EQ380" s="27" t="s">
        <v>8</v>
      </c>
      <c r="ER380" s="27" t="s">
        <v>7</v>
      </c>
      <c r="ES380" s="27" t="s">
        <v>8</v>
      </c>
      <c r="ET380" s="27" t="s">
        <v>7</v>
      </c>
      <c r="FE380" s="27" t="s">
        <v>8</v>
      </c>
      <c r="FG380" s="27" t="s">
        <v>8</v>
      </c>
      <c r="FH380" s="27" t="s">
        <v>7</v>
      </c>
      <c r="FK380" s="27" t="s">
        <v>8</v>
      </c>
      <c r="FV380" s="27" t="s">
        <v>7</v>
      </c>
      <c r="FW380" s="27" t="s">
        <v>8</v>
      </c>
      <c r="FX380" s="27" t="s">
        <v>7</v>
      </c>
      <c r="FY380" s="27" t="s">
        <v>8</v>
      </c>
      <c r="FZ380" s="27" t="s">
        <v>7</v>
      </c>
      <c r="GA380" s="27" t="s">
        <v>8</v>
      </c>
      <c r="GB380" s="27" t="s">
        <v>7</v>
      </c>
      <c r="HK380" s="27" t="s">
        <v>8</v>
      </c>
      <c r="HL380" s="27" t="s">
        <v>7</v>
      </c>
      <c r="HM380" s="27" t="s">
        <v>8</v>
      </c>
      <c r="HQ380" s="27" t="s">
        <v>8</v>
      </c>
      <c r="HR380" s="27" t="s">
        <v>7</v>
      </c>
      <c r="HS380" s="27" t="s">
        <v>8</v>
      </c>
      <c r="HT380" s="27" t="s">
        <v>7</v>
      </c>
      <c r="HU380" s="27" t="s">
        <v>8</v>
      </c>
      <c r="HV380" s="27" t="s">
        <v>7</v>
      </c>
      <c r="HW380" s="27" t="s">
        <v>8</v>
      </c>
      <c r="HX380" s="27" t="s">
        <v>7</v>
      </c>
      <c r="IK380" s="27" t="s">
        <v>8</v>
      </c>
      <c r="IO380" s="27" t="s">
        <v>8</v>
      </c>
      <c r="IP380" s="27" t="s">
        <v>7</v>
      </c>
      <c r="IQ380" s="27" t="s">
        <v>8</v>
      </c>
    </row>
    <row r="381" spans="1:265" x14ac:dyDescent="0.25">
      <c r="A381" s="7">
        <v>59.106519006829451</v>
      </c>
      <c r="B381"/>
      <c r="C381"/>
      <c r="D381"/>
      <c r="E381"/>
      <c r="BI381" s="27" t="s">
        <v>8</v>
      </c>
      <c r="BK381" s="27" t="s">
        <v>8</v>
      </c>
      <c r="BM381" s="27" t="s">
        <v>8</v>
      </c>
      <c r="BN381" s="27" t="s">
        <v>7</v>
      </c>
      <c r="BO381" s="27" t="s">
        <v>8</v>
      </c>
      <c r="BP381" s="27" t="s">
        <v>7</v>
      </c>
      <c r="BQ381" s="27" t="s">
        <v>8</v>
      </c>
      <c r="ED381" s="27" t="s">
        <v>7</v>
      </c>
      <c r="EI381" s="27" t="s">
        <v>8</v>
      </c>
      <c r="EM381" s="27" t="s">
        <v>8</v>
      </c>
      <c r="EN381" s="27" t="s">
        <v>7</v>
      </c>
      <c r="EO381" s="27" t="s">
        <v>8</v>
      </c>
      <c r="EP381" s="27" t="s">
        <v>7</v>
      </c>
      <c r="EQ381" s="27" t="s">
        <v>8</v>
      </c>
      <c r="ER381" s="27" t="s">
        <v>7</v>
      </c>
      <c r="ET381" s="27" t="s">
        <v>7</v>
      </c>
      <c r="FE381" s="27" t="s">
        <v>8</v>
      </c>
      <c r="FF381" s="27" t="s">
        <v>7</v>
      </c>
      <c r="FG381" s="27" t="s">
        <v>8</v>
      </c>
      <c r="FH381" s="27" t="s">
        <v>7</v>
      </c>
      <c r="FI381" s="27" t="s">
        <v>8</v>
      </c>
      <c r="FK381" s="27" t="s">
        <v>8</v>
      </c>
      <c r="FV381" s="27" t="s">
        <v>7</v>
      </c>
      <c r="FW381" s="27" t="s">
        <v>8</v>
      </c>
      <c r="FX381" s="27" t="s">
        <v>7</v>
      </c>
      <c r="FY381" s="27" t="s">
        <v>8</v>
      </c>
      <c r="FZ381" s="27" t="s">
        <v>7</v>
      </c>
      <c r="GA381" s="27" t="s">
        <v>8</v>
      </c>
      <c r="GB381" s="27" t="s">
        <v>7</v>
      </c>
      <c r="HK381" s="27" t="s">
        <v>8</v>
      </c>
      <c r="HL381" s="27" t="s">
        <v>7</v>
      </c>
      <c r="HM381" s="27" t="s">
        <v>8</v>
      </c>
      <c r="HN381" s="27" t="s">
        <v>7</v>
      </c>
      <c r="HO381" s="27" t="s">
        <v>8</v>
      </c>
      <c r="HQ381" s="27" t="s">
        <v>8</v>
      </c>
      <c r="HR381" s="27" t="s">
        <v>7</v>
      </c>
      <c r="HT381" s="27" t="s">
        <v>7</v>
      </c>
      <c r="HU381" s="27" t="s">
        <v>8</v>
      </c>
      <c r="HV381" s="27" t="s">
        <v>7</v>
      </c>
      <c r="HW381" s="27" t="s">
        <v>8</v>
      </c>
      <c r="HX381" s="27" t="s">
        <v>7</v>
      </c>
      <c r="II381" s="27" t="s">
        <v>8</v>
      </c>
      <c r="IK381" s="27" t="s">
        <v>8</v>
      </c>
      <c r="IL381" s="27" t="s">
        <v>7</v>
      </c>
      <c r="IO381" s="27" t="s">
        <v>8</v>
      </c>
      <c r="IP381" s="27" t="s">
        <v>7</v>
      </c>
      <c r="IQ381" s="27" t="s">
        <v>8</v>
      </c>
    </row>
    <row r="382" spans="1:265" x14ac:dyDescent="0.25">
      <c r="A382" s="7">
        <v>57.947567653754362</v>
      </c>
      <c r="B382"/>
      <c r="C382"/>
      <c r="D382"/>
      <c r="E382"/>
      <c r="BI382" s="27" t="s">
        <v>8</v>
      </c>
      <c r="BJ382" s="27" t="s">
        <v>7</v>
      </c>
      <c r="BK382" s="27" t="s">
        <v>8</v>
      </c>
      <c r="BL382" s="27" t="s">
        <v>7</v>
      </c>
      <c r="BM382" s="27" t="s">
        <v>8</v>
      </c>
      <c r="BN382" s="27" t="s">
        <v>7</v>
      </c>
      <c r="BO382" s="27" t="s">
        <v>8</v>
      </c>
      <c r="BP382" s="27" t="s">
        <v>7</v>
      </c>
      <c r="ED382" s="27" t="s">
        <v>7</v>
      </c>
      <c r="EI382" s="27" t="s">
        <v>8</v>
      </c>
      <c r="EJ382" s="27" t="s">
        <v>7</v>
      </c>
      <c r="EM382" s="27" t="s">
        <v>8</v>
      </c>
      <c r="EN382" s="27" t="s">
        <v>7</v>
      </c>
      <c r="EO382" s="27" t="s">
        <v>8</v>
      </c>
      <c r="EP382" s="27" t="s">
        <v>7</v>
      </c>
      <c r="EQ382" s="27" t="s">
        <v>8</v>
      </c>
      <c r="ET382" s="27" t="s">
        <v>7</v>
      </c>
      <c r="FE382" s="27" t="s">
        <v>8</v>
      </c>
      <c r="FF382" s="27" t="s">
        <v>7</v>
      </c>
      <c r="FG382" s="27" t="s">
        <v>8</v>
      </c>
      <c r="FH382" s="27" t="s">
        <v>7</v>
      </c>
      <c r="FI382" s="27" t="s">
        <v>8</v>
      </c>
      <c r="FJ382" s="27" t="s">
        <v>7</v>
      </c>
      <c r="FK382" s="27" t="s">
        <v>8</v>
      </c>
      <c r="FV382" s="27" t="s">
        <v>7</v>
      </c>
      <c r="FX382" s="27" t="s">
        <v>7</v>
      </c>
      <c r="FY382" s="27" t="s">
        <v>8</v>
      </c>
      <c r="FZ382" s="27" t="s">
        <v>7</v>
      </c>
      <c r="GA382" s="27" t="s">
        <v>8</v>
      </c>
      <c r="GB382" s="27" t="s">
        <v>7</v>
      </c>
      <c r="HK382" s="27" t="s">
        <v>8</v>
      </c>
      <c r="HL382" s="27" t="s">
        <v>7</v>
      </c>
      <c r="HM382" s="27" t="s">
        <v>8</v>
      </c>
      <c r="HN382" s="27" t="s">
        <v>7</v>
      </c>
      <c r="HO382" s="27" t="s">
        <v>8</v>
      </c>
      <c r="HP382" s="27" t="s">
        <v>7</v>
      </c>
      <c r="HQ382" s="27" t="s">
        <v>8</v>
      </c>
      <c r="HT382" s="27" t="s">
        <v>7</v>
      </c>
      <c r="HV382" s="27" t="s">
        <v>7</v>
      </c>
      <c r="HW382" s="27" t="s">
        <v>8</v>
      </c>
      <c r="HX382" s="27" t="s">
        <v>7</v>
      </c>
      <c r="II382" s="27" t="s">
        <v>8</v>
      </c>
      <c r="IJ382" s="27" t="s">
        <v>7</v>
      </c>
      <c r="IK382" s="27" t="s">
        <v>8</v>
      </c>
      <c r="IL382" s="27" t="s">
        <v>7</v>
      </c>
      <c r="IO382" s="27" t="s">
        <v>8</v>
      </c>
      <c r="IP382" s="27" t="s">
        <v>7</v>
      </c>
    </row>
    <row r="383" spans="1:265" x14ac:dyDescent="0.25">
      <c r="A383" s="7">
        <v>56.811340837014079</v>
      </c>
      <c r="B383"/>
      <c r="C383"/>
      <c r="D383"/>
      <c r="E383"/>
      <c r="G383" s="27" t="s">
        <v>8</v>
      </c>
      <c r="BI383" s="27" t="s">
        <v>8</v>
      </c>
      <c r="BJ383" s="27" t="s">
        <v>7</v>
      </c>
      <c r="BK383" s="27" t="s">
        <v>8</v>
      </c>
      <c r="BL383" s="27" t="s">
        <v>7</v>
      </c>
      <c r="BM383" s="27" t="s">
        <v>8</v>
      </c>
      <c r="BN383" s="27" t="s">
        <v>7</v>
      </c>
      <c r="ED383" s="27" t="s">
        <v>7</v>
      </c>
      <c r="EG383" s="27" t="s">
        <v>8</v>
      </c>
      <c r="EI383" s="27" t="s">
        <v>8</v>
      </c>
      <c r="EJ383" s="27" t="s">
        <v>7</v>
      </c>
      <c r="EM383" s="27" t="s">
        <v>8</v>
      </c>
      <c r="EN383" s="27" t="s">
        <v>7</v>
      </c>
      <c r="EO383" s="27" t="s">
        <v>8</v>
      </c>
      <c r="EP383" s="27" t="s">
        <v>7</v>
      </c>
      <c r="ET383" s="27" t="s">
        <v>7</v>
      </c>
      <c r="FE383" s="27" t="s">
        <v>8</v>
      </c>
      <c r="FF383" s="27" t="s">
        <v>7</v>
      </c>
      <c r="FG383" s="27" t="s">
        <v>8</v>
      </c>
      <c r="FH383" s="27" t="s">
        <v>7</v>
      </c>
      <c r="FI383" s="27" t="s">
        <v>8</v>
      </c>
      <c r="FJ383" s="27" t="s">
        <v>7</v>
      </c>
      <c r="FK383" s="27" t="s">
        <v>8</v>
      </c>
      <c r="FX383" s="27" t="s">
        <v>7</v>
      </c>
      <c r="FZ383" s="27" t="s">
        <v>7</v>
      </c>
      <c r="GB383" s="27" t="s">
        <v>7</v>
      </c>
      <c r="HK383" s="27" t="s">
        <v>8</v>
      </c>
      <c r="HL383" s="27" t="s">
        <v>7</v>
      </c>
      <c r="HN383" s="27" t="s">
        <v>7</v>
      </c>
      <c r="HO383" s="27" t="s">
        <v>8</v>
      </c>
      <c r="HP383" s="27" t="s">
        <v>7</v>
      </c>
      <c r="HQ383" s="27" t="s">
        <v>8</v>
      </c>
      <c r="HV383" s="27" t="s">
        <v>7</v>
      </c>
      <c r="HW383" s="27" t="s">
        <v>8</v>
      </c>
      <c r="HX383" s="27" t="s">
        <v>7</v>
      </c>
      <c r="II383" s="27" t="s">
        <v>8</v>
      </c>
      <c r="IJ383" s="27" t="s">
        <v>7</v>
      </c>
      <c r="IK383" s="27" t="s">
        <v>8</v>
      </c>
      <c r="IL383" s="27" t="s">
        <v>7</v>
      </c>
      <c r="IM383" s="27" t="s">
        <v>8</v>
      </c>
      <c r="IO383" s="27" t="s">
        <v>8</v>
      </c>
    </row>
    <row r="384" spans="1:265" x14ac:dyDescent="0.25">
      <c r="A384" s="7">
        <v>55.69739297746478</v>
      </c>
      <c r="B384"/>
      <c r="C384"/>
      <c r="D384"/>
      <c r="E384"/>
      <c r="G384" s="27" t="s">
        <v>8</v>
      </c>
      <c r="H384" s="27" t="s">
        <v>7</v>
      </c>
      <c r="BI384" s="27" t="s">
        <v>8</v>
      </c>
      <c r="BJ384" s="27" t="s">
        <v>7</v>
      </c>
      <c r="BK384" s="27" t="s">
        <v>8</v>
      </c>
      <c r="BL384" s="27" t="s">
        <v>7</v>
      </c>
      <c r="BM384" s="27" t="s">
        <v>8</v>
      </c>
      <c r="ED384" s="27" t="s">
        <v>7</v>
      </c>
      <c r="EE384" s="27" t="s">
        <v>8</v>
      </c>
      <c r="EG384" s="27" t="s">
        <v>8</v>
      </c>
      <c r="EH384" s="27" t="s">
        <v>7</v>
      </c>
      <c r="EI384" s="27" t="s">
        <v>8</v>
      </c>
      <c r="EJ384" s="27" t="s">
        <v>7</v>
      </c>
      <c r="EK384" s="27" t="s">
        <v>8</v>
      </c>
      <c r="EM384" s="27" t="s">
        <v>8</v>
      </c>
      <c r="EN384" s="27" t="s">
        <v>7</v>
      </c>
      <c r="ET384" s="27" t="s">
        <v>7</v>
      </c>
      <c r="FE384" s="27" t="s">
        <v>8</v>
      </c>
      <c r="FF384" s="27" t="s">
        <v>7</v>
      </c>
      <c r="FG384" s="27" t="s">
        <v>8</v>
      </c>
      <c r="FH384" s="27" t="s">
        <v>7</v>
      </c>
      <c r="FJ384" s="27" t="s">
        <v>7</v>
      </c>
      <c r="FK384" s="27" t="s">
        <v>8</v>
      </c>
      <c r="GB384" s="27" t="s">
        <v>7</v>
      </c>
      <c r="HK384" s="27" t="s">
        <v>8</v>
      </c>
      <c r="HN384" s="27" t="s">
        <v>7</v>
      </c>
      <c r="HO384" s="27" t="s">
        <v>8</v>
      </c>
      <c r="HP384" s="27" t="s">
        <v>7</v>
      </c>
      <c r="HQ384" s="27" t="s">
        <v>8</v>
      </c>
      <c r="HV384" s="27" t="s">
        <v>7</v>
      </c>
      <c r="HW384" s="27" t="s">
        <v>8</v>
      </c>
      <c r="HX384" s="27" t="s">
        <v>7</v>
      </c>
      <c r="II384" s="27" t="s">
        <v>8</v>
      </c>
      <c r="IJ384" s="27" t="s">
        <v>7</v>
      </c>
      <c r="IL384" s="27" t="s">
        <v>7</v>
      </c>
      <c r="IM384" s="27" t="s">
        <v>8</v>
      </c>
      <c r="IN384" s="27" t="s">
        <v>7</v>
      </c>
      <c r="IO384" s="27" t="s">
        <v>8</v>
      </c>
    </row>
    <row r="385" spans="1:249" x14ac:dyDescent="0.25">
      <c r="A385" s="7">
        <v>54.605287232808607</v>
      </c>
      <c r="B385"/>
      <c r="C385"/>
      <c r="D385"/>
      <c r="E385"/>
      <c r="G385" s="27" t="s">
        <v>8</v>
      </c>
      <c r="H385" s="27" t="s">
        <v>7</v>
      </c>
      <c r="BI385" s="27" t="s">
        <v>8</v>
      </c>
      <c r="BJ385" s="27" t="s">
        <v>7</v>
      </c>
      <c r="BL385" s="27" t="s">
        <v>7</v>
      </c>
      <c r="BM385" s="27" t="s">
        <v>8</v>
      </c>
      <c r="ED385" s="27" t="s">
        <v>7</v>
      </c>
      <c r="EE385" s="27" t="s">
        <v>8</v>
      </c>
      <c r="EF385" s="27" t="s">
        <v>7</v>
      </c>
      <c r="EG385" s="27" t="s">
        <v>8</v>
      </c>
      <c r="EH385" s="27" t="s">
        <v>7</v>
      </c>
      <c r="EI385" s="27" t="s">
        <v>8</v>
      </c>
      <c r="EJ385" s="27" t="s">
        <v>7</v>
      </c>
      <c r="EK385" s="27" t="s">
        <v>8</v>
      </c>
      <c r="EL385" s="27" t="s">
        <v>7</v>
      </c>
      <c r="EM385" s="27" t="s">
        <v>8</v>
      </c>
      <c r="ET385" s="27" t="s">
        <v>7</v>
      </c>
      <c r="FE385" s="27" t="s">
        <v>8</v>
      </c>
      <c r="FF385" s="27" t="s">
        <v>7</v>
      </c>
      <c r="FJ385" s="27" t="s">
        <v>7</v>
      </c>
      <c r="FK385" s="27" t="s">
        <v>8</v>
      </c>
      <c r="GB385" s="27" t="s">
        <v>7</v>
      </c>
      <c r="HK385" s="27" t="s">
        <v>8</v>
      </c>
      <c r="HN385" s="27" t="s">
        <v>7</v>
      </c>
      <c r="HP385" s="27" t="s">
        <v>7</v>
      </c>
      <c r="HQ385" s="27" t="s">
        <v>8</v>
      </c>
      <c r="HV385" s="27" t="s">
        <v>7</v>
      </c>
      <c r="HX385" s="27" t="s">
        <v>7</v>
      </c>
      <c r="II385" s="27" t="s">
        <v>8</v>
      </c>
      <c r="IL385" s="27" t="s">
        <v>7</v>
      </c>
      <c r="IM385" s="27" t="s">
        <v>8</v>
      </c>
      <c r="IN385" s="27" t="s">
        <v>7</v>
      </c>
      <c r="IO385" s="27" t="s">
        <v>8</v>
      </c>
    </row>
    <row r="386" spans="1:249" x14ac:dyDescent="0.25">
      <c r="A386" s="7">
        <v>53.534595326282947</v>
      </c>
      <c r="B386"/>
      <c r="C386"/>
      <c r="D386"/>
      <c r="E386" t="s">
        <v>8</v>
      </c>
      <c r="G386" s="27" t="s">
        <v>8</v>
      </c>
      <c r="H386" s="27" t="s">
        <v>7</v>
      </c>
      <c r="BI386" s="27" t="s">
        <v>8</v>
      </c>
      <c r="BL386" s="27" t="s">
        <v>7</v>
      </c>
      <c r="BM386" s="27" t="s">
        <v>8</v>
      </c>
      <c r="ED386" s="27" t="s">
        <v>7</v>
      </c>
      <c r="EE386" s="27" t="s">
        <v>8</v>
      </c>
      <c r="EF386" s="27" t="s">
        <v>7</v>
      </c>
      <c r="EG386" s="27" t="s">
        <v>8</v>
      </c>
      <c r="EH386" s="27" t="s">
        <v>7</v>
      </c>
      <c r="EJ386" s="27" t="s">
        <v>7</v>
      </c>
      <c r="EK386" s="27" t="s">
        <v>8</v>
      </c>
      <c r="EL386" s="27" t="s">
        <v>7</v>
      </c>
      <c r="EM386" s="27" t="s">
        <v>8</v>
      </c>
      <c r="ET386" s="27" t="s">
        <v>7</v>
      </c>
      <c r="FE386" s="27" t="s">
        <v>8</v>
      </c>
      <c r="FJ386" s="27" t="s">
        <v>7</v>
      </c>
      <c r="FK386" s="27" t="s">
        <v>8</v>
      </c>
      <c r="GB386" s="27" t="s">
        <v>7</v>
      </c>
      <c r="HK386" s="27" t="s">
        <v>8</v>
      </c>
      <c r="HP386" s="27" t="s">
        <v>7</v>
      </c>
      <c r="HQ386" s="27" t="s">
        <v>8</v>
      </c>
      <c r="HX386" s="27" t="s">
        <v>7</v>
      </c>
      <c r="II386" s="27" t="s">
        <v>8</v>
      </c>
      <c r="IL386" s="27" t="s">
        <v>7</v>
      </c>
      <c r="IM386" s="27" t="s">
        <v>8</v>
      </c>
      <c r="IN386" s="27" t="s">
        <v>7</v>
      </c>
      <c r="IO386" s="27" t="s">
        <v>8</v>
      </c>
    </row>
    <row r="387" spans="1:249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G387" s="27" t="s">
        <v>8</v>
      </c>
      <c r="H387" s="27" t="s">
        <v>7</v>
      </c>
      <c r="BC387" s="27" t="s">
        <v>8</v>
      </c>
      <c r="BI387" s="27" t="s">
        <v>8</v>
      </c>
      <c r="BL387" s="27" t="s">
        <v>7</v>
      </c>
      <c r="ED387" s="27" t="s">
        <v>7</v>
      </c>
      <c r="EE387" s="27" t="s">
        <v>8</v>
      </c>
      <c r="EF387" s="27" t="s">
        <v>7</v>
      </c>
      <c r="EJ387" s="27" t="s">
        <v>7</v>
      </c>
      <c r="EK387" s="27" t="s">
        <v>8</v>
      </c>
      <c r="EL387" s="27" t="s">
        <v>7</v>
      </c>
      <c r="EM387" s="27" t="s">
        <v>8</v>
      </c>
      <c r="ET387" s="27" t="s">
        <v>7</v>
      </c>
      <c r="FE387" s="27" t="s">
        <v>8</v>
      </c>
      <c r="FJ387" s="27" t="s">
        <v>7</v>
      </c>
      <c r="FK387" s="27" t="s">
        <v>8</v>
      </c>
      <c r="GB387" s="27" t="s">
        <v>7</v>
      </c>
      <c r="HK387" s="27" t="s">
        <v>8</v>
      </c>
      <c r="HP387" s="27" t="s">
        <v>7</v>
      </c>
      <c r="HX387" s="27" t="s">
        <v>7</v>
      </c>
      <c r="II387" s="27" t="s">
        <v>8</v>
      </c>
      <c r="IL387" s="27" t="s">
        <v>7</v>
      </c>
      <c r="IN387" s="27" t="s">
        <v>7</v>
      </c>
      <c r="IO387" s="27" t="s">
        <v>8</v>
      </c>
    </row>
    <row r="388" spans="1:249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G388" s="27" t="s">
        <v>8</v>
      </c>
      <c r="H388" s="27" t="s">
        <v>7</v>
      </c>
      <c r="BA388" s="27" t="s">
        <v>8</v>
      </c>
      <c r="BC388" s="27" t="s">
        <v>8</v>
      </c>
      <c r="BD388" s="27" t="s">
        <v>7</v>
      </c>
      <c r="BI388" s="27" t="s">
        <v>8</v>
      </c>
      <c r="ED388" s="27" t="s">
        <v>7</v>
      </c>
      <c r="EE388" s="27" t="s">
        <v>8</v>
      </c>
      <c r="EJ388" s="27" t="s">
        <v>7</v>
      </c>
      <c r="EL388" s="27" t="s">
        <v>7</v>
      </c>
      <c r="EM388" s="27" t="s">
        <v>8</v>
      </c>
      <c r="ET388" s="27" t="s">
        <v>7</v>
      </c>
      <c r="FE388" s="27" t="s">
        <v>8</v>
      </c>
      <c r="FJ388" s="27" t="s">
        <v>7</v>
      </c>
      <c r="GB388" s="27" t="s">
        <v>7</v>
      </c>
      <c r="HK388" s="27" t="s">
        <v>8</v>
      </c>
      <c r="HX388" s="27" t="s">
        <v>7</v>
      </c>
      <c r="HY388" s="27" t="s">
        <v>8</v>
      </c>
      <c r="IG388" s="27" t="s">
        <v>8</v>
      </c>
      <c r="II388" s="27" t="s">
        <v>8</v>
      </c>
      <c r="IN388" s="27" t="s">
        <v>7</v>
      </c>
    </row>
    <row r="389" spans="1:249" x14ac:dyDescent="0.25">
      <c r="A389" s="7">
        <v>50.446844846894244</v>
      </c>
      <c r="B389"/>
      <c r="C389"/>
      <c r="D389"/>
      <c r="E389" t="s">
        <v>8</v>
      </c>
      <c r="F389" s="27" t="s">
        <v>7</v>
      </c>
      <c r="G389" s="27" t="s">
        <v>8</v>
      </c>
      <c r="H389" s="27" t="s">
        <v>7</v>
      </c>
      <c r="BA389" s="27" t="s">
        <v>8</v>
      </c>
      <c r="BB389" s="27" t="s">
        <v>7</v>
      </c>
      <c r="BC389" s="27" t="s">
        <v>8</v>
      </c>
      <c r="BD389" s="27" t="s">
        <v>7</v>
      </c>
      <c r="BI389" s="27" t="s">
        <v>8</v>
      </c>
      <c r="ED389" s="27" t="s">
        <v>7</v>
      </c>
      <c r="EL389" s="27" t="s">
        <v>7</v>
      </c>
      <c r="EM389" s="27" t="s">
        <v>8</v>
      </c>
      <c r="ET389" s="27" t="s">
        <v>7</v>
      </c>
      <c r="FE389" s="27" t="s">
        <v>8</v>
      </c>
      <c r="GB389" s="27" t="s">
        <v>7</v>
      </c>
      <c r="GC389" s="27" t="s">
        <v>8</v>
      </c>
      <c r="GU389" s="27" t="s">
        <v>8</v>
      </c>
      <c r="HK389" s="27" t="s">
        <v>8</v>
      </c>
      <c r="HX389" s="27" t="s">
        <v>7</v>
      </c>
      <c r="HY389" s="27" t="s">
        <v>8</v>
      </c>
      <c r="HZ389" s="27" t="s">
        <v>7</v>
      </c>
      <c r="IC389" s="27" t="s">
        <v>8</v>
      </c>
      <c r="IG389" s="27" t="s">
        <v>8</v>
      </c>
      <c r="IH389" s="27" t="s">
        <v>7</v>
      </c>
      <c r="II389" s="27" t="s">
        <v>8</v>
      </c>
    </row>
    <row r="390" spans="1:249" x14ac:dyDescent="0.25">
      <c r="A390" s="7">
        <v>49.457691026366902</v>
      </c>
      <c r="B390"/>
      <c r="C390"/>
      <c r="D390"/>
      <c r="E390" t="s">
        <v>8</v>
      </c>
      <c r="F390" s="27" t="s">
        <v>7</v>
      </c>
      <c r="G390" s="27" t="s">
        <v>8</v>
      </c>
      <c r="H390" s="27" t="s">
        <v>7</v>
      </c>
      <c r="BA390" s="27" t="s">
        <v>8</v>
      </c>
      <c r="BB390" s="27" t="s">
        <v>7</v>
      </c>
      <c r="BC390" s="27" t="s">
        <v>8</v>
      </c>
      <c r="BD390" s="27" t="s">
        <v>7</v>
      </c>
      <c r="BI390" s="27" t="s">
        <v>8</v>
      </c>
      <c r="EL390" s="27" t="s">
        <v>7</v>
      </c>
      <c r="EM390" s="27" t="s">
        <v>8</v>
      </c>
      <c r="ET390" s="27" t="s">
        <v>7</v>
      </c>
      <c r="FE390" s="27" t="s">
        <v>8</v>
      </c>
      <c r="GB390" s="27" t="s">
        <v>7</v>
      </c>
      <c r="GC390" s="27" t="s">
        <v>8</v>
      </c>
      <c r="GD390" s="27" t="s">
        <v>7</v>
      </c>
      <c r="GU390" s="27" t="s">
        <v>8</v>
      </c>
      <c r="GV390" s="27" t="s">
        <v>7</v>
      </c>
      <c r="GW390" s="27" t="s">
        <v>8</v>
      </c>
      <c r="HC390" s="27" t="s">
        <v>8</v>
      </c>
      <c r="HK390" s="27" t="s">
        <v>8</v>
      </c>
      <c r="HX390" s="27" t="s">
        <v>7</v>
      </c>
      <c r="HY390" s="27" t="s">
        <v>8</v>
      </c>
      <c r="HZ390" s="27" t="s">
        <v>7</v>
      </c>
      <c r="IC390" s="27" t="s">
        <v>8</v>
      </c>
      <c r="ID390" s="27" t="s">
        <v>7</v>
      </c>
      <c r="IG390" s="27" t="s">
        <v>8</v>
      </c>
      <c r="IH390" s="27" t="s">
        <v>7</v>
      </c>
      <c r="II390" s="27" t="s">
        <v>8</v>
      </c>
    </row>
    <row r="391" spans="1:249" x14ac:dyDescent="0.25">
      <c r="A391" s="7">
        <v>48.487932378791079</v>
      </c>
      <c r="B391"/>
      <c r="C391"/>
      <c r="D391"/>
      <c r="E391" t="s">
        <v>8</v>
      </c>
      <c r="F391" s="27" t="s">
        <v>7</v>
      </c>
      <c r="H391" s="27" t="s">
        <v>7</v>
      </c>
      <c r="BA391" s="27" t="s">
        <v>8</v>
      </c>
      <c r="BB391" s="27" t="s">
        <v>7</v>
      </c>
      <c r="BC391" s="27" t="s">
        <v>8</v>
      </c>
      <c r="BD391" s="27" t="s">
        <v>7</v>
      </c>
      <c r="BG391" s="27" t="s">
        <v>8</v>
      </c>
      <c r="BI391" s="27" t="s">
        <v>8</v>
      </c>
      <c r="EL391" s="27" t="s">
        <v>7</v>
      </c>
      <c r="EM391" s="27" t="s">
        <v>8</v>
      </c>
      <c r="ET391" s="27" t="s">
        <v>7</v>
      </c>
      <c r="EU391" s="27" t="s">
        <v>8</v>
      </c>
      <c r="EW391" s="27" t="s">
        <v>8</v>
      </c>
      <c r="FC391" s="27" t="s">
        <v>8</v>
      </c>
      <c r="FE391" s="27" t="s">
        <v>8</v>
      </c>
      <c r="GB391" s="27" t="s">
        <v>7</v>
      </c>
      <c r="GC391" s="27" t="s">
        <v>8</v>
      </c>
      <c r="GD391" s="27" t="s">
        <v>7</v>
      </c>
      <c r="GU391" s="27" t="s">
        <v>8</v>
      </c>
      <c r="GV391" s="27" t="s">
        <v>7</v>
      </c>
      <c r="GW391" s="27" t="s">
        <v>8</v>
      </c>
      <c r="GX391" s="27" t="s">
        <v>7</v>
      </c>
      <c r="GY391" s="27" t="s">
        <v>8</v>
      </c>
      <c r="HC391" s="27" t="s">
        <v>8</v>
      </c>
      <c r="HD391" s="27" t="s">
        <v>7</v>
      </c>
      <c r="HK391" s="27" t="s">
        <v>8</v>
      </c>
      <c r="HX391" s="27" t="s">
        <v>7</v>
      </c>
      <c r="HY391" s="27" t="s">
        <v>8</v>
      </c>
      <c r="HZ391" s="27" t="s">
        <v>7</v>
      </c>
      <c r="IA391" s="27" t="s">
        <v>8</v>
      </c>
      <c r="IC391" s="27" t="s">
        <v>8</v>
      </c>
      <c r="ID391" s="27" t="s">
        <v>7</v>
      </c>
      <c r="IG391" s="27" t="s">
        <v>8</v>
      </c>
      <c r="IH391" s="27" t="s">
        <v>7</v>
      </c>
      <c r="II391" s="27" t="s">
        <v>8</v>
      </c>
    </row>
    <row r="392" spans="1:249" x14ac:dyDescent="0.25">
      <c r="A392" s="7">
        <v>47.537188606657921</v>
      </c>
      <c r="B392"/>
      <c r="C392"/>
      <c r="D392"/>
      <c r="E392" t="s">
        <v>8</v>
      </c>
      <c r="H392" s="27" t="s">
        <v>7</v>
      </c>
      <c r="AY392" s="27" t="s">
        <v>8</v>
      </c>
      <c r="BA392" s="27" t="s">
        <v>8</v>
      </c>
      <c r="BB392" s="27" t="s">
        <v>7</v>
      </c>
      <c r="BD392" s="27" t="s">
        <v>7</v>
      </c>
      <c r="BG392" s="27" t="s">
        <v>8</v>
      </c>
      <c r="BH392" s="27" t="s">
        <v>7</v>
      </c>
      <c r="BI392" s="27" t="s">
        <v>8</v>
      </c>
      <c r="EL392" s="27" t="s">
        <v>7</v>
      </c>
      <c r="ET392" s="27" t="s">
        <v>7</v>
      </c>
      <c r="EU392" s="27" t="s">
        <v>8</v>
      </c>
      <c r="EV392" s="27" t="s">
        <v>7</v>
      </c>
      <c r="EW392" s="27" t="s">
        <v>8</v>
      </c>
      <c r="EX392" s="27" t="s">
        <v>7</v>
      </c>
      <c r="FC392" s="27" t="s">
        <v>8</v>
      </c>
      <c r="FD392" s="27" t="s">
        <v>7</v>
      </c>
      <c r="FE392" s="27" t="s">
        <v>8</v>
      </c>
      <c r="GB392" s="27" t="s">
        <v>7</v>
      </c>
      <c r="GC392" s="27" t="s">
        <v>8</v>
      </c>
      <c r="GD392" s="27" t="s">
        <v>7</v>
      </c>
      <c r="GQ392" s="27" t="s">
        <v>8</v>
      </c>
      <c r="GU392" s="27" t="s">
        <v>8</v>
      </c>
      <c r="GV392" s="27" t="s">
        <v>7</v>
      </c>
      <c r="GW392" s="27" t="s">
        <v>8</v>
      </c>
      <c r="GX392" s="27" t="s">
        <v>7</v>
      </c>
      <c r="GY392" s="27" t="s">
        <v>8</v>
      </c>
      <c r="GZ392" s="27" t="s">
        <v>7</v>
      </c>
      <c r="HC392" s="27" t="s">
        <v>8</v>
      </c>
      <c r="HD392" s="27" t="s">
        <v>7</v>
      </c>
      <c r="HK392" s="27" t="s">
        <v>8</v>
      </c>
      <c r="HX392" s="27" t="s">
        <v>7</v>
      </c>
      <c r="HY392" s="27" t="s">
        <v>8</v>
      </c>
      <c r="HZ392" s="27" t="s">
        <v>7</v>
      </c>
      <c r="IA392" s="27" t="s">
        <v>8</v>
      </c>
      <c r="IB392" s="27" t="s">
        <v>7</v>
      </c>
      <c r="IC392" s="27" t="s">
        <v>8</v>
      </c>
      <c r="ID392" s="27" t="s">
        <v>7</v>
      </c>
      <c r="IE392" s="27" t="s">
        <v>8</v>
      </c>
      <c r="IG392" s="27" t="s">
        <v>8</v>
      </c>
      <c r="IH392" s="27" t="s">
        <v>7</v>
      </c>
      <c r="II392" s="27" t="s">
        <v>8</v>
      </c>
    </row>
    <row r="393" spans="1:249" x14ac:dyDescent="0.25">
      <c r="A393" s="7">
        <v>46.605086869272469</v>
      </c>
      <c r="B393"/>
      <c r="C393"/>
      <c r="D393"/>
      <c r="E393" t="s">
        <v>8</v>
      </c>
      <c r="H393" s="27" t="s">
        <v>7</v>
      </c>
      <c r="AY393" s="27" t="s">
        <v>8</v>
      </c>
      <c r="AZ393" s="27" t="s">
        <v>7</v>
      </c>
      <c r="BA393" s="27" t="s">
        <v>8</v>
      </c>
      <c r="BD393" s="27" t="s">
        <v>7</v>
      </c>
      <c r="BG393" s="27" t="s">
        <v>8</v>
      </c>
      <c r="BH393" s="27" t="s">
        <v>7</v>
      </c>
      <c r="BI393" s="27" t="s">
        <v>8</v>
      </c>
      <c r="ET393" s="27" t="s">
        <v>7</v>
      </c>
      <c r="EU393" s="27" t="s">
        <v>8</v>
      </c>
      <c r="EV393" s="27" t="s">
        <v>7</v>
      </c>
      <c r="EW393" s="27" t="s">
        <v>8</v>
      </c>
      <c r="EX393" s="27" t="s">
        <v>7</v>
      </c>
      <c r="FC393" s="27" t="s">
        <v>8</v>
      </c>
      <c r="FD393" s="27" t="s">
        <v>7</v>
      </c>
      <c r="FE393" s="27" t="s">
        <v>8</v>
      </c>
      <c r="GB393" s="27" t="s">
        <v>7</v>
      </c>
      <c r="GD393" s="27" t="s">
        <v>7</v>
      </c>
      <c r="GQ393" s="27" t="s">
        <v>8</v>
      </c>
      <c r="GR393" s="27" t="s">
        <v>7</v>
      </c>
      <c r="GU393" s="27" t="s">
        <v>8</v>
      </c>
      <c r="GV393" s="27" t="s">
        <v>7</v>
      </c>
      <c r="GX393" s="27" t="s">
        <v>7</v>
      </c>
      <c r="GY393" s="27" t="s">
        <v>8</v>
      </c>
      <c r="GZ393" s="27" t="s">
        <v>7</v>
      </c>
      <c r="HC393" s="27" t="s">
        <v>8</v>
      </c>
      <c r="HD393" s="27" t="s">
        <v>7</v>
      </c>
      <c r="HK393" s="27" t="s">
        <v>8</v>
      </c>
      <c r="HX393" s="27" t="s">
        <v>7</v>
      </c>
      <c r="HY393" s="27" t="s">
        <v>8</v>
      </c>
      <c r="HZ393" s="27" t="s">
        <v>7</v>
      </c>
      <c r="IA393" s="27" t="s">
        <v>8</v>
      </c>
      <c r="IB393" s="27" t="s">
        <v>7</v>
      </c>
      <c r="IC393" s="27" t="s">
        <v>8</v>
      </c>
      <c r="ID393" s="27" t="s">
        <v>7</v>
      </c>
      <c r="IE393" s="27" t="s">
        <v>8</v>
      </c>
      <c r="IF393" s="27" t="s">
        <v>7</v>
      </c>
      <c r="IG393" s="27" t="s">
        <v>8</v>
      </c>
      <c r="IH393" s="27" t="s">
        <v>7</v>
      </c>
      <c r="II393" s="27" t="s">
        <v>8</v>
      </c>
    </row>
    <row r="394" spans="1:249" x14ac:dyDescent="0.25">
      <c r="A394" s="7">
        <v>45.691261636541633</v>
      </c>
      <c r="B394"/>
      <c r="C394"/>
      <c r="D394"/>
      <c r="E394" t="s">
        <v>8</v>
      </c>
      <c r="H394" s="27" t="s">
        <v>7</v>
      </c>
      <c r="AY394" s="27" t="s">
        <v>8</v>
      </c>
      <c r="AZ394" s="27" t="s">
        <v>7</v>
      </c>
      <c r="BA394" s="27" t="s">
        <v>8</v>
      </c>
      <c r="BD394" s="27" t="s">
        <v>7</v>
      </c>
      <c r="BE394" s="27" t="s">
        <v>8</v>
      </c>
      <c r="BG394" s="27" t="s">
        <v>8</v>
      </c>
      <c r="BH394" s="27" t="s">
        <v>7</v>
      </c>
      <c r="BI394" s="27" t="s">
        <v>8</v>
      </c>
      <c r="ET394" s="27" t="s">
        <v>7</v>
      </c>
      <c r="EU394" s="27" t="s">
        <v>8</v>
      </c>
      <c r="EV394" s="27" t="s">
        <v>7</v>
      </c>
      <c r="EW394" s="27" t="s">
        <v>8</v>
      </c>
      <c r="EX394" s="27" t="s">
        <v>7</v>
      </c>
      <c r="FC394" s="27" t="s">
        <v>8</v>
      </c>
      <c r="FD394" s="27" t="s">
        <v>7</v>
      </c>
      <c r="FE394" s="27" t="s">
        <v>8</v>
      </c>
      <c r="GD394" s="27" t="s">
        <v>7</v>
      </c>
      <c r="GQ394" s="27" t="s">
        <v>8</v>
      </c>
      <c r="GR394" s="27" t="s">
        <v>7</v>
      </c>
      <c r="GU394" s="27" t="s">
        <v>8</v>
      </c>
      <c r="GX394" s="27" t="s">
        <v>7</v>
      </c>
      <c r="GY394" s="27" t="s">
        <v>8</v>
      </c>
      <c r="GZ394" s="27" t="s">
        <v>7</v>
      </c>
      <c r="HA394" s="27" t="s">
        <v>8</v>
      </c>
      <c r="HC394" s="27" t="s">
        <v>8</v>
      </c>
      <c r="HD394" s="27" t="s">
        <v>7</v>
      </c>
      <c r="HI394" s="27" t="s">
        <v>8</v>
      </c>
      <c r="HK394" s="27" t="s">
        <v>8</v>
      </c>
      <c r="HX394" s="27" t="s">
        <v>7</v>
      </c>
      <c r="HZ394" s="27" t="s">
        <v>7</v>
      </c>
      <c r="IB394" s="27" t="s">
        <v>7</v>
      </c>
      <c r="ID394" s="27" t="s">
        <v>7</v>
      </c>
      <c r="IE394" s="27" t="s">
        <v>8</v>
      </c>
      <c r="IF394" s="27" t="s">
        <v>7</v>
      </c>
      <c r="IG394" s="27" t="s">
        <v>8</v>
      </c>
      <c r="IH394" s="27" t="s">
        <v>7</v>
      </c>
    </row>
    <row r="395" spans="1:249" x14ac:dyDescent="0.25">
      <c r="A395" s="7">
        <v>44.795354545629053</v>
      </c>
      <c r="B395"/>
      <c r="C395"/>
      <c r="D395"/>
      <c r="E395" t="s">
        <v>8</v>
      </c>
      <c r="H395" s="27" t="s">
        <v>7</v>
      </c>
      <c r="I395" s="27" t="s">
        <v>8</v>
      </c>
      <c r="AY395" s="27" t="s">
        <v>8</v>
      </c>
      <c r="AZ395" s="27" t="s">
        <v>7</v>
      </c>
      <c r="BA395" s="27" t="s">
        <v>8</v>
      </c>
      <c r="BD395" s="27" t="s">
        <v>7</v>
      </c>
      <c r="BE395" s="27" t="s">
        <v>8</v>
      </c>
      <c r="BF395" s="27" t="s">
        <v>7</v>
      </c>
      <c r="BG395" s="27" t="s">
        <v>8</v>
      </c>
      <c r="BH395" s="27" t="s">
        <v>7</v>
      </c>
      <c r="ET395" s="27" t="s">
        <v>7</v>
      </c>
      <c r="EU395" s="27" t="s">
        <v>8</v>
      </c>
      <c r="EV395" s="27" t="s">
        <v>7</v>
      </c>
      <c r="EW395" s="27" t="s">
        <v>8</v>
      </c>
      <c r="EX395" s="27" t="s">
        <v>7</v>
      </c>
      <c r="FC395" s="27" t="s">
        <v>8</v>
      </c>
      <c r="FD395" s="27" t="s">
        <v>7</v>
      </c>
      <c r="FE395" s="27" t="s">
        <v>8</v>
      </c>
      <c r="GD395" s="27" t="s">
        <v>7</v>
      </c>
      <c r="GQ395" s="27" t="s">
        <v>8</v>
      </c>
      <c r="GR395" s="27" t="s">
        <v>7</v>
      </c>
      <c r="GU395" s="27" t="s">
        <v>8</v>
      </c>
      <c r="GX395" s="27" t="s">
        <v>7</v>
      </c>
      <c r="GZ395" s="27" t="s">
        <v>7</v>
      </c>
      <c r="HA395" s="27" t="s">
        <v>8</v>
      </c>
      <c r="HB395" s="27" t="s">
        <v>7</v>
      </c>
      <c r="HC395" s="27" t="s">
        <v>8</v>
      </c>
      <c r="HD395" s="27" t="s">
        <v>7</v>
      </c>
      <c r="HE395" s="27" t="s">
        <v>8</v>
      </c>
      <c r="HG395" s="27" t="s">
        <v>8</v>
      </c>
      <c r="HI395" s="27" t="s">
        <v>8</v>
      </c>
      <c r="HJ395" s="27" t="s">
        <v>7</v>
      </c>
      <c r="HK395" s="27" t="s">
        <v>8</v>
      </c>
      <c r="ID395" s="27" t="s">
        <v>7</v>
      </c>
      <c r="IE395" s="27" t="s">
        <v>8</v>
      </c>
      <c r="IF395" s="27" t="s">
        <v>7</v>
      </c>
      <c r="IG395" s="27" t="s">
        <v>8</v>
      </c>
    </row>
    <row r="396" spans="1:249" x14ac:dyDescent="0.25">
      <c r="A396" s="7">
        <v>43.917014260420636</v>
      </c>
      <c r="B396"/>
      <c r="C396"/>
      <c r="D396"/>
      <c r="E396" t="s">
        <v>8</v>
      </c>
      <c r="H396" s="27" t="s">
        <v>7</v>
      </c>
      <c r="I396" s="27" t="s">
        <v>8</v>
      </c>
      <c r="J396" s="27" t="s">
        <v>7</v>
      </c>
      <c r="AY396" s="27" t="s">
        <v>8</v>
      </c>
      <c r="AZ396" s="27" t="s">
        <v>7</v>
      </c>
      <c r="BA396" s="27" t="s">
        <v>8</v>
      </c>
      <c r="BD396" s="27" t="s">
        <v>7</v>
      </c>
      <c r="BE396" s="27" t="s">
        <v>8</v>
      </c>
      <c r="BF396" s="27" t="s">
        <v>7</v>
      </c>
      <c r="BG396" s="27" t="s">
        <v>8</v>
      </c>
      <c r="ET396" s="27" t="s">
        <v>7</v>
      </c>
      <c r="EV396" s="27" t="s">
        <v>7</v>
      </c>
      <c r="EW396" s="27" t="s">
        <v>8</v>
      </c>
      <c r="EX396" s="27" t="s">
        <v>7</v>
      </c>
      <c r="FA396" s="27" t="s">
        <v>8</v>
      </c>
      <c r="FC396" s="27" t="s">
        <v>8</v>
      </c>
      <c r="FD396" s="27" t="s">
        <v>7</v>
      </c>
      <c r="GD396" s="27" t="s">
        <v>7</v>
      </c>
      <c r="GQ396" s="27" t="s">
        <v>8</v>
      </c>
      <c r="GR396" s="27" t="s">
        <v>7</v>
      </c>
      <c r="GS396" s="27" t="s">
        <v>8</v>
      </c>
      <c r="GU396" s="27" t="s">
        <v>8</v>
      </c>
      <c r="GZ396" s="27" t="s">
        <v>7</v>
      </c>
      <c r="HA396" s="27" t="s">
        <v>8</v>
      </c>
      <c r="HB396" s="27" t="s">
        <v>7</v>
      </c>
      <c r="HC396" s="27" t="s">
        <v>8</v>
      </c>
      <c r="HD396" s="27" t="s">
        <v>7</v>
      </c>
      <c r="HE396" s="27" t="s">
        <v>8</v>
      </c>
      <c r="HF396" s="27" t="s">
        <v>7</v>
      </c>
      <c r="HG396" s="27" t="s">
        <v>8</v>
      </c>
      <c r="HH396" s="27" t="s">
        <v>7</v>
      </c>
      <c r="HI396" s="27" t="s">
        <v>8</v>
      </c>
      <c r="HJ396" s="27" t="s">
        <v>7</v>
      </c>
      <c r="HK396" s="27" t="s">
        <v>8</v>
      </c>
      <c r="ID396" s="27" t="s">
        <v>7</v>
      </c>
      <c r="IE396" s="27" t="s">
        <v>8</v>
      </c>
      <c r="IF396" s="27" t="s">
        <v>7</v>
      </c>
    </row>
    <row r="397" spans="1:249" x14ac:dyDescent="0.25">
      <c r="A397" s="7">
        <v>43.055896333745721</v>
      </c>
      <c r="B397"/>
      <c r="C397"/>
      <c r="D397"/>
      <c r="E397" t="s">
        <v>8</v>
      </c>
      <c r="H397" s="27" t="s">
        <v>7</v>
      </c>
      <c r="I397" s="27" t="s">
        <v>8</v>
      </c>
      <c r="J397" s="27" t="s">
        <v>7</v>
      </c>
      <c r="AY397" s="27" t="s">
        <v>8</v>
      </c>
      <c r="AZ397" s="27" t="s">
        <v>7</v>
      </c>
      <c r="BA397" s="27" t="s">
        <v>8</v>
      </c>
      <c r="BD397" s="27" t="s">
        <v>7</v>
      </c>
      <c r="BF397" s="27" t="s">
        <v>7</v>
      </c>
      <c r="EV397" s="27" t="s">
        <v>7</v>
      </c>
      <c r="EW397" s="27" t="s">
        <v>8</v>
      </c>
      <c r="EX397" s="27" t="s">
        <v>7</v>
      </c>
      <c r="FA397" s="27" t="s">
        <v>8</v>
      </c>
      <c r="FB397" s="27" t="s">
        <v>7</v>
      </c>
      <c r="FC397" s="27" t="s">
        <v>8</v>
      </c>
      <c r="GD397" s="27" t="s">
        <v>7</v>
      </c>
      <c r="GI397" s="27" t="s">
        <v>8</v>
      </c>
      <c r="GQ397" s="27" t="s">
        <v>8</v>
      </c>
      <c r="GR397" s="27" t="s">
        <v>7</v>
      </c>
      <c r="GS397" s="27" t="s">
        <v>8</v>
      </c>
      <c r="GT397" s="27" t="s">
        <v>7</v>
      </c>
      <c r="GU397" s="27" t="s">
        <v>8</v>
      </c>
      <c r="GZ397" s="27" t="s">
        <v>7</v>
      </c>
      <c r="HA397" s="27" t="s">
        <v>8</v>
      </c>
      <c r="HB397" s="27" t="s">
        <v>7</v>
      </c>
      <c r="HC397" s="27" t="s">
        <v>8</v>
      </c>
      <c r="HD397" s="27" t="s">
        <v>7</v>
      </c>
      <c r="HE397" s="27" t="s">
        <v>8</v>
      </c>
      <c r="HF397" s="27" t="s">
        <v>7</v>
      </c>
      <c r="HG397" s="27" t="s">
        <v>8</v>
      </c>
      <c r="HH397" s="27" t="s">
        <v>7</v>
      </c>
      <c r="HI397" s="27" t="s">
        <v>8</v>
      </c>
      <c r="HJ397" s="27" t="s">
        <v>7</v>
      </c>
      <c r="HK397" s="27" t="s">
        <v>8</v>
      </c>
      <c r="ID397" s="27" t="s">
        <v>7</v>
      </c>
      <c r="IE397" s="27" t="s">
        <v>8</v>
      </c>
    </row>
    <row r="398" spans="1:249" x14ac:dyDescent="0.25">
      <c r="A398" s="7">
        <v>42.211663072299729</v>
      </c>
      <c r="B398"/>
      <c r="C398"/>
      <c r="D398"/>
      <c r="E398" t="s">
        <v>8</v>
      </c>
      <c r="H398" s="27" t="s">
        <v>7</v>
      </c>
      <c r="I398" s="27" t="s">
        <v>8</v>
      </c>
      <c r="J398" s="27" t="s">
        <v>7</v>
      </c>
      <c r="AY398" s="27" t="s">
        <v>8</v>
      </c>
      <c r="AZ398" s="27" t="s">
        <v>7</v>
      </c>
      <c r="BA398" s="27" t="s">
        <v>8</v>
      </c>
      <c r="EV398" s="27" t="s">
        <v>7</v>
      </c>
      <c r="EX398" s="27" t="s">
        <v>7</v>
      </c>
      <c r="EY398" s="27" t="s">
        <v>8</v>
      </c>
      <c r="FA398" s="27" t="s">
        <v>8</v>
      </c>
      <c r="FB398" s="27" t="s">
        <v>7</v>
      </c>
      <c r="FC398" s="27" t="s">
        <v>8</v>
      </c>
      <c r="GD398" s="27" t="s">
        <v>7</v>
      </c>
      <c r="GI398" s="27" t="s">
        <v>8</v>
      </c>
      <c r="GJ398" s="27" t="s">
        <v>7</v>
      </c>
      <c r="GO398" s="27" t="s">
        <v>8</v>
      </c>
      <c r="GQ398" s="27" t="s">
        <v>8</v>
      </c>
      <c r="GR398" s="27" t="s">
        <v>7</v>
      </c>
      <c r="GS398" s="27" t="s">
        <v>8</v>
      </c>
      <c r="GT398" s="27" t="s">
        <v>7</v>
      </c>
      <c r="GU398" s="27" t="s">
        <v>8</v>
      </c>
      <c r="GZ398" s="27" t="s">
        <v>7</v>
      </c>
      <c r="HA398" s="27" t="s">
        <v>8</v>
      </c>
      <c r="HB398" s="27" t="s">
        <v>7</v>
      </c>
      <c r="HD398" s="27" t="s">
        <v>7</v>
      </c>
      <c r="HF398" s="27" t="s">
        <v>7</v>
      </c>
      <c r="HH398" s="27" t="s">
        <v>7</v>
      </c>
      <c r="HI398" s="27" t="s">
        <v>8</v>
      </c>
      <c r="HJ398" s="27" t="s">
        <v>7</v>
      </c>
      <c r="HK398" s="27" t="s">
        <v>8</v>
      </c>
      <c r="ID398" s="27" t="s">
        <v>7</v>
      </c>
    </row>
    <row r="399" spans="1:249" x14ac:dyDescent="0.25">
      <c r="A399" s="7">
        <v>41.383983404215421</v>
      </c>
      <c r="B399"/>
      <c r="C399"/>
      <c r="D399"/>
      <c r="E399" t="s">
        <v>8</v>
      </c>
      <c r="H399" s="27" t="s">
        <v>7</v>
      </c>
      <c r="I399" s="27" t="s">
        <v>8</v>
      </c>
      <c r="J399" s="27" t="s">
        <v>7</v>
      </c>
      <c r="AY399" s="27" t="s">
        <v>8</v>
      </c>
      <c r="AZ399" s="27" t="s">
        <v>7</v>
      </c>
      <c r="BA399" s="27" t="s">
        <v>8</v>
      </c>
      <c r="EX399" s="27" t="s">
        <v>7</v>
      </c>
      <c r="EY399" s="27" t="s">
        <v>8</v>
      </c>
      <c r="EZ399" s="27" t="s">
        <v>7</v>
      </c>
      <c r="FA399" s="27" t="s">
        <v>8</v>
      </c>
      <c r="FB399" s="27" t="s">
        <v>7</v>
      </c>
      <c r="FC399" s="27" t="s">
        <v>8</v>
      </c>
      <c r="GD399" s="27" t="s">
        <v>7</v>
      </c>
      <c r="GI399" s="27" t="s">
        <v>8</v>
      </c>
      <c r="GJ399" s="27" t="s">
        <v>7</v>
      </c>
      <c r="GO399" s="27" t="s">
        <v>8</v>
      </c>
      <c r="GP399" s="27" t="s">
        <v>7</v>
      </c>
      <c r="GQ399" s="27" t="s">
        <v>8</v>
      </c>
      <c r="GR399" s="27" t="s">
        <v>7</v>
      </c>
      <c r="GS399" s="27" t="s">
        <v>8</v>
      </c>
      <c r="GT399" s="27" t="s">
        <v>7</v>
      </c>
      <c r="GU399" s="27" t="s">
        <v>8</v>
      </c>
      <c r="GZ399" s="27" t="s">
        <v>7</v>
      </c>
      <c r="HA399" s="27" t="s">
        <v>8</v>
      </c>
      <c r="HH399" s="27" t="s">
        <v>7</v>
      </c>
      <c r="HI399" s="27" t="s">
        <v>8</v>
      </c>
      <c r="HJ399" s="27" t="s">
        <v>7</v>
      </c>
    </row>
    <row r="400" spans="1:249" x14ac:dyDescent="0.25">
      <c r="A400" s="7">
        <v>40.572532749230803</v>
      </c>
      <c r="B400"/>
      <c r="C400"/>
      <c r="D400"/>
      <c r="E400" t="s">
        <v>8</v>
      </c>
      <c r="H400" s="27" t="s">
        <v>7</v>
      </c>
      <c r="J400" s="27" t="s">
        <v>7</v>
      </c>
      <c r="AM400" s="27" t="s">
        <v>8</v>
      </c>
      <c r="AY400" s="27" t="s">
        <v>8</v>
      </c>
      <c r="AZ400" s="27" t="s">
        <v>7</v>
      </c>
      <c r="EX400" s="27" t="s">
        <v>7</v>
      </c>
      <c r="EY400" s="27" t="s">
        <v>8</v>
      </c>
      <c r="EZ400" s="27" t="s">
        <v>7</v>
      </c>
      <c r="FA400" s="27" t="s">
        <v>8</v>
      </c>
      <c r="FB400" s="27" t="s">
        <v>7</v>
      </c>
      <c r="FC400" s="27" t="s">
        <v>8</v>
      </c>
      <c r="GD400" s="27" t="s">
        <v>7</v>
      </c>
      <c r="GI400" s="27" t="s">
        <v>8</v>
      </c>
      <c r="GJ400" s="27" t="s">
        <v>7</v>
      </c>
      <c r="GK400" s="27" t="s">
        <v>8</v>
      </c>
      <c r="GM400" s="27" t="s">
        <v>8</v>
      </c>
      <c r="GO400" s="27" t="s">
        <v>8</v>
      </c>
      <c r="GP400" s="27" t="s">
        <v>7</v>
      </c>
      <c r="GQ400" s="27" t="s">
        <v>8</v>
      </c>
      <c r="GR400" s="27" t="s">
        <v>7</v>
      </c>
      <c r="GS400" s="27" t="s">
        <v>8</v>
      </c>
      <c r="GT400" s="27" t="s">
        <v>7</v>
      </c>
      <c r="GU400" s="27" t="s">
        <v>8</v>
      </c>
      <c r="GZ400" s="27" t="s">
        <v>7</v>
      </c>
      <c r="HA400" s="27" t="s">
        <v>8</v>
      </c>
      <c r="HH400" s="27" t="s">
        <v>7</v>
      </c>
      <c r="HI400" s="27" t="s">
        <v>8</v>
      </c>
    </row>
    <row r="401" spans="1:216" x14ac:dyDescent="0.25">
      <c r="A401" s="7">
        <v>39.776992891402749</v>
      </c>
      <c r="B401"/>
      <c r="C401"/>
      <c r="D401"/>
      <c r="E401" t="s">
        <v>8</v>
      </c>
      <c r="J401" s="27" t="s">
        <v>7</v>
      </c>
      <c r="AM401" s="27" t="s">
        <v>8</v>
      </c>
      <c r="AN401" s="27" t="s">
        <v>7</v>
      </c>
      <c r="AY401" s="27" t="s">
        <v>8</v>
      </c>
      <c r="EX401" s="27" t="s">
        <v>7</v>
      </c>
      <c r="EY401" s="27" t="s">
        <v>8</v>
      </c>
      <c r="EZ401" s="27" t="s">
        <v>7</v>
      </c>
      <c r="FB401" s="27" t="s">
        <v>7</v>
      </c>
      <c r="FC401" s="27" t="s">
        <v>8</v>
      </c>
      <c r="GD401" s="27" t="s">
        <v>7</v>
      </c>
      <c r="GI401" s="27" t="s">
        <v>8</v>
      </c>
      <c r="GJ401" s="27" t="s">
        <v>7</v>
      </c>
      <c r="GK401" s="27" t="s">
        <v>8</v>
      </c>
      <c r="GL401" s="27" t="s">
        <v>7</v>
      </c>
      <c r="GM401" s="27" t="s">
        <v>8</v>
      </c>
      <c r="GN401" s="27" t="s">
        <v>7</v>
      </c>
      <c r="GO401" s="27" t="s">
        <v>8</v>
      </c>
      <c r="GP401" s="27" t="s">
        <v>7</v>
      </c>
      <c r="GR401" s="27" t="s">
        <v>7</v>
      </c>
      <c r="GS401" s="27" t="s">
        <v>8</v>
      </c>
      <c r="GT401" s="27" t="s">
        <v>7</v>
      </c>
      <c r="GZ401" s="27" t="s">
        <v>7</v>
      </c>
      <c r="HH401" s="27" t="s">
        <v>7</v>
      </c>
    </row>
    <row r="402" spans="1:216" x14ac:dyDescent="0.25">
      <c r="A402" s="7">
        <v>38.997051854316418</v>
      </c>
      <c r="B402"/>
      <c r="C402"/>
      <c r="D402"/>
      <c r="E402" t="s">
        <v>8</v>
      </c>
      <c r="J402" s="27" t="s">
        <v>7</v>
      </c>
      <c r="AK402" s="27" t="s">
        <v>8</v>
      </c>
      <c r="AM402" s="27" t="s">
        <v>8</v>
      </c>
      <c r="AN402" s="27" t="s">
        <v>7</v>
      </c>
      <c r="AY402" s="27" t="s">
        <v>8</v>
      </c>
      <c r="EX402" s="27" t="s">
        <v>7</v>
      </c>
      <c r="EY402" s="27" t="s">
        <v>8</v>
      </c>
      <c r="FB402" s="27" t="s">
        <v>7</v>
      </c>
      <c r="GD402" s="27" t="s">
        <v>7</v>
      </c>
      <c r="GI402" s="27" t="s">
        <v>8</v>
      </c>
      <c r="GJ402" s="27" t="s">
        <v>7</v>
      </c>
      <c r="GK402" s="27" t="s">
        <v>8</v>
      </c>
      <c r="GL402" s="27" t="s">
        <v>7</v>
      </c>
      <c r="GM402" s="27" t="s">
        <v>8</v>
      </c>
      <c r="GN402" s="27" t="s">
        <v>7</v>
      </c>
      <c r="GO402" s="27" t="s">
        <v>8</v>
      </c>
      <c r="GR402" s="27" t="s">
        <v>7</v>
      </c>
      <c r="GS402" s="27" t="s">
        <v>8</v>
      </c>
    </row>
    <row r="403" spans="1:216" x14ac:dyDescent="0.25">
      <c r="A403" s="7">
        <v>38.232403778741585</v>
      </c>
      <c r="B403"/>
      <c r="C403"/>
      <c r="D403"/>
      <c r="E403" t="s">
        <v>8</v>
      </c>
      <c r="J403" s="27" t="s">
        <v>7</v>
      </c>
      <c r="AK403" s="27" t="s">
        <v>8</v>
      </c>
      <c r="AL403" s="27" t="s">
        <v>7</v>
      </c>
      <c r="AM403" s="27" t="s">
        <v>8</v>
      </c>
      <c r="AN403" s="27" t="s">
        <v>7</v>
      </c>
      <c r="AY403" s="27" t="s">
        <v>8</v>
      </c>
      <c r="EX403" s="27" t="s">
        <v>7</v>
      </c>
      <c r="EY403" s="27" t="s">
        <v>8</v>
      </c>
      <c r="GD403" s="27" t="s">
        <v>7</v>
      </c>
      <c r="GE403" s="27" t="s">
        <v>8</v>
      </c>
      <c r="GI403" s="27" t="s">
        <v>8</v>
      </c>
      <c r="GJ403" s="27" t="s">
        <v>7</v>
      </c>
      <c r="GK403" s="27" t="s">
        <v>8</v>
      </c>
      <c r="GL403" s="27" t="s">
        <v>7</v>
      </c>
      <c r="GN403" s="27" t="s">
        <v>7</v>
      </c>
      <c r="GO403" s="27" t="s">
        <v>8</v>
      </c>
      <c r="GR403" s="27" t="s">
        <v>7</v>
      </c>
    </row>
    <row r="404" spans="1:216" x14ac:dyDescent="0.25">
      <c r="A404" s="7">
        <v>37.48274880268783</v>
      </c>
      <c r="B404"/>
      <c r="C404"/>
      <c r="D404"/>
      <c r="E404" t="s">
        <v>8</v>
      </c>
      <c r="J404" s="27" t="s">
        <v>7</v>
      </c>
      <c r="AK404" s="27" t="s">
        <v>8</v>
      </c>
      <c r="AL404" s="27" t="s">
        <v>7</v>
      </c>
      <c r="AM404" s="27" t="s">
        <v>8</v>
      </c>
      <c r="AN404" s="27" t="s">
        <v>7</v>
      </c>
      <c r="AY404" s="27" t="s">
        <v>8</v>
      </c>
      <c r="EX404" s="27" t="s">
        <v>7</v>
      </c>
      <c r="EY404" s="27" t="s">
        <v>8</v>
      </c>
      <c r="GD404" s="27" t="s">
        <v>7</v>
      </c>
      <c r="GE404" s="27" t="s">
        <v>8</v>
      </c>
      <c r="GF404" s="27" t="s">
        <v>7</v>
      </c>
      <c r="GI404" s="27" t="s">
        <v>8</v>
      </c>
      <c r="GJ404" s="27" t="s">
        <v>7</v>
      </c>
      <c r="GK404" s="27" t="s">
        <v>8</v>
      </c>
      <c r="GN404" s="27" t="s">
        <v>7</v>
      </c>
      <c r="GO404" s="27" t="s">
        <v>8</v>
      </c>
    </row>
    <row r="405" spans="1:216" x14ac:dyDescent="0.25">
      <c r="A405" s="7">
        <v>36.747792943811596</v>
      </c>
      <c r="B405"/>
      <c r="C405"/>
      <c r="D405"/>
      <c r="E405" t="s">
        <v>8</v>
      </c>
      <c r="J405" s="27" t="s">
        <v>7</v>
      </c>
      <c r="AK405" s="27" t="s">
        <v>8</v>
      </c>
      <c r="AL405" s="27" t="s">
        <v>7</v>
      </c>
      <c r="AN405" s="27" t="s">
        <v>7</v>
      </c>
      <c r="AY405" s="27" t="s">
        <v>8</v>
      </c>
      <c r="EX405" s="27" t="s">
        <v>7</v>
      </c>
      <c r="EY405" s="27" t="s">
        <v>8</v>
      </c>
      <c r="GD405" s="27" t="s">
        <v>7</v>
      </c>
      <c r="GE405" s="27" t="s">
        <v>8</v>
      </c>
      <c r="GF405" s="27" t="s">
        <v>7</v>
      </c>
      <c r="GI405" s="27" t="s">
        <v>8</v>
      </c>
      <c r="GJ405" s="27" t="s">
        <v>7</v>
      </c>
      <c r="GK405" s="27" t="s">
        <v>8</v>
      </c>
      <c r="GN405" s="27" t="s">
        <v>7</v>
      </c>
    </row>
    <row r="406" spans="1:216" x14ac:dyDescent="0.25">
      <c r="A406" s="7">
        <v>36.027247984129012</v>
      </c>
      <c r="B406"/>
      <c r="C406"/>
      <c r="D406"/>
      <c r="E406" t="s">
        <v>8</v>
      </c>
      <c r="J406" s="27" t="s">
        <v>7</v>
      </c>
      <c r="O406" s="27" t="s">
        <v>8</v>
      </c>
      <c r="AC406" s="27" t="s">
        <v>8</v>
      </c>
      <c r="AK406" s="27" t="s">
        <v>8</v>
      </c>
      <c r="AN406" s="27" t="s">
        <v>7</v>
      </c>
      <c r="AY406" s="27" t="s">
        <v>8</v>
      </c>
      <c r="EX406" s="27" t="s">
        <v>7</v>
      </c>
      <c r="GD406" s="27" t="s">
        <v>7</v>
      </c>
      <c r="GE406" s="27" t="s">
        <v>8</v>
      </c>
      <c r="GF406" s="27" t="s">
        <v>7</v>
      </c>
      <c r="GI406" s="27" t="s">
        <v>8</v>
      </c>
      <c r="GJ406" s="27" t="s">
        <v>7</v>
      </c>
      <c r="GK406" s="27" t="s">
        <v>8</v>
      </c>
    </row>
    <row r="407" spans="1:216" x14ac:dyDescent="0.25">
      <c r="A407" s="7">
        <v>35.320831356989224</v>
      </c>
      <c r="B407"/>
      <c r="C407"/>
      <c r="D407"/>
      <c r="E407" t="s">
        <v>8</v>
      </c>
      <c r="J407" s="27" t="s">
        <v>7</v>
      </c>
      <c r="K407" s="27" t="s">
        <v>8</v>
      </c>
      <c r="O407" s="27" t="s">
        <v>8</v>
      </c>
      <c r="P407" s="27" t="s">
        <v>7</v>
      </c>
      <c r="AC407" s="27" t="s">
        <v>8</v>
      </c>
      <c r="AD407" s="27" t="s">
        <v>7</v>
      </c>
      <c r="AK407" s="27" t="s">
        <v>8</v>
      </c>
      <c r="AN407" s="27" t="s">
        <v>7</v>
      </c>
      <c r="AY407" s="27" t="s">
        <v>8</v>
      </c>
      <c r="GD407" s="27" t="s">
        <v>7</v>
      </c>
      <c r="GE407" s="27" t="s">
        <v>8</v>
      </c>
      <c r="GF407" s="27" t="s">
        <v>7</v>
      </c>
      <c r="GG407" s="27" t="s">
        <v>8</v>
      </c>
      <c r="GI407" s="27" t="s">
        <v>8</v>
      </c>
      <c r="GJ407" s="27" t="s">
        <v>7</v>
      </c>
      <c r="GK407" s="27" t="s">
        <v>8</v>
      </c>
    </row>
    <row r="408" spans="1:216" x14ac:dyDescent="0.25">
      <c r="A408" s="7">
        <v>34.628266036263945</v>
      </c>
      <c r="B408"/>
      <c r="C408"/>
      <c r="D408"/>
      <c r="E408" t="s">
        <v>8</v>
      </c>
      <c r="J408" s="27" t="s">
        <v>7</v>
      </c>
      <c r="K408" s="27" t="s">
        <v>8</v>
      </c>
      <c r="L408" s="27" t="s">
        <v>7</v>
      </c>
      <c r="O408" s="27" t="s">
        <v>8</v>
      </c>
      <c r="P408" s="27" t="s">
        <v>7</v>
      </c>
      <c r="Q408" s="27" t="s">
        <v>8</v>
      </c>
      <c r="AC408" s="27" t="s">
        <v>8</v>
      </c>
      <c r="AD408" s="27" t="s">
        <v>7</v>
      </c>
      <c r="AK408" s="27" t="s">
        <v>8</v>
      </c>
      <c r="AN408" s="27" t="s">
        <v>7</v>
      </c>
      <c r="AW408" s="27" t="s">
        <v>8</v>
      </c>
      <c r="AY408" s="27" t="s">
        <v>8</v>
      </c>
      <c r="GD408" s="27" t="s">
        <v>7</v>
      </c>
      <c r="GE408" s="27" t="s">
        <v>8</v>
      </c>
      <c r="GF408" s="27" t="s">
        <v>7</v>
      </c>
      <c r="GG408" s="27" t="s">
        <v>8</v>
      </c>
      <c r="GH408" s="27" t="s">
        <v>7</v>
      </c>
      <c r="GI408" s="27" t="s">
        <v>8</v>
      </c>
      <c r="GJ408" s="27" t="s">
        <v>7</v>
      </c>
    </row>
    <row r="409" spans="1:216" x14ac:dyDescent="0.25">
      <c r="A409" s="7">
        <v>33.949280427709752</v>
      </c>
      <c r="B409"/>
      <c r="C409"/>
      <c r="D409"/>
      <c r="E409" t="s">
        <v>8</v>
      </c>
      <c r="J409" s="27" t="s">
        <v>7</v>
      </c>
      <c r="K409" s="27" t="s">
        <v>8</v>
      </c>
      <c r="L409" s="27" t="s">
        <v>7</v>
      </c>
      <c r="O409" s="27" t="s">
        <v>8</v>
      </c>
      <c r="P409" s="27" t="s">
        <v>7</v>
      </c>
      <c r="Q409" s="27" t="s">
        <v>8</v>
      </c>
      <c r="R409" s="27" t="s">
        <v>7</v>
      </c>
      <c r="AC409" s="27" t="s">
        <v>8</v>
      </c>
      <c r="AD409" s="27" t="s">
        <v>7</v>
      </c>
      <c r="AK409" s="27" t="s">
        <v>8</v>
      </c>
      <c r="AN409" s="27" t="s">
        <v>7</v>
      </c>
      <c r="AU409" s="27" t="s">
        <v>8</v>
      </c>
      <c r="AW409" s="27" t="s">
        <v>8</v>
      </c>
      <c r="AX409" s="27" t="s">
        <v>7</v>
      </c>
      <c r="AY409" s="27" t="s">
        <v>8</v>
      </c>
      <c r="GD409" s="27" t="s">
        <v>7</v>
      </c>
      <c r="GE409" s="27" t="s">
        <v>8</v>
      </c>
      <c r="GF409" s="27" t="s">
        <v>7</v>
      </c>
      <c r="GG409" s="27" t="s">
        <v>8</v>
      </c>
      <c r="GH409" s="27" t="s">
        <v>7</v>
      </c>
      <c r="GI409" s="27" t="s">
        <v>8</v>
      </c>
    </row>
    <row r="410" spans="1:216" x14ac:dyDescent="0.25">
      <c r="A410" s="7">
        <v>33.28360826246054</v>
      </c>
      <c r="B410"/>
      <c r="C410"/>
      <c r="D410"/>
      <c r="E410" t="s">
        <v>8</v>
      </c>
      <c r="J410" s="27" t="s">
        <v>7</v>
      </c>
      <c r="K410" s="27" t="s">
        <v>8</v>
      </c>
      <c r="L410" s="27" t="s">
        <v>7</v>
      </c>
      <c r="O410" s="27" t="s">
        <v>8</v>
      </c>
      <c r="P410" s="27" t="s">
        <v>7</v>
      </c>
      <c r="Q410" s="27" t="s">
        <v>8</v>
      </c>
      <c r="R410" s="27" t="s">
        <v>7</v>
      </c>
      <c r="AC410" s="27" t="s">
        <v>8</v>
      </c>
      <c r="AD410" s="27" t="s">
        <v>7</v>
      </c>
      <c r="AI410" s="27" t="s">
        <v>8</v>
      </c>
      <c r="AK410" s="27" t="s">
        <v>8</v>
      </c>
      <c r="AN410" s="27" t="s">
        <v>7</v>
      </c>
      <c r="AU410" s="27" t="s">
        <v>8</v>
      </c>
      <c r="AV410" s="27" t="s">
        <v>7</v>
      </c>
      <c r="AW410" s="27" t="s">
        <v>8</v>
      </c>
      <c r="AX410" s="27" t="s">
        <v>7</v>
      </c>
      <c r="AY410" s="27" t="s">
        <v>8</v>
      </c>
      <c r="GD410" s="27" t="s">
        <v>7</v>
      </c>
      <c r="GE410" s="27" t="s">
        <v>8</v>
      </c>
      <c r="GF410" s="27" t="s">
        <v>7</v>
      </c>
      <c r="GG410" s="27" t="s">
        <v>8</v>
      </c>
      <c r="GH410" s="27" t="s">
        <v>7</v>
      </c>
      <c r="GI410" s="27" t="s">
        <v>8</v>
      </c>
    </row>
    <row r="411" spans="1:216" x14ac:dyDescent="0.25">
      <c r="A411" s="7">
        <v>32.630988492608374</v>
      </c>
      <c r="B411"/>
      <c r="C411"/>
      <c r="D411"/>
      <c r="E411" t="s">
        <v>8</v>
      </c>
      <c r="J411" s="27" t="s">
        <v>7</v>
      </c>
      <c r="K411" s="27" t="s">
        <v>8</v>
      </c>
      <c r="L411" s="27" t="s">
        <v>7</v>
      </c>
      <c r="M411" s="27" t="s">
        <v>8</v>
      </c>
      <c r="O411" s="27" t="s">
        <v>8</v>
      </c>
      <c r="P411" s="27" t="s">
        <v>7</v>
      </c>
      <c r="Q411" s="27" t="s">
        <v>8</v>
      </c>
      <c r="R411" s="27" t="s">
        <v>7</v>
      </c>
      <c r="AA411" s="27" t="s">
        <v>8</v>
      </c>
      <c r="AC411" s="27" t="s">
        <v>8</v>
      </c>
      <c r="AD411" s="27" t="s">
        <v>7</v>
      </c>
      <c r="AE411" s="27" t="s">
        <v>8</v>
      </c>
      <c r="AI411" s="27" t="s">
        <v>8</v>
      </c>
      <c r="AJ411" s="27" t="s">
        <v>7</v>
      </c>
      <c r="AK411" s="27" t="s">
        <v>8</v>
      </c>
      <c r="AN411" s="27" t="s">
        <v>7</v>
      </c>
      <c r="AS411" s="27" t="s">
        <v>8</v>
      </c>
      <c r="AU411" s="27" t="s">
        <v>8</v>
      </c>
      <c r="AV411" s="27" t="s">
        <v>7</v>
      </c>
      <c r="AW411" s="27" t="s">
        <v>8</v>
      </c>
      <c r="AX411" s="27" t="s">
        <v>7</v>
      </c>
      <c r="GD411" s="27" t="s">
        <v>7</v>
      </c>
      <c r="GE411" s="27" t="s">
        <v>8</v>
      </c>
      <c r="GF411" s="27" t="s">
        <v>7</v>
      </c>
      <c r="GG411" s="27" t="s">
        <v>8</v>
      </c>
      <c r="GH411" s="27" t="s">
        <v>7</v>
      </c>
    </row>
    <row r="412" spans="1:216" x14ac:dyDescent="0.25">
      <c r="A412" s="7">
        <v>31.99116518883174</v>
      </c>
      <c r="B412"/>
      <c r="C412"/>
      <c r="D412"/>
      <c r="E412" t="s">
        <v>8</v>
      </c>
      <c r="J412" s="27" t="s">
        <v>7</v>
      </c>
      <c r="L412" s="27" t="s">
        <v>7</v>
      </c>
      <c r="M412" s="27" t="s">
        <v>8</v>
      </c>
      <c r="N412" s="27" t="s">
        <v>7</v>
      </c>
      <c r="O412" s="27" t="s">
        <v>8</v>
      </c>
      <c r="P412" s="27" t="s">
        <v>7</v>
      </c>
      <c r="Q412" s="27" t="s">
        <v>8</v>
      </c>
      <c r="R412" s="27" t="s">
        <v>7</v>
      </c>
      <c r="S412" s="27" t="s">
        <v>8</v>
      </c>
      <c r="AA412" s="27" t="s">
        <v>8</v>
      </c>
      <c r="AB412" s="27" t="s">
        <v>7</v>
      </c>
      <c r="AC412" s="27" t="s">
        <v>8</v>
      </c>
      <c r="AD412" s="27" t="s">
        <v>7</v>
      </c>
      <c r="AE412" s="27" t="s">
        <v>8</v>
      </c>
      <c r="AF412" s="27" t="s">
        <v>7</v>
      </c>
      <c r="AG412" s="27" t="s">
        <v>8</v>
      </c>
      <c r="AI412" s="27" t="s">
        <v>8</v>
      </c>
      <c r="AJ412" s="27" t="s">
        <v>7</v>
      </c>
      <c r="AK412" s="27" t="s">
        <v>8</v>
      </c>
      <c r="AN412" s="27" t="s">
        <v>7</v>
      </c>
      <c r="AO412" s="27" t="s">
        <v>8</v>
      </c>
      <c r="AQ412" s="27" t="s">
        <v>8</v>
      </c>
      <c r="AS412" s="27" t="s">
        <v>8</v>
      </c>
      <c r="AT412" s="27" t="s">
        <v>7</v>
      </c>
      <c r="AU412" s="27" t="s">
        <v>8</v>
      </c>
      <c r="AV412" s="27" t="s">
        <v>7</v>
      </c>
      <c r="AW412" s="27" t="s">
        <v>8</v>
      </c>
      <c r="GD412" s="27" t="s">
        <v>7</v>
      </c>
      <c r="GE412" s="27" t="s">
        <v>8</v>
      </c>
      <c r="GF412" s="27" t="s">
        <v>7</v>
      </c>
      <c r="GG412" s="27" t="s">
        <v>8</v>
      </c>
    </row>
    <row r="413" spans="1:216" x14ac:dyDescent="0.25">
      <c r="A413" s="7">
        <v>31.363887440031117</v>
      </c>
      <c r="B413"/>
      <c r="C413"/>
      <c r="D413"/>
      <c r="E413" t="s">
        <v>8</v>
      </c>
      <c r="L413" s="27" t="s">
        <v>7</v>
      </c>
      <c r="M413" s="27" t="s">
        <v>8</v>
      </c>
      <c r="N413" s="27" t="s">
        <v>7</v>
      </c>
      <c r="O413" s="27" t="s">
        <v>8</v>
      </c>
      <c r="P413" s="27" t="s">
        <v>7</v>
      </c>
      <c r="R413" s="27" t="s">
        <v>7</v>
      </c>
      <c r="S413" s="27" t="s">
        <v>8</v>
      </c>
      <c r="T413" s="27" t="s">
        <v>7</v>
      </c>
      <c r="AA413" s="27" t="s">
        <v>8</v>
      </c>
      <c r="AB413" s="27" t="s">
        <v>7</v>
      </c>
      <c r="AC413" s="27" t="s">
        <v>8</v>
      </c>
      <c r="AD413" s="27" t="s">
        <v>7</v>
      </c>
      <c r="AE413" s="27" t="s">
        <v>8</v>
      </c>
      <c r="AF413" s="27" t="s">
        <v>7</v>
      </c>
      <c r="AG413" s="27" t="s">
        <v>8</v>
      </c>
      <c r="AH413" s="27" t="s">
        <v>7</v>
      </c>
      <c r="AI413" s="27" t="s">
        <v>8</v>
      </c>
      <c r="AJ413" s="27" t="s">
        <v>7</v>
      </c>
      <c r="AK413" s="27" t="s">
        <v>8</v>
      </c>
      <c r="AN413" s="27" t="s">
        <v>7</v>
      </c>
      <c r="AO413" s="27" t="s">
        <v>8</v>
      </c>
      <c r="AP413" s="27" t="s">
        <v>7</v>
      </c>
      <c r="AQ413" s="27" t="s">
        <v>8</v>
      </c>
      <c r="AR413" s="27" t="s">
        <v>7</v>
      </c>
      <c r="AS413" s="27" t="s">
        <v>8</v>
      </c>
      <c r="AT413" s="27" t="s">
        <v>7</v>
      </c>
      <c r="AU413" s="27" t="s">
        <v>8</v>
      </c>
      <c r="AV413" s="27" t="s">
        <v>7</v>
      </c>
      <c r="AW413" s="27" t="s">
        <v>8</v>
      </c>
      <c r="GD413" s="27" t="s">
        <v>7</v>
      </c>
      <c r="GE413" s="27" t="s">
        <v>8</v>
      </c>
      <c r="GF413" s="27" t="s">
        <v>7</v>
      </c>
      <c r="GG413" s="27" t="s">
        <v>8</v>
      </c>
    </row>
    <row r="414" spans="1:216" x14ac:dyDescent="0.25">
      <c r="A414" s="7">
        <v>30.748909254932467</v>
      </c>
      <c r="B414"/>
      <c r="C414"/>
      <c r="D414"/>
      <c r="E414" t="s">
        <v>8</v>
      </c>
      <c r="L414" s="27" t="s">
        <v>7</v>
      </c>
      <c r="M414" s="27" t="s">
        <v>8</v>
      </c>
      <c r="N414" s="27" t="s">
        <v>7</v>
      </c>
      <c r="O414" s="27" t="s">
        <v>8</v>
      </c>
      <c r="R414" s="27" t="s">
        <v>7</v>
      </c>
      <c r="S414" s="27" t="s">
        <v>8</v>
      </c>
      <c r="T414" s="27" t="s">
        <v>7</v>
      </c>
      <c r="AA414" s="27" t="s">
        <v>8</v>
      </c>
      <c r="AB414" s="27" t="s">
        <v>7</v>
      </c>
      <c r="AC414" s="27" t="s">
        <v>8</v>
      </c>
      <c r="AD414" s="27" t="s">
        <v>7</v>
      </c>
      <c r="AE414" s="27" t="s">
        <v>8</v>
      </c>
      <c r="AF414" s="27" t="s">
        <v>7</v>
      </c>
      <c r="AG414" s="27" t="s">
        <v>8</v>
      </c>
      <c r="AH414" s="27" t="s">
        <v>7</v>
      </c>
      <c r="AI414" s="27" t="s">
        <v>8</v>
      </c>
      <c r="AJ414" s="27" t="s">
        <v>7</v>
      </c>
      <c r="AN414" s="27" t="s">
        <v>7</v>
      </c>
      <c r="AO414" s="27" t="s">
        <v>8</v>
      </c>
      <c r="AP414" s="27" t="s">
        <v>7</v>
      </c>
      <c r="AQ414" s="27" t="s">
        <v>8</v>
      </c>
      <c r="AR414" s="27" t="s">
        <v>7</v>
      </c>
      <c r="AS414" s="27" t="s">
        <v>8</v>
      </c>
      <c r="AT414" s="27" t="s">
        <v>7</v>
      </c>
      <c r="AU414" s="27" t="s">
        <v>8</v>
      </c>
      <c r="AV414" s="27" t="s">
        <v>7</v>
      </c>
      <c r="AW414" s="27" t="s">
        <v>8</v>
      </c>
      <c r="GD414" s="27" t="s">
        <v>7</v>
      </c>
      <c r="GE414" s="27" t="s">
        <v>8</v>
      </c>
      <c r="GF414" s="27" t="s">
        <v>7</v>
      </c>
      <c r="GG414" s="27" t="s">
        <v>8</v>
      </c>
    </row>
    <row r="415" spans="1:216" x14ac:dyDescent="0.25">
      <c r="A415" s="7">
        <v>30.145989465620065</v>
      </c>
      <c r="B415"/>
      <c r="C415"/>
      <c r="D415"/>
      <c r="E415" t="s">
        <v>8</v>
      </c>
      <c r="L415" s="27" t="s">
        <v>7</v>
      </c>
      <c r="M415" s="27" t="s">
        <v>8</v>
      </c>
      <c r="N415" s="27" t="s">
        <v>7</v>
      </c>
      <c r="O415" s="27" t="s">
        <v>8</v>
      </c>
      <c r="R415" s="27" t="s">
        <v>7</v>
      </c>
      <c r="T415" s="27" t="s">
        <v>7</v>
      </c>
      <c r="Y415" s="27" t="s">
        <v>8</v>
      </c>
      <c r="AA415" s="27" t="s">
        <v>8</v>
      </c>
      <c r="AB415" s="27" t="s">
        <v>7</v>
      </c>
      <c r="AC415" s="27" t="s">
        <v>8</v>
      </c>
      <c r="AD415" s="27" t="s">
        <v>7</v>
      </c>
      <c r="AE415" s="27" t="s">
        <v>8</v>
      </c>
      <c r="AF415" s="27" t="s">
        <v>7</v>
      </c>
      <c r="AH415" s="27" t="s">
        <v>7</v>
      </c>
      <c r="AI415" s="27" t="s">
        <v>8</v>
      </c>
      <c r="AN415" s="27" t="s">
        <v>7</v>
      </c>
      <c r="AP415" s="27" t="s">
        <v>7</v>
      </c>
      <c r="AQ415" s="27" t="s">
        <v>8</v>
      </c>
      <c r="AR415" s="27" t="s">
        <v>7</v>
      </c>
      <c r="AT415" s="27" t="s">
        <v>7</v>
      </c>
      <c r="AU415" s="27" t="s">
        <v>8</v>
      </c>
      <c r="AV415" s="27" t="s">
        <v>7</v>
      </c>
      <c r="GD415" s="27" t="s">
        <v>7</v>
      </c>
      <c r="GE415" s="27" t="s">
        <v>8</v>
      </c>
      <c r="GF415" s="27" t="s">
        <v>7</v>
      </c>
      <c r="GG415" s="27" t="s">
        <v>8</v>
      </c>
    </row>
    <row r="416" spans="1:216" x14ac:dyDescent="0.25">
      <c r="A416" s="7">
        <v>29.55489163296085</v>
      </c>
      <c r="B416"/>
      <c r="C416"/>
      <c r="D416"/>
      <c r="E416" t="s">
        <v>8</v>
      </c>
      <c r="L416" s="27" t="s">
        <v>7</v>
      </c>
      <c r="M416" s="27" t="s">
        <v>8</v>
      </c>
      <c r="N416" s="27" t="s">
        <v>7</v>
      </c>
      <c r="T416" s="27" t="s">
        <v>7</v>
      </c>
      <c r="Y416" s="27" t="s">
        <v>8</v>
      </c>
      <c r="Z416" s="27" t="s">
        <v>7</v>
      </c>
      <c r="AA416" s="27" t="s">
        <v>8</v>
      </c>
      <c r="AB416" s="27" t="s">
        <v>7</v>
      </c>
      <c r="AD416" s="27" t="s">
        <v>7</v>
      </c>
      <c r="AE416" s="27" t="s">
        <v>8</v>
      </c>
      <c r="AH416" s="27" t="s">
        <v>7</v>
      </c>
      <c r="AP416" s="27" t="s">
        <v>7</v>
      </c>
      <c r="AT416" s="27" t="s">
        <v>7</v>
      </c>
      <c r="AU416" s="27" t="s">
        <v>8</v>
      </c>
      <c r="GD416" s="27" t="s">
        <v>7</v>
      </c>
      <c r="GE416" s="27" t="s">
        <v>8</v>
      </c>
      <c r="GF416" s="27" t="s">
        <v>7</v>
      </c>
    </row>
    <row r="417" spans="1:187" x14ac:dyDescent="0.25">
      <c r="A417" s="7">
        <v>28.975383953883185</v>
      </c>
      <c r="B417"/>
      <c r="C417"/>
      <c r="D417"/>
      <c r="E417" t="s">
        <v>8</v>
      </c>
      <c r="L417" s="27" t="s">
        <v>7</v>
      </c>
      <c r="M417" s="27" t="s">
        <v>8</v>
      </c>
      <c r="T417" s="27" t="s">
        <v>7</v>
      </c>
      <c r="Y417" s="27" t="s">
        <v>8</v>
      </c>
      <c r="Z417" s="27" t="s">
        <v>7</v>
      </c>
      <c r="AA417" s="27" t="s">
        <v>8</v>
      </c>
      <c r="AD417" s="27" t="s">
        <v>7</v>
      </c>
      <c r="AE417" s="27" t="s">
        <v>8</v>
      </c>
      <c r="AT417" s="27" t="s">
        <v>7</v>
      </c>
      <c r="GD417" s="27" t="s">
        <v>7</v>
      </c>
      <c r="GE417" s="27" t="s">
        <v>8</v>
      </c>
    </row>
    <row r="418" spans="1:187" x14ac:dyDescent="0.25">
      <c r="A418" s="7">
        <v>28.407239170473709</v>
      </c>
      <c r="B418"/>
      <c r="C418"/>
      <c r="D418"/>
      <c r="E418" t="s">
        <v>8</v>
      </c>
      <c r="L418" s="27" t="s">
        <v>7</v>
      </c>
      <c r="M418" s="27" t="s">
        <v>8</v>
      </c>
      <c r="T418" s="27" t="s">
        <v>7</v>
      </c>
      <c r="Y418" s="27" t="s">
        <v>8</v>
      </c>
      <c r="Z418" s="27" t="s">
        <v>7</v>
      </c>
      <c r="AA418" s="27" t="s">
        <v>8</v>
      </c>
      <c r="AD418" s="27" t="s">
        <v>7</v>
      </c>
      <c r="AE418" s="27" t="s">
        <v>8</v>
      </c>
      <c r="GD418" s="27" t="s">
        <v>7</v>
      </c>
      <c r="GE418" s="27" t="s">
        <v>8</v>
      </c>
    </row>
    <row r="419" spans="1:187" x14ac:dyDescent="0.25">
      <c r="A419" s="7">
        <v>27.850234480856578</v>
      </c>
      <c r="B419"/>
      <c r="C419"/>
      <c r="D419"/>
      <c r="E419" t="s">
        <v>8</v>
      </c>
      <c r="L419" s="27" t="s">
        <v>7</v>
      </c>
      <c r="T419" s="27" t="s">
        <v>7</v>
      </c>
      <c r="Y419" s="27" t="s">
        <v>8</v>
      </c>
      <c r="Z419" s="27" t="s">
        <v>7</v>
      </c>
      <c r="AD419" s="27" t="s">
        <v>7</v>
      </c>
      <c r="AE419" s="27" t="s">
        <v>8</v>
      </c>
      <c r="GD419" s="27" t="s">
        <v>7</v>
      </c>
      <c r="GE419" s="27" t="s">
        <v>8</v>
      </c>
    </row>
    <row r="420" spans="1:187" x14ac:dyDescent="0.25">
      <c r="A420" s="7">
        <v>27.304151451820175</v>
      </c>
      <c r="B420"/>
      <c r="C420"/>
      <c r="D420"/>
      <c r="E420" t="s">
        <v>8</v>
      </c>
      <c r="T420" s="27" t="s">
        <v>7</v>
      </c>
      <c r="Y420" s="27" t="s">
        <v>8</v>
      </c>
      <c r="AD420" s="27" t="s">
        <v>7</v>
      </c>
      <c r="GD420" s="27" t="s">
        <v>7</v>
      </c>
      <c r="GE420" s="27" t="s">
        <v>8</v>
      </c>
    </row>
    <row r="421" spans="1:187" x14ac:dyDescent="0.25">
      <c r="A421" s="7">
        <v>26.768775933157034</v>
      </c>
      <c r="B421"/>
      <c r="C421"/>
      <c r="D421"/>
      <c r="E421" t="s">
        <v>8</v>
      </c>
      <c r="T421" s="27" t="s">
        <v>7</v>
      </c>
      <c r="Y421" s="27" t="s">
        <v>8</v>
      </c>
      <c r="GD421" s="27" t="s">
        <v>7</v>
      </c>
      <c r="GE421" s="27" t="s">
        <v>8</v>
      </c>
    </row>
    <row r="422" spans="1:187" x14ac:dyDescent="0.25">
      <c r="A422" s="7">
        <v>26.243897973683367</v>
      </c>
      <c r="B422"/>
      <c r="C422"/>
      <c r="D422"/>
      <c r="E422" t="s">
        <v>8</v>
      </c>
      <c r="T422" s="27" t="s">
        <v>7</v>
      </c>
      <c r="U422" s="27" t="s">
        <v>8</v>
      </c>
      <c r="Y422" s="27" t="s">
        <v>8</v>
      </c>
      <c r="GD422" s="27" t="s">
        <v>7</v>
      </c>
      <c r="GE422" s="27" t="s">
        <v>8</v>
      </c>
    </row>
    <row r="423" spans="1:187" x14ac:dyDescent="0.25">
      <c r="A423" s="7">
        <v>25.729311738905263</v>
      </c>
      <c r="B423"/>
      <c r="C423"/>
      <c r="D423"/>
      <c r="E423" t="s">
        <v>8</v>
      </c>
      <c r="T423" s="27" t="s">
        <v>7</v>
      </c>
      <c r="U423" s="27" t="s">
        <v>8</v>
      </c>
      <c r="V423" s="27" t="s">
        <v>7</v>
      </c>
      <c r="Y423" s="27" t="s">
        <v>8</v>
      </c>
      <c r="GD423" s="27" t="s">
        <v>7</v>
      </c>
      <c r="GE423" s="27" t="s">
        <v>8</v>
      </c>
    </row>
    <row r="424" spans="1:187" x14ac:dyDescent="0.25">
      <c r="A424" s="7">
        <v>25.224815430299277</v>
      </c>
      <c r="B424"/>
      <c r="C424"/>
      <c r="D424"/>
      <c r="E424" t="s">
        <v>8</v>
      </c>
      <c r="T424" s="27" t="s">
        <v>7</v>
      </c>
      <c r="U424" s="27" t="s">
        <v>8</v>
      </c>
      <c r="V424" s="27" t="s">
        <v>7</v>
      </c>
      <c r="Y424" s="27" t="s">
        <v>8</v>
      </c>
      <c r="GD424" s="27" t="s">
        <v>7</v>
      </c>
      <c r="GE424" s="27" t="s">
        <v>8</v>
      </c>
    </row>
    <row r="425" spans="1:187" x14ac:dyDescent="0.25">
      <c r="A425" s="7">
        <v>24.73021120617576</v>
      </c>
      <c r="B425"/>
      <c r="C425"/>
      <c r="D425"/>
      <c r="E425" t="s">
        <v>8</v>
      </c>
      <c r="T425" s="27" t="s">
        <v>7</v>
      </c>
      <c r="U425" s="27" t="s">
        <v>8</v>
      </c>
      <c r="V425" s="27" t="s">
        <v>7</v>
      </c>
      <c r="W425" s="27" t="s">
        <v>8</v>
      </c>
      <c r="Y425" s="27" t="s">
        <v>8</v>
      </c>
      <c r="GD425" s="27" t="s">
        <v>7</v>
      </c>
      <c r="GE425" s="27" t="s">
        <v>8</v>
      </c>
    </row>
    <row r="426" spans="1:187" x14ac:dyDescent="0.25">
      <c r="A426" s="7">
        <v>24.24530510409388</v>
      </c>
      <c r="B426"/>
      <c r="C426"/>
      <c r="D426"/>
      <c r="E426" t="s">
        <v>8</v>
      </c>
      <c r="T426" s="27" t="s">
        <v>7</v>
      </c>
      <c r="U426" s="27" t="s">
        <v>8</v>
      </c>
      <c r="V426" s="27" t="s">
        <v>7</v>
      </c>
      <c r="W426" s="27" t="s">
        <v>8</v>
      </c>
      <c r="X426" s="27" t="s">
        <v>7</v>
      </c>
      <c r="Y426" s="27" t="s">
        <v>8</v>
      </c>
      <c r="GD426" s="27" t="s">
        <v>7</v>
      </c>
    </row>
    <row r="427" spans="1:187" x14ac:dyDescent="0.25">
      <c r="A427" s="7">
        <v>23.769906964797922</v>
      </c>
      <c r="B427"/>
      <c r="C427"/>
      <c r="D427"/>
      <c r="E427" t="s">
        <v>8</v>
      </c>
      <c r="T427" s="27" t="s">
        <v>7</v>
      </c>
      <c r="U427" s="27" t="s">
        <v>8</v>
      </c>
      <c r="V427" s="27" t="s">
        <v>7</v>
      </c>
      <c r="W427" s="27" t="s">
        <v>8</v>
      </c>
      <c r="X427" s="27" t="s">
        <v>7</v>
      </c>
      <c r="Y427" s="27" t="s">
        <v>8</v>
      </c>
    </row>
    <row r="428" spans="1:187" x14ac:dyDescent="0.25">
      <c r="A428" s="7">
        <v>23.303830357645023</v>
      </c>
      <c r="B428"/>
      <c r="C428"/>
      <c r="D428"/>
      <c r="E428" t="s">
        <v>8</v>
      </c>
      <c r="T428" s="27" t="s">
        <v>7</v>
      </c>
      <c r="U428" s="27" t="s">
        <v>8</v>
      </c>
      <c r="V428" s="27" t="s">
        <v>7</v>
      </c>
      <c r="X428" s="27" t="s">
        <v>7</v>
      </c>
      <c r="Y428" s="27" t="s">
        <v>8</v>
      </c>
    </row>
    <row r="429" spans="1:187" x14ac:dyDescent="0.25">
      <c r="A429" s="7">
        <v>22.84689250749512</v>
      </c>
      <c r="B429"/>
      <c r="C429"/>
      <c r="D429"/>
      <c r="E429" t="s">
        <v>8</v>
      </c>
      <c r="T429" s="27" t="s">
        <v>7</v>
      </c>
      <c r="U429" s="27" t="s">
        <v>8</v>
      </c>
      <c r="X429" s="27" t="s">
        <v>7</v>
      </c>
    </row>
    <row r="430" spans="1:187" x14ac:dyDescent="0.25">
      <c r="A430" s="7">
        <v>22.398914223034431</v>
      </c>
      <c r="B430"/>
      <c r="C430"/>
      <c r="D430"/>
      <c r="E430" t="s">
        <v>8</v>
      </c>
      <c r="T430" s="27" t="s">
        <v>7</v>
      </c>
    </row>
    <row r="431" spans="1:187" x14ac:dyDescent="0.25">
      <c r="A431" s="7">
        <v>21.959719826504344</v>
      </c>
      <c r="B431"/>
      <c r="C431"/>
      <c r="D431"/>
      <c r="E431" t="s">
        <v>8</v>
      </c>
    </row>
    <row r="432" spans="1:187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5" zoomScale="90" zoomScaleNormal="90" workbookViewId="0">
      <pane xSplit="4" topLeftCell="BY1" activePane="topRight" state="frozen"/>
      <selection activeCell="A109" sqref="A109"/>
      <selection pane="topRight" activeCell="DS143" sqref="DS14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$A$142</v>
      </c>
      <c r="D111" s="1" t="str">
        <f>ADDRESS(C121-1,D121,1,1)</f>
        <v>$DS$142</v>
      </c>
      <c r="E111"/>
    </row>
    <row r="112" spans="1:5" x14ac:dyDescent="0.25">
      <c r="A112" s="30">
        <v>515.50191262726139</v>
      </c>
      <c r="C112" s="1" t="str">
        <f>ADDRESS(C121,1,1,1)</f>
        <v>$A$143</v>
      </c>
      <c r="D112" s="1" t="str">
        <f>ADDRESS(C121,D121-1,1,1)</f>
        <v>$DR$143</v>
      </c>
      <c r="E112"/>
    </row>
    <row r="113" spans="1:116" x14ac:dyDescent="0.25">
      <c r="A113" s="30">
        <v>490.95420250215363</v>
      </c>
      <c r="C113" s="1" t="str">
        <f>ADDRESS(C121+1,1,1,1)</f>
        <v>$A$144</v>
      </c>
      <c r="D113" s="1" t="str">
        <f>ADDRESS(C121-1,D121+1,1,1)</f>
        <v>$DT$142</v>
      </c>
    </row>
    <row r="114" spans="1:116" x14ac:dyDescent="0.25">
      <c r="A114" s="30">
        <v>467.57543095443202</v>
      </c>
      <c r="C114" s="1" t="str">
        <f>ADDRESS(C121,D121,1,1)</f>
        <v>$DS$143</v>
      </c>
      <c r="D114" s="1" t="str">
        <f>ADDRESS(C121+1,D121+1,1,1)</f>
        <v>$DT$144</v>
      </c>
    </row>
    <row r="115" spans="1:116" x14ac:dyDescent="0.25">
      <c r="A115" s="30">
        <v>445.30993424231622</v>
      </c>
      <c r="C115" s="1" t="str">
        <f>ADDRESS(C121+1,D121,1,1)</f>
        <v>$DS$144</v>
      </c>
    </row>
    <row r="116" spans="1:116" x14ac:dyDescent="0.25">
      <c r="A116" s="30">
        <v>424.10469927839637</v>
      </c>
      <c r="C116" s="1">
        <f>C117-1</f>
        <v>142</v>
      </c>
    </row>
    <row r="117" spans="1:116" x14ac:dyDescent="0.25">
      <c r="A117" s="30">
        <v>403.9092374079965</v>
      </c>
      <c r="C117" s="1">
        <f>C121</f>
        <v>143</v>
      </c>
      <c r="D117" s="1">
        <f>D121</f>
        <v>123</v>
      </c>
      <c r="CO117" s="31" t="s">
        <v>8</v>
      </c>
    </row>
    <row r="118" spans="1:116" x14ac:dyDescent="0.25">
      <c r="A118" s="30">
        <v>384.6754641980919</v>
      </c>
      <c r="C118" s="1">
        <f>C117+1</f>
        <v>144</v>
      </c>
      <c r="D118" s="1">
        <f>D117+1</f>
        <v>124</v>
      </c>
      <c r="CO118" s="27" t="s">
        <v>8</v>
      </c>
      <c r="CP118" s="31" t="s">
        <v>7</v>
      </c>
    </row>
    <row r="119" spans="1:116" x14ac:dyDescent="0.25">
      <c r="A119" s="30">
        <v>366.35758495056371</v>
      </c>
      <c r="CO119" s="27" t="s">
        <v>8</v>
      </c>
      <c r="CP119" s="27" t="s">
        <v>7</v>
      </c>
      <c r="CQ119" s="31"/>
    </row>
    <row r="120" spans="1:116" x14ac:dyDescent="0.25">
      <c r="A120" s="30">
        <v>348.91198566720351</v>
      </c>
      <c r="C120" s="1" t="s">
        <v>9</v>
      </c>
      <c r="CO120" s="27" t="s">
        <v>8</v>
      </c>
      <c r="CP120" s="27" t="s">
        <v>7</v>
      </c>
      <c r="CR120" s="31"/>
    </row>
    <row r="121" spans="1:116" x14ac:dyDescent="0.25">
      <c r="A121" s="30">
        <v>332.29712920686046</v>
      </c>
      <c r="C121" s="18">
        <v>143</v>
      </c>
      <c r="D121" s="19">
        <v>123</v>
      </c>
      <c r="E121" s="19"/>
      <c r="CI121" s="27" t="s">
        <v>8</v>
      </c>
      <c r="CO121" s="27" t="s">
        <v>8</v>
      </c>
      <c r="CP121" s="27" t="s">
        <v>7</v>
      </c>
      <c r="CS121" s="31"/>
    </row>
    <row r="122" spans="1:116" x14ac:dyDescent="0.25">
      <c r="A122" s="30">
        <v>316.47345638748612</v>
      </c>
      <c r="C122" s="1" t="str">
        <f>INDEX(1:1048576,C117,D117)</f>
        <v>X</v>
      </c>
      <c r="CI122" s="27" t="s">
        <v>8</v>
      </c>
      <c r="CJ122" s="27" t="s">
        <v>7</v>
      </c>
      <c r="CO122" s="27" t="s">
        <v>8</v>
      </c>
      <c r="CP122" s="27" t="s">
        <v>7</v>
      </c>
      <c r="CQ122" s="27" t="s">
        <v>8</v>
      </c>
      <c r="CT122" s="31"/>
    </row>
    <row r="123" spans="1:116" x14ac:dyDescent="0.25">
      <c r="A123" s="30">
        <v>301.40329179760585</v>
      </c>
      <c r="C123" s="1" t="str">
        <f>"R"&amp;C121</f>
        <v>R143</v>
      </c>
      <c r="D123" s="1" t="str">
        <f>"C"&amp;D121</f>
        <v>C123</v>
      </c>
      <c r="CI123" s="27" t="s">
        <v>8</v>
      </c>
      <c r="CJ123" s="27" t="s">
        <v>7</v>
      </c>
      <c r="CN123" s="19"/>
      <c r="CO123" s="33" t="s">
        <v>8</v>
      </c>
      <c r="CP123" s="27" t="s">
        <v>7</v>
      </c>
      <c r="CQ123" s="27" t="s">
        <v>8</v>
      </c>
      <c r="CR123" s="27" t="s">
        <v>7</v>
      </c>
      <c r="CU123" s="31"/>
    </row>
    <row r="124" spans="1:116" x14ac:dyDescent="0.25">
      <c r="A124" s="30">
        <v>287.05075409295796</v>
      </c>
      <c r="C124" s="1">
        <f>SUM(C130:D130)</f>
        <v>0</v>
      </c>
      <c r="D124" s="1">
        <f>IF(C124=0,0,1)</f>
        <v>0</v>
      </c>
      <c r="CI124" s="27" t="s">
        <v>8</v>
      </c>
      <c r="CJ124" s="27" t="s">
        <v>7</v>
      </c>
      <c r="CM124" s="27" t="s">
        <v>8</v>
      </c>
      <c r="CO124" s="27" t="s">
        <v>8</v>
      </c>
      <c r="CP124" s="27" t="s">
        <v>7</v>
      </c>
      <c r="CQ124" s="27" t="s">
        <v>8</v>
      </c>
      <c r="CR124" s="27" t="s">
        <v>7</v>
      </c>
      <c r="CV124" s="31"/>
      <c r="DK124" s="27" t="s">
        <v>8</v>
      </c>
    </row>
    <row r="125" spans="1:116" x14ac:dyDescent="0.25">
      <c r="A125" s="30">
        <v>273.38167056472184</v>
      </c>
      <c r="CI125" s="27" t="s">
        <v>8</v>
      </c>
      <c r="CJ125" s="27" t="s">
        <v>7</v>
      </c>
      <c r="CK125" s="27" t="s">
        <v>8</v>
      </c>
      <c r="CM125" s="27" t="s">
        <v>8</v>
      </c>
      <c r="CN125" s="27" t="s">
        <v>7</v>
      </c>
      <c r="CO125" s="27" t="s">
        <v>8</v>
      </c>
      <c r="CP125" s="27" t="s">
        <v>7</v>
      </c>
      <c r="CR125" s="27" t="s">
        <v>7</v>
      </c>
      <c r="CW125" s="31"/>
      <c r="DK125" s="27" t="s">
        <v>8</v>
      </c>
      <c r="DL125" s="27" t="s">
        <v>7</v>
      </c>
    </row>
    <row r="126" spans="1:116" x14ac:dyDescent="0.25">
      <c r="A126" s="30">
        <v>260.36349577592557</v>
      </c>
      <c r="C126" s="1" t="s">
        <v>10</v>
      </c>
      <c r="CI126" s="27" t="s">
        <v>8</v>
      </c>
      <c r="CJ126" s="27" t="s">
        <v>7</v>
      </c>
      <c r="CK126" s="27" t="s">
        <v>8</v>
      </c>
      <c r="CL126" s="27" t="s">
        <v>7</v>
      </c>
      <c r="CM126" s="27" t="s">
        <v>8</v>
      </c>
      <c r="CN126" s="27" t="s">
        <v>7</v>
      </c>
      <c r="CO126" s="27" t="s">
        <v>8</v>
      </c>
      <c r="CR126" s="34" t="s">
        <v>7</v>
      </c>
      <c r="CX126" s="31"/>
      <c r="DK126" s="27" t="s">
        <v>8</v>
      </c>
      <c r="DL126" s="27" t="s">
        <v>7</v>
      </c>
    </row>
    <row r="127" spans="1:116" x14ac:dyDescent="0.25">
      <c r="A127" s="30">
        <v>247.96523407231004</v>
      </c>
      <c r="C127" s="30">
        <v>113.59573078181967</v>
      </c>
      <c r="D127"/>
      <c r="CI127" s="27" t="s">
        <v>8</v>
      </c>
      <c r="CJ127" s="27" t="s">
        <v>7</v>
      </c>
      <c r="CK127" s="27" t="s">
        <v>8</v>
      </c>
      <c r="CL127" s="27" t="s">
        <v>7</v>
      </c>
      <c r="CM127" s="27" t="s">
        <v>8</v>
      </c>
      <c r="CN127" s="27" t="s">
        <v>7</v>
      </c>
      <c r="CO127" s="27" t="s">
        <v>8</v>
      </c>
      <c r="CR127" s="31" t="s">
        <v>7</v>
      </c>
      <c r="CY127" s="31"/>
      <c r="DK127" s="27" t="s">
        <v>8</v>
      </c>
      <c r="DL127" s="27" t="s">
        <v>7</v>
      </c>
    </row>
    <row r="128" spans="1:116" x14ac:dyDescent="0.25">
      <c r="A128" s="30">
        <v>236.15736578315241</v>
      </c>
      <c r="CC128" s="27" t="s">
        <v>8</v>
      </c>
      <c r="CI128" s="27" t="s">
        <v>8</v>
      </c>
      <c r="CJ128" s="32" t="s">
        <v>7</v>
      </c>
      <c r="CL128" s="32" t="s">
        <v>7</v>
      </c>
      <c r="CN128" s="27" t="s">
        <v>7</v>
      </c>
      <c r="CO128" s="27" t="s">
        <v>8</v>
      </c>
      <c r="CQ128" s="31"/>
      <c r="CR128" s="27" t="s">
        <v>7</v>
      </c>
      <c r="CZ128" s="31"/>
      <c r="DG128" s="27" t="s">
        <v>8</v>
      </c>
      <c r="DK128" s="27" t="s">
        <v>8</v>
      </c>
      <c r="DL128" s="27" t="s">
        <v>7</v>
      </c>
    </row>
    <row r="129" spans="1:123" x14ac:dyDescent="0.25">
      <c r="A129" s="30">
        <v>224.91177693633563</v>
      </c>
      <c r="C129" s="1" t="s">
        <v>11</v>
      </c>
      <c r="D129" s="1" t="s">
        <v>12</v>
      </c>
      <c r="E129"/>
      <c r="CA129" s="27" t="s">
        <v>8</v>
      </c>
      <c r="CC129" s="27" t="s">
        <v>8</v>
      </c>
      <c r="CD129" s="27" t="s">
        <v>7</v>
      </c>
      <c r="CG129" s="27" t="s">
        <v>8</v>
      </c>
      <c r="CI129" s="27" t="s">
        <v>8</v>
      </c>
      <c r="CN129" s="34" t="s">
        <v>7</v>
      </c>
      <c r="CO129" s="27" t="s">
        <v>8</v>
      </c>
      <c r="CP129" s="31"/>
      <c r="CR129" s="27" t="s">
        <v>7</v>
      </c>
      <c r="CS129" s="27" t="s">
        <v>8</v>
      </c>
      <c r="DA129" s="31"/>
      <c r="DE129" s="27" t="s">
        <v>8</v>
      </c>
      <c r="DG129" s="27" t="s">
        <v>8</v>
      </c>
      <c r="DH129" s="27" t="s">
        <v>7</v>
      </c>
      <c r="DK129" s="27" t="s">
        <v>8</v>
      </c>
      <c r="DL129" s="27" t="s">
        <v>7</v>
      </c>
    </row>
    <row r="130" spans="1:123" x14ac:dyDescent="0.25">
      <c r="A130" s="30">
        <v>214.20169232031964</v>
      </c>
      <c r="C130" s="6"/>
      <c r="D130" s="6"/>
      <c r="E130"/>
      <c r="CA130" s="27" t="s">
        <v>8</v>
      </c>
      <c r="CB130" s="27" t="s">
        <v>7</v>
      </c>
      <c r="CC130" s="27" t="s">
        <v>8</v>
      </c>
      <c r="CD130" s="27" t="s">
        <v>7</v>
      </c>
      <c r="CG130" s="27" t="s">
        <v>8</v>
      </c>
      <c r="CH130" s="27" t="s">
        <v>7</v>
      </c>
      <c r="CI130" s="27" t="s">
        <v>8</v>
      </c>
      <c r="CN130" s="27" t="s">
        <v>7</v>
      </c>
      <c r="CO130" s="31"/>
      <c r="CR130" s="27" t="s">
        <v>7</v>
      </c>
      <c r="CS130" s="27" t="s">
        <v>8</v>
      </c>
      <c r="CT130" s="27" t="s">
        <v>7</v>
      </c>
      <c r="DB130" s="31"/>
      <c r="DE130" s="27" t="s">
        <v>8</v>
      </c>
      <c r="DF130" s="27" t="s">
        <v>7</v>
      </c>
      <c r="DG130" s="27" t="s">
        <v>8</v>
      </c>
      <c r="DH130" s="27" t="s">
        <v>7</v>
      </c>
      <c r="DI130" s="27" t="s">
        <v>8</v>
      </c>
      <c r="DK130" s="27" t="s">
        <v>8</v>
      </c>
      <c r="DL130" s="27" t="s">
        <v>7</v>
      </c>
      <c r="DM130" s="27" t="s">
        <v>8</v>
      </c>
    </row>
    <row r="131" spans="1:123" x14ac:dyDescent="0.25">
      <c r="A131" s="30">
        <v>204.00161173363773</v>
      </c>
      <c r="E131"/>
      <c r="CA131" s="27" t="s">
        <v>8</v>
      </c>
      <c r="CB131" s="27" t="s">
        <v>7</v>
      </c>
      <c r="CC131" s="27" t="s">
        <v>8</v>
      </c>
      <c r="CD131" s="27" t="s">
        <v>7</v>
      </c>
      <c r="CE131" s="27" t="s">
        <v>8</v>
      </c>
      <c r="CG131" s="27" t="s">
        <v>8</v>
      </c>
      <c r="CH131" s="27" t="s">
        <v>7</v>
      </c>
      <c r="CI131" s="27" t="s">
        <v>8</v>
      </c>
      <c r="CN131" s="31"/>
      <c r="CR131" s="27" t="s">
        <v>7</v>
      </c>
      <c r="CS131" s="27" t="s">
        <v>8</v>
      </c>
      <c r="CT131" s="27" t="s">
        <v>7</v>
      </c>
      <c r="CU131" s="27" t="s">
        <v>8</v>
      </c>
      <c r="DC131" s="31"/>
      <c r="DE131" s="27" t="s">
        <v>8</v>
      </c>
      <c r="DF131" s="27" t="s">
        <v>7</v>
      </c>
      <c r="DG131" s="27" t="s">
        <v>8</v>
      </c>
      <c r="DH131" s="27" t="s">
        <v>7</v>
      </c>
      <c r="DI131" s="27" t="s">
        <v>8</v>
      </c>
      <c r="DJ131" s="27" t="s">
        <v>7</v>
      </c>
      <c r="DK131" s="27" t="s">
        <v>8</v>
      </c>
      <c r="DL131" s="27" t="s">
        <v>7</v>
      </c>
      <c r="DM131" s="27" t="s">
        <v>8</v>
      </c>
      <c r="DN131" s="27" t="s">
        <v>7</v>
      </c>
    </row>
    <row r="132" spans="1:123" x14ac:dyDescent="0.25">
      <c r="A132" s="30">
        <v>194.28724927013116</v>
      </c>
      <c r="C132" s="1" t="s">
        <v>13</v>
      </c>
      <c r="E132"/>
      <c r="CA132" s="27" t="s">
        <v>8</v>
      </c>
      <c r="CB132" s="27" t="s">
        <v>7</v>
      </c>
      <c r="CD132" s="27" t="s">
        <v>7</v>
      </c>
      <c r="CE132" s="27" t="s">
        <v>8</v>
      </c>
      <c r="CF132" s="27" t="s">
        <v>7</v>
      </c>
      <c r="CG132" s="27" t="s">
        <v>8</v>
      </c>
      <c r="CH132" s="27" t="s">
        <v>7</v>
      </c>
      <c r="CI132" s="27" t="s">
        <v>8</v>
      </c>
      <c r="CM132" s="31"/>
      <c r="CR132" s="27" t="s">
        <v>7</v>
      </c>
      <c r="CS132" s="27" t="s">
        <v>8</v>
      </c>
      <c r="CT132" s="27" t="s">
        <v>7</v>
      </c>
      <c r="CU132" s="27" t="s">
        <v>8</v>
      </c>
      <c r="CV132" s="27" t="s">
        <v>7</v>
      </c>
      <c r="CW132" s="27" t="s">
        <v>8</v>
      </c>
      <c r="DD132" s="31"/>
      <c r="DE132" s="27" t="s">
        <v>8</v>
      </c>
      <c r="DF132" s="27" t="s">
        <v>7</v>
      </c>
      <c r="DG132" s="27" t="s">
        <v>8</v>
      </c>
      <c r="DH132" s="27" t="s">
        <v>7</v>
      </c>
      <c r="DI132" s="27" t="s">
        <v>8</v>
      </c>
      <c r="DJ132" s="27" t="s">
        <v>7</v>
      </c>
      <c r="DK132" s="27" t="s">
        <v>8</v>
      </c>
      <c r="DL132" s="27" t="s">
        <v>7</v>
      </c>
      <c r="DM132" s="27" t="s">
        <v>8</v>
      </c>
      <c r="DN132" s="27" t="s">
        <v>7</v>
      </c>
    </row>
    <row r="133" spans="1:123" x14ac:dyDescent="0.25">
      <c r="A133" s="30">
        <v>185.03547549536299</v>
      </c>
      <c r="C133" s="1" t="str">
        <f>C122</f>
        <v>X</v>
      </c>
      <c r="E133"/>
      <c r="BS133" s="27" t="s">
        <v>8</v>
      </c>
      <c r="CA133" s="27" t="s">
        <v>8</v>
      </c>
      <c r="CD133" s="27" t="s">
        <v>7</v>
      </c>
      <c r="CE133" s="27" t="s">
        <v>8</v>
      </c>
      <c r="CF133" s="27" t="s">
        <v>7</v>
      </c>
      <c r="CG133" s="27" t="s">
        <v>8</v>
      </c>
      <c r="CH133" s="27" t="s">
        <v>7</v>
      </c>
      <c r="CI133" s="27" t="s">
        <v>8</v>
      </c>
      <c r="CL133" s="31"/>
      <c r="CR133" s="27" t="s">
        <v>7</v>
      </c>
      <c r="CS133" s="27" t="s">
        <v>8</v>
      </c>
      <c r="CT133" s="27" t="s">
        <v>7</v>
      </c>
      <c r="CU133" s="27" t="s">
        <v>8</v>
      </c>
      <c r="CV133" s="27" t="s">
        <v>7</v>
      </c>
      <c r="CW133" s="27" t="s">
        <v>8</v>
      </c>
      <c r="CX133" s="27" t="s">
        <v>7</v>
      </c>
      <c r="DE133" s="31" t="s">
        <v>8</v>
      </c>
      <c r="DF133" s="27" t="s">
        <v>7</v>
      </c>
      <c r="DG133" s="27" t="s">
        <v>8</v>
      </c>
      <c r="DH133" s="27" t="s">
        <v>7</v>
      </c>
      <c r="DI133" s="27" t="s">
        <v>8</v>
      </c>
      <c r="DJ133" s="27" t="s">
        <v>7</v>
      </c>
      <c r="DK133" s="27" t="s">
        <v>8</v>
      </c>
      <c r="DL133" s="27" t="s">
        <v>7</v>
      </c>
      <c r="DN133" s="27" t="s">
        <v>7</v>
      </c>
    </row>
    <row r="134" spans="1:123" x14ac:dyDescent="0.25">
      <c r="A134" s="30">
        <v>176.22426237653616</v>
      </c>
      <c r="C134"/>
      <c r="E134"/>
      <c r="BQ134" s="27" t="s">
        <v>8</v>
      </c>
      <c r="BS134" s="27" t="s">
        <v>8</v>
      </c>
      <c r="BT134" s="27" t="s">
        <v>7</v>
      </c>
      <c r="CA134" s="27" t="s">
        <v>8</v>
      </c>
      <c r="CD134" s="27" t="s">
        <v>7</v>
      </c>
      <c r="CE134" s="27" t="s">
        <v>8</v>
      </c>
      <c r="CF134" s="27" t="s">
        <v>7</v>
      </c>
      <c r="CG134" s="27" t="s">
        <v>8</v>
      </c>
      <c r="CH134" s="27" t="s">
        <v>7</v>
      </c>
      <c r="CK134" s="31"/>
      <c r="CR134" s="27" t="s">
        <v>7</v>
      </c>
      <c r="CS134" s="27" t="s">
        <v>8</v>
      </c>
      <c r="CT134" s="27" t="s">
        <v>7</v>
      </c>
      <c r="CU134" s="27" t="s">
        <v>8</v>
      </c>
      <c r="CV134" s="27" t="s">
        <v>7</v>
      </c>
      <c r="CW134" s="27" t="s">
        <v>8</v>
      </c>
      <c r="CX134" s="27" t="s">
        <v>7</v>
      </c>
      <c r="CY134" s="27" t="s">
        <v>8</v>
      </c>
      <c r="DE134" s="27" t="s">
        <v>8</v>
      </c>
      <c r="DF134" s="31" t="s">
        <v>7</v>
      </c>
      <c r="DG134" s="27" t="s">
        <v>8</v>
      </c>
      <c r="DH134" s="27" t="s">
        <v>7</v>
      </c>
      <c r="DI134" s="27" t="s">
        <v>8</v>
      </c>
      <c r="DJ134" s="27" t="s">
        <v>7</v>
      </c>
      <c r="DN134" s="27" t="s">
        <v>7</v>
      </c>
    </row>
    <row r="135" spans="1:123" x14ac:dyDescent="0.25">
      <c r="A135" s="30">
        <v>167.83263083479633</v>
      </c>
      <c r="C135" s="1" t="s">
        <v>14</v>
      </c>
      <c r="E135"/>
      <c r="BQ135" s="27" t="s">
        <v>8</v>
      </c>
      <c r="BR135" s="27" t="s">
        <v>7</v>
      </c>
      <c r="BS135" s="27" t="s">
        <v>8</v>
      </c>
      <c r="BT135" s="27" t="s">
        <v>7</v>
      </c>
      <c r="CA135" s="27" t="s">
        <v>8</v>
      </c>
      <c r="CD135" s="27" t="s">
        <v>7</v>
      </c>
      <c r="CE135" s="27" t="s">
        <v>8</v>
      </c>
      <c r="CF135" s="27" t="s">
        <v>7</v>
      </c>
      <c r="CG135" s="27" t="s">
        <v>8</v>
      </c>
      <c r="CJ135" s="31"/>
      <c r="CR135" s="27" t="s">
        <v>7</v>
      </c>
      <c r="CS135" s="27" t="s">
        <v>8</v>
      </c>
      <c r="CT135" s="27" t="s">
        <v>7</v>
      </c>
      <c r="CU135" s="27" t="s">
        <v>8</v>
      </c>
      <c r="CV135" s="27" t="s">
        <v>7</v>
      </c>
      <c r="CW135" s="27" t="s">
        <v>8</v>
      </c>
      <c r="CX135" s="27" t="s">
        <v>7</v>
      </c>
      <c r="CY135" s="27" t="s">
        <v>8</v>
      </c>
      <c r="CZ135" s="27" t="s">
        <v>7</v>
      </c>
      <c r="DE135" s="27" t="s">
        <v>8</v>
      </c>
      <c r="DF135" s="27" t="s">
        <v>7</v>
      </c>
      <c r="DH135" s="27" t="s">
        <v>7</v>
      </c>
      <c r="DI135" s="27" t="s">
        <v>8</v>
      </c>
      <c r="DN135" s="27" t="s">
        <v>7</v>
      </c>
      <c r="DO135" s="27" t="s">
        <v>8</v>
      </c>
    </row>
    <row r="136" spans="1:123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BQ136" s="27" t="s">
        <v>8</v>
      </c>
      <c r="BR136" s="27" t="s">
        <v>7</v>
      </c>
      <c r="BS136" s="27" t="s">
        <v>8</v>
      </c>
      <c r="BT136" s="27" t="s">
        <v>7</v>
      </c>
      <c r="BW136" s="27" t="s">
        <v>8</v>
      </c>
      <c r="CA136" s="27" t="s">
        <v>8</v>
      </c>
      <c r="CD136" s="32" t="s">
        <v>7</v>
      </c>
      <c r="CF136" s="32" t="s">
        <v>7</v>
      </c>
      <c r="CI136" s="31"/>
      <c r="CR136" s="27" t="s">
        <v>7</v>
      </c>
      <c r="CS136" s="27" t="s">
        <v>8</v>
      </c>
      <c r="CT136" s="27" t="s">
        <v>7</v>
      </c>
      <c r="CU136" s="27" t="s">
        <v>8</v>
      </c>
      <c r="CV136" s="27" t="s">
        <v>7</v>
      </c>
      <c r="CX136" s="27" t="s">
        <v>7</v>
      </c>
      <c r="CY136" s="27" t="s">
        <v>8</v>
      </c>
      <c r="CZ136" s="27" t="s">
        <v>7</v>
      </c>
      <c r="DE136" s="27" t="s">
        <v>8</v>
      </c>
      <c r="DH136" s="27" t="s">
        <v>7</v>
      </c>
      <c r="DI136" s="27" t="s">
        <v>8</v>
      </c>
      <c r="DN136" s="27" t="s">
        <v>7</v>
      </c>
      <c r="DO136" s="27" t="s">
        <v>8</v>
      </c>
      <c r="DP136" s="27" t="s">
        <v>7</v>
      </c>
    </row>
    <row r="137" spans="1:123" x14ac:dyDescent="0.25">
      <c r="A137" s="30">
        <v>152.22914361432771</v>
      </c>
      <c r="E137"/>
      <c r="BQ137" s="27" t="s">
        <v>8</v>
      </c>
      <c r="BR137" s="27" t="s">
        <v>7</v>
      </c>
      <c r="BT137" s="27" t="s">
        <v>7</v>
      </c>
      <c r="BU137" s="27" t="s">
        <v>8</v>
      </c>
      <c r="BW137" s="27" t="s">
        <v>8</v>
      </c>
      <c r="BX137" s="27" t="s">
        <v>7</v>
      </c>
      <c r="CA137" s="27" t="s">
        <v>8</v>
      </c>
      <c r="CH137" s="31"/>
      <c r="CR137" s="27" t="s">
        <v>7</v>
      </c>
      <c r="CT137" s="27" t="s">
        <v>7</v>
      </c>
      <c r="CU137" s="27" t="s">
        <v>8</v>
      </c>
      <c r="CX137" s="27" t="s">
        <v>7</v>
      </c>
      <c r="CY137" s="27" t="s">
        <v>8</v>
      </c>
      <c r="CZ137" s="27" t="s">
        <v>7</v>
      </c>
      <c r="DE137" s="33" t="s">
        <v>8</v>
      </c>
      <c r="DH137" s="27" t="s">
        <v>7</v>
      </c>
      <c r="DI137" s="27" t="s">
        <v>8</v>
      </c>
      <c r="DN137" s="27" t="s">
        <v>7</v>
      </c>
      <c r="DO137" s="27" t="s">
        <v>8</v>
      </c>
      <c r="DP137" s="27" t="s">
        <v>7</v>
      </c>
      <c r="DQ137" s="27" t="s">
        <v>8</v>
      </c>
    </row>
    <row r="138" spans="1:123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AA138" s="27" t="s">
        <v>8</v>
      </c>
      <c r="BQ138" s="27" t="s">
        <v>8</v>
      </c>
      <c r="BT138" s="27" t="s">
        <v>7</v>
      </c>
      <c r="BU138" s="27" t="s">
        <v>8</v>
      </c>
      <c r="BV138" s="27" t="s">
        <v>7</v>
      </c>
      <c r="BW138" s="27" t="s">
        <v>8</v>
      </c>
      <c r="BX138" s="27" t="s">
        <v>7</v>
      </c>
      <c r="BY138" s="27" t="s">
        <v>8</v>
      </c>
      <c r="CA138" s="27" t="s">
        <v>8</v>
      </c>
      <c r="CG138" s="31"/>
      <c r="CT138" s="27" t="s">
        <v>7</v>
      </c>
      <c r="CU138" s="27" t="s">
        <v>8</v>
      </c>
      <c r="CX138" s="27" t="s">
        <v>7</v>
      </c>
      <c r="CZ138" s="27" t="s">
        <v>7</v>
      </c>
      <c r="DC138" s="33" t="s">
        <v>8</v>
      </c>
      <c r="DE138" s="27" t="s">
        <v>8</v>
      </c>
      <c r="DH138" s="27" t="s">
        <v>7</v>
      </c>
      <c r="DN138" s="27" t="s">
        <v>7</v>
      </c>
      <c r="DO138" s="27" t="s">
        <v>8</v>
      </c>
      <c r="DP138" s="27" t="s">
        <v>7</v>
      </c>
      <c r="DQ138" s="27" t="s">
        <v>8</v>
      </c>
      <c r="DR138" s="27" t="s">
        <v>7</v>
      </c>
    </row>
    <row r="139" spans="1:123" x14ac:dyDescent="0.25">
      <c r="A139" s="30">
        <v>138.07632073861922</v>
      </c>
      <c r="E139"/>
      <c r="AA139" s="27" t="s">
        <v>8</v>
      </c>
      <c r="AB139" s="27" t="s">
        <v>7</v>
      </c>
      <c r="BQ139" s="27" t="s">
        <v>8</v>
      </c>
      <c r="BT139" s="27" t="s">
        <v>7</v>
      </c>
      <c r="BU139" s="27" t="s">
        <v>8</v>
      </c>
      <c r="BV139" s="27" t="s">
        <v>7</v>
      </c>
      <c r="BW139" s="27" t="s">
        <v>8</v>
      </c>
      <c r="BX139" s="27" t="s">
        <v>7</v>
      </c>
      <c r="BY139" s="27" t="s">
        <v>8</v>
      </c>
      <c r="BZ139" s="27" t="s">
        <v>7</v>
      </c>
      <c r="CA139" s="27" t="s">
        <v>8</v>
      </c>
      <c r="CF139" s="31"/>
      <c r="CT139" s="27" t="s">
        <v>7</v>
      </c>
      <c r="CU139" s="27" t="s">
        <v>8</v>
      </c>
      <c r="CZ139" s="27" t="s">
        <v>7</v>
      </c>
      <c r="DA139" s="27" t="s">
        <v>8</v>
      </c>
      <c r="DC139" s="27" t="s">
        <v>8</v>
      </c>
      <c r="DD139" s="27" t="s">
        <v>7</v>
      </c>
      <c r="DE139" s="27" t="s">
        <v>8</v>
      </c>
      <c r="DN139" s="27" t="s">
        <v>7</v>
      </c>
      <c r="DO139" s="27" t="s">
        <v>8</v>
      </c>
      <c r="DP139" s="27" t="s">
        <v>7</v>
      </c>
      <c r="DQ139" s="27" t="s">
        <v>8</v>
      </c>
      <c r="DR139" s="27" t="s">
        <v>7</v>
      </c>
    </row>
    <row r="140" spans="1:123" x14ac:dyDescent="0.25">
      <c r="A140" s="30">
        <v>131.50125784630401</v>
      </c>
      <c r="C140" s="1">
        <v>0</v>
      </c>
      <c r="E140"/>
      <c r="AA140" s="27" t="s">
        <v>8</v>
      </c>
      <c r="AB140" s="27" t="s">
        <v>7</v>
      </c>
      <c r="AC140" s="27" t="s">
        <v>8</v>
      </c>
      <c r="BQ140" s="27" t="s">
        <v>8</v>
      </c>
      <c r="BT140" s="27" t="s">
        <v>7</v>
      </c>
      <c r="BU140" s="27" t="s">
        <v>8</v>
      </c>
      <c r="BV140" s="27" t="s">
        <v>7</v>
      </c>
      <c r="BX140" s="27" t="s">
        <v>7</v>
      </c>
      <c r="BY140" s="27" t="s">
        <v>8</v>
      </c>
      <c r="BZ140" s="27" t="s">
        <v>7</v>
      </c>
      <c r="CA140" s="27" t="s">
        <v>8</v>
      </c>
      <c r="CE140" s="31"/>
      <c r="CT140" s="27" t="s">
        <v>7</v>
      </c>
      <c r="CU140" s="27" t="s">
        <v>8</v>
      </c>
      <c r="CZ140" s="27" t="s">
        <v>7</v>
      </c>
      <c r="DA140" s="27" t="s">
        <v>8</v>
      </c>
      <c r="DB140" s="27" t="s">
        <v>7</v>
      </c>
      <c r="DC140" s="27" t="s">
        <v>8</v>
      </c>
      <c r="DD140" s="27" t="s">
        <v>7</v>
      </c>
      <c r="DE140" s="27" t="s">
        <v>8</v>
      </c>
      <c r="DN140" s="27" t="s">
        <v>7</v>
      </c>
      <c r="DP140" s="27" t="s">
        <v>7</v>
      </c>
      <c r="DQ140" s="27" t="s">
        <v>8</v>
      </c>
      <c r="DR140" s="27" t="s">
        <v>7</v>
      </c>
    </row>
    <row r="141" spans="1:123" x14ac:dyDescent="0.25">
      <c r="A141" s="30">
        <v>125.23929318695619</v>
      </c>
      <c r="C141" s="1">
        <v>1</v>
      </c>
      <c r="E141"/>
      <c r="AA141" s="27" t="s">
        <v>8</v>
      </c>
      <c r="AB141" s="27" t="s">
        <v>7</v>
      </c>
      <c r="AC141" s="27" t="s">
        <v>8</v>
      </c>
      <c r="AD141" s="27" t="s">
        <v>7</v>
      </c>
      <c r="BQ141" s="27" t="s">
        <v>8</v>
      </c>
      <c r="BT141" s="27" t="s">
        <v>7</v>
      </c>
      <c r="BU141" s="27" t="s">
        <v>8</v>
      </c>
      <c r="BX141" s="27" t="s">
        <v>7</v>
      </c>
      <c r="BZ141" s="27" t="s">
        <v>7</v>
      </c>
      <c r="CA141" s="27" t="s">
        <v>8</v>
      </c>
      <c r="CD141" s="31"/>
      <c r="CT141" s="27" t="s">
        <v>7</v>
      </c>
      <c r="CU141" s="27" t="s">
        <v>8</v>
      </c>
      <c r="CZ141" s="27" t="s">
        <v>7</v>
      </c>
      <c r="DA141" s="27" t="s">
        <v>8</v>
      </c>
      <c r="DB141" s="27" t="s">
        <v>7</v>
      </c>
      <c r="DC141" s="27" t="s">
        <v>8</v>
      </c>
      <c r="DD141" s="27" t="s">
        <v>7</v>
      </c>
      <c r="DE141" s="27" t="s">
        <v>8</v>
      </c>
      <c r="DG141" s="31"/>
      <c r="DP141" s="27" t="s">
        <v>7</v>
      </c>
      <c r="DR141" s="27" t="s">
        <v>7</v>
      </c>
    </row>
    <row r="142" spans="1:123" x14ac:dyDescent="0.25">
      <c r="A142" s="30">
        <v>119.27551732091065</v>
      </c>
      <c r="C142" s="1">
        <v>2</v>
      </c>
      <c r="E142"/>
      <c r="Y142" s="27" t="s">
        <v>8</v>
      </c>
      <c r="AA142" s="27" t="s">
        <v>8</v>
      </c>
      <c r="AB142" s="27" t="s">
        <v>7</v>
      </c>
      <c r="AC142" s="27" t="s">
        <v>8</v>
      </c>
      <c r="AD142" s="27" t="s">
        <v>7</v>
      </c>
      <c r="BO142" s="27" t="s">
        <v>8</v>
      </c>
      <c r="BQ142" s="27" t="s">
        <v>8</v>
      </c>
      <c r="BT142" s="27" t="s">
        <v>7</v>
      </c>
      <c r="BU142" s="27" t="s">
        <v>8</v>
      </c>
      <c r="BZ142" s="27" t="s">
        <v>7</v>
      </c>
      <c r="CC142" s="31"/>
      <c r="CT142" s="27" t="s">
        <v>7</v>
      </c>
      <c r="CZ142" s="27" t="s">
        <v>7</v>
      </c>
      <c r="DA142" s="27" t="s">
        <v>8</v>
      </c>
      <c r="DB142" s="27" t="s">
        <v>7</v>
      </c>
      <c r="DD142" s="27" t="s">
        <v>7</v>
      </c>
      <c r="DE142" s="27" t="s">
        <v>8</v>
      </c>
      <c r="DF142" s="31"/>
      <c r="DR142" s="27" t="s">
        <v>7</v>
      </c>
    </row>
    <row r="143" spans="1:123" x14ac:dyDescent="0.25">
      <c r="A143" s="30">
        <v>113.59573078181967</v>
      </c>
      <c r="C143" s="1">
        <v>3</v>
      </c>
      <c r="E143"/>
      <c r="Y143" s="27" t="s">
        <v>8</v>
      </c>
      <c r="Z143" s="27" t="s">
        <v>7</v>
      </c>
      <c r="AA143" s="27" t="s">
        <v>8</v>
      </c>
      <c r="AB143" s="27" t="s">
        <v>7</v>
      </c>
      <c r="AD143" s="27" t="s">
        <v>7</v>
      </c>
      <c r="BO143" s="27" t="s">
        <v>8</v>
      </c>
      <c r="BP143" s="27" t="s">
        <v>7</v>
      </c>
      <c r="BQ143" s="27" t="s">
        <v>8</v>
      </c>
      <c r="BT143" s="27" t="s">
        <v>7</v>
      </c>
      <c r="CB143" s="31"/>
      <c r="CZ143" s="27" t="s">
        <v>7</v>
      </c>
      <c r="DA143" s="27" t="s">
        <v>8</v>
      </c>
      <c r="DD143" s="34" t="s">
        <v>7</v>
      </c>
      <c r="DE143" s="31" t="s">
        <v>8</v>
      </c>
      <c r="DR143" s="27" t="s">
        <v>7</v>
      </c>
      <c r="DS143" s="27" t="s">
        <v>8</v>
      </c>
    </row>
    <row r="144" spans="1:123" x14ac:dyDescent="0.25">
      <c r="A144" s="30">
        <v>108.18641026839968</v>
      </c>
      <c r="C144" s="1">
        <v>4</v>
      </c>
      <c r="E144"/>
      <c r="Y144" s="27" t="s">
        <v>8</v>
      </c>
      <c r="Z144" s="27" t="s">
        <v>7</v>
      </c>
      <c r="AA144" s="27" t="s">
        <v>8</v>
      </c>
      <c r="AD144" s="27" t="s">
        <v>7</v>
      </c>
      <c r="BO144" s="27" t="s">
        <v>8</v>
      </c>
      <c r="BP144" s="27" t="s">
        <v>7</v>
      </c>
      <c r="BQ144" s="27" t="s">
        <v>8</v>
      </c>
      <c r="CA144" s="31"/>
      <c r="CZ144" s="27" t="s">
        <v>7</v>
      </c>
      <c r="DD144" s="31" t="s">
        <v>7</v>
      </c>
      <c r="DR144" s="27" t="s">
        <v>7</v>
      </c>
      <c r="DS144" s="27" t="s">
        <v>8</v>
      </c>
    </row>
    <row r="145" spans="1:123" x14ac:dyDescent="0.25">
      <c r="A145" s="30">
        <v>103.03467644609493</v>
      </c>
      <c r="E145"/>
      <c r="W145" s="27" t="s">
        <v>8</v>
      </c>
      <c r="Y145" s="27" t="s">
        <v>8</v>
      </c>
      <c r="Z145" s="27" t="s">
        <v>7</v>
      </c>
      <c r="AD145" s="27" t="s">
        <v>7</v>
      </c>
      <c r="AE145" s="27" t="s">
        <v>8</v>
      </c>
      <c r="AG145" s="27" t="s">
        <v>8</v>
      </c>
      <c r="BO145" s="27" t="s">
        <v>8</v>
      </c>
      <c r="BP145" s="27" t="s">
        <v>7</v>
      </c>
      <c r="BQ145" s="27" t="s">
        <v>8</v>
      </c>
      <c r="BZ145" s="31"/>
      <c r="DR145" s="27" t="s">
        <v>7</v>
      </c>
      <c r="DS145" s="27" t="s">
        <v>8</v>
      </c>
    </row>
    <row r="146" spans="1:123" x14ac:dyDescent="0.25">
      <c r="A146" s="30">
        <v>98.128263281995174</v>
      </c>
      <c r="E146"/>
      <c r="S146" s="27" t="s">
        <v>8</v>
      </c>
      <c r="W146" s="27" t="s">
        <v>8</v>
      </c>
      <c r="X146" s="27" t="s">
        <v>7</v>
      </c>
      <c r="Y146" s="27" t="s">
        <v>8</v>
      </c>
      <c r="AD146" s="27" t="s">
        <v>7</v>
      </c>
      <c r="AE146" s="27" t="s">
        <v>8</v>
      </c>
      <c r="AF146" s="27" t="s">
        <v>7</v>
      </c>
      <c r="AG146" s="27" t="s">
        <v>8</v>
      </c>
      <c r="AH146" s="27" t="s">
        <v>7</v>
      </c>
      <c r="BO146" s="27" t="s">
        <v>8</v>
      </c>
      <c r="BP146" s="27" t="s">
        <v>7</v>
      </c>
      <c r="BY146" s="31"/>
      <c r="DR146" s="27" t="s">
        <v>7</v>
      </c>
    </row>
    <row r="147" spans="1:123" x14ac:dyDescent="0.25">
      <c r="A147" s="30">
        <v>93.455488839995397</v>
      </c>
      <c r="E147"/>
      <c r="S147" s="27" t="s">
        <v>8</v>
      </c>
      <c r="T147" s="27" t="s">
        <v>7</v>
      </c>
      <c r="U147" s="27" t="s">
        <v>8</v>
      </c>
      <c r="W147" s="27" t="s">
        <v>8</v>
      </c>
      <c r="X147" s="27" t="s">
        <v>7</v>
      </c>
      <c r="Y147" s="27" t="s">
        <v>8</v>
      </c>
      <c r="AD147" s="27" t="s">
        <v>7</v>
      </c>
      <c r="AE147" s="27" t="s">
        <v>8</v>
      </c>
      <c r="AF147" s="27" t="s">
        <v>7</v>
      </c>
      <c r="AG147" s="27" t="s">
        <v>8</v>
      </c>
      <c r="AH147" s="27" t="s">
        <v>7</v>
      </c>
      <c r="BK147" s="27" t="s">
        <v>8</v>
      </c>
      <c r="BO147" s="27" t="s">
        <v>8</v>
      </c>
      <c r="BX147" s="31"/>
    </row>
    <row r="148" spans="1:123" x14ac:dyDescent="0.25">
      <c r="A148" s="30">
        <v>89.005227466662276</v>
      </c>
      <c r="E148"/>
      <c r="S148" s="27" t="s">
        <v>8</v>
      </c>
      <c r="T148" s="27" t="s">
        <v>7</v>
      </c>
      <c r="U148" s="27" t="s">
        <v>8</v>
      </c>
      <c r="V148" s="27" t="s">
        <v>7</v>
      </c>
      <c r="W148" s="27" t="s">
        <v>8</v>
      </c>
      <c r="X148" s="27" t="s">
        <v>7</v>
      </c>
      <c r="Y148" s="27" t="s">
        <v>8</v>
      </c>
      <c r="AD148" s="27" t="s">
        <v>7</v>
      </c>
      <c r="AE148" s="27" t="s">
        <v>8</v>
      </c>
      <c r="AF148" s="27" t="s">
        <v>7</v>
      </c>
      <c r="AG148" s="27" t="s">
        <v>8</v>
      </c>
      <c r="AH148" s="27" t="s">
        <v>7</v>
      </c>
      <c r="BK148" s="27" t="s">
        <v>8</v>
      </c>
      <c r="BL148" s="27" t="s">
        <v>7</v>
      </c>
      <c r="BM148" s="27" t="s">
        <v>8</v>
      </c>
      <c r="BO148" s="27" t="s">
        <v>8</v>
      </c>
      <c r="BW148" s="31"/>
    </row>
    <row r="149" spans="1:123" x14ac:dyDescent="0.25">
      <c r="A149" s="30">
        <v>84.766883301583121</v>
      </c>
      <c r="E149"/>
      <c r="S149" s="27" t="s">
        <v>8</v>
      </c>
      <c r="T149" s="27" t="s">
        <v>7</v>
      </c>
      <c r="U149" s="27" t="s">
        <v>8</v>
      </c>
      <c r="V149" s="27" t="s">
        <v>7</v>
      </c>
      <c r="W149" s="27" t="s">
        <v>8</v>
      </c>
      <c r="X149" s="27" t="s">
        <v>7</v>
      </c>
      <c r="AD149" s="27" t="s">
        <v>7</v>
      </c>
      <c r="AE149" s="27" t="s">
        <v>8</v>
      </c>
      <c r="AF149" s="27" t="s">
        <v>7</v>
      </c>
      <c r="AH149" s="27" t="s">
        <v>7</v>
      </c>
      <c r="BK149" s="27" t="s">
        <v>8</v>
      </c>
      <c r="BL149" s="27" t="s">
        <v>7</v>
      </c>
      <c r="BM149" s="27" t="s">
        <v>8</v>
      </c>
      <c r="BN149" s="27" t="s">
        <v>7</v>
      </c>
      <c r="BO149" s="27" t="s">
        <v>8</v>
      </c>
      <c r="BV149" s="31"/>
    </row>
    <row r="150" spans="1:123" x14ac:dyDescent="0.25">
      <c r="A150" s="30">
        <v>80.730365049126775</v>
      </c>
      <c r="E150"/>
      <c r="S150" s="27" t="s">
        <v>8</v>
      </c>
      <c r="T150" s="27" t="s">
        <v>7</v>
      </c>
      <c r="V150" s="27" t="s">
        <v>7</v>
      </c>
      <c r="W150" s="27" t="s">
        <v>8</v>
      </c>
      <c r="AD150" s="27" t="s">
        <v>7</v>
      </c>
      <c r="AE150" s="27" t="s">
        <v>8</v>
      </c>
      <c r="AH150" s="27" t="s">
        <v>7</v>
      </c>
      <c r="AI150" s="27" t="s">
        <v>8</v>
      </c>
      <c r="AO150" s="27" t="s">
        <v>8</v>
      </c>
      <c r="BK150" s="27" t="s">
        <v>8</v>
      </c>
      <c r="BL150" s="27" t="s">
        <v>7</v>
      </c>
      <c r="BM150" s="27" t="s">
        <v>8</v>
      </c>
      <c r="BN150" s="27" t="s">
        <v>7</v>
      </c>
      <c r="BO150" s="27" t="s">
        <v>8</v>
      </c>
      <c r="BU150" s="31"/>
    </row>
    <row r="151" spans="1:123" x14ac:dyDescent="0.25">
      <c r="A151" s="30">
        <v>76.886061951549308</v>
      </c>
      <c r="E151"/>
      <c r="S151" s="27" t="s">
        <v>8</v>
      </c>
      <c r="V151" s="27" t="s">
        <v>7</v>
      </c>
      <c r="W151" s="27" t="s">
        <v>8</v>
      </c>
      <c r="AD151" s="27" t="s">
        <v>7</v>
      </c>
      <c r="AE151" s="27" t="s">
        <v>8</v>
      </c>
      <c r="AH151" s="27" t="s">
        <v>7</v>
      </c>
      <c r="AI151" s="27" t="s">
        <v>8</v>
      </c>
      <c r="AJ151" s="27" t="s">
        <v>7</v>
      </c>
      <c r="AO151" s="27" t="s">
        <v>8</v>
      </c>
      <c r="AP151" s="27" t="s">
        <v>7</v>
      </c>
      <c r="AQ151" s="27" t="s">
        <v>8</v>
      </c>
      <c r="BK151" s="27" t="s">
        <v>8</v>
      </c>
      <c r="BL151" s="27" t="s">
        <v>7</v>
      </c>
      <c r="BM151" s="27" t="s">
        <v>8</v>
      </c>
      <c r="BN151" s="27" t="s">
        <v>7</v>
      </c>
      <c r="BO151" s="27" t="s">
        <v>8</v>
      </c>
      <c r="BT151" s="31"/>
    </row>
    <row r="152" spans="1:123" x14ac:dyDescent="0.25">
      <c r="A152" s="30">
        <v>73.22482090623744</v>
      </c>
      <c r="E152"/>
      <c r="S152" s="27" t="s">
        <v>8</v>
      </c>
      <c r="V152" s="27" t="s">
        <v>7</v>
      </c>
      <c r="W152" s="27" t="s">
        <v>8</v>
      </c>
      <c r="AD152" s="27" t="s">
        <v>7</v>
      </c>
      <c r="AH152" s="27" t="s">
        <v>7</v>
      </c>
      <c r="AI152" s="27" t="s">
        <v>8</v>
      </c>
      <c r="AJ152" s="27" t="s">
        <v>7</v>
      </c>
      <c r="AO152" s="27" t="s">
        <v>8</v>
      </c>
      <c r="AP152" s="27" t="s">
        <v>7</v>
      </c>
      <c r="AQ152" s="27" t="s">
        <v>8</v>
      </c>
      <c r="AR152" s="27" t="s">
        <v>7</v>
      </c>
      <c r="BK152" s="27" t="s">
        <v>8</v>
      </c>
      <c r="BL152" s="27" t="s">
        <v>7</v>
      </c>
      <c r="BM152" s="27" t="s">
        <v>8</v>
      </c>
      <c r="BN152" s="27" t="s">
        <v>7</v>
      </c>
      <c r="BS152" s="31"/>
    </row>
    <row r="153" spans="1:123" x14ac:dyDescent="0.25">
      <c r="A153" s="30">
        <v>69.737924672607079</v>
      </c>
      <c r="C153" s="7"/>
      <c r="D153"/>
      <c r="E153"/>
      <c r="S153" s="27" t="s">
        <v>8</v>
      </c>
      <c r="V153" s="27" t="s">
        <v>7</v>
      </c>
      <c r="AH153" s="27" t="s">
        <v>7</v>
      </c>
      <c r="AI153" s="27" t="s">
        <v>8</v>
      </c>
      <c r="AJ153" s="27" t="s">
        <v>7</v>
      </c>
      <c r="AO153" s="27" t="s">
        <v>8</v>
      </c>
      <c r="AP153" s="27" t="s">
        <v>7</v>
      </c>
      <c r="AQ153" s="27" t="s">
        <v>8</v>
      </c>
      <c r="AR153" s="27" t="s">
        <v>7</v>
      </c>
      <c r="BK153" s="27" t="s">
        <v>8</v>
      </c>
      <c r="BL153" s="27" t="s">
        <v>7</v>
      </c>
      <c r="BM153" s="27" t="s">
        <v>8</v>
      </c>
      <c r="BR153" s="31"/>
    </row>
    <row r="154" spans="1:123" x14ac:dyDescent="0.25">
      <c r="A154" s="30">
        <v>66.417071116768639</v>
      </c>
      <c r="E154"/>
      <c r="S154" s="27" t="s">
        <v>8</v>
      </c>
      <c r="AH154" s="27" t="s">
        <v>7</v>
      </c>
      <c r="AI154" s="27" t="s">
        <v>8</v>
      </c>
      <c r="AJ154" s="27" t="s">
        <v>7</v>
      </c>
      <c r="AO154" s="27" t="s">
        <v>8</v>
      </c>
      <c r="AP154" s="27" t="s">
        <v>7</v>
      </c>
      <c r="AR154" s="27" t="s">
        <v>7</v>
      </c>
      <c r="BE154" s="27" t="s">
        <v>8</v>
      </c>
      <c r="BK154" s="27" t="s">
        <v>8</v>
      </c>
      <c r="BL154" s="27" t="s">
        <v>7</v>
      </c>
      <c r="BQ154" s="31"/>
    </row>
    <row r="155" spans="1:123" x14ac:dyDescent="0.25">
      <c r="A155" s="30">
        <v>63.254353444541557</v>
      </c>
      <c r="E155"/>
      <c r="S155" s="27" t="s">
        <v>8</v>
      </c>
      <c r="AH155" s="27" t="s">
        <v>7</v>
      </c>
      <c r="AJ155" s="27" t="s">
        <v>7</v>
      </c>
      <c r="AK155" s="27" t="s">
        <v>8</v>
      </c>
      <c r="AM155" s="27" t="s">
        <v>8</v>
      </c>
      <c r="AO155" s="27" t="s">
        <v>8</v>
      </c>
      <c r="AR155" s="27" t="s">
        <v>7</v>
      </c>
      <c r="BC155" s="27" t="s">
        <v>8</v>
      </c>
      <c r="BE155" s="27" t="s">
        <v>8</v>
      </c>
      <c r="BF155" s="27" t="s">
        <v>7</v>
      </c>
      <c r="BG155" s="27" t="s">
        <v>8</v>
      </c>
      <c r="BK155" s="27" t="s">
        <v>8</v>
      </c>
      <c r="BP155" s="31"/>
    </row>
    <row r="156" spans="1:123" x14ac:dyDescent="0.25">
      <c r="A156" s="30">
        <v>60.242241375753864</v>
      </c>
      <c r="C156"/>
      <c r="D156"/>
      <c r="E156"/>
      <c r="S156" s="27" t="s">
        <v>8</v>
      </c>
      <c r="AJ156" s="27" t="s">
        <v>7</v>
      </c>
      <c r="AK156" s="27" t="s">
        <v>8</v>
      </c>
      <c r="AL156" s="27" t="s">
        <v>7</v>
      </c>
      <c r="AM156" s="27" t="s">
        <v>8</v>
      </c>
      <c r="AN156" s="27" t="s">
        <v>7</v>
      </c>
      <c r="AO156" s="27" t="s">
        <v>8</v>
      </c>
      <c r="AR156" s="27" t="s">
        <v>7</v>
      </c>
      <c r="BC156" s="27" t="s">
        <v>8</v>
      </c>
      <c r="BD156" s="27" t="s">
        <v>7</v>
      </c>
      <c r="BE156" s="27" t="s">
        <v>8</v>
      </c>
      <c r="BF156" s="27" t="s">
        <v>7</v>
      </c>
      <c r="BG156" s="27" t="s">
        <v>8</v>
      </c>
      <c r="BH156" s="27" t="s">
        <v>7</v>
      </c>
      <c r="BI156" s="27" t="s">
        <v>8</v>
      </c>
      <c r="BK156" s="27" t="s">
        <v>8</v>
      </c>
      <c r="BO156" s="31"/>
    </row>
    <row r="157" spans="1:123" x14ac:dyDescent="0.25">
      <c r="A157" s="30">
        <v>57.373563215003678</v>
      </c>
      <c r="E157"/>
      <c r="S157" s="27" t="s">
        <v>8</v>
      </c>
      <c r="AJ157" s="27" t="s">
        <v>7</v>
      </c>
      <c r="AK157" s="27" t="s">
        <v>8</v>
      </c>
      <c r="AL157" s="27" t="s">
        <v>7</v>
      </c>
      <c r="AM157" s="27" t="s">
        <v>8</v>
      </c>
      <c r="AN157" s="27" t="s">
        <v>7</v>
      </c>
      <c r="AO157" s="27" t="s">
        <v>8</v>
      </c>
      <c r="AR157" s="27" t="s">
        <v>7</v>
      </c>
      <c r="BC157" s="27" t="s">
        <v>8</v>
      </c>
      <c r="BD157" s="27" t="s">
        <v>7</v>
      </c>
      <c r="BE157" s="27" t="s">
        <v>8</v>
      </c>
      <c r="BF157" s="27" t="s">
        <v>7</v>
      </c>
      <c r="BG157" s="27" t="s">
        <v>8</v>
      </c>
      <c r="BH157" s="27" t="s">
        <v>7</v>
      </c>
      <c r="BI157" s="27" t="s">
        <v>8</v>
      </c>
      <c r="BJ157" s="27" t="s">
        <v>7</v>
      </c>
      <c r="BK157" s="27" t="s">
        <v>8</v>
      </c>
      <c r="BN157" s="31"/>
    </row>
    <row r="158" spans="1:123" x14ac:dyDescent="0.25">
      <c r="A158" s="30">
        <v>54.641488776193974</v>
      </c>
      <c r="E158" t="s">
        <v>8</v>
      </c>
      <c r="S158" s="27" t="s">
        <v>8</v>
      </c>
      <c r="AJ158" s="27" t="s">
        <v>7</v>
      </c>
      <c r="AK158" s="27" t="s">
        <v>8</v>
      </c>
      <c r="AL158" s="27" t="s">
        <v>7</v>
      </c>
      <c r="AM158" s="27" t="s">
        <v>8</v>
      </c>
      <c r="AN158" s="27" t="s">
        <v>7</v>
      </c>
      <c r="AO158" s="27" t="s">
        <v>8</v>
      </c>
      <c r="AR158" s="27" t="s">
        <v>7</v>
      </c>
      <c r="BC158" s="27" t="s">
        <v>8</v>
      </c>
      <c r="BD158" s="27" t="s">
        <v>7</v>
      </c>
      <c r="BE158" s="27" t="s">
        <v>8</v>
      </c>
      <c r="BF158" s="27" t="s">
        <v>7</v>
      </c>
      <c r="BH158" s="27" t="s">
        <v>7</v>
      </c>
      <c r="BI158" s="27" t="s">
        <v>8</v>
      </c>
      <c r="BJ158" s="27" t="s">
        <v>7</v>
      </c>
      <c r="BK158" s="27" t="s">
        <v>8</v>
      </c>
      <c r="BM158" s="31"/>
    </row>
    <row r="159" spans="1:123" x14ac:dyDescent="0.25">
      <c r="A159" s="30">
        <v>52.039513120184736</v>
      </c>
      <c r="E159" t="s">
        <v>8</v>
      </c>
      <c r="F159" s="27" t="s">
        <v>7</v>
      </c>
      <c r="Q159" s="27" t="s">
        <v>8</v>
      </c>
      <c r="S159" s="27" t="s">
        <v>8</v>
      </c>
      <c r="AJ159" s="27" t="s">
        <v>7</v>
      </c>
      <c r="AK159" s="27" t="s">
        <v>8</v>
      </c>
      <c r="AL159" s="27" t="s">
        <v>7</v>
      </c>
      <c r="AM159" s="27" t="s">
        <v>8</v>
      </c>
      <c r="AN159" s="27" t="s">
        <v>7</v>
      </c>
      <c r="AR159" s="27" t="s">
        <v>7</v>
      </c>
      <c r="BC159" s="27" t="s">
        <v>8</v>
      </c>
      <c r="BD159" s="27" t="s">
        <v>7</v>
      </c>
      <c r="BH159" s="27" t="s">
        <v>7</v>
      </c>
      <c r="BI159" s="27" t="s">
        <v>8</v>
      </c>
      <c r="BJ159" s="27" t="s">
        <v>7</v>
      </c>
      <c r="BL159" s="31"/>
    </row>
    <row r="160" spans="1:123" x14ac:dyDescent="0.25">
      <c r="A160" s="30">
        <v>49.561441066842605</v>
      </c>
      <c r="C160"/>
      <c r="E160" t="s">
        <v>8</v>
      </c>
      <c r="F160" s="27" t="s">
        <v>7</v>
      </c>
      <c r="Q160" s="27" t="s">
        <v>8</v>
      </c>
      <c r="R160" s="27" t="s">
        <v>7</v>
      </c>
      <c r="S160" s="27" t="s">
        <v>8</v>
      </c>
      <c r="AJ160" s="27" t="s">
        <v>7</v>
      </c>
      <c r="AK160" s="27" t="s">
        <v>8</v>
      </c>
      <c r="AL160" s="27" t="s">
        <v>7</v>
      </c>
      <c r="AM160" s="27" t="s">
        <v>8</v>
      </c>
      <c r="AR160" s="27" t="s">
        <v>7</v>
      </c>
      <c r="AY160" s="27" t="s">
        <v>8</v>
      </c>
      <c r="BA160" s="27" t="s">
        <v>8</v>
      </c>
      <c r="BC160" s="27" t="s">
        <v>8</v>
      </c>
      <c r="BH160" s="27" t="s">
        <v>7</v>
      </c>
      <c r="BI160" s="27" t="s">
        <v>8</v>
      </c>
      <c r="BK160" s="31"/>
    </row>
    <row r="161" spans="1:62" x14ac:dyDescent="0.25">
      <c r="A161" s="30">
        <v>47.201372444612005</v>
      </c>
      <c r="E161" t="s">
        <v>8</v>
      </c>
      <c r="F161" s="27" t="s">
        <v>7</v>
      </c>
      <c r="O161" s="27" t="s">
        <v>8</v>
      </c>
      <c r="Q161" s="27" t="s">
        <v>8</v>
      </c>
      <c r="R161" s="27" t="s">
        <v>7</v>
      </c>
      <c r="S161" s="27" t="s">
        <v>8</v>
      </c>
      <c r="AJ161" s="27" t="s">
        <v>7</v>
      </c>
      <c r="AL161" s="27" t="s">
        <v>7</v>
      </c>
      <c r="AM161" s="27" t="s">
        <v>8</v>
      </c>
      <c r="AR161" s="27" t="s">
        <v>7</v>
      </c>
      <c r="AW161" s="27" t="s">
        <v>8</v>
      </c>
      <c r="AY161" s="27" t="s">
        <v>8</v>
      </c>
      <c r="AZ161" s="27" t="s">
        <v>7</v>
      </c>
      <c r="BA161" s="27" t="s">
        <v>8</v>
      </c>
      <c r="BB161" s="27" t="s">
        <v>7</v>
      </c>
      <c r="BC161" s="27" t="s">
        <v>8</v>
      </c>
      <c r="BH161" s="27" t="s">
        <v>7</v>
      </c>
      <c r="BI161" s="27" t="s">
        <v>8</v>
      </c>
      <c r="BJ161" s="31"/>
    </row>
    <row r="162" spans="1:62" x14ac:dyDescent="0.25">
      <c r="A162" s="30">
        <v>44.95368804248762</v>
      </c>
      <c r="E162" t="s">
        <v>8</v>
      </c>
      <c r="F162" s="27" t="s">
        <v>7</v>
      </c>
      <c r="O162" s="27" t="s">
        <v>8</v>
      </c>
      <c r="P162" s="27" t="s">
        <v>7</v>
      </c>
      <c r="Q162" s="27" t="s">
        <v>8</v>
      </c>
      <c r="R162" s="27" t="s">
        <v>7</v>
      </c>
      <c r="S162" s="27" t="s">
        <v>8</v>
      </c>
      <c r="AL162" s="27" t="s">
        <v>7</v>
      </c>
      <c r="AM162" s="27" t="s">
        <v>8</v>
      </c>
      <c r="AR162" s="27" t="s">
        <v>7</v>
      </c>
      <c r="AW162" s="27" t="s">
        <v>8</v>
      </c>
      <c r="AX162" s="27" t="s">
        <v>7</v>
      </c>
      <c r="AY162" s="27" t="s">
        <v>8</v>
      </c>
      <c r="AZ162" s="27" t="s">
        <v>7</v>
      </c>
      <c r="BA162" s="27" t="s">
        <v>8</v>
      </c>
      <c r="BB162" s="27" t="s">
        <v>7</v>
      </c>
      <c r="BC162" s="27" t="s">
        <v>8</v>
      </c>
      <c r="BH162" s="27" t="s">
        <v>7</v>
      </c>
      <c r="BI162" s="31" t="s">
        <v>8</v>
      </c>
    </row>
    <row r="163" spans="1:62" x14ac:dyDescent="0.25">
      <c r="A163" s="30">
        <v>42.81303623094059</v>
      </c>
      <c r="E163" t="s">
        <v>8</v>
      </c>
      <c r="F163" s="27" t="s">
        <v>7</v>
      </c>
      <c r="O163" s="27" t="s">
        <v>8</v>
      </c>
      <c r="P163" s="27" t="s">
        <v>7</v>
      </c>
      <c r="Q163" s="27" t="s">
        <v>8</v>
      </c>
      <c r="R163" s="27" t="s">
        <v>7</v>
      </c>
      <c r="AL163" s="27" t="s">
        <v>7</v>
      </c>
      <c r="AM163" s="27" t="s">
        <v>8</v>
      </c>
      <c r="AR163" s="27" t="s">
        <v>7</v>
      </c>
      <c r="AU163" s="27" t="s">
        <v>8</v>
      </c>
      <c r="AW163" s="27" t="s">
        <v>8</v>
      </c>
      <c r="AX163" s="27" t="s">
        <v>7</v>
      </c>
      <c r="AY163" s="27" t="s">
        <v>8</v>
      </c>
      <c r="AZ163" s="27" t="s">
        <v>7</v>
      </c>
      <c r="BA163" s="27" t="s">
        <v>8</v>
      </c>
      <c r="BB163" s="27" t="s">
        <v>7</v>
      </c>
      <c r="BC163" s="27" t="s">
        <v>8</v>
      </c>
      <c r="BH163" s="31" t="s">
        <v>7</v>
      </c>
    </row>
    <row r="164" spans="1:62" x14ac:dyDescent="0.25">
      <c r="A164" s="30">
        <v>40.774320219943419</v>
      </c>
      <c r="E164" t="s">
        <v>8</v>
      </c>
      <c r="F164" s="27" t="s">
        <v>7</v>
      </c>
      <c r="M164" s="27" t="s">
        <v>8</v>
      </c>
      <c r="O164" s="27" t="s">
        <v>8</v>
      </c>
      <c r="P164" s="27" t="s">
        <v>7</v>
      </c>
      <c r="AL164" s="27" t="s">
        <v>7</v>
      </c>
      <c r="AM164" s="27" t="s">
        <v>8</v>
      </c>
      <c r="AR164" s="27" t="s">
        <v>7</v>
      </c>
      <c r="AU164" s="27" t="s">
        <v>8</v>
      </c>
      <c r="AV164" s="27" t="s">
        <v>7</v>
      </c>
      <c r="AW164" s="27" t="s">
        <v>8</v>
      </c>
      <c r="AX164" s="27" t="s">
        <v>7</v>
      </c>
      <c r="AY164" s="27" t="s">
        <v>8</v>
      </c>
      <c r="AZ164" s="27" t="s">
        <v>7</v>
      </c>
      <c r="BB164" s="27" t="s">
        <v>7</v>
      </c>
    </row>
    <row r="165" spans="1:62" x14ac:dyDescent="0.25">
      <c r="A165" s="30">
        <v>38.832685923755633</v>
      </c>
      <c r="E165" t="s">
        <v>8</v>
      </c>
      <c r="F165" s="27" t="s">
        <v>7</v>
      </c>
      <c r="M165" s="27" t="s">
        <v>8</v>
      </c>
      <c r="N165" s="27" t="s">
        <v>7</v>
      </c>
      <c r="O165" s="27" t="s">
        <v>8</v>
      </c>
      <c r="AL165" s="27" t="s">
        <v>7</v>
      </c>
      <c r="AM165" s="27" t="s">
        <v>8</v>
      </c>
      <c r="AR165" s="27" t="s">
        <v>7</v>
      </c>
      <c r="AU165" s="27" t="s">
        <v>8</v>
      </c>
      <c r="AV165" s="27" t="s">
        <v>7</v>
      </c>
      <c r="AW165" s="27" t="s">
        <v>8</v>
      </c>
      <c r="AX165" s="27" t="s">
        <v>7</v>
      </c>
    </row>
    <row r="166" spans="1:62" x14ac:dyDescent="0.25">
      <c r="A166" s="30">
        <v>36.983510403576794</v>
      </c>
      <c r="E166" t="s">
        <v>8</v>
      </c>
      <c r="F166" s="27" t="s">
        <v>7</v>
      </c>
      <c r="M166" s="27" t="s">
        <v>8</v>
      </c>
      <c r="N166" s="27" t="s">
        <v>7</v>
      </c>
      <c r="O166" s="27" t="s">
        <v>8</v>
      </c>
      <c r="AL166" s="27" t="s">
        <v>7</v>
      </c>
      <c r="AR166" s="27" t="s">
        <v>7</v>
      </c>
      <c r="AS166" s="27" t="s">
        <v>8</v>
      </c>
      <c r="AU166" s="27" t="s">
        <v>8</v>
      </c>
      <c r="AV166" s="27" t="s">
        <v>7</v>
      </c>
      <c r="AW166" s="27" t="s">
        <v>8</v>
      </c>
    </row>
    <row r="167" spans="1:62" x14ac:dyDescent="0.25">
      <c r="A167" s="30">
        <v>35.222390860549325</v>
      </c>
      <c r="E167" t="s">
        <v>8</v>
      </c>
      <c r="F167" s="27" t="s">
        <v>7</v>
      </c>
      <c r="G167" s="27" t="s">
        <v>8</v>
      </c>
      <c r="K167" s="27" t="s">
        <v>8</v>
      </c>
      <c r="M167" s="27" t="s">
        <v>8</v>
      </c>
      <c r="N167" s="27" t="s">
        <v>7</v>
      </c>
      <c r="O167" s="27" t="s">
        <v>8</v>
      </c>
      <c r="AR167" s="27" t="s">
        <v>7</v>
      </c>
      <c r="AS167" s="27" t="s">
        <v>8</v>
      </c>
      <c r="AT167" s="27" t="s">
        <v>7</v>
      </c>
      <c r="AU167" s="27" t="s">
        <v>8</v>
      </c>
      <c r="AV167" s="27" t="s">
        <v>7</v>
      </c>
    </row>
    <row r="168" spans="1:62" x14ac:dyDescent="0.25">
      <c r="A168" s="30">
        <v>33.545134152904119</v>
      </c>
      <c r="E168" t="s">
        <v>8</v>
      </c>
      <c r="F168" s="27" t="s">
        <v>7</v>
      </c>
      <c r="G168" s="27" t="s">
        <v>8</v>
      </c>
      <c r="H168" s="27" t="s">
        <v>7</v>
      </c>
      <c r="K168" s="27" t="s">
        <v>8</v>
      </c>
      <c r="L168" s="27" t="s">
        <v>7</v>
      </c>
      <c r="M168" s="27" t="s">
        <v>8</v>
      </c>
      <c r="N168" s="27" t="s">
        <v>7</v>
      </c>
      <c r="O168" s="27" t="s">
        <v>8</v>
      </c>
      <c r="AR168" s="27" t="s">
        <v>7</v>
      </c>
      <c r="AS168" s="27" t="s">
        <v>8</v>
      </c>
      <c r="AT168" s="27" t="s">
        <v>7</v>
      </c>
      <c r="AU168" s="27" t="s">
        <v>8</v>
      </c>
    </row>
    <row r="169" spans="1:62" x14ac:dyDescent="0.25">
      <c r="A169" s="30">
        <v>31.947746812289637</v>
      </c>
      <c r="E169" t="s">
        <v>8</v>
      </c>
      <c r="F169" s="27" t="s">
        <v>7</v>
      </c>
      <c r="G169" s="27" t="s">
        <v>8</v>
      </c>
      <c r="H169" s="27" t="s">
        <v>7</v>
      </c>
      <c r="K169" s="27" t="s">
        <v>8</v>
      </c>
      <c r="L169" s="27" t="s">
        <v>7</v>
      </c>
      <c r="M169" s="27" t="s">
        <v>8</v>
      </c>
      <c r="N169" s="27" t="s">
        <v>7</v>
      </c>
      <c r="O169" s="27" t="s">
        <v>8</v>
      </c>
      <c r="AR169" s="27" t="s">
        <v>7</v>
      </c>
      <c r="AS169" s="27" t="s">
        <v>8</v>
      </c>
      <c r="AT169" s="27" t="s">
        <v>7</v>
      </c>
      <c r="AU169" s="27" t="s">
        <v>8</v>
      </c>
    </row>
    <row r="170" spans="1:62" x14ac:dyDescent="0.25">
      <c r="A170" s="30">
        <v>30.426425535513939</v>
      </c>
      <c r="E170" t="s">
        <v>8</v>
      </c>
      <c r="F170" s="27" t="s">
        <v>7</v>
      </c>
      <c r="G170" s="27" t="s">
        <v>8</v>
      </c>
      <c r="H170" s="27" t="s">
        <v>7</v>
      </c>
      <c r="K170" s="27" t="s">
        <v>8</v>
      </c>
      <c r="L170" s="27" t="s">
        <v>7</v>
      </c>
      <c r="M170" s="27" t="s">
        <v>8</v>
      </c>
      <c r="N170" s="27" t="s">
        <v>7</v>
      </c>
      <c r="O170" s="27" t="s">
        <v>8</v>
      </c>
      <c r="AR170" s="27" t="s">
        <v>7</v>
      </c>
      <c r="AS170" s="27" t="s">
        <v>8</v>
      </c>
      <c r="AT170" s="27" t="s">
        <v>7</v>
      </c>
    </row>
    <row r="171" spans="1:62" x14ac:dyDescent="0.25">
      <c r="A171" s="30">
        <v>28.977548129060892</v>
      </c>
      <c r="E171" t="s">
        <v>8</v>
      </c>
      <c r="F171" s="27" t="s">
        <v>7</v>
      </c>
      <c r="H171" s="27" t="s">
        <v>7</v>
      </c>
      <c r="K171" s="27" t="s">
        <v>8</v>
      </c>
      <c r="L171" s="27" t="s">
        <v>7</v>
      </c>
      <c r="M171" s="27" t="s">
        <v>8</v>
      </c>
      <c r="N171" s="27" t="s">
        <v>7</v>
      </c>
      <c r="AR171" s="27" t="s">
        <v>7</v>
      </c>
      <c r="AS171" s="27" t="s">
        <v>8</v>
      </c>
    </row>
    <row r="172" spans="1:62" x14ac:dyDescent="0.25">
      <c r="A172" s="30">
        <v>27.597664884819896</v>
      </c>
      <c r="E172" t="s">
        <v>8</v>
      </c>
      <c r="H172" s="27" t="s">
        <v>7</v>
      </c>
      <c r="K172" s="27" t="s">
        <v>8</v>
      </c>
      <c r="L172" s="27" t="s">
        <v>7</v>
      </c>
      <c r="AR172" s="27" t="s">
        <v>7</v>
      </c>
      <c r="AS172" s="27" t="s">
        <v>8</v>
      </c>
    </row>
    <row r="173" spans="1:62" x14ac:dyDescent="0.25">
      <c r="A173" s="30">
        <v>26.283490366495137</v>
      </c>
      <c r="E173" t="s">
        <v>8</v>
      </c>
      <c r="H173" s="27" t="s">
        <v>7</v>
      </c>
      <c r="I173" s="27" t="s">
        <v>8</v>
      </c>
      <c r="K173" s="27" t="s">
        <v>8</v>
      </c>
      <c r="AR173" s="27" t="s">
        <v>7</v>
      </c>
      <c r="AS173" s="27" t="s">
        <v>8</v>
      </c>
    </row>
    <row r="174" spans="1:62" x14ac:dyDescent="0.25">
      <c r="A174" s="30">
        <v>25.031895587138223</v>
      </c>
      <c r="E174" t="s">
        <v>8</v>
      </c>
      <c r="H174" s="27" t="s">
        <v>7</v>
      </c>
      <c r="I174" s="27" t="s">
        <v>8</v>
      </c>
      <c r="J174" s="27" t="s">
        <v>7</v>
      </c>
      <c r="K174" s="27" t="s">
        <v>8</v>
      </c>
      <c r="AR174" s="27" t="s">
        <v>7</v>
      </c>
    </row>
    <row r="175" spans="1:62" x14ac:dyDescent="0.25">
      <c r="A175" s="30">
        <v>23.839900559179259</v>
      </c>
      <c r="E175" t="s">
        <v>8</v>
      </c>
      <c r="H175" s="27" t="s">
        <v>7</v>
      </c>
      <c r="I175" s="27" t="s">
        <v>8</v>
      </c>
      <c r="J175" s="27" t="s">
        <v>7</v>
      </c>
      <c r="K175" s="27" t="s">
        <v>8</v>
      </c>
    </row>
    <row r="176" spans="1:62" x14ac:dyDescent="0.25">
      <c r="A176" s="30">
        <v>22.704667199218342</v>
      </c>
      <c r="E176" t="s">
        <v>8</v>
      </c>
      <c r="H176" s="27" t="s">
        <v>7</v>
      </c>
      <c r="J176" s="27" t="s">
        <v>7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53" zoomScale="90" zoomScaleNormal="90" workbookViewId="0">
      <pane xSplit="4" topLeftCell="G1" activePane="topRight" state="frozen"/>
      <selection activeCell="A109" sqref="A109"/>
      <selection pane="topRight" activeCell="AN73" sqref="AN7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40" x14ac:dyDescent="0.25">
      <c r="A49" s="30">
        <v>955.59381772732638</v>
      </c>
      <c r="C49" s="1">
        <f>C38</f>
        <v>0</v>
      </c>
      <c r="E49"/>
    </row>
    <row r="50" spans="1:40" x14ac:dyDescent="0.25">
      <c r="A50" s="30">
        <v>868.72165247938756</v>
      </c>
      <c r="C50"/>
      <c r="D50"/>
      <c r="E50"/>
    </row>
    <row r="51" spans="1:40" x14ac:dyDescent="0.25">
      <c r="A51" s="30">
        <v>789.74695679944318</v>
      </c>
      <c r="C51" s="1" t="s">
        <v>14</v>
      </c>
      <c r="E51"/>
    </row>
    <row r="52" spans="1:40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40" x14ac:dyDescent="0.25">
      <c r="A53" s="30">
        <v>652.68343537144051</v>
      </c>
      <c r="E53"/>
    </row>
    <row r="54" spans="1:40" x14ac:dyDescent="0.25">
      <c r="A54" s="30">
        <v>593.34857761040041</v>
      </c>
      <c r="E54"/>
    </row>
    <row r="55" spans="1:40" x14ac:dyDescent="0.25">
      <c r="A55" s="30">
        <v>539.40779782763673</v>
      </c>
      <c r="E55"/>
    </row>
    <row r="56" spans="1:40" x14ac:dyDescent="0.25">
      <c r="A56" s="30">
        <v>490.37072529785149</v>
      </c>
      <c r="E56"/>
    </row>
    <row r="57" spans="1:40" x14ac:dyDescent="0.25">
      <c r="A57" s="30">
        <v>445.79156845259223</v>
      </c>
      <c r="E57"/>
    </row>
    <row r="58" spans="1:40" x14ac:dyDescent="0.25">
      <c r="A58" s="30">
        <v>405.26506222962928</v>
      </c>
      <c r="E58"/>
      <c r="AA58" s="31" t="s">
        <v>8</v>
      </c>
    </row>
    <row r="59" spans="1:40" x14ac:dyDescent="0.25">
      <c r="A59" s="30">
        <v>368.42278384511752</v>
      </c>
      <c r="E59"/>
      <c r="AA59" s="27" t="s">
        <v>8</v>
      </c>
      <c r="AB59" s="31" t="s">
        <v>7</v>
      </c>
    </row>
    <row r="60" spans="1:40" x14ac:dyDescent="0.25">
      <c r="A60" s="30">
        <v>334.92980349556137</v>
      </c>
      <c r="E60"/>
      <c r="Y60" s="27" t="s">
        <v>8</v>
      </c>
      <c r="AA60" s="27" t="s">
        <v>8</v>
      </c>
      <c r="AB60" s="27" t="s">
        <v>7</v>
      </c>
      <c r="AC60" s="31"/>
    </row>
    <row r="61" spans="1:40" x14ac:dyDescent="0.25">
      <c r="A61" s="30">
        <v>304.48163954141938</v>
      </c>
      <c r="E61"/>
      <c r="Y61" s="27" t="s">
        <v>8</v>
      </c>
      <c r="Z61" s="27" t="s">
        <v>7</v>
      </c>
      <c r="AA61" s="27" t="s">
        <v>8</v>
      </c>
      <c r="AB61" s="27" t="s">
        <v>7</v>
      </c>
      <c r="AD61" s="31"/>
    </row>
    <row r="62" spans="1:40" x14ac:dyDescent="0.25">
      <c r="A62" s="30">
        <v>276.80149049219943</v>
      </c>
      <c r="E62"/>
      <c r="Y62" s="27" t="s">
        <v>8</v>
      </c>
      <c r="Z62" s="27" t="s">
        <v>7</v>
      </c>
      <c r="AA62" s="27" t="s">
        <v>8</v>
      </c>
      <c r="AB62" s="27" t="s">
        <v>7</v>
      </c>
      <c r="AE62" s="31"/>
      <c r="AM62" s="27" t="s">
        <v>8</v>
      </c>
    </row>
    <row r="63" spans="1:40" x14ac:dyDescent="0.25">
      <c r="A63" s="30">
        <v>251.63771862927217</v>
      </c>
      <c r="E63"/>
      <c r="Y63" s="27" t="s">
        <v>8</v>
      </c>
      <c r="Z63" s="27" t="s">
        <v>7</v>
      </c>
      <c r="AA63" s="27" t="s">
        <v>8</v>
      </c>
      <c r="AB63" s="27" t="s">
        <v>7</v>
      </c>
      <c r="AF63" s="31"/>
      <c r="AM63" s="27" t="s">
        <v>8</v>
      </c>
      <c r="AN63" s="27" t="s">
        <v>7</v>
      </c>
    </row>
    <row r="64" spans="1:40" x14ac:dyDescent="0.25">
      <c r="A64" s="30">
        <v>228.76156239024741</v>
      </c>
      <c r="E64"/>
      <c r="U64" s="32" t="s">
        <v>8</v>
      </c>
      <c r="W64" s="32" t="s">
        <v>8</v>
      </c>
      <c r="Y64" s="27" t="s">
        <v>8</v>
      </c>
      <c r="Z64" s="27" t="s">
        <v>7</v>
      </c>
      <c r="AA64" s="27" t="s">
        <v>8</v>
      </c>
      <c r="AB64" s="27" t="s">
        <v>7</v>
      </c>
      <c r="AG64" s="31"/>
      <c r="AI64" s="27" t="s">
        <v>8</v>
      </c>
      <c r="AK64" s="27" t="s">
        <v>8</v>
      </c>
      <c r="AM64" s="27" t="s">
        <v>8</v>
      </c>
      <c r="AN64" s="27" t="s">
        <v>7</v>
      </c>
    </row>
    <row r="65" spans="1:40" x14ac:dyDescent="0.25">
      <c r="A65" s="30">
        <v>207.96505671840671</v>
      </c>
      <c r="E65"/>
      <c r="U65" s="27" t="s">
        <v>8</v>
      </c>
      <c r="V65" s="27" t="s">
        <v>7</v>
      </c>
      <c r="W65" s="27" t="s">
        <v>8</v>
      </c>
      <c r="X65" s="27" t="s">
        <v>7</v>
      </c>
      <c r="Y65" s="27" t="s">
        <v>8</v>
      </c>
      <c r="Z65" s="27" t="s">
        <v>7</v>
      </c>
      <c r="AB65" s="27" t="s">
        <v>7</v>
      </c>
      <c r="AC65" s="32" t="s">
        <v>8</v>
      </c>
      <c r="AE65" s="32" t="s">
        <v>8</v>
      </c>
      <c r="AH65" s="31"/>
      <c r="AI65" s="27" t="s">
        <v>8</v>
      </c>
      <c r="AJ65" s="27" t="s">
        <v>7</v>
      </c>
      <c r="AK65" s="27" t="s">
        <v>8</v>
      </c>
      <c r="AL65" s="27" t="s">
        <v>7</v>
      </c>
      <c r="AM65" s="27" t="s">
        <v>8</v>
      </c>
      <c r="AN65" s="27" t="s">
        <v>7</v>
      </c>
    </row>
    <row r="66" spans="1:40" x14ac:dyDescent="0.25">
      <c r="A66" s="30">
        <v>189.05914247127882</v>
      </c>
      <c r="E66"/>
      <c r="U66" s="27" t="s">
        <v>8</v>
      </c>
      <c r="V66" s="27" t="s">
        <v>7</v>
      </c>
      <c r="W66" s="27" t="s">
        <v>8</v>
      </c>
      <c r="X66" s="27" t="s">
        <v>7</v>
      </c>
      <c r="Y66" s="27" t="s">
        <v>8</v>
      </c>
      <c r="AB66" s="34" t="s">
        <v>7</v>
      </c>
      <c r="AC66" s="27" t="s">
        <v>8</v>
      </c>
      <c r="AD66" s="27" t="s">
        <v>7</v>
      </c>
      <c r="AE66" s="27" t="s">
        <v>8</v>
      </c>
      <c r="AF66" s="27" t="s">
        <v>7</v>
      </c>
      <c r="AI66" s="31" t="s">
        <v>8</v>
      </c>
      <c r="AJ66" s="27" t="s">
        <v>7</v>
      </c>
      <c r="AK66" s="27" t="s">
        <v>8</v>
      </c>
      <c r="AL66" s="27" t="s">
        <v>7</v>
      </c>
      <c r="AM66" s="27" t="s">
        <v>8</v>
      </c>
      <c r="AN66" s="27" t="s">
        <v>7</v>
      </c>
    </row>
    <row r="67" spans="1:40" x14ac:dyDescent="0.25">
      <c r="A67" s="30">
        <v>171.87194770116255</v>
      </c>
      <c r="C67" s="1" t="s">
        <v>15</v>
      </c>
      <c r="E67"/>
      <c r="S67" s="27" t="s">
        <v>8</v>
      </c>
      <c r="U67" s="27" t="s">
        <v>8</v>
      </c>
      <c r="V67" s="27" t="s">
        <v>7</v>
      </c>
      <c r="W67" s="27" t="s">
        <v>8</v>
      </c>
      <c r="X67" s="27" t="s">
        <v>7</v>
      </c>
      <c r="AB67" s="27" t="s">
        <v>7</v>
      </c>
      <c r="AC67" s="27" t="s">
        <v>8</v>
      </c>
      <c r="AD67" s="27" t="s">
        <v>7</v>
      </c>
      <c r="AE67" s="27" t="s">
        <v>8</v>
      </c>
      <c r="AF67" s="27" t="s">
        <v>7</v>
      </c>
      <c r="AI67" s="27" t="s">
        <v>8</v>
      </c>
      <c r="AJ67" s="31" t="s">
        <v>7</v>
      </c>
      <c r="AL67" s="27" t="s">
        <v>7</v>
      </c>
      <c r="AM67" s="27" t="s">
        <v>8</v>
      </c>
      <c r="AN67" s="27" t="s">
        <v>7</v>
      </c>
    </row>
    <row r="68" spans="1:40" x14ac:dyDescent="0.25">
      <c r="A68" s="30">
        <v>156.24722518287504</v>
      </c>
      <c r="C68" s="7">
        <v>0.11167815779424731</v>
      </c>
      <c r="D68"/>
      <c r="E68"/>
      <c r="S68" s="27" t="s">
        <v>8</v>
      </c>
      <c r="T68" s="27" t="s">
        <v>7</v>
      </c>
      <c r="U68" s="27" t="s">
        <v>8</v>
      </c>
      <c r="V68" s="27" t="s">
        <v>7</v>
      </c>
      <c r="AB68" s="27" t="s">
        <v>7</v>
      </c>
      <c r="AD68" s="27" t="s">
        <v>7</v>
      </c>
      <c r="AE68" s="27" t="s">
        <v>8</v>
      </c>
      <c r="AF68" s="27" t="s">
        <v>7</v>
      </c>
      <c r="AI68" s="27" t="s">
        <v>8</v>
      </c>
      <c r="AL68" s="27" t="s">
        <v>7</v>
      </c>
      <c r="AM68" s="27" t="s">
        <v>8</v>
      </c>
      <c r="AN68" s="27" t="s">
        <v>7</v>
      </c>
    </row>
    <row r="69" spans="1:40" x14ac:dyDescent="0.25">
      <c r="A69" s="30">
        <v>142.04293198443185</v>
      </c>
      <c r="E69"/>
      <c r="I69" s="27" t="s">
        <v>8</v>
      </c>
      <c r="S69" s="27" t="s">
        <v>8</v>
      </c>
      <c r="T69" s="27" t="s">
        <v>7</v>
      </c>
      <c r="U69" s="27" t="s">
        <v>8</v>
      </c>
      <c r="AD69" s="27" t="s">
        <v>7</v>
      </c>
      <c r="AE69" s="27" t="s">
        <v>8</v>
      </c>
      <c r="AF69" s="31" t="s">
        <v>7</v>
      </c>
      <c r="AG69" s="18" t="s">
        <v>8</v>
      </c>
      <c r="AI69" s="27" t="s">
        <v>8</v>
      </c>
      <c r="AL69" s="27" t="s">
        <v>7</v>
      </c>
      <c r="AN69" s="27" t="s">
        <v>7</v>
      </c>
    </row>
    <row r="70" spans="1:40" x14ac:dyDescent="0.25">
      <c r="A70" s="30">
        <v>129.1299381676653</v>
      </c>
      <c r="C70" s="1" t="s">
        <v>11</v>
      </c>
      <c r="D70" s="1" t="s">
        <v>12</v>
      </c>
      <c r="E70"/>
      <c r="I70" s="27" t="s">
        <v>8</v>
      </c>
      <c r="J70" s="27" t="s">
        <v>7</v>
      </c>
      <c r="S70" s="27" t="s">
        <v>8</v>
      </c>
      <c r="T70" s="27" t="s">
        <v>7</v>
      </c>
      <c r="U70" s="27" t="s">
        <v>8</v>
      </c>
      <c r="AD70" s="27" t="s">
        <v>7</v>
      </c>
      <c r="AE70" s="31"/>
      <c r="AF70" s="27" t="s">
        <v>7</v>
      </c>
      <c r="AG70" s="27" t="s">
        <v>8</v>
      </c>
      <c r="AH70" s="19" t="s">
        <v>7</v>
      </c>
      <c r="AI70" s="27" t="s">
        <v>8</v>
      </c>
      <c r="AJ70" s="31"/>
      <c r="AN70" s="27" t="s">
        <v>7</v>
      </c>
    </row>
    <row r="71" spans="1:40" x14ac:dyDescent="0.25">
      <c r="A71" s="30">
        <v>117.39085287969573</v>
      </c>
      <c r="C71"/>
      <c r="D71"/>
      <c r="E71"/>
      <c r="I71" s="27" t="s">
        <v>8</v>
      </c>
      <c r="J71" s="27" t="s">
        <v>7</v>
      </c>
      <c r="S71" s="27" t="s">
        <v>8</v>
      </c>
      <c r="T71" s="27" t="s">
        <v>7</v>
      </c>
      <c r="AD71" s="31"/>
      <c r="AF71" s="27" t="s">
        <v>7</v>
      </c>
      <c r="AG71" s="19" t="s">
        <v>8</v>
      </c>
      <c r="AH71" s="27" t="s">
        <v>7</v>
      </c>
      <c r="AI71" s="31" t="s">
        <v>8</v>
      </c>
      <c r="AN71" s="27" t="s">
        <v>7</v>
      </c>
    </row>
    <row r="72" spans="1:40" x14ac:dyDescent="0.25">
      <c r="A72" s="30">
        <v>106.71895716335975</v>
      </c>
      <c r="E72"/>
      <c r="I72" s="27" t="s">
        <v>8</v>
      </c>
      <c r="J72" s="27" t="s">
        <v>7</v>
      </c>
      <c r="K72" s="27" t="s">
        <v>8</v>
      </c>
      <c r="S72" s="27" t="s">
        <v>8</v>
      </c>
      <c r="AC72" s="31"/>
      <c r="AF72" s="32" t="s">
        <v>7</v>
      </c>
      <c r="AH72" s="32" t="s">
        <v>7</v>
      </c>
      <c r="AN72" s="27" t="s">
        <v>7</v>
      </c>
    </row>
    <row r="73" spans="1:40" x14ac:dyDescent="0.25">
      <c r="A73" s="30">
        <v>97.017233784872488</v>
      </c>
      <c r="C73" s="1" t="s">
        <v>13</v>
      </c>
      <c r="E73"/>
      <c r="G73" s="27" t="s">
        <v>8</v>
      </c>
      <c r="I73" s="27" t="s">
        <v>8</v>
      </c>
      <c r="J73" s="27" t="s">
        <v>7</v>
      </c>
      <c r="K73" s="27" t="s">
        <v>8</v>
      </c>
      <c r="L73" s="27" t="s">
        <v>7</v>
      </c>
      <c r="S73" s="27" t="s">
        <v>8</v>
      </c>
      <c r="AB73" s="31"/>
      <c r="AN73" s="27" t="s">
        <v>7</v>
      </c>
    </row>
    <row r="74" spans="1:40" x14ac:dyDescent="0.25">
      <c r="A74" s="30">
        <v>88.197485258974979</v>
      </c>
      <c r="C74" s="1">
        <f>C63</f>
        <v>0</v>
      </c>
      <c r="E74"/>
      <c r="G74" s="27" t="s">
        <v>8</v>
      </c>
      <c r="H74" s="27" t="s">
        <v>7</v>
      </c>
      <c r="I74" s="27" t="s">
        <v>8</v>
      </c>
      <c r="J74" s="27" t="s">
        <v>7</v>
      </c>
      <c r="K74" s="27" t="s">
        <v>8</v>
      </c>
      <c r="L74" s="27" t="s">
        <v>7</v>
      </c>
      <c r="Q74" s="27" t="s">
        <v>8</v>
      </c>
      <c r="S74" s="27" t="s">
        <v>8</v>
      </c>
      <c r="AA74" s="31"/>
    </row>
    <row r="75" spans="1:40" x14ac:dyDescent="0.25">
      <c r="A75" s="30">
        <v>80.179532053613613</v>
      </c>
      <c r="C75"/>
      <c r="D75"/>
      <c r="E75"/>
      <c r="G75" s="27" t="s">
        <v>8</v>
      </c>
      <c r="H75" s="27" t="s">
        <v>7</v>
      </c>
      <c r="I75" s="27" t="s">
        <v>8</v>
      </c>
      <c r="J75" s="27" t="s">
        <v>7</v>
      </c>
      <c r="K75" s="27" t="s">
        <v>8</v>
      </c>
      <c r="L75" s="27" t="s">
        <v>7</v>
      </c>
      <c r="M75" s="27" t="s">
        <v>8</v>
      </c>
      <c r="Q75" s="27" t="s">
        <v>8</v>
      </c>
      <c r="R75" s="27" t="s">
        <v>7</v>
      </c>
      <c r="S75" s="27" t="s">
        <v>8</v>
      </c>
      <c r="Z75" s="31"/>
    </row>
    <row r="76" spans="1:40" x14ac:dyDescent="0.25">
      <c r="A76" s="30">
        <v>72.890483685103277</v>
      </c>
      <c r="C76" s="1" t="s">
        <v>14</v>
      </c>
      <c r="E76"/>
      <c r="G76" s="27" t="s">
        <v>8</v>
      </c>
      <c r="H76" s="32" t="s">
        <v>7</v>
      </c>
      <c r="J76" s="32" t="s">
        <v>7</v>
      </c>
      <c r="L76" s="27" t="s">
        <v>7</v>
      </c>
      <c r="M76" s="27" t="s">
        <v>8</v>
      </c>
      <c r="N76" s="27" t="s">
        <v>7</v>
      </c>
      <c r="Q76" s="33" t="s">
        <v>8</v>
      </c>
      <c r="R76" s="27" t="s">
        <v>7</v>
      </c>
      <c r="S76" s="27" t="s">
        <v>8</v>
      </c>
      <c r="Y76" s="31"/>
    </row>
    <row r="77" spans="1:40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G77" s="27" t="s">
        <v>8</v>
      </c>
      <c r="L77" s="27" t="s">
        <v>7</v>
      </c>
      <c r="M77" s="27" t="s">
        <v>8</v>
      </c>
      <c r="N77" s="27" t="s">
        <v>7</v>
      </c>
      <c r="O77" s="27" t="s">
        <v>8</v>
      </c>
      <c r="Q77" s="27" t="s">
        <v>8</v>
      </c>
      <c r="R77" s="27" t="s">
        <v>7</v>
      </c>
      <c r="X77" s="31"/>
    </row>
    <row r="78" spans="1:40" x14ac:dyDescent="0.25">
      <c r="A78" s="30">
        <v>60.240069161242367</v>
      </c>
      <c r="E78"/>
      <c r="G78" s="27" t="s">
        <v>8</v>
      </c>
      <c r="L78" s="27" t="s">
        <v>7</v>
      </c>
      <c r="M78" s="27" t="s">
        <v>8</v>
      </c>
      <c r="N78" s="27" t="s">
        <v>7</v>
      </c>
      <c r="O78" s="27" t="s">
        <v>8</v>
      </c>
      <c r="P78" s="27" t="s">
        <v>7</v>
      </c>
      <c r="Q78" s="27" t="s">
        <v>8</v>
      </c>
      <c r="W78" s="31"/>
    </row>
    <row r="79" spans="1:40" x14ac:dyDescent="0.25">
      <c r="A79" s="30">
        <v>54.763699237493057</v>
      </c>
      <c r="E79" t="s">
        <v>8</v>
      </c>
      <c r="G79" s="27" t="s">
        <v>8</v>
      </c>
      <c r="L79" s="27" t="s">
        <v>7</v>
      </c>
      <c r="M79" s="27" t="s">
        <v>8</v>
      </c>
      <c r="N79" s="27" t="s">
        <v>7</v>
      </c>
      <c r="O79" s="27" t="s">
        <v>8</v>
      </c>
      <c r="P79" s="27" t="s">
        <v>7</v>
      </c>
      <c r="Q79" s="27" t="s">
        <v>8</v>
      </c>
      <c r="V79" s="31"/>
    </row>
    <row r="80" spans="1:40" x14ac:dyDescent="0.25">
      <c r="A80" s="30">
        <v>49.785181124993684</v>
      </c>
      <c r="E80" t="s">
        <v>8</v>
      </c>
      <c r="F80" s="27" t="s">
        <v>7</v>
      </c>
      <c r="G80" s="27" t="s">
        <v>8</v>
      </c>
      <c r="L80" s="27" t="s">
        <v>7</v>
      </c>
      <c r="M80" s="27" t="s">
        <v>8</v>
      </c>
      <c r="N80" s="27" t="s">
        <v>7</v>
      </c>
      <c r="O80" s="27" t="s">
        <v>8</v>
      </c>
      <c r="P80" s="27" t="s">
        <v>7</v>
      </c>
      <c r="Q80" s="27" t="s">
        <v>8</v>
      </c>
      <c r="U80" s="31"/>
    </row>
    <row r="81" spans="1:20" x14ac:dyDescent="0.25">
      <c r="A81" s="30">
        <v>45.259255568176073</v>
      </c>
      <c r="E81" t="s">
        <v>8</v>
      </c>
      <c r="F81" s="27" t="s">
        <v>7</v>
      </c>
      <c r="G81" s="27" t="s">
        <v>8</v>
      </c>
      <c r="L81" s="27" t="s">
        <v>7</v>
      </c>
      <c r="M81" s="27" t="s">
        <v>8</v>
      </c>
      <c r="N81" s="27" t="s">
        <v>7</v>
      </c>
      <c r="O81" s="27" t="s">
        <v>8</v>
      </c>
      <c r="P81" s="27" t="s">
        <v>7</v>
      </c>
      <c r="T81" s="31"/>
    </row>
    <row r="82" spans="1:20" x14ac:dyDescent="0.25">
      <c r="A82" s="30">
        <v>41.144777789250973</v>
      </c>
      <c r="E82" t="s">
        <v>8</v>
      </c>
      <c r="F82" s="27" t="s">
        <v>7</v>
      </c>
      <c r="G82" s="27" t="s">
        <v>8</v>
      </c>
      <c r="L82" s="27" t="s">
        <v>7</v>
      </c>
      <c r="M82" s="27" t="s">
        <v>8</v>
      </c>
      <c r="N82" s="27" t="s">
        <v>7</v>
      </c>
      <c r="O82" s="27" t="s">
        <v>8</v>
      </c>
      <c r="S82" s="31"/>
    </row>
    <row r="83" spans="1:20" x14ac:dyDescent="0.25">
      <c r="A83" s="30">
        <v>37.404343444773609</v>
      </c>
      <c r="E83" t="s">
        <v>8</v>
      </c>
      <c r="F83" s="27" t="s">
        <v>7</v>
      </c>
      <c r="G83" s="27" t="s">
        <v>8</v>
      </c>
      <c r="L83" s="27" t="s">
        <v>7</v>
      </c>
      <c r="N83" s="27" t="s">
        <v>7</v>
      </c>
      <c r="O83" s="27" t="s">
        <v>8</v>
      </c>
      <c r="R83" s="31"/>
    </row>
    <row r="84" spans="1:20" x14ac:dyDescent="0.25">
      <c r="A84" s="30">
        <v>34.003948586157826</v>
      </c>
      <c r="E84" t="s">
        <v>8</v>
      </c>
      <c r="F84" s="27" t="s">
        <v>7</v>
      </c>
      <c r="G84" s="27" t="s">
        <v>8</v>
      </c>
      <c r="N84" s="27" t="s">
        <v>7</v>
      </c>
      <c r="O84" s="27" t="s">
        <v>8</v>
      </c>
      <c r="Q84" s="31"/>
    </row>
    <row r="85" spans="1:20" x14ac:dyDescent="0.25">
      <c r="A85" s="30">
        <v>30.912680532870748</v>
      </c>
      <c r="E85" t="s">
        <v>8</v>
      </c>
      <c r="F85" s="27" t="s">
        <v>7</v>
      </c>
      <c r="G85" s="27" t="s">
        <v>8</v>
      </c>
      <c r="N85" s="27" t="s">
        <v>7</v>
      </c>
      <c r="O85" s="27" t="s">
        <v>8</v>
      </c>
      <c r="P85" s="31"/>
    </row>
    <row r="86" spans="1:20" x14ac:dyDescent="0.25">
      <c r="A86" s="30">
        <v>28.102436848064315</v>
      </c>
      <c r="E86" t="s">
        <v>8</v>
      </c>
      <c r="F86" s="27" t="s">
        <v>7</v>
      </c>
      <c r="G86" s="27" t="s">
        <v>8</v>
      </c>
      <c r="N86" s="27" t="s">
        <v>7</v>
      </c>
      <c r="O86" s="31" t="s">
        <v>8</v>
      </c>
    </row>
    <row r="87" spans="1:20" x14ac:dyDescent="0.25">
      <c r="A87" s="30">
        <v>25.547669861876649</v>
      </c>
      <c r="E87" t="s">
        <v>8</v>
      </c>
      <c r="F87" s="27" t="s">
        <v>7</v>
      </c>
      <c r="G87" s="27" t="s">
        <v>8</v>
      </c>
      <c r="N87" s="31" t="s">
        <v>7</v>
      </c>
    </row>
    <row r="88" spans="1:20" x14ac:dyDescent="0.25">
      <c r="A88" s="30">
        <v>23.225154419887861</v>
      </c>
      <c r="E88" t="s">
        <v>8</v>
      </c>
      <c r="F88" s="27" t="s">
        <v>7</v>
      </c>
    </row>
    <row r="89" spans="1:20" x14ac:dyDescent="0.25">
      <c r="A89" s="30">
        <v>21.113776745352599</v>
      </c>
      <c r="E89" t="s">
        <v>8</v>
      </c>
    </row>
    <row r="90" spans="1:20" x14ac:dyDescent="0.25">
      <c r="A90" s="30">
        <v>19.194342495775089</v>
      </c>
      <c r="E90" t="s">
        <v>8</v>
      </c>
    </row>
    <row r="91" spans="1:20" x14ac:dyDescent="0.25">
      <c r="A91" s="30">
        <v>17.449402268886445</v>
      </c>
      <c r="E91" t="s">
        <v>8</v>
      </c>
    </row>
    <row r="92" spans="1:20" x14ac:dyDescent="0.25">
      <c r="A92" s="30">
        <v>15.863092971714948</v>
      </c>
      <c r="C92" s="1" t="s">
        <v>15</v>
      </c>
      <c r="E92" t="s">
        <v>8</v>
      </c>
    </row>
    <row r="93" spans="1:20" x14ac:dyDescent="0.25">
      <c r="A93" s="30">
        <v>14.420993610649951</v>
      </c>
      <c r="C93" s="7">
        <v>0.11167815779424731</v>
      </c>
      <c r="D93"/>
      <c r="E93" t="s">
        <v>8</v>
      </c>
    </row>
    <row r="94" spans="1:20" x14ac:dyDescent="0.25">
      <c r="A94" s="30">
        <v>13.109994191499954</v>
      </c>
      <c r="E94" t="s">
        <v>8</v>
      </c>
    </row>
    <row r="95" spans="1:20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20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$A$72</v>
      </c>
      <c r="D111" s="1" t="str">
        <f>ADDRESS(C121-1,D121,1,1)</f>
        <v>$AN$72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$A$73</v>
      </c>
      <c r="D112" s="1" t="str">
        <f>ADDRESS(C121,D121-1,1,1)</f>
        <v>$AM$73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$A$74</v>
      </c>
      <c r="D113" s="1" t="str">
        <f>ADDRESS(C121-1,D121+1,1,1)</f>
        <v>$AO$72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$AN$73</v>
      </c>
      <c r="D114" s="1" t="str">
        <f>ADDRESS(C121+1,D121+1,1,1)</f>
        <v>$AO$74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$AN$74</v>
      </c>
      <c r="E115" s="1" t="s">
        <v>8</v>
      </c>
    </row>
    <row r="116" spans="1:5" x14ac:dyDescent="0.25">
      <c r="A116" s="30">
        <v>1.6105100000000008</v>
      </c>
      <c r="C116" s="1">
        <f>C117-1</f>
        <v>72</v>
      </c>
      <c r="E116" s="1" t="s">
        <v>8</v>
      </c>
    </row>
    <row r="117" spans="1:5" x14ac:dyDescent="0.25">
      <c r="A117" s="30">
        <v>1.4641000000000006</v>
      </c>
      <c r="C117" s="1">
        <f>C121</f>
        <v>73</v>
      </c>
      <c r="D117" s="1">
        <f>D121</f>
        <v>40</v>
      </c>
      <c r="E117" s="1" t="s">
        <v>8</v>
      </c>
    </row>
    <row r="118" spans="1:5" x14ac:dyDescent="0.25">
      <c r="A118" s="30">
        <v>1.3310000000000004</v>
      </c>
      <c r="C118" s="1">
        <f>C117+1</f>
        <v>74</v>
      </c>
      <c r="D118" s="1">
        <f>D117+1</f>
        <v>41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73</v>
      </c>
      <c r="D121" s="19">
        <v>40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R73</v>
      </c>
      <c r="D123" s="1" t="str">
        <f>"C"&amp;D121</f>
        <v>C40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97.017233784872488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108.18641026839968</v>
      </c>
      <c r="F3" s="30">
        <v>113.59573078181967</v>
      </c>
      <c r="G3" s="30">
        <v>185.03547549536299</v>
      </c>
      <c r="H3" s="25">
        <f>IF(G3="","",(3*(G3-F3))+E3)</f>
        <v>322.50564440902963</v>
      </c>
      <c r="I3" s="7"/>
      <c r="J3" s="7">
        <f>(E3+G3)/2</f>
        <v>146.61094288188133</v>
      </c>
      <c r="K3" s="7">
        <f>H3/2</f>
        <v>161.25282220451481</v>
      </c>
      <c r="M3" s="26">
        <f>IF(OR(J3="",H3=""),"",H3/J3)</f>
        <v>2.1997378781531998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2022-01-28T01:18:36Z</dcterms:modified>
</cp:coreProperties>
</file>