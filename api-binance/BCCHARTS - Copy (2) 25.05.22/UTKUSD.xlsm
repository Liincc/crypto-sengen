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557B21C8-FC22-4BD2-8D84-D973EC767FEF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22" i="4"/>
  <c r="C133" i="4" s="1"/>
  <c r="D136" i="4" s="1"/>
  <c r="C116" i="4"/>
  <c r="C118" i="3"/>
  <c r="C122" i="3"/>
  <c r="C133" i="3" s="1"/>
  <c r="D136" i="3" s="1"/>
  <c r="R765" i="1"/>
  <c r="C136" i="5" l="1"/>
  <c r="C138" i="5" s="1"/>
  <c r="C136" i="4"/>
  <c r="C138" i="4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S51" i="1" l="1"/>
  <c r="T51" i="1" s="1"/>
  <c r="R50" i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S35" i="1" l="1"/>
  <c r="T35" i="1" s="1"/>
  <c r="R34" i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<sst xmlns="http://schemas.openxmlformats.org/spreadsheetml/2006/main" count="6125" uniqueCount="34">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</sst>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0.23499999999999999</c:v>
                </c:pt>
                <c:pt idx="1">
                  <c:v>0.2382</c:v>
                </c:pt>
                <c:pt idx="2">
                  <c:v>0.22789999999999999</c:v>
                </c:pt>
                <c:pt idx="3">
                  <c:v>0.22120000000000001</c:v>
                </c:pt>
                <c:pt idx="4">
                  <c:v>0.2341</c:v>
                </c:pt>
                <c:pt idx="5">
                  <c:v>0.223</c:v>
                </c:pt>
                <c:pt idx="6">
                  <c:v>0.25629999999999997</c:v>
                </c:pt>
                <c:pt idx="7">
                  <c:v>0.30570000000000003</c:v>
                </c:pt>
                <c:pt idx="8">
                  <c:v>0.32829999999999998</c:v>
                </c:pt>
                <c:pt idx="9">
                  <c:v>0.3513</c:v>
                </c:pt>
                <c:pt idx="10">
                  <c:v>0.35799999999999998</c:v>
                </c:pt>
                <c:pt idx="11">
                  <c:v>0.3594</c:v>
                </c:pt>
                <c:pt idx="12">
                  <c:v>0.36559999999999998</c:v>
                </c:pt>
                <c:pt idx="13">
                  <c:v>0.37380000000000002</c:v>
                </c:pt>
                <c:pt idx="14">
                  <c:v>0.36980000000000002</c:v>
                </c:pt>
                <c:pt idx="15">
                  <c:v>0.40110000000000001</c:v>
                </c:pt>
                <c:pt idx="16">
                  <c:v>0.39360000000000001</c:v>
                </c:pt>
                <c:pt idx="17">
                  <c:v>0.38869999999999999</c:v>
                </c:pt>
                <c:pt idx="18">
                  <c:v>0.34920000000000001</c:v>
                </c:pt>
                <c:pt idx="19">
                  <c:v>0.34329999999999999</c:v>
                </c:pt>
                <c:pt idx="20">
                  <c:v>0.36249999999999999</c:v>
                </c:pt>
                <c:pt idx="21">
                  <c:v>0.39040000000000002</c:v>
                </c:pt>
                <c:pt idx="22">
                  <c:v>0.37940000000000002</c:v>
                </c:pt>
                <c:pt idx="23">
                  <c:v>0.40670000000000001</c:v>
                </c:pt>
                <c:pt idx="24">
                  <c:v>0.3921</c:v>
                </c:pt>
                <c:pt idx="25">
                  <c:v>0.36520000000000002</c:v>
                </c:pt>
                <c:pt idx="26">
                  <c:v>0.32729999999999998</c:v>
                </c:pt>
                <c:pt idx="27">
                  <c:v>0.31690000000000002</c:v>
                </c:pt>
                <c:pt idx="28">
                  <c:v>0.32700000000000001</c:v>
                </c:pt>
                <c:pt idx="29">
                  <c:v>0.31950000000000001</c:v>
                </c:pt>
                <c:pt idx="30">
                  <c:v>0.3251</c:v>
                </c:pt>
                <c:pt idx="31">
                  <c:v>0.36909999999999998</c:v>
                </c:pt>
                <c:pt idx="32">
                  <c:v>0.32619999999999999</c:v>
                </c:pt>
                <c:pt idx="33">
                  <c:v>0.32740000000000002</c:v>
                </c:pt>
                <c:pt idx="34">
                  <c:v>0.32340000000000002</c:v>
                </c:pt>
                <c:pt idx="35">
                  <c:v>0.33489999999999998</c:v>
                </c:pt>
                <c:pt idx="36">
                  <c:v>0.3165</c:v>
                </c:pt>
                <c:pt idx="37">
                  <c:v>0.3175</c:v>
                </c:pt>
                <c:pt idx="38">
                  <c:v>0.31580000000000003</c:v>
                </c:pt>
                <c:pt idx="39">
                  <c:v>0.32229999999999998</c:v>
                </c:pt>
                <c:pt idx="40">
                  <c:v>0.33100000000000002</c:v>
                </c:pt>
                <c:pt idx="41">
                  <c:v>0.3251</c:v>
                </c:pt>
                <c:pt idx="42">
                  <c:v>0.34810000000000002</c:v>
                </c:pt>
                <c:pt idx="43">
                  <c:v>0.35149999999999998</c:v>
                </c:pt>
                <c:pt idx="44">
                  <c:v>0.32500000000000001</c:v>
                </c:pt>
                <c:pt idx="45">
                  <c:v>0.30209999999999998</c:v>
                </c:pt>
                <c:pt idx="46">
                  <c:v>0.3367</c:v>
                </c:pt>
                <c:pt idx="47">
                  <c:v>0.2908</c:v>
                </c:pt>
                <c:pt idx="48">
                  <c:v>0.28710000000000002</c:v>
                </c:pt>
                <c:pt idx="49">
                  <c:v>0.27489999999999998</c:v>
                </c:pt>
                <c:pt idx="50">
                  <c:v>0.2979</c:v>
                </c:pt>
                <c:pt idx="51">
                  <c:v>0.29480000000000001</c:v>
                </c:pt>
                <c:pt idx="52">
                  <c:v>0.3044</c:v>
                </c:pt>
                <c:pt idx="53">
                  <c:v>0.29549999999999998</c:v>
                </c:pt>
                <c:pt idx="54">
                  <c:v>0.33119999999999999</c:v>
                </c:pt>
                <c:pt idx="55">
                  <c:v>0.38159999999999999</c:v>
                </c:pt>
                <c:pt idx="56">
                  <c:v>0.3584</c:v>
                </c:pt>
                <c:pt idx="57">
                  <c:v>0.36830000000000002</c:v>
                </c:pt>
                <c:pt idx="58">
                  <c:v>0.37759999999999999</c:v>
                </c:pt>
                <c:pt idx="59">
                  <c:v>0.37840000000000001</c:v>
                </c:pt>
                <c:pt idx="60">
                  <c:v>0.36919999999999997</c:v>
                </c:pt>
                <c:pt idx="61">
                  <c:v>0.3624</c:v>
                </c:pt>
                <c:pt idx="62">
                  <c:v>0.36549999999999999</c:v>
                </c:pt>
                <c:pt idx="63">
                  <c:v>0.39750000000000002</c:v>
                </c:pt>
                <c:pt idx="64">
                  <c:v>0.38600000000000001</c:v>
                </c:pt>
                <c:pt idx="65">
                  <c:v>0.40150000000000002</c:v>
                </c:pt>
                <c:pt idx="66">
                  <c:v>0.39479999999999998</c:v>
                </c:pt>
                <c:pt idx="67">
                  <c:v>0.4163</c:v>
                </c:pt>
                <c:pt idx="68">
                  <c:v>0.40649999999999997</c:v>
                </c:pt>
                <c:pt idx="69">
                  <c:v>0.40479999999999999</c:v>
                </c:pt>
                <c:pt idx="70">
                  <c:v>0.39250000000000002</c:v>
                </c:pt>
                <c:pt idx="71">
                  <c:v>0.43240000000000001</c:v>
                </c:pt>
                <c:pt idx="72">
                  <c:v>0.44109999999999999</c:v>
                </c:pt>
                <c:pt idx="73">
                  <c:v>0.5343</c:v>
                </c:pt>
                <c:pt idx="74">
                  <c:v>0.45250000000000001</c:v>
                </c:pt>
                <c:pt idx="75">
                  <c:v>0.43580000000000002</c:v>
                </c:pt>
                <c:pt idx="76">
                  <c:v>0.43880000000000002</c:v>
                </c:pt>
                <c:pt idx="77">
                  <c:v>0.42749999999999999</c:v>
                </c:pt>
                <c:pt idx="78">
                  <c:v>0.42459999999999998</c:v>
                </c:pt>
                <c:pt idx="79">
                  <c:v>0.44979999999999998</c:v>
                </c:pt>
                <c:pt idx="80">
                  <c:v>0.43540000000000001</c:v>
                </c:pt>
                <c:pt idx="81">
                  <c:v>0.40600000000000003</c:v>
                </c:pt>
                <c:pt idx="82">
                  <c:v>0.41189999999999999</c:v>
                </c:pt>
                <c:pt idx="83">
                  <c:v>0.42109999999999997</c:v>
                </c:pt>
                <c:pt idx="84">
                  <c:v>0.40500000000000003</c:v>
                </c:pt>
                <c:pt idx="85">
                  <c:v>0.42380000000000001</c:v>
                </c:pt>
                <c:pt idx="86">
                  <c:v>0.4093</c:v>
                </c:pt>
                <c:pt idx="87">
                  <c:v>0.38369999999999999</c:v>
                </c:pt>
                <c:pt idx="88">
                  <c:v>0.39019999999999999</c:v>
                </c:pt>
                <c:pt idx="89">
                  <c:v>0.37780000000000002</c:v>
                </c:pt>
                <c:pt idx="90">
                  <c:v>0.37840000000000001</c:v>
                </c:pt>
                <c:pt idx="91">
                  <c:v>0.37009999999999998</c:v>
                </c:pt>
                <c:pt idx="92">
                  <c:v>0.35899999999999999</c:v>
                </c:pt>
                <c:pt idx="93">
                  <c:v>0.39610000000000001</c:v>
                </c:pt>
                <c:pt idx="94">
                  <c:v>0.40500000000000003</c:v>
                </c:pt>
                <c:pt idx="95">
                  <c:v>0.40589999999999998</c:v>
                </c:pt>
                <c:pt idx="96">
                  <c:v>0.4194</c:v>
                </c:pt>
                <c:pt idx="97">
                  <c:v>0.42430000000000001</c:v>
                </c:pt>
                <c:pt idx="98">
                  <c:v>0.43099999999999999</c:v>
                </c:pt>
                <c:pt idx="99">
                  <c:v>0.4451</c:v>
                </c:pt>
                <c:pt idx="100">
                  <c:v>0.4304</c:v>
                </c:pt>
                <c:pt idx="101">
                  <c:v>0.43509999999999999</c:v>
                </c:pt>
                <c:pt idx="102">
                  <c:v>0.41449999999999998</c:v>
                </c:pt>
                <c:pt idx="103">
                  <c:v>0.41089999999999999</c:v>
                </c:pt>
                <c:pt idx="104">
                  <c:v>0.42459999999999998</c:v>
                </c:pt>
                <c:pt idx="105">
                  <c:v>0.377</c:v>
                </c:pt>
                <c:pt idx="106">
                  <c:v>0.37719999999999998</c:v>
                </c:pt>
                <c:pt idx="107">
                  <c:v>0.37140000000000001</c:v>
                </c:pt>
                <c:pt idx="108">
                  <c:v>0.3705</c:v>
                </c:pt>
                <c:pt idx="109">
                  <c:v>0.40350000000000003</c:v>
                </c:pt>
                <c:pt idx="110">
                  <c:v>0.39429999999999998</c:v>
                </c:pt>
                <c:pt idx="111">
                  <c:v>0.35620000000000002</c:v>
                </c:pt>
                <c:pt idx="112">
                  <c:v>0.36199999999999999</c:v>
                </c:pt>
                <c:pt idx="113">
                  <c:v>0.35149999999999998</c:v>
                </c:pt>
                <c:pt idx="114">
                  <c:v>0.36680000000000001</c:v>
                </c:pt>
                <c:pt idx="115">
                  <c:v>0.35649999999999998</c:v>
                </c:pt>
                <c:pt idx="116">
                  <c:v>0.36459999999999998</c:v>
                </c:pt>
                <c:pt idx="117">
                  <c:v>0.36149999999999999</c:v>
                </c:pt>
                <c:pt idx="118">
                  <c:v>0.3634</c:v>
                </c:pt>
                <c:pt idx="119">
                  <c:v>0.34089999999999998</c:v>
                </c:pt>
                <c:pt idx="120">
                  <c:v>0.33129999999999998</c:v>
                </c:pt>
                <c:pt idx="121">
                  <c:v>0.3266</c:v>
                </c:pt>
                <c:pt idx="122">
                  <c:v>0.34549999999999997</c:v>
                </c:pt>
                <c:pt idx="123">
                  <c:v>0.37059999999999998</c:v>
                </c:pt>
                <c:pt idx="124">
                  <c:v>0.37119999999999997</c:v>
                </c:pt>
                <c:pt idx="125">
                  <c:v>0.379</c:v>
                </c:pt>
                <c:pt idx="126">
                  <c:v>0.38950000000000001</c:v>
                </c:pt>
                <c:pt idx="127">
                  <c:v>0.35770000000000002</c:v>
                </c:pt>
                <c:pt idx="128">
                  <c:v>0.31690000000000002</c:v>
                </c:pt>
                <c:pt idx="129">
                  <c:v>0.37280000000000002</c:v>
                </c:pt>
                <c:pt idx="130">
                  <c:v>0.39660000000000001</c:v>
                </c:pt>
                <c:pt idx="131">
                  <c:v>0.40379999999999999</c:v>
                </c:pt>
                <c:pt idx="132">
                  <c:v>0.3594</c:v>
                </c:pt>
                <c:pt idx="133">
                  <c:v>0.38540000000000002</c:v>
                </c:pt>
                <c:pt idx="134">
                  <c:v>0.39650000000000002</c:v>
                </c:pt>
                <c:pt idx="135">
                  <c:v>0.37359999999999999</c:v>
                </c:pt>
                <c:pt idx="136">
                  <c:v>0.36770000000000003</c:v>
                </c:pt>
                <c:pt idx="137">
                  <c:v>0.39029999999999998</c:v>
                </c:pt>
                <c:pt idx="138">
                  <c:v>0.3851</c:v>
                </c:pt>
                <c:pt idx="139">
                  <c:v>0.38690000000000002</c:v>
                </c:pt>
                <c:pt idx="140">
                  <c:v>0.39889999999999998</c:v>
                </c:pt>
                <c:pt idx="141">
                  <c:v>0.40329999999999999</c:v>
                </c:pt>
                <c:pt idx="142">
                  <c:v>0.39700000000000002</c:v>
                </c:pt>
                <c:pt idx="143">
                  <c:v>0.49509999999999998</c:v>
                </c:pt>
                <c:pt idx="144">
                  <c:v>0.5</c:v>
                </c:pt>
                <c:pt idx="145">
                  <c:v>0.46300000000000002</c:v>
                </c:pt>
                <c:pt idx="146">
                  <c:v>0.4602</c:v>
                </c:pt>
                <c:pt idx="147">
                  <c:v>0.44940000000000002</c:v>
                </c:pt>
                <c:pt idx="148">
                  <c:v>0.45200000000000001</c:v>
                </c:pt>
                <c:pt idx="149">
                  <c:v>0.42849999999999999</c:v>
                </c:pt>
                <c:pt idx="150">
                  <c:v>0.438</c:v>
                </c:pt>
                <c:pt idx="151">
                  <c:v>0.4773</c:v>
                </c:pt>
                <c:pt idx="152">
                  <c:v>0.47339999999999999</c:v>
                </c:pt>
                <c:pt idx="153">
                  <c:v>0.48480000000000001</c:v>
                </c:pt>
                <c:pt idx="154">
                  <c:v>0.41470000000000001</c:v>
                </c:pt>
                <c:pt idx="155">
                  <c:v>0.4526</c:v>
                </c:pt>
                <c:pt idx="156">
                  <c:v>0.42720000000000002</c:v>
                </c:pt>
                <c:pt idx="157">
                  <c:v>0.46350000000000002</c:v>
                </c:pt>
                <c:pt idx="158">
                  <c:v>0.45369999999999999</c:v>
                </c:pt>
                <c:pt idx="159">
                  <c:v>0.45019999999999999</c:v>
                </c:pt>
                <c:pt idx="160">
                  <c:v>0.47749999999999998</c:v>
                </c:pt>
                <c:pt idx="161">
                  <c:v>0.46250000000000002</c:v>
                </c:pt>
                <c:pt idx="162">
                  <c:v>0.46289999999999998</c:v>
                </c:pt>
                <c:pt idx="163">
                  <c:v>0.44490000000000002</c:v>
                </c:pt>
                <c:pt idx="164">
                  <c:v>0.47699999999999998</c:v>
                </c:pt>
                <c:pt idx="165">
                  <c:v>0.50749999999999995</c:v>
                </c:pt>
                <c:pt idx="166">
                  <c:v>0.51090000000000002</c:v>
                </c:pt>
                <c:pt idx="167">
                  <c:v>0.63280000000000003</c:v>
                </c:pt>
                <c:pt idx="168">
                  <c:v>0.31759999999999999</c:v>
                </c:pt>
                <c:pt idx="169">
                  <c:v>0.32990000000000003</c:v>
                </c:pt>
                <c:pt idx="170">
                  <c:v>0.31269999999999998</c:v>
                </c:pt>
                <c:pt idx="171">
                  <c:v>0.30280000000000001</c:v>
                </c:pt>
                <c:pt idx="172">
                  <c:v>0.2792</c:v>
                </c:pt>
                <c:pt idx="173">
                  <c:v>0.30109999999999998</c:v>
                </c:pt>
                <c:pt idx="174">
                  <c:v>0.30220000000000002</c:v>
                </c:pt>
                <c:pt idx="175">
                  <c:v>0.26269999999999999</c:v>
                </c:pt>
                <c:pt idx="176">
                  <c:v>0.24859999999999999</c:v>
                </c:pt>
                <c:pt idx="177">
                  <c:v>0.23649999999999999</c:v>
                </c:pt>
                <c:pt idx="178">
                  <c:v>0.23280000000000001</c:v>
                </c:pt>
                <c:pt idx="179">
                  <c:v>0.2276</c:v>
                </c:pt>
                <c:pt idx="180">
                  <c:v>0.23749999999999999</c:v>
                </c:pt>
                <c:pt idx="181">
                  <c:v>0.2349</c:v>
                </c:pt>
                <c:pt idx="182">
                  <c:v>0.22520000000000001</c:v>
                </c:pt>
                <c:pt idx="183">
                  <c:v>0.21260000000000001</c:v>
                </c:pt>
                <c:pt idx="184">
                  <c:v>0.21679999999999999</c:v>
                </c:pt>
                <c:pt idx="185">
                  <c:v>0.2079</c:v>
                </c:pt>
                <c:pt idx="186">
                  <c:v>0.2051</c:v>
                </c:pt>
                <c:pt idx="187">
                  <c:v>0.2021</c:v>
                </c:pt>
                <c:pt idx="188">
                  <c:v>0.18990000000000001</c:v>
                </c:pt>
                <c:pt idx="189">
                  <c:v>0.18229999999999999</c:v>
                </c:pt>
                <c:pt idx="190">
                  <c:v>0.1744</c:v>
                </c:pt>
                <c:pt idx="191">
                  <c:v>0.1583</c:v>
                </c:pt>
                <c:pt idx="192">
                  <c:v>0.1681</c:v>
                </c:pt>
                <c:pt idx="193">
                  <c:v>0.18090000000000001</c:v>
                </c:pt>
                <c:pt idx="194">
                  <c:v>0.18149999999999999</c:v>
                </c:pt>
                <c:pt idx="195">
                  <c:v>0.17680000000000001</c:v>
                </c:pt>
                <c:pt idx="196">
                  <c:v>0.19359999999999999</c:v>
                </c:pt>
                <c:pt idx="197">
                  <c:v>0.19550000000000001</c:v>
                </c:pt>
                <c:pt idx="198">
                  <c:v>0.1986</c:v>
                </c:pt>
                <c:pt idx="199">
                  <c:v>0.20499999999999999</c:v>
                </c:pt>
                <c:pt idx="200">
                  <c:v>0.21479999999999999</c:v>
                </c:pt>
                <c:pt idx="201">
                  <c:v>0.21360000000000001</c:v>
                </c:pt>
                <c:pt idx="202">
                  <c:v>0.215</c:v>
                </c:pt>
                <c:pt idx="203">
                  <c:v>0.21340000000000001</c:v>
                </c:pt>
                <c:pt idx="204">
                  <c:v>0.22689999999999999</c:v>
                </c:pt>
                <c:pt idx="205">
                  <c:v>0.22539999999999999</c:v>
                </c:pt>
                <c:pt idx="206">
                  <c:v>0.21679999999999999</c:v>
                </c:pt>
                <c:pt idx="207">
                  <c:v>0.22639999999999999</c:v>
                </c:pt>
                <c:pt idx="208">
                  <c:v>0.223</c:v>
                </c:pt>
                <c:pt idx="209">
                  <c:v>0.21929999999999999</c:v>
                </c:pt>
                <c:pt idx="210">
                  <c:v>0.22409999999999999</c:v>
                </c:pt>
                <c:pt idx="211">
                  <c:v>0.2311</c:v>
                </c:pt>
                <c:pt idx="212">
                  <c:v>0.22800000000000001</c:v>
                </c:pt>
                <c:pt idx="213">
                  <c:v>0.22170000000000001</c:v>
                </c:pt>
                <c:pt idx="214">
                  <c:v>0.21779999999999999</c:v>
                </c:pt>
                <c:pt idx="215">
                  <c:v>0.2009</c:v>
                </c:pt>
                <c:pt idx="216">
                  <c:v>0.19620000000000001</c:v>
                </c:pt>
                <c:pt idx="217">
                  <c:v>0.22500000000000001</c:v>
                </c:pt>
                <c:pt idx="218">
                  <c:v>0.21729999999999999</c:v>
                </c:pt>
                <c:pt idx="219">
                  <c:v>0.20569999999999999</c:v>
                </c:pt>
                <c:pt idx="220">
                  <c:v>0.21229999999999999</c:v>
                </c:pt>
                <c:pt idx="221">
                  <c:v>0.2732</c:v>
                </c:pt>
                <c:pt idx="222">
                  <c:v>0.27639999999999998</c:v>
                </c:pt>
                <c:pt idx="223">
                  <c:v>0.29630000000000001</c:v>
                </c:pt>
                <c:pt idx="224">
                  <c:v>0.2888</c:v>
                </c:pt>
                <c:pt idx="225">
                  <c:v>0.28670000000000001</c:v>
                </c:pt>
                <c:pt idx="226">
                  <c:v>0.30499999999999999</c:v>
                </c:pt>
                <c:pt idx="227">
                  <c:v>0.31890000000000002</c:v>
                </c:pt>
                <c:pt idx="228">
                  <c:v>0.31090000000000001</c:v>
                </c:pt>
                <c:pt idx="229">
                  <c:v>0.29899999999999999</c:v>
                </c:pt>
                <c:pt idx="230">
                  <c:v>0.2828</c:v>
                </c:pt>
                <c:pt idx="231">
                  <c:v>0.29060000000000002</c:v>
                </c:pt>
                <c:pt idx="232">
                  <c:v>0.3125</c:v>
                </c:pt>
                <c:pt idx="233">
                  <c:v>0.28949999999999998</c:v>
                </c:pt>
                <c:pt idx="234">
                  <c:v>0.29920000000000002</c:v>
                </c:pt>
                <c:pt idx="235">
                  <c:v>0.34210000000000002</c:v>
                </c:pt>
                <c:pt idx="236">
                  <c:v>0.3322</c:v>
                </c:pt>
                <c:pt idx="237">
                  <c:v>0.35199999999999998</c:v>
                </c:pt>
                <c:pt idx="238">
                  <c:v>0.40210000000000001</c:v>
                </c:pt>
                <c:pt idx="239">
                  <c:v>0.33040000000000003</c:v>
                </c:pt>
                <c:pt idx="240">
                  <c:v>0.31280000000000002</c:v>
                </c:pt>
                <c:pt idx="241">
                  <c:v>0.33129999999999998</c:v>
                </c:pt>
                <c:pt idx="242">
                  <c:v>0.29320000000000002</c:v>
                </c:pt>
                <c:pt idx="243">
                  <c:v>0.29249999999999998</c:v>
                </c:pt>
                <c:pt idx="244">
                  <c:v>0.312</c:v>
                </c:pt>
                <c:pt idx="245">
                  <c:v>0.3715</c:v>
                </c:pt>
                <c:pt idx="246">
                  <c:v>0.38619999999999999</c:v>
                </c:pt>
                <c:pt idx="247">
                  <c:v>0.3004</c:v>
                </c:pt>
                <c:pt idx="248">
                  <c:v>0.32069999999999999</c:v>
                </c:pt>
                <c:pt idx="249">
                  <c:v>0.24859999999999999</c:v>
                </c:pt>
                <c:pt idx="250">
                  <c:v>0.29260000000000003</c:v>
                </c:pt>
                <c:pt idx="251">
                  <c:v>0.33079999999999998</c:v>
                </c:pt>
                <c:pt idx="252">
                  <c:v>0.40949999999999998</c:v>
                </c:pt>
                <c:pt idx="253">
                  <c:v>0.3569</c:v>
                </c:pt>
                <c:pt idx="254">
                  <c:v>0.57650000000000001</c:v>
                </c:pt>
                <c:pt idx="255">
                  <c:v>0.54830000000000001</c:v>
                </c:pt>
                <c:pt idx="256">
                  <c:v>0.54679999999999995</c:v>
                </c:pt>
                <c:pt idx="257">
                  <c:v>0.52129999999999999</c:v>
                </c:pt>
                <c:pt idx="258">
                  <c:v>0.60799999999999998</c:v>
                </c:pt>
                <c:pt idx="259">
                  <c:v>0.57230000000000003</c:v>
                </c:pt>
                <c:pt idx="260">
                  <c:v>0.58579999999999999</c:v>
                </c:pt>
                <c:pt idx="261">
                  <c:v>0.72609999999999997</c:v>
                </c:pt>
                <c:pt idx="262">
                  <c:v>0.67679999999999996</c:v>
                </c:pt>
                <c:pt idx="263">
                  <c:v>0.73970000000000002</c:v>
                </c:pt>
                <c:pt idx="264">
                  <c:v>0.77869999999999995</c:v>
                </c:pt>
                <c:pt idx="265">
                  <c:v>0.7722</c:v>
                </c:pt>
                <c:pt idx="266">
                  <c:v>0.80940000000000001</c:v>
                </c:pt>
                <c:pt idx="267">
                  <c:v>0.89639999999999997</c:v>
                </c:pt>
                <c:pt idx="268">
                  <c:v>0.66890000000000005</c:v>
                </c:pt>
                <c:pt idx="269">
                  <c:v>0.76890000000000003</c:v>
                </c:pt>
                <c:pt idx="270">
                  <c:v>0.74</c:v>
                </c:pt>
                <c:pt idx="271">
                  <c:v>0.54069999999999996</c:v>
                </c:pt>
                <c:pt idx="272">
                  <c:v>0.54769999999999996</c:v>
                </c:pt>
                <c:pt idx="273">
                  <c:v>0.49299999999999999</c:v>
                </c:pt>
                <c:pt idx="274">
                  <c:v>0.50239999999999996</c:v>
                </c:pt>
                <c:pt idx="275">
                  <c:v>0.55000000000000004</c:v>
                </c:pt>
                <c:pt idx="276">
                  <c:v>0.4526</c:v>
                </c:pt>
                <c:pt idx="277">
                  <c:v>0.378</c:v>
                </c:pt>
                <c:pt idx="278">
                  <c:v>0.38419999999999999</c:v>
                </c:pt>
                <c:pt idx="279">
                  <c:v>0.42499999999999999</c:v>
                </c:pt>
                <c:pt idx="280">
                  <c:v>0.4451</c:v>
                </c:pt>
                <c:pt idx="281">
                  <c:v>0.48870000000000002</c:v>
                </c:pt>
                <c:pt idx="282">
                  <c:v>0.52749999999999997</c:v>
                </c:pt>
                <c:pt idx="283">
                  <c:v>0.51800000000000002</c:v>
                </c:pt>
                <c:pt idx="284">
                  <c:v>0.58650000000000002</c:v>
                </c:pt>
                <c:pt idx="285">
                  <c:v>0.66979999999999995</c:v>
                </c:pt>
                <c:pt idx="286">
                  <c:v>0.62980000000000003</c:v>
                </c:pt>
                <c:pt idx="287">
                  <c:v>0.63690000000000002</c:v>
                </c:pt>
                <c:pt idx="288">
                  <c:v>0.55589999999999995</c:v>
                </c:pt>
                <c:pt idx="289">
                  <c:v>0.57530000000000003</c:v>
                </c:pt>
                <c:pt idx="290">
                  <c:v>0.57930000000000004</c:v>
                </c:pt>
                <c:pt idx="291">
                  <c:v>0.62290000000000001</c:v>
                </c:pt>
                <c:pt idx="292">
                  <c:v>0.6361</c:v>
                </c:pt>
                <c:pt idx="293">
                  <c:v>0.60509999999999997</c:v>
                </c:pt>
                <c:pt idx="294">
                  <c:v>0.62370000000000003</c:v>
                </c:pt>
                <c:pt idx="295">
                  <c:v>0.5958</c:v>
                </c:pt>
                <c:pt idx="296">
                  <c:v>0.65390000000000004</c:v>
                </c:pt>
                <c:pt idx="297">
                  <c:v>0.7228</c:v>
                </c:pt>
                <c:pt idx="298">
                  <c:v>0.63249999999999995</c:v>
                </c:pt>
                <c:pt idx="299">
                  <c:v>0.58550000000000002</c:v>
                </c:pt>
                <c:pt idx="300">
                  <c:v>0.61009999999999998</c:v>
                </c:pt>
                <c:pt idx="301">
                  <c:v>0.62590000000000001</c:v>
                </c:pt>
                <c:pt idx="302">
                  <c:v>0.60029999999999994</c:v>
                </c:pt>
                <c:pt idx="303">
                  <c:v>0.63919999999999999</c:v>
                </c:pt>
                <c:pt idx="304">
                  <c:v>0.66810000000000003</c:v>
                </c:pt>
                <c:pt idx="305">
                  <c:v>0.60609999999999997</c:v>
                </c:pt>
                <c:pt idx="306">
                  <c:v>0.62309999999999999</c:v>
                </c:pt>
                <c:pt idx="307">
                  <c:v>0.54400000000000004</c:v>
                </c:pt>
                <c:pt idx="308">
                  <c:v>0.48749999999999999</c:v>
                </c:pt>
                <c:pt idx="309">
                  <c:v>0.53549999999999998</c:v>
                </c:pt>
                <c:pt idx="310">
                  <c:v>0.61060000000000003</c:v>
                </c:pt>
                <c:pt idx="311">
                  <c:v>0.53490000000000004</c:v>
                </c:pt>
                <c:pt idx="312">
                  <c:v>0.57520000000000004</c:v>
                </c:pt>
                <c:pt idx="313">
                  <c:v>0.58520000000000005</c:v>
                </c:pt>
                <c:pt idx="314">
                  <c:v>0.62809999999999999</c:v>
                </c:pt>
                <c:pt idx="315">
                  <c:v>0.5786</c:v>
                </c:pt>
                <c:pt idx="316">
                  <c:v>0.60719999999999996</c:v>
                </c:pt>
                <c:pt idx="317">
                  <c:v>0.63109999999999999</c:v>
                </c:pt>
                <c:pt idx="318">
                  <c:v>0.67559999999999998</c:v>
                </c:pt>
                <c:pt idx="319">
                  <c:v>0.66759999999999997</c:v>
                </c:pt>
                <c:pt idx="320">
                  <c:v>0.60589999999999999</c:v>
                </c:pt>
                <c:pt idx="321">
                  <c:v>0.5212</c:v>
                </c:pt>
                <c:pt idx="322">
                  <c:v>0.49990000000000001</c:v>
                </c:pt>
                <c:pt idx="323">
                  <c:v>0.42399999999999999</c:v>
                </c:pt>
                <c:pt idx="324">
                  <c:v>0.43859999999999999</c:v>
                </c:pt>
                <c:pt idx="325">
                  <c:v>0.40960000000000002</c:v>
                </c:pt>
                <c:pt idx="326">
                  <c:v>0.4083</c:v>
                </c:pt>
                <c:pt idx="327">
                  <c:v>0.36520000000000002</c:v>
                </c:pt>
                <c:pt idx="328">
                  <c:v>0.3473</c:v>
                </c:pt>
                <c:pt idx="329">
                  <c:v>0.34949999999999998</c:v>
                </c:pt>
                <c:pt idx="330">
                  <c:v>0.34799999999999998</c:v>
                </c:pt>
                <c:pt idx="331">
                  <c:v>0.32890000000000003</c:v>
                </c:pt>
                <c:pt idx="332">
                  <c:v>0.34200000000000003</c:v>
                </c:pt>
                <c:pt idx="333">
                  <c:v>0.31569999999999998</c:v>
                </c:pt>
                <c:pt idx="334">
                  <c:v>0.3357</c:v>
                </c:pt>
                <c:pt idx="335">
                  <c:v>0.32590000000000002</c:v>
                </c:pt>
                <c:pt idx="336">
                  <c:v>0.32569999999999999</c:v>
                </c:pt>
                <c:pt idx="337">
                  <c:v>0.35460000000000003</c:v>
                </c:pt>
                <c:pt idx="338">
                  <c:v>0.34</c:v>
                </c:pt>
                <c:pt idx="339">
                  <c:v>0.40089999999999998</c:v>
                </c:pt>
                <c:pt idx="340">
                  <c:v>0.42499999999999999</c:v>
                </c:pt>
                <c:pt idx="341">
                  <c:v>0.41639999999999999</c:v>
                </c:pt>
                <c:pt idx="342">
                  <c:v>0.4672</c:v>
                </c:pt>
                <c:pt idx="343">
                  <c:v>0.5141</c:v>
                </c:pt>
                <c:pt idx="344">
                  <c:v>0.42159999999999997</c:v>
                </c:pt>
                <c:pt idx="345">
                  <c:v>0.42670000000000002</c:v>
                </c:pt>
                <c:pt idx="346">
                  <c:v>0.43940000000000001</c:v>
                </c:pt>
                <c:pt idx="347">
                  <c:v>0.48680000000000001</c:v>
                </c:pt>
                <c:pt idx="348">
                  <c:v>0.4778</c:v>
                </c:pt>
                <c:pt idx="349">
                  <c:v>0.4753</c:v>
                </c:pt>
                <c:pt idx="350">
                  <c:v>0.432</c:v>
                </c:pt>
                <c:pt idx="351">
                  <c:v>0.32969999999999999</c:v>
                </c:pt>
                <c:pt idx="352">
                  <c:v>0.35809999999999997</c:v>
                </c:pt>
                <c:pt idx="353">
                  <c:v>0.30709999999999998</c:v>
                </c:pt>
                <c:pt idx="354">
                  <c:v>0.29049999999999998</c:v>
                </c:pt>
                <c:pt idx="355">
                  <c:v>0.27860000000000001</c:v>
                </c:pt>
                <c:pt idx="356">
                  <c:v>0.31090000000000001</c:v>
                </c:pt>
                <c:pt idx="357">
                  <c:v>0.3014</c:v>
                </c:pt>
                <c:pt idx="358">
                  <c:v>0.30449999999999999</c:v>
                </c:pt>
                <c:pt idx="359">
                  <c:v>0.30470000000000003</c:v>
                </c:pt>
                <c:pt idx="360">
                  <c:v>0.27260000000000001</c:v>
                </c:pt>
                <c:pt idx="361">
                  <c:v>0.24790000000000001</c:v>
                </c:pt>
                <c:pt idx="362">
                  <c:v>0.2472</c:v>
                </c:pt>
                <c:pt idx="363">
                  <c:v>0.2359</c:v>
                </c:pt>
                <c:pt idx="364">
                  <c:v>0.24840000000000001</c:v>
                </c:pt>
                <c:pt idx="365">
                  <c:v>0.21279999999999999</c:v>
                </c:pt>
                <c:pt idx="366">
                  <c:v>0.23400000000000001</c:v>
                </c:pt>
                <c:pt idx="367">
                  <c:v>0.22459999999999999</c:v>
                </c:pt>
                <c:pt idx="368">
                  <c:v>0.22090000000000001</c:v>
                </c:pt>
                <c:pt idx="369">
                  <c:v>0.2059</c:v>
                </c:pt>
                <c:pt idx="370">
                  <c:v>0.20280000000000001</c:v>
                </c:pt>
                <c:pt idx="371">
                  <c:v>0.1857</c:v>
                </c:pt>
                <c:pt idx="372">
                  <c:v>0.21640000000000001</c:v>
                </c:pt>
                <c:pt idx="373">
                  <c:v>0.21390000000000001</c:v>
                </c:pt>
                <c:pt idx="374">
                  <c:v>0.22600000000000001</c:v>
                </c:pt>
                <c:pt idx="375">
                  <c:v>0.2419</c:v>
                </c:pt>
                <c:pt idx="376">
                  <c:v>0.23180000000000001</c:v>
                </c:pt>
                <c:pt idx="377">
                  <c:v>0.2089</c:v>
                </c:pt>
                <c:pt idx="378">
                  <c:v>0.19350000000000001</c:v>
                </c:pt>
                <c:pt idx="379">
                  <c:v>0.20449999999999999</c:v>
                </c:pt>
                <c:pt idx="380">
                  <c:v>0.1958</c:v>
                </c:pt>
                <c:pt idx="381">
                  <c:v>0.1729</c:v>
                </c:pt>
                <c:pt idx="382">
                  <c:v>0.18809999999999999</c:v>
                </c:pt>
                <c:pt idx="383">
                  <c:v>0.215</c:v>
                </c:pt>
                <c:pt idx="384">
                  <c:v>0.2</c:v>
                </c:pt>
                <c:pt idx="385">
                  <c:v>0.2205</c:v>
                </c:pt>
                <c:pt idx="386">
                  <c:v>0.22339999999999999</c:v>
                </c:pt>
                <c:pt idx="387">
                  <c:v>0.2026</c:v>
                </c:pt>
                <c:pt idx="388">
                  <c:v>0.17730000000000001</c:v>
                </c:pt>
                <c:pt idx="389">
                  <c:v>0.1462</c:v>
                </c:pt>
                <c:pt idx="390">
                  <c:v>0.1202</c:v>
                </c:pt>
                <c:pt idx="391">
                  <c:v>0.1231</c:v>
                </c:pt>
                <c:pt idx="392">
                  <c:v>0.1202</c:v>
                </c:pt>
                <c:pt idx="393">
                  <c:v>0.1235</c:v>
                </c:pt>
                <c:pt idx="394">
                  <c:v>0.1245</c:v>
                </c:pt>
                <c:pt idx="395">
                  <c:v>0.11899999999999999</c:v>
                </c:pt>
                <c:pt idx="396">
                  <c:v>0.11940000000000001</c:v>
                </c:pt>
                <c:pt idx="397">
                  <c:v>0.11269999999999999</c:v>
                </c:pt>
                <c:pt idx="398">
                  <c:v>0.1157</c:v>
                </c:pt>
                <c:pt idx="399">
                  <c:v>0.115</c:v>
                </c:pt>
                <c:pt idx="400">
                  <c:v>0.11409999999999999</c:v>
                </c:pt>
                <c:pt idx="401">
                  <c:v>0.11990000000000001</c:v>
                </c:pt>
                <c:pt idx="402">
                  <c:v>0.123</c:v>
                </c:pt>
                <c:pt idx="403">
                  <c:v>0.1366</c:v>
                </c:pt>
                <c:pt idx="404">
                  <c:v>0.13350000000000001</c:v>
                </c:pt>
                <c:pt idx="405">
                  <c:v>0.1283</c:v>
                </c:pt>
                <c:pt idx="406">
                  <c:v>0.13239999999999999</c:v>
                </c:pt>
                <c:pt idx="407">
                  <c:v>0.12959999999999999</c:v>
                </c:pt>
                <c:pt idx="408">
                  <c:v>0.1179</c:v>
                </c:pt>
                <c:pt idx="409">
                  <c:v>0.1148</c:v>
                </c:pt>
                <c:pt idx="410">
                  <c:v>0.11700000000000001</c:v>
                </c:pt>
                <c:pt idx="411">
                  <c:v>0.12330000000000001</c:v>
                </c:pt>
                <c:pt idx="412">
                  <c:v>9.9000000000000005E-2</c:v>
                </c:pt>
                <c:pt idx="413">
                  <c:v>0.1074</c:v>
                </c:pt>
                <c:pt idx="414">
                  <c:v>0.11020000000000001</c:v>
                </c:pt>
                <c:pt idx="415">
                  <c:v>0.1094</c:v>
                </c:pt>
                <c:pt idx="416">
                  <c:v>0.1167</c:v>
                </c:pt>
                <c:pt idx="417">
                  <c:v>0.11559999999999999</c:v>
                </c:pt>
                <c:pt idx="418">
                  <c:v>0.1169</c:v>
                </c:pt>
                <c:pt idx="419">
                  <c:v>0.11</c:v>
                </c:pt>
                <c:pt idx="420">
                  <c:v>0.13519999999999999</c:v>
                </c:pt>
                <c:pt idx="421">
                  <c:v>0.12180000000000001</c:v>
                </c:pt>
                <c:pt idx="422">
                  <c:v>0.11700000000000001</c:v>
                </c:pt>
                <c:pt idx="423">
                  <c:v>0.128</c:v>
                </c:pt>
                <c:pt idx="424">
                  <c:v>0.1221</c:v>
                </c:pt>
                <c:pt idx="425">
                  <c:v>0.12520000000000001</c:v>
                </c:pt>
                <c:pt idx="426">
                  <c:v>0.123</c:v>
                </c:pt>
                <c:pt idx="427">
                  <c:v>0.12540000000000001</c:v>
                </c:pt>
                <c:pt idx="428">
                  <c:v>0.15240000000000001</c:v>
                </c:pt>
                <c:pt idx="429">
                  <c:v>0.1545</c:v>
                </c:pt>
                <c:pt idx="430">
                  <c:v>0.16600000000000001</c:v>
                </c:pt>
                <c:pt idx="431">
                  <c:v>0.153</c:v>
                </c:pt>
                <c:pt idx="432">
                  <c:v>0.154</c:v>
                </c:pt>
                <c:pt idx="433">
                  <c:v>0.13639999999999999</c:v>
                </c:pt>
                <c:pt idx="434">
                  <c:v>0.13400000000000001</c:v>
                </c:pt>
                <c:pt idx="435">
                  <c:v>0.12970000000000001</c:v>
                </c:pt>
                <c:pt idx="436">
                  <c:v>0.1331</c:v>
                </c:pt>
                <c:pt idx="437">
                  <c:v>0.13389999999999999</c:v>
                </c:pt>
                <c:pt idx="438">
                  <c:v>0.12889999999999999</c:v>
                </c:pt>
                <c:pt idx="439">
                  <c:v>0.12529999999999999</c:v>
                </c:pt>
                <c:pt idx="440">
                  <c:v>0.12709999999999999</c:v>
                </c:pt>
                <c:pt idx="441">
                  <c:v>0.1147</c:v>
                </c:pt>
                <c:pt idx="442">
                  <c:v>0.12239999999999999</c:v>
                </c:pt>
                <c:pt idx="443">
                  <c:v>0.12620000000000001</c:v>
                </c:pt>
                <c:pt idx="444">
                  <c:v>0.127</c:v>
                </c:pt>
                <c:pt idx="445">
                  <c:v>0.13930000000000001</c:v>
                </c:pt>
                <c:pt idx="446">
                  <c:v>9.8599999999999993E-2</c:v>
                </c:pt>
                <c:pt idx="447">
                  <c:v>0.112</c:v>
                </c:pt>
                <c:pt idx="448">
                  <c:v>0.1004</c:v>
                </c:pt>
                <c:pt idx="449">
                  <c:v>0.1019</c:v>
                </c:pt>
                <c:pt idx="450">
                  <c:v>0.10979999999999999</c:v>
                </c:pt>
                <c:pt idx="451">
                  <c:v>8.8599999999999998E-2</c:v>
                </c:pt>
                <c:pt idx="452">
                  <c:v>9.3899999999999997E-2</c:v>
                </c:pt>
                <c:pt idx="453">
                  <c:v>9.69E-2</c:v>
                </c:pt>
                <c:pt idx="454">
                  <c:v>8.9300000000000004E-2</c:v>
                </c:pt>
                <c:pt idx="455">
                  <c:v>9.6000000000000002E-2</c:v>
                </c:pt>
                <c:pt idx="456">
                  <c:v>8.7499999999999994E-2</c:v>
                </c:pt>
                <c:pt idx="457">
                  <c:v>0.1002</c:v>
                </c:pt>
                <c:pt idx="458">
                  <c:v>0.10489999999999999</c:v>
                </c:pt>
                <c:pt idx="459">
                  <c:v>9.8500000000000004E-2</c:v>
                </c:pt>
                <c:pt idx="460">
                  <c:v>0.1037</c:v>
                </c:pt>
                <c:pt idx="461">
                  <c:v>0.1009</c:v>
                </c:pt>
                <c:pt idx="462">
                  <c:v>0.1143</c:v>
                </c:pt>
                <c:pt idx="463">
                  <c:v>0.1137</c:v>
                </c:pt>
                <c:pt idx="464">
                  <c:v>0.1081</c:v>
                </c:pt>
                <c:pt idx="465">
                  <c:v>0.1237</c:v>
                </c:pt>
                <c:pt idx="466">
                  <c:v>0.129</c:v>
                </c:pt>
                <c:pt idx="467">
                  <c:v>0.125</c:v>
                </c:pt>
                <c:pt idx="468">
                  <c:v>0.1211</c:v>
                </c:pt>
                <c:pt idx="469">
                  <c:v>0.13739999999999999</c:v>
                </c:pt>
                <c:pt idx="470">
                  <c:v>0.12809999999999999</c:v>
                </c:pt>
                <c:pt idx="471">
                  <c:v>0.13689999999999999</c:v>
                </c:pt>
                <c:pt idx="472">
                  <c:v>0.13689999999999999</c:v>
                </c:pt>
                <c:pt idx="473">
                  <c:v>0.1358</c:v>
                </c:pt>
                <c:pt idx="474">
                  <c:v>0.1341</c:v>
                </c:pt>
                <c:pt idx="475">
                  <c:v>0.12920000000000001</c:v>
                </c:pt>
                <c:pt idx="476">
                  <c:v>0.12470000000000001</c:v>
                </c:pt>
                <c:pt idx="477">
                  <c:v>0.1326</c:v>
                </c:pt>
                <c:pt idx="478">
                  <c:v>0.11169999999999999</c:v>
                </c:pt>
                <c:pt idx="479">
                  <c:v>0.1323</c:v>
                </c:pt>
                <c:pt idx="480">
                  <c:v>0.13969999999999999</c:v>
                </c:pt>
                <c:pt idx="481">
                  <c:v>0.13850000000000001</c:v>
                </c:pt>
                <c:pt idx="482">
                  <c:v>0.1701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D-482D-86CD-2D6438576F6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-11.094093453377026</c:v>
                </c:pt>
                <c:pt idx="1">
                  <c:v>-11.091447199250041</c:v>
                </c:pt>
                <c:pt idx="2">
                  <c:v>-11.086814722231408</c:v>
                </c:pt>
                <c:pt idx="3">
                  <c:v>-11.092345646924144</c:v>
                </c:pt>
                <c:pt idx="4">
                  <c:v>-11.149303786831563</c:v>
                </c:pt>
                <c:pt idx="5">
                  <c:v>-11.105184051916309</c:v>
                </c:pt>
                <c:pt idx="6">
                  <c:v>-11.057303692804833</c:v>
                </c:pt>
                <c:pt idx="7">
                  <c:v>-10.90575222219225</c:v>
                </c:pt>
                <c:pt idx="8">
                  <c:v>-10.788845257486368</c:v>
                </c:pt>
                <c:pt idx="9">
                  <c:v>-10.708003896812208</c:v>
                </c:pt>
                <c:pt idx="10">
                  <c:v>-10.690391289732563</c:v>
                </c:pt>
                <c:pt idx="11">
                  <c:v>-10.672163375629998</c:v>
                </c:pt>
                <c:pt idx="12">
                  <c:v>-10.63262232036684</c:v>
                </c:pt>
                <c:pt idx="13">
                  <c:v>-10.605626213866842</c:v>
                </c:pt>
                <c:pt idx="14">
                  <c:v>-10.637566723866842</c:v>
                </c:pt>
                <c:pt idx="15">
                  <c:v>-10.523562407773818</c:v>
                </c:pt>
                <c:pt idx="16">
                  <c:v>-10.604004702881731</c:v>
                </c:pt>
                <c:pt idx="17">
                  <c:v>-10.167908910270896</c:v>
                </c:pt>
                <c:pt idx="18">
                  <c:v>-10.464999234744578</c:v>
                </c:pt>
                <c:pt idx="19">
                  <c:v>-10.473966208258092</c:v>
                </c:pt>
                <c:pt idx="20">
                  <c:v>-10.432690530717109</c:v>
                </c:pt>
                <c:pt idx="21">
                  <c:v>-10.286072938526631</c:v>
                </c:pt>
                <c:pt idx="22">
                  <c:v>-10.327958859181177</c:v>
                </c:pt>
                <c:pt idx="23">
                  <c:v>-10.041607868635722</c:v>
                </c:pt>
                <c:pt idx="24">
                  <c:v>-10.190733480574721</c:v>
                </c:pt>
                <c:pt idx="25">
                  <c:v>-10.072000794778893</c:v>
                </c:pt>
                <c:pt idx="26">
                  <c:v>-10.165356088606053</c:v>
                </c:pt>
                <c:pt idx="27">
                  <c:v>-10.183769342930376</c:v>
                </c:pt>
                <c:pt idx="28">
                  <c:v>-10.157609145038</c:v>
                </c:pt>
                <c:pt idx="29">
                  <c:v>-10.164296390752286</c:v>
                </c:pt>
                <c:pt idx="30">
                  <c:v>-10.110500209817706</c:v>
                </c:pt>
                <c:pt idx="31">
                  <c:v>-9.882619973088147</c:v>
                </c:pt>
                <c:pt idx="32">
                  <c:v>-9.3302509181241184</c:v>
                </c:pt>
                <c:pt idx="33">
                  <c:v>-9.3525786657127696</c:v>
                </c:pt>
                <c:pt idx="34">
                  <c:v>-9.3388481841658084</c:v>
                </c:pt>
                <c:pt idx="35">
                  <c:v>-9.274122584613572</c:v>
                </c:pt>
                <c:pt idx="36">
                  <c:v>-9.302926106291892</c:v>
                </c:pt>
                <c:pt idx="37">
                  <c:v>-9.2930404686753114</c:v>
                </c:pt>
                <c:pt idx="38">
                  <c:v>-9.3355185406753112</c:v>
                </c:pt>
                <c:pt idx="39">
                  <c:v>-9.3551817397474775</c:v>
                </c:pt>
                <c:pt idx="40">
                  <c:v>-9.3123927827104396</c:v>
                </c:pt>
                <c:pt idx="41">
                  <c:v>-9.3226066447317173</c:v>
                </c:pt>
                <c:pt idx="42">
                  <c:v>-9.2691392557258698</c:v>
                </c:pt>
                <c:pt idx="43">
                  <c:v>-9.2518208239999797</c:v>
                </c:pt>
                <c:pt idx="44">
                  <c:v>-9.356733304310243</c:v>
                </c:pt>
                <c:pt idx="45">
                  <c:v>-9.397329557571112</c:v>
                </c:pt>
                <c:pt idx="46">
                  <c:v>-9.1891365992405341</c:v>
                </c:pt>
                <c:pt idx="47">
                  <c:v>-9.2609683816405344</c:v>
                </c:pt>
                <c:pt idx="48">
                  <c:v>-9.2628275116405341</c:v>
                </c:pt>
                <c:pt idx="49">
                  <c:v>-9.2029375745242543</c:v>
                </c:pt>
                <c:pt idx="50">
                  <c:v>-9.151113358872081</c:v>
                </c:pt>
                <c:pt idx="51">
                  <c:v>-9.1847309486834021</c:v>
                </c:pt>
                <c:pt idx="52">
                  <c:v>-9.1170306508388776</c:v>
                </c:pt>
                <c:pt idx="53">
                  <c:v>-9.2266920190442061</c:v>
                </c:pt>
                <c:pt idx="54">
                  <c:v>-9.1473836772450454</c:v>
                </c:pt>
                <c:pt idx="55">
                  <c:v>-8.5699319649193093</c:v>
                </c:pt>
                <c:pt idx="56">
                  <c:v>-8.546879820230787</c:v>
                </c:pt>
                <c:pt idx="57">
                  <c:v>-8.5478043456893005</c:v>
                </c:pt>
                <c:pt idx="58">
                  <c:v>-8.4978486578810823</c:v>
                </c:pt>
                <c:pt idx="59">
                  <c:v>-8.4259891862980716</c:v>
                </c:pt>
                <c:pt idx="60">
                  <c:v>-8.4428547150651934</c:v>
                </c:pt>
                <c:pt idx="61">
                  <c:v>-8.5116120935915092</c:v>
                </c:pt>
                <c:pt idx="62">
                  <c:v>-8.4789609429203683</c:v>
                </c:pt>
                <c:pt idx="63">
                  <c:v>-8.4420643407062119</c:v>
                </c:pt>
                <c:pt idx="64">
                  <c:v>-8.4528896511607581</c:v>
                </c:pt>
                <c:pt idx="65">
                  <c:v>-8.4307981502607561</c:v>
                </c:pt>
                <c:pt idx="66">
                  <c:v>-8.4639861721410998</c:v>
                </c:pt>
                <c:pt idx="67">
                  <c:v>-8.422215232293075</c:v>
                </c:pt>
                <c:pt idx="68">
                  <c:v>-8.4522317140035987</c:v>
                </c:pt>
                <c:pt idx="69">
                  <c:v>-8.4401944336280135</c:v>
                </c:pt>
                <c:pt idx="70">
                  <c:v>-8.4693394478200492</c:v>
                </c:pt>
                <c:pt idx="71">
                  <c:v>-8.4232989359289761</c:v>
                </c:pt>
                <c:pt idx="72">
                  <c:v>-8.4312261318710053</c:v>
                </c:pt>
                <c:pt idx="73">
                  <c:v>-8.1709448045703912</c:v>
                </c:pt>
                <c:pt idx="74">
                  <c:v>-8.5511777654374423</c:v>
                </c:pt>
                <c:pt idx="75">
                  <c:v>-8.5625727360547259</c:v>
                </c:pt>
                <c:pt idx="76">
                  <c:v>-8.5065760888162334</c:v>
                </c:pt>
                <c:pt idx="77">
                  <c:v>-8.5969156522861123</c:v>
                </c:pt>
                <c:pt idx="78">
                  <c:v>-8.6003304410464416</c:v>
                </c:pt>
                <c:pt idx="79">
                  <c:v>-8.5726603873238165</c:v>
                </c:pt>
                <c:pt idx="80">
                  <c:v>-8.3962421567505654</c:v>
                </c:pt>
                <c:pt idx="81">
                  <c:v>-8.4990740292051115</c:v>
                </c:pt>
                <c:pt idx="82">
                  <c:v>-8.4547898795104555</c:v>
                </c:pt>
                <c:pt idx="83">
                  <c:v>-8.4488941234379489</c:v>
                </c:pt>
                <c:pt idx="84">
                  <c:v>-8.4984625446793274</c:v>
                </c:pt>
                <c:pt idx="85">
                  <c:v>-8.4672468228483417</c:v>
                </c:pt>
                <c:pt idx="86">
                  <c:v>-8.4516906480735674</c:v>
                </c:pt>
                <c:pt idx="87">
                  <c:v>-8.4833343323408084</c:v>
                </c:pt>
                <c:pt idx="88">
                  <c:v>-8.4801047976300659</c:v>
                </c:pt>
                <c:pt idx="89">
                  <c:v>-8.4430271016300651</c:v>
                </c:pt>
                <c:pt idx="90">
                  <c:v>-8.4880331503768005</c:v>
                </c:pt>
                <c:pt idx="91">
                  <c:v>-8.4851463701881205</c:v>
                </c:pt>
                <c:pt idx="92">
                  <c:v>-8.4700620788911927</c:v>
                </c:pt>
                <c:pt idx="93">
                  <c:v>-8.3914015202351564</c:v>
                </c:pt>
                <c:pt idx="94">
                  <c:v>-8.3573323085501734</c:v>
                </c:pt>
                <c:pt idx="95">
                  <c:v>-8.320904560348735</c:v>
                </c:pt>
                <c:pt idx="96">
                  <c:v>-8.3275131694517253</c:v>
                </c:pt>
                <c:pt idx="97">
                  <c:v>-8.3030665780152617</c:v>
                </c:pt>
                <c:pt idx="98">
                  <c:v>-8.2548615513593138</c:v>
                </c:pt>
                <c:pt idx="99">
                  <c:v>-8.1575985229169472</c:v>
                </c:pt>
                <c:pt idx="100">
                  <c:v>-8.1994355316582048</c:v>
                </c:pt>
                <c:pt idx="101">
                  <c:v>-8.1234198907392852</c:v>
                </c:pt>
                <c:pt idx="102">
                  <c:v>-8.074403098160774</c:v>
                </c:pt>
                <c:pt idx="103">
                  <c:v>-7.8165134161459866</c:v>
                </c:pt>
                <c:pt idx="104">
                  <c:v>-7.689583116145986</c:v>
                </c:pt>
                <c:pt idx="105">
                  <c:v>-7.8626009545330833</c:v>
                </c:pt>
                <c:pt idx="106">
                  <c:v>-7.8158316454286059</c:v>
                </c:pt>
                <c:pt idx="107">
                  <c:v>-7.8609538826647869</c:v>
                </c:pt>
                <c:pt idx="108">
                  <c:v>-7.8990303327165989</c:v>
                </c:pt>
                <c:pt idx="109">
                  <c:v>-7.8305447131849846</c:v>
                </c:pt>
                <c:pt idx="110">
                  <c:v>-7.8672589424953294</c:v>
                </c:pt>
                <c:pt idx="111">
                  <c:v>-7.8366617881236289</c:v>
                </c:pt>
                <c:pt idx="112">
                  <c:v>-7.799367160887857</c:v>
                </c:pt>
                <c:pt idx="113">
                  <c:v>-7.8070230757715775</c:v>
                </c:pt>
                <c:pt idx="114">
                  <c:v>-7.7459514529144347</c:v>
                </c:pt>
                <c:pt idx="115">
                  <c:v>-7.7042932750696069</c:v>
                </c:pt>
                <c:pt idx="116">
                  <c:v>-7.7010139243625364</c:v>
                </c:pt>
                <c:pt idx="117">
                  <c:v>-7.6566873313736066</c:v>
                </c:pt>
                <c:pt idx="118">
                  <c:v>-7.5814126123038399</c:v>
                </c:pt>
                <c:pt idx="119">
                  <c:v>-7.6738741798535086</c:v>
                </c:pt>
                <c:pt idx="120">
                  <c:v>-7.6973521600439847</c:v>
                </c:pt>
                <c:pt idx="121">
                  <c:v>-7.654495859216917</c:v>
                </c:pt>
                <c:pt idx="122">
                  <c:v>-7.5469225516156708</c:v>
                </c:pt>
                <c:pt idx="123">
                  <c:v>-7.3816655338101853</c:v>
                </c:pt>
                <c:pt idx="124">
                  <c:v>-7.4656517565374578</c:v>
                </c:pt>
                <c:pt idx="125">
                  <c:v>-7.2970982335005212</c:v>
                </c:pt>
                <c:pt idx="126">
                  <c:v>-7.507338351292729</c:v>
                </c:pt>
                <c:pt idx="127">
                  <c:v>-7.4026276755178211</c:v>
                </c:pt>
                <c:pt idx="128">
                  <c:v>-7.5109086444406223</c:v>
                </c:pt>
                <c:pt idx="129">
                  <c:v>-7.1958622549935916</c:v>
                </c:pt>
                <c:pt idx="130">
                  <c:v>-7.18675947718173</c:v>
                </c:pt>
                <c:pt idx="131">
                  <c:v>-6.3729596372720527</c:v>
                </c:pt>
                <c:pt idx="132">
                  <c:v>-6.2430605313696512</c:v>
                </c:pt>
                <c:pt idx="133">
                  <c:v>-6.1660770298311895</c:v>
                </c:pt>
                <c:pt idx="134">
                  <c:v>-6.1145612798311904</c:v>
                </c:pt>
                <c:pt idx="135">
                  <c:v>-6.1733795212104994</c:v>
                </c:pt>
                <c:pt idx="136">
                  <c:v>-6.1739800919122541</c:v>
                </c:pt>
                <c:pt idx="137">
                  <c:v>-6.1646314310011912</c:v>
                </c:pt>
                <c:pt idx="138">
                  <c:v>-6.1718777389257191</c:v>
                </c:pt>
                <c:pt idx="139">
                  <c:v>-6.1055851146119942</c:v>
                </c:pt>
                <c:pt idx="140">
                  <c:v>-6.0132971402723712</c:v>
                </c:pt>
                <c:pt idx="141">
                  <c:v>-6.0007752628825406</c:v>
                </c:pt>
                <c:pt idx="142">
                  <c:v>-6.0945121702914093</c:v>
                </c:pt>
                <c:pt idx="143">
                  <c:v>-5.9668960649870009</c:v>
                </c:pt>
                <c:pt idx="144">
                  <c:v>-5.7776863260437477</c:v>
                </c:pt>
                <c:pt idx="145">
                  <c:v>-5.9060406335929159</c:v>
                </c:pt>
                <c:pt idx="146">
                  <c:v>-5.8748530064084497</c:v>
                </c:pt>
                <c:pt idx="147">
                  <c:v>-5.7703223040979799</c:v>
                </c:pt>
                <c:pt idx="148">
                  <c:v>-5.761275638955123</c:v>
                </c:pt>
                <c:pt idx="149">
                  <c:v>-5.8247749013551235</c:v>
                </c:pt>
                <c:pt idx="150">
                  <c:v>-5.7316173473852743</c:v>
                </c:pt>
                <c:pt idx="151">
                  <c:v>-5.4423007717452734</c:v>
                </c:pt>
                <c:pt idx="152">
                  <c:v>-4.664396075934123</c:v>
                </c:pt>
                <c:pt idx="153">
                  <c:v>-4.6175502184103134</c:v>
                </c:pt>
                <c:pt idx="154">
                  <c:v>-4.9450635508025931</c:v>
                </c:pt>
                <c:pt idx="155">
                  <c:v>-4.8634594770987469</c:v>
                </c:pt>
                <c:pt idx="156">
                  <c:v>-4.9190195191606589</c:v>
                </c:pt>
                <c:pt idx="157">
                  <c:v>-4.8470555840885998</c:v>
                </c:pt>
                <c:pt idx="158">
                  <c:v>-4.8493540886649784</c:v>
                </c:pt>
                <c:pt idx="159">
                  <c:v>-4.849985288610978</c:v>
                </c:pt>
                <c:pt idx="160">
                  <c:v>-4.7506527340155831</c:v>
                </c:pt>
                <c:pt idx="161">
                  <c:v>-4.7154785442611207</c:v>
                </c:pt>
                <c:pt idx="162">
                  <c:v>-4.8336715657047149</c:v>
                </c:pt>
                <c:pt idx="163">
                  <c:v>-4.8965648656342928</c:v>
                </c:pt>
                <c:pt idx="164">
                  <c:v>-4.6894711763928214</c:v>
                </c:pt>
                <c:pt idx="165">
                  <c:v>-4.4875439168147722</c:v>
                </c:pt>
                <c:pt idx="166">
                  <c:v>-4.4875439168147713</c:v>
                </c:pt>
                <c:pt idx="167">
                  <c:v>-3.3041800361903331</c:v>
                </c:pt>
                <c:pt idx="168">
                  <c:v>-5.641724663871833</c:v>
                </c:pt>
                <c:pt idx="169">
                  <c:v>-5.5840057039199102</c:v>
                </c:pt>
                <c:pt idx="170">
                  <c:v>-5.5570745415305298</c:v>
                </c:pt>
                <c:pt idx="171">
                  <c:v>-5.65340711913053</c:v>
                </c:pt>
                <c:pt idx="172">
                  <c:v>-5.717849514034234</c:v>
                </c:pt>
                <c:pt idx="173">
                  <c:v>-5.6233020429900789</c:v>
                </c:pt>
                <c:pt idx="174">
                  <c:v>-5.5588122100262236</c:v>
                </c:pt>
                <c:pt idx="175">
                  <c:v>-5.5418698993373345</c:v>
                </c:pt>
                <c:pt idx="176">
                  <c:v>-5.6300575586980344</c:v>
                </c:pt>
                <c:pt idx="177">
                  <c:v>-5.5564216452367114</c:v>
                </c:pt>
                <c:pt idx="178">
                  <c:v>-5.7203606028737486</c:v>
                </c:pt>
                <c:pt idx="179">
                  <c:v>-5.7479012565774532</c:v>
                </c:pt>
                <c:pt idx="180">
                  <c:v>-5.7077371257550134</c:v>
                </c:pt>
                <c:pt idx="181">
                  <c:v>-5.6981394832457548</c:v>
                </c:pt>
                <c:pt idx="182">
                  <c:v>-5.8199363969862832</c:v>
                </c:pt>
                <c:pt idx="183">
                  <c:v>-5.7609744866485384</c:v>
                </c:pt>
                <c:pt idx="184">
                  <c:v>-5.744233023577233</c:v>
                </c:pt>
                <c:pt idx="185">
                  <c:v>-5.7838642208020126</c:v>
                </c:pt>
                <c:pt idx="186">
                  <c:v>-5.7070601614922376</c:v>
                </c:pt>
                <c:pt idx="187">
                  <c:v>-5.7289480963076223</c:v>
                </c:pt>
                <c:pt idx="188">
                  <c:v>-5.7772917040320033</c:v>
                </c:pt>
                <c:pt idx="189">
                  <c:v>-5.8096322140046066</c:v>
                </c:pt>
                <c:pt idx="190">
                  <c:v>-5.8324505932724637</c:v>
                </c:pt>
                <c:pt idx="191">
                  <c:v>-5.8526566042159294</c:v>
                </c:pt>
                <c:pt idx="192">
                  <c:v>-5.8115439605138013</c:v>
                </c:pt>
                <c:pt idx="193">
                  <c:v>-5.7598836500712203</c:v>
                </c:pt>
                <c:pt idx="194">
                  <c:v>-5.737064259148144</c:v>
                </c:pt>
                <c:pt idx="195">
                  <c:v>-5.7258902986705316</c:v>
                </c:pt>
                <c:pt idx="196">
                  <c:v>-5.6540765936080319</c:v>
                </c:pt>
                <c:pt idx="197">
                  <c:v>-5.6023871410425139</c:v>
                </c:pt>
                <c:pt idx="198">
                  <c:v>-5.6137784642189841</c:v>
                </c:pt>
                <c:pt idx="199">
                  <c:v>-5.5995026106127339</c:v>
                </c:pt>
                <c:pt idx="200">
                  <c:v>-5.5831229339219837</c:v>
                </c:pt>
                <c:pt idx="201">
                  <c:v>-5.5761390959813237</c:v>
                </c:pt>
                <c:pt idx="202">
                  <c:v>-5.5478202494595852</c:v>
                </c:pt>
                <c:pt idx="203">
                  <c:v>-5.5965528526313362</c:v>
                </c:pt>
                <c:pt idx="204">
                  <c:v>-5.4573108778745194</c:v>
                </c:pt>
                <c:pt idx="205">
                  <c:v>-5.274693261180956</c:v>
                </c:pt>
                <c:pt idx="206">
                  <c:v>-5.350228985191622</c:v>
                </c:pt>
                <c:pt idx="207">
                  <c:v>-5.3418216988993139</c:v>
                </c:pt>
                <c:pt idx="208">
                  <c:v>-5.3490568017364568</c:v>
                </c:pt>
                <c:pt idx="209">
                  <c:v>-5.3638853719393138</c:v>
                </c:pt>
                <c:pt idx="210">
                  <c:v>-5.3638853719393138</c:v>
                </c:pt>
                <c:pt idx="211">
                  <c:v>-5.2991397938625022</c:v>
                </c:pt>
                <c:pt idx="212">
                  <c:v>-5.3718521382107616</c:v>
                </c:pt>
                <c:pt idx="213">
                  <c:v>-5.3175262433017272</c:v>
                </c:pt>
                <c:pt idx="214">
                  <c:v>-5.3585776435624863</c:v>
                </c:pt>
                <c:pt idx="215">
                  <c:v>-5.3990085220624859</c:v>
                </c:pt>
                <c:pt idx="216">
                  <c:v>-5.4483305576706487</c:v>
                </c:pt>
                <c:pt idx="217">
                  <c:v>-5.361882244857652</c:v>
                </c:pt>
                <c:pt idx="218">
                  <c:v>-5.3935985490478338</c:v>
                </c:pt>
                <c:pt idx="219">
                  <c:v>-5.404605159649388</c:v>
                </c:pt>
                <c:pt idx="220">
                  <c:v>-5.4402522804444411</c:v>
                </c:pt>
                <c:pt idx="221">
                  <c:v>-5.2998938861844405</c:v>
                </c:pt>
                <c:pt idx="222">
                  <c:v>-5.367337196714729</c:v>
                </c:pt>
                <c:pt idx="223">
                  <c:v>-5.1636608607164529</c:v>
                </c:pt>
                <c:pt idx="224">
                  <c:v>-4.9422312908785218</c:v>
                </c:pt>
                <c:pt idx="225">
                  <c:v>-4.9324953962009515</c:v>
                </c:pt>
                <c:pt idx="226">
                  <c:v>-4.8588969965139945</c:v>
                </c:pt>
                <c:pt idx="227">
                  <c:v>-4.7829011186732782</c:v>
                </c:pt>
                <c:pt idx="228">
                  <c:v>-4.7649548812396825</c:v>
                </c:pt>
                <c:pt idx="229">
                  <c:v>-4.8517867297776389</c:v>
                </c:pt>
                <c:pt idx="230">
                  <c:v>-4.0142997898923518</c:v>
                </c:pt>
                <c:pt idx="231">
                  <c:v>-3.7413918210205979</c:v>
                </c:pt>
                <c:pt idx="232">
                  <c:v>-3.7010371934735709</c:v>
                </c:pt>
                <c:pt idx="233">
                  <c:v>-3.7895905565754653</c:v>
                </c:pt>
                <c:pt idx="234">
                  <c:v>-3.8396119354740161</c:v>
                </c:pt>
                <c:pt idx="235">
                  <c:v>-3.7596579894222515</c:v>
                </c:pt>
                <c:pt idx="236">
                  <c:v>-3.7861658445051902</c:v>
                </c:pt>
                <c:pt idx="237">
                  <c:v>-3.7087828337547952</c:v>
                </c:pt>
                <c:pt idx="238">
                  <c:v>-3.65804108422883</c:v>
                </c:pt>
                <c:pt idx="239">
                  <c:v>-3.8833199750216951</c:v>
                </c:pt>
                <c:pt idx="240">
                  <c:v>-3.9428675378333455</c:v>
                </c:pt>
                <c:pt idx="241">
                  <c:v>-3.878569382199041</c:v>
                </c:pt>
                <c:pt idx="242">
                  <c:v>-3.9772229878021443</c:v>
                </c:pt>
                <c:pt idx="243">
                  <c:v>-3.9808702163912457</c:v>
                </c:pt>
                <c:pt idx="244">
                  <c:v>-3.9353612259965085</c:v>
                </c:pt>
                <c:pt idx="245">
                  <c:v>-3.7674528555576137</c:v>
                </c:pt>
                <c:pt idx="246">
                  <c:v>-3.6615766451773473</c:v>
                </c:pt>
                <c:pt idx="247">
                  <c:v>-3.7979546015776973</c:v>
                </c:pt>
                <c:pt idx="248">
                  <c:v>-3.791714112124025</c:v>
                </c:pt>
                <c:pt idx="249">
                  <c:v>-3.9118337396765575</c:v>
                </c:pt>
                <c:pt idx="250">
                  <c:v>-3.9413644887477202</c:v>
                </c:pt>
                <c:pt idx="251">
                  <c:v>-3.8521721114362224</c:v>
                </c:pt>
                <c:pt idx="252">
                  <c:v>-3.7954132642044476</c:v>
                </c:pt>
                <c:pt idx="253">
                  <c:v>-3.8215992126385201</c:v>
                </c:pt>
                <c:pt idx="254">
                  <c:v>-3.6675795139083611</c:v>
                </c:pt>
                <c:pt idx="255">
                  <c:v>-3.6618055286354796</c:v>
                </c:pt>
                <c:pt idx="256">
                  <c:v>-3.7267092375304292</c:v>
                </c:pt>
                <c:pt idx="257">
                  <c:v>-3.5553031119156948</c:v>
                </c:pt>
                <c:pt idx="258">
                  <c:v>-3.3772915651937385</c:v>
                </c:pt>
                <c:pt idx="259">
                  <c:v>-3.421633656248285</c:v>
                </c:pt>
                <c:pt idx="260">
                  <c:v>-3.322177997271063</c:v>
                </c:pt>
                <c:pt idx="261">
                  <c:v>-3.0339837070209201</c:v>
                </c:pt>
                <c:pt idx="262">
                  <c:v>-3.0538483361112072</c:v>
                </c:pt>
                <c:pt idx="263">
                  <c:v>-2.8817928481360342</c:v>
                </c:pt>
                <c:pt idx="264">
                  <c:v>-2.7244450762691956</c:v>
                </c:pt>
                <c:pt idx="265">
                  <c:v>-2.4548242644988627</c:v>
                </c:pt>
                <c:pt idx="266">
                  <c:v>-1.937366298118955</c:v>
                </c:pt>
                <c:pt idx="267">
                  <c:v>-0.97561135241369745</c:v>
                </c:pt>
                <c:pt idx="268">
                  <c:v>-1.339785392109009</c:v>
                </c:pt>
                <c:pt idx="269">
                  <c:v>-0.67184253676106331</c:v>
                </c:pt>
                <c:pt idx="270">
                  <c:v>-5.3353839581254267E-2</c:v>
                </c:pt>
                <c:pt idx="271">
                  <c:v>-0.42499577090027302</c:v>
                </c:pt>
                <c:pt idx="272">
                  <c:v>-0.18995969706756874</c:v>
                </c:pt>
                <c:pt idx="273">
                  <c:v>-0.24067796714420728</c:v>
                </c:pt>
                <c:pt idx="274">
                  <c:v>-0.26316029602774704</c:v>
                </c:pt>
                <c:pt idx="275">
                  <c:v>-0.22644707965900909</c:v>
                </c:pt>
                <c:pt idx="276">
                  <c:v>-0.31162977518143742</c:v>
                </c:pt>
                <c:pt idx="277">
                  <c:v>-0.38035303891684608</c:v>
                </c:pt>
                <c:pt idx="278">
                  <c:v>-0.3780569334474112</c:v>
                </c:pt>
                <c:pt idx="279">
                  <c:v>-0.3158395884148853</c:v>
                </c:pt>
                <c:pt idx="280">
                  <c:v>-0.37143790874569088</c:v>
                </c:pt>
                <c:pt idx="281">
                  <c:v>-0.3185070178506495</c:v>
                </c:pt>
                <c:pt idx="282">
                  <c:v>-0.23025832844731622</c:v>
                </c:pt>
                <c:pt idx="283">
                  <c:v>-0.27784414642931426</c:v>
                </c:pt>
                <c:pt idx="284">
                  <c:v>-0.17101546225461547</c:v>
                </c:pt>
                <c:pt idx="285">
                  <c:v>-0.14160785528949926</c:v>
                </c:pt>
                <c:pt idx="286">
                  <c:v>-0.11380633090577819</c:v>
                </c:pt>
                <c:pt idx="287">
                  <c:v>-3.8016654180891285E-2</c:v>
                </c:pt>
                <c:pt idx="288">
                  <c:v>-0.13417767959317906</c:v>
                </c:pt>
                <c:pt idx="289">
                  <c:v>-5.994431271953278E-2</c:v>
                </c:pt>
                <c:pt idx="290">
                  <c:v>-9.3718896491573195E-2</c:v>
                </c:pt>
                <c:pt idx="291">
                  <c:v>-2.7213022218846E-2</c:v>
                </c:pt>
                <c:pt idx="292">
                  <c:v>2.6364911918632109E-2</c:v>
                </c:pt>
                <c:pt idx="293">
                  <c:v>4.4010926054849686E-2</c:v>
                </c:pt>
                <c:pt idx="294">
                  <c:v>0.13018761984047281</c:v>
                </c:pt>
                <c:pt idx="295">
                  <c:v>0.11380934756774545</c:v>
                </c:pt>
                <c:pt idx="296">
                  <c:v>0.16935792032523231</c:v>
                </c:pt>
                <c:pt idx="297">
                  <c:v>0.24212359095842378</c:v>
                </c:pt>
                <c:pt idx="298">
                  <c:v>8.2008920829290177E-2</c:v>
                </c:pt>
                <c:pt idx="299">
                  <c:v>1.7023158962623665E-2</c:v>
                </c:pt>
                <c:pt idx="300">
                  <c:v>0.11221721757598625</c:v>
                </c:pt>
                <c:pt idx="301">
                  <c:v>0.15564216411643073</c:v>
                </c:pt>
                <c:pt idx="302">
                  <c:v>0.14782791408055038</c:v>
                </c:pt>
                <c:pt idx="303">
                  <c:v>0.20565585342174594</c:v>
                </c:pt>
                <c:pt idx="304">
                  <c:v>0.25356406671925069</c:v>
                </c:pt>
                <c:pt idx="305">
                  <c:v>0.17051428965801627</c:v>
                </c:pt>
                <c:pt idx="306">
                  <c:v>0.30018535905837984</c:v>
                </c:pt>
                <c:pt idx="307">
                  <c:v>0.1499698746087065</c:v>
                </c:pt>
                <c:pt idx="308">
                  <c:v>0.10736599072337315</c:v>
                </c:pt>
                <c:pt idx="309">
                  <c:v>0.17469386202071363</c:v>
                </c:pt>
                <c:pt idx="310">
                  <c:v>0.26397774592769041</c:v>
                </c:pt>
                <c:pt idx="311">
                  <c:v>0.19287893641323575</c:v>
                </c:pt>
                <c:pt idx="312">
                  <c:v>0.27983112452585701</c:v>
                </c:pt>
                <c:pt idx="313">
                  <c:v>0.31468872378484974</c:v>
                </c:pt>
                <c:pt idx="314">
                  <c:v>0.44029968378484974</c:v>
                </c:pt>
                <c:pt idx="315">
                  <c:v>0.40438883338437021</c:v>
                </c:pt>
                <c:pt idx="316">
                  <c:v>0.48912475912437031</c:v>
                </c:pt>
                <c:pt idx="317">
                  <c:v>0.46086656255581604</c:v>
                </c:pt>
                <c:pt idx="318">
                  <c:v>0.62920582884198439</c:v>
                </c:pt>
                <c:pt idx="319">
                  <c:v>0.50450273735689355</c:v>
                </c:pt>
                <c:pt idx="320">
                  <c:v>0.38648573513414264</c:v>
                </c:pt>
                <c:pt idx="321">
                  <c:v>0.24420786873904532</c:v>
                </c:pt>
                <c:pt idx="322">
                  <c:v>0.17144781174413029</c:v>
                </c:pt>
                <c:pt idx="323">
                  <c:v>6.6222354768911681E-2</c:v>
                </c:pt>
                <c:pt idx="324">
                  <c:v>0.1178774257168011</c:v>
                </c:pt>
                <c:pt idx="325">
                  <c:v>0.10275125205013443</c:v>
                </c:pt>
                <c:pt idx="326">
                  <c:v>4.6936889999736504E-2</c:v>
                </c:pt>
                <c:pt idx="327">
                  <c:v>1.8381087560070255E-2</c:v>
                </c:pt>
                <c:pt idx="328">
                  <c:v>-6.6805045372882576E-3</c:v>
                </c:pt>
                <c:pt idx="329">
                  <c:v>-2.3167189430808807E-2</c:v>
                </c:pt>
                <c:pt idx="330">
                  <c:v>2.7375698011913533E-3</c:v>
                </c:pt>
                <c:pt idx="331">
                  <c:v>4.7597467954771456E-3</c:v>
                </c:pt>
                <c:pt idx="332">
                  <c:v>2.2745642817916089E-2</c:v>
                </c:pt>
                <c:pt idx="333">
                  <c:v>1.3277882982387107E-2</c:v>
                </c:pt>
                <c:pt idx="334">
                  <c:v>7.0683561529499015E-3</c:v>
                </c:pt>
                <c:pt idx="335">
                  <c:v>2.0172762908562156E-2</c:v>
                </c:pt>
                <c:pt idx="336">
                  <c:v>4.6759919406996121E-2</c:v>
                </c:pt>
                <c:pt idx="337">
                  <c:v>0.10654780250735015</c:v>
                </c:pt>
                <c:pt idx="338">
                  <c:v>0.13434776783884178</c:v>
                </c:pt>
                <c:pt idx="339">
                  <c:v>0.14233215463807392</c:v>
                </c:pt>
                <c:pt idx="340">
                  <c:v>8.1364703609489192E-2</c:v>
                </c:pt>
                <c:pt idx="341">
                  <c:v>9.1102751555699482E-2</c:v>
                </c:pt>
                <c:pt idx="342">
                  <c:v>0.15242051226132722</c:v>
                </c:pt>
                <c:pt idx="343">
                  <c:v>0.2269485799395573</c:v>
                </c:pt>
                <c:pt idx="344">
                  <c:v>0.1022325047301277</c:v>
                </c:pt>
                <c:pt idx="345">
                  <c:v>9.3963527438275962E-2</c:v>
                </c:pt>
                <c:pt idx="346">
                  <c:v>0.13103170423625227</c:v>
                </c:pt>
                <c:pt idx="347">
                  <c:v>0.17508277573120071</c:v>
                </c:pt>
                <c:pt idx="348">
                  <c:v>-4.161445981315734E-2</c:v>
                </c:pt>
                <c:pt idx="349">
                  <c:v>1.401771872746898E-3</c:v>
                </c:pt>
                <c:pt idx="350">
                  <c:v>7.4116503361563724E-2</c:v>
                </c:pt>
                <c:pt idx="351">
                  <c:v>-7.5275631102132257E-2</c:v>
                </c:pt>
                <c:pt idx="352">
                  <c:v>-6.7604187364758497E-2</c:v>
                </c:pt>
                <c:pt idx="353">
                  <c:v>-0.11667629340407021</c:v>
                </c:pt>
                <c:pt idx="354">
                  <c:v>-0.14751580917155785</c:v>
                </c:pt>
                <c:pt idx="355">
                  <c:v>-0.19992858197893104</c:v>
                </c:pt>
                <c:pt idx="356">
                  <c:v>-0.1419924099669842</c:v>
                </c:pt>
                <c:pt idx="357">
                  <c:v>-0.17319650562965094</c:v>
                </c:pt>
                <c:pt idx="358">
                  <c:v>-0.16590820036298418</c:v>
                </c:pt>
                <c:pt idx="359">
                  <c:v>-0.1069983000460029</c:v>
                </c:pt>
                <c:pt idx="360">
                  <c:v>-0.18229566529802088</c:v>
                </c:pt>
                <c:pt idx="361">
                  <c:v>-0.22809713005777457</c:v>
                </c:pt>
                <c:pt idx="362">
                  <c:v>-0.16166472043747002</c:v>
                </c:pt>
                <c:pt idx="363">
                  <c:v>-0.12619574522112015</c:v>
                </c:pt>
                <c:pt idx="364">
                  <c:v>-6.2811149510299258E-2</c:v>
                </c:pt>
                <c:pt idx="365">
                  <c:v>-0.1096477540656326</c:v>
                </c:pt>
                <c:pt idx="366">
                  <c:v>-6.3504680148000342E-2</c:v>
                </c:pt>
                <c:pt idx="367">
                  <c:v>-9.2315399961963404E-2</c:v>
                </c:pt>
                <c:pt idx="368">
                  <c:v>-7.9032879386669239E-2</c:v>
                </c:pt>
                <c:pt idx="369">
                  <c:v>-9.2750466267703752E-2</c:v>
                </c:pt>
                <c:pt idx="370">
                  <c:v>-9.9205483640335337E-2</c:v>
                </c:pt>
                <c:pt idx="371">
                  <c:v>-0.12431989749759129</c:v>
                </c:pt>
                <c:pt idx="372">
                  <c:v>-8.9265653421890356E-2</c:v>
                </c:pt>
                <c:pt idx="373">
                  <c:v>-0.12371218582189041</c:v>
                </c:pt>
                <c:pt idx="374">
                  <c:v>-7.7617662342438332E-2</c:v>
                </c:pt>
                <c:pt idx="375">
                  <c:v>-5.5543720152143067E-2</c:v>
                </c:pt>
                <c:pt idx="376">
                  <c:v>-0.11040330819331955</c:v>
                </c:pt>
                <c:pt idx="377">
                  <c:v>-0.1333792757159715</c:v>
                </c:pt>
                <c:pt idx="378">
                  <c:v>-0.1880089218982457</c:v>
                </c:pt>
                <c:pt idx="379">
                  <c:v>-0.16507665853936249</c:v>
                </c:pt>
                <c:pt idx="380">
                  <c:v>-0.21374006448221958</c:v>
                </c:pt>
                <c:pt idx="381">
                  <c:v>-0.25095925383650525</c:v>
                </c:pt>
                <c:pt idx="382">
                  <c:v>-0.27728607091659374</c:v>
                </c:pt>
                <c:pt idx="383">
                  <c:v>-0.26534331112460197</c:v>
                </c:pt>
                <c:pt idx="384">
                  <c:v>-0.31963904811090682</c:v>
                </c:pt>
                <c:pt idx="385">
                  <c:v>-0.29356098858817953</c:v>
                </c:pt>
                <c:pt idx="386">
                  <c:v>-0.27437208786002421</c:v>
                </c:pt>
                <c:pt idx="387">
                  <c:v>-0.26985854900494527</c:v>
                </c:pt>
                <c:pt idx="388">
                  <c:v>-0.36835574448072511</c:v>
                </c:pt>
                <c:pt idx="389">
                  <c:v>-0.44493863661523841</c:v>
                </c:pt>
                <c:pt idx="390">
                  <c:v>-0.53596992700010337</c:v>
                </c:pt>
                <c:pt idx="391">
                  <c:v>-0.5441394522295151</c:v>
                </c:pt>
                <c:pt idx="392">
                  <c:v>-0.55211902275125424</c:v>
                </c:pt>
                <c:pt idx="393">
                  <c:v>-0.54832545544458755</c:v>
                </c:pt>
                <c:pt idx="394">
                  <c:v>-0.55033612272169596</c:v>
                </c:pt>
                <c:pt idx="395">
                  <c:v>-0.59646134644518589</c:v>
                </c:pt>
                <c:pt idx="396">
                  <c:v>-0.49672149337398158</c:v>
                </c:pt>
                <c:pt idx="397">
                  <c:v>-0.54704849750459394</c:v>
                </c:pt>
                <c:pt idx="398">
                  <c:v>-0.53942714145524329</c:v>
                </c:pt>
                <c:pt idx="399">
                  <c:v>-0.54934864851907306</c:v>
                </c:pt>
                <c:pt idx="400">
                  <c:v>-0.5760992110420089</c:v>
                </c:pt>
                <c:pt idx="401">
                  <c:v>-0.56362946874759545</c:v>
                </c:pt>
                <c:pt idx="402">
                  <c:v>-0.5751627575257563</c:v>
                </c:pt>
                <c:pt idx="403">
                  <c:v>-0.55103035742779716</c:v>
                </c:pt>
                <c:pt idx="404">
                  <c:v>-0.48787744774412367</c:v>
                </c:pt>
                <c:pt idx="405">
                  <c:v>-0.49294127807933502</c:v>
                </c:pt>
                <c:pt idx="406">
                  <c:v>-0.48022730305552552</c:v>
                </c:pt>
                <c:pt idx="407">
                  <c:v>-0.50358294493986278</c:v>
                </c:pt>
                <c:pt idx="408">
                  <c:v>-0.55391298050349902</c:v>
                </c:pt>
                <c:pt idx="409">
                  <c:v>-0.5422901873234991</c:v>
                </c:pt>
                <c:pt idx="410">
                  <c:v>-0.5167926097679435</c:v>
                </c:pt>
                <c:pt idx="411">
                  <c:v>-0.37056423830832824</c:v>
                </c:pt>
                <c:pt idx="412">
                  <c:v>-0.35052520334490417</c:v>
                </c:pt>
                <c:pt idx="413">
                  <c:v>-0.3291337797552491</c:v>
                </c:pt>
                <c:pt idx="414">
                  <c:v>-0.33001150129413792</c:v>
                </c:pt>
                <c:pt idx="415">
                  <c:v>-0.37211316356383495</c:v>
                </c:pt>
                <c:pt idx="416">
                  <c:v>-0.3233881891379089</c:v>
                </c:pt>
                <c:pt idx="417">
                  <c:v>-0.32829062697124223</c:v>
                </c:pt>
                <c:pt idx="418">
                  <c:v>-0.33364433788888925</c:v>
                </c:pt>
                <c:pt idx="419">
                  <c:v>-0.36364746855947749</c:v>
                </c:pt>
                <c:pt idx="420">
                  <c:v>-0.16744662224472345</c:v>
                </c:pt>
                <c:pt idx="421">
                  <c:v>-0.20504662805844887</c:v>
                </c:pt>
                <c:pt idx="422">
                  <c:v>-0.2117918659072861</c:v>
                </c:pt>
                <c:pt idx="423">
                  <c:v>-0.19325823429011443</c:v>
                </c:pt>
                <c:pt idx="424">
                  <c:v>-0.20262421651011447</c:v>
                </c:pt>
                <c:pt idx="425">
                  <c:v>-0.19840065332590393</c:v>
                </c:pt>
                <c:pt idx="426">
                  <c:v>-0.20193803231324572</c:v>
                </c:pt>
                <c:pt idx="427">
                  <c:v>-0.2006478674873716</c:v>
                </c:pt>
                <c:pt idx="428">
                  <c:v>-0.19280883727083029</c:v>
                </c:pt>
                <c:pt idx="429">
                  <c:v>-0.3138127777133306</c:v>
                </c:pt>
                <c:pt idx="430">
                  <c:v>-0.26985183024480458</c:v>
                </c:pt>
                <c:pt idx="431">
                  <c:v>-0.319714636466157</c:v>
                </c:pt>
                <c:pt idx="432">
                  <c:v>-0.35756801029685004</c:v>
                </c:pt>
                <c:pt idx="433">
                  <c:v>-0.54032359639685001</c:v>
                </c:pt>
                <c:pt idx="434">
                  <c:v>-0.59623794178394618</c:v>
                </c:pt>
                <c:pt idx="435">
                  <c:v>-0.65853185308717221</c:v>
                </c:pt>
                <c:pt idx="436">
                  <c:v>-0.65735382544000243</c:v>
                </c:pt>
                <c:pt idx="437">
                  <c:v>-0.64604739927188637</c:v>
                </c:pt>
                <c:pt idx="438">
                  <c:v>-0.64049773250645425</c:v>
                </c:pt>
                <c:pt idx="439">
                  <c:v>-0.60074474004277256</c:v>
                </c:pt>
                <c:pt idx="440">
                  <c:v>-0.61103689408562967</c:v>
                </c:pt>
                <c:pt idx="441">
                  <c:v>-0.6244262379112111</c:v>
                </c:pt>
                <c:pt idx="442">
                  <c:v>-0.60808408710238759</c:v>
                </c:pt>
                <c:pt idx="443">
                  <c:v>-0.58055885800471307</c:v>
                </c:pt>
                <c:pt idx="444">
                  <c:v>-0.55089814981448748</c:v>
                </c:pt>
                <c:pt idx="445">
                  <c:v>-0.42798419132536375</c:v>
                </c:pt>
                <c:pt idx="446">
                  <c:v>-0.51013988798842858</c:v>
                </c:pt>
                <c:pt idx="447">
                  <c:v>-0.49056353301246702</c:v>
                </c:pt>
                <c:pt idx="448">
                  <c:v>-0.50570990001246707</c:v>
                </c:pt>
                <c:pt idx="449">
                  <c:v>-0.51557033533878294</c:v>
                </c:pt>
                <c:pt idx="450">
                  <c:v>-0.44518092310498014</c:v>
                </c:pt>
                <c:pt idx="451">
                  <c:v>-0.47918024881355153</c:v>
                </c:pt>
                <c:pt idx="452">
                  <c:v>-0.47221430593053265</c:v>
                </c:pt>
                <c:pt idx="453">
                  <c:v>-0.46586009982627735</c:v>
                </c:pt>
                <c:pt idx="454">
                  <c:v>-0.47636575906765671</c:v>
                </c:pt>
                <c:pt idx="455">
                  <c:v>-0.46800161515276312</c:v>
                </c:pt>
                <c:pt idx="456">
                  <c:v>-0.47295856787473628</c:v>
                </c:pt>
                <c:pt idx="457">
                  <c:v>-0.45629413681883568</c:v>
                </c:pt>
                <c:pt idx="458">
                  <c:v>-0.45085933945216899</c:v>
                </c:pt>
                <c:pt idx="459">
                  <c:v>-0.47251832641921437</c:v>
                </c:pt>
                <c:pt idx="460">
                  <c:v>-0.46115894030382976</c:v>
                </c:pt>
                <c:pt idx="461">
                  <c:v>-0.47514661380481982</c:v>
                </c:pt>
                <c:pt idx="462">
                  <c:v>-0.43888866788985387</c:v>
                </c:pt>
                <c:pt idx="463">
                  <c:v>-0.42409941686787583</c:v>
                </c:pt>
                <c:pt idx="464">
                  <c:v>-0.43957564469104654</c:v>
                </c:pt>
                <c:pt idx="465">
                  <c:v>-0.41770909353358798</c:v>
                </c:pt>
                <c:pt idx="466">
                  <c:v>-0.41117994013930231</c:v>
                </c:pt>
                <c:pt idx="467">
                  <c:v>-0.4142288237726357</c:v>
                </c:pt>
                <c:pt idx="468">
                  <c:v>-0.41588603220048376</c:v>
                </c:pt>
                <c:pt idx="469">
                  <c:v>-0.39624792158210537</c:v>
                </c:pt>
                <c:pt idx="470">
                  <c:v>-0.40617768029402024</c:v>
                </c:pt>
                <c:pt idx="471">
                  <c:v>-0.40259008773223681</c:v>
                </c:pt>
                <c:pt idx="472">
                  <c:v>-0.40127127254132766</c:v>
                </c:pt>
                <c:pt idx="473">
                  <c:v>-0.40483418009814587</c:v>
                </c:pt>
                <c:pt idx="474">
                  <c:v>-0.40369009560766966</c:v>
                </c:pt>
                <c:pt idx="475">
                  <c:v>-0.40186104862259509</c:v>
                </c:pt>
                <c:pt idx="476">
                  <c:v>-0.40236905090592834</c:v>
                </c:pt>
                <c:pt idx="477">
                  <c:v>-0.4008612282024801</c:v>
                </c:pt>
                <c:pt idx="478">
                  <c:v>-0.40909889284342127</c:v>
                </c:pt>
                <c:pt idx="479">
                  <c:v>-0.38454378495251218</c:v>
                </c:pt>
                <c:pt idx="480">
                  <c:v>-0.35910683218520451</c:v>
                </c:pt>
                <c:pt idx="481">
                  <c:v>-0.35271175198125709</c:v>
                </c:pt>
                <c:pt idx="482">
                  <c:v>-0.25208441646546759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D-482D-86CD-2D6438576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094864"/>
        <c:axId val="643089040"/>
      </c:lineChart>
      <c:dateAx>
        <c:axId val="6430948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089040"/>
        <c:crosses val="autoZero"/>
        <c:auto val="1"/>
        <c:lblOffset val="100"/>
        <c:baseTimeUnit val="days"/>
      </c:dateAx>
      <c:valAx>
        <c:axId val="64308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094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E19724C-A3A1-4731-8D0F-540BEA766930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258325-302F-4D4D-B6E3-E5F208EC6FA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1.0649999999999999</v>
      </c>
      <c r="D2" s="4">
        <f>MIN(D3:D1912)</f>
        <v>8.1000000000000003E-2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0.23749999999999999</v>
      </c>
      <c r="C5">
        <v>0.24030000000000001</v>
      </c>
      <c r="D5">
        <v>0.23400000000000001</v>
      </c>
      <c r="E5">
        <v>0.23499999999999999</v>
      </c>
      <c r="F5">
        <v>387707</v>
      </c>
      <c r="G5">
        <v>0.23499999999999999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-0.68253968253969111</v>
      </c>
      <c r="Q5">
        <f t="shared" ref="Q5" si="1">F5*P5</f>
        <v>-264625.41269841604</v>
      </c>
      <c r="R5">
        <f t="shared" ref="R5" si="2">R6+Q5</f>
        <v>-1109409345.3377025</v>
      </c>
      <c r="S5">
        <f t="shared" ref="S5" si="3">R5/100000</f>
        <v>-11094.093453377025</v>
      </c>
      <c r="T5">
        <f t="shared" ref="T5" si="4">S5/1000</f>
        <v>-11.094093453377026</v>
      </c>
    </row>
    <row r="6" spans="1:20" x14ac:dyDescent="0.25">
      <c r="A6" s="5">
        <v>44587</v>
      </c>
      <c r="B6">
        <v>0.22839999999999999</v>
      </c>
      <c r="C6">
        <v>0.25480000000000003</v>
      </c>
      <c r="D6">
        <v>0.22259999999999999</v>
      </c>
      <c r="E6">
        <v>0.2382</v>
      </c>
      <c r="F6">
        <v>14916576</v>
      </c>
      <c r="G6">
        <v>0.2382</v>
      </c>
      <c r="L6" t="s">
        <v>8</v>
      </c>
      <c r="M6" t="s">
        <v>8</v>
      </c>
      <c r="N6" t="s">
        <v>7</v>
      </c>
      <c r="P6">
        <f t="shared" ref="P6" si="5">IF(C6=D6,0,((E6-D6)-(C6-E6))/(C6-D6))</f>
        <v>-3.1055900621118869E-2</v>
      </c>
      <c r="Q6">
        <f t="shared" ref="Q6" si="6">F6*P6</f>
        <v>-463247.70186336682</v>
      </c>
      <c r="R6">
        <f t="shared" ref="R6" si="7">R7+Q6</f>
        <v>-1109144719.925004</v>
      </c>
      <c r="S6">
        <f t="shared" ref="S6" si="8">R6/100000</f>
        <v>-11091.44719925004</v>
      </c>
      <c r="T6">
        <f t="shared" ref="T6" si="9">S6/1000</f>
        <v>-11.091447199250041</v>
      </c>
    </row>
    <row r="7" spans="1:20" x14ac:dyDescent="0.25">
      <c r="A7" s="5">
        <v>44586</v>
      </c>
      <c r="B7">
        <v>0.22120000000000001</v>
      </c>
      <c r="C7">
        <v>0.245</v>
      </c>
      <c r="D7">
        <v>0.2092</v>
      </c>
      <c r="E7">
        <v>0.22789999999999999</v>
      </c>
      <c r="F7">
        <v>12375444</v>
      </c>
      <c r="G7">
        <v>0.22789999999999999</v>
      </c>
      <c r="L7" t="s">
        <v>8</v>
      </c>
      <c r="M7" t="s">
        <v>8</v>
      </c>
      <c r="N7" t="s">
        <v>7</v>
      </c>
      <c r="P7">
        <f t="shared" ref="P7" si="10">IF(C7=D7,0,((E7-D7)-(C7-E7))/(C7-D7))</f>
        <v>4.4692737430167329E-2</v>
      </c>
      <c r="Q7">
        <f t="shared" ref="Q7" si="11">F7*P7</f>
        <v>553092.46927373973</v>
      </c>
      <c r="R7">
        <f t="shared" ref="R7" si="12">R8+Q7</f>
        <v>-1108681472.2231407</v>
      </c>
      <c r="S7">
        <f t="shared" ref="S7" si="13">R7/100000</f>
        <v>-11086.814722231407</v>
      </c>
      <c r="T7">
        <f t="shared" ref="T7" si="14">S7/1000</f>
        <v>-11.086814722231408</v>
      </c>
    </row>
    <row r="8" spans="1:20" x14ac:dyDescent="0.25">
      <c r="A8" s="5">
        <v>44585</v>
      </c>
      <c r="B8">
        <v>0.23419999999999999</v>
      </c>
      <c r="C8">
        <v>0.23419999999999999</v>
      </c>
      <c r="D8">
        <v>0.1951</v>
      </c>
      <c r="E8">
        <v>0.22120000000000001</v>
      </c>
      <c r="F8">
        <v>17000482.98</v>
      </c>
      <c r="G8">
        <v>0.22120000000000001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0.33503836317135627</v>
      </c>
      <c r="Q8">
        <f t="shared" ref="Q8" si="16">F8*P8</f>
        <v>5695813.9907417009</v>
      </c>
      <c r="R8">
        <f t="shared" ref="R8" si="17">R9+Q8</f>
        <v>-1109234564.6924145</v>
      </c>
      <c r="S8">
        <f t="shared" ref="S8" si="18">R8/100000</f>
        <v>-11092.345646924145</v>
      </c>
      <c r="T8">
        <f t="shared" ref="T8" si="19">S8/1000</f>
        <v>-11.092345646924144</v>
      </c>
    </row>
    <row r="9" spans="1:20" x14ac:dyDescent="0.25">
      <c r="A9" s="5">
        <v>44584</v>
      </c>
      <c r="B9">
        <v>0.22289999999999999</v>
      </c>
      <c r="C9">
        <v>0.2681</v>
      </c>
      <c r="D9">
        <v>0.22090000000000001</v>
      </c>
      <c r="E9">
        <v>0.2341</v>
      </c>
      <c r="F9">
        <v>10011786</v>
      </c>
      <c r="G9">
        <v>0.2341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-0.44067796610169524</v>
      </c>
      <c r="Q9">
        <f t="shared" ref="Q9" si="21">F9*P9</f>
        <v>-4411973.4915254274</v>
      </c>
      <c r="R9">
        <f t="shared" ref="R9" si="22">R10+Q9</f>
        <v>-1114930378.6831563</v>
      </c>
      <c r="S9">
        <f t="shared" ref="S9" si="23">R9/100000</f>
        <v>-11149.303786831562</v>
      </c>
      <c r="T9">
        <f t="shared" ref="T9" si="24">S9/1000</f>
        <v>-11.149303786831563</v>
      </c>
    </row>
    <row r="10" spans="1:20" x14ac:dyDescent="0.25">
      <c r="A10" s="5">
        <v>44583</v>
      </c>
      <c r="B10">
        <v>0.25640000000000002</v>
      </c>
      <c r="C10">
        <v>0.26140000000000002</v>
      </c>
      <c r="D10">
        <v>0.20039999999999999</v>
      </c>
      <c r="E10">
        <v>0.223</v>
      </c>
      <c r="F10">
        <v>18485455.100000001</v>
      </c>
      <c r="G10">
        <v>0.223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-0.25901639344262301</v>
      </c>
      <c r="Q10">
        <f t="shared" ref="Q10" si="26">F10*P10</f>
        <v>-4788035.9111475423</v>
      </c>
      <c r="R10">
        <f t="shared" ref="R10" si="27">R11+Q10</f>
        <v>-1110518405.1916308</v>
      </c>
      <c r="S10">
        <f t="shared" ref="S10" si="28">R10/100000</f>
        <v>-11105.184051916309</v>
      </c>
      <c r="T10">
        <f t="shared" ref="T10" si="29">S10/1000</f>
        <v>-11.105184051916309</v>
      </c>
    </row>
    <row r="11" spans="1:20" x14ac:dyDescent="0.25">
      <c r="A11" s="5">
        <v>44582</v>
      </c>
      <c r="B11">
        <v>0.30499999999999999</v>
      </c>
      <c r="C11">
        <v>0.3115</v>
      </c>
      <c r="D11">
        <v>0.25109999999999999</v>
      </c>
      <c r="E11">
        <v>0.25629999999999997</v>
      </c>
      <c r="F11">
        <v>18307417.649999999</v>
      </c>
      <c r="G11">
        <v>0.25629999999999997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-0.8278145695364244</v>
      </c>
      <c r="Q11">
        <f t="shared" ref="Q11" si="31">F11*P11</f>
        <v>-15155147.061258288</v>
      </c>
      <c r="R11">
        <f t="shared" ref="R11" si="32">R12+Q11</f>
        <v>-1105730369.2804832</v>
      </c>
      <c r="S11">
        <f t="shared" ref="S11" si="33">R11/100000</f>
        <v>-11057.303692804833</v>
      </c>
      <c r="T11">
        <f t="shared" ref="T11" si="34">S11/1000</f>
        <v>-11.057303692804833</v>
      </c>
    </row>
    <row r="12" spans="1:20" x14ac:dyDescent="0.25">
      <c r="A12" s="5">
        <v>44581</v>
      </c>
      <c r="B12">
        <v>0.32840000000000003</v>
      </c>
      <c r="C12">
        <v>0.34200000000000003</v>
      </c>
      <c r="D12">
        <v>0.30459999999999998</v>
      </c>
      <c r="E12">
        <v>0.30570000000000003</v>
      </c>
      <c r="F12">
        <v>12421365</v>
      </c>
      <c r="G12">
        <v>0.30570000000000003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-0.94117647058823295</v>
      </c>
      <c r="Q12">
        <f t="shared" ref="Q12" si="36">F12*P12</f>
        <v>-11690696.470588205</v>
      </c>
      <c r="R12">
        <f t="shared" ref="R12" si="37">R13+Q12</f>
        <v>-1090575222.2192249</v>
      </c>
      <c r="S12">
        <f t="shared" ref="S12" si="38">R12/100000</f>
        <v>-10905.75222219225</v>
      </c>
      <c r="T12">
        <f t="shared" ref="T12" si="39">S12/1000</f>
        <v>-10.90575222219225</v>
      </c>
    </row>
    <row r="13" spans="1:20" x14ac:dyDescent="0.25">
      <c r="A13" s="5">
        <v>44580</v>
      </c>
      <c r="B13">
        <v>0.35170000000000001</v>
      </c>
      <c r="C13">
        <v>0.35439999999999999</v>
      </c>
      <c r="D13">
        <v>0.32769999999999999</v>
      </c>
      <c r="E13">
        <v>0.32829999999999998</v>
      </c>
      <c r="F13">
        <v>8464566</v>
      </c>
      <c r="G13">
        <v>0.32829999999999998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-0.95505617977528168</v>
      </c>
      <c r="Q13">
        <f t="shared" ref="Q13" si="41">F13*P13</f>
        <v>-8084136.0674157366</v>
      </c>
      <c r="R13">
        <f t="shared" ref="R13" si="42">R14+Q13</f>
        <v>-1078884525.7486367</v>
      </c>
      <c r="S13">
        <f t="shared" ref="S13" si="43">R13/100000</f>
        <v>-10788.845257486368</v>
      </c>
      <c r="T13">
        <f t="shared" ref="T13" si="44">S13/1000</f>
        <v>-10.788845257486368</v>
      </c>
    </row>
    <row r="14" spans="1:20" x14ac:dyDescent="0.25">
      <c r="A14" s="5">
        <v>44579</v>
      </c>
      <c r="B14">
        <v>0.3584</v>
      </c>
      <c r="C14">
        <v>0.36459999999999998</v>
      </c>
      <c r="D14">
        <v>0.34200000000000003</v>
      </c>
      <c r="E14">
        <v>0.3513</v>
      </c>
      <c r="F14">
        <v>9951123</v>
      </c>
      <c r="G14">
        <v>0.3513</v>
      </c>
      <c r="L14" t="s">
        <v>8</v>
      </c>
      <c r="M14" t="s">
        <v>7</v>
      </c>
      <c r="N14" t="s">
        <v>8</v>
      </c>
      <c r="P14">
        <f t="shared" ref="P14" si="45">IF(C14=D14,0,((E14-D14)-(C14-E14))/(C14-D14))</f>
        <v>-0.1769911504424784</v>
      </c>
      <c r="Q14">
        <f t="shared" ref="Q14" si="46">F14*P14</f>
        <v>-1761260.707964607</v>
      </c>
      <c r="R14">
        <f t="shared" ref="R14" si="47">R15+Q14</f>
        <v>-1070800389.6812209</v>
      </c>
      <c r="S14">
        <f t="shared" ref="S14" si="48">R14/100000</f>
        <v>-10708.003896812208</v>
      </c>
      <c r="T14">
        <f t="shared" ref="T14" si="49">S14/1000</f>
        <v>-10.708003896812208</v>
      </c>
    </row>
    <row r="15" spans="1:20" x14ac:dyDescent="0.25">
      <c r="A15" s="5">
        <v>44578</v>
      </c>
      <c r="B15">
        <v>0.35930000000000001</v>
      </c>
      <c r="C15">
        <v>0.38</v>
      </c>
      <c r="D15">
        <v>0.34100000000000003</v>
      </c>
      <c r="E15">
        <v>0.35799999999999998</v>
      </c>
      <c r="F15">
        <v>14217773</v>
      </c>
      <c r="G15">
        <v>0.35799999999999998</v>
      </c>
      <c r="L15" t="s">
        <v>7</v>
      </c>
      <c r="M15" t="s">
        <v>7</v>
      </c>
      <c r="N15" t="s">
        <v>8</v>
      </c>
      <c r="P15">
        <f t="shared" ref="P15" si="50">IF(C15=D15,0,((E15-D15)-(C15-E15))/(C15-D15))</f>
        <v>-0.1282051282051298</v>
      </c>
      <c r="Q15">
        <f t="shared" ref="Q15" si="51">F15*P15</f>
        <v>-1822791.4102564331</v>
      </c>
      <c r="R15">
        <f t="shared" ref="R15" si="52">R16+Q15</f>
        <v>-1069039128.9732562</v>
      </c>
      <c r="S15">
        <f t="shared" ref="S15" si="53">R15/100000</f>
        <v>-10690.391289732563</v>
      </c>
      <c r="T15">
        <f t="shared" ref="T15" si="54">S15/1000</f>
        <v>-10.690391289732563</v>
      </c>
    </row>
    <row r="16" spans="1:20" x14ac:dyDescent="0.25">
      <c r="A16" s="5">
        <v>44577</v>
      </c>
      <c r="B16">
        <v>0.36559999999999998</v>
      </c>
      <c r="C16">
        <v>0.37369999999999998</v>
      </c>
      <c r="D16">
        <v>0.35659999999999997</v>
      </c>
      <c r="E16">
        <v>0.3594</v>
      </c>
      <c r="F16">
        <v>5879583</v>
      </c>
      <c r="G16">
        <v>0.3594</v>
      </c>
      <c r="L16" t="s">
        <v>7</v>
      </c>
      <c r="M16" t="s">
        <v>7</v>
      </c>
      <c r="N16" t="s">
        <v>8</v>
      </c>
      <c r="P16">
        <f t="shared" ref="P16" si="55">IF(C16=D16,0,((E16-D16)-(C16-E16))/(C16-D16))</f>
        <v>-0.67251461988303818</v>
      </c>
      <c r="Q16">
        <f t="shared" ref="Q16" si="56">F16*P16</f>
        <v>-3954105.5263157734</v>
      </c>
      <c r="R16">
        <f t="shared" ref="R16" si="57">R17+Q16</f>
        <v>-1067216337.5629998</v>
      </c>
      <c r="S16">
        <f t="shared" ref="S16" si="58">R16/100000</f>
        <v>-10672.163375629998</v>
      </c>
      <c r="T16">
        <f t="shared" ref="T16" si="59">S16/1000</f>
        <v>-10.672163375629998</v>
      </c>
    </row>
    <row r="17" spans="1:20" x14ac:dyDescent="0.25">
      <c r="A17" s="5">
        <v>44576</v>
      </c>
      <c r="B17">
        <v>0.374</v>
      </c>
      <c r="C17">
        <v>0.37730000000000002</v>
      </c>
      <c r="D17">
        <v>0.36130000000000001</v>
      </c>
      <c r="E17">
        <v>0.36559999999999998</v>
      </c>
      <c r="F17">
        <v>5836996</v>
      </c>
      <c r="G17">
        <v>0.36559999999999998</v>
      </c>
      <c r="L17" t="s">
        <v>7</v>
      </c>
      <c r="M17" t="s">
        <v>7</v>
      </c>
      <c r="N17" t="s">
        <v>8</v>
      </c>
      <c r="P17">
        <f t="shared" ref="P17" si="60">IF(C17=D17,0,((E17-D17)-(C17-E17))/(C17-D17))</f>
        <v>-0.46250000000000419</v>
      </c>
      <c r="Q17">
        <f t="shared" ref="Q17" si="61">F17*P17</f>
        <v>-2699610.6500000246</v>
      </c>
      <c r="R17">
        <f t="shared" ref="R17" si="62">R18+Q17</f>
        <v>-1063262232.036684</v>
      </c>
      <c r="S17">
        <f t="shared" ref="S17" si="63">R17/100000</f>
        <v>-10632.62232036684</v>
      </c>
      <c r="T17">
        <f t="shared" ref="T17" si="64">S17/1000</f>
        <v>-10.63262232036684</v>
      </c>
    </row>
    <row r="18" spans="1:20" x14ac:dyDescent="0.25">
      <c r="A18" s="5">
        <v>44575</v>
      </c>
      <c r="B18">
        <v>0.36990000000000001</v>
      </c>
      <c r="C18">
        <v>0.38080000000000003</v>
      </c>
      <c r="D18">
        <v>0.35699999999999998</v>
      </c>
      <c r="E18">
        <v>0.37380000000000002</v>
      </c>
      <c r="F18">
        <v>7756981</v>
      </c>
      <c r="G18">
        <v>0.37380000000000002</v>
      </c>
      <c r="L18" t="s">
        <v>7</v>
      </c>
      <c r="M18" t="s">
        <v>7</v>
      </c>
      <c r="N18" t="s">
        <v>8</v>
      </c>
      <c r="P18">
        <f t="shared" ref="P18" si="65">IF(C18=D18,0,((E18-D18)-(C18-E18))/(C18-D18))</f>
        <v>0.41176470588235348</v>
      </c>
      <c r="Q18">
        <f t="shared" ref="Q18" si="66">F18*P18</f>
        <v>3194051.0000000042</v>
      </c>
      <c r="R18">
        <f t="shared" ref="R18" si="67">R19+Q18</f>
        <v>-1060562621.3866841</v>
      </c>
      <c r="S18">
        <f t="shared" ref="S18" si="68">R18/100000</f>
        <v>-10605.626213866841</v>
      </c>
      <c r="T18">
        <f t="shared" ref="T18" si="69">S18/1000</f>
        <v>-10.605626213866842</v>
      </c>
    </row>
    <row r="19" spans="1:20" x14ac:dyDescent="0.25">
      <c r="A19" s="5">
        <v>44574</v>
      </c>
      <c r="B19">
        <v>0.4012</v>
      </c>
      <c r="C19">
        <v>0.41199999999999998</v>
      </c>
      <c r="D19">
        <v>0.36899999999999999</v>
      </c>
      <c r="E19">
        <v>0.36980000000000002</v>
      </c>
      <c r="F19">
        <v>11841028</v>
      </c>
      <c r="G19">
        <v>0.36980000000000002</v>
      </c>
      <c r="L19" t="s">
        <v>7</v>
      </c>
      <c r="M19" t="s">
        <v>7</v>
      </c>
      <c r="N19" t="s">
        <v>8</v>
      </c>
      <c r="P19">
        <f t="shared" ref="P19" si="70">IF(C19=D19,0,((E19-D19)-(C19-E19))/(C19-D19))</f>
        <v>-0.96279069767441749</v>
      </c>
      <c r="Q19">
        <f t="shared" ref="Q19" si="71">F19*P19</f>
        <v>-11400431.609302312</v>
      </c>
      <c r="R19">
        <f t="shared" ref="R19" si="72">R20+Q19</f>
        <v>-1063756672.3866841</v>
      </c>
      <c r="S19">
        <f t="shared" ref="S19" si="73">R19/100000</f>
        <v>-10637.566723866841</v>
      </c>
      <c r="T19">
        <f t="shared" ref="T19" si="74">S19/1000</f>
        <v>-10.637566723866842</v>
      </c>
    </row>
    <row r="20" spans="1:20" x14ac:dyDescent="0.25">
      <c r="A20" s="5">
        <v>44573</v>
      </c>
      <c r="B20">
        <v>0.39379999999999998</v>
      </c>
      <c r="C20">
        <v>0.40789999999999998</v>
      </c>
      <c r="D20">
        <v>0.38009999999999999</v>
      </c>
      <c r="E20">
        <v>0.40110000000000001</v>
      </c>
      <c r="F20">
        <v>15748562</v>
      </c>
      <c r="G20">
        <v>0.40110000000000001</v>
      </c>
      <c r="L20" t="s">
        <v>7</v>
      </c>
      <c r="M20" t="s">
        <v>7</v>
      </c>
      <c r="N20" t="s">
        <v>8</v>
      </c>
      <c r="P20">
        <f t="shared" ref="P20" si="75">IF(C20=D20,0,((E20-D20)-(C20-E20))/(C20-D20))</f>
        <v>0.51079136690647664</v>
      </c>
      <c r="Q20">
        <f t="shared" ref="Q20" si="76">F20*P20</f>
        <v>8044229.5107913958</v>
      </c>
      <c r="R20">
        <f t="shared" ref="R20" si="77">R21+Q20</f>
        <v>-1052356240.7773818</v>
      </c>
      <c r="S20">
        <f t="shared" ref="S20" si="78">R20/100000</f>
        <v>-10523.562407773818</v>
      </c>
      <c r="T20">
        <f t="shared" ref="T20" si="79">S20/1000</f>
        <v>-10.523562407773818</v>
      </c>
    </row>
    <row r="21" spans="1:20" x14ac:dyDescent="0.25">
      <c r="A21" s="5">
        <v>44572</v>
      </c>
      <c r="B21">
        <v>0.3891</v>
      </c>
      <c r="C21">
        <v>0.46200000000000002</v>
      </c>
      <c r="D21">
        <v>0.38080000000000003</v>
      </c>
      <c r="E21">
        <v>0.39360000000000001</v>
      </c>
      <c r="F21">
        <v>63688810</v>
      </c>
      <c r="G21">
        <v>0.39360000000000001</v>
      </c>
      <c r="L21" t="s">
        <v>8</v>
      </c>
      <c r="M21" t="s">
        <v>8</v>
      </c>
      <c r="N21" t="s">
        <v>8</v>
      </c>
      <c r="P21">
        <f t="shared" ref="P21" si="80">IF(C21=D21,0,((E21-D21)-(C21-E21))/(C21-D21))</f>
        <v>-0.68472906403940936</v>
      </c>
      <c r="Q21">
        <f t="shared" ref="Q21" si="81">F21*P21</f>
        <v>-43609579.261083774</v>
      </c>
      <c r="R21">
        <f t="shared" ref="R21" si="82">R22+Q21</f>
        <v>-1060400470.2881732</v>
      </c>
      <c r="S21">
        <f t="shared" ref="S21" si="83">R21/100000</f>
        <v>-10604.004702881732</v>
      </c>
      <c r="T21">
        <f t="shared" ref="T21" si="84">S21/1000</f>
        <v>-10.604004702881731</v>
      </c>
    </row>
    <row r="22" spans="1:20" x14ac:dyDescent="0.25">
      <c r="A22" s="5">
        <v>44571</v>
      </c>
      <c r="B22">
        <v>0.34820000000000001</v>
      </c>
      <c r="C22">
        <v>0.39929999999999999</v>
      </c>
      <c r="D22">
        <v>0.33850000000000002</v>
      </c>
      <c r="E22">
        <v>0.38869999999999999</v>
      </c>
      <c r="F22">
        <v>45613868</v>
      </c>
      <c r="G22">
        <v>0.38869999999999999</v>
      </c>
      <c r="L22" t="s">
        <v>8</v>
      </c>
      <c r="M22" t="s">
        <v>8</v>
      </c>
      <c r="N22" t="s">
        <v>8</v>
      </c>
      <c r="P22">
        <f t="shared" ref="P22" si="85">IF(C22=D22,0,((E22-D22)-(C22-E22))/(C22-D22))</f>
        <v>0.65131578947368407</v>
      </c>
      <c r="Q22">
        <f t="shared" ref="Q22" si="86">F22*P22</f>
        <v>29709032.447368413</v>
      </c>
      <c r="R22">
        <f t="shared" ref="R22" si="87">R23+Q22</f>
        <v>-1016790891.0270895</v>
      </c>
      <c r="S22">
        <f t="shared" ref="S22" si="88">R22/100000</f>
        <v>-10167.908910270895</v>
      </c>
      <c r="T22">
        <f t="shared" ref="T22" si="89">S22/1000</f>
        <v>-10.167908910270896</v>
      </c>
    </row>
    <row r="23" spans="1:20" x14ac:dyDescent="0.25">
      <c r="A23" s="5">
        <v>44570</v>
      </c>
      <c r="B23">
        <v>0.34350000000000003</v>
      </c>
      <c r="C23">
        <v>0.36120000000000002</v>
      </c>
      <c r="D23">
        <v>0.33160000000000001</v>
      </c>
      <c r="E23">
        <v>0.34920000000000001</v>
      </c>
      <c r="F23">
        <v>4739686</v>
      </c>
      <c r="G23">
        <v>0.34920000000000001</v>
      </c>
      <c r="L23" t="s">
        <v>8</v>
      </c>
      <c r="M23" t="s">
        <v>7</v>
      </c>
      <c r="N23" t="s">
        <v>8</v>
      </c>
      <c r="P23">
        <f t="shared" ref="P23" si="90">IF(C23=D23,0,((E23-D23)-(C23-E23))/(C23-D23))</f>
        <v>0.18918918918918889</v>
      </c>
      <c r="Q23">
        <f t="shared" ref="Q23" si="91">F23*P23</f>
        <v>896697.35135134996</v>
      </c>
      <c r="R23">
        <f t="shared" ref="R23" si="92">R24+Q23</f>
        <v>-1046499923.4744579</v>
      </c>
      <c r="S23">
        <f t="shared" ref="S23" si="93">R23/100000</f>
        <v>-10464.999234744579</v>
      </c>
      <c r="T23">
        <f t="shared" ref="T23" si="94">S23/1000</f>
        <v>-10.464999234744578</v>
      </c>
    </row>
    <row r="24" spans="1:20" x14ac:dyDescent="0.25">
      <c r="A24" s="5">
        <v>44569</v>
      </c>
      <c r="B24">
        <v>0.36349999999999999</v>
      </c>
      <c r="C24">
        <v>0.37880000000000003</v>
      </c>
      <c r="D24">
        <v>0.33</v>
      </c>
      <c r="E24">
        <v>0.34329999999999999</v>
      </c>
      <c r="F24">
        <v>9073212</v>
      </c>
      <c r="G24">
        <v>0.34329999999999999</v>
      </c>
      <c r="L24" t="s">
        <v>7</v>
      </c>
      <c r="M24" t="s">
        <v>7</v>
      </c>
      <c r="N24" t="s">
        <v>8</v>
      </c>
      <c r="P24">
        <f t="shared" ref="P24" si="95">IF(C24=D24,0,((E24-D24)-(C24-E24))/(C24-D24))</f>
        <v>-0.45491803278688625</v>
      </c>
      <c r="Q24">
        <f t="shared" ref="Q24" si="96">F24*P24</f>
        <v>-4127567.7540983697</v>
      </c>
      <c r="R24">
        <f t="shared" ref="R24" si="97">R25+Q24</f>
        <v>-1047396620.8258092</v>
      </c>
      <c r="S24">
        <f t="shared" ref="S24" si="98">R24/100000</f>
        <v>-10473.966208258093</v>
      </c>
      <c r="T24">
        <f t="shared" ref="T24" si="99">S24/1000</f>
        <v>-10.473966208258092</v>
      </c>
    </row>
    <row r="25" spans="1:20" x14ac:dyDescent="0.25">
      <c r="A25" s="5">
        <v>44568</v>
      </c>
      <c r="B25">
        <v>0.39069999999999999</v>
      </c>
      <c r="C25">
        <v>0.40229999999999999</v>
      </c>
      <c r="D25">
        <v>0.36030000000000001</v>
      </c>
      <c r="E25">
        <v>0.36249999999999999</v>
      </c>
      <c r="F25">
        <v>16377497</v>
      </c>
      <c r="G25">
        <v>0.36249999999999999</v>
      </c>
      <c r="L25" t="s">
        <v>8</v>
      </c>
      <c r="M25" t="s">
        <v>7</v>
      </c>
      <c r="N25" t="s">
        <v>8</v>
      </c>
      <c r="P25">
        <f t="shared" ref="P25" si="100">IF(C25=D25,0,((E25-D25)-(C25-E25))/(C25-D25))</f>
        <v>-0.89523809523809617</v>
      </c>
      <c r="Q25">
        <f t="shared" ref="Q25" si="101">F25*P25</f>
        <v>-14661759.219047634</v>
      </c>
      <c r="R25">
        <f t="shared" ref="R25" si="102">R26+Q25</f>
        <v>-1043269053.0717108</v>
      </c>
      <c r="S25">
        <f t="shared" ref="S25" si="103">R25/100000</f>
        <v>-10432.690530717109</v>
      </c>
      <c r="T25">
        <f t="shared" ref="T25" si="104">S25/1000</f>
        <v>-10.432690530717109</v>
      </c>
    </row>
    <row r="26" spans="1:20" x14ac:dyDescent="0.25">
      <c r="A26" s="5">
        <v>44567</v>
      </c>
      <c r="B26">
        <v>0.37969999999999998</v>
      </c>
      <c r="C26">
        <v>0.41</v>
      </c>
      <c r="D26">
        <v>0.35499999999999998</v>
      </c>
      <c r="E26">
        <v>0.39040000000000002</v>
      </c>
      <c r="F26">
        <v>14580542</v>
      </c>
      <c r="G26">
        <v>0.39040000000000002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0.28727272727272896</v>
      </c>
      <c r="Q26">
        <f t="shared" ref="Q26" si="106">F26*P26</f>
        <v>4188592.0654545701</v>
      </c>
      <c r="R26">
        <f t="shared" ref="R26" si="107">R27+Q26</f>
        <v>-1028607293.8526632</v>
      </c>
      <c r="S26">
        <f t="shared" ref="S26" si="108">R26/100000</f>
        <v>-10286.072938526631</v>
      </c>
      <c r="T26">
        <f t="shared" ref="T26" si="109">S26/1000</f>
        <v>-10.286072938526631</v>
      </c>
    </row>
    <row r="27" spans="1:20" x14ac:dyDescent="0.25">
      <c r="A27" s="5">
        <v>44566</v>
      </c>
      <c r="B27">
        <v>0.40699999999999997</v>
      </c>
      <c r="C27">
        <v>0.46400000000000002</v>
      </c>
      <c r="D27">
        <v>0.36499999999999999</v>
      </c>
      <c r="E27">
        <v>0.37940000000000002</v>
      </c>
      <c r="F27">
        <v>40382832</v>
      </c>
      <c r="G27">
        <v>0.37940000000000002</v>
      </c>
      <c r="L27" t="s">
        <v>8</v>
      </c>
      <c r="M27" t="s">
        <v>8</v>
      </c>
      <c r="N27" t="s">
        <v>8</v>
      </c>
      <c r="P27">
        <f t="shared" ref="P27" si="110">IF(C27=D27,0,((E27-D27)-(C27-E27))/(C27-D27))</f>
        <v>-0.70909090909090866</v>
      </c>
      <c r="Q27">
        <f t="shared" ref="Q27" si="111">F27*P27</f>
        <v>-28635099.054545436</v>
      </c>
      <c r="R27">
        <f t="shared" ref="R27" si="112">R28+Q27</f>
        <v>-1032795885.9181178</v>
      </c>
      <c r="S27">
        <f t="shared" ref="S27" si="113">R27/100000</f>
        <v>-10327.958859181177</v>
      </c>
      <c r="T27">
        <f t="shared" ref="T27" si="114">S27/1000</f>
        <v>-10.327958859181177</v>
      </c>
    </row>
    <row r="28" spans="1:20" x14ac:dyDescent="0.25">
      <c r="A28" s="5">
        <v>44565</v>
      </c>
      <c r="B28">
        <v>0.39219999999999999</v>
      </c>
      <c r="C28">
        <v>0.41499999999999998</v>
      </c>
      <c r="D28">
        <v>0.36909999999999998</v>
      </c>
      <c r="E28">
        <v>0.40670000000000001</v>
      </c>
      <c r="F28">
        <v>23361316</v>
      </c>
      <c r="G28">
        <v>0.40670000000000001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0.63834422657952183</v>
      </c>
      <c r="Q28">
        <f t="shared" ref="Q28" si="116">F28*P28</f>
        <v>14912561.193899808</v>
      </c>
      <c r="R28">
        <f t="shared" ref="R28" si="117">R29+Q28</f>
        <v>-1004160786.8635724</v>
      </c>
      <c r="S28">
        <f t="shared" ref="S28" si="118">R28/100000</f>
        <v>-10041.607868635723</v>
      </c>
      <c r="T28">
        <f t="shared" ref="T28" si="119">S28/1000</f>
        <v>-10.041607868635722</v>
      </c>
    </row>
    <row r="29" spans="1:20" x14ac:dyDescent="0.25">
      <c r="A29" s="5">
        <v>44564</v>
      </c>
      <c r="B29">
        <v>0.3664</v>
      </c>
      <c r="C29">
        <v>0.44369999999999998</v>
      </c>
      <c r="D29">
        <v>0.35260000000000002</v>
      </c>
      <c r="E29">
        <v>0.3921</v>
      </c>
      <c r="F29">
        <v>89392956</v>
      </c>
      <c r="G29">
        <v>0.3921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-0.13282107574094407</v>
      </c>
      <c r="Q29">
        <f t="shared" ref="Q29" si="121">F29*P29</f>
        <v>-11873268.579582881</v>
      </c>
      <c r="R29">
        <f t="shared" ref="R29" si="122">R30+Q29</f>
        <v>-1019073348.0574721</v>
      </c>
      <c r="S29">
        <f t="shared" ref="S29" si="123">R29/100000</f>
        <v>-10190.733480574721</v>
      </c>
      <c r="T29">
        <f t="shared" ref="T29" si="124">S29/1000</f>
        <v>-10.190733480574721</v>
      </c>
    </row>
    <row r="30" spans="1:20" x14ac:dyDescent="0.25">
      <c r="A30" s="5">
        <v>44563</v>
      </c>
      <c r="B30">
        <v>0.32640000000000002</v>
      </c>
      <c r="C30">
        <v>0.39240000000000003</v>
      </c>
      <c r="D30">
        <v>0.31950000000000001</v>
      </c>
      <c r="E30">
        <v>0.36520000000000002</v>
      </c>
      <c r="F30">
        <v>36787032</v>
      </c>
      <c r="G30">
        <v>0.36520000000000002</v>
      </c>
      <c r="L30" t="s">
        <v>8</v>
      </c>
      <c r="M30" t="s">
        <v>8</v>
      </c>
      <c r="N30" t="s">
        <v>7</v>
      </c>
      <c r="P30">
        <f t="shared" ref="P30" si="125">IF(C30=D30,0,((E30-D30)-(C30-E30))/(C30-D30))</f>
        <v>0.253772290809328</v>
      </c>
      <c r="Q30">
        <f t="shared" ref="Q30" si="126">F30*P30</f>
        <v>9335529.382716056</v>
      </c>
      <c r="R30">
        <f t="shared" ref="R30" si="127">R31+Q30</f>
        <v>-1007200079.4778892</v>
      </c>
      <c r="S30">
        <f t="shared" ref="S30" si="128">R30/100000</f>
        <v>-10072.000794778893</v>
      </c>
      <c r="T30">
        <f t="shared" ref="T30" si="129">S30/1000</f>
        <v>-10.072000794778893</v>
      </c>
    </row>
    <row r="31" spans="1:20" x14ac:dyDescent="0.25">
      <c r="A31" s="5">
        <v>44562</v>
      </c>
      <c r="B31">
        <v>0.31730000000000003</v>
      </c>
      <c r="C31">
        <v>0.33090000000000003</v>
      </c>
      <c r="D31">
        <v>0.31609999999999999</v>
      </c>
      <c r="E31">
        <v>0.32729999999999998</v>
      </c>
      <c r="F31">
        <v>3585739</v>
      </c>
      <c r="G31">
        <v>0.32729999999999998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0.51351351351350827</v>
      </c>
      <c r="Q31">
        <f t="shared" ref="Q31" si="131">F31*P31</f>
        <v>1841325.4324324136</v>
      </c>
      <c r="R31">
        <f t="shared" ref="R31" si="132">R32+Q31</f>
        <v>-1016535608.8606052</v>
      </c>
      <c r="S31">
        <f t="shared" ref="S31" si="133">R31/100000</f>
        <v>-10165.356088606053</v>
      </c>
      <c r="T31">
        <f t="shared" ref="T31" si="134">S31/1000</f>
        <v>-10.165356088606053</v>
      </c>
    </row>
    <row r="32" spans="1:20" x14ac:dyDescent="0.25">
      <c r="A32" s="5">
        <v>44561</v>
      </c>
      <c r="B32">
        <v>0.3266</v>
      </c>
      <c r="C32">
        <v>0.33510000000000001</v>
      </c>
      <c r="D32">
        <v>0.31280000000000002</v>
      </c>
      <c r="E32">
        <v>0.31690000000000002</v>
      </c>
      <c r="F32">
        <v>4137393</v>
      </c>
      <c r="G32">
        <v>0.31690000000000002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-0.63228699551569556</v>
      </c>
      <c r="Q32">
        <f t="shared" ref="Q32" si="136">F32*P32</f>
        <v>-2616019.7892376701</v>
      </c>
      <c r="R32">
        <f t="shared" ref="R32" si="137">R33+Q32</f>
        <v>-1018376934.2930377</v>
      </c>
      <c r="S32">
        <f t="shared" ref="S32" si="138">R32/100000</f>
        <v>-10183.769342930376</v>
      </c>
      <c r="T32">
        <f t="shared" ref="T32" si="139">S32/1000</f>
        <v>-10.183769342930376</v>
      </c>
    </row>
    <row r="33" spans="1:20" x14ac:dyDescent="0.25">
      <c r="A33" s="5">
        <v>44560</v>
      </c>
      <c r="B33">
        <v>0.32069999999999999</v>
      </c>
      <c r="C33">
        <v>0.3357</v>
      </c>
      <c r="D33">
        <v>0.31609999999999999</v>
      </c>
      <c r="E33">
        <v>0.32700000000000001</v>
      </c>
      <c r="F33">
        <v>5957728</v>
      </c>
      <c r="G33">
        <v>0.32700000000000001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0.11224489795918544</v>
      </c>
      <c r="Q33">
        <f t="shared" ref="Q33" si="141">F33*P33</f>
        <v>668724.57142858196</v>
      </c>
      <c r="R33">
        <f t="shared" ref="R33" si="142">R34+Q33</f>
        <v>-1015760914.5038</v>
      </c>
      <c r="S33">
        <f t="shared" ref="S33" si="143">R33/100000</f>
        <v>-10157.609145038001</v>
      </c>
      <c r="T33">
        <f t="shared" ref="T33" si="144">S33/1000</f>
        <v>-10.157609145038</v>
      </c>
    </row>
    <row r="34" spans="1:20" x14ac:dyDescent="0.25">
      <c r="A34" s="5">
        <v>44559</v>
      </c>
      <c r="B34">
        <v>0.32529999999999998</v>
      </c>
      <c r="C34">
        <v>0.33660000000000001</v>
      </c>
      <c r="D34">
        <v>0.31519999999999998</v>
      </c>
      <c r="E34">
        <v>0.31950000000000001</v>
      </c>
      <c r="F34">
        <v>8994049</v>
      </c>
      <c r="G34">
        <v>0.31950000000000001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-0.59813084112149351</v>
      </c>
      <c r="Q34">
        <f t="shared" ref="Q34" si="146">F34*P34</f>
        <v>-5379618.0934579279</v>
      </c>
      <c r="R34">
        <f t="shared" ref="R34" si="147">R35+Q34</f>
        <v>-1016429639.0752286</v>
      </c>
      <c r="S34">
        <f t="shared" ref="S34" si="148">R34/100000</f>
        <v>-10164.296390752286</v>
      </c>
      <c r="T34">
        <f t="shared" ref="T34" si="149">S34/1000</f>
        <v>-10.164296390752286</v>
      </c>
    </row>
    <row r="35" spans="1:20" x14ac:dyDescent="0.25">
      <c r="A35" s="5">
        <v>44558</v>
      </c>
      <c r="B35">
        <v>0.36919999999999997</v>
      </c>
      <c r="C35">
        <v>0.36980000000000002</v>
      </c>
      <c r="D35">
        <v>0.3221</v>
      </c>
      <c r="E35">
        <v>0.3251</v>
      </c>
      <c r="F35">
        <v>26066876</v>
      </c>
      <c r="G35">
        <v>0.3251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-0.87421383647798734</v>
      </c>
      <c r="Q35">
        <f t="shared" ref="Q35" si="151">F35*P35</f>
        <v>-22788023.672955971</v>
      </c>
      <c r="R35">
        <f t="shared" ref="R35" si="152">R36+Q35</f>
        <v>-1011050020.9817706</v>
      </c>
      <c r="S35">
        <f t="shared" ref="S35" si="153">R35/100000</f>
        <v>-10110.500209817706</v>
      </c>
      <c r="T35">
        <f t="shared" ref="T35" si="154">S35/1000</f>
        <v>-10.110500209817706</v>
      </c>
    </row>
    <row r="36" spans="1:20" x14ac:dyDescent="0.25">
      <c r="A36" s="5">
        <v>44557</v>
      </c>
      <c r="B36">
        <v>0.32619999999999999</v>
      </c>
      <c r="C36">
        <v>0.505</v>
      </c>
      <c r="D36">
        <v>0.32429999999999998</v>
      </c>
      <c r="E36">
        <v>0.36909999999999998</v>
      </c>
      <c r="F36">
        <v>109564312</v>
      </c>
      <c r="G36">
        <v>0.36909999999999998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-0.50415052573325958</v>
      </c>
      <c r="Q36">
        <f t="shared" ref="Q36" si="156">F36*P36</f>
        <v>-55236905.496402882</v>
      </c>
      <c r="R36">
        <f t="shared" ref="R36" si="157">R37+Q36</f>
        <v>-988261997.30881464</v>
      </c>
      <c r="S36">
        <f t="shared" ref="S36" si="158">R36/100000</f>
        <v>-9882.6199730881472</v>
      </c>
      <c r="T36">
        <f t="shared" ref="T36" si="159">S36/1000</f>
        <v>-9.882619973088147</v>
      </c>
    </row>
    <row r="37" spans="1:20" x14ac:dyDescent="0.25">
      <c r="A37" s="5">
        <v>44556</v>
      </c>
      <c r="B37">
        <v>0.3271</v>
      </c>
      <c r="C37">
        <v>0.3291</v>
      </c>
      <c r="D37">
        <v>0.315</v>
      </c>
      <c r="E37">
        <v>0.32619999999999999</v>
      </c>
      <c r="F37">
        <v>3793027</v>
      </c>
      <c r="G37">
        <v>0.32619999999999999</v>
      </c>
      <c r="L37" t="s">
        <v>7</v>
      </c>
      <c r="M37" t="s">
        <v>7</v>
      </c>
      <c r="N37" t="s">
        <v>8</v>
      </c>
      <c r="P37">
        <f t="shared" ref="P37" si="160">IF(C37=D37,0,((E37-D37)-(C37-E37))/(C37-D37))</f>
        <v>0.58865248226950162</v>
      </c>
      <c r="Q37">
        <f t="shared" ref="Q37" si="161">F37*P37</f>
        <v>2232774.758865241</v>
      </c>
      <c r="R37">
        <f t="shared" ref="R37" si="162">R38+Q37</f>
        <v>-933025091.81241179</v>
      </c>
      <c r="S37">
        <f t="shared" ref="S37" si="163">R37/100000</f>
        <v>-9330.2509181241185</v>
      </c>
      <c r="T37">
        <f t="shared" ref="T37" si="164">S37/1000</f>
        <v>-9.3302509181241184</v>
      </c>
    </row>
    <row r="38" spans="1:20" x14ac:dyDescent="0.25">
      <c r="A38" s="5">
        <v>44555</v>
      </c>
      <c r="B38">
        <v>0.32379999999999998</v>
      </c>
      <c r="C38">
        <v>0.33989999999999998</v>
      </c>
      <c r="D38">
        <v>0.32179999999999997</v>
      </c>
      <c r="E38">
        <v>0.32740000000000002</v>
      </c>
      <c r="F38">
        <v>3601764</v>
      </c>
      <c r="G38">
        <v>0.32740000000000002</v>
      </c>
      <c r="L38" t="s">
        <v>7</v>
      </c>
      <c r="M38" t="s">
        <v>7</v>
      </c>
      <c r="N38" t="s">
        <v>8</v>
      </c>
      <c r="P38">
        <f t="shared" ref="P38" si="165">IF(C38=D38,0,((E38-D38)-(C38-E38))/(C38-D38))</f>
        <v>-0.38121546961325437</v>
      </c>
      <c r="Q38">
        <f t="shared" ref="Q38" si="166">F38*P38</f>
        <v>-1373048.1546961134</v>
      </c>
      <c r="R38">
        <f t="shared" ref="R38" si="167">R39+Q38</f>
        <v>-935257866.57127702</v>
      </c>
      <c r="S38">
        <f t="shared" ref="S38" si="168">R38/100000</f>
        <v>-9352.5786657127701</v>
      </c>
      <c r="T38">
        <f t="shared" ref="T38" si="169">S38/1000</f>
        <v>-9.3525786657127696</v>
      </c>
    </row>
    <row r="39" spans="1:20" x14ac:dyDescent="0.25">
      <c r="A39" s="5">
        <v>44554</v>
      </c>
      <c r="B39">
        <v>0.3347</v>
      </c>
      <c r="C39">
        <v>0.34699999999999998</v>
      </c>
      <c r="D39">
        <v>0.32019999999999998</v>
      </c>
      <c r="E39">
        <v>0.32340000000000002</v>
      </c>
      <c r="F39">
        <v>8503167</v>
      </c>
      <c r="G39">
        <v>0.32340000000000002</v>
      </c>
      <c r="L39" t="s">
        <v>8</v>
      </c>
      <c r="M39" t="s">
        <v>7</v>
      </c>
      <c r="N39" t="s">
        <v>8</v>
      </c>
      <c r="P39">
        <f t="shared" ref="P39" si="170">IF(C39=D39,0,((E39-D39)-(C39-E39))/(C39-D39))</f>
        <v>-0.76119402985074347</v>
      </c>
      <c r="Q39">
        <f t="shared" ref="Q39" si="171">F39*P39</f>
        <v>-6472559.9552238565</v>
      </c>
      <c r="R39">
        <f t="shared" ref="R39" si="172">R40+Q39</f>
        <v>-933884818.41658092</v>
      </c>
      <c r="S39">
        <f t="shared" ref="S39" si="173">R39/100000</f>
        <v>-9338.8481841658086</v>
      </c>
      <c r="T39">
        <f t="shared" ref="T39" si="174">S39/1000</f>
        <v>-9.3388481841658084</v>
      </c>
    </row>
    <row r="40" spans="1:20" x14ac:dyDescent="0.25">
      <c r="A40" s="5">
        <v>44553</v>
      </c>
      <c r="B40">
        <v>0.3165</v>
      </c>
      <c r="C40">
        <v>0.34160000000000001</v>
      </c>
      <c r="D40">
        <v>0.313</v>
      </c>
      <c r="E40">
        <v>0.33489999999999998</v>
      </c>
      <c r="F40">
        <v>5419610</v>
      </c>
      <c r="G40">
        <v>0.33489999999999998</v>
      </c>
      <c r="L40" t="s">
        <v>8</v>
      </c>
      <c r="M40" t="s">
        <v>7</v>
      </c>
      <c r="N40" t="s">
        <v>8</v>
      </c>
      <c r="P40">
        <f t="shared" ref="P40" si="175">IF(C40=D40,0,((E40-D40)-(C40-E40))/(C40-D40))</f>
        <v>0.5314685314685289</v>
      </c>
      <c r="Q40">
        <f t="shared" ref="Q40" si="176">F40*P40</f>
        <v>2880352.1678321538</v>
      </c>
      <c r="R40">
        <f t="shared" ref="R40" si="177">R41+Q40</f>
        <v>-927412258.46135712</v>
      </c>
      <c r="S40">
        <f t="shared" ref="S40" si="178">R40/100000</f>
        <v>-9274.1225846135712</v>
      </c>
      <c r="T40">
        <f t="shared" ref="T40" si="179">S40/1000</f>
        <v>-9.274122584613572</v>
      </c>
    </row>
    <row r="41" spans="1:20" x14ac:dyDescent="0.25">
      <c r="A41" s="5">
        <v>44552</v>
      </c>
      <c r="B41">
        <v>0.31769999999999998</v>
      </c>
      <c r="C41">
        <v>0.32829999999999998</v>
      </c>
      <c r="D41">
        <v>0.309</v>
      </c>
      <c r="E41">
        <v>0.3165</v>
      </c>
      <c r="F41">
        <v>4437042</v>
      </c>
      <c r="G41">
        <v>0.3165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-0.22279792746113855</v>
      </c>
      <c r="Q41">
        <f t="shared" ref="Q41" si="181">F41*P41</f>
        <v>-988563.76165802509</v>
      </c>
      <c r="R41">
        <f t="shared" ref="R41" si="182">R42+Q41</f>
        <v>-930292610.62918925</v>
      </c>
      <c r="S41">
        <f t="shared" ref="S41" si="183">R41/100000</f>
        <v>-9302.9261062918922</v>
      </c>
      <c r="T41">
        <f t="shared" ref="T41" si="184">S41/1000</f>
        <v>-9.302926106291892</v>
      </c>
    </row>
    <row r="42" spans="1:20" x14ac:dyDescent="0.25">
      <c r="A42" s="5">
        <v>44551</v>
      </c>
      <c r="B42">
        <v>0.31580000000000003</v>
      </c>
      <c r="C42">
        <v>0.31890000000000002</v>
      </c>
      <c r="D42">
        <v>0.3049</v>
      </c>
      <c r="E42">
        <v>0.3175</v>
      </c>
      <c r="F42">
        <v>5309759</v>
      </c>
      <c r="G42">
        <v>0.3175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0.79999999999999838</v>
      </c>
      <c r="Q42">
        <f t="shared" ref="Q42" si="186">F42*P42</f>
        <v>4247807.1999999918</v>
      </c>
      <c r="R42">
        <f t="shared" ref="R42" si="187">R43+Q42</f>
        <v>-929304046.86753118</v>
      </c>
      <c r="S42">
        <f t="shared" ref="S42" si="188">R42/100000</f>
        <v>-9293.0404686753118</v>
      </c>
      <c r="T42">
        <f t="shared" ref="T42" si="189">S42/1000</f>
        <v>-9.2930404686753114</v>
      </c>
    </row>
    <row r="43" spans="1:20" x14ac:dyDescent="0.25">
      <c r="A43" s="5">
        <v>44550</v>
      </c>
      <c r="B43">
        <v>0.32200000000000001</v>
      </c>
      <c r="C43">
        <v>0.32519999999999999</v>
      </c>
      <c r="D43">
        <v>0.29609999999999997</v>
      </c>
      <c r="E43">
        <v>0.31580000000000003</v>
      </c>
      <c r="F43">
        <v>5555331</v>
      </c>
      <c r="G43">
        <v>0.31580000000000003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0.35395189003436706</v>
      </c>
      <c r="Q43">
        <f t="shared" ref="Q43" si="191">F43*P43</f>
        <v>1966319.9072165103</v>
      </c>
      <c r="R43">
        <f t="shared" ref="R43" si="192">R44+Q43</f>
        <v>-933551854.06753123</v>
      </c>
      <c r="S43">
        <f t="shared" ref="S43" si="193">R43/100000</f>
        <v>-9335.5185406753117</v>
      </c>
      <c r="T43">
        <f t="shared" ref="T43" si="194">S43/1000</f>
        <v>-9.3355185406753112</v>
      </c>
    </row>
    <row r="44" spans="1:20" x14ac:dyDescent="0.25">
      <c r="A44" s="5">
        <v>44549</v>
      </c>
      <c r="B44">
        <v>0.33069999999999999</v>
      </c>
      <c r="C44">
        <v>0.34599999999999997</v>
      </c>
      <c r="D44">
        <v>0.32169999999999999</v>
      </c>
      <c r="E44">
        <v>0.32229999999999998</v>
      </c>
      <c r="F44">
        <v>4501176</v>
      </c>
      <c r="G44">
        <v>0.32229999999999998</v>
      </c>
      <c r="L44" t="s">
        <v>8</v>
      </c>
      <c r="M44" t="s">
        <v>8</v>
      </c>
      <c r="N44" t="s">
        <v>8</v>
      </c>
      <c r="P44">
        <f t="shared" ref="P44" si="195">IF(C44=D44,0,((E44-D44)-(C44-E44))/(C44-D44))</f>
        <v>-0.95061728395061817</v>
      </c>
      <c r="Q44">
        <f t="shared" ref="Q44" si="196">F44*P44</f>
        <v>-4278895.703703708</v>
      </c>
      <c r="R44">
        <f t="shared" ref="R44" si="197">R45+Q44</f>
        <v>-935518173.97474778</v>
      </c>
      <c r="S44">
        <f t="shared" ref="S44" si="198">R44/100000</f>
        <v>-9355.181739747477</v>
      </c>
      <c r="T44">
        <f t="shared" ref="T44" si="199">S44/1000</f>
        <v>-9.3551817397474775</v>
      </c>
    </row>
    <row r="45" spans="1:20" x14ac:dyDescent="0.25">
      <c r="A45" s="5">
        <v>44548</v>
      </c>
      <c r="B45">
        <v>0.32550000000000001</v>
      </c>
      <c r="C45">
        <v>0.33810000000000001</v>
      </c>
      <c r="D45">
        <v>0.31929999999999997</v>
      </c>
      <c r="E45">
        <v>0.33100000000000002</v>
      </c>
      <c r="F45">
        <v>4174361</v>
      </c>
      <c r="G45">
        <v>0.33100000000000002</v>
      </c>
      <c r="L45" t="s">
        <v>7</v>
      </c>
      <c r="M45" t="s">
        <v>8</v>
      </c>
      <c r="N45" t="s">
        <v>8</v>
      </c>
      <c r="P45">
        <f t="shared" ref="P45" si="200">IF(C45=D45,0,((E45-D45)-(C45-E45))/(C45-D45))</f>
        <v>0.24468085106383186</v>
      </c>
      <c r="Q45">
        <f t="shared" ref="Q45" si="201">F45*P45</f>
        <v>1021386.2021276682</v>
      </c>
      <c r="R45">
        <f t="shared" ref="R45" si="202">R46+Q45</f>
        <v>-931239278.27104402</v>
      </c>
      <c r="S45">
        <f t="shared" ref="S45" si="203">R45/100000</f>
        <v>-9312.3927827104399</v>
      </c>
      <c r="T45">
        <f t="shared" ref="T45" si="204">S45/1000</f>
        <v>-9.3123927827104396</v>
      </c>
    </row>
    <row r="46" spans="1:20" x14ac:dyDescent="0.25">
      <c r="A46" s="5">
        <v>44547</v>
      </c>
      <c r="B46">
        <v>0.3473</v>
      </c>
      <c r="C46">
        <v>0.35499999999999998</v>
      </c>
      <c r="D46">
        <v>0.32079999999999997</v>
      </c>
      <c r="E46">
        <v>0.3251</v>
      </c>
      <c r="F46">
        <v>7142909</v>
      </c>
      <c r="G46">
        <v>0.3251</v>
      </c>
      <c r="L46" t="s">
        <v>7</v>
      </c>
      <c r="M46" t="s">
        <v>8</v>
      </c>
      <c r="N46" t="s">
        <v>8</v>
      </c>
      <c r="P46">
        <f t="shared" ref="P46" si="205">IF(C46=D46,0,((E46-D46)-(C46-E46))/(C46-D46))</f>
        <v>-0.74853801169590495</v>
      </c>
      <c r="Q46">
        <f t="shared" ref="Q46" si="206">F46*P46</f>
        <v>-5346738.9005847843</v>
      </c>
      <c r="R46">
        <f t="shared" ref="R46" si="207">R47+Q46</f>
        <v>-932260664.47317171</v>
      </c>
      <c r="S46">
        <f t="shared" ref="S46" si="208">R46/100000</f>
        <v>-9322.6066447317171</v>
      </c>
      <c r="T46">
        <f t="shared" ref="T46" si="209">S46/1000</f>
        <v>-9.3226066447317173</v>
      </c>
    </row>
    <row r="47" spans="1:20" x14ac:dyDescent="0.25">
      <c r="A47" s="5">
        <v>44546</v>
      </c>
      <c r="B47">
        <v>0.35120000000000001</v>
      </c>
      <c r="C47">
        <v>0.35970000000000002</v>
      </c>
      <c r="D47">
        <v>0.34</v>
      </c>
      <c r="E47">
        <v>0.34810000000000002</v>
      </c>
      <c r="F47">
        <v>9747803</v>
      </c>
      <c r="G47">
        <v>0.34810000000000002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-0.17766497461928954</v>
      </c>
      <c r="Q47">
        <f t="shared" ref="Q47" si="211">F47*P47</f>
        <v>-1731843.1725888345</v>
      </c>
      <c r="R47">
        <f t="shared" ref="R47" si="212">R48+Q47</f>
        <v>-926913925.57258689</v>
      </c>
      <c r="S47">
        <f t="shared" ref="S47" si="213">R47/100000</f>
        <v>-9269.1392557258696</v>
      </c>
      <c r="T47">
        <f t="shared" ref="T47" si="214">S47/1000</f>
        <v>-9.2691392557258698</v>
      </c>
    </row>
    <row r="48" spans="1:20" x14ac:dyDescent="0.25">
      <c r="A48" s="5">
        <v>44545</v>
      </c>
      <c r="B48">
        <v>0.32540000000000002</v>
      </c>
      <c r="C48">
        <v>0.35870000000000002</v>
      </c>
      <c r="D48">
        <v>0.31680000000000003</v>
      </c>
      <c r="E48">
        <v>0.35149999999999998</v>
      </c>
      <c r="F48">
        <v>15984847</v>
      </c>
      <c r="G48">
        <v>0.35149999999999998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0.65632458233890023</v>
      </c>
      <c r="Q48">
        <f t="shared" ref="Q48" si="216">F48*P48</f>
        <v>10491248.031026222</v>
      </c>
      <c r="R48">
        <f t="shared" ref="R48" si="217">R49+Q48</f>
        <v>-925182082.39999807</v>
      </c>
      <c r="S48">
        <f t="shared" ref="S48" si="218">R48/100000</f>
        <v>-9251.8208239999803</v>
      </c>
      <c r="T48">
        <f t="shared" ref="T48" si="219">S48/1000</f>
        <v>-9.2518208239999797</v>
      </c>
    </row>
    <row r="49" spans="1:20" x14ac:dyDescent="0.25">
      <c r="A49" s="5">
        <v>44544</v>
      </c>
      <c r="B49">
        <v>0.3019</v>
      </c>
      <c r="C49">
        <v>0.33479999999999999</v>
      </c>
      <c r="D49">
        <v>0.29799999999999999</v>
      </c>
      <c r="E49">
        <v>0.32500000000000001</v>
      </c>
      <c r="F49">
        <v>8685710</v>
      </c>
      <c r="G49">
        <v>0.32500000000000001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0.46739130434782744</v>
      </c>
      <c r="Q49">
        <f t="shared" ref="Q49" si="221">F49*P49</f>
        <v>4059625.3260869682</v>
      </c>
      <c r="R49">
        <f t="shared" ref="R49" si="222">R50+Q49</f>
        <v>-935673330.43102431</v>
      </c>
      <c r="S49">
        <f t="shared" ref="S49" si="223">R49/100000</f>
        <v>-9356.7333043102426</v>
      </c>
      <c r="T49">
        <f t="shared" ref="T49" si="224">S49/1000</f>
        <v>-9.356733304310243</v>
      </c>
    </row>
    <row r="50" spans="1:20" x14ac:dyDescent="0.25">
      <c r="A50" s="5">
        <v>44543</v>
      </c>
      <c r="B50">
        <v>0.33660000000000001</v>
      </c>
      <c r="C50">
        <v>0.35949999999999999</v>
      </c>
      <c r="D50">
        <v>0.29899999999999999</v>
      </c>
      <c r="E50">
        <v>0.30209999999999998</v>
      </c>
      <c r="F50">
        <v>23196453</v>
      </c>
      <c r="G50">
        <v>0.30209999999999998</v>
      </c>
      <c r="L50" t="s">
        <v>8</v>
      </c>
      <c r="M50" t="s">
        <v>8</v>
      </c>
      <c r="N50" t="s">
        <v>8</v>
      </c>
      <c r="P50">
        <f t="shared" ref="P50" si="225">IF(C50=D50,0,((E50-D50)-(C50-E50))/(C50-D50))</f>
        <v>-0.89752066115702511</v>
      </c>
      <c r="Q50">
        <f t="shared" ref="Q50" si="226">F50*P50</f>
        <v>-20819295.833057858</v>
      </c>
      <c r="R50">
        <f t="shared" ref="R50" si="227">R51+Q50</f>
        <v>-939732955.75711131</v>
      </c>
      <c r="S50">
        <f t="shared" ref="S50" si="228">R50/100000</f>
        <v>-9397.3295575711127</v>
      </c>
      <c r="T50">
        <f t="shared" ref="T50" si="229">S50/1000</f>
        <v>-9.397329557571112</v>
      </c>
    </row>
    <row r="51" spans="1:20" x14ac:dyDescent="0.25">
      <c r="A51" s="5">
        <v>44542</v>
      </c>
      <c r="B51">
        <v>0.31109999999999999</v>
      </c>
      <c r="C51">
        <v>0.34799999999999998</v>
      </c>
      <c r="D51">
        <v>0.30299999999999999</v>
      </c>
      <c r="E51">
        <v>0.3367</v>
      </c>
      <c r="F51">
        <v>14430492</v>
      </c>
      <c r="G51">
        <v>0.3367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0.49777777777777865</v>
      </c>
      <c r="Q51">
        <f t="shared" ref="Q51" si="231">F51*P51</f>
        <v>7183178.2400000123</v>
      </c>
      <c r="R51">
        <f t="shared" ref="R51" si="232">R52+Q51</f>
        <v>-918913659.92405343</v>
      </c>
      <c r="S51">
        <f t="shared" ref="S51" si="233">R51/100000</f>
        <v>-9189.1365992405335</v>
      </c>
      <c r="T51">
        <f t="shared" ref="T51" si="234">S51/1000</f>
        <v>-9.1891365992405341</v>
      </c>
    </row>
    <row r="52" spans="1:20" x14ac:dyDescent="0.25">
      <c r="A52" s="5">
        <v>44541</v>
      </c>
      <c r="B52">
        <v>0.2863</v>
      </c>
      <c r="C52">
        <v>0.2908</v>
      </c>
      <c r="D52">
        <v>0.28160000000000002</v>
      </c>
      <c r="E52">
        <v>0.2908</v>
      </c>
      <c r="F52">
        <v>185913</v>
      </c>
      <c r="G52">
        <v>0.2908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1</v>
      </c>
      <c r="Q52">
        <f t="shared" ref="Q52" si="236">F52*P52</f>
        <v>185913</v>
      </c>
      <c r="R52">
        <f t="shared" ref="R52" si="237">R53+Q52</f>
        <v>-926096838.16405344</v>
      </c>
      <c r="S52">
        <f t="shared" ref="S52" si="238">R52/100000</f>
        <v>-9260.9683816405341</v>
      </c>
      <c r="T52">
        <f t="shared" ref="T52" si="239">S52/1000</f>
        <v>-9.2609683816405344</v>
      </c>
    </row>
    <row r="53" spans="1:20" x14ac:dyDescent="0.25">
      <c r="A53" s="5">
        <v>44540</v>
      </c>
      <c r="B53">
        <v>0.27479999999999999</v>
      </c>
      <c r="C53">
        <v>0.317</v>
      </c>
      <c r="D53">
        <v>0.27400000000000002</v>
      </c>
      <c r="E53">
        <v>0.28710000000000002</v>
      </c>
      <c r="F53">
        <v>15328972</v>
      </c>
      <c r="G53">
        <v>0.28710000000000002</v>
      </c>
      <c r="L53" t="s">
        <v>8</v>
      </c>
      <c r="M53" t="s">
        <v>8</v>
      </c>
      <c r="N53" t="s">
        <v>7</v>
      </c>
      <c r="P53">
        <f t="shared" ref="P53" si="240">IF(C53=D53,0,((E53-D53)-(C53-E53))/(C53-D53))</f>
        <v>-0.39069767441860437</v>
      </c>
      <c r="Q53">
        <f t="shared" ref="Q53" si="241">F53*P53</f>
        <v>-5988993.7116279025</v>
      </c>
      <c r="R53">
        <f t="shared" ref="R53" si="242">R54+Q53</f>
        <v>-926282751.16405344</v>
      </c>
      <c r="S53">
        <f t="shared" ref="S53" si="243">R53/100000</f>
        <v>-9262.8275116405348</v>
      </c>
      <c r="T53">
        <f t="shared" ref="T53" si="244">S53/1000</f>
        <v>-9.2628275116405341</v>
      </c>
    </row>
    <row r="54" spans="1:20" x14ac:dyDescent="0.25">
      <c r="A54" s="5">
        <v>44539</v>
      </c>
      <c r="B54">
        <v>0.29820000000000002</v>
      </c>
      <c r="C54">
        <v>0.30220000000000002</v>
      </c>
      <c r="D54">
        <v>0.27</v>
      </c>
      <c r="E54">
        <v>0.27489999999999998</v>
      </c>
      <c r="F54">
        <v>7449731</v>
      </c>
      <c r="G54">
        <v>0.27489999999999998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-0.69565217391304601</v>
      </c>
      <c r="Q54">
        <f t="shared" ref="Q54" si="246">F54*P54</f>
        <v>-5182421.5652174102</v>
      </c>
      <c r="R54">
        <f t="shared" ref="R54" si="247">R55+Q54</f>
        <v>-920293757.45242548</v>
      </c>
      <c r="S54">
        <f t="shared" ref="S54" si="248">R54/100000</f>
        <v>-9202.9375745242542</v>
      </c>
      <c r="T54">
        <f t="shared" ref="T54" si="249">S54/1000</f>
        <v>-9.2029375745242543</v>
      </c>
    </row>
    <row r="55" spans="1:20" x14ac:dyDescent="0.25">
      <c r="A55" s="5">
        <v>44538</v>
      </c>
      <c r="B55">
        <v>0.29480000000000001</v>
      </c>
      <c r="C55">
        <v>0.3105</v>
      </c>
      <c r="D55">
        <v>0.27339999999999998</v>
      </c>
      <c r="E55">
        <v>0.2979</v>
      </c>
      <c r="F55">
        <v>10480778</v>
      </c>
      <c r="G55">
        <v>0.2979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0.32075471698113245</v>
      </c>
      <c r="Q55">
        <f t="shared" ref="Q55" si="251">F55*P55</f>
        <v>3361758.9811320794</v>
      </c>
      <c r="R55">
        <f t="shared" ref="R55" si="252">R56+Q55</f>
        <v>-915111335.8872081</v>
      </c>
      <c r="S55">
        <f t="shared" ref="S55" si="253">R55/100000</f>
        <v>-9151.1133588720804</v>
      </c>
      <c r="T55">
        <f t="shared" ref="T55" si="254">S55/1000</f>
        <v>-9.151113358872081</v>
      </c>
    </row>
    <row r="56" spans="1:20" x14ac:dyDescent="0.25">
      <c r="A56" s="5">
        <v>44537</v>
      </c>
      <c r="B56">
        <v>0.3044</v>
      </c>
      <c r="C56">
        <v>0.31759999999999999</v>
      </c>
      <c r="D56">
        <v>0.2893</v>
      </c>
      <c r="E56">
        <v>0.29480000000000001</v>
      </c>
      <c r="F56">
        <v>11074673</v>
      </c>
      <c r="G56">
        <v>0.29480000000000001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-0.61130742049469922</v>
      </c>
      <c r="Q56">
        <f t="shared" ref="Q56" si="256">F56*P56</f>
        <v>-6770029.7844522921</v>
      </c>
      <c r="R56">
        <f t="shared" ref="R56" si="257">R57+Q56</f>
        <v>-918473094.86834013</v>
      </c>
      <c r="S56">
        <f t="shared" ref="S56" si="258">R56/100000</f>
        <v>-9184.7309486834019</v>
      </c>
      <c r="T56">
        <f t="shared" ref="T56" si="259">S56/1000</f>
        <v>-9.1847309486834021</v>
      </c>
    </row>
    <row r="57" spans="1:20" x14ac:dyDescent="0.25">
      <c r="A57" s="5">
        <v>44536</v>
      </c>
      <c r="B57">
        <v>0.2949</v>
      </c>
      <c r="C57">
        <v>0.32</v>
      </c>
      <c r="D57">
        <v>0.25619999999999998</v>
      </c>
      <c r="E57">
        <v>0.3044</v>
      </c>
      <c r="F57">
        <v>21461335.25</v>
      </c>
      <c r="G57">
        <v>0.3044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0.51097178683385591</v>
      </c>
      <c r="Q57">
        <f t="shared" ref="Q57" si="261">F57*P57</f>
        <v>10966136.820532918</v>
      </c>
      <c r="R57">
        <f t="shared" ref="R57" si="262">R58+Q57</f>
        <v>-911703065.08388782</v>
      </c>
      <c r="S57">
        <f t="shared" ref="S57" si="263">R57/100000</f>
        <v>-9117.0306508388785</v>
      </c>
      <c r="T57">
        <f t="shared" ref="T57" si="264">S57/1000</f>
        <v>-9.1170306508388776</v>
      </c>
    </row>
    <row r="58" spans="1:20" x14ac:dyDescent="0.25">
      <c r="A58" s="5">
        <v>44535</v>
      </c>
      <c r="B58">
        <v>0.33069999999999999</v>
      </c>
      <c r="C58">
        <v>0.33229999999999998</v>
      </c>
      <c r="D58">
        <v>0.28449999999999998</v>
      </c>
      <c r="E58">
        <v>0.29549999999999998</v>
      </c>
      <c r="F58">
        <v>14693561</v>
      </c>
      <c r="G58">
        <v>0.29549999999999998</v>
      </c>
      <c r="L58" t="s">
        <v>7</v>
      </c>
      <c r="M58" t="s">
        <v>7</v>
      </c>
      <c r="N58" t="s">
        <v>7</v>
      </c>
      <c r="P58">
        <f t="shared" ref="P58" si="265">IF(C58=D58,0,((E58-D58)-(C58-E58))/(C58-D58))</f>
        <v>-0.53974895397489508</v>
      </c>
      <c r="Q58">
        <f t="shared" ref="Q58" si="266">F58*P58</f>
        <v>-7930834.1799163138</v>
      </c>
      <c r="R58">
        <f t="shared" ref="R58" si="267">R59+Q58</f>
        <v>-922669201.90442073</v>
      </c>
      <c r="S58">
        <f t="shared" ref="S58" si="268">R58/100000</f>
        <v>-9226.692019044207</v>
      </c>
      <c r="T58">
        <f t="shared" ref="T58" si="269">S58/1000</f>
        <v>-9.2266920190442061</v>
      </c>
    </row>
    <row r="59" spans="1:20" x14ac:dyDescent="0.25">
      <c r="A59" s="5">
        <v>44534</v>
      </c>
      <c r="B59">
        <v>0.38109999999999999</v>
      </c>
      <c r="C59">
        <v>0.55389999999999995</v>
      </c>
      <c r="D59">
        <v>0.27489999999999998</v>
      </c>
      <c r="E59">
        <v>0.33119999999999999</v>
      </c>
      <c r="F59">
        <v>96820329.170000002</v>
      </c>
      <c r="G59">
        <v>0.33119999999999999</v>
      </c>
      <c r="L59" t="s">
        <v>8</v>
      </c>
      <c r="M59" t="s">
        <v>8</v>
      </c>
      <c r="N59" t="s">
        <v>7</v>
      </c>
      <c r="P59">
        <f t="shared" ref="P59" si="270">IF(C59=D59,0,((E59-D59)-(C59-E59))/(C59-D59))</f>
        <v>-0.59641577060931883</v>
      </c>
      <c r="Q59">
        <f t="shared" ref="Q59" si="271">F59*P59</f>
        <v>-57745171.232573465</v>
      </c>
      <c r="R59">
        <f t="shared" ref="R59" si="272">R60+Q59</f>
        <v>-914738367.72450447</v>
      </c>
      <c r="S59">
        <f t="shared" ref="S59" si="273">R59/100000</f>
        <v>-9147.383677245045</v>
      </c>
      <c r="T59">
        <f t="shared" ref="T59" si="274">S59/1000</f>
        <v>-9.1473836772450454</v>
      </c>
    </row>
    <row r="60" spans="1:20" x14ac:dyDescent="0.25">
      <c r="A60" s="5">
        <v>44533</v>
      </c>
      <c r="B60">
        <v>0.35820000000000002</v>
      </c>
      <c r="C60">
        <v>0.41499999999999998</v>
      </c>
      <c r="D60">
        <v>0.35399999999999998</v>
      </c>
      <c r="E60">
        <v>0.38159999999999999</v>
      </c>
      <c r="F60">
        <v>24244497</v>
      </c>
      <c r="G60">
        <v>0.38159999999999999</v>
      </c>
      <c r="L60" t="s">
        <v>8</v>
      </c>
      <c r="M60" t="s">
        <v>8</v>
      </c>
      <c r="N60" t="s">
        <v>7</v>
      </c>
      <c r="P60">
        <f t="shared" ref="P60" si="275">IF(C60=D60,0,((E60-D60)-(C60-E60))/(C60-D60))</f>
        <v>-9.5081967213114293E-2</v>
      </c>
      <c r="Q60">
        <f t="shared" ref="Q60" si="276">F60*P60</f>
        <v>-2305214.4688524478</v>
      </c>
      <c r="R60">
        <f t="shared" ref="R60" si="277">R61+Q60</f>
        <v>-856993196.49193096</v>
      </c>
      <c r="S60">
        <f t="shared" ref="S60" si="278">R60/100000</f>
        <v>-8569.9319649193094</v>
      </c>
      <c r="T60">
        <f t="shared" ref="T60" si="279">S60/1000</f>
        <v>-8.5699319649193093</v>
      </c>
    </row>
    <row r="61" spans="1:20" x14ac:dyDescent="0.25">
      <c r="A61" s="5">
        <v>44532</v>
      </c>
      <c r="B61">
        <v>0.36749999999999999</v>
      </c>
      <c r="C61">
        <v>0.36969999999999997</v>
      </c>
      <c r="D61">
        <v>0.3468</v>
      </c>
      <c r="E61">
        <v>0.3584</v>
      </c>
      <c r="F61">
        <v>7057211</v>
      </c>
      <c r="G61">
        <v>0.3584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1.3100436681223702E-2</v>
      </c>
      <c r="Q61">
        <f t="shared" ref="Q61" si="281">F61*P61</f>
        <v>92452.545851535411</v>
      </c>
      <c r="R61">
        <f t="shared" ref="R61" si="282">R62+Q61</f>
        <v>-854687982.02307856</v>
      </c>
      <c r="S61">
        <f t="shared" ref="S61" si="283">R61/100000</f>
        <v>-8546.8798202307862</v>
      </c>
      <c r="T61">
        <f t="shared" ref="T61" si="284">S61/1000</f>
        <v>-8.546879820230787</v>
      </c>
    </row>
    <row r="62" spans="1:20" x14ac:dyDescent="0.25">
      <c r="A62" s="5">
        <v>44531</v>
      </c>
      <c r="B62">
        <v>0.3765</v>
      </c>
      <c r="C62">
        <v>0.39179999999999998</v>
      </c>
      <c r="D62">
        <v>0.36259999999999998</v>
      </c>
      <c r="E62">
        <v>0.36830000000000002</v>
      </c>
      <c r="F62">
        <v>8194978</v>
      </c>
      <c r="G62">
        <v>0.36830000000000002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-0.60958904109588785</v>
      </c>
      <c r="Q62">
        <f t="shared" ref="Q62" si="286">F62*P62</f>
        <v>-4995568.7808218971</v>
      </c>
      <c r="R62">
        <f t="shared" ref="R62" si="287">R63+Q62</f>
        <v>-854780434.56893015</v>
      </c>
      <c r="S62">
        <f t="shared" ref="S62" si="288">R62/100000</f>
        <v>-8547.804345689301</v>
      </c>
      <c r="T62">
        <f t="shared" ref="T62" si="289">S62/1000</f>
        <v>-8.5478043456893005</v>
      </c>
    </row>
    <row r="63" spans="1:20" x14ac:dyDescent="0.25">
      <c r="A63" s="5">
        <v>44530</v>
      </c>
      <c r="B63">
        <v>0.37880000000000003</v>
      </c>
      <c r="C63">
        <v>0.41170000000000001</v>
      </c>
      <c r="D63">
        <v>0.3599</v>
      </c>
      <c r="E63">
        <v>0.37759999999999999</v>
      </c>
      <c r="F63">
        <v>22697077</v>
      </c>
      <c r="G63">
        <v>0.37759999999999999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-0.31660231660231702</v>
      </c>
      <c r="Q63">
        <f t="shared" ref="Q63" si="291">F63*P63</f>
        <v>-7185947.1583011681</v>
      </c>
      <c r="R63">
        <f t="shared" ref="R63" si="292">R64+Q63</f>
        <v>-849784865.78810823</v>
      </c>
      <c r="S63">
        <f t="shared" ref="S63" si="293">R63/100000</f>
        <v>-8497.8486578810825</v>
      </c>
      <c r="T63">
        <f t="shared" ref="T63" si="294">S63/1000</f>
        <v>-8.4978486578810823</v>
      </c>
    </row>
    <row r="64" spans="1:20" x14ac:dyDescent="0.25">
      <c r="A64" s="5">
        <v>44529</v>
      </c>
      <c r="B64">
        <v>0.36919999999999997</v>
      </c>
      <c r="C64">
        <v>0.38900000000000001</v>
      </c>
      <c r="D64">
        <v>0.35980000000000001</v>
      </c>
      <c r="E64">
        <v>0.37840000000000001</v>
      </c>
      <c r="F64">
        <v>6155918</v>
      </c>
      <c r="G64">
        <v>0.37840000000000001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0.27397260273972623</v>
      </c>
      <c r="Q64">
        <f t="shared" ref="Q64" si="296">F64*P64</f>
        <v>1686552.8767123302</v>
      </c>
      <c r="R64">
        <f t="shared" ref="R64" si="297">R65+Q64</f>
        <v>-842598918.62980711</v>
      </c>
      <c r="S64">
        <f t="shared" ref="S64" si="298">R64/100000</f>
        <v>-8425.9891862980712</v>
      </c>
      <c r="T64">
        <f t="shared" ref="T64" si="299">S64/1000</f>
        <v>-8.4259891862980716</v>
      </c>
    </row>
    <row r="65" spans="1:20" x14ac:dyDescent="0.25">
      <c r="A65" s="5">
        <v>44528</v>
      </c>
      <c r="B65">
        <v>0.36199999999999999</v>
      </c>
      <c r="C65">
        <v>0.36940000000000001</v>
      </c>
      <c r="D65">
        <v>0.33139999999999997</v>
      </c>
      <c r="E65">
        <v>0.36919999999999997</v>
      </c>
      <c r="F65">
        <v>6948884</v>
      </c>
      <c r="G65">
        <v>0.36919999999999997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0.98947368421052462</v>
      </c>
      <c r="Q65">
        <f t="shared" ref="Q65" si="301">F65*P65</f>
        <v>6875737.852631567</v>
      </c>
      <c r="R65">
        <f t="shared" ref="R65" si="302">R66+Q65</f>
        <v>-844285471.50651944</v>
      </c>
      <c r="S65">
        <f t="shared" ref="S65" si="303">R65/100000</f>
        <v>-8442.8547150651939</v>
      </c>
      <c r="T65">
        <f t="shared" ref="T65" si="304">S65/1000</f>
        <v>-8.4428547150651934</v>
      </c>
    </row>
    <row r="66" spans="1:20" x14ac:dyDescent="0.25">
      <c r="A66" s="5">
        <v>44527</v>
      </c>
      <c r="B66">
        <v>0.36559999999999998</v>
      </c>
      <c r="C66">
        <v>0.38519999999999999</v>
      </c>
      <c r="D66">
        <v>0.35539999999999999</v>
      </c>
      <c r="E66">
        <v>0.3624</v>
      </c>
      <c r="F66">
        <v>6158255</v>
      </c>
      <c r="G66">
        <v>0.3624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-0.53020134228187865</v>
      </c>
      <c r="Q66">
        <f t="shared" ref="Q66" si="306">F66*P66</f>
        <v>-3265115.0671140905</v>
      </c>
      <c r="R66">
        <f t="shared" ref="R66" si="307">R67+Q66</f>
        <v>-851161209.35915101</v>
      </c>
      <c r="S66">
        <f t="shared" ref="S66" si="308">R66/100000</f>
        <v>-8511.6120935915096</v>
      </c>
      <c r="T66">
        <f t="shared" ref="T66" si="309">S66/1000</f>
        <v>-8.5116120935915092</v>
      </c>
    </row>
    <row r="67" spans="1:20" x14ac:dyDescent="0.25">
      <c r="A67" s="5">
        <v>44526</v>
      </c>
      <c r="B67">
        <v>0.39750000000000002</v>
      </c>
      <c r="C67">
        <v>0.4037</v>
      </c>
      <c r="D67">
        <v>0.34860000000000002</v>
      </c>
      <c r="E67">
        <v>0.36549999999999999</v>
      </c>
      <c r="F67">
        <v>9544614</v>
      </c>
      <c r="G67">
        <v>0.36549999999999999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-0.38656987295825856</v>
      </c>
      <c r="Q67">
        <f t="shared" ref="Q67" si="311">F67*P67</f>
        <v>-3689660.2214156161</v>
      </c>
      <c r="R67">
        <f t="shared" ref="R67" si="312">R68+Q67</f>
        <v>-847896094.29203689</v>
      </c>
      <c r="S67">
        <f t="shared" ref="S67" si="313">R67/100000</f>
        <v>-8478.9609429203683</v>
      </c>
      <c r="T67">
        <f t="shared" ref="T67" si="314">S67/1000</f>
        <v>-8.4789609429203683</v>
      </c>
    </row>
    <row r="68" spans="1:20" x14ac:dyDescent="0.25">
      <c r="A68" s="5">
        <v>44525</v>
      </c>
      <c r="B68">
        <v>0.38940000000000002</v>
      </c>
      <c r="C68">
        <v>0.41649999999999998</v>
      </c>
      <c r="D68">
        <v>0.3725</v>
      </c>
      <c r="E68">
        <v>0.39750000000000002</v>
      </c>
      <c r="F68">
        <v>7938561</v>
      </c>
      <c r="G68">
        <v>0.39750000000000002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0.1363636363636378</v>
      </c>
      <c r="Q68">
        <f t="shared" ref="Q68" si="316">F68*P68</f>
        <v>1082531.0454545568</v>
      </c>
      <c r="R68">
        <f t="shared" ref="R68" si="317">R69+Q68</f>
        <v>-844206434.07062125</v>
      </c>
      <c r="S68">
        <f t="shared" ref="S68" si="318">R68/100000</f>
        <v>-8442.0643407062125</v>
      </c>
      <c r="T68">
        <f t="shared" ref="T68" si="319">S68/1000</f>
        <v>-8.4420643407062119</v>
      </c>
    </row>
    <row r="69" spans="1:20" x14ac:dyDescent="0.25">
      <c r="A69" s="5">
        <v>44524</v>
      </c>
      <c r="B69">
        <v>0.40139999999999998</v>
      </c>
      <c r="C69">
        <v>0.40310000000000001</v>
      </c>
      <c r="D69">
        <v>0.3831</v>
      </c>
      <c r="E69">
        <v>0.38600000000000001</v>
      </c>
      <c r="F69">
        <v>3111479</v>
      </c>
      <c r="G69">
        <v>0.38600000000000001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-0.70999999999999885</v>
      </c>
      <c r="Q69">
        <f t="shared" ref="Q69" si="321">F69*P69</f>
        <v>-2209150.0899999966</v>
      </c>
      <c r="R69">
        <f t="shared" ref="R69" si="322">R70+Q69</f>
        <v>-845288965.11607575</v>
      </c>
      <c r="S69">
        <f t="shared" ref="S69" si="323">R69/100000</f>
        <v>-8452.8896511607581</v>
      </c>
      <c r="T69">
        <f t="shared" ref="T69" si="324">S69/1000</f>
        <v>-8.4528896511607581</v>
      </c>
    </row>
    <row r="70" spans="1:20" x14ac:dyDescent="0.25">
      <c r="A70" s="5">
        <v>44523</v>
      </c>
      <c r="B70">
        <v>0.39419999999999999</v>
      </c>
      <c r="C70">
        <v>0.40639999999999998</v>
      </c>
      <c r="D70">
        <v>0.38300000000000001</v>
      </c>
      <c r="E70">
        <v>0.40150000000000002</v>
      </c>
      <c r="F70">
        <v>5710292</v>
      </c>
      <c r="G70">
        <v>0.40150000000000002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0.58119658119658424</v>
      </c>
      <c r="Q70">
        <f t="shared" ref="Q70" si="326">F70*P70</f>
        <v>3318802.1880342052</v>
      </c>
      <c r="R70">
        <f t="shared" ref="R70" si="327">R71+Q70</f>
        <v>-843079815.02607572</v>
      </c>
      <c r="S70">
        <f t="shared" ref="S70" si="328">R70/100000</f>
        <v>-8430.7981502607563</v>
      </c>
      <c r="T70">
        <f t="shared" ref="T70" si="329">S70/1000</f>
        <v>-8.4307981502607561</v>
      </c>
    </row>
    <row r="71" spans="1:20" x14ac:dyDescent="0.25">
      <c r="A71" s="5">
        <v>44522</v>
      </c>
      <c r="B71">
        <v>0.4163</v>
      </c>
      <c r="C71">
        <v>0.4194</v>
      </c>
      <c r="D71">
        <v>0.38650000000000001</v>
      </c>
      <c r="E71">
        <v>0.39479999999999998</v>
      </c>
      <c r="F71">
        <v>8431067</v>
      </c>
      <c r="G71">
        <v>0.39479999999999998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-0.49544072948328399</v>
      </c>
      <c r="Q71">
        <f t="shared" ref="Q71" si="331">F71*P71</f>
        <v>-4177093.9848024426</v>
      </c>
      <c r="R71">
        <f t="shared" ref="R71" si="332">R72+Q71</f>
        <v>-846398617.2141099</v>
      </c>
      <c r="S71">
        <f t="shared" ref="S71" si="333">R71/100000</f>
        <v>-8463.9861721410998</v>
      </c>
      <c r="T71">
        <f t="shared" ref="T71" si="334">S71/1000</f>
        <v>-8.4639861721410998</v>
      </c>
    </row>
    <row r="72" spans="1:20" x14ac:dyDescent="0.25">
      <c r="A72" s="5">
        <v>44521</v>
      </c>
      <c r="B72">
        <v>0.40639999999999998</v>
      </c>
      <c r="C72">
        <v>0.43990000000000001</v>
      </c>
      <c r="D72">
        <v>0.37909999999999999</v>
      </c>
      <c r="E72">
        <v>0.4163</v>
      </c>
      <c r="F72">
        <v>13419133</v>
      </c>
      <c r="G72">
        <v>0.4163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0.22368421052631574</v>
      </c>
      <c r="Q72">
        <f t="shared" ref="Q72" si="336">F72*P72</f>
        <v>3001648.171052631</v>
      </c>
      <c r="R72">
        <f t="shared" ref="R72" si="337">R73+Q72</f>
        <v>-842221523.22930741</v>
      </c>
      <c r="S72">
        <f t="shared" ref="S72" si="338">R72/100000</f>
        <v>-8422.2152322930742</v>
      </c>
      <c r="T72">
        <f t="shared" ref="T72" si="339">S72/1000</f>
        <v>-8.422215232293075</v>
      </c>
    </row>
    <row r="73" spans="1:20" x14ac:dyDescent="0.25">
      <c r="A73" s="5">
        <v>44520</v>
      </c>
      <c r="B73">
        <v>0.40479999999999999</v>
      </c>
      <c r="C73">
        <v>0.43</v>
      </c>
      <c r="D73">
        <v>0.38740000000000002</v>
      </c>
      <c r="E73">
        <v>0.40649999999999997</v>
      </c>
      <c r="F73">
        <v>11654276</v>
      </c>
      <c r="G73">
        <v>0.40649999999999997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-0.10328638497652755</v>
      </c>
      <c r="Q73">
        <f t="shared" ref="Q73" si="341">F73*P73</f>
        <v>-1203728.0375587055</v>
      </c>
      <c r="R73">
        <f t="shared" ref="R73" si="342">R74+Q73</f>
        <v>-845223171.40035999</v>
      </c>
      <c r="S73">
        <f t="shared" ref="S73" si="343">R73/100000</f>
        <v>-8452.2317140035993</v>
      </c>
      <c r="T73">
        <f t="shared" ref="T73" si="344">S73/1000</f>
        <v>-8.4522317140035987</v>
      </c>
    </row>
    <row r="74" spans="1:20" x14ac:dyDescent="0.25">
      <c r="A74" s="5">
        <v>44519</v>
      </c>
      <c r="B74">
        <v>0.3921</v>
      </c>
      <c r="C74">
        <v>0.42</v>
      </c>
      <c r="D74">
        <v>0.37730000000000002</v>
      </c>
      <c r="E74">
        <v>0.40479999999999999</v>
      </c>
      <c r="F74">
        <v>10117822</v>
      </c>
      <c r="G74">
        <v>0.40479999999999999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0.28805620608899274</v>
      </c>
      <c r="Q74">
        <f t="shared" ref="Q74" si="346">F74*P74</f>
        <v>2914501.4192037447</v>
      </c>
      <c r="R74">
        <f t="shared" ref="R74" si="347">R75+Q74</f>
        <v>-844019443.36280131</v>
      </c>
      <c r="S74">
        <f t="shared" ref="S74" si="348">R74/100000</f>
        <v>-8440.1944336280139</v>
      </c>
      <c r="T74">
        <f t="shared" ref="T74" si="349">S74/1000</f>
        <v>-8.4401944336280135</v>
      </c>
    </row>
    <row r="75" spans="1:20" x14ac:dyDescent="0.25">
      <c r="A75" s="5">
        <v>44518</v>
      </c>
      <c r="B75">
        <v>0.4325</v>
      </c>
      <c r="C75">
        <v>0.43840000000000001</v>
      </c>
      <c r="D75">
        <v>0.37230000000000002</v>
      </c>
      <c r="E75">
        <v>0.39250000000000002</v>
      </c>
      <c r="F75">
        <v>11841548</v>
      </c>
      <c r="G75">
        <v>0.39250000000000002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-0.38880484114977315</v>
      </c>
      <c r="Q75">
        <f t="shared" ref="Q75" si="351">F75*P75</f>
        <v>-4604051.1891074143</v>
      </c>
      <c r="R75">
        <f t="shared" ref="R75" si="352">R76+Q75</f>
        <v>-846933944.78200507</v>
      </c>
      <c r="S75">
        <f t="shared" ref="S75" si="353">R75/100000</f>
        <v>-8469.3394478200498</v>
      </c>
      <c r="T75">
        <f t="shared" ref="T75" si="354">S75/1000</f>
        <v>-8.4693394478200492</v>
      </c>
    </row>
    <row r="76" spans="1:20" x14ac:dyDescent="0.25">
      <c r="A76" s="5">
        <v>44517</v>
      </c>
      <c r="B76">
        <v>0.44059999999999999</v>
      </c>
      <c r="C76">
        <v>0.45190000000000002</v>
      </c>
      <c r="D76">
        <v>0.41049999999999998</v>
      </c>
      <c r="E76">
        <v>0.43240000000000001</v>
      </c>
      <c r="F76">
        <v>13674413</v>
      </c>
      <c r="G76">
        <v>0.43240000000000001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5.7971014492753874E-2</v>
      </c>
      <c r="Q76">
        <f t="shared" ref="Q76" si="356">F76*P76</f>
        <v>792719.59420290194</v>
      </c>
      <c r="R76">
        <f t="shared" ref="R76" si="357">R77+Q76</f>
        <v>-842329893.59289765</v>
      </c>
      <c r="S76">
        <f t="shared" ref="S76" si="358">R76/100000</f>
        <v>-8423.2989359289768</v>
      </c>
      <c r="T76">
        <f t="shared" ref="T76" si="359">S76/1000</f>
        <v>-8.4232989359289761</v>
      </c>
    </row>
    <row r="77" spans="1:20" x14ac:dyDescent="0.25">
      <c r="A77" s="5">
        <v>44516</v>
      </c>
      <c r="B77">
        <v>0.53439999999999999</v>
      </c>
      <c r="C77">
        <v>0.53839999999999999</v>
      </c>
      <c r="D77">
        <v>0.42430000000000001</v>
      </c>
      <c r="E77">
        <v>0.44109999999999999</v>
      </c>
      <c r="F77">
        <v>36892049</v>
      </c>
      <c r="G77">
        <v>0.44109999999999999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-0.70552147239263829</v>
      </c>
      <c r="Q77">
        <f t="shared" ref="Q77" si="361">F77*P77</f>
        <v>-26028132.73006136</v>
      </c>
      <c r="R77">
        <f t="shared" ref="R77" si="362">R78+Q77</f>
        <v>-843122613.18710053</v>
      </c>
      <c r="S77">
        <f t="shared" ref="S77" si="363">R77/100000</f>
        <v>-8431.2261318710061</v>
      </c>
      <c r="T77">
        <f t="shared" ref="T77" si="364">S77/1000</f>
        <v>-8.4312261318710053</v>
      </c>
    </row>
    <row r="78" spans="1:20" x14ac:dyDescent="0.25">
      <c r="A78" s="5">
        <v>44515</v>
      </c>
      <c r="B78">
        <v>0.45250000000000001</v>
      </c>
      <c r="C78">
        <v>0.53480000000000005</v>
      </c>
      <c r="D78">
        <v>0.44829999999999998</v>
      </c>
      <c r="E78">
        <v>0.5343</v>
      </c>
      <c r="F78">
        <v>38468013</v>
      </c>
      <c r="G78">
        <v>0.5343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0.98843930635838018</v>
      </c>
      <c r="Q78">
        <f t="shared" ref="Q78" si="366">F78*P78</f>
        <v>38023296.086705148</v>
      </c>
      <c r="R78">
        <f t="shared" ref="R78" si="367">R79+Q78</f>
        <v>-817094480.45703912</v>
      </c>
      <c r="S78">
        <f t="shared" ref="S78" si="368">R78/100000</f>
        <v>-8170.9448045703912</v>
      </c>
      <c r="T78">
        <f t="shared" ref="T78" si="369">S78/1000</f>
        <v>-8.1709448045703912</v>
      </c>
    </row>
    <row r="79" spans="1:20" x14ac:dyDescent="0.25">
      <c r="A79" s="5">
        <v>44514</v>
      </c>
      <c r="B79">
        <v>0.435</v>
      </c>
      <c r="C79">
        <v>0.46650000000000003</v>
      </c>
      <c r="D79">
        <v>0.43409999999999999</v>
      </c>
      <c r="E79">
        <v>0.45250000000000001</v>
      </c>
      <c r="F79">
        <v>8390842</v>
      </c>
      <c r="G79">
        <v>0.45250000000000001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0.13580246913580277</v>
      </c>
      <c r="Q79">
        <f t="shared" ref="Q79" si="371">F79*P79</f>
        <v>1139497.0617283976</v>
      </c>
      <c r="R79">
        <f t="shared" ref="R79" si="372">R80+Q79</f>
        <v>-855117776.54374421</v>
      </c>
      <c r="S79">
        <f t="shared" ref="S79" si="373">R79/100000</f>
        <v>-8551.1777654374418</v>
      </c>
      <c r="T79">
        <f t="shared" ref="T79" si="374">S79/1000</f>
        <v>-8.5511777654374423</v>
      </c>
    </row>
    <row r="80" spans="1:20" x14ac:dyDescent="0.25">
      <c r="A80" s="5">
        <v>44513</v>
      </c>
      <c r="B80">
        <v>0.4375</v>
      </c>
      <c r="C80">
        <v>0.45639999999999997</v>
      </c>
      <c r="D80">
        <v>0.4325</v>
      </c>
      <c r="E80">
        <v>0.43580000000000002</v>
      </c>
      <c r="F80">
        <v>7735953</v>
      </c>
      <c r="G80">
        <v>0.43580000000000002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-0.72384937238493485</v>
      </c>
      <c r="Q80">
        <f t="shared" ref="Q80" si="376">F80*P80</f>
        <v>-5599664.7238493543</v>
      </c>
      <c r="R80">
        <f t="shared" ref="R80" si="377">R81+Q80</f>
        <v>-856257273.60547256</v>
      </c>
      <c r="S80">
        <f t="shared" ref="S80" si="378">R80/100000</f>
        <v>-8562.5727360547262</v>
      </c>
      <c r="T80">
        <f t="shared" ref="T80" si="379">S80/1000</f>
        <v>-8.5625727360547259</v>
      </c>
    </row>
    <row r="81" spans="1:20" x14ac:dyDescent="0.25">
      <c r="A81" s="5">
        <v>44512</v>
      </c>
      <c r="B81">
        <v>0.42770000000000002</v>
      </c>
      <c r="C81">
        <v>0.44550000000000001</v>
      </c>
      <c r="D81">
        <v>0.40400000000000003</v>
      </c>
      <c r="E81">
        <v>0.43880000000000002</v>
      </c>
      <c r="F81">
        <v>13341964</v>
      </c>
      <c r="G81">
        <v>0.43880000000000002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0.67710843373494045</v>
      </c>
      <c r="Q81">
        <f t="shared" ref="Q81" si="381">F81*P81</f>
        <v>9033956.3469879609</v>
      </c>
      <c r="R81">
        <f t="shared" ref="R81" si="382">R82+Q81</f>
        <v>-850657608.88162327</v>
      </c>
      <c r="S81">
        <f t="shared" ref="S81" si="383">R81/100000</f>
        <v>-8506.5760888162331</v>
      </c>
      <c r="T81">
        <f t="shared" ref="T81" si="384">S81/1000</f>
        <v>-8.5065760888162334</v>
      </c>
    </row>
    <row r="82" spans="1:20" x14ac:dyDescent="0.25">
      <c r="A82" s="5">
        <v>44511</v>
      </c>
      <c r="B82">
        <v>0.42459999999999998</v>
      </c>
      <c r="C82">
        <v>0.43919999999999998</v>
      </c>
      <c r="D82">
        <v>0.41499999999999998</v>
      </c>
      <c r="E82">
        <v>0.42749999999999999</v>
      </c>
      <c r="F82">
        <v>10329736</v>
      </c>
      <c r="G82">
        <v>0.42749999999999999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3.3057851239670366E-2</v>
      </c>
      <c r="Q82">
        <f t="shared" ref="Q82" si="386">F82*P82</f>
        <v>341478.87603306759</v>
      </c>
      <c r="R82">
        <f t="shared" ref="R82" si="387">R83+Q82</f>
        <v>-859691565.22861123</v>
      </c>
      <c r="S82">
        <f t="shared" ref="S82" si="388">R82/100000</f>
        <v>-8596.9156522861122</v>
      </c>
      <c r="T82">
        <f t="shared" ref="T82" si="389">S82/1000</f>
        <v>-8.5969156522861123</v>
      </c>
    </row>
    <row r="83" spans="1:20" x14ac:dyDescent="0.25">
      <c r="A83" s="5">
        <v>44510</v>
      </c>
      <c r="B83">
        <v>0.44990000000000002</v>
      </c>
      <c r="C83">
        <v>0.47249999999999998</v>
      </c>
      <c r="D83">
        <v>0.39029999999999998</v>
      </c>
      <c r="E83">
        <v>0.42459999999999998</v>
      </c>
      <c r="F83">
        <v>16724106</v>
      </c>
      <c r="G83">
        <v>0.42459999999999998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-0.16545012165450124</v>
      </c>
      <c r="Q83">
        <f t="shared" ref="Q83" si="391">F83*P83</f>
        <v>-2767005.372262774</v>
      </c>
      <c r="R83">
        <f t="shared" ref="R83" si="392">R84+Q83</f>
        <v>-860033044.1046443</v>
      </c>
      <c r="S83">
        <f t="shared" ref="S83" si="393">R83/100000</f>
        <v>-8600.3304410464425</v>
      </c>
      <c r="T83">
        <f t="shared" ref="T83" si="394">S83/1000</f>
        <v>-8.6003304410464416</v>
      </c>
    </row>
    <row r="84" spans="1:20" x14ac:dyDescent="0.25">
      <c r="A84" s="5">
        <v>44509</v>
      </c>
      <c r="B84">
        <v>0.43540000000000001</v>
      </c>
      <c r="C84">
        <v>0.50529999999999997</v>
      </c>
      <c r="D84">
        <v>0.42680000000000001</v>
      </c>
      <c r="E84">
        <v>0.44979999999999998</v>
      </c>
      <c r="F84">
        <v>42611788</v>
      </c>
      <c r="G84">
        <v>0.44979999999999998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-0.41401273885350376</v>
      </c>
      <c r="Q84">
        <f t="shared" ref="Q84" si="396">F84*P84</f>
        <v>-17641823.057324864</v>
      </c>
      <c r="R84">
        <f t="shared" ref="R84" si="397">R85+Q84</f>
        <v>-857266038.73238158</v>
      </c>
      <c r="S84">
        <f t="shared" ref="S84" si="398">R84/100000</f>
        <v>-8572.6603873238164</v>
      </c>
      <c r="T84">
        <f t="shared" ref="T84" si="399">S84/1000</f>
        <v>-8.5726603873238165</v>
      </c>
    </row>
    <row r="85" spans="1:20" x14ac:dyDescent="0.25">
      <c r="A85" s="5">
        <v>44508</v>
      </c>
      <c r="B85">
        <v>0.40679999999999999</v>
      </c>
      <c r="C85">
        <v>0.44</v>
      </c>
      <c r="D85">
        <v>0.39600000000000002</v>
      </c>
      <c r="E85">
        <v>0.43540000000000001</v>
      </c>
      <c r="F85">
        <v>13001731</v>
      </c>
      <c r="G85">
        <v>0.43540000000000001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0.79090909090909112</v>
      </c>
      <c r="Q85">
        <f t="shared" ref="Q85" si="401">F85*P85</f>
        <v>10283187.245454548</v>
      </c>
      <c r="R85">
        <f t="shared" ref="R85" si="402">R86+Q85</f>
        <v>-839624215.6750567</v>
      </c>
      <c r="S85">
        <f t="shared" ref="S85" si="403">R85/100000</f>
        <v>-8396.2421567505662</v>
      </c>
      <c r="T85">
        <f t="shared" ref="T85" si="404">S85/1000</f>
        <v>-8.3962421567505654</v>
      </c>
    </row>
    <row r="86" spans="1:20" x14ac:dyDescent="0.25">
      <c r="A86" s="5">
        <v>44507</v>
      </c>
      <c r="B86">
        <v>0.41139999999999999</v>
      </c>
      <c r="C86">
        <v>0.41710000000000003</v>
      </c>
      <c r="D86">
        <v>0.40400000000000003</v>
      </c>
      <c r="E86">
        <v>0.40600000000000003</v>
      </c>
      <c r="F86">
        <v>6374971</v>
      </c>
      <c r="G86">
        <v>0.40600000000000003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-0.69465648854961803</v>
      </c>
      <c r="Q86">
        <f t="shared" ref="Q86" si="406">F86*P86</f>
        <v>-4428414.9694656469</v>
      </c>
      <c r="R86">
        <f t="shared" ref="R86" si="407">R87+Q86</f>
        <v>-849907402.92051125</v>
      </c>
      <c r="S86">
        <f t="shared" ref="S86" si="408">R86/100000</f>
        <v>-8499.0740292051123</v>
      </c>
      <c r="T86">
        <f t="shared" ref="T86" si="409">S86/1000</f>
        <v>-8.4990740292051115</v>
      </c>
    </row>
    <row r="87" spans="1:20" x14ac:dyDescent="0.25">
      <c r="A87" s="5">
        <v>44506</v>
      </c>
      <c r="B87">
        <v>0.42109999999999997</v>
      </c>
      <c r="C87">
        <v>0.43</v>
      </c>
      <c r="D87">
        <v>0.39689999999999998</v>
      </c>
      <c r="E87">
        <v>0.41189999999999999</v>
      </c>
      <c r="F87">
        <v>6295146</v>
      </c>
      <c r="G87">
        <v>0.41189999999999999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-9.3655589123866761E-2</v>
      </c>
      <c r="Q87">
        <f t="shared" ref="Q87" si="411">F87*P87</f>
        <v>-589575.60725075332</v>
      </c>
      <c r="R87">
        <f t="shared" ref="R87" si="412">R88+Q87</f>
        <v>-845478987.95104563</v>
      </c>
      <c r="S87">
        <f t="shared" ref="S87" si="413">R87/100000</f>
        <v>-8454.7898795104556</v>
      </c>
      <c r="T87">
        <f t="shared" ref="T87" si="414">S87/1000</f>
        <v>-8.4547898795104555</v>
      </c>
    </row>
    <row r="88" spans="1:20" x14ac:dyDescent="0.25">
      <c r="A88" s="5">
        <v>44505</v>
      </c>
      <c r="B88">
        <v>0.4047</v>
      </c>
      <c r="C88">
        <v>0.42799999999999999</v>
      </c>
      <c r="D88">
        <v>0.39900000000000002</v>
      </c>
      <c r="E88">
        <v>0.42109999999999997</v>
      </c>
      <c r="F88">
        <v>9457133</v>
      </c>
      <c r="G88">
        <v>0.42109999999999997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0.52413793103448103</v>
      </c>
      <c r="Q88">
        <f t="shared" ref="Q88" si="416">F88*P88</f>
        <v>4956842.1241379147</v>
      </c>
      <c r="R88">
        <f t="shared" ref="R88" si="417">R89+Q88</f>
        <v>-844889412.34379482</v>
      </c>
      <c r="S88">
        <f t="shared" ref="S88" si="418">R88/100000</f>
        <v>-8448.894123437949</v>
      </c>
      <c r="T88">
        <f t="shared" ref="T88" si="419">S88/1000</f>
        <v>-8.4488941234379489</v>
      </c>
    </row>
    <row r="89" spans="1:20" x14ac:dyDescent="0.25">
      <c r="A89" s="5">
        <v>44504</v>
      </c>
      <c r="B89">
        <v>0.42370000000000002</v>
      </c>
      <c r="C89">
        <v>0.42420000000000002</v>
      </c>
      <c r="D89">
        <v>0.39579999999999999</v>
      </c>
      <c r="E89">
        <v>0.40500000000000003</v>
      </c>
      <c r="F89">
        <v>8865265</v>
      </c>
      <c r="G89">
        <v>0.40500000000000003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-0.35211267605633595</v>
      </c>
      <c r="Q89">
        <f t="shared" ref="Q89" si="421">F89*P89</f>
        <v>-3121572.1830985732</v>
      </c>
      <c r="R89">
        <f t="shared" ref="R89" si="422">R90+Q89</f>
        <v>-849846254.4679327</v>
      </c>
      <c r="S89">
        <f t="shared" ref="S89" si="423">R89/100000</f>
        <v>-8498.462544679327</v>
      </c>
      <c r="T89">
        <f t="shared" ref="T89" si="424">S89/1000</f>
        <v>-8.4984625446793274</v>
      </c>
    </row>
    <row r="90" spans="1:20" x14ac:dyDescent="0.25">
      <c r="A90" s="5">
        <v>44503</v>
      </c>
      <c r="B90">
        <v>0.40960000000000002</v>
      </c>
      <c r="C90">
        <v>0.44800000000000001</v>
      </c>
      <c r="D90">
        <v>0.40360000000000001</v>
      </c>
      <c r="E90">
        <v>0.42380000000000001</v>
      </c>
      <c r="F90">
        <v>17267354</v>
      </c>
      <c r="G90">
        <v>0.42380000000000001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-9.0090090090090183E-2</v>
      </c>
      <c r="Q90">
        <f t="shared" ref="Q90" si="426">F90*P90</f>
        <v>-1555617.477477479</v>
      </c>
      <c r="R90">
        <f t="shared" ref="R90" si="427">R91+Q90</f>
        <v>-846724682.28483415</v>
      </c>
      <c r="S90">
        <f t="shared" ref="S90" si="428">R90/100000</f>
        <v>-8467.2468228483413</v>
      </c>
      <c r="T90">
        <f t="shared" ref="T90" si="429">S90/1000</f>
        <v>-8.4672468228483417</v>
      </c>
    </row>
    <row r="91" spans="1:20" x14ac:dyDescent="0.25">
      <c r="A91" s="5">
        <v>44502</v>
      </c>
      <c r="B91">
        <v>0.38390000000000002</v>
      </c>
      <c r="C91">
        <v>0.4264</v>
      </c>
      <c r="D91">
        <v>0.38</v>
      </c>
      <c r="E91">
        <v>0.4093</v>
      </c>
      <c r="F91">
        <v>12034975</v>
      </c>
      <c r="G91">
        <v>0.4093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0.2629310344827584</v>
      </c>
      <c r="Q91">
        <f t="shared" ref="Q91" si="431">F91*P91</f>
        <v>3164368.4267241354</v>
      </c>
      <c r="R91">
        <f t="shared" ref="R91" si="432">R92+Q91</f>
        <v>-845169064.80735672</v>
      </c>
      <c r="S91">
        <f t="shared" ref="S91" si="433">R91/100000</f>
        <v>-8451.690648073567</v>
      </c>
      <c r="T91">
        <f t="shared" ref="T91" si="434">S91/1000</f>
        <v>-8.4516906480735674</v>
      </c>
    </row>
    <row r="92" spans="1:20" x14ac:dyDescent="0.25">
      <c r="A92" s="5">
        <v>44501</v>
      </c>
      <c r="B92">
        <v>0.38950000000000001</v>
      </c>
      <c r="C92">
        <v>0.39639999999999997</v>
      </c>
      <c r="D92">
        <v>0.37219999999999998</v>
      </c>
      <c r="E92">
        <v>0.38369999999999999</v>
      </c>
      <c r="F92">
        <v>6512895</v>
      </c>
      <c r="G92">
        <v>0.38369999999999999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-4.9586776859503259E-2</v>
      </c>
      <c r="Q92">
        <f t="shared" ref="Q92" si="436">F92*P92</f>
        <v>-322953.47107437451</v>
      </c>
      <c r="R92">
        <f t="shared" ref="R92" si="437">R93+Q92</f>
        <v>-848333433.23408079</v>
      </c>
      <c r="S92">
        <f t="shared" ref="S92" si="438">R92/100000</f>
        <v>-8483.334332340808</v>
      </c>
      <c r="T92">
        <f t="shared" ref="T92" si="439">S92/1000</f>
        <v>-8.4833343323408084</v>
      </c>
    </row>
    <row r="93" spans="1:20" x14ac:dyDescent="0.25">
      <c r="A93" s="5">
        <v>44500</v>
      </c>
      <c r="B93">
        <v>0.37769999999999998</v>
      </c>
      <c r="C93">
        <v>0.4199</v>
      </c>
      <c r="D93">
        <v>0.37490000000000001</v>
      </c>
      <c r="E93">
        <v>0.39019999999999999</v>
      </c>
      <c r="F93">
        <v>11586780</v>
      </c>
      <c r="G93">
        <v>0.39019999999999999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-0.32000000000000062</v>
      </c>
      <c r="Q93">
        <f t="shared" ref="Q93" si="441">F93*P93</f>
        <v>-3707769.6000000071</v>
      </c>
      <c r="R93">
        <f t="shared" ref="R93" si="442">R94+Q93</f>
        <v>-848010479.76300645</v>
      </c>
      <c r="S93">
        <f t="shared" ref="S93" si="443">R93/100000</f>
        <v>-8480.1047976300651</v>
      </c>
      <c r="T93">
        <f t="shared" ref="T93" si="444">S93/1000</f>
        <v>-8.4801047976300659</v>
      </c>
    </row>
    <row r="94" spans="1:20" x14ac:dyDescent="0.25">
      <c r="A94" s="5">
        <v>44499</v>
      </c>
      <c r="B94">
        <v>0.3785</v>
      </c>
      <c r="C94">
        <v>0.38679999999999998</v>
      </c>
      <c r="D94">
        <v>0.34849999999999998</v>
      </c>
      <c r="E94">
        <v>0.37780000000000002</v>
      </c>
      <c r="F94">
        <v>8491289</v>
      </c>
      <c r="G94">
        <v>0.37780000000000002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0.53002610966057695</v>
      </c>
      <c r="Q94">
        <f t="shared" ref="Q94" si="446">F94*P94</f>
        <v>4500604.8746736506</v>
      </c>
      <c r="R94">
        <f t="shared" ref="R94" si="447">R95+Q94</f>
        <v>-844302710.16300642</v>
      </c>
      <c r="S94">
        <f t="shared" ref="S94" si="448">R94/100000</f>
        <v>-8443.0271016300649</v>
      </c>
      <c r="T94">
        <f t="shared" ref="T94" si="449">S94/1000</f>
        <v>-8.4430271016300651</v>
      </c>
    </row>
    <row r="95" spans="1:20" x14ac:dyDescent="0.25">
      <c r="A95" s="5">
        <v>44498</v>
      </c>
      <c r="B95">
        <v>0.37009999999999998</v>
      </c>
      <c r="C95">
        <v>0.38950000000000001</v>
      </c>
      <c r="D95">
        <v>0.36830000000000002</v>
      </c>
      <c r="E95">
        <v>0.37840000000000001</v>
      </c>
      <c r="F95">
        <v>6119974</v>
      </c>
      <c r="G95">
        <v>0.37840000000000001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-4.7169811320754769E-2</v>
      </c>
      <c r="Q95">
        <f t="shared" ref="Q95" si="451">F95*P95</f>
        <v>-288678.01886792487</v>
      </c>
      <c r="R95">
        <f t="shared" ref="R95" si="452">R96+Q95</f>
        <v>-848803315.03768003</v>
      </c>
      <c r="S95">
        <f t="shared" ref="S95" si="453">R95/100000</f>
        <v>-8488.0331503768011</v>
      </c>
      <c r="T95">
        <f t="shared" ref="T95" si="454">S95/1000</f>
        <v>-8.4880331503768005</v>
      </c>
    </row>
    <row r="96" spans="1:20" x14ac:dyDescent="0.25">
      <c r="A96" s="5">
        <v>44497</v>
      </c>
      <c r="B96">
        <v>0.3584</v>
      </c>
      <c r="C96">
        <v>0.3876</v>
      </c>
      <c r="D96">
        <v>0.35830000000000001</v>
      </c>
      <c r="E96">
        <v>0.37009999999999998</v>
      </c>
      <c r="F96">
        <v>7753855</v>
      </c>
      <c r="G96">
        <v>0.37009999999999998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-0.19453924914675905</v>
      </c>
      <c r="Q96">
        <f t="shared" ref="Q96" si="456">F96*P96</f>
        <v>-1508429.1296928434</v>
      </c>
      <c r="R96">
        <f t="shared" ref="R96" si="457">R97+Q96</f>
        <v>-848514637.01881206</v>
      </c>
      <c r="S96">
        <f t="shared" ref="S96" si="458">R96/100000</f>
        <v>-8485.1463701881203</v>
      </c>
      <c r="T96">
        <f t="shared" ref="T96" si="459">S96/1000</f>
        <v>-8.4851463701881205</v>
      </c>
    </row>
    <row r="97" spans="1:20" x14ac:dyDescent="0.25">
      <c r="A97" s="5">
        <v>44496</v>
      </c>
      <c r="B97">
        <v>0.39610000000000001</v>
      </c>
      <c r="C97">
        <v>0.4022</v>
      </c>
      <c r="D97">
        <v>0.35830000000000001</v>
      </c>
      <c r="E97">
        <v>0.35899999999999999</v>
      </c>
      <c r="F97">
        <v>8125173</v>
      </c>
      <c r="G97">
        <v>0.35899999999999999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-0.96810933940774591</v>
      </c>
      <c r="Q97">
        <f t="shared" ref="Q97" si="461">F97*P97</f>
        <v>-7866055.8656036528</v>
      </c>
      <c r="R97">
        <f t="shared" ref="R97" si="462">R98+Q97</f>
        <v>-847006207.88911927</v>
      </c>
      <c r="S97">
        <f t="shared" ref="S97" si="463">R97/100000</f>
        <v>-8470.0620788911929</v>
      </c>
      <c r="T97">
        <f t="shared" ref="T97" si="464">S97/1000</f>
        <v>-8.4700620788911927</v>
      </c>
    </row>
    <row r="98" spans="1:20" x14ac:dyDescent="0.25">
      <c r="A98" s="5">
        <v>44495</v>
      </c>
      <c r="B98">
        <v>0.40479999999999999</v>
      </c>
      <c r="C98">
        <v>0.41520000000000001</v>
      </c>
      <c r="D98">
        <v>0.38790000000000002</v>
      </c>
      <c r="E98">
        <v>0.39610000000000001</v>
      </c>
      <c r="F98">
        <v>8532931</v>
      </c>
      <c r="G98">
        <v>0.39610000000000001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-0.39926739926740018</v>
      </c>
      <c r="Q98">
        <f t="shared" ref="Q98" si="466">F98*P98</f>
        <v>-3406921.1684981762</v>
      </c>
      <c r="R98">
        <f t="shared" ref="R98" si="467">R99+Q98</f>
        <v>-839140152.02351558</v>
      </c>
      <c r="S98">
        <f t="shared" ref="S98" si="468">R98/100000</f>
        <v>-8391.4015202351566</v>
      </c>
      <c r="T98">
        <f t="shared" ref="T98" si="469">S98/1000</f>
        <v>-8.3914015202351564</v>
      </c>
    </row>
    <row r="99" spans="1:20" x14ac:dyDescent="0.25">
      <c r="A99" s="5">
        <v>44494</v>
      </c>
      <c r="B99">
        <v>0.40539999999999998</v>
      </c>
      <c r="C99">
        <v>0.4259</v>
      </c>
      <c r="D99">
        <v>0.39810000000000001</v>
      </c>
      <c r="E99">
        <v>0.40500000000000003</v>
      </c>
      <c r="F99">
        <v>7233510</v>
      </c>
      <c r="G99">
        <v>0.40500000000000003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-0.50359712230215692</v>
      </c>
      <c r="Q99">
        <f t="shared" ref="Q99" si="471">F99*P99</f>
        <v>-3642774.8201438752</v>
      </c>
      <c r="R99">
        <f t="shared" ref="R99" si="472">R100+Q99</f>
        <v>-835733230.85501742</v>
      </c>
      <c r="S99">
        <f t="shared" ref="S99" si="473">R99/100000</f>
        <v>-8357.3323085501743</v>
      </c>
      <c r="T99">
        <f t="shared" ref="T99" si="474">S99/1000</f>
        <v>-8.3573323085501734</v>
      </c>
    </row>
    <row r="100" spans="1:20" x14ac:dyDescent="0.25">
      <c r="A100" s="5">
        <v>44493</v>
      </c>
      <c r="B100">
        <v>0.41920000000000002</v>
      </c>
      <c r="C100">
        <v>0.41980000000000001</v>
      </c>
      <c r="D100">
        <v>0.38969999999999999</v>
      </c>
      <c r="E100">
        <v>0.40589999999999998</v>
      </c>
      <c r="F100">
        <v>8648658</v>
      </c>
      <c r="G100">
        <v>0.40589999999999998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7.6411960132889284E-2</v>
      </c>
      <c r="Q100">
        <f t="shared" ref="Q100" si="476">F100*P100</f>
        <v>660860.91029899393</v>
      </c>
      <c r="R100">
        <f t="shared" ref="R100" si="477">R101+Q100</f>
        <v>-832090456.0348736</v>
      </c>
      <c r="S100">
        <f t="shared" ref="S100" si="478">R100/100000</f>
        <v>-8320.9045603487357</v>
      </c>
      <c r="T100">
        <f t="shared" ref="T100" si="479">S100/1000</f>
        <v>-8.320904560348735</v>
      </c>
    </row>
    <row r="101" spans="1:20" x14ac:dyDescent="0.25">
      <c r="A101" s="5">
        <v>44492</v>
      </c>
      <c r="B101">
        <v>0.4249</v>
      </c>
      <c r="C101">
        <v>0.43309999999999998</v>
      </c>
      <c r="D101">
        <v>0.41499999999999998</v>
      </c>
      <c r="E101">
        <v>0.4194</v>
      </c>
      <c r="F101">
        <v>4757885</v>
      </c>
      <c r="G101">
        <v>0.4194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-0.51381215469613106</v>
      </c>
      <c r="Q101">
        <f t="shared" ref="Q101" si="481">F101*P101</f>
        <v>-2444659.1436464014</v>
      </c>
      <c r="R101">
        <f t="shared" ref="R101" si="482">R102+Q101</f>
        <v>-832751316.94517255</v>
      </c>
      <c r="S101">
        <f t="shared" ref="S101" si="483">R101/100000</f>
        <v>-8327.5131694517258</v>
      </c>
      <c r="T101">
        <f t="shared" ref="T101" si="484">S101/1000</f>
        <v>-8.3275131694517253</v>
      </c>
    </row>
    <row r="102" spans="1:20" x14ac:dyDescent="0.25">
      <c r="A102" s="5">
        <v>44491</v>
      </c>
      <c r="B102">
        <v>0.4325</v>
      </c>
      <c r="C102">
        <v>0.44950000000000001</v>
      </c>
      <c r="D102">
        <v>0.41839999999999999</v>
      </c>
      <c r="E102">
        <v>0.42430000000000001</v>
      </c>
      <c r="F102">
        <v>7767753</v>
      </c>
      <c r="G102">
        <v>0.42430000000000001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-0.62057877813504736</v>
      </c>
      <c r="Q102">
        <f t="shared" ref="Q102" si="486">F102*P102</f>
        <v>-4820502.6655948488</v>
      </c>
      <c r="R102">
        <f t="shared" ref="R102" si="487">R103+Q102</f>
        <v>-830306657.80152619</v>
      </c>
      <c r="S102">
        <f t="shared" ref="S102" si="488">R102/100000</f>
        <v>-8303.0665780152613</v>
      </c>
      <c r="T102">
        <f t="shared" ref="T102" si="489">S102/1000</f>
        <v>-8.3030665780152617</v>
      </c>
    </row>
    <row r="103" spans="1:20" x14ac:dyDescent="0.25">
      <c r="A103" s="5">
        <v>44490</v>
      </c>
      <c r="B103">
        <v>0.44550000000000001</v>
      </c>
      <c r="C103">
        <v>0.46</v>
      </c>
      <c r="D103">
        <v>0.4279</v>
      </c>
      <c r="E103">
        <v>0.43099999999999999</v>
      </c>
      <c r="F103">
        <v>12054607</v>
      </c>
      <c r="G103">
        <v>0.43099999999999999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-0.80685358255451778</v>
      </c>
      <c r="Q103">
        <f t="shared" ref="Q103" si="491">F103*P103</f>
        <v>-9726302.8442367688</v>
      </c>
      <c r="R103">
        <f t="shared" ref="R103" si="492">R104+Q103</f>
        <v>-825486155.13593137</v>
      </c>
      <c r="S103">
        <f t="shared" ref="S103" si="493">R103/100000</f>
        <v>-8254.861551359314</v>
      </c>
      <c r="T103">
        <f t="shared" ref="T103" si="494">S103/1000</f>
        <v>-8.2548615513593138</v>
      </c>
    </row>
    <row r="104" spans="1:20" x14ac:dyDescent="0.25">
      <c r="A104" s="5">
        <v>44489</v>
      </c>
      <c r="B104">
        <v>0.43099999999999999</v>
      </c>
      <c r="C104">
        <v>0.45190000000000002</v>
      </c>
      <c r="D104">
        <v>0.42330000000000001</v>
      </c>
      <c r="E104">
        <v>0.4451</v>
      </c>
      <c r="F104">
        <v>7976923</v>
      </c>
      <c r="G104">
        <v>0.4451</v>
      </c>
      <c r="L104" t="s">
        <v>7</v>
      </c>
      <c r="M104" t="s">
        <v>8</v>
      </c>
      <c r="N104" t="s">
        <v>8</v>
      </c>
      <c r="P104">
        <f t="shared" ref="P104" si="495">IF(C104=D104,0,((E104-D104)-(C104-E104))/(C104-D104))</f>
        <v>0.5244755244755227</v>
      </c>
      <c r="Q104">
        <f t="shared" ref="Q104" si="496">F104*P104</f>
        <v>4183700.8741258602</v>
      </c>
      <c r="R104">
        <f t="shared" ref="R104" si="497">R105+Q104</f>
        <v>-815759852.29169464</v>
      </c>
      <c r="S104">
        <f t="shared" ref="S104" si="498">R104/100000</f>
        <v>-8157.5985229169464</v>
      </c>
      <c r="T104">
        <f t="shared" ref="T104" si="499">S104/1000</f>
        <v>-8.1575985229169472</v>
      </c>
    </row>
    <row r="105" spans="1:20" x14ac:dyDescent="0.25">
      <c r="A105" s="5">
        <v>44488</v>
      </c>
      <c r="B105">
        <v>0.43530000000000002</v>
      </c>
      <c r="C105">
        <v>0.45900000000000002</v>
      </c>
      <c r="D105">
        <v>0.42199999999999999</v>
      </c>
      <c r="E105">
        <v>0.4304</v>
      </c>
      <c r="F105">
        <v>13923657</v>
      </c>
      <c r="G105">
        <v>0.4304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-0.54594594594594537</v>
      </c>
      <c r="Q105">
        <f t="shared" ref="Q105" si="501">F105*P105</f>
        <v>-7601564.0918918839</v>
      </c>
      <c r="R105">
        <f t="shared" ref="R105" si="502">R106+Q105</f>
        <v>-819943553.16582048</v>
      </c>
      <c r="S105">
        <f t="shared" ref="S105" si="503">R105/100000</f>
        <v>-8199.4355316582041</v>
      </c>
      <c r="T105">
        <f t="shared" ref="T105" si="504">S105/1000</f>
        <v>-8.1994355316582048</v>
      </c>
    </row>
    <row r="106" spans="1:20" x14ac:dyDescent="0.25">
      <c r="A106" s="5">
        <v>44487</v>
      </c>
      <c r="B106">
        <v>0.41570000000000001</v>
      </c>
      <c r="C106">
        <v>0.47049999999999997</v>
      </c>
      <c r="D106">
        <v>0.41</v>
      </c>
      <c r="E106">
        <v>0.43509999999999999</v>
      </c>
      <c r="F106">
        <v>28791417</v>
      </c>
      <c r="G106">
        <v>0.43509999999999999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-0.17024793388429713</v>
      </c>
      <c r="Q106">
        <f t="shared" ref="Q106" si="506">F106*P106</f>
        <v>-4901679.2578512281</v>
      </c>
      <c r="R106">
        <f t="shared" ref="R106" si="507">R107+Q106</f>
        <v>-812341989.07392859</v>
      </c>
      <c r="S106">
        <f t="shared" ref="S106" si="508">R106/100000</f>
        <v>-8123.4198907392856</v>
      </c>
      <c r="T106">
        <f t="shared" ref="T106" si="509">S106/1000</f>
        <v>-8.1234198907392852</v>
      </c>
    </row>
    <row r="107" spans="1:20" x14ac:dyDescent="0.25">
      <c r="A107" s="5">
        <v>44486</v>
      </c>
      <c r="B107">
        <v>0.41139999999999999</v>
      </c>
      <c r="C107">
        <v>0.45400000000000001</v>
      </c>
      <c r="D107">
        <v>0.39989999999999998</v>
      </c>
      <c r="E107">
        <v>0.41449999999999998</v>
      </c>
      <c r="F107">
        <v>56031453</v>
      </c>
      <c r="G107">
        <v>0.41449999999999998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-0.46025878003696885</v>
      </c>
      <c r="Q107">
        <f t="shared" ref="Q107" si="511">F107*P107</f>
        <v>-25788968.201478757</v>
      </c>
      <c r="R107">
        <f t="shared" ref="R107" si="512">R108+Q107</f>
        <v>-807440309.81607735</v>
      </c>
      <c r="S107">
        <f t="shared" ref="S107" si="513">R107/100000</f>
        <v>-8074.4030981607739</v>
      </c>
      <c r="T107">
        <f t="shared" ref="T107" si="514">S107/1000</f>
        <v>-8.074403098160774</v>
      </c>
    </row>
    <row r="108" spans="1:20" x14ac:dyDescent="0.25">
      <c r="A108" s="5">
        <v>44485</v>
      </c>
      <c r="B108">
        <v>0.42499999999999999</v>
      </c>
      <c r="C108">
        <v>0.44</v>
      </c>
      <c r="D108">
        <v>0.40699999999999997</v>
      </c>
      <c r="E108">
        <v>0.41089999999999999</v>
      </c>
      <c r="F108">
        <v>16621825</v>
      </c>
      <c r="G108">
        <v>0.41089999999999999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-0.763636363636363</v>
      </c>
      <c r="Q108">
        <f t="shared" ref="Q108" si="516">F108*P108</f>
        <v>-12693029.999999989</v>
      </c>
      <c r="R108">
        <f t="shared" ref="R108" si="517">R109+Q108</f>
        <v>-781651341.61459863</v>
      </c>
      <c r="S108">
        <f t="shared" ref="S108" si="518">R108/100000</f>
        <v>-7816.5134161459864</v>
      </c>
      <c r="T108">
        <f t="shared" ref="T108" si="519">S108/1000</f>
        <v>-7.8165134161459866</v>
      </c>
    </row>
    <row r="109" spans="1:20" x14ac:dyDescent="0.25">
      <c r="A109" s="5">
        <v>44484</v>
      </c>
      <c r="B109">
        <v>0.377</v>
      </c>
      <c r="C109">
        <v>0.435</v>
      </c>
      <c r="D109">
        <v>0.373</v>
      </c>
      <c r="E109">
        <v>0.42459999999999998</v>
      </c>
      <c r="F109">
        <v>26036665</v>
      </c>
      <c r="G109">
        <v>0.42459999999999998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0.66451612903225743</v>
      </c>
      <c r="Q109">
        <f t="shared" ref="Q109" si="521">F109*P109</f>
        <v>17301783.83870966</v>
      </c>
      <c r="R109">
        <f t="shared" ref="R109" si="522">R110+Q109</f>
        <v>-768958311.61459863</v>
      </c>
      <c r="S109">
        <f t="shared" ref="S109" si="523">R109/100000</f>
        <v>-7689.5831161459864</v>
      </c>
      <c r="T109">
        <f t="shared" ref="T109" si="524">S109/1000</f>
        <v>-7.689583116145986</v>
      </c>
    </row>
    <row r="110" spans="1:20" x14ac:dyDescent="0.25">
      <c r="A110" s="5">
        <v>44483</v>
      </c>
      <c r="B110">
        <v>0.37709999999999999</v>
      </c>
      <c r="C110">
        <v>0.39700000000000002</v>
      </c>
      <c r="D110">
        <v>0.37019999999999997</v>
      </c>
      <c r="E110">
        <v>0.377</v>
      </c>
      <c r="F110">
        <v>9495587</v>
      </c>
      <c r="G110">
        <v>0.377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-0.49253731343283458</v>
      </c>
      <c r="Q110">
        <f t="shared" ref="Q110" si="526">F110*P110</f>
        <v>-4676930.9104477493</v>
      </c>
      <c r="R110">
        <f t="shared" ref="R110" si="527">R111+Q110</f>
        <v>-786260095.45330834</v>
      </c>
      <c r="S110">
        <f t="shared" ref="S110" si="528">R110/100000</f>
        <v>-7862.6009545330835</v>
      </c>
      <c r="T110">
        <f t="shared" ref="T110" si="529">S110/1000</f>
        <v>-7.8626009545330833</v>
      </c>
    </row>
    <row r="111" spans="1:20" x14ac:dyDescent="0.25">
      <c r="A111" s="5">
        <v>44482</v>
      </c>
      <c r="B111">
        <v>0.37119999999999997</v>
      </c>
      <c r="C111">
        <v>0.3821</v>
      </c>
      <c r="D111">
        <v>0.36220000000000002</v>
      </c>
      <c r="E111">
        <v>0.37719999999999998</v>
      </c>
      <c r="F111">
        <v>8890421</v>
      </c>
      <c r="G111">
        <v>0.37719999999999998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0.50753768844220881</v>
      </c>
      <c r="Q111">
        <f t="shared" ref="Q111" si="531">F111*P111</f>
        <v>4512223.7236180706</v>
      </c>
      <c r="R111">
        <f t="shared" ref="R111" si="532">R112+Q111</f>
        <v>-781583164.54286063</v>
      </c>
      <c r="S111">
        <f t="shared" ref="S111" si="533">R111/100000</f>
        <v>-7815.831645428606</v>
      </c>
      <c r="T111">
        <f t="shared" ref="T111" si="534">S111/1000</f>
        <v>-7.8158316454286059</v>
      </c>
    </row>
    <row r="112" spans="1:20" x14ac:dyDescent="0.25">
      <c r="A112" s="5">
        <v>44481</v>
      </c>
      <c r="B112">
        <v>0.37030000000000002</v>
      </c>
      <c r="C112">
        <v>0.38490000000000002</v>
      </c>
      <c r="D112">
        <v>0.3463</v>
      </c>
      <c r="E112">
        <v>0.37140000000000001</v>
      </c>
      <c r="F112">
        <v>12670267</v>
      </c>
      <c r="G112">
        <v>0.37140000000000001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0.3005181347150257</v>
      </c>
      <c r="Q112">
        <f t="shared" ref="Q112" si="536">F112*P112</f>
        <v>3807645.0051813447</v>
      </c>
      <c r="R112">
        <f t="shared" ref="R112" si="537">R113+Q112</f>
        <v>-786095388.26647866</v>
      </c>
      <c r="S112">
        <f t="shared" ref="S112" si="538">R112/100000</f>
        <v>-7860.9538826647868</v>
      </c>
      <c r="T112">
        <f t="shared" ref="T112" si="539">S112/1000</f>
        <v>-7.8609538826647869</v>
      </c>
    </row>
    <row r="113" spans="1:20" x14ac:dyDescent="0.25">
      <c r="A113" s="5">
        <v>44480</v>
      </c>
      <c r="B113">
        <v>0.40329999999999999</v>
      </c>
      <c r="C113">
        <v>0.40329999999999999</v>
      </c>
      <c r="D113">
        <v>0.36059999999999998</v>
      </c>
      <c r="E113">
        <v>0.3705</v>
      </c>
      <c r="F113">
        <v>12770026</v>
      </c>
      <c r="G113">
        <v>0.3705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-0.53629976580796179</v>
      </c>
      <c r="Q113">
        <f t="shared" ref="Q113" si="541">F113*P113</f>
        <v>-6848561.9531615833</v>
      </c>
      <c r="R113">
        <f t="shared" ref="R113" si="542">R114+Q113</f>
        <v>-789903033.27165997</v>
      </c>
      <c r="S113">
        <f t="shared" ref="S113" si="543">R113/100000</f>
        <v>-7899.0303327165993</v>
      </c>
      <c r="T113">
        <f t="shared" ref="T113" si="544">S113/1000</f>
        <v>-7.8990303327165989</v>
      </c>
    </row>
    <row r="114" spans="1:20" x14ac:dyDescent="0.25">
      <c r="A114" s="5">
        <v>44479</v>
      </c>
      <c r="B114">
        <v>0.39429999999999998</v>
      </c>
      <c r="C114">
        <v>0.43</v>
      </c>
      <c r="D114">
        <v>0.372</v>
      </c>
      <c r="E114">
        <v>0.40350000000000003</v>
      </c>
      <c r="F114">
        <v>42588506</v>
      </c>
      <c r="G114">
        <v>0.40350000000000003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8.6206896551725171E-2</v>
      </c>
      <c r="Q114">
        <f t="shared" ref="Q114" si="546">F114*P114</f>
        <v>3671422.9310345268</v>
      </c>
      <c r="R114">
        <f t="shared" ref="R114" si="547">R115+Q114</f>
        <v>-783054471.31849837</v>
      </c>
      <c r="S114">
        <f t="shared" ref="S114" si="548">R114/100000</f>
        <v>-7830.5447131849842</v>
      </c>
      <c r="T114">
        <f t="shared" ref="T114" si="549">S114/1000</f>
        <v>-7.8305447131849846</v>
      </c>
    </row>
    <row r="115" spans="1:20" x14ac:dyDescent="0.25">
      <c r="A115" s="5">
        <v>44478</v>
      </c>
      <c r="B115">
        <v>0.35670000000000002</v>
      </c>
      <c r="C115">
        <v>0.44669999999999999</v>
      </c>
      <c r="D115">
        <v>0.35199999999999998</v>
      </c>
      <c r="E115">
        <v>0.39429999999999998</v>
      </c>
      <c r="F115">
        <v>28688619</v>
      </c>
      <c r="G115">
        <v>0.39429999999999998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-0.10665258711721222</v>
      </c>
      <c r="Q115">
        <f t="shared" ref="Q115" si="551">F115*P115</f>
        <v>-3059715.4371700096</v>
      </c>
      <c r="R115">
        <f t="shared" ref="R115" si="552">R116+Q115</f>
        <v>-786725894.24953294</v>
      </c>
      <c r="S115">
        <f t="shared" ref="S115" si="553">R115/100000</f>
        <v>-7867.2589424953294</v>
      </c>
      <c r="T115">
        <f t="shared" ref="T115" si="554">S115/1000</f>
        <v>-7.8672589424953294</v>
      </c>
    </row>
    <row r="116" spans="1:20" x14ac:dyDescent="0.25">
      <c r="A116" s="5">
        <v>44477</v>
      </c>
      <c r="B116">
        <v>0.36209999999999998</v>
      </c>
      <c r="C116">
        <v>0.375</v>
      </c>
      <c r="D116">
        <v>0.35039999999999999</v>
      </c>
      <c r="E116">
        <v>0.35620000000000002</v>
      </c>
      <c r="F116">
        <v>7057291</v>
      </c>
      <c r="G116">
        <v>0.35620000000000002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-0.52845528455284352</v>
      </c>
      <c r="Q116">
        <f t="shared" ref="Q116" si="556">F116*P116</f>
        <v>-3729462.7235772214</v>
      </c>
      <c r="R116">
        <f t="shared" ref="R116" si="557">R117+Q116</f>
        <v>-783666178.81236291</v>
      </c>
      <c r="S116">
        <f t="shared" ref="S116" si="558">R116/100000</f>
        <v>-7836.6617881236289</v>
      </c>
      <c r="T116">
        <f t="shared" ref="T116" si="559">S116/1000</f>
        <v>-7.8366617881236289</v>
      </c>
    </row>
    <row r="117" spans="1:20" x14ac:dyDescent="0.25">
      <c r="A117" s="5">
        <v>44476</v>
      </c>
      <c r="B117">
        <v>0.35070000000000001</v>
      </c>
      <c r="C117">
        <v>0.38</v>
      </c>
      <c r="D117">
        <v>0.34129999999999999</v>
      </c>
      <c r="E117">
        <v>0.36199999999999999</v>
      </c>
      <c r="F117">
        <v>10973478</v>
      </c>
      <c r="G117">
        <v>0.36199999999999999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6.9767441860464588E-2</v>
      </c>
      <c r="Q117">
        <f t="shared" ref="Q117" si="561">F117*P117</f>
        <v>765591.48837208725</v>
      </c>
      <c r="R117">
        <f t="shared" ref="R117" si="562">R118+Q117</f>
        <v>-779936716.08878565</v>
      </c>
      <c r="S117">
        <f t="shared" ref="S117" si="563">R117/100000</f>
        <v>-7799.3671608878567</v>
      </c>
      <c r="T117">
        <f t="shared" ref="T117" si="564">S117/1000</f>
        <v>-7.799367160887857</v>
      </c>
    </row>
    <row r="118" spans="1:20" x14ac:dyDescent="0.25">
      <c r="A118" s="5">
        <v>44475</v>
      </c>
      <c r="B118">
        <v>0.36730000000000002</v>
      </c>
      <c r="C118">
        <v>0.38150000000000001</v>
      </c>
      <c r="D118">
        <v>0.34229999999999999</v>
      </c>
      <c r="E118">
        <v>0.35149999999999998</v>
      </c>
      <c r="F118">
        <v>11509652</v>
      </c>
      <c r="G118">
        <v>0.35149999999999998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-0.53061224489796011</v>
      </c>
      <c r="Q118">
        <f t="shared" ref="Q118" si="566">F118*P118</f>
        <v>-6107162.2857142966</v>
      </c>
      <c r="R118">
        <f t="shared" ref="R118" si="567">R119+Q118</f>
        <v>-780702307.57715774</v>
      </c>
      <c r="S118">
        <f t="shared" ref="S118" si="568">R118/100000</f>
        <v>-7807.0230757715772</v>
      </c>
      <c r="T118">
        <f t="shared" ref="T118" si="569">S118/1000</f>
        <v>-7.8070230757715775</v>
      </c>
    </row>
    <row r="119" spans="1:20" x14ac:dyDescent="0.25">
      <c r="A119" s="5">
        <v>44474</v>
      </c>
      <c r="B119">
        <v>0.35510000000000003</v>
      </c>
      <c r="C119">
        <v>0.39789999999999998</v>
      </c>
      <c r="D119">
        <v>0.35149999999999998</v>
      </c>
      <c r="E119">
        <v>0.36680000000000001</v>
      </c>
      <c r="F119">
        <v>12233794</v>
      </c>
      <c r="G119">
        <v>0.36680000000000001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-0.34051724137930878</v>
      </c>
      <c r="Q119">
        <f t="shared" ref="Q119" si="571">F119*P119</f>
        <v>-4165817.7844827394</v>
      </c>
      <c r="R119">
        <f t="shared" ref="R119" si="572">R120+Q119</f>
        <v>-774595145.29144347</v>
      </c>
      <c r="S119">
        <f t="shared" ref="S119" si="573">R119/100000</f>
        <v>-7745.9514529144344</v>
      </c>
      <c r="T119">
        <f t="shared" ref="T119" si="574">S119/1000</f>
        <v>-7.7459514529144347</v>
      </c>
    </row>
    <row r="120" spans="1:20" x14ac:dyDescent="0.25">
      <c r="A120" s="5">
        <v>44473</v>
      </c>
      <c r="B120">
        <v>0.36620000000000003</v>
      </c>
      <c r="C120">
        <v>0.36680000000000001</v>
      </c>
      <c r="D120">
        <v>0.34699999999999998</v>
      </c>
      <c r="E120">
        <v>0.35649999999999998</v>
      </c>
      <c r="F120">
        <v>8116393</v>
      </c>
      <c r="G120">
        <v>0.35649999999999998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-4.0404040404041483E-2</v>
      </c>
      <c r="Q120">
        <f t="shared" ref="Q120" si="576">F120*P120</f>
        <v>-327935.07070707949</v>
      </c>
      <c r="R120">
        <f t="shared" ref="R120" si="577">R121+Q120</f>
        <v>-770429327.50696075</v>
      </c>
      <c r="S120">
        <f t="shared" ref="S120" si="578">R120/100000</f>
        <v>-7704.2932750696073</v>
      </c>
      <c r="T120">
        <f t="shared" ref="T120" si="579">S120/1000</f>
        <v>-7.7042932750696069</v>
      </c>
    </row>
    <row r="121" spans="1:20" x14ac:dyDescent="0.25">
      <c r="A121" s="5">
        <v>44472</v>
      </c>
      <c r="B121">
        <v>0.36120000000000002</v>
      </c>
      <c r="C121">
        <v>0.38390000000000002</v>
      </c>
      <c r="D121">
        <v>0.35680000000000001</v>
      </c>
      <c r="E121">
        <v>0.36459999999999998</v>
      </c>
      <c r="F121">
        <v>10445658</v>
      </c>
      <c r="G121">
        <v>0.36459999999999998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-0.42435424354243767</v>
      </c>
      <c r="Q121">
        <f t="shared" ref="Q121" si="581">F121*P121</f>
        <v>-4432659.2988930121</v>
      </c>
      <c r="R121">
        <f t="shared" ref="R121" si="582">R122+Q121</f>
        <v>-770101392.43625367</v>
      </c>
      <c r="S121">
        <f t="shared" ref="S121" si="583">R121/100000</f>
        <v>-7701.0139243625363</v>
      </c>
      <c r="T121">
        <f t="shared" ref="T121" si="584">S121/1000</f>
        <v>-7.7010139243625364</v>
      </c>
    </row>
    <row r="122" spans="1:20" x14ac:dyDescent="0.25">
      <c r="A122" s="5">
        <v>44471</v>
      </c>
      <c r="B122">
        <v>0.36359999999999998</v>
      </c>
      <c r="C122">
        <v>0.38379999999999997</v>
      </c>
      <c r="D122">
        <v>0.35799999999999998</v>
      </c>
      <c r="E122">
        <v>0.36149999999999999</v>
      </c>
      <c r="F122">
        <v>10330254</v>
      </c>
      <c r="G122">
        <v>0.36149999999999999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-0.72868217054263529</v>
      </c>
      <c r="Q122">
        <f t="shared" ref="Q122" si="586">F122*P122</f>
        <v>-7527471.9069767408</v>
      </c>
      <c r="R122">
        <f t="shared" ref="R122" si="587">R123+Q122</f>
        <v>-765668733.13736069</v>
      </c>
      <c r="S122">
        <f t="shared" ref="S122" si="588">R122/100000</f>
        <v>-7656.6873313736069</v>
      </c>
      <c r="T122">
        <f t="shared" ref="T122" si="589">S122/1000</f>
        <v>-7.6566873313736066</v>
      </c>
    </row>
    <row r="123" spans="1:20" x14ac:dyDescent="0.25">
      <c r="A123" s="5">
        <v>44470</v>
      </c>
      <c r="B123">
        <v>0.34110000000000001</v>
      </c>
      <c r="C123">
        <v>0.36799999999999999</v>
      </c>
      <c r="D123">
        <v>0.33779999999999999</v>
      </c>
      <c r="E123">
        <v>0.3634</v>
      </c>
      <c r="F123">
        <v>13296854</v>
      </c>
      <c r="G123">
        <v>0.3634</v>
      </c>
      <c r="L123" t="s">
        <v>8</v>
      </c>
      <c r="M123" t="s">
        <v>7</v>
      </c>
      <c r="N123" t="s">
        <v>8</v>
      </c>
      <c r="P123">
        <f t="shared" ref="P123" si="590">IF(C123=D123,0,((E123-D123)-(C123-E123))/(C123-D123))</f>
        <v>0.69536423841059658</v>
      </c>
      <c r="Q123">
        <f t="shared" ref="Q123" si="591">F123*P123</f>
        <v>9246156.7549668942</v>
      </c>
      <c r="R123">
        <f t="shared" ref="R123" si="592">R124+Q123</f>
        <v>-758141261.23038399</v>
      </c>
      <c r="S123">
        <f t="shared" ref="S123" si="593">R123/100000</f>
        <v>-7581.4126123038395</v>
      </c>
      <c r="T123">
        <f t="shared" ref="T123" si="594">S123/1000</f>
        <v>-7.5814126123038399</v>
      </c>
    </row>
    <row r="124" spans="1:20" x14ac:dyDescent="0.25">
      <c r="A124" s="5">
        <v>44469</v>
      </c>
      <c r="B124">
        <v>0.33119999999999999</v>
      </c>
      <c r="C124">
        <v>0.3488</v>
      </c>
      <c r="D124">
        <v>0.32779999999999998</v>
      </c>
      <c r="E124">
        <v>0.34089999999999998</v>
      </c>
      <c r="F124">
        <v>9481492</v>
      </c>
      <c r="G124">
        <v>0.34089999999999998</v>
      </c>
      <c r="L124" t="s">
        <v>8</v>
      </c>
      <c r="M124" t="s">
        <v>7</v>
      </c>
      <c r="N124" t="s">
        <v>8</v>
      </c>
      <c r="P124">
        <f t="shared" ref="P124" si="595">IF(C124=D124,0,((E124-D124)-(C124-E124))/(C124-D124))</f>
        <v>0.24761904761904657</v>
      </c>
      <c r="Q124">
        <f t="shared" ref="Q124" si="596">F124*P124</f>
        <v>2347798.0190476091</v>
      </c>
      <c r="R124">
        <f t="shared" ref="R124" si="597">R125+Q124</f>
        <v>-767387417.98535085</v>
      </c>
      <c r="S124">
        <f t="shared" ref="S124" si="598">R124/100000</f>
        <v>-7673.8741798535084</v>
      </c>
      <c r="T124">
        <f t="shared" ref="T124" si="599">S124/1000</f>
        <v>-7.6738741798535086</v>
      </c>
    </row>
    <row r="125" spans="1:20" x14ac:dyDescent="0.25">
      <c r="A125" s="5">
        <v>44468</v>
      </c>
      <c r="B125">
        <v>0.32679999999999998</v>
      </c>
      <c r="C125">
        <v>0.3589</v>
      </c>
      <c r="D125">
        <v>0.31900000000000001</v>
      </c>
      <c r="E125">
        <v>0.33129999999999998</v>
      </c>
      <c r="F125">
        <v>11176251</v>
      </c>
      <c r="G125">
        <v>0.33129999999999998</v>
      </c>
      <c r="L125" t="s">
        <v>7</v>
      </c>
      <c r="M125" t="s">
        <v>7</v>
      </c>
      <c r="N125" t="s">
        <v>8</v>
      </c>
      <c r="P125">
        <f t="shared" ref="P125" si="600">IF(C125=D125,0,((E125-D125)-(C125-E125))/(C125-D125))</f>
        <v>-0.38345864661654233</v>
      </c>
      <c r="Q125">
        <f t="shared" ref="Q125" si="601">F125*P125</f>
        <v>-4285630.0827067783</v>
      </c>
      <c r="R125">
        <f t="shared" ref="R125" si="602">R126+Q125</f>
        <v>-769735216.00439847</v>
      </c>
      <c r="S125">
        <f t="shared" ref="S125" si="603">R125/100000</f>
        <v>-7697.3521600439844</v>
      </c>
      <c r="T125">
        <f t="shared" ref="T125" si="604">S125/1000</f>
        <v>-7.6973521600439847</v>
      </c>
    </row>
    <row r="126" spans="1:20" x14ac:dyDescent="0.25">
      <c r="A126" s="5">
        <v>44467</v>
      </c>
      <c r="B126">
        <v>0.34560000000000002</v>
      </c>
      <c r="C126">
        <v>0.35680000000000001</v>
      </c>
      <c r="D126">
        <v>0.32469999999999999</v>
      </c>
      <c r="E126">
        <v>0.3266</v>
      </c>
      <c r="F126">
        <v>12201778</v>
      </c>
      <c r="G126">
        <v>0.3266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-0.88161993769470337</v>
      </c>
      <c r="Q126">
        <f t="shared" ref="Q126" si="606">F126*P126</f>
        <v>-10757330.760124601</v>
      </c>
      <c r="R126">
        <f t="shared" ref="R126" si="607">R127+Q126</f>
        <v>-765449585.92169166</v>
      </c>
      <c r="S126">
        <f t="shared" ref="S126" si="608">R126/100000</f>
        <v>-7654.4958592169169</v>
      </c>
      <c r="T126">
        <f t="shared" ref="T126" si="609">S126/1000</f>
        <v>-7.654495859216917</v>
      </c>
    </row>
    <row r="127" spans="1:20" x14ac:dyDescent="0.25">
      <c r="A127" s="5">
        <v>44466</v>
      </c>
      <c r="B127">
        <v>0.37109999999999999</v>
      </c>
      <c r="C127">
        <v>0.3851</v>
      </c>
      <c r="D127">
        <v>0.34499999999999997</v>
      </c>
      <c r="E127">
        <v>0.34549999999999997</v>
      </c>
      <c r="F127">
        <v>16948354</v>
      </c>
      <c r="G127">
        <v>0.34549999999999997</v>
      </c>
      <c r="L127" t="s">
        <v>8</v>
      </c>
      <c r="M127" t="s">
        <v>7</v>
      </c>
      <c r="N127" t="s">
        <v>8</v>
      </c>
      <c r="P127">
        <f t="shared" ref="P127" si="610">IF(C127=D127,0,((E127-D127)-(C127-E127))/(C127-D127))</f>
        <v>-0.97506234413965087</v>
      </c>
      <c r="Q127">
        <f t="shared" ref="Q127" si="611">F127*P127</f>
        <v>-16525701.780548628</v>
      </c>
      <c r="R127">
        <f t="shared" ref="R127" si="612">R128+Q127</f>
        <v>-754692255.16156709</v>
      </c>
      <c r="S127">
        <f t="shared" ref="S127" si="613">R127/100000</f>
        <v>-7546.9225516156712</v>
      </c>
      <c r="T127">
        <f t="shared" ref="T127" si="614">S127/1000</f>
        <v>-7.5469225516156708</v>
      </c>
    </row>
    <row r="128" spans="1:20" x14ac:dyDescent="0.25">
      <c r="A128" s="5">
        <v>44465</v>
      </c>
      <c r="B128">
        <v>0.37059999999999998</v>
      </c>
      <c r="C128">
        <v>0.39400000000000002</v>
      </c>
      <c r="D128">
        <v>0.33460000000000001</v>
      </c>
      <c r="E128">
        <v>0.37059999999999998</v>
      </c>
      <c r="F128">
        <v>39593505</v>
      </c>
      <c r="G128">
        <v>0.37059999999999998</v>
      </c>
      <c r="L128" t="s">
        <v>7</v>
      </c>
      <c r="M128" t="s">
        <v>7</v>
      </c>
      <c r="N128" t="s">
        <v>8</v>
      </c>
      <c r="P128">
        <f t="shared" ref="P128" si="615">IF(C128=D128,0,((E128-D128)-(C128-E128))/(C128-D128))</f>
        <v>0.21212121212121116</v>
      </c>
      <c r="Q128">
        <f t="shared" ref="Q128" si="616">F128*P128</f>
        <v>8398622.2727272343</v>
      </c>
      <c r="R128">
        <f t="shared" ref="R128" si="617">R129+Q128</f>
        <v>-738166553.38101852</v>
      </c>
      <c r="S128">
        <f t="shared" ref="S128" si="618">R128/100000</f>
        <v>-7381.6655338101855</v>
      </c>
      <c r="T128">
        <f t="shared" ref="T128" si="619">S128/1000</f>
        <v>-7.3816655338101853</v>
      </c>
    </row>
    <row r="129" spans="1:20" x14ac:dyDescent="0.25">
      <c r="A129" s="5">
        <v>44464</v>
      </c>
      <c r="B129">
        <v>0.37840000000000001</v>
      </c>
      <c r="C129">
        <v>0.42420000000000002</v>
      </c>
      <c r="D129">
        <v>0.35110000000000002</v>
      </c>
      <c r="E129">
        <v>0.37119999999999997</v>
      </c>
      <c r="F129">
        <v>37450646</v>
      </c>
      <c r="G129">
        <v>0.37119999999999997</v>
      </c>
      <c r="L129" t="s">
        <v>8</v>
      </c>
      <c r="M129" t="s">
        <v>8</v>
      </c>
      <c r="N129" t="s">
        <v>8</v>
      </c>
      <c r="P129">
        <f t="shared" ref="P129" si="620">IF(C129=D129,0,((E129-D129)-(C129-E129))/(C129-D129))</f>
        <v>-0.45006839945280569</v>
      </c>
      <c r="Q129">
        <f t="shared" ref="Q129" si="621">F129*P129</f>
        <v>-16855352.303693619</v>
      </c>
      <c r="R129">
        <f t="shared" ref="R129" si="622">R130+Q129</f>
        <v>-746565175.65374577</v>
      </c>
      <c r="S129">
        <f t="shared" ref="S129" si="623">R129/100000</f>
        <v>-7465.6517565374579</v>
      </c>
      <c r="T129">
        <f t="shared" ref="T129" si="624">S129/1000</f>
        <v>-7.4656517565374578</v>
      </c>
    </row>
    <row r="130" spans="1:20" x14ac:dyDescent="0.25">
      <c r="A130" s="5">
        <v>44463</v>
      </c>
      <c r="B130">
        <v>0.38979999999999998</v>
      </c>
      <c r="C130">
        <v>0.39429999999999998</v>
      </c>
      <c r="D130">
        <v>0.32500000000000001</v>
      </c>
      <c r="E130">
        <v>0.379</v>
      </c>
      <c r="F130">
        <v>37647649</v>
      </c>
      <c r="G130">
        <v>0.379</v>
      </c>
      <c r="L130" t="s">
        <v>7</v>
      </c>
      <c r="M130" t="s">
        <v>7</v>
      </c>
      <c r="N130" t="s">
        <v>8</v>
      </c>
      <c r="P130">
        <f t="shared" ref="P130" si="625">IF(C130=D130,0,((E130-D130)-(C130-E130))/(C130-D130))</f>
        <v>0.55844155844155885</v>
      </c>
      <c r="Q130">
        <f t="shared" ref="Q130" si="626">F130*P130</f>
        <v>21024011.779220793</v>
      </c>
      <c r="R130">
        <f t="shared" ref="R130" si="627">R131+Q130</f>
        <v>-729709823.35005212</v>
      </c>
      <c r="S130">
        <f t="shared" ref="S130" si="628">R130/100000</f>
        <v>-7297.098233500521</v>
      </c>
      <c r="T130">
        <f t="shared" ref="T130" si="629">S130/1000</f>
        <v>-7.2970982335005212</v>
      </c>
    </row>
    <row r="131" spans="1:20" x14ac:dyDescent="0.25">
      <c r="A131" s="5">
        <v>44462</v>
      </c>
      <c r="B131">
        <v>0.35770000000000002</v>
      </c>
      <c r="C131">
        <v>0.45440000000000003</v>
      </c>
      <c r="D131">
        <v>0.34599999999999997</v>
      </c>
      <c r="E131">
        <v>0.38950000000000001</v>
      </c>
      <c r="F131">
        <v>53040361</v>
      </c>
      <c r="G131">
        <v>0.38950000000000001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-0.19741697416974135</v>
      </c>
      <c r="Q131">
        <f t="shared" ref="Q131" si="631">F131*P131</f>
        <v>-10471067.577490756</v>
      </c>
      <c r="R131">
        <f t="shared" ref="R131" si="632">R132+Q131</f>
        <v>-750733835.12927294</v>
      </c>
      <c r="S131">
        <f t="shared" ref="S131" si="633">R131/100000</f>
        <v>-7507.3383512927294</v>
      </c>
      <c r="T131">
        <f t="shared" ref="T131" si="634">S131/1000</f>
        <v>-7.507338351292729</v>
      </c>
    </row>
    <row r="132" spans="1:20" x14ac:dyDescent="0.25">
      <c r="A132" s="5">
        <v>44461</v>
      </c>
      <c r="B132">
        <v>0.31690000000000002</v>
      </c>
      <c r="C132">
        <v>0.36899999999999999</v>
      </c>
      <c r="D132">
        <v>0.31330000000000002</v>
      </c>
      <c r="E132">
        <v>0.35770000000000002</v>
      </c>
      <c r="F132">
        <v>18221299</v>
      </c>
      <c r="G132">
        <v>0.35770000000000002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0.59425493716337585</v>
      </c>
      <c r="Q132">
        <f t="shared" ref="Q132" si="636">F132*P132</f>
        <v>10828096.892280083</v>
      </c>
      <c r="R132">
        <f t="shared" ref="R132" si="637">R133+Q132</f>
        <v>-740262767.55178213</v>
      </c>
      <c r="S132">
        <f t="shared" ref="S132" si="638">R132/100000</f>
        <v>-7402.6276755178214</v>
      </c>
      <c r="T132">
        <f t="shared" ref="T132" si="639">S132/1000</f>
        <v>-7.4026276755178211</v>
      </c>
    </row>
    <row r="133" spans="1:20" x14ac:dyDescent="0.25">
      <c r="A133" s="5">
        <v>44460</v>
      </c>
      <c r="B133">
        <v>0.3508</v>
      </c>
      <c r="C133">
        <v>0.36780000000000002</v>
      </c>
      <c r="D133">
        <v>0.30209999999999998</v>
      </c>
      <c r="E133">
        <v>0.31690000000000002</v>
      </c>
      <c r="F133">
        <v>57336697.469999999</v>
      </c>
      <c r="G133">
        <v>0.31690000000000002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-0.54946727549467189</v>
      </c>
      <c r="Q133">
        <f t="shared" ref="Q133" si="641">F133*P133</f>
        <v>-31504638.944703147</v>
      </c>
      <c r="R133">
        <f t="shared" ref="R133" si="642">R134+Q133</f>
        <v>-751090864.44406223</v>
      </c>
      <c r="S133">
        <f t="shared" ref="S133" si="643">R133/100000</f>
        <v>-7510.9086444406221</v>
      </c>
      <c r="T133">
        <f t="shared" ref="T133" si="644">S133/1000</f>
        <v>-7.5109086444406223</v>
      </c>
    </row>
    <row r="134" spans="1:20" x14ac:dyDescent="0.25">
      <c r="A134" s="5">
        <v>44459</v>
      </c>
      <c r="B134">
        <v>0.39660000000000001</v>
      </c>
      <c r="C134">
        <v>0.39900000000000002</v>
      </c>
      <c r="D134">
        <v>0.35010000000000002</v>
      </c>
      <c r="E134">
        <v>0.37280000000000002</v>
      </c>
      <c r="F134">
        <v>12717881</v>
      </c>
      <c r="G134">
        <v>0.37280000000000002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-7.1574642126789434E-2</v>
      </c>
      <c r="Q134">
        <f t="shared" ref="Q134" si="646">F134*P134</f>
        <v>-910277.78118609497</v>
      </c>
      <c r="R134">
        <f t="shared" ref="R134" si="647">R135+Q134</f>
        <v>-719586225.49935913</v>
      </c>
      <c r="S134">
        <f t="shared" ref="S134" si="648">R134/100000</f>
        <v>-7195.8622549935917</v>
      </c>
      <c r="T134">
        <f t="shared" ref="T134" si="649">S134/1000</f>
        <v>-7.1958622549935916</v>
      </c>
    </row>
    <row r="135" spans="1:20" x14ac:dyDescent="0.25">
      <c r="A135" s="5">
        <v>44458</v>
      </c>
      <c r="B135">
        <v>0.40339999999999998</v>
      </c>
      <c r="C135">
        <v>0.53500000000000003</v>
      </c>
      <c r="D135">
        <v>0.38</v>
      </c>
      <c r="E135">
        <v>0.39660000000000001</v>
      </c>
      <c r="F135">
        <v>103562377</v>
      </c>
      <c r="G135">
        <v>0.39660000000000001</v>
      </c>
      <c r="L135" t="s">
        <v>8</v>
      </c>
      <c r="M135" t="s">
        <v>8</v>
      </c>
      <c r="N135" t="s">
        <v>8</v>
      </c>
      <c r="P135">
        <f t="shared" ref="P135" si="650">IF(C135=D135,0,((E135-D135)-(C135-E135))/(C135-D135))</f>
        <v>-0.78580645161290319</v>
      </c>
      <c r="Q135">
        <f t="shared" ref="Q135" si="651">F135*P135</f>
        <v>-81379983.990967736</v>
      </c>
      <c r="R135">
        <f t="shared" ref="R135" si="652">R136+Q135</f>
        <v>-718675947.71817303</v>
      </c>
      <c r="S135">
        <f t="shared" ref="S135" si="653">R135/100000</f>
        <v>-7186.7594771817303</v>
      </c>
      <c r="T135">
        <f t="shared" ref="T135" si="654">S135/1000</f>
        <v>-7.18675947718173</v>
      </c>
    </row>
    <row r="136" spans="1:20" x14ac:dyDescent="0.25">
      <c r="A136" s="5">
        <v>44457</v>
      </c>
      <c r="B136">
        <v>0.36</v>
      </c>
      <c r="C136">
        <v>0.48499999999999999</v>
      </c>
      <c r="D136">
        <v>0.35589999999999999</v>
      </c>
      <c r="E136">
        <v>0.40379999999999999</v>
      </c>
      <c r="F136">
        <v>50360284</v>
      </c>
      <c r="G136">
        <v>0.40379999999999999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-0.25793958171959719</v>
      </c>
      <c r="Q136">
        <f t="shared" ref="Q136" si="656">F136*P136</f>
        <v>-12989910.590240123</v>
      </c>
      <c r="R136">
        <f t="shared" ref="R136" si="657">R137+Q136</f>
        <v>-637295963.72720528</v>
      </c>
      <c r="S136">
        <f t="shared" ref="S136" si="658">R136/100000</f>
        <v>-6372.9596372720525</v>
      </c>
      <c r="T136">
        <f t="shared" ref="T136" si="659">S136/1000</f>
        <v>-6.3729596372720527</v>
      </c>
    </row>
    <row r="137" spans="1:20" x14ac:dyDescent="0.25">
      <c r="A137" s="5">
        <v>44456</v>
      </c>
      <c r="B137">
        <v>0.38540000000000002</v>
      </c>
      <c r="C137">
        <v>0.39290000000000003</v>
      </c>
      <c r="D137">
        <v>0.35389999999999999</v>
      </c>
      <c r="E137">
        <v>0.3594</v>
      </c>
      <c r="F137">
        <v>10722702</v>
      </c>
      <c r="G137">
        <v>0.3594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-0.71794871794871795</v>
      </c>
      <c r="Q137">
        <f t="shared" ref="Q137" si="661">F137*P137</f>
        <v>-7698350.153846154</v>
      </c>
      <c r="R137">
        <f t="shared" ref="R137" si="662">R138+Q137</f>
        <v>-624306053.13696516</v>
      </c>
      <c r="S137">
        <f t="shared" ref="S137" si="663">R137/100000</f>
        <v>-6243.0605313696515</v>
      </c>
      <c r="T137">
        <f t="shared" ref="T137" si="664">S137/1000</f>
        <v>-6.2430605313696512</v>
      </c>
    </row>
    <row r="138" spans="1:20" x14ac:dyDescent="0.25">
      <c r="A138" s="5">
        <v>44455</v>
      </c>
      <c r="B138">
        <v>0.3967</v>
      </c>
      <c r="C138">
        <v>0.40339999999999998</v>
      </c>
      <c r="D138">
        <v>0.38240000000000002</v>
      </c>
      <c r="E138">
        <v>0.38540000000000002</v>
      </c>
      <c r="F138">
        <v>7212205</v>
      </c>
      <c r="G138">
        <v>0.38540000000000002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-0.71428571428571352</v>
      </c>
      <c r="Q138">
        <f t="shared" ref="Q138" si="666">F138*P138</f>
        <v>-5151574.9999999944</v>
      </c>
      <c r="R138">
        <f t="shared" ref="R138" si="667">R139+Q138</f>
        <v>-616607702.98311901</v>
      </c>
      <c r="S138">
        <f t="shared" ref="S138" si="668">R138/100000</f>
        <v>-6166.07702983119</v>
      </c>
      <c r="T138">
        <f t="shared" ref="T138" si="669">S138/1000</f>
        <v>-6.1660770298311895</v>
      </c>
    </row>
    <row r="139" spans="1:20" x14ac:dyDescent="0.25">
      <c r="A139" s="5">
        <v>44454</v>
      </c>
      <c r="B139">
        <v>0.37430000000000002</v>
      </c>
      <c r="C139">
        <v>0.39850000000000002</v>
      </c>
      <c r="D139">
        <v>0.3695</v>
      </c>
      <c r="E139">
        <v>0.39650000000000002</v>
      </c>
      <c r="F139">
        <v>6822916</v>
      </c>
      <c r="G139">
        <v>0.39650000000000002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0.86206896551724133</v>
      </c>
      <c r="Q139">
        <f t="shared" ref="Q139" si="671">F139*P139</f>
        <v>5881824.137931034</v>
      </c>
      <c r="R139">
        <f t="shared" ref="R139" si="672">R140+Q139</f>
        <v>-611456127.98311901</v>
      </c>
      <c r="S139">
        <f t="shared" ref="S139" si="673">R139/100000</f>
        <v>-6114.5612798311904</v>
      </c>
      <c r="T139">
        <f t="shared" ref="T139" si="674">S139/1000</f>
        <v>-6.1145612798311904</v>
      </c>
    </row>
    <row r="140" spans="1:20" x14ac:dyDescent="0.25">
      <c r="A140" s="5">
        <v>44453</v>
      </c>
      <c r="B140">
        <v>0.36809999999999998</v>
      </c>
      <c r="C140">
        <v>0.38490000000000002</v>
      </c>
      <c r="D140">
        <v>0.36209999999999998</v>
      </c>
      <c r="E140">
        <v>0.37359999999999999</v>
      </c>
      <c r="F140">
        <v>6846506</v>
      </c>
      <c r="G140">
        <v>0.37359999999999999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8.7719298245604212E-3</v>
      </c>
      <c r="Q140">
        <f t="shared" ref="Q140" si="676">F140*P140</f>
        <v>60057.070175431872</v>
      </c>
      <c r="R140">
        <f t="shared" ref="R140" si="677">R141+Q140</f>
        <v>-617337952.12105</v>
      </c>
      <c r="S140">
        <f t="shared" ref="S140" si="678">R140/100000</f>
        <v>-6173.3795212104997</v>
      </c>
      <c r="T140">
        <f t="shared" ref="T140" si="679">S140/1000</f>
        <v>-6.1733795212104994</v>
      </c>
    </row>
    <row r="141" spans="1:20" x14ac:dyDescent="0.25">
      <c r="A141" s="5">
        <v>44452</v>
      </c>
      <c r="B141">
        <v>0.3901</v>
      </c>
      <c r="C141">
        <v>0.3931</v>
      </c>
      <c r="D141">
        <v>0.34699999999999998</v>
      </c>
      <c r="E141">
        <v>0.36770000000000003</v>
      </c>
      <c r="F141">
        <v>9169644</v>
      </c>
      <c r="G141">
        <v>0.36770000000000003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-0.10195227765726515</v>
      </c>
      <c r="Q141">
        <f t="shared" ref="Q141" si="681">F141*P141</f>
        <v>-934866.09110627545</v>
      </c>
      <c r="R141">
        <f t="shared" ref="R141" si="682">R142+Q141</f>
        <v>-617398009.19122541</v>
      </c>
      <c r="S141">
        <f t="shared" ref="S141" si="683">R141/100000</f>
        <v>-6173.9800919122545</v>
      </c>
      <c r="T141">
        <f t="shared" ref="T141" si="684">S141/1000</f>
        <v>-6.1739800919122541</v>
      </c>
    </row>
    <row r="142" spans="1:20" x14ac:dyDescent="0.25">
      <c r="A142" s="5">
        <v>44451</v>
      </c>
      <c r="B142">
        <v>0.3851</v>
      </c>
      <c r="C142">
        <v>0.40010000000000001</v>
      </c>
      <c r="D142">
        <v>0.37890000000000001</v>
      </c>
      <c r="E142">
        <v>0.39029999999999998</v>
      </c>
      <c r="F142">
        <v>9601358</v>
      </c>
      <c r="G142">
        <v>0.39029999999999998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7.5471698113204477E-2</v>
      </c>
      <c r="Q142">
        <f t="shared" ref="Q142" si="686">F142*P142</f>
        <v>724630.79245280067</v>
      </c>
      <c r="R142">
        <f t="shared" ref="R142" si="687">R143+Q142</f>
        <v>-616463143.10011911</v>
      </c>
      <c r="S142">
        <f t="shared" ref="S142" si="688">R142/100000</f>
        <v>-6164.6314310011912</v>
      </c>
      <c r="T142">
        <f t="shared" ref="T142" si="689">S142/1000</f>
        <v>-6.1646314310011912</v>
      </c>
    </row>
    <row r="143" spans="1:20" x14ac:dyDescent="0.25">
      <c r="A143" s="5">
        <v>44450</v>
      </c>
      <c r="B143">
        <v>0.38729999999999998</v>
      </c>
      <c r="C143">
        <v>0.4088</v>
      </c>
      <c r="D143">
        <v>0.37819999999999998</v>
      </c>
      <c r="E143">
        <v>0.3851</v>
      </c>
      <c r="F143">
        <v>12074728</v>
      </c>
      <c r="G143">
        <v>0.3851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-0.54901960784313641</v>
      </c>
      <c r="Q143">
        <f t="shared" ref="Q143" si="691">F143*P143</f>
        <v>-6629262.4313725391</v>
      </c>
      <c r="R143">
        <f t="shared" ref="R143" si="692">R144+Q143</f>
        <v>-617187773.89257193</v>
      </c>
      <c r="S143">
        <f t="shared" ref="S143" si="693">R143/100000</f>
        <v>-6171.8777389257193</v>
      </c>
      <c r="T143">
        <f t="shared" ref="T143" si="694">S143/1000</f>
        <v>-6.1718777389257191</v>
      </c>
    </row>
    <row r="144" spans="1:20" x14ac:dyDescent="0.25">
      <c r="A144" s="5">
        <v>44449</v>
      </c>
      <c r="B144">
        <v>0.3997</v>
      </c>
      <c r="C144">
        <v>0.4299</v>
      </c>
      <c r="D144">
        <v>0.37690000000000001</v>
      </c>
      <c r="E144">
        <v>0.38690000000000002</v>
      </c>
      <c r="F144">
        <v>14822008</v>
      </c>
      <c r="G144">
        <v>0.38690000000000002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-0.6226415094339619</v>
      </c>
      <c r="Q144">
        <f t="shared" ref="Q144" si="696">F144*P144</f>
        <v>-9228797.4339622594</v>
      </c>
      <c r="R144">
        <f t="shared" ref="R144" si="697">R145+Q144</f>
        <v>-610558511.4611994</v>
      </c>
      <c r="S144">
        <f t="shared" ref="S144" si="698">R144/100000</f>
        <v>-6105.585114611994</v>
      </c>
      <c r="T144">
        <f t="shared" ref="T144" si="699">S144/1000</f>
        <v>-6.1055851146119942</v>
      </c>
    </row>
    <row r="145" spans="1:20" x14ac:dyDescent="0.25">
      <c r="A145" s="5">
        <v>44448</v>
      </c>
      <c r="B145">
        <v>0.40339999999999998</v>
      </c>
      <c r="C145">
        <v>0.41549999999999998</v>
      </c>
      <c r="D145">
        <v>0.38600000000000001</v>
      </c>
      <c r="E145">
        <v>0.39889999999999998</v>
      </c>
      <c r="F145">
        <v>9983659</v>
      </c>
      <c r="G145">
        <v>0.39889999999999998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-0.12542372881356068</v>
      </c>
      <c r="Q145">
        <f t="shared" ref="Q145" si="701">F145*P145</f>
        <v>-1252187.7389830644</v>
      </c>
      <c r="R145">
        <f t="shared" ref="R145" si="702">R146+Q145</f>
        <v>-601329714.02723718</v>
      </c>
      <c r="S145">
        <f t="shared" ref="S145" si="703">R145/100000</f>
        <v>-6013.2971402723715</v>
      </c>
      <c r="T145">
        <f t="shared" ref="T145" si="704">S145/1000</f>
        <v>-6.0132971402723712</v>
      </c>
    </row>
    <row r="146" spans="1:20" x14ac:dyDescent="0.25">
      <c r="A146" s="5">
        <v>44447</v>
      </c>
      <c r="B146">
        <v>0.39729999999999999</v>
      </c>
      <c r="C146">
        <v>0.42899999999999999</v>
      </c>
      <c r="D146">
        <v>0.34329999999999999</v>
      </c>
      <c r="E146">
        <v>0.40329999999999999</v>
      </c>
      <c r="F146">
        <v>23420562.579999998</v>
      </c>
      <c r="G146">
        <v>0.40329999999999999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0.40023337222870475</v>
      </c>
      <c r="Q146">
        <f t="shared" ref="Q146" si="706">F146*P146</f>
        <v>9373690.740886813</v>
      </c>
      <c r="R146">
        <f t="shared" ref="R146" si="707">R147+Q146</f>
        <v>-600077526.28825414</v>
      </c>
      <c r="S146">
        <f t="shared" ref="S146" si="708">R146/100000</f>
        <v>-6000.775262882541</v>
      </c>
      <c r="T146">
        <f t="shared" ref="T146" si="709">S146/1000</f>
        <v>-6.0007752628825406</v>
      </c>
    </row>
    <row r="147" spans="1:20" x14ac:dyDescent="0.25">
      <c r="A147" s="5">
        <v>44446</v>
      </c>
      <c r="B147">
        <v>0.49580000000000002</v>
      </c>
      <c r="C147">
        <v>0.50990000000000002</v>
      </c>
      <c r="D147">
        <v>0.36020000000000002</v>
      </c>
      <c r="E147">
        <v>0.39700000000000002</v>
      </c>
      <c r="F147">
        <v>25103982.870000001</v>
      </c>
      <c r="G147">
        <v>0.39700000000000002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-0.50835003340013363</v>
      </c>
      <c r="Q147">
        <f t="shared" ref="Q147" si="711">F147*P147</f>
        <v>-12761610.530440884</v>
      </c>
      <c r="R147">
        <f t="shared" ref="R147" si="712">R148+Q147</f>
        <v>-609451217.02914095</v>
      </c>
      <c r="S147">
        <f t="shared" ref="S147" si="713">R147/100000</f>
        <v>-6094.5121702914093</v>
      </c>
      <c r="T147">
        <f t="shared" ref="T147" si="714">S147/1000</f>
        <v>-6.0945121702914093</v>
      </c>
    </row>
    <row r="148" spans="1:20" x14ac:dyDescent="0.25">
      <c r="A148" s="5">
        <v>44445</v>
      </c>
      <c r="B148">
        <v>0.50029999999999997</v>
      </c>
      <c r="C148">
        <v>0.54490000000000005</v>
      </c>
      <c r="D148">
        <v>0.48709999999999998</v>
      </c>
      <c r="E148">
        <v>0.49509999999999998</v>
      </c>
      <c r="F148">
        <v>26163451.940000001</v>
      </c>
      <c r="G148">
        <v>0.49509999999999998</v>
      </c>
      <c r="L148" t="s">
        <v>8</v>
      </c>
      <c r="M148" t="s">
        <v>8</v>
      </c>
      <c r="N148" t="s">
        <v>7</v>
      </c>
      <c r="P148">
        <f t="shared" ref="P148" si="715">IF(C148=D148,0,((E148-D148)-(C148-E148))/(C148-D148))</f>
        <v>-0.7231833910034603</v>
      </c>
      <c r="Q148">
        <f t="shared" ref="Q148" si="716">F148*P148</f>
        <v>-18920973.894325264</v>
      </c>
      <c r="R148">
        <f t="shared" ref="R148" si="717">R149+Q148</f>
        <v>-596689606.49870002</v>
      </c>
      <c r="S148">
        <f t="shared" ref="S148" si="718">R148/100000</f>
        <v>-5966.8960649870005</v>
      </c>
      <c r="T148">
        <f t="shared" ref="T148" si="719">S148/1000</f>
        <v>-5.9668960649870009</v>
      </c>
    </row>
    <row r="149" spans="1:20" x14ac:dyDescent="0.25">
      <c r="A149" s="5">
        <v>44444</v>
      </c>
      <c r="B149">
        <v>0.46300000000000002</v>
      </c>
      <c r="C149">
        <v>0.52</v>
      </c>
      <c r="D149">
        <v>0.45390000000000003</v>
      </c>
      <c r="E149">
        <v>0.5</v>
      </c>
      <c r="F149">
        <v>32506589</v>
      </c>
      <c r="G149">
        <v>0.5</v>
      </c>
      <c r="L149" t="s">
        <v>8</v>
      </c>
      <c r="M149" t="s">
        <v>8</v>
      </c>
      <c r="N149" t="s">
        <v>7</v>
      </c>
      <c r="P149">
        <f t="shared" ref="P149" si="720">IF(C149=D149,0,((E149-D149)-(C149-E149))/(C149-D149))</f>
        <v>0.39485627836611137</v>
      </c>
      <c r="Q149">
        <f t="shared" ref="Q149" si="721">F149*P149</f>
        <v>12835430.754916774</v>
      </c>
      <c r="R149">
        <f t="shared" ref="R149" si="722">R150+Q149</f>
        <v>-577768632.60437477</v>
      </c>
      <c r="S149">
        <f t="shared" ref="S149" si="723">R149/100000</f>
        <v>-5777.6863260437476</v>
      </c>
      <c r="T149">
        <f t="shared" ref="T149" si="724">S149/1000</f>
        <v>-5.7776863260437477</v>
      </c>
    </row>
    <row r="150" spans="1:20" x14ac:dyDescent="0.25">
      <c r="A150" s="5">
        <v>44443</v>
      </c>
      <c r="B150">
        <v>0.46110000000000001</v>
      </c>
      <c r="C150">
        <v>0.48959999999999998</v>
      </c>
      <c r="D150">
        <v>0.44840000000000002</v>
      </c>
      <c r="E150">
        <v>0.46300000000000002</v>
      </c>
      <c r="F150">
        <v>10707752</v>
      </c>
      <c r="G150">
        <v>0.46300000000000002</v>
      </c>
      <c r="L150" t="s">
        <v>7</v>
      </c>
      <c r="M150" t="s">
        <v>7</v>
      </c>
      <c r="N150" t="s">
        <v>7</v>
      </c>
      <c r="P150">
        <f t="shared" ref="P150" si="725">IF(C150=D150,0,((E150-D150)-(C150-E150))/(C150-D150))</f>
        <v>-0.2912621359223293</v>
      </c>
      <c r="Q150">
        <f t="shared" ref="Q150" si="726">F150*P150</f>
        <v>-3118762.7184465933</v>
      </c>
      <c r="R150">
        <f t="shared" ref="R150" si="727">R151+Q150</f>
        <v>-590604063.35929155</v>
      </c>
      <c r="S150">
        <f t="shared" ref="S150" si="728">R150/100000</f>
        <v>-5906.0406335929156</v>
      </c>
      <c r="T150">
        <f t="shared" ref="T150" si="729">S150/1000</f>
        <v>-5.9060406335929159</v>
      </c>
    </row>
    <row r="151" spans="1:20" x14ac:dyDescent="0.25">
      <c r="A151" s="5">
        <v>44442</v>
      </c>
      <c r="B151">
        <v>0.44940000000000002</v>
      </c>
      <c r="C151">
        <v>0.50260000000000005</v>
      </c>
      <c r="D151">
        <v>0.44719999999999999</v>
      </c>
      <c r="E151">
        <v>0.4602</v>
      </c>
      <c r="F151">
        <v>19697282</v>
      </c>
      <c r="G151">
        <v>0.4602</v>
      </c>
      <c r="L151" t="s">
        <v>8</v>
      </c>
      <c r="M151" t="s">
        <v>7</v>
      </c>
      <c r="N151" t="s">
        <v>7</v>
      </c>
      <c r="P151">
        <f t="shared" ref="P151" si="730">IF(C151=D151,0,((E151-D151)-(C151-E151))/(C151-D151))</f>
        <v>-0.53068592057761743</v>
      </c>
      <c r="Q151">
        <f t="shared" ref="Q151" si="731">F151*P151</f>
        <v>-10453070.231046934</v>
      </c>
      <c r="R151">
        <f t="shared" ref="R151" si="732">R152+Q151</f>
        <v>-587485300.64084494</v>
      </c>
      <c r="S151">
        <f t="shared" ref="S151" si="733">R151/100000</f>
        <v>-5874.8530064084498</v>
      </c>
      <c r="T151">
        <f t="shared" ref="T151" si="734">S151/1000</f>
        <v>-5.8748530064084497</v>
      </c>
    </row>
    <row r="152" spans="1:20" x14ac:dyDescent="0.25">
      <c r="A152" s="5">
        <v>44441</v>
      </c>
      <c r="B152">
        <v>0.4516</v>
      </c>
      <c r="C152">
        <v>0.46500000000000002</v>
      </c>
      <c r="D152">
        <v>0.437</v>
      </c>
      <c r="E152">
        <v>0.44940000000000002</v>
      </c>
      <c r="F152">
        <v>7915832</v>
      </c>
      <c r="G152">
        <v>0.44940000000000002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-0.11428571428571349</v>
      </c>
      <c r="Q152">
        <f t="shared" ref="Q152" si="736">F152*P152</f>
        <v>-904666.51428570796</v>
      </c>
      <c r="R152">
        <f t="shared" ref="R152" si="737">R153+Q152</f>
        <v>-577032230.40979803</v>
      </c>
      <c r="S152">
        <f t="shared" ref="S152" si="738">R152/100000</f>
        <v>-5770.3223040979801</v>
      </c>
      <c r="T152">
        <f t="shared" ref="T152" si="739">S152/1000</f>
        <v>-5.7703223040979799</v>
      </c>
    </row>
    <row r="153" spans="1:20" x14ac:dyDescent="0.25">
      <c r="A153" s="5">
        <v>44440</v>
      </c>
      <c r="B153">
        <v>0.42830000000000001</v>
      </c>
      <c r="C153">
        <v>0.4637</v>
      </c>
      <c r="D153">
        <v>0.41870000000000002</v>
      </c>
      <c r="E153">
        <v>0.45200000000000001</v>
      </c>
      <c r="F153">
        <v>13229013</v>
      </c>
      <c r="G153">
        <v>0.45200000000000001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0.48000000000000037</v>
      </c>
      <c r="Q153">
        <f t="shared" ref="Q153" si="741">F153*P153</f>
        <v>6349926.2400000049</v>
      </c>
      <c r="R153">
        <f t="shared" ref="R153" si="742">R154+Q153</f>
        <v>-576127563.89551234</v>
      </c>
      <c r="S153">
        <f t="shared" ref="S153" si="743">R153/100000</f>
        <v>-5761.2756389551232</v>
      </c>
      <c r="T153">
        <f t="shared" ref="T153" si="744">S153/1000</f>
        <v>-5.761275638955123</v>
      </c>
    </row>
    <row r="154" spans="1:20" x14ac:dyDescent="0.25">
      <c r="A154" s="5">
        <v>44439</v>
      </c>
      <c r="B154">
        <v>0.43830000000000002</v>
      </c>
      <c r="C154">
        <v>0.46</v>
      </c>
      <c r="D154">
        <v>0.42020000000000002</v>
      </c>
      <c r="E154">
        <v>0.42849999999999999</v>
      </c>
      <c r="F154">
        <v>15981339</v>
      </c>
      <c r="G154">
        <v>0.42849999999999999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-0.58291457286432291</v>
      </c>
      <c r="Q154">
        <f t="shared" ref="Q154" si="746">F154*P154</f>
        <v>-9315755.396984946</v>
      </c>
      <c r="R154">
        <f t="shared" ref="R154" si="747">R155+Q154</f>
        <v>-582477490.13551235</v>
      </c>
      <c r="S154">
        <f t="shared" ref="S154" si="748">R154/100000</f>
        <v>-5824.7749013551238</v>
      </c>
      <c r="T154">
        <f t="shared" ref="T154" si="749">S154/1000</f>
        <v>-5.8247749013551235</v>
      </c>
    </row>
    <row r="155" spans="1:20" x14ac:dyDescent="0.25">
      <c r="A155" s="5">
        <v>44438</v>
      </c>
      <c r="B155">
        <v>0.47739999999999999</v>
      </c>
      <c r="C155">
        <v>0.4859</v>
      </c>
      <c r="D155">
        <v>0.43590000000000001</v>
      </c>
      <c r="E155">
        <v>0.438</v>
      </c>
      <c r="F155">
        <v>31584779</v>
      </c>
      <c r="G155">
        <v>0.438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-0.91600000000000037</v>
      </c>
      <c r="Q155">
        <f t="shared" ref="Q155" si="751">F155*P155</f>
        <v>-28931657.56400001</v>
      </c>
      <c r="R155">
        <f t="shared" ref="R155" si="752">R156+Q155</f>
        <v>-573161734.73852742</v>
      </c>
      <c r="S155">
        <f t="shared" ref="S155" si="753">R155/100000</f>
        <v>-5731.6173473852741</v>
      </c>
      <c r="T155">
        <f t="shared" ref="T155" si="754">S155/1000</f>
        <v>-5.7316173473852743</v>
      </c>
    </row>
    <row r="156" spans="1:20" x14ac:dyDescent="0.25">
      <c r="A156" s="5">
        <v>44437</v>
      </c>
      <c r="B156">
        <v>0.4738</v>
      </c>
      <c r="C156">
        <v>0.52859999999999996</v>
      </c>
      <c r="D156">
        <v>0.47210000000000002</v>
      </c>
      <c r="E156">
        <v>0.4773</v>
      </c>
      <c r="F156">
        <v>95339729.530000001</v>
      </c>
      <c r="G156">
        <v>0.4773</v>
      </c>
      <c r="L156" t="s">
        <v>8</v>
      </c>
      <c r="M156" t="s">
        <v>8</v>
      </c>
      <c r="N156" t="s">
        <v>7</v>
      </c>
      <c r="P156">
        <f t="shared" ref="P156" si="755">IF(C156=D156,0,((E156-D156)-(C156-E156))/(C156-D156))</f>
        <v>-0.81592920353982346</v>
      </c>
      <c r="Q156">
        <f t="shared" ref="Q156" si="756">F156*P156</f>
        <v>-77790469.581115082</v>
      </c>
      <c r="R156">
        <f t="shared" ref="R156" si="757">R157+Q156</f>
        <v>-544230077.17452741</v>
      </c>
      <c r="S156">
        <f t="shared" ref="S156" si="758">R156/100000</f>
        <v>-5442.3007717452738</v>
      </c>
      <c r="T156">
        <f t="shared" ref="T156" si="759">S156/1000</f>
        <v>-5.4423007717452734</v>
      </c>
    </row>
    <row r="157" spans="1:20" x14ac:dyDescent="0.25">
      <c r="A157" s="5">
        <v>44436</v>
      </c>
      <c r="B157">
        <v>0.48480000000000001</v>
      </c>
      <c r="C157">
        <v>0.48709999999999998</v>
      </c>
      <c r="D157">
        <v>0.46610000000000001</v>
      </c>
      <c r="E157">
        <v>0.47339999999999999</v>
      </c>
      <c r="F157">
        <v>15371297</v>
      </c>
      <c r="G157">
        <v>0.47339999999999999</v>
      </c>
      <c r="L157" t="s">
        <v>7</v>
      </c>
      <c r="M157" t="s">
        <v>8</v>
      </c>
      <c r="N157" t="s">
        <v>7</v>
      </c>
      <c r="P157">
        <f t="shared" ref="P157" si="760">IF(C157=D157,0,((E157-D157)-(C157-E157))/(C157-D157))</f>
        <v>-0.30476190476190612</v>
      </c>
      <c r="Q157">
        <f t="shared" ref="Q157" si="761">F157*P157</f>
        <v>-4684585.7523809737</v>
      </c>
      <c r="R157">
        <f t="shared" ref="R157" si="762">R158+Q157</f>
        <v>-466439607.59341228</v>
      </c>
      <c r="S157">
        <f t="shared" ref="S157" si="763">R157/100000</f>
        <v>-4664.3960759341226</v>
      </c>
      <c r="T157">
        <f t="shared" ref="T157" si="764">S157/1000</f>
        <v>-4.664396075934123</v>
      </c>
    </row>
    <row r="158" spans="1:20" x14ac:dyDescent="0.25">
      <c r="A158" s="5">
        <v>44435</v>
      </c>
      <c r="B158">
        <v>0.41589999999999999</v>
      </c>
      <c r="C158">
        <v>0.52</v>
      </c>
      <c r="D158">
        <v>0.40860000000000002</v>
      </c>
      <c r="E158">
        <v>0.48480000000000001</v>
      </c>
      <c r="F158">
        <v>88987768.849999994</v>
      </c>
      <c r="G158">
        <v>0.48480000000000001</v>
      </c>
      <c r="L158" t="s">
        <v>8</v>
      </c>
      <c r="M158" t="s">
        <v>8</v>
      </c>
      <c r="N158" t="s">
        <v>7</v>
      </c>
      <c r="P158">
        <f t="shared" ref="P158" si="765">IF(C158=D158,0,((E158-D158)-(C158-E158))/(C158-D158))</f>
        <v>0.3680430879712745</v>
      </c>
      <c r="Q158">
        <f t="shared" ref="Q158" si="766">F158*P158</f>
        <v>32751333.239227988</v>
      </c>
      <c r="R158">
        <f t="shared" ref="R158" si="767">R159+Q158</f>
        <v>-461755021.84103131</v>
      </c>
      <c r="S158">
        <f t="shared" ref="S158" si="768">R158/100000</f>
        <v>-4617.5502184103134</v>
      </c>
      <c r="T158">
        <f t="shared" ref="T158" si="769">S158/1000</f>
        <v>-4.6175502184103134</v>
      </c>
    </row>
    <row r="159" spans="1:20" x14ac:dyDescent="0.25">
      <c r="A159" s="5">
        <v>44434</v>
      </c>
      <c r="B159">
        <v>0.45219999999999999</v>
      </c>
      <c r="C159">
        <v>0.45400000000000001</v>
      </c>
      <c r="D159">
        <v>0.40720000000000001</v>
      </c>
      <c r="E159">
        <v>0.41470000000000001</v>
      </c>
      <c r="F159">
        <v>12009656.130000001</v>
      </c>
      <c r="G159">
        <v>0.41470000000000001</v>
      </c>
      <c r="L159" t="s">
        <v>8</v>
      </c>
      <c r="M159" t="s">
        <v>7</v>
      </c>
      <c r="N159" t="s">
        <v>7</v>
      </c>
      <c r="P159">
        <f t="shared" ref="P159" si="770">IF(C159=D159,0,((E159-D159)-(C159-E159))/(C159-D159))</f>
        <v>-0.67948717948717929</v>
      </c>
      <c r="Q159">
        <f t="shared" ref="Q159" si="771">F159*P159</f>
        <v>-8160407.370384614</v>
      </c>
      <c r="R159">
        <f t="shared" ref="R159" si="772">R160+Q159</f>
        <v>-494506355.08025932</v>
      </c>
      <c r="S159">
        <f t="shared" ref="S159" si="773">R159/100000</f>
        <v>-4945.0635508025935</v>
      </c>
      <c r="T159">
        <f t="shared" ref="T159" si="774">S159/1000</f>
        <v>-4.9450635508025931</v>
      </c>
    </row>
    <row r="160" spans="1:20" x14ac:dyDescent="0.25">
      <c r="A160" s="5">
        <v>44433</v>
      </c>
      <c r="B160">
        <v>0.42720000000000002</v>
      </c>
      <c r="C160">
        <v>0.47</v>
      </c>
      <c r="D160">
        <v>0.4083</v>
      </c>
      <c r="E160">
        <v>0.4526</v>
      </c>
      <c r="F160">
        <v>12743697.380000001</v>
      </c>
      <c r="G160">
        <v>0.4526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0.43598055105348532</v>
      </c>
      <c r="Q160">
        <f t="shared" ref="Q160" si="776">F160*P160</f>
        <v>5556004.2061912576</v>
      </c>
      <c r="R160">
        <f t="shared" ref="R160" si="777">R161+Q160</f>
        <v>-486345947.70987469</v>
      </c>
      <c r="S160">
        <f t="shared" ref="S160" si="778">R160/100000</f>
        <v>-4863.4594770987469</v>
      </c>
      <c r="T160">
        <f t="shared" ref="T160" si="779">S160/1000</f>
        <v>-4.8634594770987469</v>
      </c>
    </row>
    <row r="161" spans="1:20" x14ac:dyDescent="0.25">
      <c r="A161" s="5">
        <v>44432</v>
      </c>
      <c r="B161">
        <v>0.46339999999999998</v>
      </c>
      <c r="C161">
        <v>0.46949999999999997</v>
      </c>
      <c r="D161">
        <v>0.41510000000000002</v>
      </c>
      <c r="E161">
        <v>0.42720000000000002</v>
      </c>
      <c r="F161">
        <v>12963039.960000001</v>
      </c>
      <c r="G161">
        <v>0.42720000000000002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-0.55514705882352899</v>
      </c>
      <c r="Q161">
        <f t="shared" ref="Q161" si="781">F161*P161</f>
        <v>-7196393.5072058775</v>
      </c>
      <c r="R161">
        <f t="shared" ref="R161" si="782">R162+Q161</f>
        <v>-491901951.91606593</v>
      </c>
      <c r="S161">
        <f t="shared" ref="S161" si="783">R161/100000</f>
        <v>-4919.019519160659</v>
      </c>
      <c r="T161">
        <f t="shared" ref="T161" si="784">S161/1000</f>
        <v>-4.9190195191606589</v>
      </c>
    </row>
    <row r="162" spans="1:20" x14ac:dyDescent="0.25">
      <c r="A162" s="5">
        <v>44431</v>
      </c>
      <c r="B162">
        <v>0.46560000000000001</v>
      </c>
      <c r="C162">
        <v>0.47589999999999999</v>
      </c>
      <c r="D162">
        <v>0.45050000000000001</v>
      </c>
      <c r="E162">
        <v>0.46350000000000002</v>
      </c>
      <c r="F162">
        <v>9730336.0399999991</v>
      </c>
      <c r="G162">
        <v>0.46350000000000002</v>
      </c>
      <c r="L162" t="s">
        <v>7</v>
      </c>
      <c r="M162" t="s">
        <v>8</v>
      </c>
      <c r="N162" t="s">
        <v>7</v>
      </c>
      <c r="P162">
        <f t="shared" ref="P162" si="785">IF(C162=D162,0,((E162-D162)-(C162-E162))/(C162-D162))</f>
        <v>2.3622047244096278E-2</v>
      </c>
      <c r="Q162">
        <f t="shared" ref="Q162" si="786">F162*P162</f>
        <v>229850.45763781268</v>
      </c>
      <c r="R162">
        <f t="shared" ref="R162" si="787">R163+Q162</f>
        <v>-484705558.40886003</v>
      </c>
      <c r="S162">
        <f t="shared" ref="S162" si="788">R162/100000</f>
        <v>-4847.0555840886</v>
      </c>
      <c r="T162">
        <f t="shared" ref="T162" si="789">S162/1000</f>
        <v>-4.8470555840885998</v>
      </c>
    </row>
    <row r="163" spans="1:20" x14ac:dyDescent="0.25">
      <c r="A163" s="5">
        <v>44430</v>
      </c>
      <c r="B163">
        <v>0.45100000000000001</v>
      </c>
      <c r="C163">
        <v>0.45839999999999997</v>
      </c>
      <c r="D163">
        <v>0.44840000000000002</v>
      </c>
      <c r="E163">
        <v>0.45369999999999999</v>
      </c>
      <c r="F163">
        <v>1051999.9099999999</v>
      </c>
      <c r="G163">
        <v>0.45369999999999999</v>
      </c>
      <c r="L163" t="s">
        <v>7</v>
      </c>
      <c r="M163" t="s">
        <v>8</v>
      </c>
      <c r="N163" t="s">
        <v>7</v>
      </c>
      <c r="P163">
        <f t="shared" ref="P163" si="790">IF(C163=D163,0,((E163-D163)-(C163-E163))/(C163-D163))</f>
        <v>5.9999999999999221E-2</v>
      </c>
      <c r="Q163">
        <f t="shared" ref="Q163" si="791">F163*P163</f>
        <v>63119.994599999176</v>
      </c>
      <c r="R163">
        <f t="shared" ref="R163" si="792">R164+Q163</f>
        <v>-484935408.86649781</v>
      </c>
      <c r="S163">
        <f t="shared" ref="S163" si="793">R163/100000</f>
        <v>-4849.354088664978</v>
      </c>
      <c r="T163">
        <f t="shared" ref="T163" si="794">S163/1000</f>
        <v>-4.8493540886649784</v>
      </c>
    </row>
    <row r="164" spans="1:20" x14ac:dyDescent="0.25">
      <c r="A164" s="5">
        <v>44429</v>
      </c>
      <c r="B164">
        <v>0.47789999999999999</v>
      </c>
      <c r="C164">
        <v>0.47989999999999999</v>
      </c>
      <c r="D164">
        <v>0.44950000000000001</v>
      </c>
      <c r="E164">
        <v>0.45019999999999999</v>
      </c>
      <c r="F164">
        <v>10412791.93</v>
      </c>
      <c r="G164">
        <v>0.45019999999999999</v>
      </c>
      <c r="L164" t="s">
        <v>7</v>
      </c>
      <c r="M164" t="s">
        <v>8</v>
      </c>
      <c r="N164" t="s">
        <v>7</v>
      </c>
      <c r="P164">
        <f t="shared" ref="P164" si="795">IF(C164=D164,0,((E164-D164)-(C164-E164))/(C164-D164))</f>
        <v>-0.95394736842105399</v>
      </c>
      <c r="Q164">
        <f t="shared" ref="Q164" si="796">F164*P164</f>
        <v>-9933255.459539488</v>
      </c>
      <c r="R164">
        <f t="shared" ref="R164" si="797">R165+Q164</f>
        <v>-484998528.86109781</v>
      </c>
      <c r="S164">
        <f t="shared" ref="S164" si="798">R164/100000</f>
        <v>-4849.9852886109784</v>
      </c>
      <c r="T164">
        <f t="shared" ref="T164" si="799">S164/1000</f>
        <v>-4.849985288610978</v>
      </c>
    </row>
    <row r="165" spans="1:20" x14ac:dyDescent="0.25">
      <c r="A165" s="5">
        <v>44428</v>
      </c>
      <c r="B165">
        <v>0.46250000000000002</v>
      </c>
      <c r="C165">
        <v>0.50949999999999995</v>
      </c>
      <c r="D165">
        <v>0.4546</v>
      </c>
      <c r="E165">
        <v>0.47749999999999998</v>
      </c>
      <c r="F165">
        <v>21220472.719999999</v>
      </c>
      <c r="G165">
        <v>0.47749999999999998</v>
      </c>
      <c r="L165" t="s">
        <v>8</v>
      </c>
      <c r="M165" t="s">
        <v>8</v>
      </c>
      <c r="N165" t="s">
        <v>7</v>
      </c>
      <c r="P165">
        <f t="shared" ref="P165" si="800">IF(C165=D165,0,((E165-D165)-(C165-E165))/(C165-D165))</f>
        <v>-0.16575591985428062</v>
      </c>
      <c r="Q165">
        <f t="shared" ref="Q165" si="801">F165*P165</f>
        <v>-3517418.975446268</v>
      </c>
      <c r="R165">
        <f t="shared" ref="R165" si="802">R166+Q165</f>
        <v>-475065273.40155834</v>
      </c>
      <c r="S165">
        <f t="shared" ref="S165" si="803">R165/100000</f>
        <v>-4750.6527340155835</v>
      </c>
      <c r="T165">
        <f t="shared" ref="T165" si="804">S165/1000</f>
        <v>-4.7506527340155831</v>
      </c>
    </row>
    <row r="166" spans="1:20" x14ac:dyDescent="0.25">
      <c r="A166" s="5">
        <v>44427</v>
      </c>
      <c r="B166">
        <v>0.46379999999999999</v>
      </c>
      <c r="C166">
        <v>0.4723</v>
      </c>
      <c r="D166">
        <v>0.42</v>
      </c>
      <c r="E166">
        <v>0.46250000000000002</v>
      </c>
      <c r="F166">
        <v>18903654.5</v>
      </c>
      <c r="G166">
        <v>0.46250000000000002</v>
      </c>
      <c r="L166" t="s">
        <v>7</v>
      </c>
      <c r="M166" t="s">
        <v>7</v>
      </c>
      <c r="N166" t="s">
        <v>7</v>
      </c>
      <c r="P166">
        <f t="shared" ref="P166" si="805">IF(C166=D166,0,((E166-D166)-(C166-E166))/(C166-D166))</f>
        <v>0.62523900573613866</v>
      </c>
      <c r="Q166">
        <f t="shared" ref="Q166" si="806">F166*P166</f>
        <v>11819302.144359484</v>
      </c>
      <c r="R166">
        <f t="shared" ref="R166" si="807">R167+Q166</f>
        <v>-471547854.42611206</v>
      </c>
      <c r="S166">
        <f t="shared" ref="S166" si="808">R166/100000</f>
        <v>-4715.478544261121</v>
      </c>
      <c r="T166">
        <f t="shared" ref="T166" si="809">S166/1000</f>
        <v>-4.7154785442611207</v>
      </c>
    </row>
    <row r="167" spans="1:20" x14ac:dyDescent="0.25">
      <c r="A167" s="5">
        <v>44426</v>
      </c>
      <c r="B167">
        <v>0.44400000000000001</v>
      </c>
      <c r="C167">
        <v>0.4783</v>
      </c>
      <c r="D167">
        <v>0.42859999999999998</v>
      </c>
      <c r="E167">
        <v>0.46289999999999998</v>
      </c>
      <c r="F167">
        <v>16538608.5</v>
      </c>
      <c r="G167">
        <v>0.46289999999999998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0.38028169014084434</v>
      </c>
      <c r="Q167">
        <f t="shared" ref="Q167" si="811">F167*P167</f>
        <v>6289329.9929577345</v>
      </c>
      <c r="R167">
        <f t="shared" ref="R167" si="812">R168+Q167</f>
        <v>-483367156.57047153</v>
      </c>
      <c r="S167">
        <f t="shared" ref="S167" si="813">R167/100000</f>
        <v>-4833.6715657047152</v>
      </c>
      <c r="T167">
        <f t="shared" ref="T167" si="814">S167/1000</f>
        <v>-4.8336715657047149</v>
      </c>
    </row>
    <row r="168" spans="1:20" x14ac:dyDescent="0.25">
      <c r="A168" s="5">
        <v>44425</v>
      </c>
      <c r="B168">
        <v>0.47699999999999998</v>
      </c>
      <c r="C168">
        <v>0.50700000000000001</v>
      </c>
      <c r="D168">
        <v>0.439</v>
      </c>
      <c r="E168">
        <v>0.44490000000000002</v>
      </c>
      <c r="F168">
        <v>25057599.41</v>
      </c>
      <c r="G168">
        <v>0.44490000000000002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-0.82647058823529362</v>
      </c>
      <c r="Q168">
        <f t="shared" ref="Q168" si="816">F168*P168</f>
        <v>-20709368.924147047</v>
      </c>
      <c r="R168">
        <f t="shared" ref="R168" si="817">R169+Q168</f>
        <v>-489656486.56342924</v>
      </c>
      <c r="S168">
        <f t="shared" ref="S168" si="818">R168/100000</f>
        <v>-4896.5648656342928</v>
      </c>
      <c r="T168">
        <f t="shared" ref="T168" si="819">S168/1000</f>
        <v>-4.8965648656342928</v>
      </c>
    </row>
    <row r="169" spans="1:20" x14ac:dyDescent="0.25">
      <c r="A169" s="5">
        <v>44424</v>
      </c>
      <c r="B169">
        <v>0.50729999999999997</v>
      </c>
      <c r="C169">
        <v>0.52339999999999998</v>
      </c>
      <c r="D169">
        <v>0.47420000000000001</v>
      </c>
      <c r="E169">
        <v>0.47699999999999998</v>
      </c>
      <c r="F169">
        <v>22786287.09</v>
      </c>
      <c r="G169">
        <v>0.47699999999999998</v>
      </c>
      <c r="L169" t="s">
        <v>8</v>
      </c>
      <c r="M169" t="s">
        <v>7</v>
      </c>
      <c r="N169" t="s">
        <v>7</v>
      </c>
      <c r="P169">
        <f t="shared" ref="P169" si="820">IF(C169=D169,0,((E169-D169)-(C169-E169))/(C169-D169))</f>
        <v>-0.88617886178861904</v>
      </c>
      <c r="Q169">
        <f t="shared" ref="Q169" si="821">F169*P169</f>
        <v>-20192725.957804903</v>
      </c>
      <c r="R169">
        <f t="shared" ref="R169" si="822">R170+Q169</f>
        <v>-468947117.63928217</v>
      </c>
      <c r="S169">
        <f t="shared" ref="S169" si="823">R169/100000</f>
        <v>-4689.4711763928217</v>
      </c>
      <c r="T169">
        <f t="shared" ref="T169" si="824">S169/1000</f>
        <v>-4.6894711763928214</v>
      </c>
    </row>
    <row r="170" spans="1:20" x14ac:dyDescent="0.25">
      <c r="A170" s="5">
        <v>44423</v>
      </c>
      <c r="B170">
        <v>0.51049999999999995</v>
      </c>
      <c r="C170">
        <v>0.55000000000000004</v>
      </c>
      <c r="D170">
        <v>0.46500000000000002</v>
      </c>
      <c r="E170">
        <v>0.50749999999999995</v>
      </c>
      <c r="F170">
        <v>63688404.25</v>
      </c>
      <c r="G170">
        <v>0.50749999999999995</v>
      </c>
      <c r="L170" t="s">
        <v>7</v>
      </c>
      <c r="M170" t="s">
        <v>7</v>
      </c>
      <c r="N170" t="s">
        <v>7</v>
      </c>
      <c r="P170">
        <f t="shared" ref="P170" si="825">IF(C170=D170,0,((E170-D170)-(C170-E170))/(C170-D170))</f>
        <v>-1.9592171022796874E-15</v>
      </c>
      <c r="Q170">
        <f t="shared" ref="Q170" si="826">F170*P170</f>
        <v>-1.2477941082350233E-7</v>
      </c>
      <c r="R170">
        <f t="shared" ref="R170" si="827">R171+Q170</f>
        <v>-448754391.68147725</v>
      </c>
      <c r="S170">
        <f t="shared" ref="S170" si="828">R170/100000</f>
        <v>-4487.5439168147723</v>
      </c>
      <c r="T170">
        <f t="shared" ref="T170" si="829">S170/1000</f>
        <v>-4.4875439168147722</v>
      </c>
    </row>
    <row r="171" spans="1:20" x14ac:dyDescent="0.25">
      <c r="A171" s="5">
        <v>44422</v>
      </c>
      <c r="B171">
        <v>0.6331</v>
      </c>
      <c r="C171">
        <v>0.66800000000000004</v>
      </c>
      <c r="D171">
        <v>0.50309999999999999</v>
      </c>
      <c r="E171">
        <v>0.51090000000000002</v>
      </c>
      <c r="F171">
        <v>130701074.29000001</v>
      </c>
      <c r="G171">
        <v>0.51090000000000002</v>
      </c>
      <c r="L171" t="s">
        <v>7</v>
      </c>
      <c r="M171" t="s">
        <v>7</v>
      </c>
      <c r="N171" t="s">
        <v>7</v>
      </c>
      <c r="P171">
        <f t="shared" ref="P171" si="830">IF(C171=D171,0,((E171-D171)-(C171-E171))/(C171-D171))</f>
        <v>-0.90539721043056365</v>
      </c>
      <c r="Q171">
        <f t="shared" ref="Q171" si="831">F171*P171</f>
        <v>-118336388.06244387</v>
      </c>
      <c r="R171">
        <f t="shared" ref="R171" si="832">R172+Q171</f>
        <v>-448754391.68147713</v>
      </c>
      <c r="S171">
        <f t="shared" ref="S171" si="833">R171/100000</f>
        <v>-4487.5439168147714</v>
      </c>
      <c r="T171">
        <f t="shared" ref="T171" si="834">S171/1000</f>
        <v>-4.4875439168147713</v>
      </c>
    </row>
    <row r="172" spans="1:20" x14ac:dyDescent="0.25">
      <c r="A172" s="5">
        <v>44421</v>
      </c>
      <c r="B172">
        <v>0.31719999999999998</v>
      </c>
      <c r="C172">
        <v>0.7177</v>
      </c>
      <c r="D172">
        <v>0.315</v>
      </c>
      <c r="E172">
        <v>0.63280000000000003</v>
      </c>
      <c r="F172">
        <v>404177424.45999998</v>
      </c>
      <c r="G172">
        <v>0.63280000000000003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0.5783461633970699</v>
      </c>
      <c r="Q172">
        <f t="shared" ref="Q172" si="836">F172*P172</f>
        <v>233754462.76815003</v>
      </c>
      <c r="R172">
        <f t="shared" ref="R172" si="837">R173+Q172</f>
        <v>-330418003.61903328</v>
      </c>
      <c r="S172">
        <f t="shared" ref="S172" si="838">R172/100000</f>
        <v>-3304.1800361903329</v>
      </c>
      <c r="T172">
        <f t="shared" ref="T172" si="839">S172/1000</f>
        <v>-3.3041800361903331</v>
      </c>
    </row>
    <row r="173" spans="1:20" x14ac:dyDescent="0.25">
      <c r="A173" s="5">
        <v>44420</v>
      </c>
      <c r="B173">
        <v>0.32990000000000003</v>
      </c>
      <c r="C173">
        <v>0.34839999999999999</v>
      </c>
      <c r="D173">
        <v>0.30680000000000002</v>
      </c>
      <c r="E173">
        <v>0.31759999999999999</v>
      </c>
      <c r="F173">
        <v>12005543.67</v>
      </c>
      <c r="G173">
        <v>0.31759999999999999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-0.48076923076923156</v>
      </c>
      <c r="Q173">
        <f t="shared" ref="Q173" si="841">F173*P173</f>
        <v>-5771895.9951923173</v>
      </c>
      <c r="R173">
        <f t="shared" ref="R173" si="842">R174+Q173</f>
        <v>-564172466.38718331</v>
      </c>
      <c r="S173">
        <f t="shared" ref="S173" si="843">R173/100000</f>
        <v>-5641.7246638718334</v>
      </c>
      <c r="T173">
        <f t="shared" ref="T173" si="844">S173/1000</f>
        <v>-5.641724663871833</v>
      </c>
    </row>
    <row r="174" spans="1:20" x14ac:dyDescent="0.25">
      <c r="A174" s="5">
        <v>44419</v>
      </c>
      <c r="B174">
        <v>0.3125</v>
      </c>
      <c r="C174">
        <v>0.35499999999999998</v>
      </c>
      <c r="D174">
        <v>0.30980000000000002</v>
      </c>
      <c r="E174">
        <v>0.32990000000000003</v>
      </c>
      <c r="F174">
        <v>24345770.800000001</v>
      </c>
      <c r="G174">
        <v>0.32990000000000003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-0.11061946902654764</v>
      </c>
      <c r="Q174">
        <f t="shared" ref="Q174" si="846">F174*P174</f>
        <v>-2693116.238938028</v>
      </c>
      <c r="R174">
        <f t="shared" ref="R174" si="847">R175+Q174</f>
        <v>-558400570.39199102</v>
      </c>
      <c r="S174">
        <f t="shared" ref="S174" si="848">R174/100000</f>
        <v>-5584.00570391991</v>
      </c>
      <c r="T174">
        <f t="shared" ref="T174" si="849">S174/1000</f>
        <v>-5.5840057039199102</v>
      </c>
    </row>
    <row r="175" spans="1:20" x14ac:dyDescent="0.25">
      <c r="A175" s="5">
        <v>44418</v>
      </c>
      <c r="B175">
        <v>0.3024</v>
      </c>
      <c r="C175">
        <v>0.31409999999999999</v>
      </c>
      <c r="D175">
        <v>0.29449999999999998</v>
      </c>
      <c r="E175">
        <v>0.31269999999999998</v>
      </c>
      <c r="F175">
        <v>11238800.720000001</v>
      </c>
      <c r="G175">
        <v>0.31269999999999998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0.85714285714285587</v>
      </c>
      <c r="Q175">
        <f t="shared" ref="Q175" si="851">F175*P175</f>
        <v>9633257.7599999867</v>
      </c>
      <c r="R175">
        <f t="shared" ref="R175" si="852">R176+Q175</f>
        <v>-555707454.15305305</v>
      </c>
      <c r="S175">
        <f t="shared" ref="S175" si="853">R175/100000</f>
        <v>-5557.07454153053</v>
      </c>
      <c r="T175">
        <f t="shared" ref="T175" si="854">S175/1000</f>
        <v>-5.5570745415305298</v>
      </c>
    </row>
    <row r="176" spans="1:20" x14ac:dyDescent="0.25">
      <c r="A176" s="5">
        <v>44417</v>
      </c>
      <c r="B176">
        <v>0.2792</v>
      </c>
      <c r="C176">
        <v>0.31319999999999998</v>
      </c>
      <c r="D176">
        <v>0.27</v>
      </c>
      <c r="E176">
        <v>0.30280000000000001</v>
      </c>
      <c r="F176">
        <v>12428176.16</v>
      </c>
      <c r="G176">
        <v>0.30280000000000001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0.51851851851851971</v>
      </c>
      <c r="Q176">
        <f t="shared" ref="Q176" si="856">F176*P176</f>
        <v>6444239.4903703853</v>
      </c>
      <c r="R176">
        <f t="shared" ref="R176" si="857">R177+Q176</f>
        <v>-565340711.91305304</v>
      </c>
      <c r="S176">
        <f t="shared" ref="S176" si="858">R176/100000</f>
        <v>-5653.4071191305302</v>
      </c>
      <c r="T176">
        <f t="shared" ref="T176" si="859">S176/1000</f>
        <v>-5.65340711913053</v>
      </c>
    </row>
    <row r="177" spans="1:20" x14ac:dyDescent="0.25">
      <c r="A177" s="5">
        <v>44416</v>
      </c>
      <c r="B177">
        <v>0.30109999999999998</v>
      </c>
      <c r="C177">
        <v>0.307</v>
      </c>
      <c r="D177">
        <v>0.2762</v>
      </c>
      <c r="E177">
        <v>0.2792</v>
      </c>
      <c r="F177">
        <v>11742185.92</v>
      </c>
      <c r="G177">
        <v>0.2792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-0.80519480519480502</v>
      </c>
      <c r="Q177">
        <f t="shared" ref="Q177" si="861">F177*P177</f>
        <v>-9454747.1044155825</v>
      </c>
      <c r="R177">
        <f t="shared" ref="R177" si="862">R178+Q177</f>
        <v>-571784951.40342343</v>
      </c>
      <c r="S177">
        <f t="shared" ref="S177" si="863">R177/100000</f>
        <v>-5717.8495140342338</v>
      </c>
      <c r="T177">
        <f t="shared" ref="T177" si="864">S177/1000</f>
        <v>-5.717849514034234</v>
      </c>
    </row>
    <row r="178" spans="1:20" x14ac:dyDescent="0.25">
      <c r="A178" s="5">
        <v>44415</v>
      </c>
      <c r="B178">
        <v>0.30270000000000002</v>
      </c>
      <c r="C178">
        <v>0.32340000000000002</v>
      </c>
      <c r="D178">
        <v>0.29020000000000001</v>
      </c>
      <c r="E178">
        <v>0.30109999999999998</v>
      </c>
      <c r="F178">
        <v>18781249.600000001</v>
      </c>
      <c r="G178">
        <v>0.30109999999999998</v>
      </c>
      <c r="L178" t="s">
        <v>7</v>
      </c>
      <c r="M178" t="s">
        <v>7</v>
      </c>
      <c r="N178" t="s">
        <v>8</v>
      </c>
      <c r="P178">
        <f t="shared" ref="P178" si="865">IF(C178=D178,0,((E178-D178)-(C178-E178))/(C178-D178))</f>
        <v>-0.34337349397590583</v>
      </c>
      <c r="Q178">
        <f t="shared" ref="Q178" si="866">F178*P178</f>
        <v>-6448983.2963855844</v>
      </c>
      <c r="R178">
        <f t="shared" ref="R178" si="867">R179+Q178</f>
        <v>-562330204.29900789</v>
      </c>
      <c r="S178">
        <f t="shared" ref="S178" si="868">R178/100000</f>
        <v>-5623.3020429900789</v>
      </c>
      <c r="T178">
        <f t="shared" ref="T178" si="869">S178/1000</f>
        <v>-5.6233020429900789</v>
      </c>
    </row>
    <row r="179" spans="1:20" x14ac:dyDescent="0.25">
      <c r="A179" s="5">
        <v>44414</v>
      </c>
      <c r="B179">
        <v>0.26300000000000001</v>
      </c>
      <c r="C179">
        <v>0.34360000000000002</v>
      </c>
      <c r="D179">
        <v>0.2626</v>
      </c>
      <c r="E179">
        <v>0.30220000000000002</v>
      </c>
      <c r="F179">
        <v>76240398.099999994</v>
      </c>
      <c r="G179">
        <v>0.30220000000000002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-2.2222222222221828E-2</v>
      </c>
      <c r="Q179">
        <f t="shared" ref="Q179" si="871">F179*P179</f>
        <v>-1694231.0688888587</v>
      </c>
      <c r="R179">
        <f t="shared" ref="R179" si="872">R180+Q179</f>
        <v>-555881221.00262237</v>
      </c>
      <c r="S179">
        <f t="shared" ref="S179" si="873">R179/100000</f>
        <v>-5558.8122100262235</v>
      </c>
      <c r="T179">
        <f t="shared" ref="T179" si="874">S179/1000</f>
        <v>-5.5588122100262236</v>
      </c>
    </row>
    <row r="180" spans="1:20" x14ac:dyDescent="0.25">
      <c r="A180" s="5">
        <v>44413</v>
      </c>
      <c r="B180">
        <v>0.2487</v>
      </c>
      <c r="C180">
        <v>0.26690000000000003</v>
      </c>
      <c r="D180">
        <v>0.2412</v>
      </c>
      <c r="E180">
        <v>0.26269999999999999</v>
      </c>
      <c r="F180">
        <v>13100710.09</v>
      </c>
      <c r="G180">
        <v>0.26269999999999999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0.67315175097276014</v>
      </c>
      <c r="Q180">
        <f t="shared" ref="Q180" si="876">F180*P180</f>
        <v>8818765.9360700063</v>
      </c>
      <c r="R180">
        <f t="shared" ref="R180" si="877">R181+Q180</f>
        <v>-554186989.93373346</v>
      </c>
      <c r="S180">
        <f t="shared" ref="S180" si="878">R180/100000</f>
        <v>-5541.8698993373346</v>
      </c>
      <c r="T180">
        <f t="shared" ref="T180" si="879">S180/1000</f>
        <v>-5.5418698993373345</v>
      </c>
    </row>
    <row r="181" spans="1:20" x14ac:dyDescent="0.25">
      <c r="A181" s="5">
        <v>44412</v>
      </c>
      <c r="B181">
        <v>0.23710000000000001</v>
      </c>
      <c r="C181">
        <v>0.27089999999999997</v>
      </c>
      <c r="D181">
        <v>0.2316</v>
      </c>
      <c r="E181">
        <v>0.24859999999999999</v>
      </c>
      <c r="F181">
        <v>54601724.509999998</v>
      </c>
      <c r="G181">
        <v>0.24859999999999999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-0.13486005089058531</v>
      </c>
      <c r="Q181">
        <f t="shared" ref="Q181" si="881">F181*P181</f>
        <v>-7363591.3461323185</v>
      </c>
      <c r="R181">
        <f t="shared" ref="R181" si="882">R182+Q181</f>
        <v>-563005755.86980343</v>
      </c>
      <c r="S181">
        <f t="shared" ref="S181" si="883">R181/100000</f>
        <v>-5630.057558698034</v>
      </c>
      <c r="T181">
        <f t="shared" ref="T181" si="884">S181/1000</f>
        <v>-5.6300575586980344</v>
      </c>
    </row>
    <row r="182" spans="1:20" x14ac:dyDescent="0.25">
      <c r="A182" s="5">
        <v>44411</v>
      </c>
      <c r="B182">
        <v>0.2329</v>
      </c>
      <c r="C182">
        <v>0.24</v>
      </c>
      <c r="D182">
        <v>0.22109999999999999</v>
      </c>
      <c r="E182">
        <v>0.23649999999999999</v>
      </c>
      <c r="F182">
        <v>26037363.859999999</v>
      </c>
      <c r="G182">
        <v>0.23649999999999999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0.62962962962962932</v>
      </c>
      <c r="Q182">
        <f t="shared" ref="Q182" si="886">F182*P182</f>
        <v>16393895.763703695</v>
      </c>
      <c r="R182">
        <f t="shared" ref="R182" si="887">R183+Q182</f>
        <v>-555642164.52367115</v>
      </c>
      <c r="S182">
        <f t="shared" ref="S182" si="888">R182/100000</f>
        <v>-5556.4216452367118</v>
      </c>
      <c r="T182">
        <f t="shared" ref="T182" si="889">S182/1000</f>
        <v>-5.5564216452367114</v>
      </c>
    </row>
    <row r="183" spans="1:20" x14ac:dyDescent="0.25">
      <c r="A183" s="5">
        <v>44410</v>
      </c>
      <c r="B183">
        <v>0.22700000000000001</v>
      </c>
      <c r="C183">
        <v>0.2397</v>
      </c>
      <c r="D183">
        <v>0.2235</v>
      </c>
      <c r="E183">
        <v>0.23280000000000001</v>
      </c>
      <c r="F183">
        <v>18589941.25</v>
      </c>
      <c r="G183">
        <v>0.23280000000000001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0.14814814814814903</v>
      </c>
      <c r="Q183">
        <f t="shared" ref="Q183" si="891">F183*P183</f>
        <v>2754065.3703703866</v>
      </c>
      <c r="R183">
        <f t="shared" ref="R183" si="892">R184+Q183</f>
        <v>-572036060.28737485</v>
      </c>
      <c r="S183">
        <f t="shared" ref="S183" si="893">R183/100000</f>
        <v>-5720.3606028737486</v>
      </c>
      <c r="T183">
        <f t="shared" ref="T183" si="894">S183/1000</f>
        <v>-5.7203606028737486</v>
      </c>
    </row>
    <row r="184" spans="1:20" x14ac:dyDescent="0.25">
      <c r="A184" s="5">
        <v>44409</v>
      </c>
      <c r="B184">
        <v>0.2379</v>
      </c>
      <c r="C184">
        <v>0.24379999999999999</v>
      </c>
      <c r="D184">
        <v>0.2233</v>
      </c>
      <c r="E184">
        <v>0.2276</v>
      </c>
      <c r="F184">
        <v>6919030.9400000004</v>
      </c>
      <c r="G184">
        <v>0.2276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-0.58048780487804874</v>
      </c>
      <c r="Q184">
        <f t="shared" ref="Q184" si="896">F184*P184</f>
        <v>-4016413.0822439026</v>
      </c>
      <c r="R184">
        <f t="shared" ref="R184" si="897">R185+Q184</f>
        <v>-574790125.65774524</v>
      </c>
      <c r="S184">
        <f t="shared" ref="S184" si="898">R184/100000</f>
        <v>-5747.9012565774528</v>
      </c>
      <c r="T184">
        <f t="shared" ref="T184" si="899">S184/1000</f>
        <v>-5.7479012565774532</v>
      </c>
    </row>
    <row r="185" spans="1:20" x14ac:dyDescent="0.25">
      <c r="A185" s="5">
        <v>44408</v>
      </c>
      <c r="B185">
        <v>0.2349</v>
      </c>
      <c r="C185">
        <v>0.24929999999999999</v>
      </c>
      <c r="D185">
        <v>0.22770000000000001</v>
      </c>
      <c r="E185">
        <v>0.23749999999999999</v>
      </c>
      <c r="F185">
        <v>10365453.91</v>
      </c>
      <c r="G185">
        <v>0.23749999999999999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-9.2592592592594045E-2</v>
      </c>
      <c r="Q185">
        <f t="shared" ref="Q185" si="901">F185*P185</f>
        <v>-959764.25092594104</v>
      </c>
      <c r="R185">
        <f t="shared" ref="R185" si="902">R186+Q185</f>
        <v>-570773712.57550132</v>
      </c>
      <c r="S185">
        <f t="shared" ref="S185" si="903">R185/100000</f>
        <v>-5707.737125755013</v>
      </c>
      <c r="T185">
        <f t="shared" ref="T185" si="904">S185/1000</f>
        <v>-5.7077371257550134</v>
      </c>
    </row>
    <row r="186" spans="1:20" x14ac:dyDescent="0.25">
      <c r="A186" s="5">
        <v>44407</v>
      </c>
      <c r="B186">
        <v>0.22450000000000001</v>
      </c>
      <c r="C186">
        <v>0.23669999999999999</v>
      </c>
      <c r="D186">
        <v>0.214</v>
      </c>
      <c r="E186">
        <v>0.2349</v>
      </c>
      <c r="F186">
        <v>14475340.01</v>
      </c>
      <c r="G186">
        <v>0.2349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0.84140969162995627</v>
      </c>
      <c r="Q186">
        <f t="shared" ref="Q186" si="906">F186*P186</f>
        <v>12179691.374052867</v>
      </c>
      <c r="R186">
        <f t="shared" ref="R186" si="907">R187+Q186</f>
        <v>-569813948.32457542</v>
      </c>
      <c r="S186">
        <f t="shared" ref="S186" si="908">R186/100000</f>
        <v>-5698.1394832457545</v>
      </c>
      <c r="T186">
        <f t="shared" ref="T186" si="909">S186/1000</f>
        <v>-5.6981394832457548</v>
      </c>
    </row>
    <row r="187" spans="1:20" x14ac:dyDescent="0.25">
      <c r="A187" s="5">
        <v>44406</v>
      </c>
      <c r="B187">
        <v>0.21260000000000001</v>
      </c>
      <c r="C187">
        <v>0.24990000000000001</v>
      </c>
      <c r="D187">
        <v>0.20910000000000001</v>
      </c>
      <c r="E187">
        <v>0.22520000000000001</v>
      </c>
      <c r="F187">
        <v>27972627.23</v>
      </c>
      <c r="G187">
        <v>0.22520000000000001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-0.21078431372549009</v>
      </c>
      <c r="Q187">
        <f t="shared" ref="Q187" si="911">F187*P187</f>
        <v>-5896191.0337745072</v>
      </c>
      <c r="R187">
        <f t="shared" ref="R187" si="912">R188+Q187</f>
        <v>-581993639.69862831</v>
      </c>
      <c r="S187">
        <f t="shared" ref="S187" si="913">R187/100000</f>
        <v>-5819.9363969862834</v>
      </c>
      <c r="T187">
        <f t="shared" ref="T187" si="914">S187/1000</f>
        <v>-5.8199363969862832</v>
      </c>
    </row>
    <row r="188" spans="1:20" x14ac:dyDescent="0.25">
      <c r="A188" s="5">
        <v>44405</v>
      </c>
      <c r="B188">
        <v>0.21679999999999999</v>
      </c>
      <c r="C188">
        <v>0.21970000000000001</v>
      </c>
      <c r="D188">
        <v>0.2082</v>
      </c>
      <c r="E188">
        <v>0.21260000000000001</v>
      </c>
      <c r="F188">
        <v>7130623.1600000001</v>
      </c>
      <c r="G188">
        <v>0.21260000000000001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-0.23478260869565024</v>
      </c>
      <c r="Q188">
        <f t="shared" ref="Q188" si="916">F188*P188</f>
        <v>-1674146.307130421</v>
      </c>
      <c r="R188">
        <f t="shared" ref="R188" si="917">R189+Q188</f>
        <v>-576097448.66485381</v>
      </c>
      <c r="S188">
        <f t="shared" ref="S188" si="918">R188/100000</f>
        <v>-5760.974486648538</v>
      </c>
      <c r="T188">
        <f t="shared" ref="T188" si="919">S188/1000</f>
        <v>-5.7609744866485384</v>
      </c>
    </row>
    <row r="189" spans="1:20" x14ac:dyDescent="0.25">
      <c r="A189" s="5">
        <v>44404</v>
      </c>
      <c r="B189">
        <v>0.20780000000000001</v>
      </c>
      <c r="C189">
        <v>0.22170000000000001</v>
      </c>
      <c r="D189">
        <v>0.1991</v>
      </c>
      <c r="E189">
        <v>0.21679999999999999</v>
      </c>
      <c r="F189">
        <v>6997383.2599999998</v>
      </c>
      <c r="G189">
        <v>0.21679999999999999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0.56637168141592797</v>
      </c>
      <c r="Q189">
        <f t="shared" ref="Q189" si="921">F189*P189</f>
        <v>3963119.7224778673</v>
      </c>
      <c r="R189">
        <f t="shared" ref="R189" si="922">R190+Q189</f>
        <v>-574423302.35772336</v>
      </c>
      <c r="S189">
        <f t="shared" ref="S189" si="923">R189/100000</f>
        <v>-5744.2330235772333</v>
      </c>
      <c r="T189">
        <f t="shared" ref="T189" si="924">S189/1000</f>
        <v>-5.744233023577233</v>
      </c>
    </row>
    <row r="190" spans="1:20" x14ac:dyDescent="0.25">
      <c r="A190" s="5">
        <v>44403</v>
      </c>
      <c r="B190">
        <v>0.20480000000000001</v>
      </c>
      <c r="C190">
        <v>0.22850000000000001</v>
      </c>
      <c r="D190">
        <v>0.2019</v>
      </c>
      <c r="E190">
        <v>0.2079</v>
      </c>
      <c r="F190">
        <v>13993068.34</v>
      </c>
      <c r="G190">
        <v>0.2079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-0.54887218045112762</v>
      </c>
      <c r="Q190">
        <f t="shared" ref="Q190" si="926">F190*P190</f>
        <v>-7680405.9309774404</v>
      </c>
      <c r="R190">
        <f t="shared" ref="R190" si="927">R191+Q190</f>
        <v>-578386422.08020127</v>
      </c>
      <c r="S190">
        <f t="shared" ref="S190" si="928">R190/100000</f>
        <v>-5783.8642208020128</v>
      </c>
      <c r="T190">
        <f t="shared" ref="T190" si="929">S190/1000</f>
        <v>-5.7838642208020126</v>
      </c>
    </row>
    <row r="191" spans="1:20" x14ac:dyDescent="0.25">
      <c r="A191" s="5">
        <v>44402</v>
      </c>
      <c r="B191">
        <v>0.20200000000000001</v>
      </c>
      <c r="C191">
        <v>0.21360000000000001</v>
      </c>
      <c r="D191">
        <v>0.1928</v>
      </c>
      <c r="E191">
        <v>0.2051</v>
      </c>
      <c r="F191">
        <v>11980764.32</v>
      </c>
      <c r="G191">
        <v>0.2051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0.18269230769230749</v>
      </c>
      <c r="Q191">
        <f t="shared" ref="Q191" si="931">F191*P191</f>
        <v>2188793.4815384592</v>
      </c>
      <c r="R191">
        <f t="shared" ref="R191" si="932">R192+Q191</f>
        <v>-570706016.1492238</v>
      </c>
      <c r="S191">
        <f t="shared" ref="S191" si="933">R191/100000</f>
        <v>-5707.060161492238</v>
      </c>
      <c r="T191">
        <f t="shared" ref="T191:T197" si="934">S191/1000</f>
        <v>-5.7070601614922376</v>
      </c>
    </row>
    <row r="192" spans="1:20" x14ac:dyDescent="0.25">
      <c r="A192" s="5">
        <v>44401</v>
      </c>
      <c r="B192">
        <v>0.1895</v>
      </c>
      <c r="C192">
        <v>0.21099999999999999</v>
      </c>
      <c r="D192">
        <v>0.1827</v>
      </c>
      <c r="E192">
        <v>0.2021</v>
      </c>
      <c r="F192">
        <v>13029753.32</v>
      </c>
      <c r="G192">
        <v>0.2021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0.37102473498233257</v>
      </c>
      <c r="Q192">
        <f t="shared" ref="Q192" si="936">F192*P192</f>
        <v>4834360.7724381685</v>
      </c>
      <c r="R192">
        <f t="shared" ref="R192" si="937">R193+Q192</f>
        <v>-572894809.63076222</v>
      </c>
      <c r="S192">
        <f t="shared" ref="S192" si="938">R192/100000</f>
        <v>-5728.9480963076221</v>
      </c>
      <c r="T192">
        <f t="shared" si="934"/>
        <v>-5.7289480963076223</v>
      </c>
    </row>
    <row r="193" spans="1:20" x14ac:dyDescent="0.25">
      <c r="A193" s="5">
        <v>44400</v>
      </c>
      <c r="B193">
        <v>0.1822</v>
      </c>
      <c r="C193">
        <v>0.19320000000000001</v>
      </c>
      <c r="D193">
        <v>0.17860000000000001</v>
      </c>
      <c r="E193">
        <v>0.18990000000000001</v>
      </c>
      <c r="F193">
        <v>5902143.0700000003</v>
      </c>
      <c r="G193">
        <v>0.18990000000000001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0.54794520547945247</v>
      </c>
      <c r="Q193">
        <f t="shared" ref="Q193" si="940">F193*P193</f>
        <v>3234050.9972602767</v>
      </c>
      <c r="R193">
        <f t="shared" ref="R193" si="941">R194+Q193</f>
        <v>-577729170.40320039</v>
      </c>
      <c r="S193">
        <f t="shared" ref="S193" si="942">R193/100000</f>
        <v>-5777.2917040320035</v>
      </c>
      <c r="T193">
        <f t="shared" si="934"/>
        <v>-5.7772917040320033</v>
      </c>
    </row>
    <row r="194" spans="1:20" x14ac:dyDescent="0.25">
      <c r="A194" s="5">
        <v>44399</v>
      </c>
      <c r="B194">
        <v>0.17460000000000001</v>
      </c>
      <c r="C194">
        <v>0.18840000000000001</v>
      </c>
      <c r="D194">
        <v>0.1716</v>
      </c>
      <c r="E194">
        <v>0.18229999999999999</v>
      </c>
      <c r="F194">
        <v>8333668.9500000002</v>
      </c>
      <c r="G194">
        <v>0.18229999999999999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0.27380952380952156</v>
      </c>
      <c r="Q194">
        <f t="shared" ref="Q194" si="944">F194*P194</f>
        <v>2281837.9267856954</v>
      </c>
      <c r="R194">
        <f t="shared" ref="R194" si="945">R195+Q194</f>
        <v>-580963221.40046072</v>
      </c>
      <c r="S194">
        <f t="shared" ref="S194" si="946">R194/100000</f>
        <v>-5809.6322140046068</v>
      </c>
      <c r="T194">
        <f t="shared" si="934"/>
        <v>-5.8096322140046066</v>
      </c>
    </row>
    <row r="195" spans="1:20" x14ac:dyDescent="0.25">
      <c r="A195" s="5">
        <v>44398</v>
      </c>
      <c r="B195">
        <v>0.15820000000000001</v>
      </c>
      <c r="C195">
        <v>0.188</v>
      </c>
      <c r="D195">
        <v>0.15509999999999999</v>
      </c>
      <c r="E195">
        <v>0.1744</v>
      </c>
      <c r="F195">
        <v>11662767.720000001</v>
      </c>
      <c r="G195">
        <v>0.1744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0.1732522796352586</v>
      </c>
      <c r="Q195">
        <f t="shared" ref="Q195" si="948">F195*P195</f>
        <v>2020601.0943465075</v>
      </c>
      <c r="R195">
        <f t="shared" ref="R195" si="949">R196+Q195</f>
        <v>-583245059.32724643</v>
      </c>
      <c r="S195">
        <f t="shared" ref="S195" si="950">R195/100000</f>
        <v>-5832.4505932724642</v>
      </c>
      <c r="T195">
        <f t="shared" si="934"/>
        <v>-5.8324505932724637</v>
      </c>
    </row>
    <row r="196" spans="1:20" x14ac:dyDescent="0.25">
      <c r="A196" s="5">
        <v>44397</v>
      </c>
      <c r="B196">
        <v>0.1681</v>
      </c>
      <c r="C196">
        <v>0.17169999999999999</v>
      </c>
      <c r="D196">
        <v>0.15290000000000001</v>
      </c>
      <c r="E196">
        <v>0.1583</v>
      </c>
      <c r="F196">
        <v>9661471.2699999996</v>
      </c>
      <c r="G196">
        <v>0.1583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-0.4255319148936178</v>
      </c>
      <c r="Q196">
        <f t="shared" ref="Q196" si="952">F196*P196</f>
        <v>-4111264.3702127733</v>
      </c>
      <c r="R196">
        <f t="shared" ref="R196" si="953">R197+Q196</f>
        <v>-585265660.42159295</v>
      </c>
      <c r="S196">
        <f t="shared" ref="S196" si="954">R196/100000</f>
        <v>-5852.6566042159293</v>
      </c>
      <c r="T196">
        <f t="shared" si="934"/>
        <v>-5.8526566042159294</v>
      </c>
    </row>
    <row r="197" spans="1:20" x14ac:dyDescent="0.25">
      <c r="A197" s="5">
        <v>44396</v>
      </c>
      <c r="B197">
        <v>0.18099999999999999</v>
      </c>
      <c r="C197">
        <v>0.18329999999999999</v>
      </c>
      <c r="D197">
        <v>0.1678</v>
      </c>
      <c r="E197">
        <v>0.1681</v>
      </c>
      <c r="F197">
        <v>5374059.1399999997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-0.96129032258064584</v>
      </c>
      <c r="Q197">
        <f t="shared" ref="Q197" si="956">F197*P197</f>
        <v>-5166031.0442580674</v>
      </c>
      <c r="R197">
        <f t="shared" ref="R197" si="957">R198+Q197</f>
        <v>-581154396.05138016</v>
      </c>
      <c r="S197">
        <f t="shared" ref="S197" si="958">R197/100000</f>
        <v>-5811.5439605138017</v>
      </c>
      <c r="T197">
        <f t="shared" si="934"/>
        <v>-5.8115439605138013</v>
      </c>
    </row>
    <row r="198" spans="1:20" x14ac:dyDescent="0.25">
      <c r="A198" s="5">
        <v>44395</v>
      </c>
      <c r="B198">
        <v>0.1817</v>
      </c>
      <c r="C198">
        <v>0.18779999999999999</v>
      </c>
      <c r="D198">
        <v>0.18</v>
      </c>
      <c r="E198">
        <v>0.18090000000000001</v>
      </c>
      <c r="F198">
        <v>2966520.82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-0.76923076923076616</v>
      </c>
      <c r="Q198">
        <f t="shared" ref="Q198:Q261" si="960">F198*P198</f>
        <v>-2281939.0923076831</v>
      </c>
      <c r="R198">
        <f t="shared" ref="R198:R261" si="961">R199+Q198</f>
        <v>-575988365.00712204</v>
      </c>
      <c r="S198">
        <f t="shared" ref="S198:S261" si="962">R198/100000</f>
        <v>-5759.8836500712205</v>
      </c>
      <c r="T198">
        <f t="shared" ref="T198:T261" si="963">S198/1000</f>
        <v>-5.7598836500712203</v>
      </c>
    </row>
    <row r="199" spans="1:20" x14ac:dyDescent="0.25">
      <c r="A199" s="5">
        <v>44394</v>
      </c>
      <c r="B199">
        <v>0.1767</v>
      </c>
      <c r="C199">
        <v>0.18970000000000001</v>
      </c>
      <c r="D199">
        <v>0.17630000000000001</v>
      </c>
      <c r="E199">
        <v>0.18149999999999999</v>
      </c>
      <c r="F199">
        <v>4991035.68</v>
      </c>
      <c r="G199">
        <v>0</v>
      </c>
      <c r="L199" t="s">
        <v>8</v>
      </c>
      <c r="M199" t="s">
        <v>7</v>
      </c>
      <c r="N199" t="s">
        <v>7</v>
      </c>
      <c r="P199">
        <f t="shared" si="959"/>
        <v>-0.22388059701492771</v>
      </c>
      <c r="Q199">
        <f t="shared" si="960"/>
        <v>-1117396.0477612056</v>
      </c>
      <c r="R199">
        <f t="shared" si="961"/>
        <v>-573706425.91481435</v>
      </c>
      <c r="S199">
        <f t="shared" si="962"/>
        <v>-5737.0642591481437</v>
      </c>
      <c r="T199">
        <f t="shared" si="963"/>
        <v>-5.737064259148144</v>
      </c>
    </row>
    <row r="200" spans="1:20" x14ac:dyDescent="0.25">
      <c r="A200" s="5">
        <v>44393</v>
      </c>
      <c r="B200">
        <v>0.19370000000000001</v>
      </c>
      <c r="C200">
        <v>0.1953</v>
      </c>
      <c r="D200">
        <v>0.17610000000000001</v>
      </c>
      <c r="E200">
        <v>0.17680000000000001</v>
      </c>
      <c r="F200">
        <v>7746197.4000000004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-0.9270833333333327</v>
      </c>
      <c r="Q200">
        <f t="shared" si="960"/>
        <v>-7181370.5062499959</v>
      </c>
      <c r="R200">
        <f t="shared" si="961"/>
        <v>-572589029.86705315</v>
      </c>
      <c r="S200">
        <f t="shared" si="962"/>
        <v>-5725.8902986705316</v>
      </c>
      <c r="T200">
        <f t="shared" si="963"/>
        <v>-5.7258902986705316</v>
      </c>
    </row>
    <row r="201" spans="1:20" x14ac:dyDescent="0.25">
      <c r="A201" s="5">
        <v>44392</v>
      </c>
      <c r="B201">
        <v>0.19550000000000001</v>
      </c>
      <c r="C201">
        <v>0.2104</v>
      </c>
      <c r="D201">
        <v>0.19009999999999999</v>
      </c>
      <c r="E201">
        <v>0.19359999999999999</v>
      </c>
      <c r="F201">
        <v>7889442.7599999998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-0.65517241379310331</v>
      </c>
      <c r="Q201">
        <f t="shared" si="960"/>
        <v>-5168945.256551723</v>
      </c>
      <c r="R201">
        <f t="shared" si="961"/>
        <v>-565407659.36080313</v>
      </c>
      <c r="S201">
        <f t="shared" si="962"/>
        <v>-5654.0765936080315</v>
      </c>
      <c r="T201">
        <f t="shared" si="963"/>
        <v>-5.6540765936080319</v>
      </c>
    </row>
    <row r="202" spans="1:20" x14ac:dyDescent="0.25">
      <c r="A202" s="5">
        <v>44391</v>
      </c>
      <c r="B202">
        <v>0.19869999999999999</v>
      </c>
      <c r="C202">
        <v>0.20300000000000001</v>
      </c>
      <c r="D202">
        <v>0.186</v>
      </c>
      <c r="E202">
        <v>0.19550000000000001</v>
      </c>
      <c r="F202">
        <v>9682624.6999999993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0.11764705882352941</v>
      </c>
      <c r="Q202">
        <f t="shared" si="960"/>
        <v>1139132.3176470587</v>
      </c>
      <c r="R202">
        <f t="shared" si="961"/>
        <v>-560238714.10425138</v>
      </c>
      <c r="S202">
        <f t="shared" si="962"/>
        <v>-5602.3871410425136</v>
      </c>
      <c r="T202">
        <f t="shared" si="963"/>
        <v>-5.6023871410425139</v>
      </c>
    </row>
    <row r="203" spans="1:20" x14ac:dyDescent="0.25">
      <c r="A203" s="5">
        <v>44390</v>
      </c>
      <c r="B203">
        <v>0.2044</v>
      </c>
      <c r="C203">
        <v>0.2077</v>
      </c>
      <c r="D203">
        <v>0.19489999999999999</v>
      </c>
      <c r="E203">
        <v>0.1986</v>
      </c>
      <c r="F203">
        <v>3383906.04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-0.42187499999999889</v>
      </c>
      <c r="Q203">
        <f t="shared" si="960"/>
        <v>-1427585.3606249962</v>
      </c>
      <c r="R203">
        <f t="shared" si="961"/>
        <v>-561377846.42189848</v>
      </c>
      <c r="S203">
        <f t="shared" si="962"/>
        <v>-5613.7784642189845</v>
      </c>
      <c r="T203">
        <f t="shared" si="963"/>
        <v>-5.6137784642189841</v>
      </c>
    </row>
    <row r="204" spans="1:20" x14ac:dyDescent="0.25">
      <c r="A204" s="5">
        <v>44389</v>
      </c>
      <c r="B204">
        <v>0.2137</v>
      </c>
      <c r="C204">
        <v>0.21640000000000001</v>
      </c>
      <c r="D204">
        <v>0.1991</v>
      </c>
      <c r="E204">
        <v>0.20499999999999999</v>
      </c>
      <c r="F204">
        <v>5152152.8499999996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-0.3179190751445104</v>
      </c>
      <c r="Q204">
        <f t="shared" si="960"/>
        <v>-1637967.6690751533</v>
      </c>
      <c r="R204">
        <f t="shared" si="961"/>
        <v>-559950261.06127346</v>
      </c>
      <c r="S204">
        <f t="shared" si="962"/>
        <v>-5599.5026106127343</v>
      </c>
      <c r="T204">
        <f t="shared" si="963"/>
        <v>-5.5995026106127339</v>
      </c>
    </row>
    <row r="205" spans="1:20" x14ac:dyDescent="0.25">
      <c r="A205" s="5">
        <v>44388</v>
      </c>
      <c r="B205">
        <v>0.21329999999999999</v>
      </c>
      <c r="C205">
        <v>0.2198</v>
      </c>
      <c r="D205">
        <v>0.2107</v>
      </c>
      <c r="E205">
        <v>0.21479999999999999</v>
      </c>
      <c r="F205">
        <v>7061436.1399999997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-9.8901098901100243E-2</v>
      </c>
      <c r="Q205">
        <f t="shared" si="960"/>
        <v>-698383.79406594345</v>
      </c>
      <c r="R205">
        <f t="shared" si="961"/>
        <v>-558312293.39219832</v>
      </c>
      <c r="S205">
        <f t="shared" si="962"/>
        <v>-5583.1229339219835</v>
      </c>
      <c r="T205">
        <f t="shared" si="963"/>
        <v>-5.5831229339219837</v>
      </c>
    </row>
    <row r="206" spans="1:20" x14ac:dyDescent="0.25">
      <c r="A206" s="5">
        <v>44387</v>
      </c>
      <c r="B206">
        <v>0.215</v>
      </c>
      <c r="C206">
        <v>0.2271</v>
      </c>
      <c r="D206">
        <v>0.2087</v>
      </c>
      <c r="E206">
        <v>0.21360000000000001</v>
      </c>
      <c r="F206">
        <v>6058916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-0.46739130434782439</v>
      </c>
      <c r="Q206">
        <f t="shared" si="960"/>
        <v>-2831884.6521739028</v>
      </c>
      <c r="R206">
        <f t="shared" si="961"/>
        <v>-557613909.59813237</v>
      </c>
      <c r="S206">
        <f t="shared" si="962"/>
        <v>-5576.1390959813234</v>
      </c>
      <c r="T206">
        <f t="shared" si="963"/>
        <v>-5.5761390959813237</v>
      </c>
    </row>
    <row r="207" spans="1:20" x14ac:dyDescent="0.25">
      <c r="A207" s="5">
        <v>44386</v>
      </c>
      <c r="B207">
        <v>0.2137</v>
      </c>
      <c r="C207">
        <v>0.22</v>
      </c>
      <c r="D207">
        <v>0.20230000000000001</v>
      </c>
      <c r="E207">
        <v>0.215</v>
      </c>
      <c r="F207">
        <v>11202169.82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0.43502824858756989</v>
      </c>
      <c r="Q207">
        <f t="shared" si="960"/>
        <v>4873260.3171751332</v>
      </c>
      <c r="R207">
        <f t="shared" si="961"/>
        <v>-554782024.9459585</v>
      </c>
      <c r="S207">
        <f t="shared" si="962"/>
        <v>-5547.8202494595853</v>
      </c>
      <c r="T207">
        <f t="shared" si="963"/>
        <v>-5.5478202494595852</v>
      </c>
    </row>
    <row r="208" spans="1:20" x14ac:dyDescent="0.25">
      <c r="A208" s="5">
        <v>44385</v>
      </c>
      <c r="B208">
        <v>0.22670000000000001</v>
      </c>
      <c r="C208">
        <v>0.2281</v>
      </c>
      <c r="D208">
        <v>0.21049999999999999</v>
      </c>
      <c r="E208">
        <v>0.21340000000000001</v>
      </c>
      <c r="F208">
        <v>20768294.539999999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-0.67045454545454397</v>
      </c>
      <c r="Q208">
        <f t="shared" si="960"/>
        <v>-13924197.475681787</v>
      </c>
      <c r="R208">
        <f t="shared" si="961"/>
        <v>-559655285.26313365</v>
      </c>
      <c r="S208">
        <f t="shared" si="962"/>
        <v>-5596.5528526313365</v>
      </c>
      <c r="T208">
        <f t="shared" si="963"/>
        <v>-5.5965528526313362</v>
      </c>
    </row>
    <row r="209" spans="1:20" x14ac:dyDescent="0.25">
      <c r="A209" s="5">
        <v>44384</v>
      </c>
      <c r="B209">
        <v>0.22539999999999999</v>
      </c>
      <c r="C209">
        <v>0.245</v>
      </c>
      <c r="D209">
        <v>0.22170000000000001</v>
      </c>
      <c r="E209">
        <v>0.22689999999999999</v>
      </c>
      <c r="F209">
        <v>32984422.239999998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-0.5536480686695292</v>
      </c>
      <c r="Q209">
        <f t="shared" si="960"/>
        <v>-18261761.669356264</v>
      </c>
      <c r="R209">
        <f t="shared" si="961"/>
        <v>-545731087.78745186</v>
      </c>
      <c r="S209">
        <f t="shared" si="962"/>
        <v>-5457.3108778745191</v>
      </c>
      <c r="T209">
        <f t="shared" si="963"/>
        <v>-5.4573108778745194</v>
      </c>
    </row>
    <row r="210" spans="1:20" x14ac:dyDescent="0.25">
      <c r="A210" s="5">
        <v>44383</v>
      </c>
      <c r="B210">
        <v>0.21659999999999999</v>
      </c>
      <c r="C210">
        <v>0.23130000000000001</v>
      </c>
      <c r="D210">
        <v>0.21629999999999999</v>
      </c>
      <c r="E210">
        <v>0.22539999999999999</v>
      </c>
      <c r="F210">
        <v>35407370.630000003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0.21333333333333185</v>
      </c>
      <c r="Q210">
        <f t="shared" si="960"/>
        <v>7553572.4010666143</v>
      </c>
      <c r="R210">
        <f t="shared" si="961"/>
        <v>-527469326.11809558</v>
      </c>
      <c r="S210">
        <f t="shared" si="962"/>
        <v>-5274.6932611809561</v>
      </c>
      <c r="T210">
        <f t="shared" si="963"/>
        <v>-5.274693261180956</v>
      </c>
    </row>
    <row r="211" spans="1:20" x14ac:dyDescent="0.25">
      <c r="A211" s="5">
        <v>44382</v>
      </c>
      <c r="B211">
        <v>0.22570000000000001</v>
      </c>
      <c r="C211">
        <v>0.2258</v>
      </c>
      <c r="D211">
        <v>0.2102</v>
      </c>
      <c r="E211">
        <v>0.21679999999999999</v>
      </c>
      <c r="F211">
        <v>5464736.0899999999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-0.15384615384615466</v>
      </c>
      <c r="Q211">
        <f t="shared" si="960"/>
        <v>-840728.62923077366</v>
      </c>
      <c r="R211">
        <f t="shared" si="961"/>
        <v>-535022898.51916218</v>
      </c>
      <c r="S211">
        <f t="shared" si="962"/>
        <v>-5350.2289851916221</v>
      </c>
      <c r="T211">
        <f t="shared" si="963"/>
        <v>-5.350228985191622</v>
      </c>
    </row>
    <row r="212" spans="1:20" x14ac:dyDescent="0.25">
      <c r="A212" s="5">
        <v>44381</v>
      </c>
      <c r="B212">
        <v>0.22309999999999999</v>
      </c>
      <c r="C212">
        <v>0.2344</v>
      </c>
      <c r="D212">
        <v>0.21690000000000001</v>
      </c>
      <c r="E212">
        <v>0.22639999999999999</v>
      </c>
      <c r="F212">
        <v>8440953.3100000005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8.5714285714284258E-2</v>
      </c>
      <c r="Q212">
        <f t="shared" si="960"/>
        <v>723510.28371427348</v>
      </c>
      <c r="R212">
        <f t="shared" si="961"/>
        <v>-534182169.88993138</v>
      </c>
      <c r="S212">
        <f t="shared" si="962"/>
        <v>-5341.8216988993136</v>
      </c>
      <c r="T212">
        <f t="shared" si="963"/>
        <v>-5.3418216988993139</v>
      </c>
    </row>
    <row r="213" spans="1:20" x14ac:dyDescent="0.25">
      <c r="A213" s="5">
        <v>44380</v>
      </c>
      <c r="B213">
        <v>0.21929999999999999</v>
      </c>
      <c r="C213">
        <v>0.22819999999999999</v>
      </c>
      <c r="D213">
        <v>0.2142</v>
      </c>
      <c r="E213">
        <v>0.223</v>
      </c>
      <c r="F213">
        <v>5766666.1900000004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0.25714285714285884</v>
      </c>
      <c r="Q213">
        <f t="shared" si="960"/>
        <v>1482857.0202857242</v>
      </c>
      <c r="R213">
        <f t="shared" si="961"/>
        <v>-534905680.17364568</v>
      </c>
      <c r="S213">
        <f t="shared" si="962"/>
        <v>-5349.0568017364567</v>
      </c>
      <c r="T213">
        <f t="shared" si="963"/>
        <v>-5.3490568017364568</v>
      </c>
    </row>
    <row r="214" spans="1:20" x14ac:dyDescent="0.25">
      <c r="A214" s="5">
        <v>44379</v>
      </c>
      <c r="B214">
        <v>0.224</v>
      </c>
      <c r="C214">
        <v>0.2286</v>
      </c>
      <c r="D214">
        <v>0.21</v>
      </c>
      <c r="E214">
        <v>0.21929999999999999</v>
      </c>
      <c r="F214">
        <v>7855404.6699999999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</v>
      </c>
      <c r="Q214">
        <f t="shared" si="960"/>
        <v>0</v>
      </c>
      <c r="R214">
        <f t="shared" si="961"/>
        <v>-536388537.1939314</v>
      </c>
      <c r="S214">
        <f t="shared" si="962"/>
        <v>-5363.8853719393137</v>
      </c>
      <c r="T214">
        <f t="shared" si="963"/>
        <v>-5.3638853719393138</v>
      </c>
    </row>
    <row r="215" spans="1:20" x14ac:dyDescent="0.25">
      <c r="A215" s="5">
        <v>44378</v>
      </c>
      <c r="B215">
        <v>0.23130000000000001</v>
      </c>
      <c r="C215">
        <v>0.23880000000000001</v>
      </c>
      <c r="D215">
        <v>0.21809999999999999</v>
      </c>
      <c r="E215">
        <v>0.22409999999999999</v>
      </c>
      <c r="F215">
        <v>15404982.369999999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-0.42028985507246391</v>
      </c>
      <c r="Q215">
        <f t="shared" si="960"/>
        <v>-6474557.807681161</v>
      </c>
      <c r="R215">
        <f t="shared" si="961"/>
        <v>-536388537.1939314</v>
      </c>
      <c r="S215">
        <f t="shared" si="962"/>
        <v>-5363.8853719393137</v>
      </c>
      <c r="T215">
        <f t="shared" si="963"/>
        <v>-5.3638853719393138</v>
      </c>
    </row>
    <row r="216" spans="1:20" x14ac:dyDescent="0.25">
      <c r="A216" s="5">
        <v>44377</v>
      </c>
      <c r="B216">
        <v>0.22800000000000001</v>
      </c>
      <c r="C216">
        <v>0.2339</v>
      </c>
      <c r="D216">
        <v>0.21379999999999999</v>
      </c>
      <c r="E216">
        <v>0.2311</v>
      </c>
      <c r="F216">
        <v>10079435.32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0.72139303482587103</v>
      </c>
      <c r="Q216">
        <f t="shared" si="960"/>
        <v>7271234.4348258749</v>
      </c>
      <c r="R216">
        <f t="shared" si="961"/>
        <v>-529913979.38625026</v>
      </c>
      <c r="S216">
        <f t="shared" si="962"/>
        <v>-5299.1397938625023</v>
      </c>
      <c r="T216">
        <f t="shared" si="963"/>
        <v>-5.2991397938625022</v>
      </c>
    </row>
    <row r="217" spans="1:20" x14ac:dyDescent="0.25">
      <c r="A217" s="5">
        <v>44376</v>
      </c>
      <c r="B217">
        <v>0.2215</v>
      </c>
      <c r="C217">
        <v>0.251</v>
      </c>
      <c r="D217">
        <v>0.21890000000000001</v>
      </c>
      <c r="E217">
        <v>0.22800000000000001</v>
      </c>
      <c r="F217">
        <v>12545764.220000001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-0.43302180685358255</v>
      </c>
      <c r="Q217">
        <f t="shared" si="960"/>
        <v>-5432589.4909034269</v>
      </c>
      <c r="R217">
        <f t="shared" si="961"/>
        <v>-537185213.82107615</v>
      </c>
      <c r="S217">
        <f t="shared" si="962"/>
        <v>-5371.852138210762</v>
      </c>
      <c r="T217">
        <f t="shared" si="963"/>
        <v>-5.3718521382107616</v>
      </c>
    </row>
    <row r="218" spans="1:20" x14ac:dyDescent="0.25">
      <c r="A218" s="5">
        <v>44375</v>
      </c>
      <c r="B218">
        <v>0.21840000000000001</v>
      </c>
      <c r="C218">
        <v>0.22620000000000001</v>
      </c>
      <c r="D218">
        <v>0.2104</v>
      </c>
      <c r="E218">
        <v>0.22170000000000001</v>
      </c>
      <c r="F218">
        <v>9538413.5899999999</v>
      </c>
      <c r="G218">
        <v>0</v>
      </c>
      <c r="L218" t="s">
        <v>7</v>
      </c>
      <c r="M218" t="s">
        <v>8</v>
      </c>
      <c r="N218" t="s">
        <v>7</v>
      </c>
      <c r="P218">
        <f t="shared" si="959"/>
        <v>0.43037974683544283</v>
      </c>
      <c r="Q218">
        <f t="shared" si="960"/>
        <v>4105140.0260759476</v>
      </c>
      <c r="R218">
        <f t="shared" si="961"/>
        <v>-531752624.33017272</v>
      </c>
      <c r="S218">
        <f t="shared" si="962"/>
        <v>-5317.5262433017269</v>
      </c>
      <c r="T218">
        <f t="shared" si="963"/>
        <v>-5.3175262433017272</v>
      </c>
    </row>
    <row r="219" spans="1:20" x14ac:dyDescent="0.25">
      <c r="A219" s="5">
        <v>44374</v>
      </c>
      <c r="B219">
        <v>0.20030000000000001</v>
      </c>
      <c r="C219">
        <v>0.22900000000000001</v>
      </c>
      <c r="D219">
        <v>0.19700000000000001</v>
      </c>
      <c r="E219">
        <v>0.21779999999999999</v>
      </c>
      <c r="F219">
        <v>13476959.5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0.29999999999999905</v>
      </c>
      <c r="Q219">
        <f t="shared" si="960"/>
        <v>4043087.8499999871</v>
      </c>
      <c r="R219">
        <f t="shared" si="961"/>
        <v>-535857764.35624868</v>
      </c>
      <c r="S219">
        <f t="shared" si="962"/>
        <v>-5358.5776435624866</v>
      </c>
      <c r="T219">
        <f t="shared" si="963"/>
        <v>-5.3585776435624863</v>
      </c>
    </row>
    <row r="220" spans="1:20" x14ac:dyDescent="0.25">
      <c r="A220" s="5">
        <v>44373</v>
      </c>
      <c r="B220">
        <v>0.19620000000000001</v>
      </c>
      <c r="C220">
        <v>0.2039</v>
      </c>
      <c r="D220">
        <v>0.18429999999999999</v>
      </c>
      <c r="E220">
        <v>0.2009</v>
      </c>
      <c r="F220">
        <v>7108175.7199999997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0.69387755102040793</v>
      </c>
      <c r="Q220">
        <f t="shared" si="960"/>
        <v>4932203.5608163243</v>
      </c>
      <c r="R220">
        <f t="shared" si="961"/>
        <v>-539900852.20624864</v>
      </c>
      <c r="S220">
        <f t="shared" si="962"/>
        <v>-5399.008522062486</v>
      </c>
      <c r="T220">
        <f t="shared" si="963"/>
        <v>-5.3990085220624859</v>
      </c>
    </row>
    <row r="221" spans="1:20" x14ac:dyDescent="0.25">
      <c r="A221" s="5">
        <v>44372</v>
      </c>
      <c r="B221">
        <v>0.22500000000000001</v>
      </c>
      <c r="C221">
        <v>0.23269999999999999</v>
      </c>
      <c r="D221">
        <v>0.19500000000000001</v>
      </c>
      <c r="E221">
        <v>0.19620000000000001</v>
      </c>
      <c r="F221">
        <v>9232581.8499999996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-0.93633952254641872</v>
      </c>
      <c r="Q221">
        <f t="shared" si="960"/>
        <v>-8644831.2812997308</v>
      </c>
      <c r="R221">
        <f t="shared" si="961"/>
        <v>-544833055.76706493</v>
      </c>
      <c r="S221">
        <f t="shared" si="962"/>
        <v>-5448.3305576706489</v>
      </c>
      <c r="T221">
        <f t="shared" si="963"/>
        <v>-5.4483305576706487</v>
      </c>
    </row>
    <row r="222" spans="1:20" x14ac:dyDescent="0.25">
      <c r="A222" s="5">
        <v>44371</v>
      </c>
      <c r="B222">
        <v>0.21779999999999999</v>
      </c>
      <c r="C222">
        <v>0.23319999999999999</v>
      </c>
      <c r="D222">
        <v>0.20569999999999999</v>
      </c>
      <c r="E222">
        <v>0.22500000000000001</v>
      </c>
      <c r="F222">
        <v>7857642.9299999997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0.40363636363636463</v>
      </c>
      <c r="Q222">
        <f t="shared" si="960"/>
        <v>3171630.4190181894</v>
      </c>
      <c r="R222">
        <f t="shared" si="961"/>
        <v>-536188224.48576516</v>
      </c>
      <c r="S222">
        <f t="shared" si="962"/>
        <v>-5361.882244857652</v>
      </c>
      <c r="T222">
        <f t="shared" si="963"/>
        <v>-5.361882244857652</v>
      </c>
    </row>
    <row r="223" spans="1:20" x14ac:dyDescent="0.25">
      <c r="A223" s="5">
        <v>44370</v>
      </c>
      <c r="B223">
        <v>0.20610000000000001</v>
      </c>
      <c r="C223">
        <v>0.23469999999999999</v>
      </c>
      <c r="D223">
        <v>0.1961</v>
      </c>
      <c r="E223">
        <v>0.21729999999999999</v>
      </c>
      <c r="F223">
        <v>11180399.189999999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9.8445595854922241E-2</v>
      </c>
      <c r="Q223">
        <f t="shared" si="960"/>
        <v>1100661.0601554399</v>
      </c>
      <c r="R223">
        <f t="shared" si="961"/>
        <v>-539359854.90478337</v>
      </c>
      <c r="S223">
        <f t="shared" si="962"/>
        <v>-5393.5985490478333</v>
      </c>
      <c r="T223">
        <f t="shared" si="963"/>
        <v>-5.3935985490478338</v>
      </c>
    </row>
    <row r="224" spans="1:20" x14ac:dyDescent="0.25">
      <c r="A224" s="5">
        <v>44369</v>
      </c>
      <c r="B224">
        <v>0.21229999999999999</v>
      </c>
      <c r="C224">
        <v>0.22900000000000001</v>
      </c>
      <c r="D224">
        <v>0.1724</v>
      </c>
      <c r="E224">
        <v>0.20569999999999999</v>
      </c>
      <c r="F224">
        <v>20176270.370000001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0.1766784452296816</v>
      </c>
      <c r="Q224">
        <f t="shared" si="960"/>
        <v>3564712.0795052927</v>
      </c>
      <c r="R224">
        <f t="shared" si="961"/>
        <v>-540460515.96493876</v>
      </c>
      <c r="S224">
        <f t="shared" si="962"/>
        <v>-5404.605159649388</v>
      </c>
      <c r="T224">
        <f t="shared" si="963"/>
        <v>-5.404605159649388</v>
      </c>
    </row>
    <row r="225" spans="1:20" x14ac:dyDescent="0.25">
      <c r="A225" s="5">
        <v>44368</v>
      </c>
      <c r="B225">
        <v>0.27350000000000002</v>
      </c>
      <c r="C225">
        <v>0.27629999999999999</v>
      </c>
      <c r="D225">
        <v>0.21129999999999999</v>
      </c>
      <c r="E225">
        <v>0.21229999999999999</v>
      </c>
      <c r="F225">
        <v>14481421.630000001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-0.96923076923076923</v>
      </c>
      <c r="Q225">
        <f t="shared" si="960"/>
        <v>-14035839.426000001</v>
      </c>
      <c r="R225">
        <f t="shared" si="961"/>
        <v>-544025228.04444408</v>
      </c>
      <c r="S225">
        <f t="shared" si="962"/>
        <v>-5440.2522804444407</v>
      </c>
      <c r="T225">
        <f t="shared" si="963"/>
        <v>-5.4402522804444411</v>
      </c>
    </row>
    <row r="226" spans="1:20" x14ac:dyDescent="0.25">
      <c r="A226" s="5">
        <v>44367</v>
      </c>
      <c r="B226">
        <v>0.2767</v>
      </c>
      <c r="C226">
        <v>0.2853</v>
      </c>
      <c r="D226">
        <v>0.2437</v>
      </c>
      <c r="E226">
        <v>0.2732</v>
      </c>
      <c r="F226">
        <v>16124377.689999999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0.41826923076923078</v>
      </c>
      <c r="Q226">
        <f t="shared" si="960"/>
        <v>6744331.0530288462</v>
      </c>
      <c r="R226">
        <f t="shared" si="961"/>
        <v>-529989388.61844409</v>
      </c>
      <c r="S226">
        <f t="shared" si="962"/>
        <v>-5299.8938861844408</v>
      </c>
      <c r="T226">
        <f t="shared" si="963"/>
        <v>-5.2998938861844405</v>
      </c>
    </row>
    <row r="227" spans="1:20" x14ac:dyDescent="0.25">
      <c r="A227" s="5">
        <v>44366</v>
      </c>
      <c r="B227">
        <v>0.29630000000000001</v>
      </c>
      <c r="C227">
        <v>0.30790000000000001</v>
      </c>
      <c r="D227">
        <v>0.27310000000000001</v>
      </c>
      <c r="E227">
        <v>0.27639999999999998</v>
      </c>
      <c r="F227">
        <v>25134526.57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-0.81034482758620863</v>
      </c>
      <c r="Q227">
        <f t="shared" si="960"/>
        <v>-20367633.599827629</v>
      </c>
      <c r="R227">
        <f t="shared" si="961"/>
        <v>-536733719.67147291</v>
      </c>
      <c r="S227">
        <f t="shared" si="962"/>
        <v>-5367.3371967147286</v>
      </c>
      <c r="T227">
        <f t="shared" si="963"/>
        <v>-5.367337196714729</v>
      </c>
    </row>
    <row r="228" spans="1:20" x14ac:dyDescent="0.25">
      <c r="A228" s="5">
        <v>44365</v>
      </c>
      <c r="B228">
        <v>0.28870000000000001</v>
      </c>
      <c r="C228">
        <v>0.34250000000000003</v>
      </c>
      <c r="D228">
        <v>0.27289999999999998</v>
      </c>
      <c r="E228">
        <v>0.29630000000000001</v>
      </c>
      <c r="F228">
        <v>67594289.739999995</v>
      </c>
      <c r="G228">
        <v>0</v>
      </c>
      <c r="L228" t="s">
        <v>7</v>
      </c>
      <c r="M228" t="s">
        <v>8</v>
      </c>
      <c r="N228" t="s">
        <v>7</v>
      </c>
      <c r="P228">
        <f t="shared" si="959"/>
        <v>-0.32758620689655132</v>
      </c>
      <c r="Q228">
        <f t="shared" si="960"/>
        <v>-22142956.983793076</v>
      </c>
      <c r="R228">
        <f t="shared" si="961"/>
        <v>-516366086.07164526</v>
      </c>
      <c r="S228">
        <f t="shared" si="962"/>
        <v>-5163.6608607164526</v>
      </c>
      <c r="T228">
        <f t="shared" si="963"/>
        <v>-5.1636608607164529</v>
      </c>
    </row>
    <row r="229" spans="1:20" x14ac:dyDescent="0.25">
      <c r="A229" s="5">
        <v>44364</v>
      </c>
      <c r="B229">
        <v>0.28670000000000001</v>
      </c>
      <c r="C229">
        <v>0.3014</v>
      </c>
      <c r="D229">
        <v>0.28000000000000003</v>
      </c>
      <c r="E229">
        <v>0.2888</v>
      </c>
      <c r="F229">
        <v>5482845.9500000002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-0.17757009345794533</v>
      </c>
      <c r="Q229">
        <f t="shared" si="960"/>
        <v>-973589.46775701712</v>
      </c>
      <c r="R229">
        <f t="shared" si="961"/>
        <v>-494223129.08785218</v>
      </c>
      <c r="S229">
        <f t="shared" si="962"/>
        <v>-4942.2312908785216</v>
      </c>
      <c r="T229">
        <f t="shared" si="963"/>
        <v>-4.9422312908785218</v>
      </c>
    </row>
    <row r="230" spans="1:20" x14ac:dyDescent="0.25">
      <c r="A230" s="5">
        <v>44363</v>
      </c>
      <c r="B230">
        <v>0.3054</v>
      </c>
      <c r="C230">
        <v>0.31130000000000002</v>
      </c>
      <c r="D230">
        <v>0.28370000000000001</v>
      </c>
      <c r="E230">
        <v>0.28670000000000001</v>
      </c>
      <c r="F230">
        <v>9404239.9600000009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-0.78260869565217384</v>
      </c>
      <c r="Q230">
        <f t="shared" si="960"/>
        <v>-7359839.9686956517</v>
      </c>
      <c r="R230">
        <f t="shared" si="961"/>
        <v>-493249539.62009513</v>
      </c>
      <c r="S230">
        <f t="shared" si="962"/>
        <v>-4932.4953962009513</v>
      </c>
      <c r="T230">
        <f t="shared" si="963"/>
        <v>-4.9324953962009515</v>
      </c>
    </row>
    <row r="231" spans="1:20" x14ac:dyDescent="0.25">
      <c r="A231" s="5">
        <v>44362</v>
      </c>
      <c r="B231">
        <v>0.31809999999999999</v>
      </c>
      <c r="C231">
        <v>0.33</v>
      </c>
      <c r="D231">
        <v>0.29930000000000001</v>
      </c>
      <c r="E231">
        <v>0.30499999999999999</v>
      </c>
      <c r="F231">
        <v>12088463.470000001</v>
      </c>
      <c r="G231">
        <v>0</v>
      </c>
      <c r="L231" t="s">
        <v>7</v>
      </c>
      <c r="M231" t="s">
        <v>7</v>
      </c>
      <c r="N231" t="s">
        <v>7</v>
      </c>
      <c r="P231">
        <f t="shared" si="959"/>
        <v>-0.62866449511400768</v>
      </c>
      <c r="Q231">
        <f t="shared" si="960"/>
        <v>-7599587.7840716755</v>
      </c>
      <c r="R231">
        <f t="shared" si="961"/>
        <v>-485889699.65139949</v>
      </c>
      <c r="S231">
        <f t="shared" si="962"/>
        <v>-4858.896996513995</v>
      </c>
      <c r="T231">
        <f t="shared" si="963"/>
        <v>-4.8588969965139945</v>
      </c>
    </row>
    <row r="232" spans="1:20" x14ac:dyDescent="0.25">
      <c r="A232" s="5">
        <v>44361</v>
      </c>
      <c r="B232">
        <v>0.311</v>
      </c>
      <c r="C232">
        <v>0.34</v>
      </c>
      <c r="D232">
        <v>0.3019</v>
      </c>
      <c r="E232">
        <v>0.31890000000000002</v>
      </c>
      <c r="F232">
        <v>16676869.42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-0.10761154855643018</v>
      </c>
      <c r="Q232">
        <f t="shared" si="960"/>
        <v>-1794623.7433595755</v>
      </c>
      <c r="R232">
        <f t="shared" si="961"/>
        <v>-478290111.86732781</v>
      </c>
      <c r="S232">
        <f t="shared" si="962"/>
        <v>-4782.9011186732778</v>
      </c>
      <c r="T232">
        <f t="shared" si="963"/>
        <v>-4.7829011186732782</v>
      </c>
    </row>
    <row r="233" spans="1:20" x14ac:dyDescent="0.25">
      <c r="A233" s="5">
        <v>44360</v>
      </c>
      <c r="B233">
        <v>0.29920000000000002</v>
      </c>
      <c r="C233">
        <v>0.3271</v>
      </c>
      <c r="D233">
        <v>0.28599999999999998</v>
      </c>
      <c r="E233">
        <v>0.31090000000000001</v>
      </c>
      <c r="F233">
        <v>41020562.93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0.2116788321167892</v>
      </c>
      <c r="Q233">
        <f t="shared" si="960"/>
        <v>8683184.8537956569</v>
      </c>
      <c r="R233">
        <f t="shared" si="961"/>
        <v>-476495488.12396824</v>
      </c>
      <c r="S233">
        <f t="shared" si="962"/>
        <v>-4764.9548812396824</v>
      </c>
      <c r="T233">
        <f t="shared" si="963"/>
        <v>-4.7649548812396825</v>
      </c>
    </row>
    <row r="234" spans="1:20" x14ac:dyDescent="0.25">
      <c r="A234" s="5">
        <v>44359</v>
      </c>
      <c r="B234">
        <v>0.28289999999999998</v>
      </c>
      <c r="C234">
        <v>0.3947</v>
      </c>
      <c r="D234">
        <v>0.2676</v>
      </c>
      <c r="E234">
        <v>0.29899999999999999</v>
      </c>
      <c r="F234">
        <v>165543685.94</v>
      </c>
      <c r="G234">
        <v>0</v>
      </c>
      <c r="L234" t="s">
        <v>7</v>
      </c>
      <c r="M234" t="s">
        <v>8</v>
      </c>
      <c r="N234" t="s">
        <v>8</v>
      </c>
      <c r="P234">
        <f t="shared" si="959"/>
        <v>-0.50590086546026769</v>
      </c>
      <c r="Q234">
        <f t="shared" si="960"/>
        <v>-83748693.988528743</v>
      </c>
      <c r="R234">
        <f t="shared" si="961"/>
        <v>-485178672.97776389</v>
      </c>
      <c r="S234">
        <f t="shared" si="962"/>
        <v>-4851.7867297776393</v>
      </c>
      <c r="T234">
        <f t="shared" si="963"/>
        <v>-4.8517867297776389</v>
      </c>
    </row>
    <row r="235" spans="1:20" x14ac:dyDescent="0.25">
      <c r="A235" s="5">
        <v>44358</v>
      </c>
      <c r="B235">
        <v>0.29220000000000002</v>
      </c>
      <c r="C235">
        <v>0.33410000000000001</v>
      </c>
      <c r="D235">
        <v>0.27250000000000002</v>
      </c>
      <c r="E235">
        <v>0.2828</v>
      </c>
      <c r="F235">
        <v>41002758.25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-0.66558441558441628</v>
      </c>
      <c r="Q235">
        <f t="shared" si="960"/>
        <v>-27290796.887175351</v>
      </c>
      <c r="R235">
        <f t="shared" si="961"/>
        <v>-401429978.98923516</v>
      </c>
      <c r="S235">
        <f t="shared" si="962"/>
        <v>-4014.2997898923518</v>
      </c>
      <c r="T235">
        <f t="shared" si="963"/>
        <v>-4.0142997898923518</v>
      </c>
    </row>
    <row r="236" spans="1:20" x14ac:dyDescent="0.25">
      <c r="A236" s="5">
        <v>44357</v>
      </c>
      <c r="B236">
        <v>0.314</v>
      </c>
      <c r="C236">
        <v>0.31740000000000002</v>
      </c>
      <c r="D236">
        <v>0.28039999999999998</v>
      </c>
      <c r="E236">
        <v>0.29060000000000002</v>
      </c>
      <c r="F236">
        <v>8994706.1400000006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-0.44864864864864684</v>
      </c>
      <c r="Q236">
        <f t="shared" si="960"/>
        <v>-4035462.7547026868</v>
      </c>
      <c r="R236">
        <f t="shared" si="961"/>
        <v>-374139182.10205978</v>
      </c>
      <c r="S236">
        <f t="shared" si="962"/>
        <v>-3741.3918210205979</v>
      </c>
      <c r="T236">
        <f t="shared" si="963"/>
        <v>-3.7413918210205979</v>
      </c>
    </row>
    <row r="237" spans="1:20" x14ac:dyDescent="0.25">
      <c r="A237" s="5">
        <v>44356</v>
      </c>
      <c r="B237">
        <v>0.28910000000000002</v>
      </c>
      <c r="C237">
        <v>0.32379999999999998</v>
      </c>
      <c r="D237">
        <v>0.27100000000000002</v>
      </c>
      <c r="E237">
        <v>0.3125</v>
      </c>
      <c r="F237">
        <v>15482177.390000001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0.57196969696969746</v>
      </c>
      <c r="Q237">
        <f t="shared" si="960"/>
        <v>8855336.3101894017</v>
      </c>
      <c r="R237">
        <f t="shared" si="961"/>
        <v>-370103719.34735709</v>
      </c>
      <c r="S237">
        <f t="shared" si="962"/>
        <v>-3701.0371934735708</v>
      </c>
      <c r="T237">
        <f t="shared" si="963"/>
        <v>-3.7010371934735709</v>
      </c>
    </row>
    <row r="238" spans="1:20" x14ac:dyDescent="0.25">
      <c r="A238" s="5">
        <v>44355</v>
      </c>
      <c r="B238">
        <v>0.2999</v>
      </c>
      <c r="C238">
        <v>0.30909999999999999</v>
      </c>
      <c r="D238">
        <v>0.25390000000000001</v>
      </c>
      <c r="E238">
        <v>0.28949999999999998</v>
      </c>
      <c r="F238">
        <v>17257375.719999999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0.28985507246376752</v>
      </c>
      <c r="Q238">
        <f t="shared" si="960"/>
        <v>5002137.8898550617</v>
      </c>
      <c r="R238">
        <f t="shared" si="961"/>
        <v>-378959055.65754652</v>
      </c>
      <c r="S238">
        <f t="shared" si="962"/>
        <v>-3789.5905565754651</v>
      </c>
      <c r="T238">
        <f t="shared" si="963"/>
        <v>-3.7895905565754653</v>
      </c>
    </row>
    <row r="239" spans="1:20" x14ac:dyDescent="0.25">
      <c r="A239" s="5">
        <v>44354</v>
      </c>
      <c r="B239">
        <v>0.34200000000000003</v>
      </c>
      <c r="C239">
        <v>0.35580000000000001</v>
      </c>
      <c r="D239">
        <v>0.2878</v>
      </c>
      <c r="E239">
        <v>0.29920000000000002</v>
      </c>
      <c r="F239">
        <v>12028469.76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-0.66470588235294059</v>
      </c>
      <c r="Q239">
        <f t="shared" si="960"/>
        <v>-7995394.6051764637</v>
      </c>
      <c r="R239">
        <f t="shared" si="961"/>
        <v>-383961193.54740161</v>
      </c>
      <c r="S239">
        <f t="shared" si="962"/>
        <v>-3839.6119354740163</v>
      </c>
      <c r="T239">
        <f t="shared" si="963"/>
        <v>-3.8396119354740161</v>
      </c>
    </row>
    <row r="240" spans="1:20" x14ac:dyDescent="0.25">
      <c r="A240" s="5">
        <v>44353</v>
      </c>
      <c r="B240">
        <v>0.3322</v>
      </c>
      <c r="C240">
        <v>0.34920000000000001</v>
      </c>
      <c r="D240">
        <v>0.3281</v>
      </c>
      <c r="E240">
        <v>0.34210000000000002</v>
      </c>
      <c r="F240">
        <v>8106025.25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0.32701421800947938</v>
      </c>
      <c r="Q240">
        <f t="shared" si="960"/>
        <v>2650785.5082938448</v>
      </c>
      <c r="R240">
        <f t="shared" si="961"/>
        <v>-375965798.94222516</v>
      </c>
      <c r="S240">
        <f t="shared" si="962"/>
        <v>-3759.6579894222514</v>
      </c>
      <c r="T240">
        <f t="shared" si="963"/>
        <v>-3.7596579894222515</v>
      </c>
    </row>
    <row r="241" spans="1:20" x14ac:dyDescent="0.25">
      <c r="A241" s="5">
        <v>44352</v>
      </c>
      <c r="B241">
        <v>0.35220000000000001</v>
      </c>
      <c r="C241">
        <v>0.38</v>
      </c>
      <c r="D241">
        <v>0.31669999999999998</v>
      </c>
      <c r="E241">
        <v>0.3322</v>
      </c>
      <c r="F241">
        <v>15165153.5</v>
      </c>
      <c r="G241">
        <v>0</v>
      </c>
      <c r="L241" t="s">
        <v>7</v>
      </c>
      <c r="M241" t="s">
        <v>8</v>
      </c>
      <c r="N241" t="s">
        <v>8</v>
      </c>
      <c r="P241">
        <f t="shared" si="959"/>
        <v>-0.51026856240126361</v>
      </c>
      <c r="Q241">
        <f t="shared" si="960"/>
        <v>-7738301.0750394911</v>
      </c>
      <c r="R241">
        <f t="shared" si="961"/>
        <v>-378616584.45051903</v>
      </c>
      <c r="S241">
        <f t="shared" si="962"/>
        <v>-3786.1658445051903</v>
      </c>
      <c r="T241">
        <f t="shared" si="963"/>
        <v>-3.7861658445051902</v>
      </c>
    </row>
    <row r="242" spans="1:20" x14ac:dyDescent="0.25">
      <c r="A242" s="5">
        <v>44351</v>
      </c>
      <c r="B242">
        <v>0.40100000000000002</v>
      </c>
      <c r="C242">
        <v>0.40360000000000001</v>
      </c>
      <c r="D242">
        <v>0.31809999999999999</v>
      </c>
      <c r="E242">
        <v>0.35199999999999998</v>
      </c>
      <c r="F242">
        <v>24510845.109999999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-0.20701754385964966</v>
      </c>
      <c r="Q242">
        <f t="shared" si="960"/>
        <v>-5074174.9525965042</v>
      </c>
      <c r="R242">
        <f t="shared" si="961"/>
        <v>-370878283.37547952</v>
      </c>
      <c r="S242">
        <f t="shared" si="962"/>
        <v>-3708.7828337547953</v>
      </c>
      <c r="T242">
        <f t="shared" si="963"/>
        <v>-3.7087828337547952</v>
      </c>
    </row>
    <row r="243" spans="1:20" x14ac:dyDescent="0.25">
      <c r="A243" s="5">
        <v>44350</v>
      </c>
      <c r="B243">
        <v>0.33040000000000003</v>
      </c>
      <c r="C243">
        <v>0.42</v>
      </c>
      <c r="D243">
        <v>0.32329999999999998</v>
      </c>
      <c r="E243">
        <v>0.40210000000000001</v>
      </c>
      <c r="F243">
        <v>35770884.630000003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0.62978283350568831</v>
      </c>
      <c r="Q243">
        <f t="shared" si="960"/>
        <v>22527889.079286478</v>
      </c>
      <c r="R243">
        <f t="shared" si="961"/>
        <v>-365804108.42288303</v>
      </c>
      <c r="S243">
        <f t="shared" si="962"/>
        <v>-3658.0410842288302</v>
      </c>
      <c r="T243">
        <f t="shared" si="963"/>
        <v>-3.65804108422883</v>
      </c>
    </row>
    <row r="244" spans="1:20" x14ac:dyDescent="0.25">
      <c r="A244" s="5">
        <v>44349</v>
      </c>
      <c r="B244">
        <v>0.31419999999999998</v>
      </c>
      <c r="C244">
        <v>0.33639999999999998</v>
      </c>
      <c r="D244">
        <v>0.30549999999999999</v>
      </c>
      <c r="E244">
        <v>0.33040000000000003</v>
      </c>
      <c r="F244">
        <v>9735553.9199999999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0.61165048543689626</v>
      </c>
      <c r="Q244">
        <f t="shared" si="960"/>
        <v>5954756.2811650783</v>
      </c>
      <c r="R244">
        <f t="shared" si="961"/>
        <v>-388331997.50216949</v>
      </c>
      <c r="S244">
        <f t="shared" si="962"/>
        <v>-3883.319975021695</v>
      </c>
      <c r="T244">
        <f t="shared" si="963"/>
        <v>-3.8833199750216951</v>
      </c>
    </row>
    <row r="245" spans="1:20" x14ac:dyDescent="0.25">
      <c r="A245" s="5">
        <v>44348</v>
      </c>
      <c r="B245">
        <v>0.33119999999999999</v>
      </c>
      <c r="C245">
        <v>0.33900000000000002</v>
      </c>
      <c r="D245">
        <v>0.30809999999999998</v>
      </c>
      <c r="E245">
        <v>0.31280000000000002</v>
      </c>
      <c r="F245">
        <v>9240990.7400000002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-0.69579288025889763</v>
      </c>
      <c r="Q245">
        <f t="shared" si="960"/>
        <v>-6429815.5634304015</v>
      </c>
      <c r="R245">
        <f t="shared" si="961"/>
        <v>-394286753.78333455</v>
      </c>
      <c r="S245">
        <f t="shared" si="962"/>
        <v>-3942.8675378333455</v>
      </c>
      <c r="T245">
        <f t="shared" si="963"/>
        <v>-3.9428675378333455</v>
      </c>
    </row>
    <row r="246" spans="1:20" x14ac:dyDescent="0.25">
      <c r="A246" s="5">
        <v>44347</v>
      </c>
      <c r="B246">
        <v>0.29399999999999998</v>
      </c>
      <c r="C246">
        <v>0.33400000000000002</v>
      </c>
      <c r="D246">
        <v>0.27600000000000002</v>
      </c>
      <c r="E246">
        <v>0.33129999999999998</v>
      </c>
      <c r="F246">
        <v>10878154.23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0.90689655172413675</v>
      </c>
      <c r="Q246">
        <f t="shared" si="960"/>
        <v>9865360.5603103321</v>
      </c>
      <c r="R246">
        <f t="shared" si="961"/>
        <v>-387856938.21990412</v>
      </c>
      <c r="S246">
        <f t="shared" si="962"/>
        <v>-3878.5693821990412</v>
      </c>
      <c r="T246">
        <f t="shared" si="963"/>
        <v>-3.878569382199041</v>
      </c>
    </row>
    <row r="247" spans="1:20" x14ac:dyDescent="0.25">
      <c r="A247" s="5">
        <v>44346</v>
      </c>
      <c r="B247">
        <v>0.29239999999999999</v>
      </c>
      <c r="C247">
        <v>0.31869999999999998</v>
      </c>
      <c r="D247">
        <v>0.26640000000000003</v>
      </c>
      <c r="E247">
        <v>0.29320000000000002</v>
      </c>
      <c r="F247">
        <v>14673081.17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2.4856596558317866E-2</v>
      </c>
      <c r="Q247">
        <f t="shared" si="960"/>
        <v>364722.8589101407</v>
      </c>
      <c r="R247">
        <f t="shared" si="961"/>
        <v>-397722298.78021443</v>
      </c>
      <c r="S247">
        <f t="shared" si="962"/>
        <v>-3977.2229878021444</v>
      </c>
      <c r="T247">
        <f t="shared" si="963"/>
        <v>-3.9772229878021443</v>
      </c>
    </row>
    <row r="248" spans="1:20" x14ac:dyDescent="0.25">
      <c r="A248" s="5">
        <v>44345</v>
      </c>
      <c r="B248">
        <v>0.31380000000000002</v>
      </c>
      <c r="C248">
        <v>0.33289999999999997</v>
      </c>
      <c r="D248">
        <v>0.27210000000000001</v>
      </c>
      <c r="E248">
        <v>0.29249999999999998</v>
      </c>
      <c r="F248">
        <v>13834733.08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-0.3289473684210531</v>
      </c>
      <c r="Q248">
        <f t="shared" si="960"/>
        <v>-4550899.039473691</v>
      </c>
      <c r="R248">
        <f t="shared" si="961"/>
        <v>-398087021.63912457</v>
      </c>
      <c r="S248">
        <f t="shared" si="962"/>
        <v>-3980.8702163912458</v>
      </c>
      <c r="T248">
        <f t="shared" si="963"/>
        <v>-3.9808702163912457</v>
      </c>
    </row>
    <row r="249" spans="1:20" x14ac:dyDescent="0.25">
      <c r="A249" s="5">
        <v>44344</v>
      </c>
      <c r="B249">
        <v>0.3715</v>
      </c>
      <c r="C249">
        <v>0.3851</v>
      </c>
      <c r="D249">
        <v>0.3</v>
      </c>
      <c r="E249">
        <v>0.312</v>
      </c>
      <c r="F249">
        <v>23386255.850000001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-0.7179788484136308</v>
      </c>
      <c r="Q249">
        <f t="shared" si="960"/>
        <v>-16790837.043889537</v>
      </c>
      <c r="R249">
        <f t="shared" si="961"/>
        <v>-393536122.59965086</v>
      </c>
      <c r="S249">
        <f t="shared" si="962"/>
        <v>-3935.3612259965084</v>
      </c>
      <c r="T249">
        <f t="shared" si="963"/>
        <v>-3.9353612259965085</v>
      </c>
    </row>
    <row r="250" spans="1:20" x14ac:dyDescent="0.25">
      <c r="A250" s="5">
        <v>44343</v>
      </c>
      <c r="B250">
        <v>0.38619999999999999</v>
      </c>
      <c r="C250">
        <v>0.44790000000000002</v>
      </c>
      <c r="D250">
        <v>0.34250000000000003</v>
      </c>
      <c r="E250">
        <v>0.3715</v>
      </c>
      <c r="F250">
        <v>23542937.920000002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-0.44971537001897588</v>
      </c>
      <c r="Q250">
        <f t="shared" si="960"/>
        <v>-10587621.038026579</v>
      </c>
      <c r="R250">
        <f t="shared" si="961"/>
        <v>-376745285.55576134</v>
      </c>
      <c r="S250">
        <f t="shared" si="962"/>
        <v>-3767.4528555576135</v>
      </c>
      <c r="T250">
        <f t="shared" si="963"/>
        <v>-3.7674528555576137</v>
      </c>
    </row>
    <row r="251" spans="1:20" x14ac:dyDescent="0.25">
      <c r="A251" s="5">
        <v>44342</v>
      </c>
      <c r="B251">
        <v>0.30170000000000002</v>
      </c>
      <c r="C251">
        <v>0.40689999999999998</v>
      </c>
      <c r="D251">
        <v>0.29249999999999998</v>
      </c>
      <c r="E251">
        <v>0.38619999999999999</v>
      </c>
      <c r="F251">
        <v>21372107.140000001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0.63811188811188824</v>
      </c>
      <c r="Q251">
        <f t="shared" si="960"/>
        <v>13637795.640034968</v>
      </c>
      <c r="R251">
        <f t="shared" si="961"/>
        <v>-366157664.51773477</v>
      </c>
      <c r="S251">
        <f t="shared" si="962"/>
        <v>-3661.5766451773475</v>
      </c>
      <c r="T251">
        <f t="shared" si="963"/>
        <v>-3.6615766451773473</v>
      </c>
    </row>
    <row r="252" spans="1:20" x14ac:dyDescent="0.25">
      <c r="A252" s="5">
        <v>44341</v>
      </c>
      <c r="B252">
        <v>0.32069999999999999</v>
      </c>
      <c r="C252">
        <v>0.33710000000000001</v>
      </c>
      <c r="D252">
        <v>0.26629999999999998</v>
      </c>
      <c r="E252">
        <v>0.3004</v>
      </c>
      <c r="F252">
        <v>16993332.82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-3.6723163841807772E-2</v>
      </c>
      <c r="Q252">
        <f t="shared" si="960"/>
        <v>-624048.94536722929</v>
      </c>
      <c r="R252">
        <f t="shared" si="961"/>
        <v>-379795460.15776974</v>
      </c>
      <c r="S252">
        <f t="shared" si="962"/>
        <v>-3797.9546015776973</v>
      </c>
      <c r="T252">
        <f t="shared" si="963"/>
        <v>-3.7979546015776973</v>
      </c>
    </row>
    <row r="253" spans="1:20" x14ac:dyDescent="0.25">
      <c r="A253" s="5">
        <v>44340</v>
      </c>
      <c r="B253">
        <v>0.24840000000000001</v>
      </c>
      <c r="C253">
        <v>0.34</v>
      </c>
      <c r="D253">
        <v>0.23930000000000001</v>
      </c>
      <c r="E253">
        <v>0.32069999999999999</v>
      </c>
      <c r="F253">
        <v>19478335.739999998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0.61668321747765564</v>
      </c>
      <c r="Q253">
        <f t="shared" si="960"/>
        <v>12011962.755253211</v>
      </c>
      <c r="R253">
        <f t="shared" si="961"/>
        <v>-379171411.21240252</v>
      </c>
      <c r="S253">
        <f t="shared" si="962"/>
        <v>-3791.7141121240252</v>
      </c>
      <c r="T253">
        <f t="shared" si="963"/>
        <v>-3.791714112124025</v>
      </c>
    </row>
    <row r="254" spans="1:20" x14ac:dyDescent="0.25">
      <c r="A254" s="5">
        <v>44339</v>
      </c>
      <c r="B254">
        <v>0.2903</v>
      </c>
      <c r="C254">
        <v>0.30599999999999999</v>
      </c>
      <c r="D254">
        <v>0.17699999999999999</v>
      </c>
      <c r="E254">
        <v>0.24859999999999999</v>
      </c>
      <c r="F254">
        <v>26827229.789999999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0.11007751937984489</v>
      </c>
      <c r="Q254">
        <f t="shared" si="960"/>
        <v>2953074.9071162771</v>
      </c>
      <c r="R254">
        <f t="shared" si="961"/>
        <v>-391183373.96765572</v>
      </c>
      <c r="S254">
        <f t="shared" si="962"/>
        <v>-3911.8337396765573</v>
      </c>
      <c r="T254">
        <f t="shared" si="963"/>
        <v>-3.9118337396765575</v>
      </c>
    </row>
    <row r="255" spans="1:20" x14ac:dyDescent="0.25">
      <c r="A255" s="5">
        <v>44338</v>
      </c>
      <c r="B255">
        <v>0.32940000000000003</v>
      </c>
      <c r="C255">
        <v>0.3448</v>
      </c>
      <c r="D255">
        <v>0.2787</v>
      </c>
      <c r="E255">
        <v>0.29260000000000003</v>
      </c>
      <c r="F255">
        <v>15393253.630000001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-0.57942511346444703</v>
      </c>
      <c r="Q255">
        <f t="shared" si="960"/>
        <v>-8919237.731149761</v>
      </c>
      <c r="R255">
        <f t="shared" si="961"/>
        <v>-394136448.87477201</v>
      </c>
      <c r="S255">
        <f t="shared" si="962"/>
        <v>-3941.3644887477203</v>
      </c>
      <c r="T255">
        <f t="shared" si="963"/>
        <v>-3.9413644887477202</v>
      </c>
    </row>
    <row r="256" spans="1:20" x14ac:dyDescent="0.25">
      <c r="A256" s="5">
        <v>44337</v>
      </c>
      <c r="B256">
        <v>0.4098</v>
      </c>
      <c r="C256">
        <v>0.43070000000000003</v>
      </c>
      <c r="D256">
        <v>0.2702</v>
      </c>
      <c r="E256">
        <v>0.33079999999999998</v>
      </c>
      <c r="F256">
        <v>23180139.899999999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-0.24485981308411245</v>
      </c>
      <c r="Q256">
        <f t="shared" si="960"/>
        <v>-5675884.7231775764</v>
      </c>
      <c r="R256">
        <f t="shared" si="961"/>
        <v>-385217211.14362228</v>
      </c>
      <c r="S256">
        <f t="shared" si="962"/>
        <v>-3852.1721114362226</v>
      </c>
      <c r="T256">
        <f t="shared" si="963"/>
        <v>-3.8521721114362224</v>
      </c>
    </row>
    <row r="257" spans="1:20" x14ac:dyDescent="0.25">
      <c r="A257" s="5">
        <v>44336</v>
      </c>
      <c r="B257">
        <v>0.35870000000000002</v>
      </c>
      <c r="C257">
        <v>0.49880000000000002</v>
      </c>
      <c r="D257">
        <v>0.3004</v>
      </c>
      <c r="E257">
        <v>0.40949999999999998</v>
      </c>
      <c r="F257">
        <v>26238849.34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9.9798387096773827E-2</v>
      </c>
      <c r="Q257">
        <f t="shared" si="960"/>
        <v>2618594.8434072486</v>
      </c>
      <c r="R257">
        <f t="shared" si="961"/>
        <v>-379541326.42044473</v>
      </c>
      <c r="S257">
        <f t="shared" si="962"/>
        <v>-3795.4132642044474</v>
      </c>
      <c r="T257">
        <f t="shared" si="963"/>
        <v>-3.7954132642044476</v>
      </c>
    </row>
    <row r="258" spans="1:20" x14ac:dyDescent="0.25">
      <c r="A258" s="5">
        <v>44335</v>
      </c>
      <c r="B258">
        <v>0.57589999999999997</v>
      </c>
      <c r="C258">
        <v>0.60450000000000004</v>
      </c>
      <c r="D258">
        <v>0.25169999999999998</v>
      </c>
      <c r="E258">
        <v>0.3569</v>
      </c>
      <c r="F258">
        <v>38158813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-0.40362811791383219</v>
      </c>
      <c r="Q258">
        <f t="shared" si="960"/>
        <v>-15401969.873015873</v>
      </c>
      <c r="R258">
        <f t="shared" si="961"/>
        <v>-382159921.263852</v>
      </c>
      <c r="S258">
        <f t="shared" si="962"/>
        <v>-3821.5992126385199</v>
      </c>
      <c r="T258">
        <f t="shared" si="963"/>
        <v>-3.8215992126385201</v>
      </c>
    </row>
    <row r="259" spans="1:20" x14ac:dyDescent="0.25">
      <c r="A259" s="5">
        <v>44334</v>
      </c>
      <c r="B259">
        <v>0.54820000000000002</v>
      </c>
      <c r="C259">
        <v>0.61329999999999996</v>
      </c>
      <c r="D259">
        <v>0.54249999999999998</v>
      </c>
      <c r="E259">
        <v>0.57650000000000001</v>
      </c>
      <c r="F259">
        <v>14599934.189999999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-3.9548022598868852E-2</v>
      </c>
      <c r="Q259">
        <f t="shared" si="960"/>
        <v>-577398.52728811803</v>
      </c>
      <c r="R259">
        <f t="shared" si="961"/>
        <v>-366757951.39083612</v>
      </c>
      <c r="S259">
        <f t="shared" si="962"/>
        <v>-3667.5795139083612</v>
      </c>
      <c r="T259">
        <f t="shared" si="963"/>
        <v>-3.6675795139083611</v>
      </c>
    </row>
    <row r="260" spans="1:20" x14ac:dyDescent="0.25">
      <c r="A260" s="5">
        <v>44333</v>
      </c>
      <c r="B260">
        <v>0.54610000000000003</v>
      </c>
      <c r="C260">
        <v>0.59</v>
      </c>
      <c r="D260">
        <v>0.47120000000000001</v>
      </c>
      <c r="E260">
        <v>0.54830000000000001</v>
      </c>
      <c r="F260">
        <v>21781244.68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0.29797979797979846</v>
      </c>
      <c r="Q260">
        <f t="shared" si="960"/>
        <v>6490370.8894949602</v>
      </c>
      <c r="R260">
        <f t="shared" si="961"/>
        <v>-366180552.86354798</v>
      </c>
      <c r="S260">
        <f t="shared" si="962"/>
        <v>-3661.8055286354797</v>
      </c>
      <c r="T260">
        <f t="shared" si="963"/>
        <v>-3.6618055286354796</v>
      </c>
    </row>
    <row r="261" spans="1:20" x14ac:dyDescent="0.25">
      <c r="A261" s="5">
        <v>44332</v>
      </c>
      <c r="B261">
        <v>0.52100000000000002</v>
      </c>
      <c r="C261">
        <v>0.65700000000000003</v>
      </c>
      <c r="D261">
        <v>0.50090000000000001</v>
      </c>
      <c r="E261">
        <v>0.54679999999999995</v>
      </c>
      <c r="F261">
        <v>41611969.219999999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-0.41191543882126924</v>
      </c>
      <c r="Q261">
        <f t="shared" si="960"/>
        <v>-17140612.561473448</v>
      </c>
      <c r="R261">
        <f t="shared" si="961"/>
        <v>-372670923.75304294</v>
      </c>
      <c r="S261">
        <f t="shared" si="962"/>
        <v>-3726.7092375304292</v>
      </c>
      <c r="T261">
        <f t="shared" si="963"/>
        <v>-3.7267092375304292</v>
      </c>
    </row>
    <row r="262" spans="1:20" x14ac:dyDescent="0.25">
      <c r="A262" s="5">
        <v>44331</v>
      </c>
      <c r="B262">
        <v>0.60660000000000003</v>
      </c>
      <c r="C262">
        <v>0.6159</v>
      </c>
      <c r="D262">
        <v>0.51160000000000005</v>
      </c>
      <c r="E262">
        <v>0.52129999999999999</v>
      </c>
      <c r="F262">
        <v>21868791.899999999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-0.81399808245445948</v>
      </c>
      <c r="Q262">
        <f t="shared" ref="Q262:Q325" si="965">F262*P262</f>
        <v>-17801154.672195613</v>
      </c>
      <c r="R262">
        <f t="shared" ref="R262:R325" si="966">R263+Q262</f>
        <v>-355530311.19156951</v>
      </c>
      <c r="S262">
        <f t="shared" ref="S262:S325" si="967">R262/100000</f>
        <v>-3555.3031119156949</v>
      </c>
      <c r="T262">
        <f t="shared" ref="T262:T325" si="968">S262/1000</f>
        <v>-3.5553031119156948</v>
      </c>
    </row>
    <row r="263" spans="1:20" x14ac:dyDescent="0.25">
      <c r="A263" s="5">
        <v>44330</v>
      </c>
      <c r="B263">
        <v>0.57230000000000003</v>
      </c>
      <c r="C263">
        <v>0.63539999999999996</v>
      </c>
      <c r="D263">
        <v>0.56720000000000004</v>
      </c>
      <c r="E263">
        <v>0.60799999999999998</v>
      </c>
      <c r="F263">
        <v>22568138.879999999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0.19648093841642203</v>
      </c>
      <c r="Q263">
        <f t="shared" si="965"/>
        <v>4434209.1054545399</v>
      </c>
      <c r="R263">
        <f t="shared" si="966"/>
        <v>-337729156.51937389</v>
      </c>
      <c r="S263">
        <f t="shared" si="967"/>
        <v>-3377.2915651937387</v>
      </c>
      <c r="T263">
        <f t="shared" si="968"/>
        <v>-3.3772915651937385</v>
      </c>
    </row>
    <row r="264" spans="1:20" x14ac:dyDescent="0.25">
      <c r="A264" s="5">
        <v>44329</v>
      </c>
      <c r="B264">
        <v>0.58579999999999999</v>
      </c>
      <c r="C264">
        <v>0.64639999999999997</v>
      </c>
      <c r="D264">
        <v>0.53839999999999999</v>
      </c>
      <c r="E264">
        <v>0.57230000000000003</v>
      </c>
      <c r="F264">
        <v>26719430.77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-0.37222222222222134</v>
      </c>
      <c r="Q264">
        <f t="shared" si="965"/>
        <v>-9945565.8977221977</v>
      </c>
      <c r="R264">
        <f t="shared" si="966"/>
        <v>-342163365.62482846</v>
      </c>
      <c r="S264">
        <f t="shared" si="967"/>
        <v>-3421.6336562482848</v>
      </c>
      <c r="T264">
        <f t="shared" si="968"/>
        <v>-3.421633656248285</v>
      </c>
    </row>
    <row r="265" spans="1:20" x14ac:dyDescent="0.25">
      <c r="A265" s="5">
        <v>44328</v>
      </c>
      <c r="B265">
        <v>0.72619999999999996</v>
      </c>
      <c r="C265">
        <v>0.74990000000000001</v>
      </c>
      <c r="D265">
        <v>0.5746</v>
      </c>
      <c r="E265">
        <v>0.58579999999999999</v>
      </c>
      <c r="F265">
        <v>33041503.649999999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-0.87221905305191116</v>
      </c>
      <c r="Q265">
        <f t="shared" si="965"/>
        <v>-28819429.025014266</v>
      </c>
      <c r="R265">
        <f t="shared" si="966"/>
        <v>-332217799.72710627</v>
      </c>
      <c r="S265">
        <f t="shared" si="967"/>
        <v>-3322.1779972710628</v>
      </c>
      <c r="T265">
        <f t="shared" si="968"/>
        <v>-3.322177997271063</v>
      </c>
    </row>
    <row r="266" spans="1:20" x14ac:dyDescent="0.25">
      <c r="A266" s="5">
        <v>44327</v>
      </c>
      <c r="B266">
        <v>0.67810000000000004</v>
      </c>
      <c r="C266">
        <v>0.79620000000000002</v>
      </c>
      <c r="D266">
        <v>0.65</v>
      </c>
      <c r="E266">
        <v>0.72609999999999997</v>
      </c>
      <c r="F266">
        <v>48403479.549999997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4.1039671682625817E-2</v>
      </c>
      <c r="Q266">
        <f t="shared" si="965"/>
        <v>1986462.9090286926</v>
      </c>
      <c r="R266">
        <f t="shared" si="966"/>
        <v>-303398370.70209199</v>
      </c>
      <c r="S266">
        <f t="shared" si="967"/>
        <v>-3033.9837070209201</v>
      </c>
      <c r="T266">
        <f t="shared" si="968"/>
        <v>-3.0339837070209201</v>
      </c>
    </row>
    <row r="267" spans="1:20" x14ac:dyDescent="0.25">
      <c r="A267" s="5">
        <v>44326</v>
      </c>
      <c r="B267">
        <v>0.73970000000000002</v>
      </c>
      <c r="C267">
        <v>0.79500000000000004</v>
      </c>
      <c r="D267">
        <v>0.621</v>
      </c>
      <c r="E267">
        <v>0.67679999999999996</v>
      </c>
      <c r="F267">
        <v>47977011.07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-0.35862068965517302</v>
      </c>
      <c r="Q267">
        <f t="shared" si="965"/>
        <v>-17205548.79751727</v>
      </c>
      <c r="R267">
        <f t="shared" si="966"/>
        <v>-305384833.6111207</v>
      </c>
      <c r="S267">
        <f t="shared" si="967"/>
        <v>-3053.8483361112071</v>
      </c>
      <c r="T267">
        <f t="shared" si="968"/>
        <v>-3.0538483361112072</v>
      </c>
    </row>
    <row r="268" spans="1:20" x14ac:dyDescent="0.25">
      <c r="A268" s="5">
        <v>44325</v>
      </c>
      <c r="B268">
        <v>0.77869999999999995</v>
      </c>
      <c r="C268">
        <v>0.79720000000000002</v>
      </c>
      <c r="D268">
        <v>0.71940000000000004</v>
      </c>
      <c r="E268">
        <v>0.73970000000000002</v>
      </c>
      <c r="F268">
        <v>32907679.170000002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-0.47814910025706969</v>
      </c>
      <c r="Q268">
        <f t="shared" si="965"/>
        <v>-15734777.186683815</v>
      </c>
      <c r="R268">
        <f t="shared" si="966"/>
        <v>-288179284.8136034</v>
      </c>
      <c r="S268">
        <f t="shared" si="967"/>
        <v>-2881.7928481360341</v>
      </c>
      <c r="T268">
        <f t="shared" si="968"/>
        <v>-2.8817928481360342</v>
      </c>
    </row>
    <row r="269" spans="1:20" x14ac:dyDescent="0.25">
      <c r="A269" s="5">
        <v>44324</v>
      </c>
      <c r="B269">
        <v>0.77249999999999996</v>
      </c>
      <c r="C269">
        <v>0.84899999999999998</v>
      </c>
      <c r="D269">
        <v>0.76170000000000004</v>
      </c>
      <c r="E269">
        <v>0.77869999999999995</v>
      </c>
      <c r="F269">
        <v>44161157.350000001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-0.6105383734249733</v>
      </c>
      <c r="Q269">
        <f t="shared" si="965"/>
        <v>-26962081.177033305</v>
      </c>
      <c r="R269">
        <f t="shared" si="966"/>
        <v>-272444507.62691957</v>
      </c>
      <c r="S269">
        <f t="shared" si="967"/>
        <v>-2724.4450762691959</v>
      </c>
      <c r="T269">
        <f t="shared" si="968"/>
        <v>-2.7244450762691956</v>
      </c>
    </row>
    <row r="270" spans="1:20" x14ac:dyDescent="0.25">
      <c r="A270" s="5">
        <v>44323</v>
      </c>
      <c r="B270">
        <v>0.8085</v>
      </c>
      <c r="C270">
        <v>0.87990000000000002</v>
      </c>
      <c r="D270">
        <v>0.75</v>
      </c>
      <c r="E270">
        <v>0.7722</v>
      </c>
      <c r="F270">
        <v>78617298.049999997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-0.65819861431870674</v>
      </c>
      <c r="Q270">
        <f t="shared" si="965"/>
        <v>-51745796.637990765</v>
      </c>
      <c r="R270">
        <f t="shared" si="966"/>
        <v>-245482426.44988626</v>
      </c>
      <c r="S270">
        <f t="shared" si="967"/>
        <v>-2454.8242644988627</v>
      </c>
      <c r="T270">
        <f t="shared" si="968"/>
        <v>-2.4548242644988627</v>
      </c>
    </row>
    <row r="271" spans="1:20" x14ac:dyDescent="0.25">
      <c r="A271" s="5">
        <v>44322</v>
      </c>
      <c r="B271">
        <v>0.8972</v>
      </c>
      <c r="C271">
        <v>1</v>
      </c>
      <c r="D271">
        <v>0.79459999999999997</v>
      </c>
      <c r="E271">
        <v>0.80940000000000001</v>
      </c>
      <c r="F271">
        <v>112368865.67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-0.85589094449853909</v>
      </c>
      <c r="Q271">
        <f t="shared" si="965"/>
        <v>-96175494.570525765</v>
      </c>
      <c r="R271">
        <f t="shared" si="966"/>
        <v>-193736629.81189549</v>
      </c>
      <c r="S271">
        <f t="shared" si="967"/>
        <v>-1937.366298118955</v>
      </c>
      <c r="T271">
        <f t="shared" si="968"/>
        <v>-1.937366298118955</v>
      </c>
    </row>
    <row r="272" spans="1:20" x14ac:dyDescent="0.25">
      <c r="A272" s="5">
        <v>44321</v>
      </c>
      <c r="B272">
        <v>0.66890000000000005</v>
      </c>
      <c r="C272">
        <v>1.0649999999999999</v>
      </c>
      <c r="D272">
        <v>0.6512</v>
      </c>
      <c r="E272">
        <v>0.89639999999999997</v>
      </c>
      <c r="F272">
        <v>196730049.12</v>
      </c>
      <c r="G272">
        <v>0</v>
      </c>
      <c r="L272" t="s">
        <v>7</v>
      </c>
      <c r="M272" t="s">
        <v>8</v>
      </c>
      <c r="N272" t="s">
        <v>8</v>
      </c>
      <c r="P272">
        <f t="shared" si="964"/>
        <v>0.18511358144030934</v>
      </c>
      <c r="Q272">
        <f t="shared" si="965"/>
        <v>36417403.969531178</v>
      </c>
      <c r="R272">
        <f t="shared" si="966"/>
        <v>-97561135.241369739</v>
      </c>
      <c r="S272">
        <f t="shared" si="967"/>
        <v>-975.61135241369743</v>
      </c>
      <c r="T272">
        <f t="shared" si="968"/>
        <v>-0.97561135241369745</v>
      </c>
    </row>
    <row r="273" spans="1:20" x14ac:dyDescent="0.25">
      <c r="A273" s="5">
        <v>44320</v>
      </c>
      <c r="B273">
        <v>0.76890000000000003</v>
      </c>
      <c r="C273">
        <v>0.82420000000000004</v>
      </c>
      <c r="D273">
        <v>0.66110000000000002</v>
      </c>
      <c r="E273">
        <v>0.66890000000000005</v>
      </c>
      <c r="F273">
        <v>73858630.310000002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-0.90435315757204138</v>
      </c>
      <c r="Q273">
        <f t="shared" si="965"/>
        <v>-66794285.534794584</v>
      </c>
      <c r="R273">
        <f t="shared" si="966"/>
        <v>-133978539.21090092</v>
      </c>
      <c r="S273">
        <f t="shared" si="967"/>
        <v>-1339.7853921090091</v>
      </c>
      <c r="T273">
        <f t="shared" si="968"/>
        <v>-1.339785392109009</v>
      </c>
    </row>
    <row r="274" spans="1:20" x14ac:dyDescent="0.25">
      <c r="A274" s="5">
        <v>44319</v>
      </c>
      <c r="B274">
        <v>0.74009999999999998</v>
      </c>
      <c r="C274">
        <v>0.877</v>
      </c>
      <c r="D274">
        <v>0.70809999999999995</v>
      </c>
      <c r="E274">
        <v>0.76890000000000003</v>
      </c>
      <c r="F274">
        <v>220851460.78999999</v>
      </c>
      <c r="G274">
        <v>0</v>
      </c>
      <c r="L274" t="s">
        <v>7</v>
      </c>
      <c r="M274" t="s">
        <v>7</v>
      </c>
      <c r="N274" t="s">
        <v>8</v>
      </c>
      <c r="P274">
        <f t="shared" si="964"/>
        <v>-0.28004736530491348</v>
      </c>
      <c r="Q274">
        <f t="shared" si="965"/>
        <v>-61848869.717980899</v>
      </c>
      <c r="R274">
        <f t="shared" si="966"/>
        <v>-67184253.676106334</v>
      </c>
      <c r="S274">
        <f t="shared" si="967"/>
        <v>-671.84253676106334</v>
      </c>
      <c r="T274">
        <f t="shared" si="968"/>
        <v>-0.67184253676106331</v>
      </c>
    </row>
    <row r="275" spans="1:20" x14ac:dyDescent="0.25">
      <c r="A275" s="5">
        <v>44318</v>
      </c>
      <c r="B275">
        <v>0.54139999999999999</v>
      </c>
      <c r="C275">
        <v>0.89</v>
      </c>
      <c r="D275">
        <v>0.50670000000000004</v>
      </c>
      <c r="E275">
        <v>0.74</v>
      </c>
      <c r="F275">
        <v>171008826.25999999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0.21732324549960849</v>
      </c>
      <c r="Q275">
        <f t="shared" si="965"/>
        <v>37164193.131901875</v>
      </c>
      <c r="R275">
        <f t="shared" si="966"/>
        <v>-5335383.9581254274</v>
      </c>
      <c r="S275">
        <f t="shared" si="967"/>
        <v>-53.35383958125427</v>
      </c>
      <c r="T275">
        <f t="shared" si="968"/>
        <v>-5.3353839581254267E-2</v>
      </c>
    </row>
    <row r="276" spans="1:20" x14ac:dyDescent="0.25">
      <c r="A276" s="5">
        <v>44317</v>
      </c>
      <c r="B276">
        <v>0.54779999999999995</v>
      </c>
      <c r="C276">
        <v>0.62109999999999999</v>
      </c>
      <c r="D276">
        <v>0.52569999999999995</v>
      </c>
      <c r="E276">
        <v>0.54069999999999996</v>
      </c>
      <c r="F276">
        <v>34285078.659999996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-0.6855345911949684</v>
      </c>
      <c r="Q276">
        <f t="shared" si="965"/>
        <v>-23503607.383270431</v>
      </c>
      <c r="R276">
        <f t="shared" si="966"/>
        <v>-42499577.090027303</v>
      </c>
      <c r="S276">
        <f t="shared" si="967"/>
        <v>-424.99577090027304</v>
      </c>
      <c r="T276">
        <f t="shared" si="968"/>
        <v>-0.42499577090027302</v>
      </c>
    </row>
    <row r="277" spans="1:20" x14ac:dyDescent="0.25">
      <c r="A277" s="5">
        <v>44316</v>
      </c>
      <c r="B277">
        <v>0.49299999999999999</v>
      </c>
      <c r="C277">
        <v>0.59899999999999998</v>
      </c>
      <c r="D277">
        <v>0.48</v>
      </c>
      <c r="E277">
        <v>0.54769999999999996</v>
      </c>
      <c r="F277">
        <v>36801671.579999998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0.13781512605041993</v>
      </c>
      <c r="Q277">
        <f t="shared" si="965"/>
        <v>5071827.0076638563</v>
      </c>
      <c r="R277">
        <f t="shared" si="966"/>
        <v>-18995969.706756871</v>
      </c>
      <c r="S277">
        <f t="shared" si="967"/>
        <v>-189.95969706756873</v>
      </c>
      <c r="T277">
        <f t="shared" si="968"/>
        <v>-0.18995969706756874</v>
      </c>
    </row>
    <row r="278" spans="1:20" x14ac:dyDescent="0.25">
      <c r="A278" s="5">
        <v>44315</v>
      </c>
      <c r="B278">
        <v>0.50249999999999995</v>
      </c>
      <c r="C278">
        <v>0.51490000000000002</v>
      </c>
      <c r="D278">
        <v>0.45839999999999997</v>
      </c>
      <c r="E278">
        <v>0.49299999999999999</v>
      </c>
      <c r="F278">
        <v>10001980.960000001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0.2247787610619465</v>
      </c>
      <c r="Q278">
        <f t="shared" si="965"/>
        <v>2248232.8883539783</v>
      </c>
      <c r="R278">
        <f t="shared" si="966"/>
        <v>-24067796.714420728</v>
      </c>
      <c r="S278">
        <f t="shared" si="967"/>
        <v>-240.67796714420729</v>
      </c>
      <c r="T278">
        <f t="shared" si="968"/>
        <v>-0.24067796714420728</v>
      </c>
    </row>
    <row r="279" spans="1:20" x14ac:dyDescent="0.25">
      <c r="A279" s="5">
        <v>44314</v>
      </c>
      <c r="B279">
        <v>0.55130000000000001</v>
      </c>
      <c r="C279">
        <v>0.56999999999999995</v>
      </c>
      <c r="D279">
        <v>0.46700000000000003</v>
      </c>
      <c r="E279">
        <v>0.50239999999999996</v>
      </c>
      <c r="F279">
        <v>11743668.59</v>
      </c>
      <c r="G279">
        <v>0</v>
      </c>
      <c r="L279" t="s">
        <v>8</v>
      </c>
      <c r="M279" t="s">
        <v>7</v>
      </c>
      <c r="N279" t="s">
        <v>8</v>
      </c>
      <c r="P279">
        <f t="shared" si="964"/>
        <v>-0.31262135922330181</v>
      </c>
      <c r="Q279">
        <f t="shared" si="965"/>
        <v>-3671321.6368737961</v>
      </c>
      <c r="R279">
        <f t="shared" si="966"/>
        <v>-26316029.602774706</v>
      </c>
      <c r="S279">
        <f t="shared" si="967"/>
        <v>-263.16029602774705</v>
      </c>
      <c r="T279">
        <f t="shared" si="968"/>
        <v>-0.26316029602774704</v>
      </c>
    </row>
    <row r="280" spans="1:20" x14ac:dyDescent="0.25">
      <c r="A280" s="5">
        <v>44313</v>
      </c>
      <c r="B280">
        <v>0.45319999999999999</v>
      </c>
      <c r="C280">
        <v>0.56310000000000004</v>
      </c>
      <c r="D280">
        <v>0.44450000000000001</v>
      </c>
      <c r="E280">
        <v>0.55000000000000004</v>
      </c>
      <c r="F280">
        <v>10933623.039999999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0.779089376053963</v>
      </c>
      <c r="Q280">
        <f t="shared" si="965"/>
        <v>8518269.5522428341</v>
      </c>
      <c r="R280">
        <f t="shared" si="966"/>
        <v>-22644707.965900909</v>
      </c>
      <c r="S280">
        <f t="shared" si="967"/>
        <v>-226.44707965900909</v>
      </c>
      <c r="T280">
        <f t="shared" si="968"/>
        <v>-0.22644707965900909</v>
      </c>
    </row>
    <row r="281" spans="1:20" x14ac:dyDescent="0.25">
      <c r="A281" s="5">
        <v>44312</v>
      </c>
      <c r="B281">
        <v>0.37809999999999999</v>
      </c>
      <c r="C281">
        <v>0.47599999999999998</v>
      </c>
      <c r="D281">
        <v>0.37319999999999998</v>
      </c>
      <c r="E281">
        <v>0.4526</v>
      </c>
      <c r="F281">
        <v>12615627.699999999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0.54474708171206276</v>
      </c>
      <c r="Q281">
        <f t="shared" si="965"/>
        <v>6872326.3735408625</v>
      </c>
      <c r="R281">
        <f t="shared" si="966"/>
        <v>-31162977.518143743</v>
      </c>
      <c r="S281">
        <f t="shared" si="967"/>
        <v>-311.62977518143742</v>
      </c>
      <c r="T281">
        <f t="shared" si="968"/>
        <v>-0.31162977518143742</v>
      </c>
    </row>
    <row r="282" spans="1:20" x14ac:dyDescent="0.25">
      <c r="A282" s="5">
        <v>44311</v>
      </c>
      <c r="B282">
        <v>0.38300000000000001</v>
      </c>
      <c r="C282">
        <v>0.42230000000000001</v>
      </c>
      <c r="D282">
        <v>0.33560000000000001</v>
      </c>
      <c r="E282">
        <v>0.378</v>
      </c>
      <c r="F282">
        <v>10477491.800000001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-2.1914648212226214E-2</v>
      </c>
      <c r="Q282">
        <f t="shared" si="965"/>
        <v>-229610.54694348483</v>
      </c>
      <c r="R282">
        <f t="shared" si="966"/>
        <v>-38035303.891684607</v>
      </c>
      <c r="S282">
        <f t="shared" si="967"/>
        <v>-380.35303891684606</v>
      </c>
      <c r="T282">
        <f t="shared" si="968"/>
        <v>-0.38035303891684608</v>
      </c>
    </row>
    <row r="283" spans="1:20" x14ac:dyDescent="0.25">
      <c r="A283" s="5">
        <v>44310</v>
      </c>
      <c r="B283">
        <v>0.42699999999999999</v>
      </c>
      <c r="C283">
        <v>0.4279</v>
      </c>
      <c r="D283">
        <v>0.37009999999999998</v>
      </c>
      <c r="E283">
        <v>0.38419999999999999</v>
      </c>
      <c r="F283">
        <v>12149197.779999999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-0.51211072664359869</v>
      </c>
      <c r="Q283">
        <f t="shared" si="965"/>
        <v>-6221734.5032525957</v>
      </c>
      <c r="R283">
        <f t="shared" si="966"/>
        <v>-37805693.344741121</v>
      </c>
      <c r="S283">
        <f t="shared" si="967"/>
        <v>-378.05693344741121</v>
      </c>
      <c r="T283">
        <f t="shared" si="968"/>
        <v>-0.3780569334474112</v>
      </c>
    </row>
    <row r="284" spans="1:20" x14ac:dyDescent="0.25">
      <c r="A284" s="5">
        <v>44309</v>
      </c>
      <c r="B284">
        <v>0.44540000000000002</v>
      </c>
      <c r="C284">
        <v>0.45550000000000002</v>
      </c>
      <c r="D284">
        <v>0.35</v>
      </c>
      <c r="E284">
        <v>0.42499999999999999</v>
      </c>
      <c r="F284">
        <v>13181174.82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0.42180094786729827</v>
      </c>
      <c r="Q284">
        <f t="shared" si="965"/>
        <v>5559832.0330805648</v>
      </c>
      <c r="R284">
        <f t="shared" si="966"/>
        <v>-31583958.841488525</v>
      </c>
      <c r="S284">
        <f t="shared" si="967"/>
        <v>-315.83958841488527</v>
      </c>
      <c r="T284">
        <f t="shared" si="968"/>
        <v>-0.3158395884148853</v>
      </c>
    </row>
    <row r="285" spans="1:20" x14ac:dyDescent="0.25">
      <c r="A285" s="5">
        <v>44308</v>
      </c>
      <c r="B285">
        <v>0.48770000000000002</v>
      </c>
      <c r="C285">
        <v>0.52249999999999996</v>
      </c>
      <c r="D285">
        <v>0.41360000000000002</v>
      </c>
      <c r="E285">
        <v>0.4451</v>
      </c>
      <c r="F285">
        <v>12558113.33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-0.42148760330578533</v>
      </c>
      <c r="Q285">
        <f t="shared" si="965"/>
        <v>-5293089.0895041348</v>
      </c>
      <c r="R285">
        <f t="shared" si="966"/>
        <v>-37143790.874569088</v>
      </c>
      <c r="S285">
        <f t="shared" si="967"/>
        <v>-371.43790874569089</v>
      </c>
      <c r="T285">
        <f t="shared" si="968"/>
        <v>-0.37143790874569088</v>
      </c>
    </row>
    <row r="286" spans="1:20" x14ac:dyDescent="0.25">
      <c r="A286" s="5">
        <v>44307</v>
      </c>
      <c r="B286">
        <v>0.52739999999999998</v>
      </c>
      <c r="C286">
        <v>0.57279999999999998</v>
      </c>
      <c r="D286">
        <v>0.4768</v>
      </c>
      <c r="E286">
        <v>0.48870000000000002</v>
      </c>
      <c r="F286">
        <v>11733897.76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-0.75208333333333277</v>
      </c>
      <c r="Q286">
        <f t="shared" si="965"/>
        <v>-8824868.9403333273</v>
      </c>
      <c r="R286">
        <f t="shared" si="966"/>
        <v>-31850701.785064951</v>
      </c>
      <c r="S286">
        <f t="shared" si="967"/>
        <v>-318.5070178506495</v>
      </c>
      <c r="T286">
        <f t="shared" si="968"/>
        <v>-0.3185070178506495</v>
      </c>
    </row>
    <row r="287" spans="1:20" x14ac:dyDescent="0.25">
      <c r="A287" s="5">
        <v>44306</v>
      </c>
      <c r="B287">
        <v>0.51800000000000002</v>
      </c>
      <c r="C287">
        <v>0.56159999999999999</v>
      </c>
      <c r="D287">
        <v>0.45550000000000002</v>
      </c>
      <c r="E287">
        <v>0.52749999999999997</v>
      </c>
      <c r="F287">
        <v>13321517.91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0.35721017907634256</v>
      </c>
      <c r="Q287">
        <f t="shared" si="965"/>
        <v>4758581.7981998045</v>
      </c>
      <c r="R287">
        <f t="shared" si="966"/>
        <v>-23025832.844731621</v>
      </c>
      <c r="S287">
        <f t="shared" si="967"/>
        <v>-230.25832844731622</v>
      </c>
      <c r="T287">
        <f t="shared" si="968"/>
        <v>-0.23025832844731622</v>
      </c>
    </row>
    <row r="288" spans="1:20" x14ac:dyDescent="0.25">
      <c r="A288" s="5">
        <v>44305</v>
      </c>
      <c r="B288">
        <v>0.58599999999999997</v>
      </c>
      <c r="C288">
        <v>0.62719999999999998</v>
      </c>
      <c r="D288">
        <v>0.51100000000000001</v>
      </c>
      <c r="E288">
        <v>0.51800000000000002</v>
      </c>
      <c r="F288">
        <v>12146275.050000001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-0.87951807228915646</v>
      </c>
      <c r="Q288">
        <f t="shared" si="965"/>
        <v>-10682868.417469878</v>
      </c>
      <c r="R288">
        <f t="shared" si="966"/>
        <v>-27784414.642931424</v>
      </c>
      <c r="S288">
        <f t="shared" si="967"/>
        <v>-277.84414642931426</v>
      </c>
      <c r="T288">
        <f t="shared" si="968"/>
        <v>-0.27784414642931426</v>
      </c>
    </row>
    <row r="289" spans="1:20" x14ac:dyDescent="0.25">
      <c r="A289" s="5">
        <v>44304</v>
      </c>
      <c r="B289">
        <v>0.66920000000000002</v>
      </c>
      <c r="C289">
        <v>0.69</v>
      </c>
      <c r="D289">
        <v>0.51800000000000002</v>
      </c>
      <c r="E289">
        <v>0.58650000000000002</v>
      </c>
      <c r="F289">
        <v>14451738.279999999</v>
      </c>
      <c r="G289">
        <v>0</v>
      </c>
      <c r="L289" t="s">
        <v>7</v>
      </c>
      <c r="M289" t="s">
        <v>7</v>
      </c>
      <c r="N289" t="s">
        <v>8</v>
      </c>
      <c r="P289">
        <f t="shared" si="964"/>
        <v>-0.20348837209302287</v>
      </c>
      <c r="Q289">
        <f t="shared" si="965"/>
        <v>-2940760.6965116221</v>
      </c>
      <c r="R289">
        <f t="shared" si="966"/>
        <v>-17101546.225461546</v>
      </c>
      <c r="S289">
        <f t="shared" si="967"/>
        <v>-171.01546225461547</v>
      </c>
      <c r="T289">
        <f t="shared" si="968"/>
        <v>-0.17101546225461547</v>
      </c>
    </row>
    <row r="290" spans="1:20" x14ac:dyDescent="0.25">
      <c r="A290" s="5">
        <v>44303</v>
      </c>
      <c r="B290">
        <v>0.62980000000000003</v>
      </c>
      <c r="C290">
        <v>0.7298</v>
      </c>
      <c r="D290">
        <v>0.62229999999999996</v>
      </c>
      <c r="E290">
        <v>0.66979999999999995</v>
      </c>
      <c r="F290">
        <v>23909310.969999999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-0.11627906976744244</v>
      </c>
      <c r="Q290">
        <f t="shared" si="965"/>
        <v>-2780152.4383721068</v>
      </c>
      <c r="R290">
        <f t="shared" si="966"/>
        <v>-14160785.528949926</v>
      </c>
      <c r="S290">
        <f t="shared" si="967"/>
        <v>-141.60785528949927</v>
      </c>
      <c r="T290">
        <f t="shared" si="968"/>
        <v>-0.14160785528949926</v>
      </c>
    </row>
    <row r="291" spans="1:20" x14ac:dyDescent="0.25">
      <c r="A291" s="5">
        <v>44302</v>
      </c>
      <c r="B291">
        <v>0.63700000000000001</v>
      </c>
      <c r="C291">
        <v>0.67900000000000005</v>
      </c>
      <c r="D291">
        <v>0.61270000000000002</v>
      </c>
      <c r="E291">
        <v>0.62980000000000003</v>
      </c>
      <c r="F291">
        <v>15653755.66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-0.48416289592760187</v>
      </c>
      <c r="Q291">
        <f t="shared" si="965"/>
        <v>-7578967.6724886885</v>
      </c>
      <c r="R291">
        <f t="shared" si="966"/>
        <v>-11380633.090577818</v>
      </c>
      <c r="S291">
        <f t="shared" si="967"/>
        <v>-113.80633090577818</v>
      </c>
      <c r="T291">
        <f t="shared" si="968"/>
        <v>-0.11380633090577819</v>
      </c>
    </row>
    <row r="292" spans="1:20" x14ac:dyDescent="0.25">
      <c r="A292" s="5">
        <v>44301</v>
      </c>
      <c r="B292">
        <v>0.5544</v>
      </c>
      <c r="C292">
        <v>0.67500000000000004</v>
      </c>
      <c r="D292">
        <v>0.55130000000000001</v>
      </c>
      <c r="E292">
        <v>0.63690000000000002</v>
      </c>
      <c r="F292">
        <v>25042355.460000001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0.38399353274050102</v>
      </c>
      <c r="Q292">
        <f t="shared" si="965"/>
        <v>9616102.5412287749</v>
      </c>
      <c r="R292">
        <f t="shared" si="966"/>
        <v>-3801665.418089129</v>
      </c>
      <c r="S292">
        <f t="shared" si="967"/>
        <v>-38.016654180891287</v>
      </c>
      <c r="T292">
        <f t="shared" si="968"/>
        <v>-3.8016654180891285E-2</v>
      </c>
    </row>
    <row r="293" spans="1:20" x14ac:dyDescent="0.25">
      <c r="A293" s="5">
        <v>44300</v>
      </c>
      <c r="B293">
        <v>0.57489999999999997</v>
      </c>
      <c r="C293">
        <v>0.62729999999999997</v>
      </c>
      <c r="D293">
        <v>0.51649999999999996</v>
      </c>
      <c r="E293">
        <v>0.55589999999999995</v>
      </c>
      <c r="F293">
        <v>25703303.280000001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-0.28880866425992802</v>
      </c>
      <c r="Q293">
        <f t="shared" si="965"/>
        <v>-7423336.6873646267</v>
      </c>
      <c r="R293">
        <f t="shared" si="966"/>
        <v>-13417767.959317904</v>
      </c>
      <c r="S293">
        <f t="shared" si="967"/>
        <v>-134.17767959317905</v>
      </c>
      <c r="T293">
        <f t="shared" si="968"/>
        <v>-0.13417767959317906</v>
      </c>
    </row>
    <row r="294" spans="1:20" x14ac:dyDescent="0.25">
      <c r="A294" s="5">
        <v>44299</v>
      </c>
      <c r="B294">
        <v>0.57909999999999995</v>
      </c>
      <c r="C294">
        <v>0.58840000000000003</v>
      </c>
      <c r="D294">
        <v>0.54869999999999997</v>
      </c>
      <c r="E294">
        <v>0.57530000000000003</v>
      </c>
      <c r="F294">
        <v>9932229.4499999993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0.34005037783375425</v>
      </c>
      <c r="Q294">
        <f t="shared" si="965"/>
        <v>3377458.377204041</v>
      </c>
      <c r="R294">
        <f t="shared" si="966"/>
        <v>-5994431.2719532782</v>
      </c>
      <c r="S294">
        <f t="shared" si="967"/>
        <v>-59.944312719532782</v>
      </c>
      <c r="T294">
        <f t="shared" si="968"/>
        <v>-5.994431271953278E-2</v>
      </c>
    </row>
    <row r="295" spans="1:20" x14ac:dyDescent="0.25">
      <c r="A295" s="5">
        <v>44298</v>
      </c>
      <c r="B295">
        <v>0.62280000000000002</v>
      </c>
      <c r="C295">
        <v>0.62429999999999997</v>
      </c>
      <c r="D295">
        <v>0.56930000000000003</v>
      </c>
      <c r="E295">
        <v>0.57930000000000004</v>
      </c>
      <c r="F295">
        <v>10450923.1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-0.63636363636363558</v>
      </c>
      <c r="Q295">
        <f t="shared" si="965"/>
        <v>-6650587.4272727184</v>
      </c>
      <c r="R295">
        <f t="shared" si="966"/>
        <v>-9371889.6491573192</v>
      </c>
      <c r="S295">
        <f t="shared" si="967"/>
        <v>-93.71889649157319</v>
      </c>
      <c r="T295">
        <f t="shared" si="968"/>
        <v>-9.3718896491573195E-2</v>
      </c>
    </row>
    <row r="296" spans="1:20" x14ac:dyDescent="0.25">
      <c r="A296" s="5">
        <v>44297</v>
      </c>
      <c r="B296">
        <v>0.63819999999999999</v>
      </c>
      <c r="C296">
        <v>0.66469999999999996</v>
      </c>
      <c r="D296">
        <v>0.60760000000000003</v>
      </c>
      <c r="E296">
        <v>0.62290000000000001</v>
      </c>
      <c r="F296">
        <v>11544528.449999999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-0.46409807355516641</v>
      </c>
      <c r="Q296">
        <f t="shared" si="965"/>
        <v>-5357793.4137478108</v>
      </c>
      <c r="R296">
        <f t="shared" si="966"/>
        <v>-2721302.2218845999</v>
      </c>
      <c r="S296">
        <f t="shared" si="967"/>
        <v>-27.213022218846</v>
      </c>
      <c r="T296">
        <f t="shared" si="968"/>
        <v>-2.7213022218846E-2</v>
      </c>
    </row>
    <row r="297" spans="1:20" x14ac:dyDescent="0.25">
      <c r="A297" s="5">
        <v>44296</v>
      </c>
      <c r="B297">
        <v>0.60509999999999997</v>
      </c>
      <c r="C297">
        <v>0.68100000000000005</v>
      </c>
      <c r="D297">
        <v>0.60009999999999997</v>
      </c>
      <c r="E297">
        <v>0.6361</v>
      </c>
      <c r="F297">
        <v>16040028.58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-0.11001236093943152</v>
      </c>
      <c r="Q297">
        <f t="shared" si="965"/>
        <v>-1764601.4136217572</v>
      </c>
      <c r="R297">
        <f t="shared" si="966"/>
        <v>2636491.1918632109</v>
      </c>
      <c r="S297">
        <f t="shared" si="967"/>
        <v>26.36491191863211</v>
      </c>
      <c r="T297">
        <f t="shared" si="968"/>
        <v>2.6364911918632109E-2</v>
      </c>
    </row>
    <row r="298" spans="1:20" x14ac:dyDescent="0.25">
      <c r="A298" s="5">
        <v>44295</v>
      </c>
      <c r="B298">
        <v>0.62439999999999996</v>
      </c>
      <c r="C298">
        <v>0.6643</v>
      </c>
      <c r="D298">
        <v>0.60170000000000001</v>
      </c>
      <c r="E298">
        <v>0.60509999999999997</v>
      </c>
      <c r="F298">
        <v>9667851.3100000005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-0.89137380191693416</v>
      </c>
      <c r="Q298">
        <f t="shared" si="965"/>
        <v>-8617669.3785623126</v>
      </c>
      <c r="R298">
        <f t="shared" si="966"/>
        <v>4401092.6054849681</v>
      </c>
      <c r="S298">
        <f t="shared" si="967"/>
        <v>44.010926054849683</v>
      </c>
      <c r="T298">
        <f t="shared" si="968"/>
        <v>4.4010926054849686E-2</v>
      </c>
    </row>
    <row r="299" spans="1:20" x14ac:dyDescent="0.25">
      <c r="A299" s="5">
        <v>44294</v>
      </c>
      <c r="B299">
        <v>0.59570000000000001</v>
      </c>
      <c r="C299">
        <v>0.64410000000000001</v>
      </c>
      <c r="D299">
        <v>0.58799999999999997</v>
      </c>
      <c r="E299">
        <v>0.62370000000000003</v>
      </c>
      <c r="F299">
        <v>6005366.5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0.27272727272727415</v>
      </c>
      <c r="Q299">
        <f t="shared" si="965"/>
        <v>1637827.2272727359</v>
      </c>
      <c r="R299">
        <f t="shared" si="966"/>
        <v>13018761.984047281</v>
      </c>
      <c r="S299">
        <f t="shared" si="967"/>
        <v>130.18761984047282</v>
      </c>
      <c r="T299">
        <f t="shared" si="968"/>
        <v>0.13018761984047281</v>
      </c>
    </row>
    <row r="300" spans="1:20" x14ac:dyDescent="0.25">
      <c r="A300" s="5">
        <v>44293</v>
      </c>
      <c r="B300">
        <v>0.65390000000000004</v>
      </c>
      <c r="C300">
        <v>0.67049999999999998</v>
      </c>
      <c r="D300">
        <v>0.57499999999999996</v>
      </c>
      <c r="E300">
        <v>0.5958</v>
      </c>
      <c r="F300">
        <v>9842094.0600000005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-0.5643979057591616</v>
      </c>
      <c r="Q300">
        <f t="shared" si="965"/>
        <v>-5554857.2757486841</v>
      </c>
      <c r="R300">
        <f t="shared" si="966"/>
        <v>11380934.756774545</v>
      </c>
      <c r="S300">
        <f t="shared" si="967"/>
        <v>113.80934756774545</v>
      </c>
      <c r="T300">
        <f t="shared" si="968"/>
        <v>0.11380934756774545</v>
      </c>
    </row>
    <row r="301" spans="1:20" x14ac:dyDescent="0.25">
      <c r="A301" s="5">
        <v>44292</v>
      </c>
      <c r="B301">
        <v>0.72289999999999999</v>
      </c>
      <c r="C301">
        <v>0.73370000000000002</v>
      </c>
      <c r="D301">
        <v>0.63970000000000005</v>
      </c>
      <c r="E301">
        <v>0.65390000000000004</v>
      </c>
      <c r="F301">
        <v>10426788.17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-0.69787234042553203</v>
      </c>
      <c r="Q301">
        <f t="shared" si="965"/>
        <v>-7276567.0633191504</v>
      </c>
      <c r="R301">
        <f t="shared" si="966"/>
        <v>16935792.03252323</v>
      </c>
      <c r="S301">
        <f t="shared" si="967"/>
        <v>169.3579203252323</v>
      </c>
      <c r="T301">
        <f t="shared" si="968"/>
        <v>0.16935792032523231</v>
      </c>
    </row>
    <row r="302" spans="1:20" x14ac:dyDescent="0.25">
      <c r="A302" s="5">
        <v>44291</v>
      </c>
      <c r="B302">
        <v>0.63249999999999995</v>
      </c>
      <c r="C302">
        <v>0.74750000000000005</v>
      </c>
      <c r="D302">
        <v>0.62050000000000005</v>
      </c>
      <c r="E302">
        <v>0.7228</v>
      </c>
      <c r="F302">
        <v>26204333.899999999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0.61102362204724325</v>
      </c>
      <c r="Q302">
        <f t="shared" si="965"/>
        <v>16011467.012913363</v>
      </c>
      <c r="R302">
        <f t="shared" si="966"/>
        <v>24212359.09584238</v>
      </c>
      <c r="S302">
        <f t="shared" si="967"/>
        <v>242.12359095842379</v>
      </c>
      <c r="T302">
        <f t="shared" si="968"/>
        <v>0.24212359095842378</v>
      </c>
    </row>
    <row r="303" spans="1:20" x14ac:dyDescent="0.25">
      <c r="A303" s="5">
        <v>44290</v>
      </c>
      <c r="B303">
        <v>0.58420000000000005</v>
      </c>
      <c r="C303">
        <v>0.64500000000000002</v>
      </c>
      <c r="D303">
        <v>0.56999999999999995</v>
      </c>
      <c r="E303">
        <v>0.63249999999999995</v>
      </c>
      <c r="F303">
        <v>9747864.2799999993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0.66666666666666519</v>
      </c>
      <c r="Q303">
        <f t="shared" si="965"/>
        <v>6498576.1866666516</v>
      </c>
      <c r="R303">
        <f t="shared" si="966"/>
        <v>8200892.082929018</v>
      </c>
      <c r="S303">
        <f t="shared" si="967"/>
        <v>82.008920829290176</v>
      </c>
      <c r="T303">
        <f t="shared" si="968"/>
        <v>8.2008920829290177E-2</v>
      </c>
    </row>
    <row r="304" spans="1:20" x14ac:dyDescent="0.25">
      <c r="A304" s="5">
        <v>44289</v>
      </c>
      <c r="B304">
        <v>0.6099</v>
      </c>
      <c r="C304">
        <v>0.64990000000000003</v>
      </c>
      <c r="D304">
        <v>0.58179999999999998</v>
      </c>
      <c r="E304">
        <v>0.58550000000000002</v>
      </c>
      <c r="F304">
        <v>10679926.51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-0.89133627019089479</v>
      </c>
      <c r="Q304">
        <f t="shared" si="965"/>
        <v>-9519405.8613362592</v>
      </c>
      <c r="R304">
        <f t="shared" si="966"/>
        <v>1702315.8962623663</v>
      </c>
      <c r="S304">
        <f t="shared" si="967"/>
        <v>17.023158962623665</v>
      </c>
      <c r="T304">
        <f t="shared" si="968"/>
        <v>1.7023158962623665E-2</v>
      </c>
    </row>
    <row r="305" spans="1:20" x14ac:dyDescent="0.25">
      <c r="A305" s="5">
        <v>44288</v>
      </c>
      <c r="B305">
        <v>0.62480000000000002</v>
      </c>
      <c r="C305">
        <v>0.64500000000000002</v>
      </c>
      <c r="D305">
        <v>0.6</v>
      </c>
      <c r="E305">
        <v>0.61009999999999998</v>
      </c>
      <c r="F305">
        <v>7879526.5899999999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-0.55111111111111155</v>
      </c>
      <c r="Q305">
        <f t="shared" si="965"/>
        <v>-4342494.6540444475</v>
      </c>
      <c r="R305">
        <f t="shared" si="966"/>
        <v>11221721.757598625</v>
      </c>
      <c r="S305">
        <f t="shared" si="967"/>
        <v>112.21721757598625</v>
      </c>
      <c r="T305">
        <f t="shared" si="968"/>
        <v>0.11221721757598625</v>
      </c>
    </row>
    <row r="306" spans="1:20" x14ac:dyDescent="0.25">
      <c r="A306" s="5">
        <v>44287</v>
      </c>
      <c r="B306">
        <v>0.60019999999999996</v>
      </c>
      <c r="C306">
        <v>0.65280000000000005</v>
      </c>
      <c r="D306">
        <v>0.59260000000000002</v>
      </c>
      <c r="E306">
        <v>0.62590000000000001</v>
      </c>
      <c r="F306">
        <v>7350278.9400000004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0.10631229235880328</v>
      </c>
      <c r="Q306">
        <f t="shared" si="965"/>
        <v>781425.00358803477</v>
      </c>
      <c r="R306">
        <f t="shared" si="966"/>
        <v>15564216.411643073</v>
      </c>
      <c r="S306">
        <f t="shared" si="967"/>
        <v>155.64216411643073</v>
      </c>
      <c r="T306">
        <f t="shared" si="968"/>
        <v>0.15564216411643073</v>
      </c>
    </row>
    <row r="307" spans="1:20" x14ac:dyDescent="0.25">
      <c r="A307" s="5">
        <v>44286</v>
      </c>
      <c r="B307">
        <v>0.63919999999999999</v>
      </c>
      <c r="C307">
        <v>0.65190000000000003</v>
      </c>
      <c r="D307">
        <v>0.59</v>
      </c>
      <c r="E307">
        <v>0.60029999999999994</v>
      </c>
      <c r="F307">
        <v>8667189.9399999995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-0.66720516962843412</v>
      </c>
      <c r="Q307">
        <f t="shared" si="965"/>
        <v>-5782793.934119557</v>
      </c>
      <c r="R307">
        <f t="shared" si="966"/>
        <v>14782791.408055037</v>
      </c>
      <c r="S307">
        <f t="shared" si="967"/>
        <v>147.82791408055039</v>
      </c>
      <c r="T307">
        <f t="shared" si="968"/>
        <v>0.14782791408055038</v>
      </c>
    </row>
    <row r="308" spans="1:20" x14ac:dyDescent="0.25">
      <c r="A308" s="5">
        <v>44285</v>
      </c>
      <c r="B308">
        <v>0.66810000000000003</v>
      </c>
      <c r="C308">
        <v>0.67730000000000001</v>
      </c>
      <c r="D308">
        <v>0.62519999999999998</v>
      </c>
      <c r="E308">
        <v>0.63919999999999999</v>
      </c>
      <c r="F308">
        <v>10356920.800000001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-0.46257197696737035</v>
      </c>
      <c r="Q308">
        <f t="shared" si="965"/>
        <v>-4790821.3297504792</v>
      </c>
      <c r="R308">
        <f t="shared" si="966"/>
        <v>20565585.342174593</v>
      </c>
      <c r="S308">
        <f t="shared" si="967"/>
        <v>205.65585342174595</v>
      </c>
      <c r="T308">
        <f t="shared" si="968"/>
        <v>0.20565585342174594</v>
      </c>
    </row>
    <row r="309" spans="1:20" x14ac:dyDescent="0.25">
      <c r="A309" s="5">
        <v>44284</v>
      </c>
      <c r="B309">
        <v>0.60609999999999997</v>
      </c>
      <c r="C309">
        <v>0.68869999999999998</v>
      </c>
      <c r="D309">
        <v>0.58499999999999996</v>
      </c>
      <c r="E309">
        <v>0.66810000000000003</v>
      </c>
      <c r="F309">
        <v>13779619.01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0.60270009643201639</v>
      </c>
      <c r="Q309">
        <f t="shared" si="965"/>
        <v>8304977.7061234461</v>
      </c>
      <c r="R309">
        <f t="shared" si="966"/>
        <v>25356406.671925072</v>
      </c>
      <c r="S309">
        <f t="shared" si="967"/>
        <v>253.56406671925072</v>
      </c>
      <c r="T309">
        <f t="shared" si="968"/>
        <v>0.25356406671925069</v>
      </c>
    </row>
    <row r="310" spans="1:20" x14ac:dyDescent="0.25">
      <c r="A310" s="5">
        <v>44283</v>
      </c>
      <c r="B310">
        <v>0.62350000000000005</v>
      </c>
      <c r="C310">
        <v>0.69</v>
      </c>
      <c r="D310">
        <v>0.57999999999999996</v>
      </c>
      <c r="E310">
        <v>0.60609999999999997</v>
      </c>
      <c r="F310">
        <v>24677885.18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-0.52545454545454517</v>
      </c>
      <c r="Q310">
        <f t="shared" si="965"/>
        <v>-12967106.940036356</v>
      </c>
      <c r="R310">
        <f t="shared" si="966"/>
        <v>17051428.965801626</v>
      </c>
      <c r="S310">
        <f t="shared" si="967"/>
        <v>170.51428965801625</v>
      </c>
      <c r="T310">
        <f t="shared" si="968"/>
        <v>0.17051428965801627</v>
      </c>
    </row>
    <row r="311" spans="1:20" x14ac:dyDescent="0.25">
      <c r="A311" s="5">
        <v>44282</v>
      </c>
      <c r="B311">
        <v>0.5444</v>
      </c>
      <c r="C311">
        <v>0.63249999999999995</v>
      </c>
      <c r="D311">
        <v>0.52539999999999998</v>
      </c>
      <c r="E311">
        <v>0.62309999999999999</v>
      </c>
      <c r="F311">
        <v>18219794.32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0.82446311858076626</v>
      </c>
      <c r="Q311">
        <f t="shared" si="965"/>
        <v>15021548.444967331</v>
      </c>
      <c r="R311">
        <f t="shared" si="966"/>
        <v>30018535.905837983</v>
      </c>
      <c r="S311">
        <f t="shared" si="967"/>
        <v>300.18535905837985</v>
      </c>
      <c r="T311">
        <f t="shared" si="968"/>
        <v>0.30018535905837984</v>
      </c>
    </row>
    <row r="312" spans="1:20" x14ac:dyDescent="0.25">
      <c r="A312" s="5">
        <v>44281</v>
      </c>
      <c r="B312">
        <v>0.48749999999999999</v>
      </c>
      <c r="C312">
        <v>0.56000000000000005</v>
      </c>
      <c r="D312">
        <v>0.48499999999999999</v>
      </c>
      <c r="E312">
        <v>0.54400000000000004</v>
      </c>
      <c r="F312">
        <v>7430909.9800000004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0.57333333333333336</v>
      </c>
      <c r="Q312">
        <f t="shared" si="965"/>
        <v>4260388.3885333342</v>
      </c>
      <c r="R312">
        <f t="shared" si="966"/>
        <v>14996987.46087065</v>
      </c>
      <c r="S312">
        <f t="shared" si="967"/>
        <v>149.9698746087065</v>
      </c>
      <c r="T312">
        <f t="shared" si="968"/>
        <v>0.1499698746087065</v>
      </c>
    </row>
    <row r="313" spans="1:20" x14ac:dyDescent="0.25">
      <c r="A313" s="5">
        <v>44280</v>
      </c>
      <c r="B313">
        <v>0.53690000000000004</v>
      </c>
      <c r="C313">
        <v>0.54479999999999995</v>
      </c>
      <c r="D313">
        <v>0.46960000000000002</v>
      </c>
      <c r="E313">
        <v>0.48749999999999999</v>
      </c>
      <c r="F313">
        <v>12850395.74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-0.52393617021276628</v>
      </c>
      <c r="Q313">
        <f t="shared" si="965"/>
        <v>-6732787.1297340468</v>
      </c>
      <c r="R313">
        <f t="shared" si="966"/>
        <v>10736599.072337314</v>
      </c>
      <c r="S313">
        <f t="shared" si="967"/>
        <v>107.36599072337314</v>
      </c>
      <c r="T313">
        <f t="shared" si="968"/>
        <v>0.10736599072337315</v>
      </c>
    </row>
    <row r="314" spans="1:20" x14ac:dyDescent="0.25">
      <c r="A314" s="5">
        <v>44279</v>
      </c>
      <c r="B314">
        <v>0.61040000000000005</v>
      </c>
      <c r="C314">
        <v>0.64</v>
      </c>
      <c r="D314">
        <v>0.51100000000000001</v>
      </c>
      <c r="E314">
        <v>0.53549999999999998</v>
      </c>
      <c r="F314">
        <v>14397026.279999999</v>
      </c>
      <c r="G314">
        <v>0</v>
      </c>
      <c r="L314" t="s">
        <v>8</v>
      </c>
      <c r="M314" t="s">
        <v>7</v>
      </c>
      <c r="N314" t="s">
        <v>7</v>
      </c>
      <c r="P314">
        <f t="shared" si="964"/>
        <v>-0.62015503875969047</v>
      </c>
      <c r="Q314">
        <f t="shared" si="965"/>
        <v>-8928388.3906976823</v>
      </c>
      <c r="R314">
        <f t="shared" si="966"/>
        <v>17469386.202071361</v>
      </c>
      <c r="S314">
        <f t="shared" si="967"/>
        <v>174.69386202071362</v>
      </c>
      <c r="T314">
        <f t="shared" si="968"/>
        <v>0.17469386202071363</v>
      </c>
    </row>
    <row r="315" spans="1:20" x14ac:dyDescent="0.25">
      <c r="A315" s="5">
        <v>44278</v>
      </c>
      <c r="B315">
        <v>0.53320000000000001</v>
      </c>
      <c r="C315">
        <v>0.66</v>
      </c>
      <c r="D315">
        <v>0.50780000000000003</v>
      </c>
      <c r="E315">
        <v>0.61060000000000003</v>
      </c>
      <c r="F315">
        <v>20264492.149999999</v>
      </c>
      <c r="G315">
        <v>0</v>
      </c>
      <c r="L315" t="s">
        <v>7</v>
      </c>
      <c r="M315" t="s">
        <v>8</v>
      </c>
      <c r="N315" t="s">
        <v>7</v>
      </c>
      <c r="P315">
        <f t="shared" si="964"/>
        <v>0.35085413929040737</v>
      </c>
      <c r="Q315">
        <f t="shared" si="965"/>
        <v>7109880.9514454659</v>
      </c>
      <c r="R315">
        <f t="shared" si="966"/>
        <v>26397774.592769042</v>
      </c>
      <c r="S315">
        <f t="shared" si="967"/>
        <v>263.97774592769042</v>
      </c>
      <c r="T315">
        <f t="shared" si="968"/>
        <v>0.26397774592769041</v>
      </c>
    </row>
    <row r="316" spans="1:20" x14ac:dyDescent="0.25">
      <c r="A316" s="5">
        <v>44277</v>
      </c>
      <c r="B316">
        <v>0.57520000000000004</v>
      </c>
      <c r="C316">
        <v>0.622</v>
      </c>
      <c r="D316">
        <v>0.51900000000000002</v>
      </c>
      <c r="E316">
        <v>0.53490000000000004</v>
      </c>
      <c r="F316">
        <v>12578757.550000001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-0.69126213592232955</v>
      </c>
      <c r="Q316">
        <f t="shared" si="965"/>
        <v>-8695218.8112621289</v>
      </c>
      <c r="R316">
        <f t="shared" si="966"/>
        <v>19287893.641323574</v>
      </c>
      <c r="S316">
        <f t="shared" si="967"/>
        <v>192.87893641323575</v>
      </c>
      <c r="T316">
        <f t="shared" si="968"/>
        <v>0.19287893641323575</v>
      </c>
    </row>
    <row r="317" spans="1:20" x14ac:dyDescent="0.25">
      <c r="A317" s="5">
        <v>44276</v>
      </c>
      <c r="B317">
        <v>0.58699999999999997</v>
      </c>
      <c r="C317">
        <v>0.60699999999999998</v>
      </c>
      <c r="D317">
        <v>0.56530000000000002</v>
      </c>
      <c r="E317">
        <v>0.57520000000000004</v>
      </c>
      <c r="F317">
        <v>6637268.9000000004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-0.52517985611510654</v>
      </c>
      <c r="Q317">
        <f t="shared" si="965"/>
        <v>-3485759.9258992719</v>
      </c>
      <c r="R317">
        <f t="shared" si="966"/>
        <v>27983112.452585701</v>
      </c>
      <c r="S317">
        <f t="shared" si="967"/>
        <v>279.83112452585704</v>
      </c>
      <c r="T317">
        <f t="shared" si="968"/>
        <v>0.27983112452585701</v>
      </c>
    </row>
    <row r="318" spans="1:20" x14ac:dyDescent="0.25">
      <c r="A318" s="5">
        <v>44275</v>
      </c>
      <c r="B318">
        <v>0.62890000000000001</v>
      </c>
      <c r="C318">
        <v>0.67469999999999997</v>
      </c>
      <c r="D318">
        <v>0.58520000000000005</v>
      </c>
      <c r="E318">
        <v>0.58520000000000005</v>
      </c>
      <c r="F318">
        <v>12561096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-1</v>
      </c>
      <c r="Q318">
        <f t="shared" si="965"/>
        <v>-12561096</v>
      </c>
      <c r="R318">
        <f t="shared" si="966"/>
        <v>31468872.378484972</v>
      </c>
      <c r="S318">
        <f t="shared" si="967"/>
        <v>314.68872378484974</v>
      </c>
      <c r="T318">
        <f t="shared" si="968"/>
        <v>0.31468872378484974</v>
      </c>
    </row>
    <row r="319" spans="1:20" x14ac:dyDescent="0.25">
      <c r="A319" s="5">
        <v>44274</v>
      </c>
      <c r="B319">
        <v>0.5786</v>
      </c>
      <c r="C319">
        <v>0.67720000000000002</v>
      </c>
      <c r="D319">
        <v>0.55210000000000004</v>
      </c>
      <c r="E319">
        <v>0.62809999999999999</v>
      </c>
      <c r="F319">
        <v>16700547.9</v>
      </c>
      <c r="G319">
        <v>0</v>
      </c>
      <c r="L319" t="s">
        <v>8</v>
      </c>
      <c r="M319" t="s">
        <v>7</v>
      </c>
      <c r="N319" t="s">
        <v>8</v>
      </c>
      <c r="P319">
        <f t="shared" si="964"/>
        <v>0.2150279776179051</v>
      </c>
      <c r="Q319">
        <f t="shared" si="965"/>
        <v>3591085.040047952</v>
      </c>
      <c r="R319">
        <f t="shared" si="966"/>
        <v>44029968.378484972</v>
      </c>
      <c r="S319">
        <f t="shared" si="967"/>
        <v>440.29968378484972</v>
      </c>
      <c r="T319">
        <f t="shared" si="968"/>
        <v>0.44029968378484974</v>
      </c>
    </row>
    <row r="320" spans="1:20" x14ac:dyDescent="0.25">
      <c r="A320" s="5">
        <v>44273</v>
      </c>
      <c r="B320">
        <v>0.60740000000000005</v>
      </c>
      <c r="C320">
        <v>0.62780000000000002</v>
      </c>
      <c r="D320">
        <v>0.57530000000000003</v>
      </c>
      <c r="E320">
        <v>0.5786</v>
      </c>
      <c r="F320">
        <v>9692017.6500000004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-0.87428571428571544</v>
      </c>
      <c r="Q320">
        <f t="shared" si="965"/>
        <v>-8473592.5740000121</v>
      </c>
      <c r="R320">
        <f t="shared" si="966"/>
        <v>40438883.338437021</v>
      </c>
      <c r="S320">
        <f t="shared" si="967"/>
        <v>404.38883338437023</v>
      </c>
      <c r="T320">
        <f t="shared" si="968"/>
        <v>0.40438883338437021</v>
      </c>
    </row>
    <row r="321" spans="1:20" x14ac:dyDescent="0.25">
      <c r="A321" s="5">
        <v>44272</v>
      </c>
      <c r="B321">
        <v>0.63060000000000005</v>
      </c>
      <c r="C321">
        <v>0.63300000000000001</v>
      </c>
      <c r="D321">
        <v>0.56589999999999996</v>
      </c>
      <c r="E321">
        <v>0.60719999999999996</v>
      </c>
      <c r="F321">
        <v>12233064.449999999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0.23099850968703348</v>
      </c>
      <c r="Q321">
        <f t="shared" si="965"/>
        <v>2825819.6568554295</v>
      </c>
      <c r="R321">
        <f t="shared" si="966"/>
        <v>48912475.912437029</v>
      </c>
      <c r="S321">
        <f t="shared" si="967"/>
        <v>489.12475912437031</v>
      </c>
      <c r="T321">
        <f t="shared" si="968"/>
        <v>0.48912475912437031</v>
      </c>
    </row>
    <row r="322" spans="1:20" x14ac:dyDescent="0.25">
      <c r="A322" s="5">
        <v>44271</v>
      </c>
      <c r="B322">
        <v>0.67549999999999999</v>
      </c>
      <c r="C322">
        <v>0.74</v>
      </c>
      <c r="D322">
        <v>0.61419999999999997</v>
      </c>
      <c r="E322">
        <v>0.63109999999999999</v>
      </c>
      <c r="F322">
        <v>23018564.890000001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-0.73131955484896627</v>
      </c>
      <c r="Q322">
        <f t="shared" si="965"/>
        <v>-16833926.628616843</v>
      </c>
      <c r="R322">
        <f t="shared" si="966"/>
        <v>46086656.255581602</v>
      </c>
      <c r="S322">
        <f t="shared" si="967"/>
        <v>460.86656255581602</v>
      </c>
      <c r="T322">
        <f t="shared" si="968"/>
        <v>0.46086656255581604</v>
      </c>
    </row>
    <row r="323" spans="1:20" x14ac:dyDescent="0.25">
      <c r="A323" s="5">
        <v>44270</v>
      </c>
      <c r="B323">
        <v>0.66759999999999997</v>
      </c>
      <c r="C323">
        <v>0.72</v>
      </c>
      <c r="D323">
        <v>0.55500000000000005</v>
      </c>
      <c r="E323">
        <v>0.67559999999999998</v>
      </c>
      <c r="F323">
        <v>27002637.920000002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0.46181818181818163</v>
      </c>
      <c r="Q323">
        <f t="shared" si="965"/>
        <v>12470309.148509087</v>
      </c>
      <c r="R323">
        <f t="shared" si="966"/>
        <v>62920582.884198442</v>
      </c>
      <c r="S323">
        <f t="shared" si="967"/>
        <v>629.20582884198438</v>
      </c>
      <c r="T323">
        <f t="shared" si="968"/>
        <v>0.62920582884198439</v>
      </c>
    </row>
    <row r="324" spans="1:20" x14ac:dyDescent="0.25">
      <c r="A324" s="5">
        <v>44269</v>
      </c>
      <c r="B324">
        <v>0.60670000000000002</v>
      </c>
      <c r="C324">
        <v>0.7</v>
      </c>
      <c r="D324">
        <v>0.5655</v>
      </c>
      <c r="E324">
        <v>0.66759999999999997</v>
      </c>
      <c r="F324">
        <v>22773725.68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0.51821561338289968</v>
      </c>
      <c r="Q324">
        <f t="shared" si="965"/>
        <v>11801700.222275093</v>
      </c>
      <c r="R324">
        <f t="shared" si="966"/>
        <v>50450273.735689357</v>
      </c>
      <c r="S324">
        <f t="shared" si="967"/>
        <v>504.50273735689359</v>
      </c>
      <c r="T324">
        <f t="shared" si="968"/>
        <v>0.50450273735689355</v>
      </c>
    </row>
    <row r="325" spans="1:20" x14ac:dyDescent="0.25">
      <c r="A325" s="5">
        <v>44268</v>
      </c>
      <c r="B325">
        <v>0.52110000000000001</v>
      </c>
      <c r="C325">
        <v>0.63109999999999999</v>
      </c>
      <c r="D325">
        <v>0.4924</v>
      </c>
      <c r="E325">
        <v>0.60589999999999999</v>
      </c>
      <c r="F325">
        <v>22348743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0.63662581110310024</v>
      </c>
      <c r="Q325">
        <f t="shared" si="965"/>
        <v>14227786.639509734</v>
      </c>
      <c r="R325">
        <f t="shared" si="966"/>
        <v>38648573.513414264</v>
      </c>
      <c r="S325">
        <f t="shared" si="967"/>
        <v>386.48573513414266</v>
      </c>
      <c r="T325">
        <f t="shared" si="968"/>
        <v>0.38648573513414264</v>
      </c>
    </row>
    <row r="326" spans="1:20" x14ac:dyDescent="0.25">
      <c r="A326" s="5">
        <v>44267</v>
      </c>
      <c r="B326">
        <v>0.49990000000000001</v>
      </c>
      <c r="C326">
        <v>0.55000000000000004</v>
      </c>
      <c r="D326">
        <v>0.46150000000000002</v>
      </c>
      <c r="E326">
        <v>0.5212</v>
      </c>
      <c r="F326">
        <v>20839045.449999999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0.34915254237288046</v>
      </c>
      <c r="Q326">
        <f t="shared" ref="Q326:Q389" si="970">F326*P326</f>
        <v>7276005.6994915064</v>
      </c>
      <c r="R326">
        <f t="shared" ref="R326:R389" si="971">R327+Q326</f>
        <v>24420786.873904534</v>
      </c>
      <c r="S326">
        <f t="shared" ref="S326:S389" si="972">R326/100000</f>
        <v>244.20786873904532</v>
      </c>
      <c r="T326">
        <f t="shared" ref="T326:T389" si="973">S326/1000</f>
        <v>0.24420786873904532</v>
      </c>
    </row>
    <row r="327" spans="1:20" x14ac:dyDescent="0.25">
      <c r="A327" s="5">
        <v>44266</v>
      </c>
      <c r="B327">
        <v>0.4239</v>
      </c>
      <c r="C327">
        <v>0.52</v>
      </c>
      <c r="D327">
        <v>0.41710000000000003</v>
      </c>
      <c r="E327">
        <v>0.49990000000000001</v>
      </c>
      <c r="F327">
        <v>17269058.25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0.60932944606413975</v>
      </c>
      <c r="Q327">
        <f t="shared" si="970"/>
        <v>10522545.697521862</v>
      </c>
      <c r="R327">
        <f t="shared" si="971"/>
        <v>17144781.174413029</v>
      </c>
      <c r="S327">
        <f t="shared" si="972"/>
        <v>171.44781174413029</v>
      </c>
      <c r="T327">
        <f t="shared" si="973"/>
        <v>0.17144781174413029</v>
      </c>
    </row>
    <row r="328" spans="1:20" x14ac:dyDescent="0.25">
      <c r="A328" s="5">
        <v>44265</v>
      </c>
      <c r="B328">
        <v>0.43859999999999999</v>
      </c>
      <c r="C328">
        <v>0.47989999999999999</v>
      </c>
      <c r="D328">
        <v>0.41120000000000001</v>
      </c>
      <c r="E328">
        <v>0.42399999999999999</v>
      </c>
      <c r="F328">
        <v>8233650.5199999996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-0.62736535662299908</v>
      </c>
      <c r="Q328">
        <f t="shared" si="970"/>
        <v>-5165507.0947889416</v>
      </c>
      <c r="R328">
        <f t="shared" si="971"/>
        <v>6622235.4768911684</v>
      </c>
      <c r="S328">
        <f t="shared" si="972"/>
        <v>66.222354768911686</v>
      </c>
      <c r="T328">
        <f t="shared" si="973"/>
        <v>6.6222354768911681E-2</v>
      </c>
    </row>
    <row r="329" spans="1:20" x14ac:dyDescent="0.25">
      <c r="A329" s="5">
        <v>44264</v>
      </c>
      <c r="B329">
        <v>0.40810000000000002</v>
      </c>
      <c r="C329">
        <v>0.47499999999999998</v>
      </c>
      <c r="D329">
        <v>0.3931</v>
      </c>
      <c r="E329">
        <v>0.43859999999999999</v>
      </c>
      <c r="F329">
        <v>13613556.300000001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0.1111111111111111</v>
      </c>
      <c r="Q329">
        <f t="shared" si="970"/>
        <v>1512617.3666666667</v>
      </c>
      <c r="R329">
        <f t="shared" si="971"/>
        <v>11787742.57168011</v>
      </c>
      <c r="S329">
        <f t="shared" si="972"/>
        <v>117.8774257168011</v>
      </c>
      <c r="T329">
        <f t="shared" si="973"/>
        <v>0.1178774257168011</v>
      </c>
    </row>
    <row r="330" spans="1:20" x14ac:dyDescent="0.25">
      <c r="A330" s="5">
        <v>44263</v>
      </c>
      <c r="B330">
        <v>0.40799999999999997</v>
      </c>
      <c r="C330">
        <v>0.41420000000000001</v>
      </c>
      <c r="D330">
        <v>0.3765</v>
      </c>
      <c r="E330">
        <v>0.40960000000000002</v>
      </c>
      <c r="F330">
        <v>7383162.9800000004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0.75596816976127368</v>
      </c>
      <c r="Q330">
        <f t="shared" si="970"/>
        <v>5581436.2050397918</v>
      </c>
      <c r="R330">
        <f t="shared" si="971"/>
        <v>10275125.205013443</v>
      </c>
      <c r="S330">
        <f t="shared" si="972"/>
        <v>102.75125205013443</v>
      </c>
      <c r="T330">
        <f t="shared" si="973"/>
        <v>0.10275125205013443</v>
      </c>
    </row>
    <row r="331" spans="1:20" x14ac:dyDescent="0.25">
      <c r="A331" s="5">
        <v>44262</v>
      </c>
      <c r="B331">
        <v>0.36570000000000003</v>
      </c>
      <c r="C331">
        <v>0.44</v>
      </c>
      <c r="D331">
        <v>0.36209999999999998</v>
      </c>
      <c r="E331">
        <v>0.4083</v>
      </c>
      <c r="F331">
        <v>15341358.689999999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0.18613607188703477</v>
      </c>
      <c r="Q331">
        <f t="shared" si="970"/>
        <v>2855580.2439666255</v>
      </c>
      <c r="R331">
        <f t="shared" si="971"/>
        <v>4693688.999973651</v>
      </c>
      <c r="S331">
        <f t="shared" si="972"/>
        <v>46.936889999736508</v>
      </c>
      <c r="T331">
        <f t="shared" si="973"/>
        <v>4.6936889999736504E-2</v>
      </c>
    </row>
    <row r="332" spans="1:20" x14ac:dyDescent="0.25">
      <c r="A332" s="5">
        <v>44261</v>
      </c>
      <c r="B332">
        <v>0.34749999999999998</v>
      </c>
      <c r="C332">
        <v>0.38030000000000003</v>
      </c>
      <c r="D332">
        <v>0.32729999999999998</v>
      </c>
      <c r="E332">
        <v>0.36520000000000002</v>
      </c>
      <c r="F332">
        <v>5825720.9699999997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0.43018867924528342</v>
      </c>
      <c r="Q332">
        <f t="shared" si="970"/>
        <v>2506159.2097358513</v>
      </c>
      <c r="R332">
        <f t="shared" si="971"/>
        <v>1838108.7560070255</v>
      </c>
      <c r="S332">
        <f t="shared" si="972"/>
        <v>18.381087560070256</v>
      </c>
      <c r="T332">
        <f t="shared" si="973"/>
        <v>1.8381087560070255E-2</v>
      </c>
    </row>
    <row r="333" spans="1:20" x14ac:dyDescent="0.25">
      <c r="A333" s="5">
        <v>44260</v>
      </c>
      <c r="B333">
        <v>0.34939999999999999</v>
      </c>
      <c r="C333">
        <v>0.36499999999999999</v>
      </c>
      <c r="D333">
        <v>0.31869999999999998</v>
      </c>
      <c r="E333">
        <v>0.3473</v>
      </c>
      <c r="F333">
        <v>7003059.7300000004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0.23542116630669588</v>
      </c>
      <c r="Q333">
        <f t="shared" si="970"/>
        <v>1648668.4893520549</v>
      </c>
      <c r="R333">
        <f t="shared" si="971"/>
        <v>-668050.45372882579</v>
      </c>
      <c r="S333">
        <f t="shared" si="972"/>
        <v>-6.6805045372882574</v>
      </c>
      <c r="T333">
        <f t="shared" si="973"/>
        <v>-6.6805045372882576E-3</v>
      </c>
    </row>
    <row r="334" spans="1:20" x14ac:dyDescent="0.25">
      <c r="A334" s="5">
        <v>44259</v>
      </c>
      <c r="B334">
        <v>0.34770000000000001</v>
      </c>
      <c r="C334">
        <v>0.38</v>
      </c>
      <c r="D334">
        <v>0.33</v>
      </c>
      <c r="E334">
        <v>0.34949999999999998</v>
      </c>
      <c r="F334">
        <v>11774890.560000001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-0.22000000000000136</v>
      </c>
      <c r="Q334">
        <f t="shared" si="970"/>
        <v>-2590475.9232000159</v>
      </c>
      <c r="R334">
        <f t="shared" si="971"/>
        <v>-2316718.9430808807</v>
      </c>
      <c r="S334">
        <f t="shared" si="972"/>
        <v>-23.167189430808808</v>
      </c>
      <c r="T334">
        <f t="shared" si="973"/>
        <v>-2.3167189430808807E-2</v>
      </c>
    </row>
    <row r="335" spans="1:20" x14ac:dyDescent="0.25">
      <c r="A335" s="5">
        <v>44258</v>
      </c>
      <c r="B335">
        <v>0.32890000000000003</v>
      </c>
      <c r="C335">
        <v>0.375</v>
      </c>
      <c r="D335">
        <v>0.32250000000000001</v>
      </c>
      <c r="E335">
        <v>0.34799999999999998</v>
      </c>
      <c r="F335">
        <v>7077619.4800000004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-2.857142857142966E-2</v>
      </c>
      <c r="Q335">
        <f t="shared" si="970"/>
        <v>-202217.69942857916</v>
      </c>
      <c r="R335">
        <f t="shared" si="971"/>
        <v>273756.98011913535</v>
      </c>
      <c r="S335">
        <f t="shared" si="972"/>
        <v>2.7375698011913534</v>
      </c>
      <c r="T335">
        <f t="shared" si="973"/>
        <v>2.7375698011913533E-3</v>
      </c>
    </row>
    <row r="336" spans="1:20" x14ac:dyDescent="0.25">
      <c r="A336" s="5">
        <v>44257</v>
      </c>
      <c r="B336">
        <v>0.34089999999999998</v>
      </c>
      <c r="C336">
        <v>0.35599999999999998</v>
      </c>
      <c r="D336">
        <v>0.315</v>
      </c>
      <c r="E336">
        <v>0.32890000000000003</v>
      </c>
      <c r="F336">
        <v>5586528.3099999996</v>
      </c>
      <c r="G336">
        <v>0</v>
      </c>
      <c r="L336" t="s">
        <v>7</v>
      </c>
      <c r="M336" t="s">
        <v>8</v>
      </c>
      <c r="N336" t="s">
        <v>8</v>
      </c>
      <c r="P336">
        <f t="shared" si="969"/>
        <v>-0.32195121951219369</v>
      </c>
      <c r="Q336">
        <f t="shared" si="970"/>
        <v>-1798589.6022438942</v>
      </c>
      <c r="R336">
        <f t="shared" si="971"/>
        <v>475974.67954771454</v>
      </c>
      <c r="S336">
        <f t="shared" si="972"/>
        <v>4.7597467954771453</v>
      </c>
      <c r="T336">
        <f t="shared" si="973"/>
        <v>4.7597467954771456E-3</v>
      </c>
    </row>
    <row r="337" spans="1:20" x14ac:dyDescent="0.25">
      <c r="A337" s="5">
        <v>44256</v>
      </c>
      <c r="B337">
        <v>0.317</v>
      </c>
      <c r="C337">
        <v>0.3629</v>
      </c>
      <c r="D337">
        <v>0.31280000000000002</v>
      </c>
      <c r="E337">
        <v>0.34200000000000003</v>
      </c>
      <c r="F337">
        <v>5714876.7199999997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0.16566866267465136</v>
      </c>
      <c r="Q337">
        <f t="shared" si="970"/>
        <v>946775.98355289793</v>
      </c>
      <c r="R337">
        <f t="shared" si="971"/>
        <v>2274564.2817916088</v>
      </c>
      <c r="S337">
        <f t="shared" si="972"/>
        <v>22.745642817916089</v>
      </c>
      <c r="T337">
        <f t="shared" si="973"/>
        <v>2.2745642817916089E-2</v>
      </c>
    </row>
    <row r="338" spans="1:20" x14ac:dyDescent="0.25">
      <c r="A338" s="5">
        <v>44255</v>
      </c>
      <c r="B338">
        <v>0.33550000000000002</v>
      </c>
      <c r="C338">
        <v>0.3362</v>
      </c>
      <c r="D338">
        <v>0.28999999999999998</v>
      </c>
      <c r="E338">
        <v>0.31569999999999998</v>
      </c>
      <c r="F338">
        <v>5516925.7599999998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0.11255411255411213</v>
      </c>
      <c r="Q338">
        <f t="shared" si="970"/>
        <v>620952.6829437206</v>
      </c>
      <c r="R338">
        <f t="shared" si="971"/>
        <v>1327788.2982387107</v>
      </c>
      <c r="S338">
        <f t="shared" si="972"/>
        <v>13.277882982387107</v>
      </c>
      <c r="T338">
        <f t="shared" si="973"/>
        <v>1.3277882982387107E-2</v>
      </c>
    </row>
    <row r="339" spans="1:20" x14ac:dyDescent="0.25">
      <c r="A339" s="5">
        <v>44254</v>
      </c>
      <c r="B339">
        <v>0.32590000000000002</v>
      </c>
      <c r="C339">
        <v>0.36059999999999998</v>
      </c>
      <c r="D339">
        <v>0.32140000000000002</v>
      </c>
      <c r="E339">
        <v>0.3357</v>
      </c>
      <c r="F339">
        <v>4846157.97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-0.27040816326530637</v>
      </c>
      <c r="Q339">
        <f t="shared" si="970"/>
        <v>-1310440.6755612255</v>
      </c>
      <c r="R339">
        <f t="shared" si="971"/>
        <v>706835.61529499013</v>
      </c>
      <c r="S339">
        <f t="shared" si="972"/>
        <v>7.0683561529499013</v>
      </c>
      <c r="T339">
        <f t="shared" si="973"/>
        <v>7.0683561529499015E-3</v>
      </c>
    </row>
    <row r="340" spans="1:20" x14ac:dyDescent="0.25">
      <c r="A340" s="5">
        <v>44253</v>
      </c>
      <c r="B340">
        <v>0.3256</v>
      </c>
      <c r="C340">
        <v>0.38519999999999999</v>
      </c>
      <c r="D340">
        <v>0.29580000000000001</v>
      </c>
      <c r="E340">
        <v>0.32590000000000002</v>
      </c>
      <c r="F340">
        <v>8140040.3799999999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-0.32662192393735967</v>
      </c>
      <c r="Q340">
        <f t="shared" si="970"/>
        <v>-2658715.6498433962</v>
      </c>
      <c r="R340">
        <f t="shared" si="971"/>
        <v>2017276.2908562156</v>
      </c>
      <c r="S340">
        <f t="shared" si="972"/>
        <v>20.172762908562156</v>
      </c>
      <c r="T340">
        <f t="shared" si="973"/>
        <v>2.0172762908562156E-2</v>
      </c>
    </row>
    <row r="341" spans="1:20" x14ac:dyDescent="0.25">
      <c r="A341" s="5">
        <v>44252</v>
      </c>
      <c r="B341">
        <v>0.3533</v>
      </c>
      <c r="C341">
        <v>0.38</v>
      </c>
      <c r="D341">
        <v>0.32350000000000001</v>
      </c>
      <c r="E341">
        <v>0.32569999999999999</v>
      </c>
      <c r="F341">
        <v>6483714.7699999996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-0.92212389380531046</v>
      </c>
      <c r="Q341">
        <f t="shared" si="970"/>
        <v>-5978788.3100354029</v>
      </c>
      <c r="R341">
        <f t="shared" si="971"/>
        <v>4675991.9406996118</v>
      </c>
      <c r="S341">
        <f t="shared" si="972"/>
        <v>46.759919406996119</v>
      </c>
      <c r="T341">
        <f t="shared" si="973"/>
        <v>4.6759919406996121E-2</v>
      </c>
    </row>
    <row r="342" spans="1:20" x14ac:dyDescent="0.25">
      <c r="A342" s="5">
        <v>44251</v>
      </c>
      <c r="B342">
        <v>0.34039999999999998</v>
      </c>
      <c r="C342">
        <v>0.40579999999999999</v>
      </c>
      <c r="D342">
        <v>0.33339999999999997</v>
      </c>
      <c r="E342">
        <v>0.35460000000000003</v>
      </c>
      <c r="F342">
        <v>6709058.2999999998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-0.41436464088397662</v>
      </c>
      <c r="Q342">
        <f t="shared" si="970"/>
        <v>-2779996.5331491628</v>
      </c>
      <c r="R342">
        <f t="shared" si="971"/>
        <v>10654780.250735015</v>
      </c>
      <c r="S342">
        <f t="shared" si="972"/>
        <v>106.54780250735014</v>
      </c>
      <c r="T342">
        <f t="shared" si="973"/>
        <v>0.10654780250735015</v>
      </c>
    </row>
    <row r="343" spans="1:20" x14ac:dyDescent="0.25">
      <c r="A343" s="5">
        <v>44250</v>
      </c>
      <c r="B343">
        <v>0.4022</v>
      </c>
      <c r="C343">
        <v>0.42209999999999998</v>
      </c>
      <c r="D343">
        <v>0.26579999999999998</v>
      </c>
      <c r="E343">
        <v>0.34</v>
      </c>
      <c r="F343">
        <v>15796957.68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-5.0543825975687184E-2</v>
      </c>
      <c r="Q343">
        <f t="shared" si="970"/>
        <v>-798438.67992321518</v>
      </c>
      <c r="R343">
        <f t="shared" si="971"/>
        <v>13434776.783884177</v>
      </c>
      <c r="S343">
        <f t="shared" si="972"/>
        <v>134.34776783884178</v>
      </c>
      <c r="T343">
        <f t="shared" si="973"/>
        <v>0.13434776783884178</v>
      </c>
    </row>
    <row r="344" spans="1:20" x14ac:dyDescent="0.25">
      <c r="A344" s="5">
        <v>44249</v>
      </c>
      <c r="B344">
        <v>0.42499999999999999</v>
      </c>
      <c r="C344">
        <v>0.42980000000000002</v>
      </c>
      <c r="D344">
        <v>0.3231</v>
      </c>
      <c r="E344">
        <v>0.40089999999999998</v>
      </c>
      <c r="F344">
        <v>13303122.75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0.45829428303655045</v>
      </c>
      <c r="Q344">
        <f t="shared" si="970"/>
        <v>6096745.1028584735</v>
      </c>
      <c r="R344">
        <f t="shared" si="971"/>
        <v>14233215.463807393</v>
      </c>
      <c r="S344">
        <f t="shared" si="972"/>
        <v>142.33215463807392</v>
      </c>
      <c r="T344">
        <f t="shared" si="973"/>
        <v>0.14233215463807392</v>
      </c>
    </row>
    <row r="345" spans="1:20" x14ac:dyDescent="0.25">
      <c r="A345" s="5">
        <v>44248</v>
      </c>
      <c r="B345">
        <v>0.41610000000000003</v>
      </c>
      <c r="C345">
        <v>0.44869999999999999</v>
      </c>
      <c r="D345">
        <v>0.4078</v>
      </c>
      <c r="E345">
        <v>0.42499999999999999</v>
      </c>
      <c r="F345">
        <v>6127479.4000000004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-0.15892420537897328</v>
      </c>
      <c r="Q345">
        <f t="shared" si="970"/>
        <v>-973804.79462102801</v>
      </c>
      <c r="R345">
        <f t="shared" si="971"/>
        <v>8136470.3609489202</v>
      </c>
      <c r="S345">
        <f t="shared" si="972"/>
        <v>81.364703609489197</v>
      </c>
      <c r="T345">
        <f t="shared" si="973"/>
        <v>8.1364703609489192E-2</v>
      </c>
    </row>
    <row r="346" spans="1:20" x14ac:dyDescent="0.25">
      <c r="A346" s="5">
        <v>44247</v>
      </c>
      <c r="B346">
        <v>0.46760000000000002</v>
      </c>
      <c r="C346">
        <v>0.4849</v>
      </c>
      <c r="D346">
        <v>0.39250000000000002</v>
      </c>
      <c r="E346">
        <v>0.41639999999999999</v>
      </c>
      <c r="F346">
        <v>12703500.199999999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-0.4826839826839831</v>
      </c>
      <c r="Q346">
        <f t="shared" si="970"/>
        <v>-6131776.0705627752</v>
      </c>
      <c r="R346">
        <f t="shared" si="971"/>
        <v>9110275.1555699483</v>
      </c>
      <c r="S346">
        <f t="shared" si="972"/>
        <v>91.102751555699484</v>
      </c>
      <c r="T346">
        <f t="shared" si="973"/>
        <v>9.1102751555699482E-2</v>
      </c>
    </row>
    <row r="347" spans="1:20" x14ac:dyDescent="0.25">
      <c r="A347" s="5">
        <v>44246</v>
      </c>
      <c r="B347">
        <v>0.51580000000000004</v>
      </c>
      <c r="C347">
        <v>0.51759999999999995</v>
      </c>
      <c r="D347">
        <v>0.46110000000000001</v>
      </c>
      <c r="E347">
        <v>0.4672</v>
      </c>
      <c r="F347">
        <v>9505272.7400000002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-0.78407079646017697</v>
      </c>
      <c r="Q347">
        <f t="shared" si="970"/>
        <v>-7452806.7678230088</v>
      </c>
      <c r="R347">
        <f t="shared" si="971"/>
        <v>15242051.226132723</v>
      </c>
      <c r="S347">
        <f t="shared" si="972"/>
        <v>152.42051226132722</v>
      </c>
      <c r="T347">
        <f t="shared" si="973"/>
        <v>0.15242051226132722</v>
      </c>
    </row>
    <row r="348" spans="1:20" x14ac:dyDescent="0.25">
      <c r="A348" s="5">
        <v>44245</v>
      </c>
      <c r="B348">
        <v>0.42309999999999998</v>
      </c>
      <c r="C348">
        <v>0.54730000000000001</v>
      </c>
      <c r="D348">
        <v>0.4158</v>
      </c>
      <c r="E348">
        <v>0.5141</v>
      </c>
      <c r="F348">
        <v>25192264.039999999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0.49505703422053221</v>
      </c>
      <c r="Q348">
        <f t="shared" si="970"/>
        <v>12471607.520942962</v>
      </c>
      <c r="R348">
        <f t="shared" si="971"/>
        <v>22694857.993955731</v>
      </c>
      <c r="S348">
        <f t="shared" si="972"/>
        <v>226.94857993955731</v>
      </c>
      <c r="T348">
        <f t="shared" si="973"/>
        <v>0.2269485799395573</v>
      </c>
    </row>
    <row r="349" spans="1:20" x14ac:dyDescent="0.25">
      <c r="A349" s="5">
        <v>44244</v>
      </c>
      <c r="B349">
        <v>0.42820000000000003</v>
      </c>
      <c r="C349">
        <v>0.44600000000000001</v>
      </c>
      <c r="D349">
        <v>0.39200000000000002</v>
      </c>
      <c r="E349">
        <v>0.42159999999999997</v>
      </c>
      <c r="F349">
        <v>8587014.8800000008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9.629629629629495E-2</v>
      </c>
      <c r="Q349">
        <f t="shared" si="970"/>
        <v>826897.72918517375</v>
      </c>
      <c r="R349">
        <f t="shared" si="971"/>
        <v>10223250.47301277</v>
      </c>
      <c r="S349">
        <f t="shared" si="972"/>
        <v>102.2325047301277</v>
      </c>
      <c r="T349">
        <f t="shared" si="973"/>
        <v>0.1022325047301277</v>
      </c>
    </row>
    <row r="350" spans="1:20" x14ac:dyDescent="0.25">
      <c r="A350" s="5">
        <v>44243</v>
      </c>
      <c r="B350">
        <v>0.43830000000000002</v>
      </c>
      <c r="C350">
        <v>0.4743</v>
      </c>
      <c r="D350">
        <v>0.41499999999999998</v>
      </c>
      <c r="E350">
        <v>0.42670000000000002</v>
      </c>
      <c r="F350">
        <v>6122960.6799999997</v>
      </c>
      <c r="G350">
        <v>0</v>
      </c>
      <c r="L350" t="s">
        <v>7</v>
      </c>
      <c r="M350" t="s">
        <v>7</v>
      </c>
      <c r="N350" t="s">
        <v>7</v>
      </c>
      <c r="P350">
        <f t="shared" si="969"/>
        <v>-0.60539629005058893</v>
      </c>
      <c r="Q350">
        <f t="shared" si="970"/>
        <v>-3706817.6797976312</v>
      </c>
      <c r="R350">
        <f t="shared" si="971"/>
        <v>9396352.7438275963</v>
      </c>
      <c r="S350">
        <f t="shared" si="972"/>
        <v>93.96352743827596</v>
      </c>
      <c r="T350">
        <f t="shared" si="973"/>
        <v>9.3963527438275962E-2</v>
      </c>
    </row>
    <row r="351" spans="1:20" x14ac:dyDescent="0.25">
      <c r="A351" s="5">
        <v>44242</v>
      </c>
      <c r="B351">
        <v>0.48580000000000001</v>
      </c>
      <c r="C351">
        <v>0.50929999999999997</v>
      </c>
      <c r="D351">
        <v>0.40239999999999998</v>
      </c>
      <c r="E351">
        <v>0.43940000000000001</v>
      </c>
      <c r="F351">
        <v>14313250.890000001</v>
      </c>
      <c r="G351">
        <v>0</v>
      </c>
      <c r="L351" t="s">
        <v>8</v>
      </c>
      <c r="M351" t="s">
        <v>8</v>
      </c>
      <c r="N351" t="s">
        <v>7</v>
      </c>
      <c r="P351">
        <f t="shared" si="969"/>
        <v>-0.30776426566884874</v>
      </c>
      <c r="Q351">
        <f t="shared" si="970"/>
        <v>-4405107.1494948454</v>
      </c>
      <c r="R351">
        <f t="shared" si="971"/>
        <v>13103170.423625227</v>
      </c>
      <c r="S351">
        <f t="shared" si="972"/>
        <v>131.03170423625227</v>
      </c>
      <c r="T351">
        <f t="shared" si="973"/>
        <v>0.13103170423625227</v>
      </c>
    </row>
    <row r="352" spans="1:20" x14ac:dyDescent="0.25">
      <c r="A352" s="5">
        <v>44241</v>
      </c>
      <c r="B352">
        <v>0.4778</v>
      </c>
      <c r="C352">
        <v>0.50509999999999999</v>
      </c>
      <c r="D352">
        <v>0.40229999999999999</v>
      </c>
      <c r="E352">
        <v>0.48680000000000001</v>
      </c>
      <c r="F352">
        <v>33650265.579999998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0.64396887159533112</v>
      </c>
      <c r="Q352">
        <f t="shared" si="970"/>
        <v>21669723.554435808</v>
      </c>
      <c r="R352">
        <f t="shared" si="971"/>
        <v>17508277.573120072</v>
      </c>
      <c r="S352">
        <f t="shared" si="972"/>
        <v>175.08277573120071</v>
      </c>
      <c r="T352">
        <f t="shared" si="973"/>
        <v>0.17508277573120071</v>
      </c>
    </row>
    <row r="353" spans="1:20" x14ac:dyDescent="0.25">
      <c r="A353" s="5">
        <v>44240</v>
      </c>
      <c r="B353">
        <v>0.47549999999999998</v>
      </c>
      <c r="C353">
        <v>0.52629999999999999</v>
      </c>
      <c r="D353">
        <v>0.4511</v>
      </c>
      <c r="E353">
        <v>0.4778</v>
      </c>
      <c r="F353">
        <v>14838626.710000001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-0.28989361702127647</v>
      </c>
      <c r="Q353">
        <f t="shared" si="970"/>
        <v>-4301623.1685904237</v>
      </c>
      <c r="R353">
        <f t="shared" si="971"/>
        <v>-4161445.9813157339</v>
      </c>
      <c r="S353">
        <f t="shared" si="972"/>
        <v>-41.614459813157339</v>
      </c>
      <c r="T353">
        <f t="shared" si="973"/>
        <v>-4.161445981315734E-2</v>
      </c>
    </row>
    <row r="354" spans="1:20" x14ac:dyDescent="0.25">
      <c r="A354" s="5">
        <v>44239</v>
      </c>
      <c r="B354">
        <v>0.42909999999999998</v>
      </c>
      <c r="C354">
        <v>0.56999999999999995</v>
      </c>
      <c r="D354">
        <v>0.40010000000000001</v>
      </c>
      <c r="E354">
        <v>0.4753</v>
      </c>
      <c r="F354">
        <v>63355040.409999996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-0.11477339611536179</v>
      </c>
      <c r="Q354">
        <f t="shared" si="970"/>
        <v>-7271473.1488816831</v>
      </c>
      <c r="R354">
        <f t="shared" si="971"/>
        <v>140177.18727468979</v>
      </c>
      <c r="S354">
        <f t="shared" si="972"/>
        <v>1.401771872746898</v>
      </c>
      <c r="T354">
        <f t="shared" si="973"/>
        <v>1.401771872746898E-3</v>
      </c>
    </row>
    <row r="355" spans="1:20" x14ac:dyDescent="0.25">
      <c r="A355" s="5">
        <v>44238</v>
      </c>
      <c r="B355">
        <v>0.32969999999999999</v>
      </c>
      <c r="C355">
        <v>0.47489999999999999</v>
      </c>
      <c r="D355">
        <v>0.32229999999999998</v>
      </c>
      <c r="E355">
        <v>0.432</v>
      </c>
      <c r="F355">
        <v>34127604.369999997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0.43774574049803422</v>
      </c>
      <c r="Q355">
        <f t="shared" si="970"/>
        <v>14939213.446369598</v>
      </c>
      <c r="R355">
        <f t="shared" si="971"/>
        <v>7411650.3361563729</v>
      </c>
      <c r="S355">
        <f t="shared" si="972"/>
        <v>74.11650336156373</v>
      </c>
      <c r="T355">
        <f t="shared" si="973"/>
        <v>7.4116503361563724E-2</v>
      </c>
    </row>
    <row r="356" spans="1:20" x14ac:dyDescent="0.25">
      <c r="A356" s="5">
        <v>44237</v>
      </c>
      <c r="B356">
        <v>0.35849999999999999</v>
      </c>
      <c r="C356">
        <v>0.3614</v>
      </c>
      <c r="D356">
        <v>0.30199999999999999</v>
      </c>
      <c r="E356">
        <v>0.32969999999999999</v>
      </c>
      <c r="F356">
        <v>11392093.949999999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-6.7340067340067394E-2</v>
      </c>
      <c r="Q356">
        <f t="shared" si="970"/>
        <v>-767144.37373737432</v>
      </c>
      <c r="R356">
        <f t="shared" si="971"/>
        <v>-7527563.1102132248</v>
      </c>
      <c r="S356">
        <f t="shared" si="972"/>
        <v>-75.275631102132252</v>
      </c>
      <c r="T356">
        <f t="shared" si="973"/>
        <v>-7.5275631102132257E-2</v>
      </c>
    </row>
    <row r="357" spans="1:20" x14ac:dyDescent="0.25">
      <c r="A357" s="5">
        <v>44236</v>
      </c>
      <c r="B357">
        <v>0.30719999999999997</v>
      </c>
      <c r="C357">
        <v>0.39</v>
      </c>
      <c r="D357">
        <v>0.29409999999999997</v>
      </c>
      <c r="E357">
        <v>0.35809999999999997</v>
      </c>
      <c r="F357">
        <v>14660482.77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0.33472367049009333</v>
      </c>
      <c r="Q357">
        <f t="shared" si="970"/>
        <v>4907210.6039311709</v>
      </c>
      <c r="R357">
        <f t="shared" si="971"/>
        <v>-6760418.7364758505</v>
      </c>
      <c r="S357">
        <f t="shared" si="972"/>
        <v>-67.604187364758502</v>
      </c>
      <c r="T357">
        <f t="shared" si="973"/>
        <v>-6.7604187364758497E-2</v>
      </c>
    </row>
    <row r="358" spans="1:20" x14ac:dyDescent="0.25">
      <c r="A358" s="5">
        <v>44235</v>
      </c>
      <c r="B358">
        <v>0.2898</v>
      </c>
      <c r="C358">
        <v>0.32019999999999998</v>
      </c>
      <c r="D358">
        <v>0.27960000000000002</v>
      </c>
      <c r="E358">
        <v>0.30709999999999998</v>
      </c>
      <c r="F358">
        <v>8695030.1400000006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0.35467980295566454</v>
      </c>
      <c r="Q358">
        <f t="shared" si="970"/>
        <v>3083951.5767487646</v>
      </c>
      <c r="R358">
        <f t="shared" si="971"/>
        <v>-11667629.340407021</v>
      </c>
      <c r="S358">
        <f t="shared" si="972"/>
        <v>-116.67629340407021</v>
      </c>
      <c r="T358">
        <f t="shared" si="973"/>
        <v>-0.11667629340407021</v>
      </c>
    </row>
    <row r="359" spans="1:20" x14ac:dyDescent="0.25">
      <c r="A359" s="5">
        <v>44234</v>
      </c>
      <c r="B359">
        <v>0.27900000000000003</v>
      </c>
      <c r="C359">
        <v>0.2994</v>
      </c>
      <c r="D359">
        <v>0.25600000000000001</v>
      </c>
      <c r="E359">
        <v>0.29049999999999998</v>
      </c>
      <c r="F359">
        <v>8885602.8900000006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0.58986175115207284</v>
      </c>
      <c r="Q359">
        <f t="shared" si="970"/>
        <v>5241277.28073732</v>
      </c>
      <c r="R359">
        <f t="shared" si="971"/>
        <v>-14751580.917155785</v>
      </c>
      <c r="S359">
        <f t="shared" si="972"/>
        <v>-147.51580917155786</v>
      </c>
      <c r="T359">
        <f t="shared" si="973"/>
        <v>-0.14751580917155785</v>
      </c>
    </row>
    <row r="360" spans="1:20" x14ac:dyDescent="0.25">
      <c r="A360" s="5">
        <v>44233</v>
      </c>
      <c r="B360">
        <v>0.31090000000000001</v>
      </c>
      <c r="C360">
        <v>0.31850000000000001</v>
      </c>
      <c r="D360">
        <v>0.27329999999999999</v>
      </c>
      <c r="E360">
        <v>0.27860000000000001</v>
      </c>
      <c r="F360">
        <v>7568540.3899999997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-0.76548672566371567</v>
      </c>
      <c r="Q360">
        <f t="shared" si="970"/>
        <v>-5793617.2011946812</v>
      </c>
      <c r="R360">
        <f t="shared" si="971"/>
        <v>-19992858.197893105</v>
      </c>
      <c r="S360">
        <f t="shared" si="972"/>
        <v>-199.92858197893105</v>
      </c>
      <c r="T360">
        <f t="shared" si="973"/>
        <v>-0.19992858197893104</v>
      </c>
    </row>
    <row r="361" spans="1:20" x14ac:dyDescent="0.25">
      <c r="A361" s="5">
        <v>44232</v>
      </c>
      <c r="B361">
        <v>0.3014</v>
      </c>
      <c r="C361">
        <v>0.32</v>
      </c>
      <c r="D361">
        <v>0.28999999999999998</v>
      </c>
      <c r="E361">
        <v>0.31090000000000001</v>
      </c>
      <c r="F361">
        <v>7933244.6600000001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0.39333333333333409</v>
      </c>
      <c r="Q361">
        <f t="shared" si="970"/>
        <v>3120409.5662666727</v>
      </c>
      <c r="R361">
        <f t="shared" si="971"/>
        <v>-14199240.996698422</v>
      </c>
      <c r="S361">
        <f t="shared" si="972"/>
        <v>-141.99240996698421</v>
      </c>
      <c r="T361">
        <f t="shared" si="973"/>
        <v>-0.1419924099669842</v>
      </c>
    </row>
    <row r="362" spans="1:20" x14ac:dyDescent="0.25">
      <c r="A362" s="5">
        <v>44231</v>
      </c>
      <c r="B362">
        <v>0.30470000000000003</v>
      </c>
      <c r="C362">
        <v>0.3175</v>
      </c>
      <c r="D362">
        <v>0.28810000000000002</v>
      </c>
      <c r="E362">
        <v>0.3014</v>
      </c>
      <c r="F362">
        <v>7652720.5300000003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-9.5238095238096135E-2</v>
      </c>
      <c r="Q362">
        <f t="shared" si="970"/>
        <v>-728830.5266666736</v>
      </c>
      <c r="R362">
        <f t="shared" si="971"/>
        <v>-17319650.562965095</v>
      </c>
      <c r="S362">
        <f t="shared" si="972"/>
        <v>-173.19650562965094</v>
      </c>
      <c r="T362">
        <f t="shared" si="973"/>
        <v>-0.17319650562965094</v>
      </c>
    </row>
    <row r="363" spans="1:20" x14ac:dyDescent="0.25">
      <c r="A363" s="5">
        <v>44230</v>
      </c>
      <c r="B363">
        <v>0.30420000000000003</v>
      </c>
      <c r="C363">
        <v>0.33</v>
      </c>
      <c r="D363">
        <v>0.29820000000000002</v>
      </c>
      <c r="E363">
        <v>0.30449999999999999</v>
      </c>
      <c r="F363">
        <v>9756952.2400000002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-0.60377358490566202</v>
      </c>
      <c r="Q363">
        <f t="shared" si="970"/>
        <v>-5890990.0316981291</v>
      </c>
      <c r="R363">
        <f t="shared" si="971"/>
        <v>-16590820.03629842</v>
      </c>
      <c r="S363">
        <f t="shared" si="972"/>
        <v>-165.90820036298419</v>
      </c>
      <c r="T363">
        <f t="shared" si="973"/>
        <v>-0.16590820036298418</v>
      </c>
    </row>
    <row r="364" spans="1:20" x14ac:dyDescent="0.25">
      <c r="A364" s="5">
        <v>44229</v>
      </c>
      <c r="B364">
        <v>0.2727</v>
      </c>
      <c r="C364">
        <v>0.30980000000000002</v>
      </c>
      <c r="D364">
        <v>0.26519999999999999</v>
      </c>
      <c r="E364">
        <v>0.30470000000000003</v>
      </c>
      <c r="F364">
        <v>9762390.9600000009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0.77130044843049372</v>
      </c>
      <c r="Q364">
        <f t="shared" si="970"/>
        <v>7529736.5252017984</v>
      </c>
      <c r="R364">
        <f t="shared" si="971"/>
        <v>-10699830.00460029</v>
      </c>
      <c r="S364">
        <f t="shared" si="972"/>
        <v>-106.9983000460029</v>
      </c>
      <c r="T364">
        <f t="shared" si="973"/>
        <v>-0.1069983000460029</v>
      </c>
    </row>
    <row r="365" spans="1:20" x14ac:dyDescent="0.25">
      <c r="A365" s="5">
        <v>44228</v>
      </c>
      <c r="B365">
        <v>0.2475</v>
      </c>
      <c r="C365">
        <v>0.28539999999999999</v>
      </c>
      <c r="D365">
        <v>0.23669999999999999</v>
      </c>
      <c r="E365">
        <v>0.27260000000000001</v>
      </c>
      <c r="F365">
        <v>9655979.8000000007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0.47433264887063736</v>
      </c>
      <c r="Q365">
        <f t="shared" si="970"/>
        <v>4580146.4759753672</v>
      </c>
      <c r="R365">
        <f t="shared" si="971"/>
        <v>-18229566.529802088</v>
      </c>
      <c r="S365">
        <f t="shared" si="972"/>
        <v>-182.29566529802088</v>
      </c>
      <c r="T365">
        <f t="shared" si="973"/>
        <v>-0.18229566529802088</v>
      </c>
    </row>
    <row r="366" spans="1:20" x14ac:dyDescent="0.25">
      <c r="A366" s="5">
        <v>44227</v>
      </c>
      <c r="B366">
        <v>0.24729999999999999</v>
      </c>
      <c r="C366">
        <v>0.28079999999999999</v>
      </c>
      <c r="D366">
        <v>0.2414</v>
      </c>
      <c r="E366">
        <v>0.24790000000000001</v>
      </c>
      <c r="F366">
        <v>9914533.8599999994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-0.67005076142131947</v>
      </c>
      <c r="Q366">
        <f t="shared" si="970"/>
        <v>-6643240.9620304536</v>
      </c>
      <c r="R366">
        <f t="shared" si="971"/>
        <v>-22809713.005777456</v>
      </c>
      <c r="S366">
        <f t="shared" si="972"/>
        <v>-228.09713005777456</v>
      </c>
      <c r="T366">
        <f t="shared" si="973"/>
        <v>-0.22809713005777457</v>
      </c>
    </row>
    <row r="367" spans="1:20" x14ac:dyDescent="0.25">
      <c r="A367" s="5">
        <v>44226</v>
      </c>
      <c r="B367">
        <v>0.2361</v>
      </c>
      <c r="C367">
        <v>0.27860000000000001</v>
      </c>
      <c r="D367">
        <v>0.22600000000000001</v>
      </c>
      <c r="E367">
        <v>0.2472</v>
      </c>
      <c r="F367">
        <v>18290863.690000001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-0.19391634980988617</v>
      </c>
      <c r="Q367">
        <f t="shared" si="970"/>
        <v>-3546897.5216349857</v>
      </c>
      <c r="R367">
        <f t="shared" si="971"/>
        <v>-16166472.043747</v>
      </c>
      <c r="S367">
        <f t="shared" si="972"/>
        <v>-161.66472043747001</v>
      </c>
      <c r="T367">
        <f t="shared" si="973"/>
        <v>-0.16166472043747002</v>
      </c>
    </row>
    <row r="368" spans="1:20" x14ac:dyDescent="0.25">
      <c r="A368" s="5">
        <v>44225</v>
      </c>
      <c r="B368">
        <v>0.24890000000000001</v>
      </c>
      <c r="C368">
        <v>0.27900000000000003</v>
      </c>
      <c r="D368">
        <v>0.22539999999999999</v>
      </c>
      <c r="E368">
        <v>0.2359</v>
      </c>
      <c r="F368">
        <v>10421516.35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-0.60820895522388052</v>
      </c>
      <c r="Q368">
        <f t="shared" si="970"/>
        <v>-6338459.5710820882</v>
      </c>
      <c r="R368">
        <f t="shared" si="971"/>
        <v>-12619574.522112014</v>
      </c>
      <c r="S368">
        <f t="shared" si="972"/>
        <v>-126.19574522112013</v>
      </c>
      <c r="T368">
        <f t="shared" si="973"/>
        <v>-0.12619574522112015</v>
      </c>
    </row>
    <row r="369" spans="1:20" x14ac:dyDescent="0.25">
      <c r="A369" s="5">
        <v>44224</v>
      </c>
      <c r="B369">
        <v>0.214</v>
      </c>
      <c r="C369">
        <v>0.26500000000000001</v>
      </c>
      <c r="D369">
        <v>0.20499999999999999</v>
      </c>
      <c r="E369">
        <v>0.24840000000000001</v>
      </c>
      <c r="F369">
        <v>10485806.99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0.44666666666666677</v>
      </c>
      <c r="Q369">
        <f t="shared" si="970"/>
        <v>4683660.4555333341</v>
      </c>
      <c r="R369">
        <f t="shared" si="971"/>
        <v>-6281114.9510299256</v>
      </c>
      <c r="S369">
        <f t="shared" si="972"/>
        <v>-62.811149510299259</v>
      </c>
      <c r="T369">
        <f t="shared" si="973"/>
        <v>-6.2811149510299258E-2</v>
      </c>
    </row>
    <row r="370" spans="1:20" x14ac:dyDescent="0.25">
      <c r="A370" s="5">
        <v>44223</v>
      </c>
      <c r="B370">
        <v>0.23449999999999999</v>
      </c>
      <c r="C370">
        <v>0.2437</v>
      </c>
      <c r="D370">
        <v>0.20399999999999999</v>
      </c>
      <c r="E370">
        <v>0.21279999999999999</v>
      </c>
      <c r="F370">
        <v>8289049.9299999997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-0.55667506297229219</v>
      </c>
      <c r="Q370">
        <f t="shared" si="970"/>
        <v>-4614307.3917632243</v>
      </c>
      <c r="R370">
        <f t="shared" si="971"/>
        <v>-10964775.40656326</v>
      </c>
      <c r="S370">
        <f t="shared" si="972"/>
        <v>-109.6477540656326</v>
      </c>
      <c r="T370">
        <f t="shared" si="973"/>
        <v>-0.1096477540656326</v>
      </c>
    </row>
    <row r="371" spans="1:20" x14ac:dyDescent="0.25">
      <c r="A371" s="5">
        <v>44222</v>
      </c>
      <c r="B371">
        <v>0.22450000000000001</v>
      </c>
      <c r="C371">
        <v>0.2472</v>
      </c>
      <c r="D371">
        <v>0.19850000000000001</v>
      </c>
      <c r="E371">
        <v>0.23400000000000001</v>
      </c>
      <c r="F371">
        <v>6291847.7800000003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0.45790554414784429</v>
      </c>
      <c r="Q371">
        <f t="shared" si="970"/>
        <v>2881071.9813963063</v>
      </c>
      <c r="R371">
        <f t="shared" si="971"/>
        <v>-6350468.0148000345</v>
      </c>
      <c r="S371">
        <f t="shared" si="972"/>
        <v>-63.504680148000347</v>
      </c>
      <c r="T371">
        <f t="shared" si="973"/>
        <v>-6.3504680148000342E-2</v>
      </c>
    </row>
    <row r="372" spans="1:20" x14ac:dyDescent="0.25">
      <c r="A372" s="5">
        <v>44221</v>
      </c>
      <c r="B372">
        <v>0.21990000000000001</v>
      </c>
      <c r="C372">
        <v>0.2394</v>
      </c>
      <c r="D372">
        <v>0.21390000000000001</v>
      </c>
      <c r="E372">
        <v>0.22459999999999999</v>
      </c>
      <c r="F372">
        <v>8261079.8700000001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-0.16078431372549101</v>
      </c>
      <c r="Q372">
        <f t="shared" si="970"/>
        <v>-1328252.0575294185</v>
      </c>
      <c r="R372">
        <f t="shared" si="971"/>
        <v>-9231539.9961963408</v>
      </c>
      <c r="S372">
        <f t="shared" si="972"/>
        <v>-92.315399961963408</v>
      </c>
      <c r="T372">
        <f t="shared" si="973"/>
        <v>-9.2315399961963404E-2</v>
      </c>
    </row>
    <row r="373" spans="1:20" x14ac:dyDescent="0.25">
      <c r="A373" s="5">
        <v>44220</v>
      </c>
      <c r="B373">
        <v>0.20610000000000001</v>
      </c>
      <c r="C373">
        <v>0.2288</v>
      </c>
      <c r="D373">
        <v>0.2056</v>
      </c>
      <c r="E373">
        <v>0.22090000000000001</v>
      </c>
      <c r="F373">
        <v>4300648.8600000003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0.31896551724138011</v>
      </c>
      <c r="Q373">
        <f t="shared" si="970"/>
        <v>1371758.6881034519</v>
      </c>
      <c r="R373">
        <f t="shared" si="971"/>
        <v>-7903287.938666923</v>
      </c>
      <c r="S373">
        <f t="shared" si="972"/>
        <v>-79.032879386669237</v>
      </c>
      <c r="T373">
        <f t="shared" si="973"/>
        <v>-7.9032879386669239E-2</v>
      </c>
    </row>
    <row r="374" spans="1:20" x14ac:dyDescent="0.25">
      <c r="A374" s="5">
        <v>44219</v>
      </c>
      <c r="B374">
        <v>0.20269999999999999</v>
      </c>
      <c r="C374">
        <v>0.214</v>
      </c>
      <c r="D374">
        <v>0.19500000000000001</v>
      </c>
      <c r="E374">
        <v>0.2059</v>
      </c>
      <c r="F374">
        <v>4380190.3600000003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0.14736842105263151</v>
      </c>
      <c r="Q374">
        <f t="shared" si="970"/>
        <v>645501.73726315761</v>
      </c>
      <c r="R374">
        <f t="shared" si="971"/>
        <v>-9275046.6267703753</v>
      </c>
      <c r="S374">
        <f t="shared" si="972"/>
        <v>-92.750466267703757</v>
      </c>
      <c r="T374">
        <f t="shared" si="973"/>
        <v>-9.2750466267703752E-2</v>
      </c>
    </row>
    <row r="375" spans="1:20" x14ac:dyDescent="0.25">
      <c r="A375" s="5">
        <v>44218</v>
      </c>
      <c r="B375">
        <v>0.1857</v>
      </c>
      <c r="C375">
        <v>0.21190000000000001</v>
      </c>
      <c r="D375">
        <v>0.17399999999999999</v>
      </c>
      <c r="E375">
        <v>0.20280000000000001</v>
      </c>
      <c r="F375">
        <v>4831656.2699999996</v>
      </c>
      <c r="G375">
        <v>0</v>
      </c>
      <c r="L375" t="s">
        <v>7</v>
      </c>
      <c r="M375" t="s">
        <v>8</v>
      </c>
      <c r="N375" t="s">
        <v>7</v>
      </c>
      <c r="P375">
        <f t="shared" si="969"/>
        <v>0.51978891820580508</v>
      </c>
      <c r="Q375">
        <f t="shared" si="970"/>
        <v>2511441.3857255951</v>
      </c>
      <c r="R375">
        <f t="shared" si="971"/>
        <v>-9920548.3640335333</v>
      </c>
      <c r="S375">
        <f t="shared" si="972"/>
        <v>-99.205483640335331</v>
      </c>
      <c r="T375">
        <f t="shared" si="973"/>
        <v>-9.9205483640335337E-2</v>
      </c>
    </row>
    <row r="376" spans="1:20" x14ac:dyDescent="0.25">
      <c r="A376" s="5">
        <v>44217</v>
      </c>
      <c r="B376">
        <v>0.21640000000000001</v>
      </c>
      <c r="C376">
        <v>0.22</v>
      </c>
      <c r="D376">
        <v>0.1772</v>
      </c>
      <c r="E376">
        <v>0.1857</v>
      </c>
      <c r="F376">
        <v>5815200.1799999997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-0.60280373831775669</v>
      </c>
      <c r="Q376">
        <f t="shared" si="970"/>
        <v>-3505424.4075700915</v>
      </c>
      <c r="R376">
        <f t="shared" si="971"/>
        <v>-12431989.749759128</v>
      </c>
      <c r="S376">
        <f t="shared" si="972"/>
        <v>-124.31989749759128</v>
      </c>
      <c r="T376">
        <f t="shared" si="973"/>
        <v>-0.12431989749759129</v>
      </c>
    </row>
    <row r="377" spans="1:20" x14ac:dyDescent="0.25">
      <c r="A377" s="5">
        <v>44216</v>
      </c>
      <c r="B377">
        <v>0.21390000000000001</v>
      </c>
      <c r="C377">
        <v>0.223</v>
      </c>
      <c r="D377">
        <v>0.19439999999999999</v>
      </c>
      <c r="E377">
        <v>0.21640000000000001</v>
      </c>
      <c r="F377">
        <v>6397213.1600000001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0.5384615384615391</v>
      </c>
      <c r="Q377">
        <f t="shared" si="970"/>
        <v>3444653.2400000039</v>
      </c>
      <c r="R377">
        <f t="shared" si="971"/>
        <v>-8926565.3421890363</v>
      </c>
      <c r="S377">
        <f t="shared" si="972"/>
        <v>-89.265653421890363</v>
      </c>
      <c r="T377">
        <f t="shared" si="973"/>
        <v>-8.9265653421890356E-2</v>
      </c>
    </row>
    <row r="378" spans="1:20" x14ac:dyDescent="0.25">
      <c r="A378" s="5">
        <v>44215</v>
      </c>
      <c r="B378">
        <v>0.22750000000000001</v>
      </c>
      <c r="C378">
        <v>0.23980000000000001</v>
      </c>
      <c r="D378">
        <v>0.21060000000000001</v>
      </c>
      <c r="E378">
        <v>0.21390000000000001</v>
      </c>
      <c r="F378">
        <v>5955575.5999999996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-0.77397260273972623</v>
      </c>
      <c r="Q378">
        <f t="shared" si="970"/>
        <v>-4609452.3479452068</v>
      </c>
      <c r="R378">
        <f t="shared" si="971"/>
        <v>-12371218.58218904</v>
      </c>
      <c r="S378">
        <f t="shared" si="972"/>
        <v>-123.7121858218904</v>
      </c>
      <c r="T378">
        <f t="shared" si="973"/>
        <v>-0.12371218582189041</v>
      </c>
    </row>
    <row r="379" spans="1:20" x14ac:dyDescent="0.25">
      <c r="A379" s="5">
        <v>44214</v>
      </c>
      <c r="B379">
        <v>0.2419</v>
      </c>
      <c r="C379">
        <v>0.24229999999999999</v>
      </c>
      <c r="D379">
        <v>0.21859999999999999</v>
      </c>
      <c r="E379">
        <v>0.22600000000000001</v>
      </c>
      <c r="F379">
        <v>5878117.1900000004</v>
      </c>
      <c r="G379">
        <v>0</v>
      </c>
      <c r="L379" t="s">
        <v>7</v>
      </c>
      <c r="M379" t="s">
        <v>7</v>
      </c>
      <c r="N379" t="s">
        <v>8</v>
      </c>
      <c r="P379">
        <f t="shared" si="969"/>
        <v>-0.37552742616033602</v>
      </c>
      <c r="Q379">
        <f t="shared" si="970"/>
        <v>-2207394.2190295272</v>
      </c>
      <c r="R379">
        <f t="shared" si="971"/>
        <v>-7761766.2342438335</v>
      </c>
      <c r="S379">
        <f t="shared" si="972"/>
        <v>-77.617662342438337</v>
      </c>
      <c r="T379">
        <f t="shared" si="973"/>
        <v>-7.7617662342438332E-2</v>
      </c>
    </row>
    <row r="380" spans="1:20" x14ac:dyDescent="0.25">
      <c r="A380" s="5">
        <v>44213</v>
      </c>
      <c r="B380">
        <v>0.23180000000000001</v>
      </c>
      <c r="C380">
        <v>0.25</v>
      </c>
      <c r="D380">
        <v>0.2041</v>
      </c>
      <c r="E380">
        <v>0.2419</v>
      </c>
      <c r="F380">
        <v>8478299.9700000007</v>
      </c>
      <c r="G380">
        <v>0</v>
      </c>
      <c r="L380" t="s">
        <v>8</v>
      </c>
      <c r="M380" t="s">
        <v>7</v>
      </c>
      <c r="N380" t="s">
        <v>8</v>
      </c>
      <c r="P380">
        <f t="shared" si="969"/>
        <v>0.64705882352941191</v>
      </c>
      <c r="Q380">
        <f t="shared" si="970"/>
        <v>5485958.8041176489</v>
      </c>
      <c r="R380">
        <f t="shared" si="971"/>
        <v>-5554372.0152143063</v>
      </c>
      <c r="S380">
        <f t="shared" si="972"/>
        <v>-55.543720152143067</v>
      </c>
      <c r="T380">
        <f t="shared" si="973"/>
        <v>-5.5543720152143067E-2</v>
      </c>
    </row>
    <row r="381" spans="1:20" x14ac:dyDescent="0.25">
      <c r="A381" s="5">
        <v>44212</v>
      </c>
      <c r="B381">
        <v>0.2089</v>
      </c>
      <c r="C381">
        <v>0.24510000000000001</v>
      </c>
      <c r="D381">
        <v>0.2089</v>
      </c>
      <c r="E381">
        <v>0.23180000000000001</v>
      </c>
      <c r="F381">
        <v>8663854.4199999999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0.26519337016574573</v>
      </c>
      <c r="Q381">
        <f t="shared" si="970"/>
        <v>2297596.7522651921</v>
      </c>
      <c r="R381">
        <f t="shared" si="971"/>
        <v>-11040330.819331955</v>
      </c>
      <c r="S381">
        <f t="shared" si="972"/>
        <v>-110.40330819331955</v>
      </c>
      <c r="T381">
        <f t="shared" si="973"/>
        <v>-0.11040330819331955</v>
      </c>
    </row>
    <row r="382" spans="1:20" x14ac:dyDescent="0.25">
      <c r="A382" s="5">
        <v>44211</v>
      </c>
      <c r="B382">
        <v>0.19309999999999999</v>
      </c>
      <c r="C382">
        <v>0.21310000000000001</v>
      </c>
      <c r="D382">
        <v>0.1832</v>
      </c>
      <c r="E382">
        <v>0.2089</v>
      </c>
      <c r="F382">
        <v>7597332.1900000004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0.71906354515050119</v>
      </c>
      <c r="Q382">
        <f t="shared" si="970"/>
        <v>5462964.6182274213</v>
      </c>
      <c r="R382">
        <f t="shared" si="971"/>
        <v>-13337927.571597148</v>
      </c>
      <c r="S382">
        <f t="shared" si="972"/>
        <v>-133.37927571597149</v>
      </c>
      <c r="T382">
        <f t="shared" si="973"/>
        <v>-0.1333792757159715</v>
      </c>
    </row>
    <row r="383" spans="1:20" x14ac:dyDescent="0.25">
      <c r="A383" s="5">
        <v>44210</v>
      </c>
      <c r="B383">
        <v>0.20449999999999999</v>
      </c>
      <c r="C383">
        <v>0.2077</v>
      </c>
      <c r="D383">
        <v>0.188</v>
      </c>
      <c r="E383">
        <v>0.19350000000000001</v>
      </c>
      <c r="F383">
        <v>5192707.91</v>
      </c>
      <c r="G383">
        <v>0</v>
      </c>
      <c r="L383" t="s">
        <v>8</v>
      </c>
      <c r="M383" t="s">
        <v>7</v>
      </c>
      <c r="N383" t="s">
        <v>8</v>
      </c>
      <c r="P383">
        <f t="shared" si="969"/>
        <v>-0.44162436548223288</v>
      </c>
      <c r="Q383">
        <f t="shared" si="970"/>
        <v>-2293226.3358883215</v>
      </c>
      <c r="R383">
        <f t="shared" si="971"/>
        <v>-18800892.18982457</v>
      </c>
      <c r="S383">
        <f t="shared" si="972"/>
        <v>-188.00892189824569</v>
      </c>
      <c r="T383">
        <f t="shared" si="973"/>
        <v>-0.1880089218982457</v>
      </c>
    </row>
    <row r="384" spans="1:20" x14ac:dyDescent="0.25">
      <c r="A384" s="5">
        <v>44209</v>
      </c>
      <c r="B384">
        <v>0.1958</v>
      </c>
      <c r="C384">
        <v>0.216</v>
      </c>
      <c r="D384">
        <v>0.18099999999999999</v>
      </c>
      <c r="E384">
        <v>0.20449999999999999</v>
      </c>
      <c r="F384">
        <v>14193493.4</v>
      </c>
      <c r="G384">
        <v>0</v>
      </c>
      <c r="L384" t="s">
        <v>7</v>
      </c>
      <c r="M384" t="s">
        <v>7</v>
      </c>
      <c r="N384" t="s">
        <v>8</v>
      </c>
      <c r="P384">
        <f t="shared" si="969"/>
        <v>0.34285714285714236</v>
      </c>
      <c r="Q384">
        <f t="shared" si="970"/>
        <v>4866340.594285707</v>
      </c>
      <c r="R384">
        <f t="shared" si="971"/>
        <v>-16507665.853936248</v>
      </c>
      <c r="S384">
        <f t="shared" si="972"/>
        <v>-165.07665853936248</v>
      </c>
      <c r="T384">
        <f t="shared" si="973"/>
        <v>-0.16507665853936249</v>
      </c>
    </row>
    <row r="385" spans="1:20" x14ac:dyDescent="0.25">
      <c r="A385" s="5">
        <v>44208</v>
      </c>
      <c r="B385">
        <v>0.1731</v>
      </c>
      <c r="C385">
        <v>0.216</v>
      </c>
      <c r="D385">
        <v>0.16</v>
      </c>
      <c r="E385">
        <v>0.1958</v>
      </c>
      <c r="F385">
        <v>13360734.640000001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0.27857142857142864</v>
      </c>
      <c r="Q385">
        <f t="shared" si="970"/>
        <v>3721918.9354285724</v>
      </c>
      <c r="R385">
        <f t="shared" si="971"/>
        <v>-21374006.448221955</v>
      </c>
      <c r="S385">
        <f t="shared" si="972"/>
        <v>-213.74006448221957</v>
      </c>
      <c r="T385">
        <f t="shared" si="973"/>
        <v>-0.21374006448221958</v>
      </c>
    </row>
    <row r="386" spans="1:20" x14ac:dyDescent="0.25">
      <c r="A386" s="5">
        <v>44207</v>
      </c>
      <c r="B386">
        <v>0.18920000000000001</v>
      </c>
      <c r="C386">
        <v>0.18920000000000001</v>
      </c>
      <c r="D386">
        <v>0.14399999999999999</v>
      </c>
      <c r="E386">
        <v>0.1729</v>
      </c>
      <c r="F386">
        <v>9444223.2699999996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0.27876106194690253</v>
      </c>
      <c r="Q386">
        <f t="shared" si="970"/>
        <v>2632681.7080088481</v>
      </c>
      <c r="R386">
        <f t="shared" si="971"/>
        <v>-25095925.383650526</v>
      </c>
      <c r="S386">
        <f t="shared" si="972"/>
        <v>-250.95925383650527</v>
      </c>
      <c r="T386">
        <f t="shared" si="973"/>
        <v>-0.25095925383650525</v>
      </c>
    </row>
    <row r="387" spans="1:20" x14ac:dyDescent="0.25">
      <c r="A387" s="5">
        <v>44206</v>
      </c>
      <c r="B387">
        <v>0.21440000000000001</v>
      </c>
      <c r="C387">
        <v>0.216</v>
      </c>
      <c r="D387">
        <v>0.1673</v>
      </c>
      <c r="E387">
        <v>0.18809999999999999</v>
      </c>
      <c r="F387">
        <v>8191723.9699999997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-0.14579055441478489</v>
      </c>
      <c r="Q387">
        <f t="shared" si="970"/>
        <v>-1194275.9791991827</v>
      </c>
      <c r="R387">
        <f t="shared" si="971"/>
        <v>-27728607.091659375</v>
      </c>
      <c r="S387">
        <f t="shared" si="972"/>
        <v>-277.28607091659376</v>
      </c>
      <c r="T387">
        <f t="shared" si="973"/>
        <v>-0.27728607091659374</v>
      </c>
    </row>
    <row r="388" spans="1:20" x14ac:dyDescent="0.25">
      <c r="A388" s="5">
        <v>44205</v>
      </c>
      <c r="B388">
        <v>0.2</v>
      </c>
      <c r="C388">
        <v>0.22170000000000001</v>
      </c>
      <c r="D388">
        <v>0.183</v>
      </c>
      <c r="E388">
        <v>0.215</v>
      </c>
      <c r="F388">
        <v>8305316.29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0.65374677002583925</v>
      </c>
      <c r="Q388">
        <f t="shared" si="970"/>
        <v>5429573.6986304866</v>
      </c>
      <c r="R388">
        <f t="shared" si="971"/>
        <v>-26534331.112460192</v>
      </c>
      <c r="S388">
        <f t="shared" si="972"/>
        <v>-265.34331112460194</v>
      </c>
      <c r="T388">
        <f t="shared" si="973"/>
        <v>-0.26534331112460197</v>
      </c>
    </row>
    <row r="389" spans="1:20" x14ac:dyDescent="0.25">
      <c r="A389" s="5">
        <v>44204</v>
      </c>
      <c r="B389">
        <v>0.22209999999999999</v>
      </c>
      <c r="C389">
        <v>0.22700000000000001</v>
      </c>
      <c r="D389">
        <v>0.183</v>
      </c>
      <c r="E389">
        <v>0.2</v>
      </c>
      <c r="F389">
        <v>11474346.189999999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-0.22727272727272679</v>
      </c>
      <c r="Q389">
        <f t="shared" si="970"/>
        <v>-2607805.9522727216</v>
      </c>
      <c r="R389">
        <f t="shared" si="971"/>
        <v>-31963904.811090678</v>
      </c>
      <c r="S389">
        <f t="shared" si="972"/>
        <v>-319.6390481109068</v>
      </c>
      <c r="T389">
        <f t="shared" si="973"/>
        <v>-0.31963904811090682</v>
      </c>
    </row>
    <row r="390" spans="1:20" x14ac:dyDescent="0.25">
      <c r="A390" s="5">
        <v>44203</v>
      </c>
      <c r="B390">
        <v>0.2235</v>
      </c>
      <c r="C390">
        <v>0.25</v>
      </c>
      <c r="D390">
        <v>0.19850000000000001</v>
      </c>
      <c r="E390">
        <v>0.2205</v>
      </c>
      <c r="F390">
        <v>13176378.5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-0.14563106796116521</v>
      </c>
      <c r="Q390">
        <f t="shared" ref="Q390:Q453" si="975">F390*P390</f>
        <v>-1918890.0728155361</v>
      </c>
      <c r="R390">
        <f t="shared" ref="R390:R453" si="976">R391+Q390</f>
        <v>-29356098.858817957</v>
      </c>
      <c r="S390">
        <f t="shared" ref="S390:S453" si="977">R390/100000</f>
        <v>-293.56098858817955</v>
      </c>
      <c r="T390">
        <f t="shared" ref="T390:T453" si="978">S390/1000</f>
        <v>-0.29356098858817953</v>
      </c>
    </row>
    <row r="391" spans="1:20" x14ac:dyDescent="0.25">
      <c r="A391" s="5">
        <v>44202</v>
      </c>
      <c r="B391">
        <v>0.2034</v>
      </c>
      <c r="C391">
        <v>0.26889999999999997</v>
      </c>
      <c r="D391">
        <v>0.18029999999999999</v>
      </c>
      <c r="E391">
        <v>0.22339999999999999</v>
      </c>
      <c r="F391">
        <v>16662480.939999999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-2.708803611738133E-2</v>
      </c>
      <c r="Q391">
        <f t="shared" si="975"/>
        <v>-451353.885507898</v>
      </c>
      <c r="R391">
        <f t="shared" si="976"/>
        <v>-27437208.78600242</v>
      </c>
      <c r="S391">
        <f t="shared" si="977"/>
        <v>-274.37208786002418</v>
      </c>
      <c r="T391">
        <f t="shared" si="978"/>
        <v>-0.27437208786002421</v>
      </c>
    </row>
    <row r="392" spans="1:20" x14ac:dyDescent="0.25">
      <c r="A392" s="5">
        <v>44201</v>
      </c>
      <c r="B392">
        <v>0.17730000000000001</v>
      </c>
      <c r="C392">
        <v>0.215</v>
      </c>
      <c r="D392">
        <v>0.1605</v>
      </c>
      <c r="E392">
        <v>0.2026</v>
      </c>
      <c r="F392">
        <v>18074401.190000001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0.54495412844036717</v>
      </c>
      <c r="Q392">
        <f t="shared" si="975"/>
        <v>9849719.5475779865</v>
      </c>
      <c r="R392">
        <f t="shared" si="976"/>
        <v>-26985854.900494523</v>
      </c>
      <c r="S392">
        <f t="shared" si="977"/>
        <v>-269.85854900494525</v>
      </c>
      <c r="T392">
        <f t="shared" si="978"/>
        <v>-0.26985854900494527</v>
      </c>
    </row>
    <row r="393" spans="1:20" x14ac:dyDescent="0.25">
      <c r="A393" s="5">
        <v>44200</v>
      </c>
      <c r="B393">
        <v>0.1467</v>
      </c>
      <c r="C393">
        <v>0.188</v>
      </c>
      <c r="D393">
        <v>0.13150000000000001</v>
      </c>
      <c r="E393">
        <v>0.17730000000000001</v>
      </c>
      <c r="F393">
        <v>12327445.6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0.62123893805309771</v>
      </c>
      <c r="Q393">
        <f t="shared" si="975"/>
        <v>7658289.2134513315</v>
      </c>
      <c r="R393">
        <f t="shared" si="976"/>
        <v>-36835574.448072508</v>
      </c>
      <c r="S393">
        <f t="shared" si="977"/>
        <v>-368.35574448072509</v>
      </c>
      <c r="T393">
        <f t="shared" si="978"/>
        <v>-0.36835574448072511</v>
      </c>
    </row>
    <row r="394" spans="1:20" x14ac:dyDescent="0.25">
      <c r="A394" s="5">
        <v>44199</v>
      </c>
      <c r="B394">
        <v>0.1202</v>
      </c>
      <c r="C394">
        <v>0.152</v>
      </c>
      <c r="D394">
        <v>0.115</v>
      </c>
      <c r="E394">
        <v>0.1462</v>
      </c>
      <c r="F394">
        <v>13260463.560000001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0.68648648648648647</v>
      </c>
      <c r="Q394">
        <f t="shared" si="975"/>
        <v>9103129.0384864863</v>
      </c>
      <c r="R394">
        <f t="shared" si="976"/>
        <v>-44493863.661523841</v>
      </c>
      <c r="S394">
        <f t="shared" si="977"/>
        <v>-444.93863661523841</v>
      </c>
      <c r="T394">
        <f t="shared" si="978"/>
        <v>-0.44493863661523841</v>
      </c>
    </row>
    <row r="395" spans="1:20" x14ac:dyDescent="0.25">
      <c r="A395" s="5">
        <v>44198</v>
      </c>
      <c r="B395">
        <v>0.1226</v>
      </c>
      <c r="C395">
        <v>0.1244</v>
      </c>
      <c r="D395">
        <v>0.1142</v>
      </c>
      <c r="E395">
        <v>0.1202</v>
      </c>
      <c r="F395">
        <v>4629397.63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0.17647058823529507</v>
      </c>
      <c r="Q395">
        <f t="shared" si="975"/>
        <v>816952.52294118085</v>
      </c>
      <c r="R395">
        <f t="shared" si="976"/>
        <v>-53596992.700010329</v>
      </c>
      <c r="S395">
        <f t="shared" si="977"/>
        <v>-535.96992700010333</v>
      </c>
      <c r="T395">
        <f t="shared" si="978"/>
        <v>-0.53596992700010337</v>
      </c>
    </row>
    <row r="396" spans="1:20" x14ac:dyDescent="0.25">
      <c r="A396" s="5">
        <v>44197</v>
      </c>
      <c r="B396">
        <v>0.1202</v>
      </c>
      <c r="C396">
        <v>0.1258</v>
      </c>
      <c r="D396">
        <v>0.11890000000000001</v>
      </c>
      <c r="E396">
        <v>0.1231</v>
      </c>
      <c r="F396">
        <v>3670602.44</v>
      </c>
      <c r="G396">
        <v>0</v>
      </c>
      <c r="L396" t="s">
        <v>8</v>
      </c>
      <c r="M396" t="s">
        <v>7</v>
      </c>
      <c r="N396" t="s">
        <v>8</v>
      </c>
      <c r="P396">
        <f t="shared" si="974"/>
        <v>0.21739130434782661</v>
      </c>
      <c r="Q396">
        <f t="shared" si="975"/>
        <v>797957.05217391497</v>
      </c>
      <c r="R396">
        <f t="shared" si="976"/>
        <v>-54413945.222951509</v>
      </c>
      <c r="S396">
        <f t="shared" si="977"/>
        <v>-544.13945222951509</v>
      </c>
      <c r="T396">
        <f t="shared" si="978"/>
        <v>-0.5441394522295151</v>
      </c>
    </row>
    <row r="397" spans="1:20" x14ac:dyDescent="0.25">
      <c r="A397" s="5">
        <v>44196</v>
      </c>
      <c r="B397">
        <v>0.1237</v>
      </c>
      <c r="C397">
        <v>0.12540000000000001</v>
      </c>
      <c r="D397">
        <v>0.1164</v>
      </c>
      <c r="E397">
        <v>0.1202</v>
      </c>
      <c r="F397">
        <v>2438721.84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-0.15555555555555678</v>
      </c>
      <c r="Q397">
        <f t="shared" si="975"/>
        <v>-379356.73066666961</v>
      </c>
      <c r="R397">
        <f t="shared" si="976"/>
        <v>-55211902.275125422</v>
      </c>
      <c r="S397">
        <f t="shared" si="977"/>
        <v>-552.11902275125419</v>
      </c>
      <c r="T397">
        <f t="shared" si="978"/>
        <v>-0.55211902275125424</v>
      </c>
    </row>
    <row r="398" spans="1:20" x14ac:dyDescent="0.25">
      <c r="A398" s="5">
        <v>44195</v>
      </c>
      <c r="B398">
        <v>0.1245</v>
      </c>
      <c r="C398">
        <v>0.12740000000000001</v>
      </c>
      <c r="D398">
        <v>0.1191</v>
      </c>
      <c r="E398">
        <v>0.1235</v>
      </c>
      <c r="F398">
        <v>3337707.68</v>
      </c>
      <c r="G398">
        <v>0</v>
      </c>
      <c r="L398" t="s">
        <v>8</v>
      </c>
      <c r="M398" t="s">
        <v>7</v>
      </c>
      <c r="N398" t="s">
        <v>8</v>
      </c>
      <c r="P398">
        <f t="shared" si="974"/>
        <v>6.0240963855419952E-2</v>
      </c>
      <c r="Q398">
        <f t="shared" si="975"/>
        <v>201066.72771083759</v>
      </c>
      <c r="R398">
        <f t="shared" si="976"/>
        <v>-54832545.544458754</v>
      </c>
      <c r="S398">
        <f t="shared" si="977"/>
        <v>-548.32545544458753</v>
      </c>
      <c r="T398">
        <f t="shared" si="978"/>
        <v>-0.54832545544458755</v>
      </c>
    </row>
    <row r="399" spans="1:20" x14ac:dyDescent="0.25">
      <c r="A399" s="5">
        <v>44194</v>
      </c>
      <c r="B399">
        <v>0.11899999999999999</v>
      </c>
      <c r="C399">
        <v>0.1255</v>
      </c>
      <c r="D399">
        <v>0.1106</v>
      </c>
      <c r="E399">
        <v>0.1245</v>
      </c>
      <c r="F399">
        <v>5327642.12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0.86577181208053677</v>
      </c>
      <c r="Q399">
        <f t="shared" si="975"/>
        <v>4612522.3723489931</v>
      </c>
      <c r="R399">
        <f t="shared" si="976"/>
        <v>-55033612.27216959</v>
      </c>
      <c r="S399">
        <f t="shared" si="977"/>
        <v>-550.33612272169592</v>
      </c>
      <c r="T399">
        <f t="shared" si="978"/>
        <v>-0.55033612272169596</v>
      </c>
    </row>
    <row r="400" spans="1:20" x14ac:dyDescent="0.25">
      <c r="A400" s="5">
        <v>44193</v>
      </c>
      <c r="B400">
        <v>0.11940000000000001</v>
      </c>
      <c r="C400">
        <v>0.13539999999999999</v>
      </c>
      <c r="D400">
        <v>0.1163</v>
      </c>
      <c r="E400">
        <v>0.11899999999999999</v>
      </c>
      <c r="F400">
        <v>13905337.18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-0.71727748691099524</v>
      </c>
      <c r="Q400">
        <f t="shared" si="975"/>
        <v>-9973985.3071204256</v>
      </c>
      <c r="R400">
        <f t="shared" si="976"/>
        <v>-59646134.644518584</v>
      </c>
      <c r="S400">
        <f t="shared" si="977"/>
        <v>-596.46134644518588</v>
      </c>
      <c r="T400">
        <f t="shared" si="978"/>
        <v>-0.59646134644518589</v>
      </c>
    </row>
    <row r="401" spans="1:20" x14ac:dyDescent="0.25">
      <c r="A401" s="5">
        <v>44192</v>
      </c>
      <c r="B401">
        <v>0.113</v>
      </c>
      <c r="C401">
        <v>0.1206</v>
      </c>
      <c r="D401">
        <v>0.10100000000000001</v>
      </c>
      <c r="E401">
        <v>0.11940000000000001</v>
      </c>
      <c r="F401">
        <v>5734937.6799999997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0.87755102040816391</v>
      </c>
      <c r="Q401">
        <f t="shared" si="975"/>
        <v>5032700.4130612276</v>
      </c>
      <c r="R401">
        <f t="shared" si="976"/>
        <v>-49672149.337398157</v>
      </c>
      <c r="S401">
        <f t="shared" si="977"/>
        <v>-496.72149337398156</v>
      </c>
      <c r="T401">
        <f t="shared" si="978"/>
        <v>-0.49672149337398158</v>
      </c>
    </row>
    <row r="402" spans="1:20" x14ac:dyDescent="0.25">
      <c r="A402" s="5">
        <v>44191</v>
      </c>
      <c r="B402">
        <v>0.1157</v>
      </c>
      <c r="C402">
        <v>0.1177</v>
      </c>
      <c r="D402">
        <v>0.11</v>
      </c>
      <c r="E402">
        <v>0.11269999999999999</v>
      </c>
      <c r="F402">
        <v>2551497.46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-0.29870129870130013</v>
      </c>
      <c r="Q402">
        <f t="shared" si="975"/>
        <v>-762135.60493506852</v>
      </c>
      <c r="R402">
        <f t="shared" si="976"/>
        <v>-54704849.750459388</v>
      </c>
      <c r="S402">
        <f t="shared" si="977"/>
        <v>-547.04849750459391</v>
      </c>
      <c r="T402">
        <f t="shared" si="978"/>
        <v>-0.54704849750459394</v>
      </c>
    </row>
    <row r="403" spans="1:20" x14ac:dyDescent="0.25">
      <c r="A403" s="5">
        <v>44190</v>
      </c>
      <c r="B403">
        <v>0.115</v>
      </c>
      <c r="C403">
        <v>0.11799999999999999</v>
      </c>
      <c r="D403">
        <v>0.1086</v>
      </c>
      <c r="E403">
        <v>0.1157</v>
      </c>
      <c r="F403">
        <v>1942961.8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0.51063829787234072</v>
      </c>
      <c r="Q403">
        <f t="shared" si="975"/>
        <v>992150.70638297929</v>
      </c>
      <c r="R403">
        <f t="shared" si="976"/>
        <v>-53942714.145524323</v>
      </c>
      <c r="S403">
        <f t="shared" si="977"/>
        <v>-539.42714145524326</v>
      </c>
      <c r="T403">
        <f t="shared" si="978"/>
        <v>-0.53942714145524329</v>
      </c>
    </row>
    <row r="404" spans="1:20" x14ac:dyDescent="0.25">
      <c r="A404" s="5">
        <v>44189</v>
      </c>
      <c r="B404">
        <v>0.1142</v>
      </c>
      <c r="C404">
        <v>0.11700000000000001</v>
      </c>
      <c r="D404">
        <v>0.1061</v>
      </c>
      <c r="E404">
        <v>0.115</v>
      </c>
      <c r="F404">
        <v>4225813.5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0.63302752293577969</v>
      </c>
      <c r="Q404">
        <f t="shared" si="975"/>
        <v>2675056.2522935774</v>
      </c>
      <c r="R404">
        <f t="shared" si="976"/>
        <v>-54934864.851907305</v>
      </c>
      <c r="S404">
        <f t="shared" si="977"/>
        <v>-549.34864851907309</v>
      </c>
      <c r="T404">
        <f t="shared" si="978"/>
        <v>-0.54934864851907306</v>
      </c>
    </row>
    <row r="405" spans="1:20" x14ac:dyDescent="0.25">
      <c r="A405" s="5">
        <v>44188</v>
      </c>
      <c r="B405">
        <v>0.11990000000000001</v>
      </c>
      <c r="C405">
        <v>0.1249</v>
      </c>
      <c r="D405">
        <v>0.107</v>
      </c>
      <c r="E405">
        <v>0.11409999999999999</v>
      </c>
      <c r="F405">
        <v>6032659.1100000003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-0.20670391061452564</v>
      </c>
      <c r="Q405">
        <f t="shared" si="975"/>
        <v>-1246974.2294413438</v>
      </c>
      <c r="R405">
        <f t="shared" si="976"/>
        <v>-57609921.104200885</v>
      </c>
      <c r="S405">
        <f t="shared" si="977"/>
        <v>-576.09921104200885</v>
      </c>
      <c r="T405">
        <f t="shared" si="978"/>
        <v>-0.5760992110420089</v>
      </c>
    </row>
    <row r="406" spans="1:20" x14ac:dyDescent="0.25">
      <c r="A406" s="5">
        <v>44187</v>
      </c>
      <c r="B406">
        <v>0.1229</v>
      </c>
      <c r="C406">
        <v>0.12330000000000001</v>
      </c>
      <c r="D406">
        <v>0.11459999999999999</v>
      </c>
      <c r="E406">
        <v>0.11990000000000001</v>
      </c>
      <c r="F406">
        <v>5281032.2300000004</v>
      </c>
      <c r="G406">
        <v>0</v>
      </c>
      <c r="L406" t="s">
        <v>8</v>
      </c>
      <c r="M406" t="s">
        <v>7</v>
      </c>
      <c r="N406" t="s">
        <v>8</v>
      </c>
      <c r="P406">
        <f t="shared" si="974"/>
        <v>0.2183908045977023</v>
      </c>
      <c r="Q406">
        <f t="shared" si="975"/>
        <v>1153328.877816098</v>
      </c>
      <c r="R406">
        <f t="shared" si="976"/>
        <v>-56362946.87475954</v>
      </c>
      <c r="S406">
        <f t="shared" si="977"/>
        <v>-563.62946874759541</v>
      </c>
      <c r="T406">
        <f t="shared" si="978"/>
        <v>-0.56362946874759545</v>
      </c>
    </row>
    <row r="407" spans="1:20" x14ac:dyDescent="0.25">
      <c r="A407" s="5">
        <v>44186</v>
      </c>
      <c r="B407">
        <v>0.1366</v>
      </c>
      <c r="C407">
        <v>0.14280000000000001</v>
      </c>
      <c r="D407">
        <v>0.1134</v>
      </c>
      <c r="E407">
        <v>0.123</v>
      </c>
      <c r="F407">
        <v>6955809.4400000004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-0.34693877551020447</v>
      </c>
      <c r="Q407">
        <f t="shared" si="975"/>
        <v>-2413240.0097959214</v>
      </c>
      <c r="R407">
        <f t="shared" si="976"/>
        <v>-57516275.752575636</v>
      </c>
      <c r="S407">
        <f t="shared" si="977"/>
        <v>-575.16275752575632</v>
      </c>
      <c r="T407">
        <f t="shared" si="978"/>
        <v>-0.5751627575257563</v>
      </c>
    </row>
    <row r="408" spans="1:20" x14ac:dyDescent="0.25">
      <c r="A408" s="5">
        <v>44185</v>
      </c>
      <c r="B408">
        <v>0.13439999999999999</v>
      </c>
      <c r="C408">
        <v>0.16</v>
      </c>
      <c r="D408">
        <v>0.13059999999999999</v>
      </c>
      <c r="E408">
        <v>0.1366</v>
      </c>
      <c r="F408">
        <v>10670664.050000001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-0.59183673469387732</v>
      </c>
      <c r="Q408">
        <f t="shared" si="975"/>
        <v>-6315290.9683673447</v>
      </c>
      <c r="R408">
        <f t="shared" si="976"/>
        <v>-55103035.742779717</v>
      </c>
      <c r="S408">
        <f t="shared" si="977"/>
        <v>-551.03035742779718</v>
      </c>
      <c r="T408">
        <f t="shared" si="978"/>
        <v>-0.55103035742779716</v>
      </c>
    </row>
    <row r="409" spans="1:20" x14ac:dyDescent="0.25">
      <c r="A409" s="5">
        <v>44184</v>
      </c>
      <c r="B409">
        <v>0.12740000000000001</v>
      </c>
      <c r="C409">
        <v>0.14000000000000001</v>
      </c>
      <c r="D409">
        <v>0.1258</v>
      </c>
      <c r="E409">
        <v>0.13350000000000001</v>
      </c>
      <c r="F409">
        <v>5992199.2300000004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8.4507042253521486E-2</v>
      </c>
      <c r="Q409">
        <f t="shared" si="975"/>
        <v>506383.03352112893</v>
      </c>
      <c r="R409">
        <f t="shared" si="976"/>
        <v>-48787744.774412371</v>
      </c>
      <c r="S409">
        <f t="shared" si="977"/>
        <v>-487.87744774412369</v>
      </c>
      <c r="T409">
        <f t="shared" si="978"/>
        <v>-0.48787744774412367</v>
      </c>
    </row>
    <row r="410" spans="1:20" x14ac:dyDescent="0.25">
      <c r="A410" s="5">
        <v>44183</v>
      </c>
      <c r="B410">
        <v>0.13189999999999999</v>
      </c>
      <c r="C410">
        <v>0.1348</v>
      </c>
      <c r="D410">
        <v>0.12429999999999999</v>
      </c>
      <c r="E410">
        <v>0.1283</v>
      </c>
      <c r="F410">
        <v>5339869.51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-0.23809523809523808</v>
      </c>
      <c r="Q410">
        <f t="shared" si="975"/>
        <v>-1271397.5023809522</v>
      </c>
      <c r="R410">
        <f t="shared" si="976"/>
        <v>-49294127.807933502</v>
      </c>
      <c r="S410">
        <f t="shared" si="977"/>
        <v>-492.94127807933501</v>
      </c>
      <c r="T410">
        <f t="shared" si="978"/>
        <v>-0.49294127807933502</v>
      </c>
    </row>
    <row r="411" spans="1:20" x14ac:dyDescent="0.25">
      <c r="A411" s="5">
        <v>44182</v>
      </c>
      <c r="B411">
        <v>0.12889999999999999</v>
      </c>
      <c r="C411">
        <v>0.13800000000000001</v>
      </c>
      <c r="D411">
        <v>0.12139999999999999</v>
      </c>
      <c r="E411">
        <v>0.13239999999999999</v>
      </c>
      <c r="F411">
        <v>7179697.3200000003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0.32530120481927521</v>
      </c>
      <c r="Q411">
        <f t="shared" si="975"/>
        <v>2335564.1884337217</v>
      </c>
      <c r="R411">
        <f t="shared" si="976"/>
        <v>-48022730.30555255</v>
      </c>
      <c r="S411">
        <f t="shared" si="977"/>
        <v>-480.22730305552551</v>
      </c>
      <c r="T411">
        <f t="shared" si="978"/>
        <v>-0.48022730305552552</v>
      </c>
    </row>
    <row r="412" spans="1:20" x14ac:dyDescent="0.25">
      <c r="A412" s="5">
        <v>44181</v>
      </c>
      <c r="B412">
        <v>0.1179</v>
      </c>
      <c r="C412">
        <v>0.13109999999999999</v>
      </c>
      <c r="D412">
        <v>0.1179</v>
      </c>
      <c r="E412">
        <v>0.12959999999999999</v>
      </c>
      <c r="F412">
        <v>6513298.7199999997</v>
      </c>
      <c r="G412">
        <v>0</v>
      </c>
      <c r="L412" t="s">
        <v>8</v>
      </c>
      <c r="M412" t="s">
        <v>7</v>
      </c>
      <c r="N412" t="s">
        <v>7</v>
      </c>
      <c r="P412">
        <f t="shared" si="974"/>
        <v>0.77272727272727237</v>
      </c>
      <c r="Q412">
        <f t="shared" si="975"/>
        <v>5033003.5563636338</v>
      </c>
      <c r="R412">
        <f t="shared" si="976"/>
        <v>-50358294.493986271</v>
      </c>
      <c r="S412">
        <f t="shared" si="977"/>
        <v>-503.58294493986273</v>
      </c>
      <c r="T412">
        <f t="shared" si="978"/>
        <v>-0.50358294493986278</v>
      </c>
    </row>
    <row r="413" spans="1:20" x14ac:dyDescent="0.25">
      <c r="A413" s="5">
        <v>44180</v>
      </c>
      <c r="B413">
        <v>0.115</v>
      </c>
      <c r="C413">
        <v>0.1263</v>
      </c>
      <c r="D413">
        <v>0.1123</v>
      </c>
      <c r="E413">
        <v>0.1179</v>
      </c>
      <c r="F413">
        <v>5811396.5899999999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-0.19999999999999882</v>
      </c>
      <c r="Q413">
        <f t="shared" si="975"/>
        <v>-1162279.317999993</v>
      </c>
      <c r="R413">
        <f t="shared" si="976"/>
        <v>-55391298.050349906</v>
      </c>
      <c r="S413">
        <f t="shared" si="977"/>
        <v>-553.91298050349906</v>
      </c>
      <c r="T413">
        <f t="shared" si="978"/>
        <v>-0.55391298050349902</v>
      </c>
    </row>
    <row r="414" spans="1:20" x14ac:dyDescent="0.25">
      <c r="A414" s="5">
        <v>44179</v>
      </c>
      <c r="B414">
        <v>0.1172</v>
      </c>
      <c r="C414">
        <v>0.1222</v>
      </c>
      <c r="D414">
        <v>0.1114</v>
      </c>
      <c r="E414">
        <v>0.1148</v>
      </c>
      <c r="F414">
        <v>6884345.9400000004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-0.37037037037037057</v>
      </c>
      <c r="Q414">
        <f t="shared" si="975"/>
        <v>-2549757.7555555571</v>
      </c>
      <c r="R414">
        <f t="shared" si="976"/>
        <v>-54229018.73234991</v>
      </c>
      <c r="S414">
        <f t="shared" si="977"/>
        <v>-542.29018732349914</v>
      </c>
      <c r="T414">
        <f t="shared" si="978"/>
        <v>-0.5422901873234991</v>
      </c>
    </row>
    <row r="415" spans="1:20" x14ac:dyDescent="0.25">
      <c r="A415" s="5">
        <v>44178</v>
      </c>
      <c r="B415">
        <v>0.1232</v>
      </c>
      <c r="C415">
        <v>0.1361</v>
      </c>
      <c r="D415">
        <v>0.1153</v>
      </c>
      <c r="E415">
        <v>0.11700000000000001</v>
      </c>
      <c r="F415">
        <v>17480173.140000001</v>
      </c>
      <c r="G415">
        <v>0</v>
      </c>
      <c r="L415" t="s">
        <v>7</v>
      </c>
      <c r="M415" t="s">
        <v>7</v>
      </c>
      <c r="N415" t="s">
        <v>8</v>
      </c>
      <c r="P415">
        <f t="shared" si="974"/>
        <v>-0.8365384615384609</v>
      </c>
      <c r="Q415">
        <f t="shared" si="975"/>
        <v>-14622837.145961529</v>
      </c>
      <c r="R415">
        <f t="shared" si="976"/>
        <v>-51679260.976794355</v>
      </c>
      <c r="S415">
        <f t="shared" si="977"/>
        <v>-516.79260976794353</v>
      </c>
      <c r="T415">
        <f t="shared" si="978"/>
        <v>-0.5167926097679435</v>
      </c>
    </row>
    <row r="416" spans="1:20" x14ac:dyDescent="0.25">
      <c r="A416" s="5">
        <v>44177</v>
      </c>
      <c r="B416">
        <v>9.9299999999999999E-2</v>
      </c>
      <c r="C416">
        <v>0.15060000000000001</v>
      </c>
      <c r="D416">
        <v>9.9199999999999997E-2</v>
      </c>
      <c r="E416">
        <v>0.12330000000000001</v>
      </c>
      <c r="F416">
        <v>32187699.91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-6.2256809338521277E-2</v>
      </c>
      <c r="Q416">
        <f t="shared" si="975"/>
        <v>-2003903.4963424085</v>
      </c>
      <c r="R416">
        <f t="shared" si="976"/>
        <v>-37056423.830832824</v>
      </c>
      <c r="S416">
        <f t="shared" si="977"/>
        <v>-370.56423830832824</v>
      </c>
      <c r="T416">
        <f t="shared" si="978"/>
        <v>-0.37056423830832824</v>
      </c>
    </row>
    <row r="417" spans="1:20" x14ac:dyDescent="0.25">
      <c r="A417" s="5">
        <v>44176</v>
      </c>
      <c r="B417">
        <v>0.10730000000000001</v>
      </c>
      <c r="C417">
        <v>0.10730000000000001</v>
      </c>
      <c r="D417">
        <v>9.8599999999999993E-2</v>
      </c>
      <c r="E417">
        <v>9.9000000000000005E-2</v>
      </c>
      <c r="F417">
        <v>2355764.37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-0.90804597701149181</v>
      </c>
      <c r="Q417">
        <f t="shared" si="975"/>
        <v>-2139142.3589655114</v>
      </c>
      <c r="R417">
        <f t="shared" si="976"/>
        <v>-35052520.334490418</v>
      </c>
      <c r="S417">
        <f t="shared" si="977"/>
        <v>-350.52520334490418</v>
      </c>
      <c r="T417">
        <f t="shared" si="978"/>
        <v>-0.35052520334490417</v>
      </c>
    </row>
    <row r="418" spans="1:20" x14ac:dyDescent="0.25">
      <c r="A418" s="5">
        <v>44175</v>
      </c>
      <c r="B418">
        <v>0.11020000000000001</v>
      </c>
      <c r="C418">
        <v>0.1144</v>
      </c>
      <c r="D418">
        <v>0.1</v>
      </c>
      <c r="E418">
        <v>0.1074</v>
      </c>
      <c r="F418">
        <v>3159797.54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2.7777777777776652E-2</v>
      </c>
      <c r="Q418">
        <f t="shared" si="975"/>
        <v>87772.153888885339</v>
      </c>
      <c r="R418">
        <f t="shared" si="976"/>
        <v>-32913377.97552491</v>
      </c>
      <c r="S418">
        <f t="shared" si="977"/>
        <v>-329.13377975524912</v>
      </c>
      <c r="T418">
        <f t="shared" si="978"/>
        <v>-0.3291337797552491</v>
      </c>
    </row>
    <row r="419" spans="1:20" x14ac:dyDescent="0.25">
      <c r="A419" s="5">
        <v>44174</v>
      </c>
      <c r="B419">
        <v>0.1091</v>
      </c>
      <c r="C419">
        <v>0.111</v>
      </c>
      <c r="D419">
        <v>9.7799999999999998E-2</v>
      </c>
      <c r="E419">
        <v>0.11020000000000001</v>
      </c>
      <c r="F419">
        <v>4790878.8099999996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0.87878787878787956</v>
      </c>
      <c r="Q419">
        <f t="shared" si="975"/>
        <v>4210166.2269697003</v>
      </c>
      <c r="R419">
        <f t="shared" si="976"/>
        <v>-33001150.129413795</v>
      </c>
      <c r="S419">
        <f t="shared" si="977"/>
        <v>-330.01150129413793</v>
      </c>
      <c r="T419">
        <f t="shared" si="978"/>
        <v>-0.33001150129413792</v>
      </c>
    </row>
    <row r="420" spans="1:20" x14ac:dyDescent="0.25">
      <c r="A420" s="5">
        <v>44173</v>
      </c>
      <c r="B420">
        <v>0.1174</v>
      </c>
      <c r="C420">
        <v>0.123</v>
      </c>
      <c r="D420">
        <v>0.10680000000000001</v>
      </c>
      <c r="E420">
        <v>0.1094</v>
      </c>
      <c r="F420">
        <v>7175859.8700000001</v>
      </c>
      <c r="G420">
        <v>0</v>
      </c>
      <c r="L420" t="s">
        <v>8</v>
      </c>
      <c r="M420" t="s">
        <v>7</v>
      </c>
      <c r="N420" t="s">
        <v>8</v>
      </c>
      <c r="P420">
        <f t="shared" si="974"/>
        <v>-0.67901234567901325</v>
      </c>
      <c r="Q420">
        <f t="shared" si="975"/>
        <v>-4872497.4425925994</v>
      </c>
      <c r="R420">
        <f t="shared" si="976"/>
        <v>-37211316.356383495</v>
      </c>
      <c r="S420">
        <f t="shared" si="977"/>
        <v>-372.11316356383497</v>
      </c>
      <c r="T420">
        <f t="shared" si="978"/>
        <v>-0.37211316356383495</v>
      </c>
    </row>
    <row r="421" spans="1:20" x14ac:dyDescent="0.25">
      <c r="A421" s="5">
        <v>44172</v>
      </c>
      <c r="B421">
        <v>0.11550000000000001</v>
      </c>
      <c r="C421">
        <v>0.11990000000000001</v>
      </c>
      <c r="D421">
        <v>0.1124</v>
      </c>
      <c r="E421">
        <v>0.1167</v>
      </c>
      <c r="F421">
        <v>3342571.25</v>
      </c>
      <c r="G421">
        <v>0</v>
      </c>
      <c r="L421" t="s">
        <v>8</v>
      </c>
      <c r="M421" t="s">
        <v>7</v>
      </c>
      <c r="N421" t="s">
        <v>8</v>
      </c>
      <c r="P421">
        <f t="shared" si="974"/>
        <v>0.1466666666666652</v>
      </c>
      <c r="Q421">
        <f t="shared" si="975"/>
        <v>490243.78333332844</v>
      </c>
      <c r="R421">
        <f t="shared" si="976"/>
        <v>-32338818.913790893</v>
      </c>
      <c r="S421">
        <f t="shared" si="977"/>
        <v>-323.38818913790891</v>
      </c>
      <c r="T421">
        <f t="shared" si="978"/>
        <v>-0.3233881891379089</v>
      </c>
    </row>
    <row r="422" spans="1:20" x14ac:dyDescent="0.25">
      <c r="A422" s="5">
        <v>44171</v>
      </c>
      <c r="B422">
        <v>0.1172</v>
      </c>
      <c r="C422">
        <v>0.1191</v>
      </c>
      <c r="D422">
        <v>0.1106</v>
      </c>
      <c r="E422">
        <v>0.11559999999999999</v>
      </c>
      <c r="F422">
        <v>3033769.52</v>
      </c>
      <c r="G422">
        <v>0</v>
      </c>
      <c r="L422" t="s">
        <v>7</v>
      </c>
      <c r="M422" t="s">
        <v>7</v>
      </c>
      <c r="N422" t="s">
        <v>8</v>
      </c>
      <c r="P422">
        <f t="shared" si="974"/>
        <v>0.17647058823529277</v>
      </c>
      <c r="Q422">
        <f t="shared" si="975"/>
        <v>535371.09176470176</v>
      </c>
      <c r="R422">
        <f t="shared" si="976"/>
        <v>-32829062.69712422</v>
      </c>
      <c r="S422">
        <f t="shared" si="977"/>
        <v>-328.2906269712422</v>
      </c>
      <c r="T422">
        <f t="shared" si="978"/>
        <v>-0.32829062697124223</v>
      </c>
    </row>
    <row r="423" spans="1:20" x14ac:dyDescent="0.25">
      <c r="A423" s="5">
        <v>44170</v>
      </c>
      <c r="B423">
        <v>0.11070000000000001</v>
      </c>
      <c r="C423">
        <v>0.1183</v>
      </c>
      <c r="D423">
        <v>0.1081</v>
      </c>
      <c r="E423">
        <v>0.1169</v>
      </c>
      <c r="F423">
        <v>4135566.66</v>
      </c>
      <c r="G423">
        <v>0</v>
      </c>
      <c r="L423" t="s">
        <v>8</v>
      </c>
      <c r="M423" t="s">
        <v>7</v>
      </c>
      <c r="N423" t="s">
        <v>8</v>
      </c>
      <c r="P423">
        <f t="shared" si="974"/>
        <v>0.72549019607843168</v>
      </c>
      <c r="Q423">
        <f t="shared" si="975"/>
        <v>3000313.0670588249</v>
      </c>
      <c r="R423">
        <f t="shared" si="976"/>
        <v>-33364433.788888924</v>
      </c>
      <c r="S423">
        <f t="shared" si="977"/>
        <v>-333.64433788888925</v>
      </c>
      <c r="T423">
        <f t="shared" si="978"/>
        <v>-0.33364433788888925</v>
      </c>
    </row>
    <row r="424" spans="1:20" x14ac:dyDescent="0.25">
      <c r="A424" s="5">
        <v>44169</v>
      </c>
      <c r="B424">
        <v>0.13519999999999999</v>
      </c>
      <c r="C424">
        <v>0.13850000000000001</v>
      </c>
      <c r="D424">
        <v>0.108</v>
      </c>
      <c r="E424">
        <v>0.11</v>
      </c>
      <c r="F424">
        <v>22581606.84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-0.86885245901639341</v>
      </c>
      <c r="Q424">
        <f t="shared" si="975"/>
        <v>-19620084.631475408</v>
      </c>
      <c r="R424">
        <f t="shared" si="976"/>
        <v>-36364746.855947748</v>
      </c>
      <c r="S424">
        <f t="shared" si="977"/>
        <v>-363.64746855947749</v>
      </c>
      <c r="T424">
        <f t="shared" si="978"/>
        <v>-0.36364746855947749</v>
      </c>
    </row>
    <row r="425" spans="1:20" x14ac:dyDescent="0.25">
      <c r="A425" s="5">
        <v>44168</v>
      </c>
      <c r="B425">
        <v>0.12180000000000001</v>
      </c>
      <c r="C425">
        <v>0.1384</v>
      </c>
      <c r="D425">
        <v>0.11799999999999999</v>
      </c>
      <c r="E425">
        <v>0.13519999999999999</v>
      </c>
      <c r="F425">
        <v>5478857.9900000002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0.6862745098039208</v>
      </c>
      <c r="Q425">
        <f t="shared" si="975"/>
        <v>3760000.5813725451</v>
      </c>
      <c r="R425">
        <f t="shared" si="976"/>
        <v>-16744662.224472344</v>
      </c>
      <c r="S425">
        <f t="shared" si="977"/>
        <v>-167.44662224472344</v>
      </c>
      <c r="T425">
        <f t="shared" si="978"/>
        <v>-0.16744662224472345</v>
      </c>
    </row>
    <row r="426" spans="1:20" x14ac:dyDescent="0.25">
      <c r="A426" s="5">
        <v>44167</v>
      </c>
      <c r="B426">
        <v>0.1171</v>
      </c>
      <c r="C426">
        <v>0.12520000000000001</v>
      </c>
      <c r="D426">
        <v>0.1166</v>
      </c>
      <c r="E426">
        <v>0.12180000000000001</v>
      </c>
      <c r="F426">
        <v>3222724.75</v>
      </c>
      <c r="G426">
        <v>0</v>
      </c>
      <c r="L426" t="s">
        <v>8</v>
      </c>
      <c r="M426" t="s">
        <v>7</v>
      </c>
      <c r="N426" t="s">
        <v>7</v>
      </c>
      <c r="P426">
        <f t="shared" si="974"/>
        <v>0.20930232558139625</v>
      </c>
      <c r="Q426">
        <f t="shared" si="975"/>
        <v>674523.78488372383</v>
      </c>
      <c r="R426">
        <f t="shared" si="976"/>
        <v>-20504662.805844888</v>
      </c>
      <c r="S426">
        <f t="shared" si="977"/>
        <v>-205.04662805844887</v>
      </c>
      <c r="T426">
        <f t="shared" si="978"/>
        <v>-0.20504662805844887</v>
      </c>
    </row>
    <row r="427" spans="1:20" x14ac:dyDescent="0.25">
      <c r="A427" s="5">
        <v>44166</v>
      </c>
      <c r="B427">
        <v>0.128</v>
      </c>
      <c r="C427">
        <v>0.13059999999999999</v>
      </c>
      <c r="D427">
        <v>0.1108</v>
      </c>
      <c r="E427">
        <v>0.11700000000000001</v>
      </c>
      <c r="F427">
        <v>4958998.7300000004</v>
      </c>
      <c r="G427">
        <v>0</v>
      </c>
      <c r="L427" t="s">
        <v>7</v>
      </c>
      <c r="M427" t="s">
        <v>7</v>
      </c>
      <c r="N427" t="s">
        <v>7</v>
      </c>
      <c r="P427">
        <f t="shared" si="974"/>
        <v>-0.37373737373737254</v>
      </c>
      <c r="Q427">
        <f t="shared" si="975"/>
        <v>-1853363.161717166</v>
      </c>
      <c r="R427">
        <f t="shared" si="976"/>
        <v>-21179186.590728611</v>
      </c>
      <c r="S427">
        <f t="shared" si="977"/>
        <v>-211.79186590728611</v>
      </c>
      <c r="T427">
        <f t="shared" si="978"/>
        <v>-0.2117918659072861</v>
      </c>
    </row>
    <row r="428" spans="1:20" x14ac:dyDescent="0.25">
      <c r="A428" s="5">
        <v>44165</v>
      </c>
      <c r="B428">
        <v>0.122</v>
      </c>
      <c r="C428">
        <v>0.1336</v>
      </c>
      <c r="D428">
        <v>0.1196</v>
      </c>
      <c r="E428">
        <v>0.128</v>
      </c>
      <c r="F428">
        <v>4682991.1100000003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0.20000000000000079</v>
      </c>
      <c r="Q428">
        <f t="shared" si="975"/>
        <v>936598.22200000379</v>
      </c>
      <c r="R428">
        <f t="shared" si="976"/>
        <v>-19325823.429011445</v>
      </c>
      <c r="S428">
        <f t="shared" si="977"/>
        <v>-193.25823429011444</v>
      </c>
      <c r="T428">
        <f t="shared" si="978"/>
        <v>-0.19325823429011443</v>
      </c>
    </row>
    <row r="429" spans="1:20" x14ac:dyDescent="0.25">
      <c r="A429" s="5">
        <v>44164</v>
      </c>
      <c r="B429">
        <v>0.12520000000000001</v>
      </c>
      <c r="C429">
        <v>0.1265</v>
      </c>
      <c r="D429">
        <v>0.11890000000000001</v>
      </c>
      <c r="E429">
        <v>0.1221</v>
      </c>
      <c r="F429">
        <v>2674923.35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-0.15789473684210623</v>
      </c>
      <c r="Q429">
        <f t="shared" si="975"/>
        <v>-422356.31842105521</v>
      </c>
      <c r="R429">
        <f t="shared" si="976"/>
        <v>-20262421.651011448</v>
      </c>
      <c r="S429">
        <f t="shared" si="977"/>
        <v>-202.62421651011448</v>
      </c>
      <c r="T429">
        <f t="shared" si="978"/>
        <v>-0.20262421651011447</v>
      </c>
    </row>
    <row r="430" spans="1:20" x14ac:dyDescent="0.25">
      <c r="A430" s="5">
        <v>44163</v>
      </c>
      <c r="B430">
        <v>0.123</v>
      </c>
      <c r="C430">
        <v>0.1285</v>
      </c>
      <c r="D430">
        <v>0.1206</v>
      </c>
      <c r="E430">
        <v>0.12520000000000001</v>
      </c>
      <c r="F430">
        <v>2149638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0.16455696202531755</v>
      </c>
      <c r="Q430">
        <f t="shared" si="975"/>
        <v>353737.89873417956</v>
      </c>
      <c r="R430">
        <f t="shared" si="976"/>
        <v>-19840065.332590394</v>
      </c>
      <c r="S430">
        <f t="shared" si="977"/>
        <v>-198.40065332590393</v>
      </c>
      <c r="T430">
        <f t="shared" si="978"/>
        <v>-0.19840065332590393</v>
      </c>
    </row>
    <row r="431" spans="1:20" x14ac:dyDescent="0.25">
      <c r="A431" s="5">
        <v>44162</v>
      </c>
      <c r="B431">
        <v>0.12540000000000001</v>
      </c>
      <c r="C431">
        <v>0.1305</v>
      </c>
      <c r="D431">
        <v>0.1162</v>
      </c>
      <c r="E431">
        <v>0.123</v>
      </c>
      <c r="F431">
        <v>2635622.4300000002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-4.8951048951049361E-2</v>
      </c>
      <c r="Q431">
        <f t="shared" si="975"/>
        <v>-129016.48258741367</v>
      </c>
      <c r="R431">
        <f t="shared" si="976"/>
        <v>-20193803.231324572</v>
      </c>
      <c r="S431">
        <f t="shared" si="977"/>
        <v>-201.93803231324571</v>
      </c>
      <c r="T431">
        <f t="shared" si="978"/>
        <v>-0.20193803231324572</v>
      </c>
    </row>
    <row r="432" spans="1:20" x14ac:dyDescent="0.25">
      <c r="A432" s="5">
        <v>44161</v>
      </c>
      <c r="B432">
        <v>0.15010000000000001</v>
      </c>
      <c r="C432">
        <v>0.15440000000000001</v>
      </c>
      <c r="D432">
        <v>0.1012</v>
      </c>
      <c r="E432">
        <v>0.12540000000000001</v>
      </c>
      <c r="F432">
        <v>8688258.4900000002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-9.0225563909774126E-2</v>
      </c>
      <c r="Q432">
        <f t="shared" si="975"/>
        <v>-783903.02165413264</v>
      </c>
      <c r="R432">
        <f t="shared" si="976"/>
        <v>-20064786.74873716</v>
      </c>
      <c r="S432">
        <f t="shared" si="977"/>
        <v>-200.6478674873716</v>
      </c>
      <c r="T432">
        <f t="shared" si="978"/>
        <v>-0.2006478674873716</v>
      </c>
    </row>
    <row r="433" spans="1:20" x14ac:dyDescent="0.25">
      <c r="A433" s="5">
        <v>44160</v>
      </c>
      <c r="B433">
        <v>0.15459999999999999</v>
      </c>
      <c r="C433">
        <v>0.1573</v>
      </c>
      <c r="D433">
        <v>0.14130000000000001</v>
      </c>
      <c r="E433">
        <v>0.15240000000000001</v>
      </c>
      <c r="F433">
        <v>31226823.34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0.38750000000000101</v>
      </c>
      <c r="Q433">
        <f t="shared" si="975"/>
        <v>12100394.044250032</v>
      </c>
      <c r="R433">
        <f t="shared" si="976"/>
        <v>-19280883.727083027</v>
      </c>
      <c r="S433">
        <f t="shared" si="977"/>
        <v>-192.80883727083028</v>
      </c>
      <c r="T433">
        <f t="shared" si="978"/>
        <v>-0.19280883727083029</v>
      </c>
    </row>
    <row r="434" spans="1:20" x14ac:dyDescent="0.25">
      <c r="A434" s="5">
        <v>44159</v>
      </c>
      <c r="B434">
        <v>0.16589999999999999</v>
      </c>
      <c r="C434">
        <v>0.1699</v>
      </c>
      <c r="D434">
        <v>0.14480000000000001</v>
      </c>
      <c r="E434">
        <v>0.1545</v>
      </c>
      <c r="F434">
        <v>19358241.780000001</v>
      </c>
      <c r="G434">
        <v>0</v>
      </c>
      <c r="L434" t="s">
        <v>7</v>
      </c>
      <c r="M434" t="s">
        <v>7</v>
      </c>
      <c r="N434" t="s">
        <v>8</v>
      </c>
      <c r="P434">
        <f t="shared" si="974"/>
        <v>-0.22709163346613603</v>
      </c>
      <c r="Q434">
        <f t="shared" si="975"/>
        <v>-4396094.7468526009</v>
      </c>
      <c r="R434">
        <f t="shared" si="976"/>
        <v>-31381277.771333061</v>
      </c>
      <c r="S434">
        <f t="shared" si="977"/>
        <v>-313.8127777133306</v>
      </c>
      <c r="T434">
        <f t="shared" si="978"/>
        <v>-0.3138127777133306</v>
      </c>
    </row>
    <row r="435" spans="1:20" x14ac:dyDescent="0.25">
      <c r="A435" s="5">
        <v>44158</v>
      </c>
      <c r="B435">
        <v>0.153</v>
      </c>
      <c r="C435">
        <v>0.17449999999999999</v>
      </c>
      <c r="D435">
        <v>0.1464</v>
      </c>
      <c r="E435">
        <v>0.16600000000000001</v>
      </c>
      <c r="F435">
        <v>12622926.619999999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0.39501779359430716</v>
      </c>
      <c r="Q435">
        <f t="shared" si="975"/>
        <v>4986280.6221352452</v>
      </c>
      <c r="R435">
        <f t="shared" si="976"/>
        <v>-26985183.024480458</v>
      </c>
      <c r="S435">
        <f t="shared" si="977"/>
        <v>-269.8518302448046</v>
      </c>
      <c r="T435">
        <f t="shared" si="978"/>
        <v>-0.26985183024480458</v>
      </c>
    </row>
    <row r="436" spans="1:20" x14ac:dyDescent="0.25">
      <c r="A436" s="5">
        <v>44157</v>
      </c>
      <c r="B436">
        <v>0.15409999999999999</v>
      </c>
      <c r="C436">
        <v>0.1633</v>
      </c>
      <c r="D436">
        <v>0.13300000000000001</v>
      </c>
      <c r="E436">
        <v>0.153</v>
      </c>
      <c r="F436">
        <v>11824301.310000001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0.32013201320131973</v>
      </c>
      <c r="Q436">
        <f t="shared" si="975"/>
        <v>3785337.3830693024</v>
      </c>
      <c r="R436">
        <f t="shared" si="976"/>
        <v>-31971463.646615703</v>
      </c>
      <c r="S436">
        <f t="shared" si="977"/>
        <v>-319.714636466157</v>
      </c>
      <c r="T436">
        <f t="shared" si="978"/>
        <v>-0.319714636466157</v>
      </c>
    </row>
    <row r="437" spans="1:20" x14ac:dyDescent="0.25">
      <c r="A437" s="5">
        <v>44156</v>
      </c>
      <c r="B437">
        <v>0.13639999999999999</v>
      </c>
      <c r="C437">
        <v>0.154</v>
      </c>
      <c r="D437">
        <v>0.13320000000000001</v>
      </c>
      <c r="E437">
        <v>0.154</v>
      </c>
      <c r="F437">
        <v>18275558.609999999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1</v>
      </c>
      <c r="Q437">
        <f t="shared" si="975"/>
        <v>18275558.609999999</v>
      </c>
      <c r="R437">
        <f t="shared" si="976"/>
        <v>-35756801.029685006</v>
      </c>
      <c r="S437">
        <f t="shared" si="977"/>
        <v>-357.56801029685005</v>
      </c>
      <c r="T437">
        <f t="shared" si="978"/>
        <v>-0.35756801029685004</v>
      </c>
    </row>
    <row r="438" spans="1:20" x14ac:dyDescent="0.25">
      <c r="A438" s="5">
        <v>44155</v>
      </c>
      <c r="B438">
        <v>0.13389999999999999</v>
      </c>
      <c r="C438">
        <v>0.13800000000000001</v>
      </c>
      <c r="D438">
        <v>0.1318</v>
      </c>
      <c r="E438">
        <v>0.13639999999999999</v>
      </c>
      <c r="F438">
        <v>11555631.380000001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0.48387096774193056</v>
      </c>
      <c r="Q438">
        <f t="shared" si="975"/>
        <v>5591434.5387096209</v>
      </c>
      <c r="R438">
        <f t="shared" si="976"/>
        <v>-54032359.639685005</v>
      </c>
      <c r="S438">
        <f t="shared" si="977"/>
        <v>-540.32359639685001</v>
      </c>
      <c r="T438">
        <f t="shared" si="978"/>
        <v>-0.54032359639685001</v>
      </c>
    </row>
    <row r="439" spans="1:20" x14ac:dyDescent="0.25">
      <c r="A439" s="5">
        <v>44154</v>
      </c>
      <c r="B439">
        <v>0.12970000000000001</v>
      </c>
      <c r="C439">
        <v>0.1361</v>
      </c>
      <c r="D439">
        <v>0.1237</v>
      </c>
      <c r="E439">
        <v>0.13400000000000001</v>
      </c>
      <c r="F439">
        <v>9420054.8800000008</v>
      </c>
      <c r="G439">
        <v>0</v>
      </c>
      <c r="L439" t="s">
        <v>8</v>
      </c>
      <c r="M439" t="s">
        <v>7</v>
      </c>
      <c r="N439" t="s">
        <v>8</v>
      </c>
      <c r="P439">
        <f t="shared" si="974"/>
        <v>0.66129032258064646</v>
      </c>
      <c r="Q439">
        <f t="shared" si="975"/>
        <v>6229391.1303225933</v>
      </c>
      <c r="R439">
        <f t="shared" si="976"/>
        <v>-59623794.178394623</v>
      </c>
      <c r="S439">
        <f t="shared" si="977"/>
        <v>-596.23794178394621</v>
      </c>
      <c r="T439">
        <f t="shared" si="978"/>
        <v>-0.59623794178394618</v>
      </c>
    </row>
    <row r="440" spans="1:20" x14ac:dyDescent="0.25">
      <c r="A440" s="5">
        <v>44153</v>
      </c>
      <c r="B440">
        <v>0.13300000000000001</v>
      </c>
      <c r="C440">
        <v>0.13780000000000001</v>
      </c>
      <c r="D440">
        <v>0.12189999999999999</v>
      </c>
      <c r="E440">
        <v>0.12970000000000001</v>
      </c>
      <c r="F440">
        <v>6243546.5300000003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-1.8867924528300668E-2</v>
      </c>
      <c r="Q440">
        <f t="shared" si="975"/>
        <v>-117802.76471697353</v>
      </c>
      <c r="R440">
        <f t="shared" si="976"/>
        <v>-65853185.308717214</v>
      </c>
      <c r="S440">
        <f t="shared" si="977"/>
        <v>-658.53185308717218</v>
      </c>
      <c r="T440">
        <f t="shared" si="978"/>
        <v>-0.65853185308717221</v>
      </c>
    </row>
    <row r="441" spans="1:20" x14ac:dyDescent="0.25">
      <c r="A441" s="5">
        <v>44152</v>
      </c>
      <c r="B441">
        <v>0.13389999999999999</v>
      </c>
      <c r="C441">
        <v>0.14130000000000001</v>
      </c>
      <c r="D441">
        <v>0.1275</v>
      </c>
      <c r="E441">
        <v>0.1331</v>
      </c>
      <c r="F441">
        <v>6001103.1200000001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-0.18840579710145056</v>
      </c>
      <c r="Q441">
        <f t="shared" si="975"/>
        <v>-1130642.6168116019</v>
      </c>
      <c r="R441">
        <f t="shared" si="976"/>
        <v>-65735382.544000238</v>
      </c>
      <c r="S441">
        <f t="shared" si="977"/>
        <v>-657.35382544000242</v>
      </c>
      <c r="T441">
        <f t="shared" si="978"/>
        <v>-0.65735382544000243</v>
      </c>
    </row>
    <row r="442" spans="1:20" x14ac:dyDescent="0.25">
      <c r="A442" s="5">
        <v>44151</v>
      </c>
      <c r="B442">
        <v>0.12909999999999999</v>
      </c>
      <c r="C442">
        <v>0.14299999999999999</v>
      </c>
      <c r="D442">
        <v>0.1268</v>
      </c>
      <c r="E442">
        <v>0.13389999999999999</v>
      </c>
      <c r="F442">
        <v>4495230.08</v>
      </c>
      <c r="G442">
        <v>0</v>
      </c>
      <c r="L442" t="s">
        <v>7</v>
      </c>
      <c r="M442" t="s">
        <v>8</v>
      </c>
      <c r="N442" t="s">
        <v>8</v>
      </c>
      <c r="P442">
        <f t="shared" si="974"/>
        <v>-0.12345679012345696</v>
      </c>
      <c r="Q442">
        <f t="shared" si="975"/>
        <v>-554966.67654321063</v>
      </c>
      <c r="R442">
        <f t="shared" si="976"/>
        <v>-64604739.927188635</v>
      </c>
      <c r="S442">
        <f t="shared" si="977"/>
        <v>-646.04739927188632</v>
      </c>
      <c r="T442">
        <f t="shared" si="978"/>
        <v>-0.64604739927188637</v>
      </c>
    </row>
    <row r="443" spans="1:20" x14ac:dyDescent="0.25">
      <c r="A443" s="5">
        <v>44150</v>
      </c>
      <c r="B443">
        <v>0.12529999999999999</v>
      </c>
      <c r="C443">
        <v>0.1449</v>
      </c>
      <c r="D443">
        <v>0.12479999999999999</v>
      </c>
      <c r="E443">
        <v>0.12889999999999999</v>
      </c>
      <c r="F443">
        <v>6714581.0800000001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-0.59203980099502573</v>
      </c>
      <c r="Q443">
        <f t="shared" si="975"/>
        <v>-3975299.2463681651</v>
      </c>
      <c r="R443">
        <f t="shared" si="976"/>
        <v>-64049773.250645421</v>
      </c>
      <c r="S443">
        <f t="shared" si="977"/>
        <v>-640.49773250645421</v>
      </c>
      <c r="T443">
        <f t="shared" si="978"/>
        <v>-0.64049773250645425</v>
      </c>
    </row>
    <row r="444" spans="1:20" x14ac:dyDescent="0.25">
      <c r="A444" s="5">
        <v>44149</v>
      </c>
      <c r="B444">
        <v>0.12720000000000001</v>
      </c>
      <c r="C444">
        <v>0.1293</v>
      </c>
      <c r="D444">
        <v>0.1153</v>
      </c>
      <c r="E444">
        <v>0.12529999999999999</v>
      </c>
      <c r="F444">
        <v>2401502.61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0.42857142857142799</v>
      </c>
      <c r="Q444">
        <f t="shared" si="975"/>
        <v>1029215.4042857129</v>
      </c>
      <c r="R444">
        <f t="shared" si="976"/>
        <v>-60074474.004277259</v>
      </c>
      <c r="S444">
        <f t="shared" si="977"/>
        <v>-600.74474004277261</v>
      </c>
      <c r="T444">
        <f t="shared" si="978"/>
        <v>-0.60074474004277256</v>
      </c>
    </row>
    <row r="445" spans="1:20" x14ac:dyDescent="0.25">
      <c r="A445" s="5">
        <v>44148</v>
      </c>
      <c r="B445">
        <v>0.1147</v>
      </c>
      <c r="C445">
        <v>0.13109999999999999</v>
      </c>
      <c r="D445">
        <v>0.1139</v>
      </c>
      <c r="E445">
        <v>0.12709999999999999</v>
      </c>
      <c r="F445">
        <v>2503225.15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0.53488372093023195</v>
      </c>
      <c r="Q445">
        <f t="shared" si="975"/>
        <v>1338934.3825581379</v>
      </c>
      <c r="R445">
        <f t="shared" si="976"/>
        <v>-61103689.408562973</v>
      </c>
      <c r="S445">
        <f t="shared" si="977"/>
        <v>-611.03689408562968</v>
      </c>
      <c r="T445">
        <f t="shared" si="978"/>
        <v>-0.61103689408562967</v>
      </c>
    </row>
    <row r="446" spans="1:20" x14ac:dyDescent="0.25">
      <c r="A446" s="5">
        <v>44147</v>
      </c>
      <c r="B446">
        <v>0.12230000000000001</v>
      </c>
      <c r="C446">
        <v>0.12559999999999999</v>
      </c>
      <c r="D446">
        <v>0.112</v>
      </c>
      <c r="E446">
        <v>0.1147</v>
      </c>
      <c r="F446">
        <v>2710405.5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-0.60294117647058876</v>
      </c>
      <c r="Q446">
        <f t="shared" si="975"/>
        <v>-1634215.0808823544</v>
      </c>
      <c r="R446">
        <f t="shared" si="976"/>
        <v>-62442623.79112111</v>
      </c>
      <c r="S446">
        <f t="shared" si="977"/>
        <v>-624.42623791121105</v>
      </c>
      <c r="T446">
        <f t="shared" si="978"/>
        <v>-0.6244262379112111</v>
      </c>
    </row>
    <row r="447" spans="1:20" x14ac:dyDescent="0.25">
      <c r="A447" s="5">
        <v>44146</v>
      </c>
      <c r="B447">
        <v>0.1263</v>
      </c>
      <c r="C447">
        <v>0.1308</v>
      </c>
      <c r="D447">
        <v>0.1222</v>
      </c>
      <c r="E447">
        <v>0.12239999999999999</v>
      </c>
      <c r="F447">
        <v>2886792.32</v>
      </c>
      <c r="G447">
        <v>0</v>
      </c>
      <c r="L447" t="s">
        <v>7</v>
      </c>
      <c r="M447" t="s">
        <v>7</v>
      </c>
      <c r="N447" t="s">
        <v>8</v>
      </c>
      <c r="P447">
        <f t="shared" si="974"/>
        <v>-0.95348837209302517</v>
      </c>
      <c r="Q447">
        <f t="shared" si="975"/>
        <v>-2752522.909767447</v>
      </c>
      <c r="R447">
        <f t="shared" si="976"/>
        <v>-60808408.710238755</v>
      </c>
      <c r="S447">
        <f t="shared" si="977"/>
        <v>-608.08408710238757</v>
      </c>
      <c r="T447">
        <f t="shared" si="978"/>
        <v>-0.60808408710238759</v>
      </c>
    </row>
    <row r="448" spans="1:20" x14ac:dyDescent="0.25">
      <c r="A448" s="5">
        <v>44145</v>
      </c>
      <c r="B448">
        <v>0.127</v>
      </c>
      <c r="C448">
        <v>0.1363</v>
      </c>
      <c r="D448">
        <v>0.123</v>
      </c>
      <c r="E448">
        <v>0.12620000000000001</v>
      </c>
      <c r="F448">
        <v>5717208.9699999997</v>
      </c>
      <c r="G448">
        <v>0</v>
      </c>
      <c r="L448" t="s">
        <v>7</v>
      </c>
      <c r="M448" t="s">
        <v>7</v>
      </c>
      <c r="N448" t="s">
        <v>8</v>
      </c>
      <c r="P448">
        <f t="shared" si="974"/>
        <v>-0.51879699248120192</v>
      </c>
      <c r="Q448">
        <f t="shared" si="975"/>
        <v>-2966070.8190225502</v>
      </c>
      <c r="R448">
        <f t="shared" si="976"/>
        <v>-58055885.800471306</v>
      </c>
      <c r="S448">
        <f t="shared" si="977"/>
        <v>-580.5588580047131</v>
      </c>
      <c r="T448">
        <f t="shared" si="978"/>
        <v>-0.58055885800471307</v>
      </c>
    </row>
    <row r="449" spans="1:20" x14ac:dyDescent="0.25">
      <c r="A449" s="5">
        <v>44144</v>
      </c>
      <c r="B449">
        <v>0.1396</v>
      </c>
      <c r="C449">
        <v>0.15840000000000001</v>
      </c>
      <c r="D449">
        <v>0.12529999999999999</v>
      </c>
      <c r="E449">
        <v>0.127</v>
      </c>
      <c r="F449">
        <v>13698491.67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-0.89728096676737124</v>
      </c>
      <c r="Q449">
        <f t="shared" si="975"/>
        <v>-12291395.848912382</v>
      </c>
      <c r="R449">
        <f t="shared" si="976"/>
        <v>-55089814.981448755</v>
      </c>
      <c r="S449">
        <f t="shared" si="977"/>
        <v>-550.89814981448751</v>
      </c>
      <c r="T449">
        <f t="shared" si="978"/>
        <v>-0.55089814981448748</v>
      </c>
    </row>
    <row r="450" spans="1:20" x14ac:dyDescent="0.25">
      <c r="A450" s="5">
        <v>44143</v>
      </c>
      <c r="B450">
        <v>9.8299999999999998E-2</v>
      </c>
      <c r="C450">
        <v>0.14699999999999999</v>
      </c>
      <c r="D450">
        <v>9.6100000000000005E-2</v>
      </c>
      <c r="E450">
        <v>0.13930000000000001</v>
      </c>
      <c r="F450">
        <v>11779506.93</v>
      </c>
      <c r="G450">
        <v>0</v>
      </c>
      <c r="L450" t="s">
        <v>8</v>
      </c>
      <c r="M450" t="s">
        <v>8</v>
      </c>
      <c r="N450" t="s">
        <v>8</v>
      </c>
      <c r="P450">
        <f t="shared" si="974"/>
        <v>0.69744597249508888</v>
      </c>
      <c r="Q450">
        <f t="shared" si="975"/>
        <v>8215569.6663064891</v>
      </c>
      <c r="R450">
        <f t="shared" si="976"/>
        <v>-42798419.132536374</v>
      </c>
      <c r="S450">
        <f t="shared" si="977"/>
        <v>-427.98419132536372</v>
      </c>
      <c r="T450">
        <f t="shared" si="978"/>
        <v>-0.42798419132536375</v>
      </c>
    </row>
    <row r="451" spans="1:20" x14ac:dyDescent="0.25">
      <c r="A451" s="5">
        <v>44142</v>
      </c>
      <c r="B451">
        <v>0.112</v>
      </c>
      <c r="C451">
        <v>0.1135</v>
      </c>
      <c r="D451">
        <v>9.2700000000000005E-2</v>
      </c>
      <c r="E451">
        <v>9.8599999999999993E-2</v>
      </c>
      <c r="F451">
        <v>4524313.1500000004</v>
      </c>
      <c r="G451">
        <v>0</v>
      </c>
      <c r="L451" t="s">
        <v>7</v>
      </c>
      <c r="M451" t="s">
        <v>7</v>
      </c>
      <c r="N451" t="s">
        <v>8</v>
      </c>
      <c r="P451">
        <f t="shared" si="974"/>
        <v>-0.43269230769230876</v>
      </c>
      <c r="Q451">
        <f t="shared" si="975"/>
        <v>-1957635.4975961589</v>
      </c>
      <c r="R451">
        <f t="shared" si="976"/>
        <v>-51013988.798842862</v>
      </c>
      <c r="S451">
        <f t="shared" si="977"/>
        <v>-510.1398879884286</v>
      </c>
      <c r="T451">
        <f t="shared" si="978"/>
        <v>-0.51013988798842858</v>
      </c>
    </row>
    <row r="452" spans="1:20" x14ac:dyDescent="0.25">
      <c r="A452" s="5">
        <v>44141</v>
      </c>
      <c r="B452">
        <v>0.10009999999999999</v>
      </c>
      <c r="C452">
        <v>0.12</v>
      </c>
      <c r="D452">
        <v>9.8000000000000004E-2</v>
      </c>
      <c r="E452">
        <v>0.112</v>
      </c>
      <c r="F452">
        <v>5553667.9000000004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0.2727272727272731</v>
      </c>
      <c r="Q452">
        <f t="shared" si="975"/>
        <v>1514636.700000002</v>
      </c>
      <c r="R452">
        <f t="shared" si="976"/>
        <v>-49056353.301246703</v>
      </c>
      <c r="S452">
        <f t="shared" si="977"/>
        <v>-490.56353301246702</v>
      </c>
      <c r="T452">
        <f t="shared" si="978"/>
        <v>-0.49056353301246702</v>
      </c>
    </row>
    <row r="453" spans="1:20" x14ac:dyDescent="0.25">
      <c r="A453" s="5">
        <v>44140</v>
      </c>
      <c r="B453">
        <v>0.1019</v>
      </c>
      <c r="C453">
        <v>0.10489999999999999</v>
      </c>
      <c r="D453">
        <v>9.35E-2</v>
      </c>
      <c r="E453">
        <v>0.1004</v>
      </c>
      <c r="F453">
        <v>4683706.78</v>
      </c>
      <c r="G453">
        <v>0</v>
      </c>
      <c r="L453" t="s">
        <v>7</v>
      </c>
      <c r="M453" t="s">
        <v>7</v>
      </c>
      <c r="N453" t="s">
        <v>8</v>
      </c>
      <c r="P453">
        <f t="shared" si="974"/>
        <v>0.21052631578947498</v>
      </c>
      <c r="Q453">
        <f t="shared" si="975"/>
        <v>986043.53263158503</v>
      </c>
      <c r="R453">
        <f t="shared" si="976"/>
        <v>-50570990.001246706</v>
      </c>
      <c r="S453">
        <f t="shared" si="977"/>
        <v>-505.70990001246707</v>
      </c>
      <c r="T453">
        <f t="shared" si="978"/>
        <v>-0.50570990001246707</v>
      </c>
    </row>
    <row r="454" spans="1:20" x14ac:dyDescent="0.25">
      <c r="A454" s="5">
        <v>44139</v>
      </c>
      <c r="B454">
        <v>0.10979999999999999</v>
      </c>
      <c r="C454">
        <v>0.1275</v>
      </c>
      <c r="D454">
        <v>9.9099999999999994E-2</v>
      </c>
      <c r="E454">
        <v>0.1019</v>
      </c>
      <c r="F454">
        <v>8767803.9800000004</v>
      </c>
      <c r="G454">
        <v>0</v>
      </c>
      <c r="L454" t="s">
        <v>8</v>
      </c>
      <c r="M454" t="s">
        <v>8</v>
      </c>
      <c r="N454" t="s">
        <v>8</v>
      </c>
      <c r="P454">
        <f t="shared" ref="P454:P517" si="979">IF(C454=D454,0,((E454-D454)-(C454-E454))/(C454-D454))</f>
        <v>-0.80281690140844997</v>
      </c>
      <c r="Q454">
        <f t="shared" ref="Q454:Q517" si="980">F454*P454</f>
        <v>-7038941.223380276</v>
      </c>
      <c r="R454">
        <f t="shared" ref="R454:R517" si="981">R455+Q454</f>
        <v>-51557033.533878289</v>
      </c>
      <c r="S454">
        <f t="shared" ref="S454:S517" si="982">R454/100000</f>
        <v>-515.57033533878291</v>
      </c>
      <c r="T454">
        <f t="shared" ref="T454:T517" si="983">S454/1000</f>
        <v>-0.51557033533878294</v>
      </c>
    </row>
    <row r="455" spans="1:20" x14ac:dyDescent="0.25">
      <c r="A455" s="5">
        <v>44138</v>
      </c>
      <c r="B455">
        <v>8.8599999999999998E-2</v>
      </c>
      <c r="C455">
        <v>0.11600000000000001</v>
      </c>
      <c r="D455">
        <v>8.1000000000000003E-2</v>
      </c>
      <c r="E455">
        <v>0.10979999999999999</v>
      </c>
      <c r="F455">
        <v>5265382.3</v>
      </c>
      <c r="G455">
        <v>0</v>
      </c>
      <c r="L455" t="s">
        <v>7</v>
      </c>
      <c r="M455" t="s">
        <v>7</v>
      </c>
      <c r="N455" t="s">
        <v>8</v>
      </c>
      <c r="P455">
        <f t="shared" si="979"/>
        <v>0.64571428571428513</v>
      </c>
      <c r="Q455">
        <f t="shared" si="980"/>
        <v>3399932.5708571398</v>
      </c>
      <c r="R455">
        <f t="shared" si="981"/>
        <v>-44518092.310498014</v>
      </c>
      <c r="S455">
        <f t="shared" si="982"/>
        <v>-445.18092310498014</v>
      </c>
      <c r="T455">
        <f t="shared" si="983"/>
        <v>-0.44518092310498014</v>
      </c>
    </row>
    <row r="456" spans="1:20" x14ac:dyDescent="0.25">
      <c r="A456" s="5">
        <v>44137</v>
      </c>
      <c r="B456">
        <v>9.4200000000000006E-2</v>
      </c>
      <c r="C456">
        <v>9.7100000000000006E-2</v>
      </c>
      <c r="D456">
        <v>8.6499999999999994E-2</v>
      </c>
      <c r="E456">
        <v>8.8599999999999998E-2</v>
      </c>
      <c r="F456">
        <v>1153734.29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-0.60377358490565991</v>
      </c>
      <c r="Q456">
        <f t="shared" si="980"/>
        <v>-696594.28830188629</v>
      </c>
      <c r="R456">
        <f t="shared" si="981"/>
        <v>-47918024.881355152</v>
      </c>
      <c r="S456">
        <f t="shared" si="982"/>
        <v>-479.18024881355154</v>
      </c>
      <c r="T456">
        <f t="shared" si="983"/>
        <v>-0.47918024881355153</v>
      </c>
    </row>
    <row r="457" spans="1:20" x14ac:dyDescent="0.25">
      <c r="A457" s="5">
        <v>44136</v>
      </c>
      <c r="B457">
        <v>9.7000000000000003E-2</v>
      </c>
      <c r="C457">
        <v>9.7699999999999995E-2</v>
      </c>
      <c r="D457">
        <v>9.2999999999999999E-2</v>
      </c>
      <c r="E457">
        <v>9.3899999999999997E-2</v>
      </c>
      <c r="F457">
        <v>1029819.61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-0.61702127659574524</v>
      </c>
      <c r="Q457">
        <f t="shared" si="980"/>
        <v>-635420.61042553245</v>
      </c>
      <c r="R457">
        <f t="shared" si="981"/>
        <v>-47221430.593053266</v>
      </c>
      <c r="S457">
        <f t="shared" si="982"/>
        <v>-472.21430593053265</v>
      </c>
      <c r="T457">
        <f t="shared" si="983"/>
        <v>-0.47221430593053265</v>
      </c>
    </row>
    <row r="458" spans="1:20" x14ac:dyDescent="0.25">
      <c r="A458" s="5">
        <v>44135</v>
      </c>
      <c r="B458">
        <v>8.9200000000000002E-2</v>
      </c>
      <c r="C458">
        <v>9.9699999999999997E-2</v>
      </c>
      <c r="D458">
        <v>8.8099999999999998E-2</v>
      </c>
      <c r="E458">
        <v>9.69E-2</v>
      </c>
      <c r="F458">
        <v>2031094.12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0.51724137931034531</v>
      </c>
      <c r="Q458">
        <f t="shared" si="980"/>
        <v>1050565.924137932</v>
      </c>
      <c r="R458">
        <f t="shared" si="981"/>
        <v>-46586009.982627735</v>
      </c>
      <c r="S458">
        <f t="shared" si="982"/>
        <v>-465.86009982627735</v>
      </c>
      <c r="T458">
        <f t="shared" si="983"/>
        <v>-0.46586009982627735</v>
      </c>
    </row>
    <row r="459" spans="1:20" x14ac:dyDescent="0.25">
      <c r="A459" s="5">
        <v>44134</v>
      </c>
      <c r="B459">
        <v>9.6000000000000002E-2</v>
      </c>
      <c r="C459">
        <v>9.6000000000000002E-2</v>
      </c>
      <c r="D459">
        <v>8.6599999999999996E-2</v>
      </c>
      <c r="E459">
        <v>8.9300000000000004E-2</v>
      </c>
      <c r="F459">
        <v>1965573.82</v>
      </c>
      <c r="G459">
        <v>0</v>
      </c>
      <c r="L459" t="s">
        <v>8</v>
      </c>
      <c r="M459" t="s">
        <v>7</v>
      </c>
      <c r="N459" t="s">
        <v>7</v>
      </c>
      <c r="P459">
        <f t="shared" si="979"/>
        <v>-0.42553191489361569</v>
      </c>
      <c r="Q459">
        <f t="shared" si="980"/>
        <v>-836414.39148935908</v>
      </c>
      <c r="R459">
        <f t="shared" si="981"/>
        <v>-47636575.90676567</v>
      </c>
      <c r="S459">
        <f t="shared" si="982"/>
        <v>-476.36575906765671</v>
      </c>
      <c r="T459">
        <f t="shared" si="983"/>
        <v>-0.47636575906765671</v>
      </c>
    </row>
    <row r="460" spans="1:20" x14ac:dyDescent="0.25">
      <c r="A460" s="5">
        <v>44133</v>
      </c>
      <c r="B460">
        <v>8.7499999999999994E-2</v>
      </c>
      <c r="C460">
        <v>0.10539999999999999</v>
      </c>
      <c r="D460">
        <v>8.3099999999999993E-2</v>
      </c>
      <c r="E460">
        <v>9.6000000000000002E-2</v>
      </c>
      <c r="F460">
        <v>3158287.02</v>
      </c>
      <c r="G460">
        <v>0</v>
      </c>
      <c r="L460" t="s">
        <v>7</v>
      </c>
      <c r="M460" t="s">
        <v>8</v>
      </c>
      <c r="N460" t="s">
        <v>7</v>
      </c>
      <c r="P460">
        <f t="shared" si="979"/>
        <v>0.15695067264574067</v>
      </c>
      <c r="Q460">
        <f t="shared" si="980"/>
        <v>495695.2721973118</v>
      </c>
      <c r="R460">
        <f t="shared" si="981"/>
        <v>-46800161.515276313</v>
      </c>
      <c r="S460">
        <f t="shared" si="982"/>
        <v>-468.00161515276312</v>
      </c>
      <c r="T460">
        <f t="shared" si="983"/>
        <v>-0.46800161515276312</v>
      </c>
    </row>
    <row r="461" spans="1:20" x14ac:dyDescent="0.25">
      <c r="A461" s="5">
        <v>44132</v>
      </c>
      <c r="B461">
        <v>0.1002</v>
      </c>
      <c r="C461">
        <v>0.1018</v>
      </c>
      <c r="D461">
        <v>8.5699999999999998E-2</v>
      </c>
      <c r="E461">
        <v>8.7499999999999994E-2</v>
      </c>
      <c r="F461">
        <v>2146378.7200000002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-0.77639751552795089</v>
      </c>
      <c r="Q461">
        <f t="shared" si="980"/>
        <v>-1666443.1055900636</v>
      </c>
      <c r="R461">
        <f t="shared" si="981"/>
        <v>-47295856.787473626</v>
      </c>
      <c r="S461">
        <f t="shared" si="982"/>
        <v>-472.95856787473627</v>
      </c>
      <c r="T461">
        <f t="shared" si="983"/>
        <v>-0.47295856787473628</v>
      </c>
    </row>
    <row r="462" spans="1:20" x14ac:dyDescent="0.25">
      <c r="A462" s="5">
        <v>44131</v>
      </c>
      <c r="B462">
        <v>0.1043</v>
      </c>
      <c r="C462">
        <v>0.1043</v>
      </c>
      <c r="D462">
        <v>9.8000000000000004E-2</v>
      </c>
      <c r="E462">
        <v>0.1002</v>
      </c>
      <c r="F462">
        <v>1802064.39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-0.30158730158730362</v>
      </c>
      <c r="Q462">
        <f t="shared" si="980"/>
        <v>-543479.7366666703</v>
      </c>
      <c r="R462">
        <f t="shared" si="981"/>
        <v>-45629413.681883566</v>
      </c>
      <c r="S462">
        <f t="shared" si="982"/>
        <v>-456.29413681883568</v>
      </c>
      <c r="T462">
        <f t="shared" si="983"/>
        <v>-0.45629413681883568</v>
      </c>
    </row>
    <row r="463" spans="1:20" x14ac:dyDescent="0.25">
      <c r="A463" s="5">
        <v>44130</v>
      </c>
      <c r="B463">
        <v>9.8900000000000002E-2</v>
      </c>
      <c r="C463">
        <v>0.11</v>
      </c>
      <c r="D463">
        <v>9.2399999999999996E-2</v>
      </c>
      <c r="E463">
        <v>0.10489999999999999</v>
      </c>
      <c r="F463">
        <v>5151326.63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0.42045454545454475</v>
      </c>
      <c r="Q463">
        <f t="shared" si="980"/>
        <v>2165898.6967045418</v>
      </c>
      <c r="R463">
        <f t="shared" si="981"/>
        <v>-45085933.945216894</v>
      </c>
      <c r="S463">
        <f t="shared" si="982"/>
        <v>-450.85933945216897</v>
      </c>
      <c r="T463">
        <f t="shared" si="983"/>
        <v>-0.45085933945216899</v>
      </c>
    </row>
    <row r="464" spans="1:20" x14ac:dyDescent="0.25">
      <c r="A464" s="5">
        <v>44129</v>
      </c>
      <c r="B464">
        <v>0.1037</v>
      </c>
      <c r="C464">
        <v>0.1075</v>
      </c>
      <c r="D464">
        <v>9.4500000000000001E-2</v>
      </c>
      <c r="E464">
        <v>9.8500000000000004E-2</v>
      </c>
      <c r="F464">
        <v>2953440.39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-0.38461538461538397</v>
      </c>
      <c r="Q464">
        <f t="shared" si="980"/>
        <v>-1135938.6115384598</v>
      </c>
      <c r="R464">
        <f t="shared" si="981"/>
        <v>-47251832.641921438</v>
      </c>
      <c r="S464">
        <f t="shared" si="982"/>
        <v>-472.51832641921436</v>
      </c>
      <c r="T464">
        <f t="shared" si="983"/>
        <v>-0.47251832641921437</v>
      </c>
    </row>
    <row r="465" spans="1:20" x14ac:dyDescent="0.25">
      <c r="A465" s="5">
        <v>44128</v>
      </c>
      <c r="B465">
        <v>0.10050000000000001</v>
      </c>
      <c r="C465">
        <v>0.1067</v>
      </c>
      <c r="D465">
        <v>9.6600000000000005E-2</v>
      </c>
      <c r="E465">
        <v>0.1037</v>
      </c>
      <c r="F465">
        <v>3445743.96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0.4059405940594053</v>
      </c>
      <c r="Q465">
        <f t="shared" si="980"/>
        <v>1398767.3500990076</v>
      </c>
      <c r="R465">
        <f t="shared" si="981"/>
        <v>-46115894.030382976</v>
      </c>
      <c r="S465">
        <f t="shared" si="982"/>
        <v>-461.15894030382975</v>
      </c>
      <c r="T465">
        <f t="shared" si="983"/>
        <v>-0.46115894030382976</v>
      </c>
    </row>
    <row r="466" spans="1:20" x14ac:dyDescent="0.25">
      <c r="A466" s="5">
        <v>44127</v>
      </c>
      <c r="B466">
        <v>0.1139</v>
      </c>
      <c r="C466">
        <v>0.1143</v>
      </c>
      <c r="D466">
        <v>9.9599999999999994E-2</v>
      </c>
      <c r="E466">
        <v>0.1009</v>
      </c>
      <c r="F466">
        <v>4404890.95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-0.82312925170067908</v>
      </c>
      <c r="Q466">
        <f t="shared" si="980"/>
        <v>-3625794.5914965933</v>
      </c>
      <c r="R466">
        <f t="shared" si="981"/>
        <v>-47514661.380481981</v>
      </c>
      <c r="S466">
        <f t="shared" si="982"/>
        <v>-475.14661380481982</v>
      </c>
      <c r="T466">
        <f t="shared" si="983"/>
        <v>-0.47514661380481982</v>
      </c>
    </row>
    <row r="467" spans="1:20" x14ac:dyDescent="0.25">
      <c r="A467" s="5">
        <v>44126</v>
      </c>
      <c r="B467">
        <v>0.11409999999999999</v>
      </c>
      <c r="C467">
        <v>0.123</v>
      </c>
      <c r="D467">
        <v>0.1139</v>
      </c>
      <c r="E467">
        <v>0.1143</v>
      </c>
      <c r="F467">
        <v>1621472.1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-0.91208791208791262</v>
      </c>
      <c r="Q467">
        <f t="shared" si="980"/>
        <v>-1478925.1021978031</v>
      </c>
      <c r="R467">
        <f t="shared" si="981"/>
        <v>-43888866.788985386</v>
      </c>
      <c r="S467">
        <f t="shared" si="982"/>
        <v>-438.88866788985388</v>
      </c>
      <c r="T467">
        <f t="shared" si="983"/>
        <v>-0.43888866788985387</v>
      </c>
    </row>
    <row r="468" spans="1:20" x14ac:dyDescent="0.25">
      <c r="A468" s="5">
        <v>44125</v>
      </c>
      <c r="B468">
        <v>0.10829999999999999</v>
      </c>
      <c r="C468">
        <v>0.11840000000000001</v>
      </c>
      <c r="D468">
        <v>0.10199999999999999</v>
      </c>
      <c r="E468">
        <v>0.1137</v>
      </c>
      <c r="F468">
        <v>3625859.09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0.42682926829268214</v>
      </c>
      <c r="Q468">
        <f t="shared" si="980"/>
        <v>1547622.7823170703</v>
      </c>
      <c r="R468">
        <f t="shared" si="981"/>
        <v>-42409941.686787583</v>
      </c>
      <c r="S468">
        <f t="shared" si="982"/>
        <v>-424.09941686787585</v>
      </c>
      <c r="T468">
        <f t="shared" si="983"/>
        <v>-0.42409941686787583</v>
      </c>
    </row>
    <row r="469" spans="1:20" x14ac:dyDescent="0.25">
      <c r="A469" s="5">
        <v>44124</v>
      </c>
      <c r="B469">
        <v>0.12379999999999999</v>
      </c>
      <c r="C469">
        <v>0.1241</v>
      </c>
      <c r="D469">
        <v>0.106</v>
      </c>
      <c r="E469">
        <v>0.1081</v>
      </c>
      <c r="F469">
        <v>2847371.05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-0.76795580110497197</v>
      </c>
      <c r="Q469">
        <f t="shared" si="980"/>
        <v>-2186655.115745855</v>
      </c>
      <c r="R469">
        <f t="shared" si="981"/>
        <v>-43957564.469104655</v>
      </c>
      <c r="S469">
        <f t="shared" si="982"/>
        <v>-439.57564469104653</v>
      </c>
      <c r="T469">
        <f t="shared" si="983"/>
        <v>-0.43957564469104654</v>
      </c>
    </row>
    <row r="470" spans="1:20" x14ac:dyDescent="0.25">
      <c r="A470" s="5">
        <v>44123</v>
      </c>
      <c r="B470">
        <v>0.12989999999999999</v>
      </c>
      <c r="C470">
        <v>0.1305</v>
      </c>
      <c r="D470">
        <v>0.12</v>
      </c>
      <c r="E470">
        <v>0.1237</v>
      </c>
      <c r="F470">
        <v>2211487.44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-0.29523809523809419</v>
      </c>
      <c r="Q470">
        <f t="shared" si="980"/>
        <v>-652915.33942856907</v>
      </c>
      <c r="R470">
        <f t="shared" si="981"/>
        <v>-41770909.353358798</v>
      </c>
      <c r="S470">
        <f t="shared" si="982"/>
        <v>-417.70909353358797</v>
      </c>
      <c r="T470">
        <f t="shared" si="983"/>
        <v>-0.41770909353358798</v>
      </c>
    </row>
    <row r="471" spans="1:20" x14ac:dyDescent="0.25">
      <c r="A471" s="5">
        <v>44122</v>
      </c>
      <c r="B471">
        <v>0.12509999999999999</v>
      </c>
      <c r="C471">
        <v>0.13109999999999999</v>
      </c>
      <c r="D471">
        <v>0.12479999999999999</v>
      </c>
      <c r="E471">
        <v>0.129</v>
      </c>
      <c r="F471">
        <v>914665.09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0.33333333333333626</v>
      </c>
      <c r="Q471">
        <f t="shared" si="980"/>
        <v>304888.36333333602</v>
      </c>
      <c r="R471">
        <f t="shared" si="981"/>
        <v>-41117994.013930231</v>
      </c>
      <c r="S471">
        <f t="shared" si="982"/>
        <v>-411.17994013930229</v>
      </c>
      <c r="T471">
        <f t="shared" si="983"/>
        <v>-0.41117994013930231</v>
      </c>
    </row>
    <row r="472" spans="1:20" x14ac:dyDescent="0.25">
      <c r="A472" s="5">
        <v>44121</v>
      </c>
      <c r="B472">
        <v>0.121</v>
      </c>
      <c r="C472">
        <v>0.128</v>
      </c>
      <c r="D472">
        <v>0.1201</v>
      </c>
      <c r="E472">
        <v>0.125</v>
      </c>
      <c r="F472">
        <v>689049.82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0.24050632911392378</v>
      </c>
      <c r="Q472">
        <f t="shared" si="980"/>
        <v>165720.84278480994</v>
      </c>
      <c r="R472">
        <f t="shared" si="981"/>
        <v>-41422882.377263568</v>
      </c>
      <c r="S472">
        <f t="shared" si="982"/>
        <v>-414.22882377263568</v>
      </c>
      <c r="T472">
        <f t="shared" si="983"/>
        <v>-0.4142288237726357</v>
      </c>
    </row>
    <row r="473" spans="1:20" x14ac:dyDescent="0.25">
      <c r="A473" s="5">
        <v>44120</v>
      </c>
      <c r="B473">
        <v>0.13739999999999999</v>
      </c>
      <c r="C473">
        <v>0.13869999999999999</v>
      </c>
      <c r="D473">
        <v>0.1202</v>
      </c>
      <c r="E473">
        <v>0.1211</v>
      </c>
      <c r="F473">
        <v>2175479.3199999998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-0.90270270270270281</v>
      </c>
      <c r="Q473">
        <f t="shared" si="980"/>
        <v>-1963811.061837838</v>
      </c>
      <c r="R473">
        <f t="shared" si="981"/>
        <v>-41588603.220048375</v>
      </c>
      <c r="S473">
        <f t="shared" si="982"/>
        <v>-415.88603220048378</v>
      </c>
      <c r="T473">
        <f t="shared" si="983"/>
        <v>-0.41588603220048376</v>
      </c>
    </row>
    <row r="474" spans="1:20" x14ac:dyDescent="0.25">
      <c r="A474" s="5">
        <v>44119</v>
      </c>
      <c r="B474">
        <v>0.1278</v>
      </c>
      <c r="C474">
        <v>0.14630000000000001</v>
      </c>
      <c r="D474">
        <v>0.12280000000000001</v>
      </c>
      <c r="E474">
        <v>0.13739999999999999</v>
      </c>
      <c r="F474">
        <v>4093847.89</v>
      </c>
      <c r="G474">
        <v>0</v>
      </c>
      <c r="L474" t="s">
        <v>8</v>
      </c>
      <c r="M474" t="s">
        <v>8</v>
      </c>
      <c r="N474" t="s">
        <v>7</v>
      </c>
      <c r="P474">
        <f t="shared" si="979"/>
        <v>0.2425531914893603</v>
      </c>
      <c r="Q474">
        <f t="shared" si="980"/>
        <v>992975.87119148369</v>
      </c>
      <c r="R474">
        <f t="shared" si="981"/>
        <v>-39624792.158210538</v>
      </c>
      <c r="S474">
        <f t="shared" si="982"/>
        <v>-396.24792158210539</v>
      </c>
      <c r="T474">
        <f t="shared" si="983"/>
        <v>-0.39624792158210537</v>
      </c>
    </row>
    <row r="475" spans="1:20" x14ac:dyDescent="0.25">
      <c r="A475" s="5">
        <v>44118</v>
      </c>
      <c r="B475">
        <v>0.13689999999999999</v>
      </c>
      <c r="C475">
        <v>0.13789999999999999</v>
      </c>
      <c r="D475">
        <v>0.1222</v>
      </c>
      <c r="E475">
        <v>0.12809999999999999</v>
      </c>
      <c r="F475">
        <v>1444235.98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-0.24840764331210297</v>
      </c>
      <c r="Q475">
        <f t="shared" si="980"/>
        <v>-358759.25617834547</v>
      </c>
      <c r="R475">
        <f t="shared" si="981"/>
        <v>-40617768.029402025</v>
      </c>
      <c r="S475">
        <f t="shared" si="982"/>
        <v>-406.17768029402026</v>
      </c>
      <c r="T475">
        <f t="shared" si="983"/>
        <v>-0.40617768029402024</v>
      </c>
    </row>
    <row r="476" spans="1:20" x14ac:dyDescent="0.25">
      <c r="A476" s="5">
        <v>44117</v>
      </c>
      <c r="B476">
        <v>0.13619999999999999</v>
      </c>
      <c r="C476">
        <v>0.1419</v>
      </c>
      <c r="D476">
        <v>0.1331</v>
      </c>
      <c r="E476">
        <v>0.13689999999999999</v>
      </c>
      <c r="F476">
        <v>967131.14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-0.13636363636363708</v>
      </c>
      <c r="Q476">
        <f t="shared" si="980"/>
        <v>-131881.51909090977</v>
      </c>
      <c r="R476">
        <f t="shared" si="981"/>
        <v>-40259008.773223683</v>
      </c>
      <c r="S476">
        <f t="shared" si="982"/>
        <v>-402.59008773223684</v>
      </c>
      <c r="T476">
        <f t="shared" si="983"/>
        <v>-0.40259008773223681</v>
      </c>
    </row>
    <row r="477" spans="1:20" x14ac:dyDescent="0.25">
      <c r="A477" s="5">
        <v>44116</v>
      </c>
      <c r="B477">
        <v>0.13550000000000001</v>
      </c>
      <c r="C477">
        <v>0.13980000000000001</v>
      </c>
      <c r="D477">
        <v>0.13100000000000001</v>
      </c>
      <c r="E477">
        <v>0.13689999999999999</v>
      </c>
      <c r="F477">
        <v>1045119.55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0.340909090909088</v>
      </c>
      <c r="Q477">
        <f t="shared" si="980"/>
        <v>356290.75568181515</v>
      </c>
      <c r="R477">
        <f t="shared" si="981"/>
        <v>-40127127.25413277</v>
      </c>
      <c r="S477">
        <f t="shared" si="982"/>
        <v>-401.27127254132768</v>
      </c>
      <c r="T477">
        <f t="shared" si="983"/>
        <v>-0.40127127254132766</v>
      </c>
    </row>
    <row r="478" spans="1:20" x14ac:dyDescent="0.25">
      <c r="A478" s="5">
        <v>44115</v>
      </c>
      <c r="B478">
        <v>0.1343</v>
      </c>
      <c r="C478">
        <v>0.1416</v>
      </c>
      <c r="D478">
        <v>0.13109999999999999</v>
      </c>
      <c r="E478">
        <v>0.1358</v>
      </c>
      <c r="F478">
        <v>1092080.6499999999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-0.10476190476190371</v>
      </c>
      <c r="Q478">
        <f t="shared" si="980"/>
        <v>-114408.44904761789</v>
      </c>
      <c r="R478">
        <f t="shared" si="981"/>
        <v>-40483418.009814583</v>
      </c>
      <c r="S478">
        <f t="shared" si="982"/>
        <v>-404.83418009814585</v>
      </c>
      <c r="T478">
        <f t="shared" si="983"/>
        <v>-0.40483418009814587</v>
      </c>
    </row>
    <row r="479" spans="1:20" x14ac:dyDescent="0.25">
      <c r="A479" s="5">
        <v>44114</v>
      </c>
      <c r="B479">
        <v>0.12939999999999999</v>
      </c>
      <c r="C479">
        <v>0.14199999999999999</v>
      </c>
      <c r="D479">
        <v>0.12859999999999999</v>
      </c>
      <c r="E479">
        <v>0.1341</v>
      </c>
      <c r="F479">
        <v>1021217.9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-0.17910447761193929</v>
      </c>
      <c r="Q479">
        <f t="shared" si="980"/>
        <v>-182904.69850746167</v>
      </c>
      <c r="R479">
        <f t="shared" si="981"/>
        <v>-40369009.560766965</v>
      </c>
      <c r="S479">
        <f t="shared" si="982"/>
        <v>-403.69009560766966</v>
      </c>
      <c r="T479">
        <f t="shared" si="983"/>
        <v>-0.40369009560766966</v>
      </c>
    </row>
    <row r="480" spans="1:20" x14ac:dyDescent="0.25">
      <c r="A480" s="5">
        <v>44113</v>
      </c>
      <c r="B480">
        <v>0.12470000000000001</v>
      </c>
      <c r="C480">
        <v>0.13500000000000001</v>
      </c>
      <c r="D480">
        <v>0.123</v>
      </c>
      <c r="E480">
        <v>0.12920000000000001</v>
      </c>
      <c r="F480">
        <v>1524006.85</v>
      </c>
      <c r="G480">
        <v>0</v>
      </c>
      <c r="L480" t="s">
        <v>7</v>
      </c>
      <c r="M480" t="s">
        <v>8</v>
      </c>
      <c r="N480" t="s">
        <v>7</v>
      </c>
      <c r="P480">
        <f t="shared" si="979"/>
        <v>3.3333333333334256E-2</v>
      </c>
      <c r="Q480">
        <f t="shared" si="980"/>
        <v>50800.228333334744</v>
      </c>
      <c r="R480">
        <f t="shared" si="981"/>
        <v>-40186104.862259507</v>
      </c>
      <c r="S480">
        <f t="shared" si="982"/>
        <v>-401.86104862259509</v>
      </c>
      <c r="T480">
        <f t="shared" si="983"/>
        <v>-0.40186104862259509</v>
      </c>
    </row>
    <row r="481" spans="1:20" x14ac:dyDescent="0.25">
      <c r="A481" s="5">
        <v>44112</v>
      </c>
      <c r="B481">
        <v>0.13220000000000001</v>
      </c>
      <c r="C481">
        <v>0.14000000000000001</v>
      </c>
      <c r="D481">
        <v>0.111</v>
      </c>
      <c r="E481">
        <v>0.12470000000000001</v>
      </c>
      <c r="F481">
        <v>2732928.65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-5.5172413793103572E-2</v>
      </c>
      <c r="Q481">
        <f t="shared" si="980"/>
        <v>-150782.27034482791</v>
      </c>
      <c r="R481">
        <f t="shared" si="981"/>
        <v>-40236905.090592839</v>
      </c>
      <c r="S481">
        <f t="shared" si="982"/>
        <v>-402.36905090592836</v>
      </c>
      <c r="T481">
        <f t="shared" si="983"/>
        <v>-0.40236905090592834</v>
      </c>
    </row>
    <row r="482" spans="1:20" x14ac:dyDescent="0.25">
      <c r="A482" s="5">
        <v>44111</v>
      </c>
      <c r="B482">
        <v>0.11169999999999999</v>
      </c>
      <c r="C482">
        <v>0.14949999999999999</v>
      </c>
      <c r="D482">
        <v>0.107</v>
      </c>
      <c r="E482">
        <v>0.1326</v>
      </c>
      <c r="F482">
        <v>4024146.52</v>
      </c>
      <c r="G482">
        <v>0</v>
      </c>
      <c r="L482" t="s">
        <v>7</v>
      </c>
      <c r="M482" t="s">
        <v>8</v>
      </c>
      <c r="N482" t="s">
        <v>8</v>
      </c>
      <c r="P482">
        <f t="shared" si="979"/>
        <v>0.20470588235294118</v>
      </c>
      <c r="Q482">
        <f t="shared" si="980"/>
        <v>823766.46409411763</v>
      </c>
      <c r="R482">
        <f t="shared" si="981"/>
        <v>-40086122.820248008</v>
      </c>
      <c r="S482">
        <f t="shared" si="982"/>
        <v>-400.86122820248011</v>
      </c>
      <c r="T482">
        <f t="shared" si="983"/>
        <v>-0.4008612282024801</v>
      </c>
    </row>
    <row r="483" spans="1:20" x14ac:dyDescent="0.25">
      <c r="A483" s="5">
        <v>44110</v>
      </c>
      <c r="B483">
        <v>0.1321</v>
      </c>
      <c r="C483">
        <v>0.1341</v>
      </c>
      <c r="D483">
        <v>0.111</v>
      </c>
      <c r="E483">
        <v>0.11169999999999999</v>
      </c>
      <c r="F483">
        <v>2613930.84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-0.93939393939394</v>
      </c>
      <c r="Q483">
        <f t="shared" si="980"/>
        <v>-2455510.7890909105</v>
      </c>
      <c r="R483">
        <f t="shared" si="981"/>
        <v>-40909889.284342125</v>
      </c>
      <c r="S483">
        <f t="shared" si="982"/>
        <v>-409.09889284342125</v>
      </c>
      <c r="T483">
        <f t="shared" si="983"/>
        <v>-0.40909889284342127</v>
      </c>
    </row>
    <row r="484" spans="1:20" x14ac:dyDescent="0.25">
      <c r="A484" s="5">
        <v>44109</v>
      </c>
      <c r="B484">
        <v>0.13969999999999999</v>
      </c>
      <c r="C484">
        <v>0.1489</v>
      </c>
      <c r="D484">
        <v>0.12809999999999999</v>
      </c>
      <c r="E484">
        <v>0.1323</v>
      </c>
      <c r="F484">
        <v>4266843.6900000004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-0.59615384615384548</v>
      </c>
      <c r="Q484">
        <f t="shared" si="980"/>
        <v>-2543695.2767307665</v>
      </c>
      <c r="R484">
        <f t="shared" si="981"/>
        <v>-38454378.495251216</v>
      </c>
      <c r="S484">
        <f t="shared" si="982"/>
        <v>-384.54378495251217</v>
      </c>
      <c r="T484">
        <f t="shared" si="983"/>
        <v>-0.38454378495251218</v>
      </c>
    </row>
    <row r="485" spans="1:20" x14ac:dyDescent="0.25">
      <c r="A485" s="5">
        <v>44108</v>
      </c>
      <c r="B485">
        <v>0.13800000000000001</v>
      </c>
      <c r="C485">
        <v>0.1482</v>
      </c>
      <c r="D485">
        <v>0.13300000000000001</v>
      </c>
      <c r="E485">
        <v>0.13969999999999999</v>
      </c>
      <c r="F485">
        <v>5400289.9500000002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-0.11842105263158058</v>
      </c>
      <c r="Q485">
        <f t="shared" si="980"/>
        <v>-639508.02039474563</v>
      </c>
      <c r="R485">
        <f t="shared" si="981"/>
        <v>-35910683.218520448</v>
      </c>
      <c r="S485">
        <f t="shared" si="982"/>
        <v>-359.1068321852045</v>
      </c>
      <c r="T485">
        <f t="shared" si="983"/>
        <v>-0.35910683218520451</v>
      </c>
    </row>
    <row r="486" spans="1:20" x14ac:dyDescent="0.25">
      <c r="A486" s="5">
        <v>44107</v>
      </c>
      <c r="B486">
        <v>0.17100000000000001</v>
      </c>
      <c r="C486">
        <v>0.17960000000000001</v>
      </c>
      <c r="D486">
        <v>0.13780000000000001</v>
      </c>
      <c r="E486">
        <v>0.13850000000000001</v>
      </c>
      <c r="F486">
        <v>10411442.140000001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-0.96650717703349254</v>
      </c>
      <c r="Q486">
        <f t="shared" si="980"/>
        <v>-10062733.551578945</v>
      </c>
      <c r="R486">
        <f t="shared" si="981"/>
        <v>-35271175.198125705</v>
      </c>
      <c r="S486">
        <f t="shared" si="982"/>
        <v>-352.71175198125707</v>
      </c>
      <c r="T486">
        <f t="shared" si="983"/>
        <v>-0.35271175198125709</v>
      </c>
    </row>
    <row r="487" spans="1:20" x14ac:dyDescent="0.25">
      <c r="A487" s="5">
        <v>44106</v>
      </c>
      <c r="B487">
        <v>0.1371</v>
      </c>
      <c r="C487">
        <v>0.28999999999999998</v>
      </c>
      <c r="D487">
        <v>0.1371</v>
      </c>
      <c r="E487">
        <v>0.1701</v>
      </c>
      <c r="F487">
        <v>44354093.530000001</v>
      </c>
      <c r="G487">
        <v>0</v>
      </c>
      <c r="P487">
        <f t="shared" si="979"/>
        <v>-0.5683453237410071</v>
      </c>
      <c r="Q487">
        <f t="shared" si="980"/>
        <v>-25208441.646546759</v>
      </c>
      <c r="R487">
        <f t="shared" si="981"/>
        <v>-25208441.646546759</v>
      </c>
      <c r="S487">
        <f t="shared" si="982"/>
        <v>-252.0844164654676</v>
      </c>
      <c r="T487">
        <f t="shared" si="983"/>
        <v>-0.25208441646546759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V660" sqref="JV66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$A$659</v>
      </c>
      <c r="D111" s="1" t="str">
        <f>ADDRESS(C121-1,D121,1,1)</f>
        <v>$JV$659</v>
      </c>
      <c r="E111"/>
    </row>
    <row r="112" spans="1:5" x14ac:dyDescent="0.25">
      <c r="A112" s="7">
        <v>12164.144957890772</v>
      </c>
      <c r="C112" s="1" t="str">
        <f>ADDRESS(C121,1,1,1)</f>
        <v>$A$660</v>
      </c>
      <c r="D112" s="1" t="str">
        <f>ADDRESS(C121,D121-1,1,1)</f>
        <v>$JU$660</v>
      </c>
      <c r="E112"/>
    </row>
    <row r="113" spans="1:5" x14ac:dyDescent="0.25">
      <c r="A113" s="7">
        <v>11925.63231165762</v>
      </c>
      <c r="C113" s="1" t="str">
        <f>ADDRESS(C121+1,1,1,1)</f>
        <v>$A$661</v>
      </c>
      <c r="D113" s="1" t="str">
        <f>ADDRESS(C121-1,D121+1,1,1)</f>
        <v>$JW$659</v>
      </c>
    </row>
    <row r="114" spans="1:5" x14ac:dyDescent="0.25">
      <c r="A114" s="7">
        <v>11691.796383978059</v>
      </c>
      <c r="C114" s="1" t="str">
        <f>ADDRESS(C121,D121,1,1)</f>
        <v>$JV$660</v>
      </c>
      <c r="D114" s="1" t="str">
        <f>ADDRESS(C121+1,D121+1,1,1)</f>
        <v>$JW$661</v>
      </c>
    </row>
    <row r="115" spans="1:5" x14ac:dyDescent="0.25">
      <c r="A115" s="7">
        <v>11462.545474488292</v>
      </c>
      <c r="C115" s="1" t="str">
        <f>ADDRESS(C121+1,D121,1,1)</f>
        <v>$JV$661</v>
      </c>
    </row>
    <row r="116" spans="1:5" x14ac:dyDescent="0.25">
      <c r="A116" s="7">
        <v>11237.789680870874</v>
      </c>
      <c r="C116" s="1">
        <f>C117-1</f>
        <v>659</v>
      </c>
    </row>
    <row r="117" spans="1:5" x14ac:dyDescent="0.25">
      <c r="A117" s="7">
        <v>11017.440863598895</v>
      </c>
      <c r="C117" s="1">
        <f>C121</f>
        <v>660</v>
      </c>
      <c r="D117" s="1">
        <f>D121</f>
        <v>282</v>
      </c>
    </row>
    <row r="118" spans="1:5" x14ac:dyDescent="0.25">
      <c r="A118" s="7">
        <v>10801.412611371465</v>
      </c>
      <c r="C118" s="1">
        <f>C117+1</f>
        <v>661</v>
      </c>
      <c r="D118" s="1">
        <f>D117+1</f>
        <v>283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660</v>
      </c>
      <c r="D121" s="19">
        <v>282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R660</v>
      </c>
      <c r="D123" s="1" t="str">
        <f>"C"&amp;D121</f>
        <v>C282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0.23560660504047748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134" x14ac:dyDescent="0.25">
      <c r="A577" s="7">
        <v>1.2189944199947573</v>
      </c>
      <c r="B577"/>
      <c r="C577"/>
      <c r="D577"/>
      <c r="E577"/>
    </row>
    <row r="578" spans="1:134" x14ac:dyDescent="0.25">
      <c r="A578" s="7">
        <v>1.1950925686223111</v>
      </c>
      <c r="B578"/>
      <c r="C578"/>
      <c r="D578"/>
      <c r="E578"/>
    </row>
    <row r="579" spans="1:134" x14ac:dyDescent="0.25">
      <c r="A579" s="7">
        <v>1.1716593810022657</v>
      </c>
      <c r="B579"/>
      <c r="C579"/>
      <c r="D579"/>
      <c r="E579"/>
    </row>
    <row r="580" spans="1:134" x14ac:dyDescent="0.25">
      <c r="A580" s="7">
        <v>1.14868566764928</v>
      </c>
      <c r="B580"/>
      <c r="C580"/>
      <c r="D580"/>
      <c r="E580"/>
    </row>
    <row r="581" spans="1:134" x14ac:dyDescent="0.25">
      <c r="A581" s="7">
        <v>1.1261624192640001</v>
      </c>
      <c r="B581"/>
      <c r="C581"/>
      <c r="D581"/>
      <c r="E581"/>
    </row>
    <row r="582" spans="1:134" x14ac:dyDescent="0.25">
      <c r="A582" s="7">
        <v>1.1040808032</v>
      </c>
      <c r="B582"/>
      <c r="C582"/>
      <c r="D582"/>
      <c r="E582"/>
    </row>
    <row r="583" spans="1:134" x14ac:dyDescent="0.25">
      <c r="A583" s="7">
        <v>1.08243216</v>
      </c>
      <c r="B583"/>
      <c r="C583"/>
      <c r="D583"/>
      <c r="E583"/>
    </row>
    <row r="584" spans="1:134" x14ac:dyDescent="0.25">
      <c r="A584" s="7">
        <v>1.0612079999999999</v>
      </c>
      <c r="B584"/>
      <c r="C584"/>
      <c r="D584"/>
      <c r="E584"/>
    </row>
    <row r="585" spans="1:134" x14ac:dyDescent="0.25">
      <c r="A585" s="7">
        <v>1.0404</v>
      </c>
      <c r="B585"/>
      <c r="C585"/>
      <c r="D585"/>
      <c r="E585"/>
    </row>
    <row r="586" spans="1:134" x14ac:dyDescent="0.25">
      <c r="A586" s="7">
        <v>1.02</v>
      </c>
      <c r="B586"/>
      <c r="C586"/>
      <c r="D586"/>
      <c r="E586"/>
    </row>
    <row r="587" spans="1:134" x14ac:dyDescent="0.25">
      <c r="A587" s="7">
        <v>1</v>
      </c>
      <c r="B587"/>
      <c r="C587"/>
      <c r="D587"/>
      <c r="E587" s="29" t="s">
        <v>8</v>
      </c>
    </row>
    <row r="588" spans="1:134" x14ac:dyDescent="0.25">
      <c r="A588" s="7">
        <v>0.98039215686274506</v>
      </c>
      <c r="B588"/>
      <c r="C588"/>
      <c r="D588"/>
      <c r="E588"/>
      <c r="F588" s="27" t="s">
        <v>7</v>
      </c>
      <c r="EC588" s="27" t="s">
        <v>8</v>
      </c>
    </row>
    <row r="589" spans="1:134" x14ac:dyDescent="0.25">
      <c r="A589" s="7">
        <v>0.96116878123798544</v>
      </c>
      <c r="B589"/>
      <c r="C589"/>
      <c r="D589"/>
      <c r="E589"/>
      <c r="F589" s="27" t="s">
        <v>7</v>
      </c>
      <c r="EC589" s="27" t="s">
        <v>8</v>
      </c>
      <c r="ED589" s="27" t="s">
        <v>7</v>
      </c>
    </row>
    <row r="590" spans="1:134" x14ac:dyDescent="0.25">
      <c r="A590" s="7">
        <v>0.94232233454704462</v>
      </c>
      <c r="B590"/>
      <c r="C590"/>
      <c r="D590"/>
      <c r="E590"/>
      <c r="F590" s="27" t="s">
        <v>7</v>
      </c>
      <c r="EC590" s="27" t="s">
        <v>8</v>
      </c>
      <c r="ED590" s="27" t="s">
        <v>7</v>
      </c>
    </row>
    <row r="591" spans="1:134" x14ac:dyDescent="0.25">
      <c r="A591" s="7">
        <v>0.92384542602651432</v>
      </c>
      <c r="B591"/>
      <c r="C591"/>
      <c r="D591"/>
      <c r="E591"/>
      <c r="F591" s="27" t="s">
        <v>7</v>
      </c>
      <c r="EC591" s="27" t="s">
        <v>8</v>
      </c>
      <c r="ED591" s="27" t="s">
        <v>7</v>
      </c>
    </row>
    <row r="592" spans="1:134" x14ac:dyDescent="0.25">
      <c r="A592" s="7">
        <v>0.90573080982991594</v>
      </c>
      <c r="B592"/>
      <c r="C592"/>
      <c r="D592"/>
      <c r="E592"/>
      <c r="F592" s="27" t="s">
        <v>7</v>
      </c>
      <c r="EC592" s="27" t="s">
        <v>8</v>
      </c>
      <c r="ED592" s="27" t="s">
        <v>7</v>
      </c>
    </row>
    <row r="593" spans="1:196" x14ac:dyDescent="0.25">
      <c r="A593" s="7">
        <v>0.8879713821861922</v>
      </c>
      <c r="B593"/>
      <c r="C593"/>
      <c r="D593"/>
      <c r="E593"/>
      <c r="F593" s="27" t="s">
        <v>7</v>
      </c>
      <c r="EA593" s="27" t="s">
        <v>8</v>
      </c>
      <c r="EC593" s="27" t="s">
        <v>8</v>
      </c>
      <c r="ED593" s="27" t="s">
        <v>7</v>
      </c>
    </row>
    <row r="594" spans="1:196" x14ac:dyDescent="0.25">
      <c r="A594" s="7">
        <v>0.87056017861391399</v>
      </c>
      <c r="B594"/>
      <c r="C594"/>
      <c r="D594"/>
      <c r="E594"/>
      <c r="F594" s="27" t="s">
        <v>7</v>
      </c>
      <c r="EA594" s="27" t="s">
        <v>8</v>
      </c>
      <c r="EB594" s="27" t="s">
        <v>7</v>
      </c>
      <c r="EC594" s="27" t="s">
        <v>8</v>
      </c>
      <c r="ED594" s="27" t="s">
        <v>7</v>
      </c>
    </row>
    <row r="595" spans="1:196" x14ac:dyDescent="0.25">
      <c r="A595" s="7">
        <v>0.85349037119011173</v>
      </c>
      <c r="B595"/>
      <c r="C595"/>
      <c r="D595"/>
      <c r="E595"/>
      <c r="F595" s="27" t="s">
        <v>7</v>
      </c>
      <c r="EA595" s="27" t="s">
        <v>8</v>
      </c>
      <c r="EB595" s="27" t="s">
        <v>7</v>
      </c>
      <c r="EC595" s="27" t="s">
        <v>8</v>
      </c>
      <c r="ED595" s="27" t="s">
        <v>7</v>
      </c>
    </row>
    <row r="596" spans="1:196" x14ac:dyDescent="0.25">
      <c r="A596" s="7">
        <v>0.83675526587265858</v>
      </c>
      <c r="B596"/>
      <c r="C596"/>
      <c r="D596"/>
      <c r="E596"/>
      <c r="F596" s="27" t="s">
        <v>7</v>
      </c>
      <c r="EA596" s="27" t="s">
        <v>8</v>
      </c>
      <c r="EB596" s="27" t="s">
        <v>7</v>
      </c>
      <c r="EC596" s="27" t="s">
        <v>8</v>
      </c>
      <c r="ED596" s="27" t="s">
        <v>7</v>
      </c>
      <c r="EE596" s="27" t="s">
        <v>8</v>
      </c>
    </row>
    <row r="597" spans="1:196" x14ac:dyDescent="0.25">
      <c r="A597" s="7">
        <v>0.82034829987515545</v>
      </c>
      <c r="B597"/>
      <c r="C597"/>
      <c r="D597"/>
      <c r="E597"/>
      <c r="F597" s="27" t="s">
        <v>7</v>
      </c>
      <c r="EA597" s="27" t="s">
        <v>8</v>
      </c>
      <c r="EB597" s="27" t="s">
        <v>7</v>
      </c>
      <c r="EC597" s="27" t="s">
        <v>8</v>
      </c>
      <c r="ED597" s="27" t="s">
        <v>7</v>
      </c>
      <c r="EE597" s="27" t="s">
        <v>8</v>
      </c>
      <c r="EF597" s="27" t="s">
        <v>7</v>
      </c>
    </row>
    <row r="598" spans="1:196" x14ac:dyDescent="0.25">
      <c r="A598" s="7">
        <v>0.80426303909328967</v>
      </c>
      <c r="B598"/>
      <c r="C598"/>
      <c r="D598"/>
      <c r="E598"/>
      <c r="F598" s="27" t="s">
        <v>7</v>
      </c>
      <c r="EA598" s="27" t="s">
        <v>8</v>
      </c>
      <c r="EB598" s="27" t="s">
        <v>7</v>
      </c>
      <c r="EC598" s="27" t="s">
        <v>8</v>
      </c>
      <c r="ED598" s="27" t="s">
        <v>7</v>
      </c>
      <c r="EE598" s="27" t="s">
        <v>8</v>
      </c>
      <c r="EF598" s="27" t="s">
        <v>7</v>
      </c>
    </row>
    <row r="599" spans="1:196" x14ac:dyDescent="0.25">
      <c r="A599" s="7">
        <v>0.78849317558165644</v>
      </c>
      <c r="B599"/>
      <c r="C599"/>
      <c r="D599"/>
      <c r="E599"/>
      <c r="F599" s="27" t="s">
        <v>7</v>
      </c>
      <c r="EA599" s="27" t="s">
        <v>8</v>
      </c>
      <c r="EB599" s="27" t="s">
        <v>7</v>
      </c>
      <c r="EC599" s="27" t="s">
        <v>8</v>
      </c>
      <c r="ED599" s="27" t="s">
        <v>7</v>
      </c>
      <c r="EE599" s="27" t="s">
        <v>8</v>
      </c>
      <c r="EF599" s="27" t="s">
        <v>7</v>
      </c>
      <c r="EG599" s="27" t="s">
        <v>8</v>
      </c>
    </row>
    <row r="600" spans="1:196" x14ac:dyDescent="0.25">
      <c r="A600" s="7">
        <v>0.77303252508005538</v>
      </c>
      <c r="B600"/>
      <c r="C600"/>
      <c r="D600"/>
      <c r="E600"/>
      <c r="F600" s="27" t="s">
        <v>7</v>
      </c>
      <c r="EA600" s="27" t="s">
        <v>8</v>
      </c>
      <c r="EB600" s="27" t="s">
        <v>7</v>
      </c>
      <c r="EC600" s="27" t="s">
        <v>8</v>
      </c>
      <c r="ED600" s="27" t="s">
        <v>7</v>
      </c>
      <c r="EE600" s="27" t="s">
        <v>8</v>
      </c>
      <c r="EF600" s="27" t="s">
        <v>7</v>
      </c>
      <c r="EG600" s="27" t="s">
        <v>8</v>
      </c>
      <c r="EH600" s="27" t="s">
        <v>7</v>
      </c>
    </row>
    <row r="601" spans="1:196" x14ac:dyDescent="0.25">
      <c r="A601" s="7">
        <v>0.75787502458828959</v>
      </c>
      <c r="B601"/>
      <c r="C601"/>
      <c r="D601"/>
      <c r="E601"/>
      <c r="F601" s="27" t="s">
        <v>7</v>
      </c>
      <c r="EA601" s="27" t="s">
        <v>8</v>
      </c>
      <c r="EB601" s="27" t="s">
        <v>7</v>
      </c>
      <c r="EC601" s="27" t="s">
        <v>8</v>
      </c>
      <c r="ED601" s="27" t="s">
        <v>7</v>
      </c>
      <c r="EF601" s="27" t="s">
        <v>7</v>
      </c>
      <c r="EG601" s="27" t="s">
        <v>8</v>
      </c>
      <c r="EH601" s="27" t="s">
        <v>7</v>
      </c>
    </row>
    <row r="602" spans="1:196" x14ac:dyDescent="0.25">
      <c r="A602" s="7">
        <v>0.74301472998851925</v>
      </c>
      <c r="B602"/>
      <c r="C602"/>
      <c r="D602"/>
      <c r="E602"/>
      <c r="F602" s="27" t="s">
        <v>7</v>
      </c>
      <c r="DK602" s="27" t="s">
        <v>8</v>
      </c>
      <c r="EA602" s="27" t="s">
        <v>8</v>
      </c>
      <c r="EB602" s="27" t="s">
        <v>7</v>
      </c>
      <c r="EC602" s="27" t="s">
        <v>8</v>
      </c>
      <c r="EF602" s="27" t="s">
        <v>7</v>
      </c>
      <c r="EG602" s="27" t="s">
        <v>8</v>
      </c>
      <c r="EH602" s="27" t="s">
        <v>7</v>
      </c>
    </row>
    <row r="603" spans="1:196" x14ac:dyDescent="0.25">
      <c r="A603" s="7">
        <v>0.72844581371423456</v>
      </c>
      <c r="B603"/>
      <c r="C603"/>
      <c r="D603"/>
      <c r="E603"/>
      <c r="F603" s="27" t="s">
        <v>7</v>
      </c>
      <c r="CY603" s="27" t="s">
        <v>8</v>
      </c>
      <c r="DK603" s="27" t="s">
        <v>8</v>
      </c>
      <c r="DL603" s="27" t="s">
        <v>7</v>
      </c>
      <c r="DQ603" s="27" t="s">
        <v>8</v>
      </c>
      <c r="EA603" s="27" t="s">
        <v>8</v>
      </c>
      <c r="EB603" s="27" t="s">
        <v>7</v>
      </c>
      <c r="EC603" s="27" t="s">
        <v>8</v>
      </c>
      <c r="EF603" s="27" t="s">
        <v>7</v>
      </c>
      <c r="EG603" s="27" t="s">
        <v>8</v>
      </c>
      <c r="EH603" s="27" t="s">
        <v>7</v>
      </c>
    </row>
    <row r="604" spans="1:196" x14ac:dyDescent="0.25">
      <c r="A604" s="7">
        <v>0.71416256246493581</v>
      </c>
      <c r="B604"/>
      <c r="C604"/>
      <c r="D604"/>
      <c r="E604"/>
      <c r="F604" s="27" t="s">
        <v>7</v>
      </c>
      <c r="CY604" s="27" t="s">
        <v>8</v>
      </c>
      <c r="CZ604" s="27" t="s">
        <v>7</v>
      </c>
      <c r="DK604" s="27" t="s">
        <v>8</v>
      </c>
      <c r="DL604" s="27" t="s">
        <v>7</v>
      </c>
      <c r="DQ604" s="27" t="s">
        <v>8</v>
      </c>
      <c r="DR604" s="27" t="s">
        <v>7</v>
      </c>
      <c r="EA604" s="27" t="s">
        <v>8</v>
      </c>
      <c r="EB604" s="27" t="s">
        <v>7</v>
      </c>
      <c r="EC604" s="27" t="s">
        <v>8</v>
      </c>
      <c r="EF604" s="27" t="s">
        <v>7</v>
      </c>
      <c r="EG604" s="27" t="s">
        <v>8</v>
      </c>
      <c r="EH604" s="27" t="s">
        <v>7</v>
      </c>
      <c r="GM604" s="27" t="s">
        <v>8</v>
      </c>
    </row>
    <row r="605" spans="1:196" x14ac:dyDescent="0.25">
      <c r="A605" s="7">
        <v>0.7001593749656233</v>
      </c>
      <c r="B605"/>
      <c r="C605"/>
      <c r="D605"/>
      <c r="E605"/>
      <c r="F605" s="27" t="s">
        <v>7</v>
      </c>
      <c r="CY605" s="27" t="s">
        <v>8</v>
      </c>
      <c r="CZ605" s="27" t="s">
        <v>7</v>
      </c>
      <c r="DK605" s="27" t="s">
        <v>8</v>
      </c>
      <c r="DL605" s="27" t="s">
        <v>7</v>
      </c>
      <c r="DQ605" s="27" t="s">
        <v>8</v>
      </c>
      <c r="DR605" s="27" t="s">
        <v>7</v>
      </c>
      <c r="EA605" s="27" t="s">
        <v>8</v>
      </c>
      <c r="EB605" s="27" t="s">
        <v>7</v>
      </c>
      <c r="EC605" s="27" t="s">
        <v>8</v>
      </c>
      <c r="EF605" s="27" t="s">
        <v>7</v>
      </c>
      <c r="EG605" s="27" t="s">
        <v>8</v>
      </c>
      <c r="EH605" s="27" t="s">
        <v>7</v>
      </c>
      <c r="GM605" s="27" t="s">
        <v>8</v>
      </c>
      <c r="GN605" s="27" t="s">
        <v>7</v>
      </c>
    </row>
    <row r="606" spans="1:196" x14ac:dyDescent="0.25">
      <c r="A606" s="7">
        <v>0.68643075977021883</v>
      </c>
      <c r="B606"/>
      <c r="C606"/>
      <c r="D606"/>
      <c r="E606"/>
      <c r="F606" s="27" t="s">
        <v>7</v>
      </c>
      <c r="CY606" s="27" t="s">
        <v>8</v>
      </c>
      <c r="CZ606" s="27" t="s">
        <v>7</v>
      </c>
      <c r="DE606" s="27" t="s">
        <v>8</v>
      </c>
      <c r="DK606" s="27" t="s">
        <v>8</v>
      </c>
      <c r="DL606" s="27" t="s">
        <v>7</v>
      </c>
      <c r="DQ606" s="27" t="s">
        <v>8</v>
      </c>
      <c r="DR606" s="27" t="s">
        <v>7</v>
      </c>
      <c r="EA606" s="27" t="s">
        <v>8</v>
      </c>
      <c r="EB606" s="27" t="s">
        <v>7</v>
      </c>
      <c r="EC606" s="27" t="s">
        <v>8</v>
      </c>
      <c r="EF606" s="27" t="s">
        <v>7</v>
      </c>
      <c r="EG606" s="27" t="s">
        <v>8</v>
      </c>
      <c r="EH606" s="27" t="s">
        <v>7</v>
      </c>
      <c r="GM606" s="27" t="s">
        <v>8</v>
      </c>
      <c r="GN606" s="27" t="s">
        <v>7</v>
      </c>
    </row>
    <row r="607" spans="1:196" x14ac:dyDescent="0.25">
      <c r="A607" s="7">
        <v>0.67297133310805768</v>
      </c>
      <c r="B607"/>
      <c r="C607"/>
      <c r="D607"/>
      <c r="E607"/>
      <c r="F607" s="27" t="s">
        <v>7</v>
      </c>
      <c r="CY607" s="27" t="s">
        <v>8</v>
      </c>
      <c r="CZ607" s="27" t="s">
        <v>7</v>
      </c>
      <c r="DA607" s="27" t="s">
        <v>8</v>
      </c>
      <c r="DE607" s="27" t="s">
        <v>8</v>
      </c>
      <c r="DF607" s="27" t="s">
        <v>7</v>
      </c>
      <c r="DG607" s="27" t="s">
        <v>8</v>
      </c>
      <c r="DK607" s="27" t="s">
        <v>8</v>
      </c>
      <c r="DL607" s="27" t="s">
        <v>7</v>
      </c>
      <c r="DM607" s="27" t="s">
        <v>8</v>
      </c>
      <c r="DO607" s="27" t="s">
        <v>8</v>
      </c>
      <c r="DQ607" s="27" t="s">
        <v>8</v>
      </c>
      <c r="DR607" s="27" t="s">
        <v>7</v>
      </c>
      <c r="EA607" s="27" t="s">
        <v>8</v>
      </c>
      <c r="EB607" s="27" t="s">
        <v>7</v>
      </c>
      <c r="EC607" s="27" t="s">
        <v>8</v>
      </c>
      <c r="EF607" s="27" t="s">
        <v>7</v>
      </c>
      <c r="EG607" s="27" t="s">
        <v>8</v>
      </c>
      <c r="EH607" s="27" t="s">
        <v>7</v>
      </c>
      <c r="GM607" s="27" t="s">
        <v>8</v>
      </c>
      <c r="GN607" s="27" t="s">
        <v>7</v>
      </c>
    </row>
    <row r="608" spans="1:196" x14ac:dyDescent="0.25">
      <c r="A608" s="7">
        <v>0.65977581677260566</v>
      </c>
      <c r="B608"/>
      <c r="C608"/>
      <c r="D608"/>
      <c r="E608"/>
      <c r="F608" s="27" t="s">
        <v>7</v>
      </c>
      <c r="CY608" s="27" t="s">
        <v>8</v>
      </c>
      <c r="CZ608" s="27" t="s">
        <v>7</v>
      </c>
      <c r="DA608" s="27" t="s">
        <v>8</v>
      </c>
      <c r="DB608" s="27" t="s">
        <v>7</v>
      </c>
      <c r="DE608" s="27" t="s">
        <v>8</v>
      </c>
      <c r="DF608" s="27" t="s">
        <v>7</v>
      </c>
      <c r="DG608" s="27" t="s">
        <v>8</v>
      </c>
      <c r="DH608" s="27" t="s">
        <v>7</v>
      </c>
      <c r="DK608" s="27" t="s">
        <v>8</v>
      </c>
      <c r="DL608" s="27" t="s">
        <v>7</v>
      </c>
      <c r="DM608" s="27" t="s">
        <v>8</v>
      </c>
      <c r="DN608" s="27" t="s">
        <v>7</v>
      </c>
      <c r="DO608" s="27" t="s">
        <v>8</v>
      </c>
      <c r="DP608" s="27" t="s">
        <v>7</v>
      </c>
      <c r="DQ608" s="27" t="s">
        <v>8</v>
      </c>
      <c r="DR608" s="27" t="s">
        <v>7</v>
      </c>
      <c r="EA608" s="27" t="s">
        <v>8</v>
      </c>
      <c r="EB608" s="27" t="s">
        <v>7</v>
      </c>
      <c r="EF608" s="27" t="s">
        <v>7</v>
      </c>
      <c r="EG608" s="27" t="s">
        <v>8</v>
      </c>
      <c r="EH608" s="27" t="s">
        <v>7</v>
      </c>
      <c r="GM608" s="27" t="s">
        <v>8</v>
      </c>
      <c r="GN608" s="27" t="s">
        <v>7</v>
      </c>
    </row>
    <row r="609" spans="1:268" x14ac:dyDescent="0.25">
      <c r="A609" s="7">
        <v>0.64683903605157422</v>
      </c>
      <c r="B609"/>
      <c r="C609"/>
      <c r="D609"/>
      <c r="E609"/>
      <c r="F609" s="27" t="s">
        <v>7</v>
      </c>
      <c r="CY609" s="27" t="s">
        <v>8</v>
      </c>
      <c r="CZ609" s="27" t="s">
        <v>7</v>
      </c>
      <c r="DA609" s="27" t="s">
        <v>8</v>
      </c>
      <c r="DB609" s="27" t="s">
        <v>7</v>
      </c>
      <c r="DE609" s="27" t="s">
        <v>8</v>
      </c>
      <c r="DF609" s="27" t="s">
        <v>7</v>
      </c>
      <c r="DG609" s="27" t="s">
        <v>8</v>
      </c>
      <c r="DH609" s="27" t="s">
        <v>7</v>
      </c>
      <c r="DI609" s="27" t="s">
        <v>8</v>
      </c>
      <c r="DK609" s="27" t="s">
        <v>8</v>
      </c>
      <c r="DL609" s="27" t="s">
        <v>7</v>
      </c>
      <c r="DM609" s="27" t="s">
        <v>8</v>
      </c>
      <c r="DN609" s="27" t="s">
        <v>7</v>
      </c>
      <c r="DO609" s="27" t="s">
        <v>8</v>
      </c>
      <c r="DP609" s="27" t="s">
        <v>7</v>
      </c>
      <c r="DQ609" s="27" t="s">
        <v>8</v>
      </c>
      <c r="DR609" s="27" t="s">
        <v>7</v>
      </c>
      <c r="EA609" s="27" t="s">
        <v>8</v>
      </c>
      <c r="EF609" s="27" t="s">
        <v>7</v>
      </c>
      <c r="EG609" s="27" t="s">
        <v>8</v>
      </c>
      <c r="EH609" s="27" t="s">
        <v>7</v>
      </c>
      <c r="GM609" s="27" t="s">
        <v>8</v>
      </c>
      <c r="GN609" s="27" t="s">
        <v>7</v>
      </c>
    </row>
    <row r="610" spans="1:268" x14ac:dyDescent="0.25">
      <c r="A610" s="7">
        <v>0.63415591769762181</v>
      </c>
      <c r="B610"/>
      <c r="C610"/>
      <c r="D610"/>
      <c r="E610"/>
      <c r="F610" s="27" t="s">
        <v>7</v>
      </c>
      <c r="CY610" s="27" t="s">
        <v>8</v>
      </c>
      <c r="CZ610" s="27" t="s">
        <v>7</v>
      </c>
      <c r="DA610" s="27" t="s">
        <v>8</v>
      </c>
      <c r="DB610" s="27" t="s">
        <v>7</v>
      </c>
      <c r="DC610" s="27" t="s">
        <v>8</v>
      </c>
      <c r="DE610" s="27" t="s">
        <v>8</v>
      </c>
      <c r="DF610" s="27" t="s">
        <v>7</v>
      </c>
      <c r="DG610" s="27" t="s">
        <v>8</v>
      </c>
      <c r="DH610" s="27" t="s">
        <v>7</v>
      </c>
      <c r="DI610" s="27" t="s">
        <v>8</v>
      </c>
      <c r="DJ610" s="27" t="s">
        <v>7</v>
      </c>
      <c r="DK610" s="27" t="s">
        <v>8</v>
      </c>
      <c r="DL610" s="27" t="s">
        <v>7</v>
      </c>
      <c r="DM610" s="27" t="s">
        <v>8</v>
      </c>
      <c r="DN610" s="27" t="s">
        <v>7</v>
      </c>
      <c r="DO610" s="27" t="s">
        <v>8</v>
      </c>
      <c r="DP610" s="27" t="s">
        <v>7</v>
      </c>
      <c r="DQ610" s="27" t="s">
        <v>8</v>
      </c>
      <c r="DR610" s="27" t="s">
        <v>7</v>
      </c>
      <c r="EA610" s="27" t="s">
        <v>8</v>
      </c>
      <c r="EF610" s="27" t="s">
        <v>7</v>
      </c>
      <c r="EG610" s="27" t="s">
        <v>8</v>
      </c>
      <c r="EH610" s="27" t="s">
        <v>7</v>
      </c>
      <c r="EI610" s="27" t="s">
        <v>8</v>
      </c>
      <c r="GM610" s="27" t="s">
        <v>8</v>
      </c>
      <c r="GN610" s="27" t="s">
        <v>7</v>
      </c>
    </row>
    <row r="611" spans="1:268" x14ac:dyDescent="0.25">
      <c r="A611" s="7">
        <v>0.62172148793884496</v>
      </c>
      <c r="B611"/>
      <c r="C611"/>
      <c r="D611"/>
      <c r="E611"/>
      <c r="F611" s="27" t="s">
        <v>7</v>
      </c>
      <c r="CY611" s="27" t="s">
        <v>8</v>
      </c>
      <c r="CZ611" s="27" t="s">
        <v>7</v>
      </c>
      <c r="DA611" s="27" t="s">
        <v>8</v>
      </c>
      <c r="DB611" s="27" t="s">
        <v>7</v>
      </c>
      <c r="DC611" s="27" t="s">
        <v>8</v>
      </c>
      <c r="DD611" s="27" t="s">
        <v>7</v>
      </c>
      <c r="DE611" s="27" t="s">
        <v>8</v>
      </c>
      <c r="DF611" s="27" t="s">
        <v>7</v>
      </c>
      <c r="DG611" s="27" t="s">
        <v>8</v>
      </c>
      <c r="DH611" s="27" t="s">
        <v>7</v>
      </c>
      <c r="DI611" s="27" t="s">
        <v>8</v>
      </c>
      <c r="DJ611" s="27" t="s">
        <v>7</v>
      </c>
      <c r="DK611" s="27" t="s">
        <v>8</v>
      </c>
      <c r="DL611" s="27" t="s">
        <v>7</v>
      </c>
      <c r="DM611" s="27" t="s">
        <v>8</v>
      </c>
      <c r="DN611" s="27" t="s">
        <v>7</v>
      </c>
      <c r="DO611" s="27" t="s">
        <v>8</v>
      </c>
      <c r="DP611" s="27" t="s">
        <v>7</v>
      </c>
      <c r="DR611" s="27" t="s">
        <v>7</v>
      </c>
      <c r="DS611" s="27" t="s">
        <v>8</v>
      </c>
      <c r="EA611" s="27" t="s">
        <v>8</v>
      </c>
      <c r="EF611" s="27" t="s">
        <v>7</v>
      </c>
      <c r="EH611" s="27" t="s">
        <v>7</v>
      </c>
      <c r="EI611" s="27" t="s">
        <v>8</v>
      </c>
      <c r="EJ611" s="27" t="s">
        <v>7</v>
      </c>
      <c r="GM611" s="27" t="s">
        <v>8</v>
      </c>
      <c r="GN611" s="27" t="s">
        <v>7</v>
      </c>
    </row>
    <row r="612" spans="1:268" x14ac:dyDescent="0.25">
      <c r="A612" s="7">
        <v>0.60953087052827937</v>
      </c>
      <c r="B612"/>
      <c r="C612"/>
      <c r="D612"/>
      <c r="E612"/>
      <c r="F612" s="27" t="s">
        <v>7</v>
      </c>
      <c r="CY612" s="27" t="s">
        <v>8</v>
      </c>
      <c r="CZ612" s="27" t="s">
        <v>7</v>
      </c>
      <c r="DA612" s="27" t="s">
        <v>8</v>
      </c>
      <c r="DB612" s="27" t="s">
        <v>7</v>
      </c>
      <c r="DC612" s="27" t="s">
        <v>8</v>
      </c>
      <c r="DD612" s="27" t="s">
        <v>7</v>
      </c>
      <c r="DE612" s="27" t="s">
        <v>8</v>
      </c>
      <c r="DF612" s="27" t="s">
        <v>7</v>
      </c>
      <c r="DG612" s="27" t="s">
        <v>8</v>
      </c>
      <c r="DH612" s="27" t="s">
        <v>7</v>
      </c>
      <c r="DI612" s="27" t="s">
        <v>8</v>
      </c>
      <c r="DJ612" s="27" t="s">
        <v>7</v>
      </c>
      <c r="DK612" s="27" t="s">
        <v>8</v>
      </c>
      <c r="DL612" s="27" t="s">
        <v>7</v>
      </c>
      <c r="DM612" s="27" t="s">
        <v>8</v>
      </c>
      <c r="DN612" s="27" t="s">
        <v>7</v>
      </c>
      <c r="DO612" s="27" t="s">
        <v>8</v>
      </c>
      <c r="DR612" s="27" t="s">
        <v>7</v>
      </c>
      <c r="DS612" s="27" t="s">
        <v>8</v>
      </c>
      <c r="DT612" s="27" t="s">
        <v>7</v>
      </c>
      <c r="EA612" s="27" t="s">
        <v>8</v>
      </c>
      <c r="EH612" s="27" t="s">
        <v>7</v>
      </c>
      <c r="EI612" s="27" t="s">
        <v>8</v>
      </c>
      <c r="EJ612" s="27" t="s">
        <v>7</v>
      </c>
      <c r="EK612" s="27" t="s">
        <v>8</v>
      </c>
      <c r="GM612" s="27" t="s">
        <v>8</v>
      </c>
      <c r="GN612" s="27" t="s">
        <v>7</v>
      </c>
    </row>
    <row r="613" spans="1:268" x14ac:dyDescent="0.25">
      <c r="A613" s="7">
        <v>0.59757928483164646</v>
      </c>
      <c r="B613"/>
      <c r="C613"/>
      <c r="D613"/>
      <c r="E613"/>
      <c r="F613" s="27" t="s">
        <v>7</v>
      </c>
      <c r="CY613" s="27" t="s">
        <v>8</v>
      </c>
      <c r="CZ613" s="27" t="s">
        <v>7</v>
      </c>
      <c r="DA613" s="27" t="s">
        <v>8</v>
      </c>
      <c r="DB613" s="27" t="s">
        <v>7</v>
      </c>
      <c r="DC613" s="27" t="s">
        <v>8</v>
      </c>
      <c r="DD613" s="27" t="s">
        <v>7</v>
      </c>
      <c r="DE613" s="27" t="s">
        <v>8</v>
      </c>
      <c r="DF613" s="27" t="s">
        <v>7</v>
      </c>
      <c r="DG613" s="27" t="s">
        <v>8</v>
      </c>
      <c r="DH613" s="27" t="s">
        <v>7</v>
      </c>
      <c r="DJ613" s="27" t="s">
        <v>7</v>
      </c>
      <c r="DK613" s="27" t="s">
        <v>8</v>
      </c>
      <c r="DL613" s="27" t="s">
        <v>7</v>
      </c>
      <c r="DM613" s="27" t="s">
        <v>8</v>
      </c>
      <c r="DN613" s="27" t="s">
        <v>7</v>
      </c>
      <c r="DO613" s="27" t="s">
        <v>8</v>
      </c>
      <c r="DR613" s="27" t="s">
        <v>7</v>
      </c>
      <c r="DS613" s="27" t="s">
        <v>8</v>
      </c>
      <c r="DT613" s="27" t="s">
        <v>7</v>
      </c>
      <c r="EA613" s="27" t="s">
        <v>8</v>
      </c>
      <c r="EH613" s="27" t="s">
        <v>7</v>
      </c>
      <c r="EI613" s="27" t="s">
        <v>8</v>
      </c>
      <c r="EJ613" s="27" t="s">
        <v>7</v>
      </c>
      <c r="EK613" s="27" t="s">
        <v>8</v>
      </c>
      <c r="EL613" s="27" t="s">
        <v>7</v>
      </c>
      <c r="GM613" s="27" t="s">
        <v>8</v>
      </c>
      <c r="GN613" s="27" t="s">
        <v>7</v>
      </c>
    </row>
    <row r="614" spans="1:268" x14ac:dyDescent="0.25">
      <c r="A614" s="7">
        <v>0.58586204395259456</v>
      </c>
      <c r="B614"/>
      <c r="C614"/>
      <c r="D614"/>
      <c r="E614"/>
      <c r="F614" s="27" t="s">
        <v>7</v>
      </c>
      <c r="CY614" s="27" t="s">
        <v>8</v>
      </c>
      <c r="CZ614" s="27" t="s">
        <v>7</v>
      </c>
      <c r="DA614" s="27" t="s">
        <v>8</v>
      </c>
      <c r="DB614" s="27" t="s">
        <v>7</v>
      </c>
      <c r="DC614" s="27" t="s">
        <v>8</v>
      </c>
      <c r="DD614" s="27" t="s">
        <v>7</v>
      </c>
      <c r="DE614" s="27" t="s">
        <v>8</v>
      </c>
      <c r="DF614" s="27" t="s">
        <v>7</v>
      </c>
      <c r="DJ614" s="27" t="s">
        <v>7</v>
      </c>
      <c r="DK614" s="27" t="s">
        <v>8</v>
      </c>
      <c r="DL614" s="27" t="s">
        <v>7</v>
      </c>
      <c r="DN614" s="27" t="s">
        <v>7</v>
      </c>
      <c r="DO614" s="27" t="s">
        <v>8</v>
      </c>
      <c r="DR614" s="27" t="s">
        <v>7</v>
      </c>
      <c r="DS614" s="27" t="s">
        <v>8</v>
      </c>
      <c r="DT614" s="27" t="s">
        <v>7</v>
      </c>
      <c r="EA614" s="27" t="s">
        <v>8</v>
      </c>
      <c r="EH614" s="27" t="s">
        <v>7</v>
      </c>
      <c r="EI614" s="27" t="s">
        <v>8</v>
      </c>
      <c r="EJ614" s="27" t="s">
        <v>7</v>
      </c>
      <c r="EK614" s="27" t="s">
        <v>8</v>
      </c>
      <c r="EL614" s="27" t="s">
        <v>7</v>
      </c>
      <c r="GM614" s="27" t="s">
        <v>8</v>
      </c>
      <c r="GN614" s="27" t="s">
        <v>7</v>
      </c>
    </row>
    <row r="615" spans="1:268" x14ac:dyDescent="0.25">
      <c r="A615" s="7">
        <v>0.57437455289470052</v>
      </c>
      <c r="B615"/>
      <c r="C615"/>
      <c r="D615"/>
      <c r="E615"/>
      <c r="F615" s="27" t="s">
        <v>7</v>
      </c>
      <c r="CY615" s="27" t="s">
        <v>8</v>
      </c>
      <c r="CZ615" s="27" t="s">
        <v>7</v>
      </c>
      <c r="DB615" s="27" t="s">
        <v>7</v>
      </c>
      <c r="DC615" s="27" t="s">
        <v>8</v>
      </c>
      <c r="DD615" s="27" t="s">
        <v>7</v>
      </c>
      <c r="DE615" s="27" t="s">
        <v>8</v>
      </c>
      <c r="DJ615" s="27" t="s">
        <v>7</v>
      </c>
      <c r="DN615" s="27" t="s">
        <v>7</v>
      </c>
      <c r="DO615" s="27" t="s">
        <v>8</v>
      </c>
      <c r="DR615" s="27" t="s">
        <v>7</v>
      </c>
      <c r="DS615" s="27" t="s">
        <v>8</v>
      </c>
      <c r="DT615" s="27" t="s">
        <v>7</v>
      </c>
      <c r="EA615" s="27" t="s">
        <v>8</v>
      </c>
      <c r="EH615" s="27" t="s">
        <v>7</v>
      </c>
      <c r="EI615" s="27" t="s">
        <v>8</v>
      </c>
      <c r="EJ615" s="27" t="s">
        <v>7</v>
      </c>
      <c r="EK615" s="27" t="s">
        <v>8</v>
      </c>
      <c r="EL615" s="27" t="s">
        <v>7</v>
      </c>
      <c r="GM615" s="27" t="s">
        <v>8</v>
      </c>
      <c r="GN615" s="27" t="s">
        <v>7</v>
      </c>
    </row>
    <row r="616" spans="1:268" x14ac:dyDescent="0.25">
      <c r="A616" s="7">
        <v>0.56311230675951029</v>
      </c>
      <c r="B616"/>
      <c r="C616"/>
      <c r="D616"/>
      <c r="E616"/>
      <c r="F616" s="27" t="s">
        <v>7</v>
      </c>
      <c r="CE616" s="27" t="s">
        <v>8</v>
      </c>
      <c r="CY616" s="27" t="s">
        <v>8</v>
      </c>
      <c r="DB616" s="27" t="s">
        <v>7</v>
      </c>
      <c r="DC616" s="27" t="s">
        <v>8</v>
      </c>
      <c r="DD616" s="27" t="s">
        <v>7</v>
      </c>
      <c r="DE616" s="27" t="s">
        <v>8</v>
      </c>
      <c r="DN616" s="27" t="s">
        <v>7</v>
      </c>
      <c r="DO616" s="27" t="s">
        <v>8</v>
      </c>
      <c r="DR616" s="27" t="s">
        <v>7</v>
      </c>
      <c r="DS616" s="27" t="s">
        <v>8</v>
      </c>
      <c r="DT616" s="27" t="s">
        <v>7</v>
      </c>
      <c r="DU616" s="27" t="s">
        <v>8</v>
      </c>
      <c r="DY616" s="27" t="s">
        <v>8</v>
      </c>
      <c r="EA616" s="27" t="s">
        <v>8</v>
      </c>
      <c r="EH616" s="27" t="s">
        <v>7</v>
      </c>
      <c r="EI616" s="27" t="s">
        <v>8</v>
      </c>
      <c r="EJ616" s="27" t="s">
        <v>7</v>
      </c>
      <c r="EK616" s="27" t="s">
        <v>8</v>
      </c>
      <c r="EL616" s="27" t="s">
        <v>7</v>
      </c>
      <c r="GM616" s="27" t="s">
        <v>8</v>
      </c>
      <c r="GN616" s="27" t="s">
        <v>7</v>
      </c>
    </row>
    <row r="617" spans="1:268" x14ac:dyDescent="0.25">
      <c r="A617" s="7">
        <v>0.55207088897991208</v>
      </c>
      <c r="B617"/>
      <c r="C617"/>
      <c r="D617"/>
      <c r="E617"/>
      <c r="F617" s="27" t="s">
        <v>7</v>
      </c>
      <c r="CE617" s="27" t="s">
        <v>8</v>
      </c>
      <c r="CF617" s="27" t="s">
        <v>7</v>
      </c>
      <c r="CY617" s="27" t="s">
        <v>8</v>
      </c>
      <c r="DB617" s="27" t="s">
        <v>7</v>
      </c>
      <c r="DC617" s="27" t="s">
        <v>8</v>
      </c>
      <c r="DD617" s="27" t="s">
        <v>7</v>
      </c>
      <c r="DE617" s="27" t="s">
        <v>8</v>
      </c>
      <c r="DN617" s="27" t="s">
        <v>7</v>
      </c>
      <c r="DO617" s="27" t="s">
        <v>8</v>
      </c>
      <c r="DR617" s="27" t="s">
        <v>7</v>
      </c>
      <c r="DS617" s="27" t="s">
        <v>8</v>
      </c>
      <c r="DT617" s="27" t="s">
        <v>7</v>
      </c>
      <c r="DU617" s="27" t="s">
        <v>8</v>
      </c>
      <c r="DV617" s="27" t="s">
        <v>7</v>
      </c>
      <c r="DY617" s="27" t="s">
        <v>8</v>
      </c>
      <c r="DZ617" s="27" t="s">
        <v>7</v>
      </c>
      <c r="EA617" s="27" t="s">
        <v>8</v>
      </c>
      <c r="EH617" s="27" t="s">
        <v>7</v>
      </c>
      <c r="EI617" s="27" t="s">
        <v>8</v>
      </c>
      <c r="EJ617" s="27" t="s">
        <v>7</v>
      </c>
      <c r="EK617" s="27" t="s">
        <v>8</v>
      </c>
      <c r="EL617" s="27" t="s">
        <v>7</v>
      </c>
      <c r="GM617" s="27" t="s">
        <v>8</v>
      </c>
      <c r="GN617" s="27" t="s">
        <v>7</v>
      </c>
      <c r="IS617" s="27" t="s">
        <v>8</v>
      </c>
    </row>
    <row r="618" spans="1:268" x14ac:dyDescent="0.25">
      <c r="A618" s="7">
        <v>0.54124596958814908</v>
      </c>
      <c r="B618"/>
      <c r="C618"/>
      <c r="D618"/>
      <c r="E618"/>
      <c r="F618" s="27" t="s">
        <v>7</v>
      </c>
      <c r="CE618" s="27" t="s">
        <v>8</v>
      </c>
      <c r="CF618" s="27" t="s">
        <v>7</v>
      </c>
      <c r="CI618" s="27" t="s">
        <v>8</v>
      </c>
      <c r="CY618" s="27" t="s">
        <v>8</v>
      </c>
      <c r="DB618" s="27" t="s">
        <v>7</v>
      </c>
      <c r="DC618" s="27" t="s">
        <v>8</v>
      </c>
      <c r="DD618" s="27" t="s">
        <v>7</v>
      </c>
      <c r="DE618" s="27" t="s">
        <v>8</v>
      </c>
      <c r="DN618" s="27" t="s">
        <v>7</v>
      </c>
      <c r="DO618" s="27" t="s">
        <v>8</v>
      </c>
      <c r="DR618" s="27" t="s">
        <v>7</v>
      </c>
      <c r="DS618" s="27" t="s">
        <v>8</v>
      </c>
      <c r="DT618" s="27" t="s">
        <v>7</v>
      </c>
      <c r="DU618" s="27" t="s">
        <v>8</v>
      </c>
      <c r="DV618" s="27" t="s">
        <v>7</v>
      </c>
      <c r="DY618" s="27" t="s">
        <v>8</v>
      </c>
      <c r="DZ618" s="27" t="s">
        <v>7</v>
      </c>
      <c r="EA618" s="27" t="s">
        <v>8</v>
      </c>
      <c r="EH618" s="27" t="s">
        <v>7</v>
      </c>
      <c r="EJ618" s="27" t="s">
        <v>7</v>
      </c>
      <c r="EK618" s="27" t="s">
        <v>8</v>
      </c>
      <c r="EL618" s="27" t="s">
        <v>7</v>
      </c>
      <c r="GM618" s="27" t="s">
        <v>8</v>
      </c>
      <c r="GN618" s="27" t="s">
        <v>7</v>
      </c>
      <c r="GY618" s="27" t="s">
        <v>8</v>
      </c>
      <c r="IS618" s="27" t="s">
        <v>8</v>
      </c>
      <c r="IT618" s="27" t="s">
        <v>7</v>
      </c>
    </row>
    <row r="619" spans="1:268" x14ac:dyDescent="0.25">
      <c r="A619" s="7">
        <v>0.53063330351779314</v>
      </c>
      <c r="B619"/>
      <c r="C619"/>
      <c r="D619"/>
      <c r="E619"/>
      <c r="F619" s="27" t="s">
        <v>7</v>
      </c>
      <c r="CE619" s="27" t="s">
        <v>8</v>
      </c>
      <c r="CF619" s="27" t="s">
        <v>7</v>
      </c>
      <c r="CI619" s="27" t="s">
        <v>8</v>
      </c>
      <c r="CJ619" s="27" t="s">
        <v>7</v>
      </c>
      <c r="CY619" s="27" t="s">
        <v>8</v>
      </c>
      <c r="DB619" s="27" t="s">
        <v>7</v>
      </c>
      <c r="DC619" s="27" t="s">
        <v>8</v>
      </c>
      <c r="DD619" s="27" t="s">
        <v>7</v>
      </c>
      <c r="DE619" s="27" t="s">
        <v>8</v>
      </c>
      <c r="DN619" s="27" t="s">
        <v>7</v>
      </c>
      <c r="DO619" s="27" t="s">
        <v>8</v>
      </c>
      <c r="DR619" s="27" t="s">
        <v>7</v>
      </c>
      <c r="DS619" s="27" t="s">
        <v>8</v>
      </c>
      <c r="DT619" s="27" t="s">
        <v>7</v>
      </c>
      <c r="DU619" s="27" t="s">
        <v>8</v>
      </c>
      <c r="DV619" s="27" t="s">
        <v>7</v>
      </c>
      <c r="DY619" s="27" t="s">
        <v>8</v>
      </c>
      <c r="DZ619" s="27" t="s">
        <v>7</v>
      </c>
      <c r="EA619" s="27" t="s">
        <v>8</v>
      </c>
      <c r="EJ619" s="27" t="s">
        <v>7</v>
      </c>
      <c r="EK619" s="27" t="s">
        <v>8</v>
      </c>
      <c r="EL619" s="27" t="s">
        <v>7</v>
      </c>
      <c r="GM619" s="27" t="s">
        <v>8</v>
      </c>
      <c r="GN619" s="27" t="s">
        <v>7</v>
      </c>
      <c r="GY619" s="27" t="s">
        <v>8</v>
      </c>
      <c r="GZ619" s="27" t="s">
        <v>7</v>
      </c>
      <c r="HE619" s="27" t="s">
        <v>8</v>
      </c>
      <c r="IK619" s="27" t="s">
        <v>8</v>
      </c>
      <c r="IS619" s="27" t="s">
        <v>8</v>
      </c>
      <c r="IT619" s="27" t="s">
        <v>7</v>
      </c>
    </row>
    <row r="620" spans="1:268" x14ac:dyDescent="0.25">
      <c r="A620" s="7">
        <v>0.52022872893901284</v>
      </c>
      <c r="B620"/>
      <c r="C620"/>
      <c r="D620"/>
      <c r="E620"/>
      <c r="F620" s="27" t="s">
        <v>7</v>
      </c>
      <c r="CE620" s="27" t="s">
        <v>8</v>
      </c>
      <c r="CF620" s="27" t="s">
        <v>7</v>
      </c>
      <c r="CI620" s="27" t="s">
        <v>8</v>
      </c>
      <c r="CJ620" s="27" t="s">
        <v>7</v>
      </c>
      <c r="CY620" s="27" t="s">
        <v>8</v>
      </c>
      <c r="DB620" s="27" t="s">
        <v>7</v>
      </c>
      <c r="DC620" s="27" t="s">
        <v>8</v>
      </c>
      <c r="DD620" s="27" t="s">
        <v>7</v>
      </c>
      <c r="DE620" s="27" t="s">
        <v>8</v>
      </c>
      <c r="DN620" s="27" t="s">
        <v>7</v>
      </c>
      <c r="DR620" s="27" t="s">
        <v>7</v>
      </c>
      <c r="DT620" s="27" t="s">
        <v>7</v>
      </c>
      <c r="DU620" s="27" t="s">
        <v>8</v>
      </c>
      <c r="DV620" s="27" t="s">
        <v>7</v>
      </c>
      <c r="DY620" s="27" t="s">
        <v>8</v>
      </c>
      <c r="DZ620" s="27" t="s">
        <v>7</v>
      </c>
      <c r="EA620" s="27" t="s">
        <v>8</v>
      </c>
      <c r="EJ620" s="27" t="s">
        <v>7</v>
      </c>
      <c r="EK620" s="27" t="s">
        <v>8</v>
      </c>
      <c r="EL620" s="27" t="s">
        <v>7</v>
      </c>
      <c r="GM620" s="27" t="s">
        <v>8</v>
      </c>
      <c r="GN620" s="27" t="s">
        <v>7</v>
      </c>
      <c r="GO620" s="27" t="s">
        <v>8</v>
      </c>
      <c r="GU620" s="27" t="s">
        <v>8</v>
      </c>
      <c r="GY620" s="27" t="s">
        <v>8</v>
      </c>
      <c r="GZ620" s="27" t="s">
        <v>7</v>
      </c>
      <c r="HE620" s="27" t="s">
        <v>8</v>
      </c>
      <c r="HF620" s="27" t="s">
        <v>7</v>
      </c>
      <c r="IK620" s="27" t="s">
        <v>8</v>
      </c>
      <c r="IL620" s="27" t="s">
        <v>7</v>
      </c>
      <c r="IS620" s="27" t="s">
        <v>8</v>
      </c>
      <c r="IT620" s="27" t="s">
        <v>7</v>
      </c>
    </row>
    <row r="621" spans="1:268" x14ac:dyDescent="0.25">
      <c r="A621" s="7">
        <v>0.51002816562648323</v>
      </c>
      <c r="B621"/>
      <c r="C621"/>
      <c r="D621"/>
      <c r="E621"/>
      <c r="F621" s="27" t="s">
        <v>7</v>
      </c>
      <c r="CE621" s="27" t="s">
        <v>8</v>
      </c>
      <c r="CF621" s="27" t="s">
        <v>7</v>
      </c>
      <c r="CI621" s="27" t="s">
        <v>8</v>
      </c>
      <c r="CJ621" s="27" t="s">
        <v>7</v>
      </c>
      <c r="CY621" s="27" t="s">
        <v>8</v>
      </c>
      <c r="DB621" s="27" t="s">
        <v>7</v>
      </c>
      <c r="DD621" s="27" t="s">
        <v>7</v>
      </c>
      <c r="DE621" s="27" t="s">
        <v>8</v>
      </c>
      <c r="DT621" s="27" t="s">
        <v>7</v>
      </c>
      <c r="DU621" s="27" t="s">
        <v>8</v>
      </c>
      <c r="DV621" s="27" t="s">
        <v>7</v>
      </c>
      <c r="DY621" s="27" t="s">
        <v>8</v>
      </c>
      <c r="DZ621" s="27" t="s">
        <v>7</v>
      </c>
      <c r="EA621" s="27" t="s">
        <v>8</v>
      </c>
      <c r="EJ621" s="27" t="s">
        <v>7</v>
      </c>
      <c r="EK621" s="27" t="s">
        <v>8</v>
      </c>
      <c r="EL621" s="27" t="s">
        <v>7</v>
      </c>
      <c r="GM621" s="27" t="s">
        <v>8</v>
      </c>
      <c r="GN621" s="27" t="s">
        <v>7</v>
      </c>
      <c r="GO621" s="27" t="s">
        <v>8</v>
      </c>
      <c r="GP621" s="27" t="s">
        <v>7</v>
      </c>
      <c r="GS621" s="27" t="s">
        <v>8</v>
      </c>
      <c r="GU621" s="27" t="s">
        <v>8</v>
      </c>
      <c r="GV621" s="27" t="s">
        <v>7</v>
      </c>
      <c r="GY621" s="27" t="s">
        <v>8</v>
      </c>
      <c r="GZ621" s="27" t="s">
        <v>7</v>
      </c>
      <c r="HE621" s="27" t="s">
        <v>8</v>
      </c>
      <c r="HF621" s="27" t="s">
        <v>7</v>
      </c>
      <c r="IK621" s="27" t="s">
        <v>8</v>
      </c>
      <c r="IL621" s="27" t="s">
        <v>7</v>
      </c>
      <c r="IS621" s="27" t="s">
        <v>8</v>
      </c>
      <c r="IT621" s="27" t="s">
        <v>7</v>
      </c>
    </row>
    <row r="622" spans="1:268" x14ac:dyDescent="0.25">
      <c r="A622" s="7">
        <v>0.50002761335929735</v>
      </c>
      <c r="B622"/>
      <c r="C622"/>
      <c r="D622"/>
      <c r="E622"/>
      <c r="F622" s="27" t="s">
        <v>7</v>
      </c>
      <c r="CE622" s="27" t="s">
        <v>8</v>
      </c>
      <c r="CF622" s="27" t="s">
        <v>7</v>
      </c>
      <c r="CG622" s="27" t="s">
        <v>8</v>
      </c>
      <c r="CI622" s="27" t="s">
        <v>8</v>
      </c>
      <c r="CJ622" s="27" t="s">
        <v>7</v>
      </c>
      <c r="CY622" s="27" t="s">
        <v>8</v>
      </c>
      <c r="DD622" s="27" t="s">
        <v>7</v>
      </c>
      <c r="DE622" s="27" t="s">
        <v>8</v>
      </c>
      <c r="DT622" s="27" t="s">
        <v>7</v>
      </c>
      <c r="DU622" s="27" t="s">
        <v>8</v>
      </c>
      <c r="DV622" s="27" t="s">
        <v>7</v>
      </c>
      <c r="DY622" s="27" t="s">
        <v>8</v>
      </c>
      <c r="DZ622" s="27" t="s">
        <v>7</v>
      </c>
      <c r="EA622" s="27" t="s">
        <v>8</v>
      </c>
      <c r="EJ622" s="27" t="s">
        <v>7</v>
      </c>
      <c r="EK622" s="27" t="s">
        <v>8</v>
      </c>
      <c r="EL622" s="27" t="s">
        <v>7</v>
      </c>
      <c r="GM622" s="27" t="s">
        <v>8</v>
      </c>
      <c r="GN622" s="27" t="s">
        <v>7</v>
      </c>
      <c r="GO622" s="27" t="s">
        <v>8</v>
      </c>
      <c r="GP622" s="27" t="s">
        <v>7</v>
      </c>
      <c r="GQ622" s="27" t="s">
        <v>8</v>
      </c>
      <c r="GS622" s="27" t="s">
        <v>8</v>
      </c>
      <c r="GT622" s="27" t="s">
        <v>7</v>
      </c>
      <c r="GU622" s="27" t="s">
        <v>8</v>
      </c>
      <c r="GV622" s="27" t="s">
        <v>7</v>
      </c>
      <c r="GW622" s="27" t="s">
        <v>8</v>
      </c>
      <c r="GY622" s="27" t="s">
        <v>8</v>
      </c>
      <c r="GZ622" s="27" t="s">
        <v>7</v>
      </c>
      <c r="HE622" s="27" t="s">
        <v>8</v>
      </c>
      <c r="HF622" s="27" t="s">
        <v>7</v>
      </c>
      <c r="II622" s="27" t="s">
        <v>8</v>
      </c>
      <c r="IK622" s="27" t="s">
        <v>8</v>
      </c>
      <c r="IL622" s="27" t="s">
        <v>7</v>
      </c>
      <c r="IS622" s="27" t="s">
        <v>8</v>
      </c>
      <c r="IT622" s="27" t="s">
        <v>7</v>
      </c>
      <c r="JG622" s="27" t="s">
        <v>8</v>
      </c>
    </row>
    <row r="623" spans="1:268" x14ac:dyDescent="0.25">
      <c r="A623" s="7">
        <v>0.49022315035225228</v>
      </c>
      <c r="B623"/>
      <c r="C623"/>
      <c r="D623"/>
      <c r="E623"/>
      <c r="F623" s="27" t="s">
        <v>7</v>
      </c>
      <c r="CE623" s="27" t="s">
        <v>8</v>
      </c>
      <c r="CF623" s="27" t="s">
        <v>7</v>
      </c>
      <c r="CG623" s="27" t="s">
        <v>8</v>
      </c>
      <c r="CH623" s="27" t="s">
        <v>7</v>
      </c>
      <c r="CI623" s="27" t="s">
        <v>8</v>
      </c>
      <c r="CJ623" s="27" t="s">
        <v>7</v>
      </c>
      <c r="CY623" s="27" t="s">
        <v>8</v>
      </c>
      <c r="DD623" s="27" t="s">
        <v>7</v>
      </c>
      <c r="DE623" s="27" t="s">
        <v>8</v>
      </c>
      <c r="DT623" s="27" t="s">
        <v>7</v>
      </c>
      <c r="DU623" s="27" t="s">
        <v>8</v>
      </c>
      <c r="DV623" s="27" t="s">
        <v>7</v>
      </c>
      <c r="DY623" s="27" t="s">
        <v>8</v>
      </c>
      <c r="DZ623" s="27" t="s">
        <v>7</v>
      </c>
      <c r="EA623" s="27" t="s">
        <v>8</v>
      </c>
      <c r="EJ623" s="27" t="s">
        <v>7</v>
      </c>
      <c r="EK623" s="27" t="s">
        <v>8</v>
      </c>
      <c r="EL623" s="27" t="s">
        <v>7</v>
      </c>
      <c r="EM623" s="27" t="s">
        <v>8</v>
      </c>
      <c r="GM623" s="27" t="s">
        <v>8</v>
      </c>
      <c r="GN623" s="27" t="s">
        <v>7</v>
      </c>
      <c r="GO623" s="27" t="s">
        <v>8</v>
      </c>
      <c r="GP623" s="27" t="s">
        <v>7</v>
      </c>
      <c r="GQ623" s="27" t="s">
        <v>8</v>
      </c>
      <c r="GR623" s="27" t="s">
        <v>7</v>
      </c>
      <c r="GS623" s="27" t="s">
        <v>8</v>
      </c>
      <c r="GT623" s="27" t="s">
        <v>7</v>
      </c>
      <c r="GU623" s="27" t="s">
        <v>8</v>
      </c>
      <c r="GV623" s="27" t="s">
        <v>7</v>
      </c>
      <c r="GW623" s="27" t="s">
        <v>8</v>
      </c>
      <c r="GX623" s="27" t="s">
        <v>7</v>
      </c>
      <c r="GY623" s="27" t="s">
        <v>8</v>
      </c>
      <c r="GZ623" s="27" t="s">
        <v>7</v>
      </c>
      <c r="HE623" s="27" t="s">
        <v>8</v>
      </c>
      <c r="HF623" s="27" t="s">
        <v>7</v>
      </c>
      <c r="II623" s="27" t="s">
        <v>8</v>
      </c>
      <c r="IJ623" s="27" t="s">
        <v>7</v>
      </c>
      <c r="IK623" s="27" t="s">
        <v>8</v>
      </c>
      <c r="IL623" s="27" t="s">
        <v>7</v>
      </c>
      <c r="IS623" s="27" t="s">
        <v>8</v>
      </c>
      <c r="IT623" s="27" t="s">
        <v>7</v>
      </c>
      <c r="JG623" s="27" t="s">
        <v>8</v>
      </c>
      <c r="JH623" s="27" t="s">
        <v>7</v>
      </c>
    </row>
    <row r="624" spans="1:268" x14ac:dyDescent="0.25">
      <c r="A624" s="7">
        <v>0.48061093171789437</v>
      </c>
      <c r="B624"/>
      <c r="C624"/>
      <c r="D624"/>
      <c r="E624"/>
      <c r="F624" s="27" t="s">
        <v>7</v>
      </c>
      <c r="CE624" s="27" t="s">
        <v>8</v>
      </c>
      <c r="CF624" s="27" t="s">
        <v>7</v>
      </c>
      <c r="CG624" s="27" t="s">
        <v>8</v>
      </c>
      <c r="CH624" s="27" t="s">
        <v>7</v>
      </c>
      <c r="CI624" s="27" t="s">
        <v>8</v>
      </c>
      <c r="CJ624" s="27" t="s">
        <v>7</v>
      </c>
      <c r="CY624" s="27" t="s">
        <v>8</v>
      </c>
      <c r="DD624" s="27" t="s">
        <v>7</v>
      </c>
      <c r="DE624" s="27" t="s">
        <v>8</v>
      </c>
      <c r="DT624" s="27" t="s">
        <v>7</v>
      </c>
      <c r="DU624" s="27" t="s">
        <v>8</v>
      </c>
      <c r="DV624" s="27" t="s">
        <v>7</v>
      </c>
      <c r="DY624" s="27" t="s">
        <v>8</v>
      </c>
      <c r="DZ624" s="27" t="s">
        <v>7</v>
      </c>
      <c r="EA624" s="27" t="s">
        <v>8</v>
      </c>
      <c r="EJ624" s="27" t="s">
        <v>7</v>
      </c>
      <c r="EL624" s="27" t="s">
        <v>7</v>
      </c>
      <c r="EM624" s="27" t="s">
        <v>8</v>
      </c>
      <c r="EN624" s="27" t="s">
        <v>7</v>
      </c>
      <c r="GM624" s="27" t="s">
        <v>8</v>
      </c>
      <c r="GN624" s="27" t="s">
        <v>7</v>
      </c>
      <c r="GO624" s="27" t="s">
        <v>8</v>
      </c>
      <c r="GP624" s="27" t="s">
        <v>7</v>
      </c>
      <c r="GQ624" s="27" t="s">
        <v>8</v>
      </c>
      <c r="GR624" s="27" t="s">
        <v>7</v>
      </c>
      <c r="GS624" s="27" t="s">
        <v>8</v>
      </c>
      <c r="GT624" s="27" t="s">
        <v>7</v>
      </c>
      <c r="GU624" s="27" t="s">
        <v>8</v>
      </c>
      <c r="GV624" s="27" t="s">
        <v>7</v>
      </c>
      <c r="GW624" s="27" t="s">
        <v>8</v>
      </c>
      <c r="GX624" s="27" t="s">
        <v>7</v>
      </c>
      <c r="GY624" s="27" t="s">
        <v>8</v>
      </c>
      <c r="GZ624" s="27" t="s">
        <v>7</v>
      </c>
      <c r="HE624" s="27" t="s">
        <v>8</v>
      </c>
      <c r="HF624" s="27" t="s">
        <v>7</v>
      </c>
      <c r="II624" s="27" t="s">
        <v>8</v>
      </c>
      <c r="IJ624" s="27" t="s">
        <v>7</v>
      </c>
      <c r="IK624" s="27" t="s">
        <v>8</v>
      </c>
      <c r="IL624" s="27" t="s">
        <v>7</v>
      </c>
      <c r="IS624" s="27" t="s">
        <v>8</v>
      </c>
      <c r="IT624" s="27" t="s">
        <v>7</v>
      </c>
      <c r="JG624" s="27" t="s">
        <v>8</v>
      </c>
      <c r="JH624" s="27" t="s">
        <v>7</v>
      </c>
    </row>
    <row r="625" spans="1:278" x14ac:dyDescent="0.25">
      <c r="A625" s="7">
        <v>0.47118718795871994</v>
      </c>
      <c r="B625"/>
      <c r="C625"/>
      <c r="D625"/>
      <c r="E625"/>
      <c r="F625" s="27" t="s">
        <v>7</v>
      </c>
      <c r="CE625" s="27" t="s">
        <v>8</v>
      </c>
      <c r="CF625" s="27" t="s">
        <v>7</v>
      </c>
      <c r="CG625" s="27" t="s">
        <v>8</v>
      </c>
      <c r="CH625" s="27" t="s">
        <v>7</v>
      </c>
      <c r="CI625" s="27" t="s">
        <v>8</v>
      </c>
      <c r="CJ625" s="27" t="s">
        <v>7</v>
      </c>
      <c r="CW625" s="27" t="s">
        <v>8</v>
      </c>
      <c r="CY625" s="27" t="s">
        <v>8</v>
      </c>
      <c r="DD625" s="27" t="s">
        <v>7</v>
      </c>
      <c r="DT625" s="27" t="s">
        <v>7</v>
      </c>
      <c r="DU625" s="27" t="s">
        <v>8</v>
      </c>
      <c r="DV625" s="27" t="s">
        <v>7</v>
      </c>
      <c r="DY625" s="27" t="s">
        <v>8</v>
      </c>
      <c r="DZ625" s="27" t="s">
        <v>7</v>
      </c>
      <c r="EA625" s="27" t="s">
        <v>8</v>
      </c>
      <c r="EL625" s="27" t="s">
        <v>7</v>
      </c>
      <c r="EM625" s="27" t="s">
        <v>8</v>
      </c>
      <c r="EN625" s="27" t="s">
        <v>7</v>
      </c>
      <c r="GM625" s="27" t="s">
        <v>8</v>
      </c>
      <c r="GN625" s="27" t="s">
        <v>7</v>
      </c>
      <c r="GP625" s="27" t="s">
        <v>7</v>
      </c>
      <c r="GQ625" s="27" t="s">
        <v>8</v>
      </c>
      <c r="GR625" s="27" t="s">
        <v>7</v>
      </c>
      <c r="GS625" s="27" t="s">
        <v>8</v>
      </c>
      <c r="GT625" s="27" t="s">
        <v>7</v>
      </c>
      <c r="GV625" s="27" t="s">
        <v>7</v>
      </c>
      <c r="GW625" s="27" t="s">
        <v>8</v>
      </c>
      <c r="GX625" s="27" t="s">
        <v>7</v>
      </c>
      <c r="GY625" s="27" t="s">
        <v>8</v>
      </c>
      <c r="GZ625" s="27" t="s">
        <v>7</v>
      </c>
      <c r="HE625" s="27" t="s">
        <v>8</v>
      </c>
      <c r="HF625" s="27" t="s">
        <v>7</v>
      </c>
      <c r="II625" s="27" t="s">
        <v>8</v>
      </c>
      <c r="IJ625" s="27" t="s">
        <v>7</v>
      </c>
      <c r="IK625" s="27" t="s">
        <v>8</v>
      </c>
      <c r="IL625" s="27" t="s">
        <v>7</v>
      </c>
      <c r="IS625" s="27" t="s">
        <v>8</v>
      </c>
      <c r="IT625" s="27" t="s">
        <v>7</v>
      </c>
      <c r="JG625" s="27" t="s">
        <v>8</v>
      </c>
      <c r="JH625" s="27" t="s">
        <v>7</v>
      </c>
    </row>
    <row r="626" spans="1:278" x14ac:dyDescent="0.25">
      <c r="A626" s="7">
        <v>0.46194822348894116</v>
      </c>
      <c r="B626"/>
      <c r="C626"/>
      <c r="D626"/>
      <c r="E626"/>
      <c r="F626" s="27" t="s">
        <v>7</v>
      </c>
      <c r="CE626" s="27" t="s">
        <v>8</v>
      </c>
      <c r="CF626" s="27" t="s">
        <v>7</v>
      </c>
      <c r="CG626" s="27" t="s">
        <v>8</v>
      </c>
      <c r="CH626" s="27" t="s">
        <v>7</v>
      </c>
      <c r="CI626" s="27" t="s">
        <v>8</v>
      </c>
      <c r="CJ626" s="27" t="s">
        <v>7</v>
      </c>
      <c r="CW626" s="27" t="s">
        <v>8</v>
      </c>
      <c r="CX626" s="27" t="s">
        <v>7</v>
      </c>
      <c r="CY626" s="27" t="s">
        <v>8</v>
      </c>
      <c r="DT626" s="27" t="s">
        <v>7</v>
      </c>
      <c r="DV626" s="27" t="s">
        <v>7</v>
      </c>
      <c r="DY626" s="27" t="s">
        <v>8</v>
      </c>
      <c r="DZ626" s="27" t="s">
        <v>7</v>
      </c>
      <c r="EL626" s="27" t="s">
        <v>7</v>
      </c>
      <c r="EM626" s="27" t="s">
        <v>8</v>
      </c>
      <c r="EN626" s="27" t="s">
        <v>7</v>
      </c>
      <c r="GM626" s="27" t="s">
        <v>8</v>
      </c>
      <c r="GP626" s="27" t="s">
        <v>7</v>
      </c>
      <c r="GQ626" s="27" t="s">
        <v>8</v>
      </c>
      <c r="GR626" s="27" t="s">
        <v>7</v>
      </c>
      <c r="GS626" s="27" t="s">
        <v>8</v>
      </c>
      <c r="GV626" s="27" t="s">
        <v>7</v>
      </c>
      <c r="GW626" s="27" t="s">
        <v>8</v>
      </c>
      <c r="GX626" s="27" t="s">
        <v>7</v>
      </c>
      <c r="GY626" s="27" t="s">
        <v>8</v>
      </c>
      <c r="GZ626" s="27" t="s">
        <v>7</v>
      </c>
      <c r="HE626" s="27" t="s">
        <v>8</v>
      </c>
      <c r="HF626" s="27" t="s">
        <v>7</v>
      </c>
      <c r="HU626" s="27" t="s">
        <v>8</v>
      </c>
      <c r="II626" s="27" t="s">
        <v>8</v>
      </c>
      <c r="IJ626" s="27" t="s">
        <v>7</v>
      </c>
      <c r="IK626" s="27" t="s">
        <v>8</v>
      </c>
      <c r="IL626" s="27" t="s">
        <v>7</v>
      </c>
      <c r="IS626" s="27" t="s">
        <v>8</v>
      </c>
      <c r="IT626" s="27" t="s">
        <v>7</v>
      </c>
      <c r="JG626" s="27" t="s">
        <v>8</v>
      </c>
      <c r="JH626" s="27" t="s">
        <v>7</v>
      </c>
      <c r="JK626" s="27" t="s">
        <v>8</v>
      </c>
      <c r="JO626" s="27" t="s">
        <v>8</v>
      </c>
    </row>
    <row r="627" spans="1:278" x14ac:dyDescent="0.25">
      <c r="A627" s="7">
        <v>0.45289041518523643</v>
      </c>
      <c r="B627"/>
      <c r="C627"/>
      <c r="D627"/>
      <c r="E627"/>
      <c r="F627" s="27" t="s">
        <v>7</v>
      </c>
      <c r="CE627" s="27" t="s">
        <v>8</v>
      </c>
      <c r="CF627" s="27" t="s">
        <v>7</v>
      </c>
      <c r="CG627" s="27" t="s">
        <v>8</v>
      </c>
      <c r="CH627" s="27" t="s">
        <v>7</v>
      </c>
      <c r="CI627" s="27" t="s">
        <v>8</v>
      </c>
      <c r="CJ627" s="27" t="s">
        <v>7</v>
      </c>
      <c r="CW627" s="27" t="s">
        <v>8</v>
      </c>
      <c r="CX627" s="27" t="s">
        <v>7</v>
      </c>
      <c r="CY627" s="27" t="s">
        <v>8</v>
      </c>
      <c r="DV627" s="27" t="s">
        <v>7</v>
      </c>
      <c r="DY627" s="27" t="s">
        <v>8</v>
      </c>
      <c r="EL627" s="27" t="s">
        <v>7</v>
      </c>
      <c r="EM627" s="27" t="s">
        <v>8</v>
      </c>
      <c r="EN627" s="27" t="s">
        <v>7</v>
      </c>
      <c r="GM627" s="27" t="s">
        <v>8</v>
      </c>
      <c r="GP627" s="27" t="s">
        <v>7</v>
      </c>
      <c r="GQ627" s="27" t="s">
        <v>8</v>
      </c>
      <c r="GR627" s="27" t="s">
        <v>7</v>
      </c>
      <c r="GS627" s="27" t="s">
        <v>8</v>
      </c>
      <c r="GV627" s="27" t="s">
        <v>7</v>
      </c>
      <c r="GW627" s="27" t="s">
        <v>8</v>
      </c>
      <c r="GX627" s="27" t="s">
        <v>7</v>
      </c>
      <c r="GZ627" s="27" t="s">
        <v>7</v>
      </c>
      <c r="HE627" s="27" t="s">
        <v>8</v>
      </c>
      <c r="HF627" s="27" t="s">
        <v>7</v>
      </c>
      <c r="HG627" s="27" t="s">
        <v>8</v>
      </c>
      <c r="HU627" s="27" t="s">
        <v>8</v>
      </c>
      <c r="HV627" s="27" t="s">
        <v>7</v>
      </c>
      <c r="HW627" s="27" t="s">
        <v>8</v>
      </c>
      <c r="II627" s="27" t="s">
        <v>8</v>
      </c>
      <c r="IJ627" s="27" t="s">
        <v>7</v>
      </c>
      <c r="IK627" s="27" t="s">
        <v>8</v>
      </c>
      <c r="IL627" s="27" t="s">
        <v>7</v>
      </c>
      <c r="IS627" s="27" t="s">
        <v>8</v>
      </c>
      <c r="IT627" s="27" t="s">
        <v>7</v>
      </c>
      <c r="JG627" s="27" t="s">
        <v>8</v>
      </c>
      <c r="JH627" s="27" t="s">
        <v>7</v>
      </c>
      <c r="JK627" s="27" t="s">
        <v>8</v>
      </c>
      <c r="JL627" s="27" t="s">
        <v>7</v>
      </c>
      <c r="JO627" s="27" t="s">
        <v>8</v>
      </c>
      <c r="JP627" s="27" t="s">
        <v>7</v>
      </c>
    </row>
    <row r="628" spans="1:278" x14ac:dyDescent="0.25">
      <c r="A628" s="7">
        <v>0.44401021096591808</v>
      </c>
      <c r="B628"/>
      <c r="C628"/>
      <c r="D628"/>
      <c r="E628"/>
      <c r="F628" s="27" t="s">
        <v>7</v>
      </c>
      <c r="CE628" s="27" t="s">
        <v>8</v>
      </c>
      <c r="CF628" s="27" t="s">
        <v>7</v>
      </c>
      <c r="CG628" s="27" t="s">
        <v>8</v>
      </c>
      <c r="CH628" s="27" t="s">
        <v>7</v>
      </c>
      <c r="CI628" s="27" t="s">
        <v>8</v>
      </c>
      <c r="CJ628" s="27" t="s">
        <v>7</v>
      </c>
      <c r="CK628" s="27" t="s">
        <v>8</v>
      </c>
      <c r="CW628" s="27" t="s">
        <v>8</v>
      </c>
      <c r="CX628" s="27" t="s">
        <v>7</v>
      </c>
      <c r="CY628" s="27" t="s">
        <v>8</v>
      </c>
      <c r="DV628" s="27" t="s">
        <v>7</v>
      </c>
      <c r="DY628" s="27" t="s">
        <v>8</v>
      </c>
      <c r="EL628" s="27" t="s">
        <v>7</v>
      </c>
      <c r="EM628" s="27" t="s">
        <v>8</v>
      </c>
      <c r="EN628" s="27" t="s">
        <v>7</v>
      </c>
      <c r="ES628" s="27" t="s">
        <v>8</v>
      </c>
      <c r="GM628" s="27" t="s">
        <v>8</v>
      </c>
      <c r="GP628" s="27" t="s">
        <v>7</v>
      </c>
      <c r="GQ628" s="27" t="s">
        <v>8</v>
      </c>
      <c r="GR628" s="27" t="s">
        <v>7</v>
      </c>
      <c r="GS628" s="27" t="s">
        <v>8</v>
      </c>
      <c r="GV628" s="27" t="s">
        <v>7</v>
      </c>
      <c r="GW628" s="27" t="s">
        <v>8</v>
      </c>
      <c r="GZ628" s="27" t="s">
        <v>7</v>
      </c>
      <c r="HE628" s="27" t="s">
        <v>8</v>
      </c>
      <c r="HF628" s="27" t="s">
        <v>7</v>
      </c>
      <c r="HG628" s="27" t="s">
        <v>8</v>
      </c>
      <c r="HH628" s="27" t="s">
        <v>7</v>
      </c>
      <c r="HS628" s="27" t="s">
        <v>8</v>
      </c>
      <c r="HU628" s="27" t="s">
        <v>8</v>
      </c>
      <c r="HV628" s="27" t="s">
        <v>7</v>
      </c>
      <c r="HW628" s="27" t="s">
        <v>8</v>
      </c>
      <c r="HX628" s="27" t="s">
        <v>7</v>
      </c>
      <c r="IE628" s="27" t="s">
        <v>8</v>
      </c>
      <c r="II628" s="27" t="s">
        <v>8</v>
      </c>
      <c r="IJ628" s="27" t="s">
        <v>7</v>
      </c>
      <c r="IK628" s="27" t="s">
        <v>8</v>
      </c>
      <c r="IL628" s="27" t="s">
        <v>7</v>
      </c>
      <c r="IS628" s="27" t="s">
        <v>8</v>
      </c>
      <c r="IT628" s="27" t="s">
        <v>7</v>
      </c>
      <c r="JG628" s="27" t="s">
        <v>8</v>
      </c>
      <c r="JH628" s="27" t="s">
        <v>7</v>
      </c>
      <c r="JK628" s="27" t="s">
        <v>8</v>
      </c>
      <c r="JL628" s="27" t="s">
        <v>7</v>
      </c>
      <c r="JO628" s="27" t="s">
        <v>8</v>
      </c>
      <c r="JP628" s="27" t="s">
        <v>7</v>
      </c>
    </row>
    <row r="629" spans="1:278" x14ac:dyDescent="0.25">
      <c r="A629" s="7">
        <v>0.4353041283979589</v>
      </c>
      <c r="B629"/>
      <c r="C629"/>
      <c r="D629"/>
      <c r="E629"/>
      <c r="F629" s="27" t="s">
        <v>7</v>
      </c>
      <c r="CE629" s="27" t="s">
        <v>8</v>
      </c>
      <c r="CF629" s="27" t="s">
        <v>7</v>
      </c>
      <c r="CG629" s="27" t="s">
        <v>8</v>
      </c>
      <c r="CH629" s="27" t="s">
        <v>7</v>
      </c>
      <c r="CI629" s="27" t="s">
        <v>8</v>
      </c>
      <c r="CJ629" s="27" t="s">
        <v>7</v>
      </c>
      <c r="CK629" s="27" t="s">
        <v>8</v>
      </c>
      <c r="CL629" s="27" t="s">
        <v>7</v>
      </c>
      <c r="CU629" s="27" t="s">
        <v>8</v>
      </c>
      <c r="CW629" s="27" t="s">
        <v>8</v>
      </c>
      <c r="CX629" s="27" t="s">
        <v>7</v>
      </c>
      <c r="CY629" s="27" t="s">
        <v>8</v>
      </c>
      <c r="DV629" s="27" t="s">
        <v>7</v>
      </c>
      <c r="DY629" s="27" t="s">
        <v>8</v>
      </c>
      <c r="EL629" s="27" t="s">
        <v>7</v>
      </c>
      <c r="EM629" s="27" t="s">
        <v>8</v>
      </c>
      <c r="EN629" s="27" t="s">
        <v>7</v>
      </c>
      <c r="ES629" s="27" t="s">
        <v>8</v>
      </c>
      <c r="ET629" s="27" t="s">
        <v>7</v>
      </c>
      <c r="GM629" s="27" t="s">
        <v>8</v>
      </c>
      <c r="GP629" s="27" t="s">
        <v>7</v>
      </c>
      <c r="GQ629" s="27" t="s">
        <v>8</v>
      </c>
      <c r="GR629" s="27" t="s">
        <v>7</v>
      </c>
      <c r="GS629" s="27" t="s">
        <v>8</v>
      </c>
      <c r="GV629" s="27" t="s">
        <v>7</v>
      </c>
      <c r="GW629" s="27" t="s">
        <v>8</v>
      </c>
      <c r="GZ629" s="27" t="s">
        <v>7</v>
      </c>
      <c r="HE629" s="27" t="s">
        <v>8</v>
      </c>
      <c r="HF629" s="27" t="s">
        <v>7</v>
      </c>
      <c r="HG629" s="27" t="s">
        <v>8</v>
      </c>
      <c r="HH629" s="27" t="s">
        <v>7</v>
      </c>
      <c r="HS629" s="27" t="s">
        <v>8</v>
      </c>
      <c r="HT629" s="27" t="s">
        <v>7</v>
      </c>
      <c r="HU629" s="27" t="s">
        <v>8</v>
      </c>
      <c r="HV629" s="27" t="s">
        <v>7</v>
      </c>
      <c r="HW629" s="27" t="s">
        <v>8</v>
      </c>
      <c r="HX629" s="27" t="s">
        <v>7</v>
      </c>
      <c r="IE629" s="27" t="s">
        <v>8</v>
      </c>
      <c r="IF629" s="27" t="s">
        <v>7</v>
      </c>
      <c r="II629" s="27" t="s">
        <v>8</v>
      </c>
      <c r="IJ629" s="27" t="s">
        <v>7</v>
      </c>
      <c r="IK629" s="27" t="s">
        <v>8</v>
      </c>
      <c r="IL629" s="27" t="s">
        <v>7</v>
      </c>
      <c r="IM629" s="27" t="s">
        <v>8</v>
      </c>
      <c r="IS629" s="27" t="s">
        <v>8</v>
      </c>
      <c r="IT629" s="27" t="s">
        <v>7</v>
      </c>
      <c r="JG629" s="27" t="s">
        <v>8</v>
      </c>
      <c r="JH629" s="27" t="s">
        <v>7</v>
      </c>
      <c r="JI629" s="27" t="s">
        <v>8</v>
      </c>
      <c r="JK629" s="27" t="s">
        <v>8</v>
      </c>
      <c r="JL629" s="27" t="s">
        <v>7</v>
      </c>
      <c r="JO629" s="27" t="s">
        <v>8</v>
      </c>
      <c r="JP629" s="27" t="s">
        <v>7</v>
      </c>
    </row>
    <row r="630" spans="1:278" x14ac:dyDescent="0.25">
      <c r="A630" s="7">
        <v>0.4267687533313323</v>
      </c>
      <c r="B630"/>
      <c r="C630"/>
      <c r="D630"/>
      <c r="E630"/>
      <c r="F630" s="27" t="s">
        <v>7</v>
      </c>
      <c r="CE630" s="27" t="s">
        <v>8</v>
      </c>
      <c r="CF630" s="27" t="s">
        <v>7</v>
      </c>
      <c r="CG630" s="27" t="s">
        <v>8</v>
      </c>
      <c r="CH630" s="27" t="s">
        <v>7</v>
      </c>
      <c r="CI630" s="27" t="s">
        <v>8</v>
      </c>
      <c r="CJ630" s="27" t="s">
        <v>7</v>
      </c>
      <c r="CK630" s="27" t="s">
        <v>8</v>
      </c>
      <c r="CL630" s="27" t="s">
        <v>7</v>
      </c>
      <c r="CU630" s="27" t="s">
        <v>8</v>
      </c>
      <c r="CV630" s="27" t="s">
        <v>7</v>
      </c>
      <c r="CW630" s="27" t="s">
        <v>8</v>
      </c>
      <c r="CX630" s="27" t="s">
        <v>7</v>
      </c>
      <c r="CY630" s="27" t="s">
        <v>8</v>
      </c>
      <c r="DV630" s="27" t="s">
        <v>7</v>
      </c>
      <c r="DW630" s="27" t="s">
        <v>8</v>
      </c>
      <c r="DY630" s="27" t="s">
        <v>8</v>
      </c>
      <c r="EL630" s="27" t="s">
        <v>7</v>
      </c>
      <c r="EM630" s="27" t="s">
        <v>8</v>
      </c>
      <c r="EN630" s="27" t="s">
        <v>7</v>
      </c>
      <c r="ES630" s="27" t="s">
        <v>8</v>
      </c>
      <c r="ET630" s="27" t="s">
        <v>7</v>
      </c>
      <c r="GM630" s="27" t="s">
        <v>8</v>
      </c>
      <c r="GP630" s="27" t="s">
        <v>7</v>
      </c>
      <c r="GR630" s="27" t="s">
        <v>7</v>
      </c>
      <c r="GS630" s="27" t="s">
        <v>8</v>
      </c>
      <c r="GV630" s="27" t="s">
        <v>7</v>
      </c>
      <c r="GZ630" s="27" t="s">
        <v>7</v>
      </c>
      <c r="HA630" s="27" t="s">
        <v>8</v>
      </c>
      <c r="HE630" s="27" t="s">
        <v>8</v>
      </c>
      <c r="HF630" s="27" t="s">
        <v>7</v>
      </c>
      <c r="HG630" s="27" t="s">
        <v>8</v>
      </c>
      <c r="HH630" s="27" t="s">
        <v>7</v>
      </c>
      <c r="HS630" s="27" t="s">
        <v>8</v>
      </c>
      <c r="HT630" s="27" t="s">
        <v>7</v>
      </c>
      <c r="HU630" s="27" t="s">
        <v>8</v>
      </c>
      <c r="HV630" s="27" t="s">
        <v>7</v>
      </c>
      <c r="HX630" s="27" t="s">
        <v>7</v>
      </c>
      <c r="IE630" s="27" t="s">
        <v>8</v>
      </c>
      <c r="IF630" s="27" t="s">
        <v>7</v>
      </c>
      <c r="IG630" s="27" t="s">
        <v>8</v>
      </c>
      <c r="II630" s="27" t="s">
        <v>8</v>
      </c>
      <c r="IJ630" s="27" t="s">
        <v>7</v>
      </c>
      <c r="IK630" s="27" t="s">
        <v>8</v>
      </c>
      <c r="IL630" s="27" t="s">
        <v>7</v>
      </c>
      <c r="IM630" s="27" t="s">
        <v>8</v>
      </c>
      <c r="IN630" s="27" t="s">
        <v>7</v>
      </c>
      <c r="IS630" s="27" t="s">
        <v>8</v>
      </c>
      <c r="IT630" s="27" t="s">
        <v>7</v>
      </c>
      <c r="JG630" s="27" t="s">
        <v>8</v>
      </c>
      <c r="JH630" s="27" t="s">
        <v>7</v>
      </c>
      <c r="JI630" s="27" t="s">
        <v>8</v>
      </c>
      <c r="JJ630" s="27" t="s">
        <v>7</v>
      </c>
      <c r="JK630" s="27" t="s">
        <v>8</v>
      </c>
      <c r="JL630" s="27" t="s">
        <v>7</v>
      </c>
      <c r="JO630" s="27" t="s">
        <v>8</v>
      </c>
      <c r="JP630" s="27" t="s">
        <v>7</v>
      </c>
    </row>
    <row r="631" spans="1:278" x14ac:dyDescent="0.25">
      <c r="A631" s="7">
        <v>0.41840073856012971</v>
      </c>
      <c r="B631"/>
      <c r="C631"/>
      <c r="D631"/>
      <c r="E631"/>
      <c r="F631" s="27" t="s">
        <v>7</v>
      </c>
      <c r="CE631" s="27" t="s">
        <v>8</v>
      </c>
      <c r="CF631" s="27" t="s">
        <v>7</v>
      </c>
      <c r="CG631" s="27" t="s">
        <v>8</v>
      </c>
      <c r="CH631" s="27" t="s">
        <v>7</v>
      </c>
      <c r="CI631" s="27" t="s">
        <v>8</v>
      </c>
      <c r="CJ631" s="27" t="s">
        <v>7</v>
      </c>
      <c r="CK631" s="27" t="s">
        <v>8</v>
      </c>
      <c r="CL631" s="27" t="s">
        <v>7</v>
      </c>
      <c r="CU631" s="27" t="s">
        <v>8</v>
      </c>
      <c r="CV631" s="27" t="s">
        <v>7</v>
      </c>
      <c r="CW631" s="27" t="s">
        <v>8</v>
      </c>
      <c r="CX631" s="27" t="s">
        <v>7</v>
      </c>
      <c r="DV631" s="27" t="s">
        <v>7</v>
      </c>
      <c r="DW631" s="27" t="s">
        <v>8</v>
      </c>
      <c r="DX631" s="27" t="s">
        <v>7</v>
      </c>
      <c r="DY631" s="27" t="s">
        <v>8</v>
      </c>
      <c r="EL631" s="27" t="s">
        <v>7</v>
      </c>
      <c r="EM631" s="27" t="s">
        <v>8</v>
      </c>
      <c r="EN631" s="27" t="s">
        <v>7</v>
      </c>
      <c r="ES631" s="27" t="s">
        <v>8</v>
      </c>
      <c r="ET631" s="27" t="s">
        <v>7</v>
      </c>
      <c r="EW631" s="27" t="s">
        <v>8</v>
      </c>
      <c r="GM631" s="27" t="s">
        <v>8</v>
      </c>
      <c r="GR631" s="27" t="s">
        <v>7</v>
      </c>
      <c r="GS631" s="27" t="s">
        <v>8</v>
      </c>
      <c r="GZ631" s="27" t="s">
        <v>7</v>
      </c>
      <c r="HA631" s="27" t="s">
        <v>8</v>
      </c>
      <c r="HB631" s="27" t="s">
        <v>7</v>
      </c>
      <c r="HE631" s="27" t="s">
        <v>8</v>
      </c>
      <c r="HF631" s="27" t="s">
        <v>7</v>
      </c>
      <c r="HG631" s="27" t="s">
        <v>8</v>
      </c>
      <c r="HH631" s="27" t="s">
        <v>7</v>
      </c>
      <c r="HI631" s="27" t="s">
        <v>8</v>
      </c>
      <c r="HS631" s="27" t="s">
        <v>8</v>
      </c>
      <c r="HT631" s="27" t="s">
        <v>7</v>
      </c>
      <c r="HU631" s="27" t="s">
        <v>8</v>
      </c>
      <c r="HX631" s="27" t="s">
        <v>7</v>
      </c>
      <c r="HY631" s="27" t="s">
        <v>8</v>
      </c>
      <c r="IC631" s="27" t="s">
        <v>8</v>
      </c>
      <c r="IE631" s="27" t="s">
        <v>8</v>
      </c>
      <c r="IF631" s="27" t="s">
        <v>7</v>
      </c>
      <c r="IG631" s="27" t="s">
        <v>8</v>
      </c>
      <c r="IH631" s="27" t="s">
        <v>7</v>
      </c>
      <c r="II631" s="27" t="s">
        <v>8</v>
      </c>
      <c r="IJ631" s="27" t="s">
        <v>7</v>
      </c>
      <c r="IK631" s="27" t="s">
        <v>8</v>
      </c>
      <c r="IL631" s="27" t="s">
        <v>7</v>
      </c>
      <c r="IM631" s="27" t="s">
        <v>8</v>
      </c>
      <c r="IN631" s="27" t="s">
        <v>7</v>
      </c>
      <c r="IS631" s="27" t="s">
        <v>8</v>
      </c>
      <c r="IT631" s="27" t="s">
        <v>7</v>
      </c>
      <c r="JG631" s="27" t="s">
        <v>8</v>
      </c>
      <c r="JH631" s="27" t="s">
        <v>7</v>
      </c>
      <c r="JI631" s="27" t="s">
        <v>8</v>
      </c>
      <c r="JJ631" s="27" t="s">
        <v>7</v>
      </c>
      <c r="JK631" s="27" t="s">
        <v>8</v>
      </c>
      <c r="JL631" s="27" t="s">
        <v>7</v>
      </c>
      <c r="JO631" s="27" t="s">
        <v>8</v>
      </c>
      <c r="JP631" s="27" t="s">
        <v>7</v>
      </c>
    </row>
    <row r="632" spans="1:278" x14ac:dyDescent="0.25">
      <c r="A632" s="7">
        <v>0.41019680250993112</v>
      </c>
      <c r="B632"/>
      <c r="C632"/>
      <c r="D632"/>
      <c r="E632"/>
      <c r="F632" s="27" t="s">
        <v>7</v>
      </c>
      <c r="CE632" s="27" t="s">
        <v>8</v>
      </c>
      <c r="CF632" s="27" t="s">
        <v>7</v>
      </c>
      <c r="CH632" s="27" t="s">
        <v>7</v>
      </c>
      <c r="CI632" s="27" t="s">
        <v>8</v>
      </c>
      <c r="CJ632" s="27" t="s">
        <v>7</v>
      </c>
      <c r="CK632" s="27" t="s">
        <v>8</v>
      </c>
      <c r="CL632" s="27" t="s">
        <v>7</v>
      </c>
      <c r="CU632" s="27" t="s">
        <v>8</v>
      </c>
      <c r="CV632" s="27" t="s">
        <v>7</v>
      </c>
      <c r="CW632" s="27" t="s">
        <v>8</v>
      </c>
      <c r="DV632" s="27" t="s">
        <v>7</v>
      </c>
      <c r="DW632" s="27" t="s">
        <v>8</v>
      </c>
      <c r="DX632" s="27" t="s">
        <v>7</v>
      </c>
      <c r="DY632" s="27" t="s">
        <v>8</v>
      </c>
      <c r="EL632" s="27" t="s">
        <v>7</v>
      </c>
      <c r="EM632" s="27" t="s">
        <v>8</v>
      </c>
      <c r="EN632" s="27" t="s">
        <v>7</v>
      </c>
      <c r="ES632" s="27" t="s">
        <v>8</v>
      </c>
      <c r="ET632" s="27" t="s">
        <v>7</v>
      </c>
      <c r="EW632" s="27" t="s">
        <v>8</v>
      </c>
      <c r="EX632" s="27" t="s">
        <v>7</v>
      </c>
      <c r="GM632" s="27" t="s">
        <v>8</v>
      </c>
      <c r="GR632" s="27" t="s">
        <v>7</v>
      </c>
      <c r="GZ632" s="27" t="s">
        <v>7</v>
      </c>
      <c r="HA632" s="27" t="s">
        <v>8</v>
      </c>
      <c r="HB632" s="27" t="s">
        <v>7</v>
      </c>
      <c r="HE632" s="27" t="s">
        <v>8</v>
      </c>
      <c r="HF632" s="27" t="s">
        <v>7</v>
      </c>
      <c r="HG632" s="27" t="s">
        <v>8</v>
      </c>
      <c r="HH632" s="27" t="s">
        <v>7</v>
      </c>
      <c r="HI632" s="27" t="s">
        <v>8</v>
      </c>
      <c r="HJ632" s="27" t="s">
        <v>7</v>
      </c>
      <c r="HS632" s="27" t="s">
        <v>8</v>
      </c>
      <c r="HT632" s="27" t="s">
        <v>7</v>
      </c>
      <c r="HU632" s="27" t="s">
        <v>8</v>
      </c>
      <c r="HX632" s="27" t="s">
        <v>7</v>
      </c>
      <c r="HY632" s="27" t="s">
        <v>8</v>
      </c>
      <c r="HZ632" s="27" t="s">
        <v>7</v>
      </c>
      <c r="IC632" s="27" t="s">
        <v>8</v>
      </c>
      <c r="ID632" s="27" t="s">
        <v>7</v>
      </c>
      <c r="IE632" s="27" t="s">
        <v>8</v>
      </c>
      <c r="IF632" s="27" t="s">
        <v>7</v>
      </c>
      <c r="IG632" s="27" t="s">
        <v>8</v>
      </c>
      <c r="IH632" s="27" t="s">
        <v>7</v>
      </c>
      <c r="II632" s="27" t="s">
        <v>8</v>
      </c>
      <c r="IJ632" s="27" t="s">
        <v>7</v>
      </c>
      <c r="IK632" s="27" t="s">
        <v>8</v>
      </c>
      <c r="IL632" s="27" t="s">
        <v>7</v>
      </c>
      <c r="IM632" s="27" t="s">
        <v>8</v>
      </c>
      <c r="IN632" s="27" t="s">
        <v>7</v>
      </c>
      <c r="IQ632" s="27" t="s">
        <v>8</v>
      </c>
      <c r="IS632" s="27" t="s">
        <v>8</v>
      </c>
      <c r="IT632" s="27" t="s">
        <v>7</v>
      </c>
      <c r="JG632" s="27" t="s">
        <v>8</v>
      </c>
      <c r="JH632" s="27" t="s">
        <v>7</v>
      </c>
      <c r="JI632" s="27" t="s">
        <v>8</v>
      </c>
      <c r="JJ632" s="27" t="s">
        <v>7</v>
      </c>
      <c r="JK632" s="27" t="s">
        <v>8</v>
      </c>
      <c r="JL632" s="27" t="s">
        <v>7</v>
      </c>
      <c r="JO632" s="27" t="s">
        <v>8</v>
      </c>
      <c r="JP632" s="27" t="s">
        <v>7</v>
      </c>
    </row>
    <row r="633" spans="1:278" x14ac:dyDescent="0.25">
      <c r="A633" s="7">
        <v>0.40215372795091286</v>
      </c>
      <c r="B633"/>
      <c r="C633"/>
      <c r="D633"/>
      <c r="E633"/>
      <c r="F633" s="27" t="s">
        <v>7</v>
      </c>
      <c r="CE633" s="27" t="s">
        <v>8</v>
      </c>
      <c r="CH633" s="27" t="s">
        <v>7</v>
      </c>
      <c r="CI633" s="27" t="s">
        <v>8</v>
      </c>
      <c r="CJ633" s="27" t="s">
        <v>7</v>
      </c>
      <c r="CK633" s="27" t="s">
        <v>8</v>
      </c>
      <c r="CL633" s="27" t="s">
        <v>7</v>
      </c>
      <c r="CM633" s="27" t="s">
        <v>8</v>
      </c>
      <c r="CU633" s="27" t="s">
        <v>8</v>
      </c>
      <c r="CV633" s="27" t="s">
        <v>7</v>
      </c>
      <c r="CW633" s="27" t="s">
        <v>8</v>
      </c>
      <c r="DV633" s="27" t="s">
        <v>7</v>
      </c>
      <c r="DW633" s="27" t="s">
        <v>8</v>
      </c>
      <c r="DX633" s="27" t="s">
        <v>7</v>
      </c>
      <c r="DY633" s="27" t="s">
        <v>8</v>
      </c>
      <c r="EL633" s="27" t="s">
        <v>7</v>
      </c>
      <c r="EM633" s="27" t="s">
        <v>8</v>
      </c>
      <c r="EN633" s="27" t="s">
        <v>7</v>
      </c>
      <c r="ES633" s="27" t="s">
        <v>8</v>
      </c>
      <c r="ET633" s="27" t="s">
        <v>7</v>
      </c>
      <c r="EW633" s="27" t="s">
        <v>8</v>
      </c>
      <c r="EX633" s="27" t="s">
        <v>7</v>
      </c>
      <c r="GM633" s="27" t="s">
        <v>8</v>
      </c>
      <c r="GZ633" s="27" t="s">
        <v>7</v>
      </c>
      <c r="HA633" s="27" t="s">
        <v>8</v>
      </c>
      <c r="HB633" s="27" t="s">
        <v>7</v>
      </c>
      <c r="HC633" s="27" t="s">
        <v>8</v>
      </c>
      <c r="HE633" s="27" t="s">
        <v>8</v>
      </c>
      <c r="HF633" s="27" t="s">
        <v>7</v>
      </c>
      <c r="HG633" s="27" t="s">
        <v>8</v>
      </c>
      <c r="HH633" s="27" t="s">
        <v>7</v>
      </c>
      <c r="HI633" s="27" t="s">
        <v>8</v>
      </c>
      <c r="HJ633" s="27" t="s">
        <v>7</v>
      </c>
      <c r="HS633" s="27" t="s">
        <v>8</v>
      </c>
      <c r="HT633" s="27" t="s">
        <v>7</v>
      </c>
      <c r="HU633" s="27" t="s">
        <v>8</v>
      </c>
      <c r="HX633" s="27" t="s">
        <v>7</v>
      </c>
      <c r="HY633" s="27" t="s">
        <v>8</v>
      </c>
      <c r="HZ633" s="27" t="s">
        <v>7</v>
      </c>
      <c r="IC633" s="27" t="s">
        <v>8</v>
      </c>
      <c r="ID633" s="27" t="s">
        <v>7</v>
      </c>
      <c r="IE633" s="27" t="s">
        <v>8</v>
      </c>
      <c r="IF633" s="27" t="s">
        <v>7</v>
      </c>
      <c r="IH633" s="27" t="s">
        <v>7</v>
      </c>
      <c r="IJ633" s="27" t="s">
        <v>7</v>
      </c>
      <c r="IK633" s="27" t="s">
        <v>8</v>
      </c>
      <c r="IL633" s="27" t="s">
        <v>7</v>
      </c>
      <c r="IM633" s="27" t="s">
        <v>8</v>
      </c>
      <c r="IN633" s="27" t="s">
        <v>7</v>
      </c>
      <c r="IQ633" s="27" t="s">
        <v>8</v>
      </c>
      <c r="IR633" s="27" t="s">
        <v>7</v>
      </c>
      <c r="IS633" s="27" t="s">
        <v>8</v>
      </c>
      <c r="IT633" s="27" t="s">
        <v>7</v>
      </c>
      <c r="JG633" s="27" t="s">
        <v>8</v>
      </c>
      <c r="JH633" s="27" t="s">
        <v>7</v>
      </c>
      <c r="JI633" s="27" t="s">
        <v>8</v>
      </c>
      <c r="JJ633" s="27" t="s">
        <v>7</v>
      </c>
      <c r="JK633" s="27" t="s">
        <v>8</v>
      </c>
      <c r="JL633" s="27" t="s">
        <v>7</v>
      </c>
      <c r="JM633" s="27" t="s">
        <v>8</v>
      </c>
      <c r="JO633" s="27" t="s">
        <v>8</v>
      </c>
      <c r="JP633" s="27" t="s">
        <v>7</v>
      </c>
    </row>
    <row r="634" spans="1:278" x14ac:dyDescent="0.25">
      <c r="A634" s="7">
        <v>0.39426836073618904</v>
      </c>
      <c r="B634"/>
      <c r="C634"/>
      <c r="D634"/>
      <c r="E634"/>
      <c r="F634" s="27" t="s">
        <v>7</v>
      </c>
      <c r="CE634" s="27" t="s">
        <v>8</v>
      </c>
      <c r="CH634" s="27" t="s">
        <v>7</v>
      </c>
      <c r="CJ634" s="27" t="s">
        <v>7</v>
      </c>
      <c r="CL634" s="27" t="s">
        <v>7</v>
      </c>
      <c r="CM634" s="27" t="s">
        <v>8</v>
      </c>
      <c r="CN634" s="27" t="s">
        <v>7</v>
      </c>
      <c r="CU634" s="27" t="s">
        <v>8</v>
      </c>
      <c r="CV634" s="27" t="s">
        <v>7</v>
      </c>
      <c r="CW634" s="27" t="s">
        <v>8</v>
      </c>
      <c r="DV634" s="27" t="s">
        <v>7</v>
      </c>
      <c r="DW634" s="27" t="s">
        <v>8</v>
      </c>
      <c r="DX634" s="27" t="s">
        <v>7</v>
      </c>
      <c r="DY634" s="27" t="s">
        <v>8</v>
      </c>
      <c r="EL634" s="27" t="s">
        <v>7</v>
      </c>
      <c r="EM634" s="27" t="s">
        <v>8</v>
      </c>
      <c r="EN634" s="27" t="s">
        <v>7</v>
      </c>
      <c r="ES634" s="27" t="s">
        <v>8</v>
      </c>
      <c r="ET634" s="27" t="s">
        <v>7</v>
      </c>
      <c r="EW634" s="27" t="s">
        <v>8</v>
      </c>
      <c r="EX634" s="27" t="s">
        <v>7</v>
      </c>
      <c r="GM634" s="27" t="s">
        <v>8</v>
      </c>
      <c r="GZ634" s="27" t="s">
        <v>7</v>
      </c>
      <c r="HA634" s="27" t="s">
        <v>8</v>
      </c>
      <c r="HB634" s="27" t="s">
        <v>7</v>
      </c>
      <c r="HC634" s="27" t="s">
        <v>8</v>
      </c>
      <c r="HD634" s="27" t="s">
        <v>7</v>
      </c>
      <c r="HE634" s="27" t="s">
        <v>8</v>
      </c>
      <c r="HF634" s="27" t="s">
        <v>7</v>
      </c>
      <c r="HG634" s="27" t="s">
        <v>8</v>
      </c>
      <c r="HH634" s="27" t="s">
        <v>7</v>
      </c>
      <c r="HI634" s="27" t="s">
        <v>8</v>
      </c>
      <c r="HJ634" s="27" t="s">
        <v>7</v>
      </c>
      <c r="HO634" s="27" t="s">
        <v>8</v>
      </c>
      <c r="HS634" s="27" t="s">
        <v>8</v>
      </c>
      <c r="HT634" s="27" t="s">
        <v>7</v>
      </c>
      <c r="HU634" s="27" t="s">
        <v>8</v>
      </c>
      <c r="HX634" s="27" t="s">
        <v>7</v>
      </c>
      <c r="HZ634" s="27" t="s">
        <v>7</v>
      </c>
      <c r="IC634" s="27" t="s">
        <v>8</v>
      </c>
      <c r="ID634" s="27" t="s">
        <v>7</v>
      </c>
      <c r="IE634" s="27" t="s">
        <v>8</v>
      </c>
      <c r="IJ634" s="27" t="s">
        <v>7</v>
      </c>
      <c r="IL634" s="27" t="s">
        <v>7</v>
      </c>
      <c r="IM634" s="27" t="s">
        <v>8</v>
      </c>
      <c r="IN634" s="27" t="s">
        <v>7</v>
      </c>
      <c r="IQ634" s="27" t="s">
        <v>8</v>
      </c>
      <c r="IR634" s="27" t="s">
        <v>7</v>
      </c>
      <c r="IS634" s="27" t="s">
        <v>8</v>
      </c>
      <c r="IT634" s="27" t="s">
        <v>7</v>
      </c>
      <c r="JG634" s="27" t="s">
        <v>8</v>
      </c>
      <c r="JH634" s="27" t="s">
        <v>7</v>
      </c>
      <c r="JI634" s="27" t="s">
        <v>8</v>
      </c>
      <c r="JJ634" s="27" t="s">
        <v>7</v>
      </c>
      <c r="JK634" s="27" t="s">
        <v>8</v>
      </c>
      <c r="JL634" s="27" t="s">
        <v>7</v>
      </c>
      <c r="JM634" s="27" t="s">
        <v>8</v>
      </c>
      <c r="JN634" s="27" t="s">
        <v>7</v>
      </c>
      <c r="JO634" s="27" t="s">
        <v>8</v>
      </c>
      <c r="JP634" s="27" t="s">
        <v>7</v>
      </c>
    </row>
    <row r="635" spans="1:278" x14ac:dyDescent="0.25">
      <c r="A635" s="7">
        <v>0.38653760856489122</v>
      </c>
      <c r="B635"/>
      <c r="C635"/>
      <c r="D635"/>
      <c r="E635"/>
      <c r="F635" s="27" t="s">
        <v>7</v>
      </c>
      <c r="CC635" s="27" t="s">
        <v>8</v>
      </c>
      <c r="CE635" s="27" t="s">
        <v>8</v>
      </c>
      <c r="CL635" s="27" t="s">
        <v>7</v>
      </c>
      <c r="CM635" s="27" t="s">
        <v>8</v>
      </c>
      <c r="CN635" s="27" t="s">
        <v>7</v>
      </c>
      <c r="CU635" s="27" t="s">
        <v>8</v>
      </c>
      <c r="CV635" s="27" t="s">
        <v>7</v>
      </c>
      <c r="CW635" s="27" t="s">
        <v>8</v>
      </c>
      <c r="DV635" s="27" t="s">
        <v>7</v>
      </c>
      <c r="DW635" s="27" t="s">
        <v>8</v>
      </c>
      <c r="DX635" s="27" t="s">
        <v>7</v>
      </c>
      <c r="DY635" s="27" t="s">
        <v>8</v>
      </c>
      <c r="EL635" s="27" t="s">
        <v>7</v>
      </c>
      <c r="EM635" s="27" t="s">
        <v>8</v>
      </c>
      <c r="EN635" s="27" t="s">
        <v>7</v>
      </c>
      <c r="ES635" s="27" t="s">
        <v>8</v>
      </c>
      <c r="ET635" s="27" t="s">
        <v>7</v>
      </c>
      <c r="EW635" s="27" t="s">
        <v>8</v>
      </c>
      <c r="EX635" s="27" t="s">
        <v>7</v>
      </c>
      <c r="GM635" s="27" t="s">
        <v>8</v>
      </c>
      <c r="GZ635" s="27" t="s">
        <v>7</v>
      </c>
      <c r="HA635" s="27" t="s">
        <v>8</v>
      </c>
      <c r="HB635" s="27" t="s">
        <v>7</v>
      </c>
      <c r="HC635" s="27" t="s">
        <v>8</v>
      </c>
      <c r="HD635" s="27" t="s">
        <v>7</v>
      </c>
      <c r="HE635" s="27" t="s">
        <v>8</v>
      </c>
      <c r="HF635" s="27" t="s">
        <v>7</v>
      </c>
      <c r="HG635" s="27" t="s">
        <v>8</v>
      </c>
      <c r="HH635" s="27" t="s">
        <v>7</v>
      </c>
      <c r="HI635" s="27" t="s">
        <v>8</v>
      </c>
      <c r="HJ635" s="27" t="s">
        <v>7</v>
      </c>
      <c r="HO635" s="27" t="s">
        <v>8</v>
      </c>
      <c r="HP635" s="27" t="s">
        <v>7</v>
      </c>
      <c r="HS635" s="27" t="s">
        <v>8</v>
      </c>
      <c r="HT635" s="27" t="s">
        <v>7</v>
      </c>
      <c r="HU635" s="27" t="s">
        <v>8</v>
      </c>
      <c r="HZ635" s="27" t="s">
        <v>7</v>
      </c>
      <c r="IA635" s="27" t="s">
        <v>8</v>
      </c>
      <c r="IC635" s="27" t="s">
        <v>8</v>
      </c>
      <c r="ID635" s="27" t="s">
        <v>7</v>
      </c>
      <c r="IE635" s="27" t="s">
        <v>8</v>
      </c>
      <c r="IL635" s="27" t="s">
        <v>7</v>
      </c>
      <c r="IM635" s="27" t="s">
        <v>8</v>
      </c>
      <c r="IN635" s="27" t="s">
        <v>7</v>
      </c>
      <c r="IQ635" s="27" t="s">
        <v>8</v>
      </c>
      <c r="IR635" s="27" t="s">
        <v>7</v>
      </c>
      <c r="IS635" s="27" t="s">
        <v>8</v>
      </c>
      <c r="IT635" s="27" t="s">
        <v>7</v>
      </c>
      <c r="JG635" s="27" t="s">
        <v>8</v>
      </c>
      <c r="JH635" s="27" t="s">
        <v>7</v>
      </c>
      <c r="JI635" s="27" t="s">
        <v>8</v>
      </c>
      <c r="JJ635" s="27" t="s">
        <v>7</v>
      </c>
      <c r="JK635" s="27" t="s">
        <v>8</v>
      </c>
      <c r="JL635" s="27" t="s">
        <v>7</v>
      </c>
      <c r="JM635" s="27" t="s">
        <v>8</v>
      </c>
      <c r="JN635" s="27" t="s">
        <v>7</v>
      </c>
      <c r="JO635" s="27" t="s">
        <v>8</v>
      </c>
      <c r="JP635" s="27" t="s">
        <v>7</v>
      </c>
    </row>
    <row r="636" spans="1:278" x14ac:dyDescent="0.25">
      <c r="A636" s="7">
        <v>0.37895843976950117</v>
      </c>
      <c r="B636"/>
      <c r="C636"/>
      <c r="D636"/>
      <c r="E636"/>
      <c r="F636" s="27" t="s">
        <v>7</v>
      </c>
      <c r="CC636" s="27" t="s">
        <v>8</v>
      </c>
      <c r="CD636" s="27" t="s">
        <v>7</v>
      </c>
      <c r="CE636" s="27" t="s">
        <v>8</v>
      </c>
      <c r="CL636" s="27" t="s">
        <v>7</v>
      </c>
      <c r="CM636" s="27" t="s">
        <v>8</v>
      </c>
      <c r="CN636" s="27" t="s">
        <v>7</v>
      </c>
      <c r="CS636" s="27" t="s">
        <v>8</v>
      </c>
      <c r="CU636" s="27" t="s">
        <v>8</v>
      </c>
      <c r="CV636" s="27" t="s">
        <v>7</v>
      </c>
      <c r="DV636" s="27" t="s">
        <v>7</v>
      </c>
      <c r="DW636" s="27" t="s">
        <v>8</v>
      </c>
      <c r="DX636" s="27" t="s">
        <v>7</v>
      </c>
      <c r="DY636" s="27" t="s">
        <v>8</v>
      </c>
      <c r="EL636" s="27" t="s">
        <v>7</v>
      </c>
      <c r="EM636" s="27" t="s">
        <v>8</v>
      </c>
      <c r="EN636" s="27" t="s">
        <v>7</v>
      </c>
      <c r="ES636" s="27" t="s">
        <v>8</v>
      </c>
      <c r="ET636" s="27" t="s">
        <v>7</v>
      </c>
      <c r="EW636" s="27" t="s">
        <v>8</v>
      </c>
      <c r="EX636" s="27" t="s">
        <v>7</v>
      </c>
      <c r="GM636" s="27" t="s">
        <v>8</v>
      </c>
      <c r="GZ636" s="27" t="s">
        <v>7</v>
      </c>
      <c r="HA636" s="27" t="s">
        <v>8</v>
      </c>
      <c r="HB636" s="27" t="s">
        <v>7</v>
      </c>
      <c r="HC636" s="27" t="s">
        <v>8</v>
      </c>
      <c r="HD636" s="27" t="s">
        <v>7</v>
      </c>
      <c r="HE636" s="27" t="s">
        <v>8</v>
      </c>
      <c r="HF636" s="27" t="s">
        <v>7</v>
      </c>
      <c r="HG636" s="27" t="s">
        <v>8</v>
      </c>
      <c r="HH636" s="27" t="s">
        <v>7</v>
      </c>
      <c r="HI636" s="27" t="s">
        <v>8</v>
      </c>
      <c r="HJ636" s="27" t="s">
        <v>7</v>
      </c>
      <c r="HK636" s="27" t="s">
        <v>8</v>
      </c>
      <c r="HM636" s="27" t="s">
        <v>8</v>
      </c>
      <c r="HO636" s="27" t="s">
        <v>8</v>
      </c>
      <c r="HP636" s="27" t="s">
        <v>7</v>
      </c>
      <c r="HQ636" s="27" t="s">
        <v>8</v>
      </c>
      <c r="HS636" s="27" t="s">
        <v>8</v>
      </c>
      <c r="HT636" s="27" t="s">
        <v>7</v>
      </c>
      <c r="HU636" s="27" t="s">
        <v>8</v>
      </c>
      <c r="HZ636" s="27" t="s">
        <v>7</v>
      </c>
      <c r="IA636" s="27" t="s">
        <v>8</v>
      </c>
      <c r="IB636" s="27" t="s">
        <v>7</v>
      </c>
      <c r="IC636" s="27" t="s">
        <v>8</v>
      </c>
      <c r="ID636" s="27" t="s">
        <v>7</v>
      </c>
      <c r="IL636" s="27" t="s">
        <v>7</v>
      </c>
      <c r="IN636" s="27" t="s">
        <v>7</v>
      </c>
      <c r="IO636" s="27" t="s">
        <v>8</v>
      </c>
      <c r="IQ636" s="27" t="s">
        <v>8</v>
      </c>
      <c r="IR636" s="27" t="s">
        <v>7</v>
      </c>
      <c r="IS636" s="27" t="s">
        <v>8</v>
      </c>
      <c r="IT636" s="27" t="s">
        <v>7</v>
      </c>
      <c r="JG636" s="27" t="s">
        <v>8</v>
      </c>
      <c r="JH636" s="27" t="s">
        <v>7</v>
      </c>
      <c r="JI636" s="27" t="s">
        <v>8</v>
      </c>
      <c r="JJ636" s="27" t="s">
        <v>7</v>
      </c>
      <c r="JK636" s="27" t="s">
        <v>8</v>
      </c>
      <c r="JL636" s="27" t="s">
        <v>7</v>
      </c>
      <c r="JM636" s="27" t="s">
        <v>8</v>
      </c>
      <c r="JN636" s="27" t="s">
        <v>7</v>
      </c>
      <c r="JO636" s="27" t="s">
        <v>8</v>
      </c>
      <c r="JP636" s="27" t="s">
        <v>7</v>
      </c>
    </row>
    <row r="637" spans="1:278" x14ac:dyDescent="0.25">
      <c r="A637" s="7">
        <v>0.37152788212696197</v>
      </c>
      <c r="B637"/>
      <c r="C637"/>
      <c r="D637"/>
      <c r="E637"/>
      <c r="F637" s="27" t="s">
        <v>7</v>
      </c>
      <c r="CC637" s="27" t="s">
        <v>8</v>
      </c>
      <c r="CD637" s="27" t="s">
        <v>7</v>
      </c>
      <c r="CE637" s="27" t="s">
        <v>8</v>
      </c>
      <c r="CL637" s="27" t="s">
        <v>7</v>
      </c>
      <c r="CM637" s="27" t="s">
        <v>8</v>
      </c>
      <c r="CN637" s="27" t="s">
        <v>7</v>
      </c>
      <c r="CS637" s="27" t="s">
        <v>8</v>
      </c>
      <c r="CT637" s="27" t="s">
        <v>7</v>
      </c>
      <c r="CU637" s="27" t="s">
        <v>8</v>
      </c>
      <c r="DV637" s="27" t="s">
        <v>7</v>
      </c>
      <c r="DW637" s="27" t="s">
        <v>8</v>
      </c>
      <c r="DX637" s="27" t="s">
        <v>7</v>
      </c>
      <c r="DY637" s="27" t="s">
        <v>8</v>
      </c>
      <c r="EL637" s="27" t="s">
        <v>7</v>
      </c>
      <c r="EM637" s="27" t="s">
        <v>8</v>
      </c>
      <c r="EN637" s="27" t="s">
        <v>7</v>
      </c>
      <c r="ES637" s="27" t="s">
        <v>8</v>
      </c>
      <c r="ET637" s="27" t="s">
        <v>7</v>
      </c>
      <c r="EW637" s="27" t="s">
        <v>8</v>
      </c>
      <c r="EX637" s="27" t="s">
        <v>7</v>
      </c>
      <c r="GM637" s="27" t="s">
        <v>8</v>
      </c>
      <c r="GZ637" s="27" t="s">
        <v>7</v>
      </c>
      <c r="HA637" s="27" t="s">
        <v>8</v>
      </c>
      <c r="HB637" s="27" t="s">
        <v>7</v>
      </c>
      <c r="HC637" s="27" t="s">
        <v>8</v>
      </c>
      <c r="HD637" s="27" t="s">
        <v>7</v>
      </c>
      <c r="HE637" s="27" t="s">
        <v>8</v>
      </c>
      <c r="HF637" s="27" t="s">
        <v>7</v>
      </c>
      <c r="HG637" s="27" t="s">
        <v>8</v>
      </c>
      <c r="HH637" s="27" t="s">
        <v>7</v>
      </c>
      <c r="HI637" s="27" t="s">
        <v>8</v>
      </c>
      <c r="HJ637" s="27" t="s">
        <v>7</v>
      </c>
      <c r="HK637" s="27" t="s">
        <v>8</v>
      </c>
      <c r="HL637" s="27" t="s">
        <v>7</v>
      </c>
      <c r="HM637" s="27" t="s">
        <v>8</v>
      </c>
      <c r="HN637" s="27" t="s">
        <v>7</v>
      </c>
      <c r="HO637" s="27" t="s">
        <v>8</v>
      </c>
      <c r="HP637" s="27" t="s">
        <v>7</v>
      </c>
      <c r="HQ637" s="27" t="s">
        <v>8</v>
      </c>
      <c r="HR637" s="27" t="s">
        <v>7</v>
      </c>
      <c r="HS637" s="27" t="s">
        <v>8</v>
      </c>
      <c r="HT637" s="27" t="s">
        <v>7</v>
      </c>
      <c r="HU637" s="27" t="s">
        <v>8</v>
      </c>
      <c r="HZ637" s="27" t="s">
        <v>7</v>
      </c>
      <c r="IA637" s="27" t="s">
        <v>8</v>
      </c>
      <c r="IB637" s="27" t="s">
        <v>7</v>
      </c>
      <c r="IC637" s="27" t="s">
        <v>8</v>
      </c>
      <c r="IN637" s="27" t="s">
        <v>7</v>
      </c>
      <c r="IO637" s="27" t="s">
        <v>8</v>
      </c>
      <c r="IP637" s="27" t="s">
        <v>7</v>
      </c>
      <c r="IQ637" s="27" t="s">
        <v>8</v>
      </c>
      <c r="IR637" s="27" t="s">
        <v>7</v>
      </c>
      <c r="IS637" s="27" t="s">
        <v>8</v>
      </c>
      <c r="IT637" s="27" t="s">
        <v>7</v>
      </c>
      <c r="JG637" s="27" t="s">
        <v>8</v>
      </c>
      <c r="JH637" s="27" t="s">
        <v>7</v>
      </c>
      <c r="JI637" s="27" t="s">
        <v>8</v>
      </c>
      <c r="JJ637" s="27" t="s">
        <v>7</v>
      </c>
      <c r="JL637" s="27" t="s">
        <v>7</v>
      </c>
      <c r="JM637" s="27" t="s">
        <v>8</v>
      </c>
      <c r="JN637" s="27" t="s">
        <v>7</v>
      </c>
      <c r="JO637" s="27" t="s">
        <v>8</v>
      </c>
      <c r="JP637" s="27" t="s">
        <v>7</v>
      </c>
    </row>
    <row r="638" spans="1:278" x14ac:dyDescent="0.25">
      <c r="A638" s="7">
        <v>0.36424302169310002</v>
      </c>
      <c r="B638"/>
      <c r="C638"/>
      <c r="D638"/>
      <c r="E638"/>
      <c r="F638" s="27" t="s">
        <v>7</v>
      </c>
      <c r="CC638" s="27" t="s">
        <v>8</v>
      </c>
      <c r="CD638" s="27" t="s">
        <v>7</v>
      </c>
      <c r="CE638" s="27" t="s">
        <v>8</v>
      </c>
      <c r="CL638" s="27" t="s">
        <v>7</v>
      </c>
      <c r="CM638" s="27" t="s">
        <v>8</v>
      </c>
      <c r="CN638" s="27" t="s">
        <v>7</v>
      </c>
      <c r="CS638" s="27" t="s">
        <v>8</v>
      </c>
      <c r="CT638" s="27" t="s">
        <v>7</v>
      </c>
      <c r="CU638" s="27" t="s">
        <v>8</v>
      </c>
      <c r="DV638" s="27" t="s">
        <v>7</v>
      </c>
      <c r="DW638" s="27" t="s">
        <v>8</v>
      </c>
      <c r="DX638" s="27" t="s">
        <v>7</v>
      </c>
      <c r="DY638" s="27" t="s">
        <v>8</v>
      </c>
      <c r="EL638" s="27" t="s">
        <v>7</v>
      </c>
      <c r="EM638" s="27" t="s">
        <v>8</v>
      </c>
      <c r="EN638" s="27" t="s">
        <v>7</v>
      </c>
      <c r="ES638" s="27" t="s">
        <v>8</v>
      </c>
      <c r="ET638" s="27" t="s">
        <v>7</v>
      </c>
      <c r="EW638" s="27" t="s">
        <v>8</v>
      </c>
      <c r="EX638" s="27" t="s">
        <v>7</v>
      </c>
      <c r="GM638" s="27" t="s">
        <v>8</v>
      </c>
      <c r="GZ638" s="27" t="s">
        <v>7</v>
      </c>
      <c r="HA638" s="27" t="s">
        <v>8</v>
      </c>
      <c r="HB638" s="27" t="s">
        <v>7</v>
      </c>
      <c r="HC638" s="27" t="s">
        <v>8</v>
      </c>
      <c r="HD638" s="27" t="s">
        <v>7</v>
      </c>
      <c r="HE638" s="27" t="s">
        <v>8</v>
      </c>
      <c r="HF638" s="27" t="s">
        <v>7</v>
      </c>
      <c r="HG638" s="27" t="s">
        <v>8</v>
      </c>
      <c r="HH638" s="27" t="s">
        <v>7</v>
      </c>
      <c r="HI638" s="27" t="s">
        <v>8</v>
      </c>
      <c r="HJ638" s="27" t="s">
        <v>7</v>
      </c>
      <c r="HK638" s="27" t="s">
        <v>8</v>
      </c>
      <c r="HL638" s="27" t="s">
        <v>7</v>
      </c>
      <c r="HM638" s="27" t="s">
        <v>8</v>
      </c>
      <c r="HN638" s="27" t="s">
        <v>7</v>
      </c>
      <c r="HO638" s="27" t="s">
        <v>8</v>
      </c>
      <c r="HP638" s="27" t="s">
        <v>7</v>
      </c>
      <c r="HQ638" s="27" t="s">
        <v>8</v>
      </c>
      <c r="HR638" s="27" t="s">
        <v>7</v>
      </c>
      <c r="HS638" s="27" t="s">
        <v>8</v>
      </c>
      <c r="HT638" s="27" t="s">
        <v>7</v>
      </c>
      <c r="HU638" s="27" t="s">
        <v>8</v>
      </c>
      <c r="HZ638" s="27" t="s">
        <v>7</v>
      </c>
      <c r="IB638" s="27" t="s">
        <v>7</v>
      </c>
      <c r="IC638" s="27" t="s">
        <v>8</v>
      </c>
      <c r="IN638" s="27" t="s">
        <v>7</v>
      </c>
      <c r="IO638" s="27" t="s">
        <v>8</v>
      </c>
      <c r="IP638" s="27" t="s">
        <v>7</v>
      </c>
      <c r="IQ638" s="27" t="s">
        <v>8</v>
      </c>
      <c r="IR638" s="27" t="s">
        <v>7</v>
      </c>
      <c r="IS638" s="27" t="s">
        <v>8</v>
      </c>
      <c r="IT638" s="27" t="s">
        <v>7</v>
      </c>
      <c r="JG638" s="27" t="s">
        <v>8</v>
      </c>
      <c r="JH638" s="27" t="s">
        <v>7</v>
      </c>
      <c r="JI638" s="27" t="s">
        <v>8</v>
      </c>
      <c r="JL638" s="27" t="s">
        <v>7</v>
      </c>
      <c r="JM638" s="27" t="s">
        <v>8</v>
      </c>
      <c r="JN638" s="27" t="s">
        <v>7</v>
      </c>
      <c r="JO638" s="27" t="s">
        <v>8</v>
      </c>
      <c r="JP638" s="27" t="s">
        <v>7</v>
      </c>
      <c r="JQ638" s="27" t="s">
        <v>8</v>
      </c>
    </row>
    <row r="639" spans="1:278" x14ac:dyDescent="0.25">
      <c r="A639" s="7">
        <v>0.35710100165990194</v>
      </c>
      <c r="B639"/>
      <c r="C639"/>
      <c r="D639"/>
      <c r="E639"/>
      <c r="F639" s="27" t="s">
        <v>7</v>
      </c>
      <c r="CC639" s="27" t="s">
        <v>8</v>
      </c>
      <c r="CD639" s="27" t="s">
        <v>7</v>
      </c>
      <c r="CE639" s="27" t="s">
        <v>8</v>
      </c>
      <c r="CL639" s="27" t="s">
        <v>7</v>
      </c>
      <c r="CM639" s="27" t="s">
        <v>8</v>
      </c>
      <c r="CN639" s="27" t="s">
        <v>7</v>
      </c>
      <c r="CO639" s="27" t="s">
        <v>8</v>
      </c>
      <c r="CQ639" s="27" t="s">
        <v>8</v>
      </c>
      <c r="CS639" s="27" t="s">
        <v>8</v>
      </c>
      <c r="CT639" s="27" t="s">
        <v>7</v>
      </c>
      <c r="CU639" s="27" t="s">
        <v>8</v>
      </c>
      <c r="DV639" s="27" t="s">
        <v>7</v>
      </c>
      <c r="DW639" s="27" t="s">
        <v>8</v>
      </c>
      <c r="DX639" s="27" t="s">
        <v>7</v>
      </c>
      <c r="DY639" s="27" t="s">
        <v>8</v>
      </c>
      <c r="EL639" s="27" t="s">
        <v>7</v>
      </c>
      <c r="EM639" s="27" t="s">
        <v>8</v>
      </c>
      <c r="EN639" s="27" t="s">
        <v>7</v>
      </c>
      <c r="ES639" s="27" t="s">
        <v>8</v>
      </c>
      <c r="ET639" s="27" t="s">
        <v>7</v>
      </c>
      <c r="EW639" s="27" t="s">
        <v>8</v>
      </c>
      <c r="EX639" s="27" t="s">
        <v>7</v>
      </c>
      <c r="GM639" s="27" t="s">
        <v>8</v>
      </c>
      <c r="GZ639" s="27" t="s">
        <v>7</v>
      </c>
      <c r="HA639" s="27" t="s">
        <v>8</v>
      </c>
      <c r="HB639" s="27" t="s">
        <v>7</v>
      </c>
      <c r="HC639" s="27" t="s">
        <v>8</v>
      </c>
      <c r="HD639" s="27" t="s">
        <v>7</v>
      </c>
      <c r="HF639" s="27" t="s">
        <v>7</v>
      </c>
      <c r="HG639" s="27" t="s">
        <v>8</v>
      </c>
      <c r="HH639" s="27" t="s">
        <v>7</v>
      </c>
      <c r="HI639" s="27" t="s">
        <v>8</v>
      </c>
      <c r="HJ639" s="27" t="s">
        <v>7</v>
      </c>
      <c r="HK639" s="27" t="s">
        <v>8</v>
      </c>
      <c r="HL639" s="27" t="s">
        <v>7</v>
      </c>
      <c r="HM639" s="27" t="s">
        <v>8</v>
      </c>
      <c r="HN639" s="27" t="s">
        <v>7</v>
      </c>
      <c r="HO639" s="27" t="s">
        <v>8</v>
      </c>
      <c r="HP639" s="27" t="s">
        <v>7</v>
      </c>
      <c r="HQ639" s="27" t="s">
        <v>8</v>
      </c>
      <c r="HR639" s="27" t="s">
        <v>7</v>
      </c>
      <c r="HT639" s="27" t="s">
        <v>7</v>
      </c>
      <c r="HU639" s="27" t="s">
        <v>8</v>
      </c>
      <c r="IB639" s="27" t="s">
        <v>7</v>
      </c>
      <c r="IC639" s="27" t="s">
        <v>8</v>
      </c>
      <c r="IN639" s="27" t="s">
        <v>7</v>
      </c>
      <c r="IO639" s="27" t="s">
        <v>8</v>
      </c>
      <c r="IP639" s="27" t="s">
        <v>7</v>
      </c>
      <c r="IQ639" s="27" t="s">
        <v>8</v>
      </c>
      <c r="IR639" s="27" t="s">
        <v>7</v>
      </c>
      <c r="IS639" s="27" t="s">
        <v>8</v>
      </c>
      <c r="IT639" s="27" t="s">
        <v>7</v>
      </c>
      <c r="IY639" s="27" t="s">
        <v>8</v>
      </c>
      <c r="JA639" s="27" t="s">
        <v>8</v>
      </c>
      <c r="JG639" s="27" t="s">
        <v>8</v>
      </c>
      <c r="JH639" s="27" t="s">
        <v>7</v>
      </c>
      <c r="JI639" s="27" t="s">
        <v>8</v>
      </c>
      <c r="JL639" s="27" t="s">
        <v>7</v>
      </c>
      <c r="JN639" s="27" t="s">
        <v>7</v>
      </c>
      <c r="JO639" s="27" t="s">
        <v>8</v>
      </c>
      <c r="JP639" s="27" t="s">
        <v>7</v>
      </c>
      <c r="JQ639" s="27" t="s">
        <v>8</v>
      </c>
      <c r="JR639" s="27" t="s">
        <v>7</v>
      </c>
    </row>
    <row r="640" spans="1:278" x14ac:dyDescent="0.25">
      <c r="A640" s="7">
        <v>0.35009902123519804</v>
      </c>
      <c r="B640"/>
      <c r="C640"/>
      <c r="D640"/>
      <c r="E640"/>
      <c r="F640" s="27" t="s">
        <v>7</v>
      </c>
      <c r="CC640" s="27" t="s">
        <v>8</v>
      </c>
      <c r="CD640" s="27" t="s">
        <v>7</v>
      </c>
      <c r="CE640" s="27" t="s">
        <v>8</v>
      </c>
      <c r="CL640" s="27" t="s">
        <v>7</v>
      </c>
      <c r="CM640" s="27" t="s">
        <v>8</v>
      </c>
      <c r="CN640" s="27" t="s">
        <v>7</v>
      </c>
      <c r="CO640" s="27" t="s">
        <v>8</v>
      </c>
      <c r="CP640" s="27" t="s">
        <v>7</v>
      </c>
      <c r="CQ640" s="27" t="s">
        <v>8</v>
      </c>
      <c r="CR640" s="27" t="s">
        <v>7</v>
      </c>
      <c r="CS640" s="27" t="s">
        <v>8</v>
      </c>
      <c r="CT640" s="27" t="s">
        <v>7</v>
      </c>
      <c r="CU640" s="27" t="s">
        <v>8</v>
      </c>
      <c r="DV640" s="27" t="s">
        <v>7</v>
      </c>
      <c r="DX640" s="27" t="s">
        <v>7</v>
      </c>
      <c r="DY640" s="27" t="s">
        <v>8</v>
      </c>
      <c r="EL640" s="27" t="s">
        <v>7</v>
      </c>
      <c r="EM640" s="27" t="s">
        <v>8</v>
      </c>
      <c r="EN640" s="27" t="s">
        <v>7</v>
      </c>
      <c r="ES640" s="27" t="s">
        <v>8</v>
      </c>
      <c r="ET640" s="27" t="s">
        <v>7</v>
      </c>
      <c r="EW640" s="27" t="s">
        <v>8</v>
      </c>
      <c r="EX640" s="27" t="s">
        <v>7</v>
      </c>
      <c r="EY640" s="27" t="s">
        <v>8</v>
      </c>
      <c r="GK640" s="27" t="s">
        <v>8</v>
      </c>
      <c r="GM640" s="27" t="s">
        <v>8</v>
      </c>
      <c r="GZ640" s="27" t="s">
        <v>7</v>
      </c>
      <c r="HB640" s="27" t="s">
        <v>7</v>
      </c>
      <c r="HF640" s="27" t="s">
        <v>7</v>
      </c>
      <c r="HG640" s="27" t="s">
        <v>8</v>
      </c>
      <c r="HH640" s="27" t="s">
        <v>7</v>
      </c>
      <c r="HI640" s="27" t="s">
        <v>8</v>
      </c>
      <c r="HJ640" s="27" t="s">
        <v>7</v>
      </c>
      <c r="HK640" s="27" t="s">
        <v>8</v>
      </c>
      <c r="HL640" s="27" t="s">
        <v>7</v>
      </c>
      <c r="HM640" s="27" t="s">
        <v>8</v>
      </c>
      <c r="HN640" s="27" t="s">
        <v>7</v>
      </c>
      <c r="HP640" s="27" t="s">
        <v>7</v>
      </c>
      <c r="HQ640" s="27" t="s">
        <v>8</v>
      </c>
      <c r="HT640" s="27" t="s">
        <v>7</v>
      </c>
      <c r="IB640" s="27" t="s">
        <v>7</v>
      </c>
      <c r="IN640" s="27" t="s">
        <v>7</v>
      </c>
      <c r="IP640" s="27" t="s">
        <v>7</v>
      </c>
      <c r="IQ640" s="27" t="s">
        <v>8</v>
      </c>
      <c r="IR640" s="27" t="s">
        <v>7</v>
      </c>
      <c r="IT640" s="27" t="s">
        <v>7</v>
      </c>
      <c r="IY640" s="27" t="s">
        <v>8</v>
      </c>
      <c r="IZ640" s="27" t="s">
        <v>7</v>
      </c>
      <c r="JA640" s="27" t="s">
        <v>8</v>
      </c>
      <c r="JB640" s="27" t="s">
        <v>7</v>
      </c>
      <c r="JG640" s="27" t="s">
        <v>8</v>
      </c>
      <c r="JH640" s="27" t="s">
        <v>7</v>
      </c>
      <c r="JI640" s="27" t="s">
        <v>8</v>
      </c>
      <c r="JN640" s="27" t="s">
        <v>7</v>
      </c>
      <c r="JO640" s="27" t="s">
        <v>8</v>
      </c>
      <c r="JP640" s="27" t="s">
        <v>7</v>
      </c>
      <c r="JQ640" s="27" t="s">
        <v>8</v>
      </c>
      <c r="JR640" s="27" t="s">
        <v>7</v>
      </c>
    </row>
    <row r="641" spans="1:280" x14ac:dyDescent="0.25">
      <c r="A641" s="7">
        <v>0.34323433454431179</v>
      </c>
      <c r="B641"/>
      <c r="C641"/>
      <c r="D641"/>
      <c r="E641"/>
      <c r="F641" s="27" t="s">
        <v>7</v>
      </c>
      <c r="CC641" s="27" t="s">
        <v>8</v>
      </c>
      <c r="CD641" s="27" t="s">
        <v>7</v>
      </c>
      <c r="CE641" s="27" t="s">
        <v>8</v>
      </c>
      <c r="CL641" s="27" t="s">
        <v>7</v>
      </c>
      <c r="CM641" s="27" t="s">
        <v>8</v>
      </c>
      <c r="CN641" s="27" t="s">
        <v>7</v>
      </c>
      <c r="CO641" s="27" t="s">
        <v>8</v>
      </c>
      <c r="CP641" s="27" t="s">
        <v>7</v>
      </c>
      <c r="CQ641" s="27" t="s">
        <v>8</v>
      </c>
      <c r="CR641" s="27" t="s">
        <v>7</v>
      </c>
      <c r="CS641" s="27" t="s">
        <v>8</v>
      </c>
      <c r="CT641" s="27" t="s">
        <v>7</v>
      </c>
      <c r="CU641" s="27" t="s">
        <v>8</v>
      </c>
      <c r="DX641" s="27" t="s">
        <v>7</v>
      </c>
      <c r="DY641" s="27" t="s">
        <v>8</v>
      </c>
      <c r="EL641" s="27" t="s">
        <v>7</v>
      </c>
      <c r="EM641" s="27" t="s">
        <v>8</v>
      </c>
      <c r="EN641" s="27" t="s">
        <v>7</v>
      </c>
      <c r="EO641" s="27" t="s">
        <v>8</v>
      </c>
      <c r="ES641" s="27" t="s">
        <v>8</v>
      </c>
      <c r="ET641" s="27" t="s">
        <v>7</v>
      </c>
      <c r="EW641" s="27" t="s">
        <v>8</v>
      </c>
      <c r="EX641" s="27" t="s">
        <v>7</v>
      </c>
      <c r="EY641" s="27" t="s">
        <v>8</v>
      </c>
      <c r="EZ641" s="27" t="s">
        <v>7</v>
      </c>
      <c r="GI641" s="27" t="s">
        <v>8</v>
      </c>
      <c r="GK641" s="27" t="s">
        <v>8</v>
      </c>
      <c r="GL641" s="27" t="s">
        <v>7</v>
      </c>
      <c r="GM641" s="27" t="s">
        <v>8</v>
      </c>
      <c r="HF641" s="27" t="s">
        <v>7</v>
      </c>
      <c r="HG641" s="27" t="s">
        <v>8</v>
      </c>
      <c r="HH641" s="27" t="s">
        <v>7</v>
      </c>
      <c r="HI641" s="27" t="s">
        <v>8</v>
      </c>
      <c r="HJ641" s="27" t="s">
        <v>7</v>
      </c>
      <c r="HK641" s="27" t="s">
        <v>8</v>
      </c>
      <c r="HL641" s="27" t="s">
        <v>7</v>
      </c>
      <c r="HM641" s="27" t="s">
        <v>8</v>
      </c>
      <c r="HP641" s="27" t="s">
        <v>7</v>
      </c>
      <c r="IP641" s="27" t="s">
        <v>7</v>
      </c>
      <c r="IQ641" s="27" t="s">
        <v>8</v>
      </c>
      <c r="IT641" s="27" t="s">
        <v>7</v>
      </c>
      <c r="IY641" s="27" t="s">
        <v>8</v>
      </c>
      <c r="IZ641" s="27" t="s">
        <v>7</v>
      </c>
      <c r="JA641" s="27" t="s">
        <v>8</v>
      </c>
      <c r="JB641" s="27" t="s">
        <v>7</v>
      </c>
      <c r="JC641" s="27" t="s">
        <v>8</v>
      </c>
      <c r="JE641" s="27" t="s">
        <v>8</v>
      </c>
      <c r="JG641" s="27" t="s">
        <v>8</v>
      </c>
      <c r="JH641" s="27" t="s">
        <v>7</v>
      </c>
      <c r="JI641" s="27" t="s">
        <v>8</v>
      </c>
      <c r="JN641" s="27" t="s">
        <v>7</v>
      </c>
      <c r="JO641" s="27" t="s">
        <v>8</v>
      </c>
      <c r="JP641" s="27" t="s">
        <v>7</v>
      </c>
      <c r="JR641" s="27" t="s">
        <v>7</v>
      </c>
    </row>
    <row r="642" spans="1:280" x14ac:dyDescent="0.25">
      <c r="A642" s="7">
        <v>0.33650424955324681</v>
      </c>
      <c r="B642"/>
      <c r="C642"/>
      <c r="D642"/>
      <c r="E642"/>
      <c r="F642" s="27" t="s">
        <v>7</v>
      </c>
      <c r="CC642" s="27" t="s">
        <v>8</v>
      </c>
      <c r="CD642" s="27" t="s">
        <v>7</v>
      </c>
      <c r="CE642" s="27" t="s">
        <v>8</v>
      </c>
      <c r="CL642" s="27" t="s">
        <v>7</v>
      </c>
      <c r="CM642" s="27" t="s">
        <v>8</v>
      </c>
      <c r="CN642" s="27" t="s">
        <v>7</v>
      </c>
      <c r="CO642" s="27" t="s">
        <v>8</v>
      </c>
      <c r="CP642" s="27" t="s">
        <v>7</v>
      </c>
      <c r="CQ642" s="27" t="s">
        <v>8</v>
      </c>
      <c r="CR642" s="27" t="s">
        <v>7</v>
      </c>
      <c r="CS642" s="27" t="s">
        <v>8</v>
      </c>
      <c r="CT642" s="27" t="s">
        <v>7</v>
      </c>
      <c r="CU642" s="27" t="s">
        <v>8</v>
      </c>
      <c r="DX642" s="27" t="s">
        <v>7</v>
      </c>
      <c r="EL642" s="27" t="s">
        <v>7</v>
      </c>
      <c r="EM642" s="27" t="s">
        <v>8</v>
      </c>
      <c r="EN642" s="27" t="s">
        <v>7</v>
      </c>
      <c r="EO642" s="27" t="s">
        <v>8</v>
      </c>
      <c r="EP642" s="27" t="s">
        <v>7</v>
      </c>
      <c r="EQ642" s="27" t="s">
        <v>8</v>
      </c>
      <c r="ES642" s="27" t="s">
        <v>8</v>
      </c>
      <c r="ET642" s="27" t="s">
        <v>7</v>
      </c>
      <c r="EU642" s="27" t="s">
        <v>8</v>
      </c>
      <c r="EW642" s="27" t="s">
        <v>8</v>
      </c>
      <c r="EX642" s="27" t="s">
        <v>7</v>
      </c>
      <c r="EY642" s="27" t="s">
        <v>8</v>
      </c>
      <c r="EZ642" s="27" t="s">
        <v>7</v>
      </c>
      <c r="FC642" s="27" t="s">
        <v>8</v>
      </c>
      <c r="GI642" s="27" t="s">
        <v>8</v>
      </c>
      <c r="GJ642" s="27" t="s">
        <v>7</v>
      </c>
      <c r="GK642" s="27" t="s">
        <v>8</v>
      </c>
      <c r="GL642" s="27" t="s">
        <v>7</v>
      </c>
      <c r="GM642" s="27" t="s">
        <v>8</v>
      </c>
      <c r="HF642" s="27" t="s">
        <v>7</v>
      </c>
      <c r="HG642" s="27" t="s">
        <v>8</v>
      </c>
      <c r="HH642" s="27" t="s">
        <v>7</v>
      </c>
      <c r="HI642" s="27" t="s">
        <v>8</v>
      </c>
      <c r="HJ642" s="27" t="s">
        <v>7</v>
      </c>
      <c r="HL642" s="27" t="s">
        <v>7</v>
      </c>
      <c r="HM642" s="27" t="s">
        <v>8</v>
      </c>
      <c r="IP642" s="27" t="s">
        <v>7</v>
      </c>
      <c r="IT642" s="27" t="s">
        <v>7</v>
      </c>
      <c r="IY642" s="27" t="s">
        <v>8</v>
      </c>
      <c r="IZ642" s="27" t="s">
        <v>7</v>
      </c>
      <c r="JA642" s="27" t="s">
        <v>8</v>
      </c>
      <c r="JB642" s="27" t="s">
        <v>7</v>
      </c>
      <c r="JC642" s="27" t="s">
        <v>8</v>
      </c>
      <c r="JD642" s="27" t="s">
        <v>7</v>
      </c>
      <c r="JE642" s="27" t="s">
        <v>8</v>
      </c>
      <c r="JF642" s="27" t="s">
        <v>7</v>
      </c>
      <c r="JG642" s="27" t="s">
        <v>8</v>
      </c>
      <c r="JH642" s="27" t="s">
        <v>7</v>
      </c>
      <c r="JI642" s="27" t="s">
        <v>8</v>
      </c>
      <c r="JN642" s="27" t="s">
        <v>7</v>
      </c>
      <c r="JR642" s="27" t="s">
        <v>7</v>
      </c>
    </row>
    <row r="643" spans="1:280" x14ac:dyDescent="0.25">
      <c r="A643" s="7">
        <v>0.3299061270129871</v>
      </c>
      <c r="B643"/>
      <c r="C643"/>
      <c r="D643"/>
      <c r="E643"/>
      <c r="F643" s="27" t="s">
        <v>7</v>
      </c>
      <c r="BY643" s="27" t="s">
        <v>8</v>
      </c>
      <c r="CC643" s="27" t="s">
        <v>8</v>
      </c>
      <c r="CD643" s="27" t="s">
        <v>7</v>
      </c>
      <c r="CE643" s="27" t="s">
        <v>8</v>
      </c>
      <c r="CL643" s="27" t="s">
        <v>7</v>
      </c>
      <c r="CM643" s="27" t="s">
        <v>8</v>
      </c>
      <c r="CN643" s="27" t="s">
        <v>7</v>
      </c>
      <c r="CO643" s="27" t="s">
        <v>8</v>
      </c>
      <c r="CP643" s="27" t="s">
        <v>7</v>
      </c>
      <c r="CQ643" s="27" t="s">
        <v>8</v>
      </c>
      <c r="CR643" s="27" t="s">
        <v>7</v>
      </c>
      <c r="CS643" s="27" t="s">
        <v>8</v>
      </c>
      <c r="CT643" s="27" t="s">
        <v>7</v>
      </c>
      <c r="CU643" s="27" t="s">
        <v>8</v>
      </c>
      <c r="EL643" s="27" t="s">
        <v>7</v>
      </c>
      <c r="EM643" s="27" t="s">
        <v>8</v>
      </c>
      <c r="EN643" s="27" t="s">
        <v>7</v>
      </c>
      <c r="EO643" s="27" t="s">
        <v>8</v>
      </c>
      <c r="EP643" s="27" t="s">
        <v>7</v>
      </c>
      <c r="EQ643" s="27" t="s">
        <v>8</v>
      </c>
      <c r="ER643" s="27" t="s">
        <v>7</v>
      </c>
      <c r="ES643" s="27" t="s">
        <v>8</v>
      </c>
      <c r="ET643" s="27" t="s">
        <v>7</v>
      </c>
      <c r="EU643" s="27" t="s">
        <v>8</v>
      </c>
      <c r="EV643" s="27" t="s">
        <v>7</v>
      </c>
      <c r="EW643" s="27" t="s">
        <v>8</v>
      </c>
      <c r="EX643" s="27" t="s">
        <v>7</v>
      </c>
      <c r="EY643" s="27" t="s">
        <v>8</v>
      </c>
      <c r="EZ643" s="27" t="s">
        <v>7</v>
      </c>
      <c r="FC643" s="27" t="s">
        <v>8</v>
      </c>
      <c r="FD643" s="27" t="s">
        <v>7</v>
      </c>
      <c r="GI643" s="27" t="s">
        <v>8</v>
      </c>
      <c r="GJ643" s="27" t="s">
        <v>7</v>
      </c>
      <c r="GK643" s="27" t="s">
        <v>8</v>
      </c>
      <c r="GL643" s="27" t="s">
        <v>7</v>
      </c>
      <c r="GM643" s="27" t="s">
        <v>8</v>
      </c>
      <c r="HF643" s="27" t="s">
        <v>7</v>
      </c>
      <c r="HG643" s="27" t="s">
        <v>8</v>
      </c>
      <c r="HH643" s="27" t="s">
        <v>7</v>
      </c>
      <c r="HL643" s="27" t="s">
        <v>7</v>
      </c>
      <c r="HM643" s="27" t="s">
        <v>8</v>
      </c>
      <c r="IT643" s="27" t="s">
        <v>7</v>
      </c>
      <c r="IY643" s="27" t="s">
        <v>8</v>
      </c>
      <c r="IZ643" s="27" t="s">
        <v>7</v>
      </c>
      <c r="JA643" s="27" t="s">
        <v>8</v>
      </c>
      <c r="JB643" s="27" t="s">
        <v>7</v>
      </c>
      <c r="JC643" s="27" t="s">
        <v>8</v>
      </c>
      <c r="JD643" s="27" t="s">
        <v>7</v>
      </c>
      <c r="JE643" s="27" t="s">
        <v>8</v>
      </c>
      <c r="JF643" s="27" t="s">
        <v>7</v>
      </c>
      <c r="JG643" s="27" t="s">
        <v>8</v>
      </c>
      <c r="JH643" s="27" t="s">
        <v>7</v>
      </c>
      <c r="JI643" s="27" t="s">
        <v>8</v>
      </c>
      <c r="JR643" s="27" t="s">
        <v>7</v>
      </c>
    </row>
    <row r="644" spans="1:280" x14ac:dyDescent="0.25">
      <c r="A644" s="7">
        <v>0.32343737942449713</v>
      </c>
      <c r="B644"/>
      <c r="C644"/>
      <c r="D644"/>
      <c r="E644"/>
      <c r="F644" s="27" t="s">
        <v>7</v>
      </c>
      <c r="BY644" s="27" t="s">
        <v>8</v>
      </c>
      <c r="BZ644" s="27" t="s">
        <v>7</v>
      </c>
      <c r="CC644" s="27" t="s">
        <v>8</v>
      </c>
      <c r="CD644" s="27" t="s">
        <v>7</v>
      </c>
      <c r="CE644" s="27" t="s">
        <v>8</v>
      </c>
      <c r="CL644" s="27" t="s">
        <v>7</v>
      </c>
      <c r="CM644" s="27" t="s">
        <v>8</v>
      </c>
      <c r="CN644" s="27" t="s">
        <v>7</v>
      </c>
      <c r="CO644" s="27" t="s">
        <v>8</v>
      </c>
      <c r="CP644" s="27" t="s">
        <v>7</v>
      </c>
      <c r="CQ644" s="27" t="s">
        <v>8</v>
      </c>
      <c r="CR644" s="27" t="s">
        <v>7</v>
      </c>
      <c r="CS644" s="27" t="s">
        <v>8</v>
      </c>
      <c r="CT644" s="27" t="s">
        <v>7</v>
      </c>
      <c r="EL644" s="27" t="s">
        <v>7</v>
      </c>
      <c r="EM644" s="27" t="s">
        <v>8</v>
      </c>
      <c r="EN644" s="27" t="s">
        <v>7</v>
      </c>
      <c r="EO644" s="27" t="s">
        <v>8</v>
      </c>
      <c r="EP644" s="27" t="s">
        <v>7</v>
      </c>
      <c r="EQ644" s="27" t="s">
        <v>8</v>
      </c>
      <c r="ER644" s="27" t="s">
        <v>7</v>
      </c>
      <c r="ES644" s="27" t="s">
        <v>8</v>
      </c>
      <c r="ET644" s="27" t="s">
        <v>7</v>
      </c>
      <c r="EU644" s="27" t="s">
        <v>8</v>
      </c>
      <c r="EV644" s="27" t="s">
        <v>7</v>
      </c>
      <c r="EW644" s="27" t="s">
        <v>8</v>
      </c>
      <c r="EX644" s="27" t="s">
        <v>7</v>
      </c>
      <c r="EY644" s="27" t="s">
        <v>8</v>
      </c>
      <c r="EZ644" s="27" t="s">
        <v>7</v>
      </c>
      <c r="FA644" s="27" t="s">
        <v>8</v>
      </c>
      <c r="FC644" s="27" t="s">
        <v>8</v>
      </c>
      <c r="FD644" s="27" t="s">
        <v>7</v>
      </c>
      <c r="GI644" s="27" t="s">
        <v>8</v>
      </c>
      <c r="GJ644" s="27" t="s">
        <v>7</v>
      </c>
      <c r="GK644" s="27" t="s">
        <v>8</v>
      </c>
      <c r="GL644" s="27" t="s">
        <v>7</v>
      </c>
      <c r="GM644" s="27" t="s">
        <v>8</v>
      </c>
      <c r="HF644" s="27" t="s">
        <v>7</v>
      </c>
      <c r="HG644" s="27" t="s">
        <v>8</v>
      </c>
      <c r="HL644" s="27" t="s">
        <v>7</v>
      </c>
      <c r="IT644" s="27" t="s">
        <v>7</v>
      </c>
      <c r="IY644" s="27" t="s">
        <v>8</v>
      </c>
      <c r="IZ644" s="27" t="s">
        <v>7</v>
      </c>
      <c r="JA644" s="27" t="s">
        <v>8</v>
      </c>
      <c r="JB644" s="27" t="s">
        <v>7</v>
      </c>
      <c r="JD644" s="27" t="s">
        <v>7</v>
      </c>
      <c r="JE644" s="27" t="s">
        <v>8</v>
      </c>
      <c r="JF644" s="27" t="s">
        <v>7</v>
      </c>
      <c r="JG644" s="27" t="s">
        <v>8</v>
      </c>
      <c r="JH644" s="27" t="s">
        <v>7</v>
      </c>
      <c r="JI644" s="27" t="s">
        <v>8</v>
      </c>
      <c r="JR644" s="27" t="s">
        <v>7</v>
      </c>
    </row>
    <row r="645" spans="1:280" x14ac:dyDescent="0.25">
      <c r="A645" s="7">
        <v>0.31709547002401678</v>
      </c>
      <c r="B645"/>
      <c r="C645"/>
      <c r="D645"/>
      <c r="E645"/>
      <c r="F645" s="27" t="s">
        <v>7</v>
      </c>
      <c r="BY645" s="27" t="s">
        <v>8</v>
      </c>
      <c r="BZ645" s="27" t="s">
        <v>7</v>
      </c>
      <c r="CA645" s="27" t="s">
        <v>8</v>
      </c>
      <c r="CC645" s="27" t="s">
        <v>8</v>
      </c>
      <c r="CD645" s="27" t="s">
        <v>7</v>
      </c>
      <c r="CE645" s="27" t="s">
        <v>8</v>
      </c>
      <c r="CL645" s="27" t="s">
        <v>7</v>
      </c>
      <c r="CM645" s="27" t="s">
        <v>8</v>
      </c>
      <c r="CN645" s="27" t="s">
        <v>7</v>
      </c>
      <c r="CO645" s="27" t="s">
        <v>8</v>
      </c>
      <c r="CP645" s="27" t="s">
        <v>7</v>
      </c>
      <c r="CQ645" s="27" t="s">
        <v>8</v>
      </c>
      <c r="CR645" s="27" t="s">
        <v>7</v>
      </c>
      <c r="EL645" s="27" t="s">
        <v>7</v>
      </c>
      <c r="EM645" s="27" t="s">
        <v>8</v>
      </c>
      <c r="EN645" s="27" t="s">
        <v>7</v>
      </c>
      <c r="EO645" s="27" t="s">
        <v>8</v>
      </c>
      <c r="EP645" s="27" t="s">
        <v>7</v>
      </c>
      <c r="EQ645" s="27" t="s">
        <v>8</v>
      </c>
      <c r="ER645" s="27" t="s">
        <v>7</v>
      </c>
      <c r="ES645" s="27" t="s">
        <v>8</v>
      </c>
      <c r="ET645" s="27" t="s">
        <v>7</v>
      </c>
      <c r="EU645" s="27" t="s">
        <v>8</v>
      </c>
      <c r="EV645" s="27" t="s">
        <v>7</v>
      </c>
      <c r="EW645" s="27" t="s">
        <v>8</v>
      </c>
      <c r="EX645" s="27" t="s">
        <v>7</v>
      </c>
      <c r="EZ645" s="27" t="s">
        <v>7</v>
      </c>
      <c r="FA645" s="27" t="s">
        <v>8</v>
      </c>
      <c r="FB645" s="27" t="s">
        <v>7</v>
      </c>
      <c r="FC645" s="27" t="s">
        <v>8</v>
      </c>
      <c r="FD645" s="27" t="s">
        <v>7</v>
      </c>
      <c r="GI645" s="27" t="s">
        <v>8</v>
      </c>
      <c r="GJ645" s="27" t="s">
        <v>7</v>
      </c>
      <c r="GK645" s="27" t="s">
        <v>8</v>
      </c>
      <c r="GL645" s="27" t="s">
        <v>7</v>
      </c>
      <c r="GM645" s="27" t="s">
        <v>8</v>
      </c>
      <c r="HF645" s="27" t="s">
        <v>7</v>
      </c>
      <c r="HG645" s="27" t="s">
        <v>8</v>
      </c>
      <c r="IT645" s="27" t="s">
        <v>7</v>
      </c>
      <c r="IU645" s="27" t="s">
        <v>8</v>
      </c>
      <c r="IY645" s="27" t="s">
        <v>8</v>
      </c>
      <c r="IZ645" s="27" t="s">
        <v>7</v>
      </c>
      <c r="JA645" s="27" t="s">
        <v>8</v>
      </c>
      <c r="JD645" s="27" t="s">
        <v>7</v>
      </c>
      <c r="JE645" s="27" t="s">
        <v>8</v>
      </c>
      <c r="JF645" s="27" t="s">
        <v>7</v>
      </c>
      <c r="JH645" s="27" t="s">
        <v>7</v>
      </c>
      <c r="JR645" s="27" t="s">
        <v>7</v>
      </c>
    </row>
    <row r="646" spans="1:280" x14ac:dyDescent="0.25">
      <c r="A646" s="7">
        <v>0.31087791178825175</v>
      </c>
      <c r="B646"/>
      <c r="C646"/>
      <c r="D646"/>
      <c r="E646"/>
      <c r="F646" s="27" t="s">
        <v>7</v>
      </c>
      <c r="BY646" s="27" t="s">
        <v>8</v>
      </c>
      <c r="BZ646" s="27" t="s">
        <v>7</v>
      </c>
      <c r="CA646" s="27" t="s">
        <v>8</v>
      </c>
      <c r="CB646" s="27" t="s">
        <v>7</v>
      </c>
      <c r="CC646" s="27" t="s">
        <v>8</v>
      </c>
      <c r="CD646" s="27" t="s">
        <v>7</v>
      </c>
      <c r="CE646" s="27" t="s">
        <v>8</v>
      </c>
      <c r="CL646" s="27" t="s">
        <v>7</v>
      </c>
      <c r="CM646" s="27" t="s">
        <v>8</v>
      </c>
      <c r="CN646" s="27" t="s">
        <v>7</v>
      </c>
      <c r="CO646" s="27" t="s">
        <v>8</v>
      </c>
      <c r="CP646" s="27" t="s">
        <v>7</v>
      </c>
      <c r="CQ646" s="27" t="s">
        <v>8</v>
      </c>
      <c r="EL646" s="27" t="s">
        <v>7</v>
      </c>
      <c r="EM646" s="27" t="s">
        <v>8</v>
      </c>
      <c r="EN646" s="27" t="s">
        <v>7</v>
      </c>
      <c r="EO646" s="27" t="s">
        <v>8</v>
      </c>
      <c r="EP646" s="27" t="s">
        <v>7</v>
      </c>
      <c r="EQ646" s="27" t="s">
        <v>8</v>
      </c>
      <c r="ER646" s="27" t="s">
        <v>7</v>
      </c>
      <c r="ES646" s="27" t="s">
        <v>8</v>
      </c>
      <c r="ET646" s="27" t="s">
        <v>7</v>
      </c>
      <c r="EU646" s="27" t="s">
        <v>8</v>
      </c>
      <c r="EV646" s="27" t="s">
        <v>7</v>
      </c>
      <c r="EZ646" s="27" t="s">
        <v>7</v>
      </c>
      <c r="FA646" s="27" t="s">
        <v>8</v>
      </c>
      <c r="FB646" s="27" t="s">
        <v>7</v>
      </c>
      <c r="FC646" s="27" t="s">
        <v>8</v>
      </c>
      <c r="FD646" s="27" t="s">
        <v>7</v>
      </c>
      <c r="GI646" s="27" t="s">
        <v>8</v>
      </c>
      <c r="GJ646" s="27" t="s">
        <v>7</v>
      </c>
      <c r="GK646" s="27" t="s">
        <v>8</v>
      </c>
      <c r="GL646" s="27" t="s">
        <v>7</v>
      </c>
      <c r="HF646" s="27" t="s">
        <v>7</v>
      </c>
      <c r="HG646" s="27" t="s">
        <v>8</v>
      </c>
      <c r="IT646" s="27" t="s">
        <v>7</v>
      </c>
      <c r="IU646" s="27" t="s">
        <v>8</v>
      </c>
      <c r="IV646" s="27" t="s">
        <v>7</v>
      </c>
      <c r="IW646" s="27" t="s">
        <v>8</v>
      </c>
      <c r="IY646" s="27" t="s">
        <v>8</v>
      </c>
      <c r="IZ646" s="27" t="s">
        <v>7</v>
      </c>
      <c r="JA646" s="27" t="s">
        <v>8</v>
      </c>
      <c r="JD646" s="27" t="s">
        <v>7</v>
      </c>
      <c r="JE646" s="27" t="s">
        <v>8</v>
      </c>
      <c r="JR646" s="27" t="s">
        <v>7</v>
      </c>
    </row>
    <row r="647" spans="1:280" x14ac:dyDescent="0.25">
      <c r="A647" s="7">
        <v>0.30478226645907036</v>
      </c>
      <c r="B647"/>
      <c r="C647"/>
      <c r="D647"/>
      <c r="E647"/>
      <c r="F647" s="27" t="s">
        <v>7</v>
      </c>
      <c r="BY647" s="27" t="s">
        <v>8</v>
      </c>
      <c r="BZ647" s="27" t="s">
        <v>7</v>
      </c>
      <c r="CA647" s="27" t="s">
        <v>8</v>
      </c>
      <c r="CB647" s="27" t="s">
        <v>7</v>
      </c>
      <c r="CC647" s="27" t="s">
        <v>8</v>
      </c>
      <c r="CD647" s="27" t="s">
        <v>7</v>
      </c>
      <c r="CL647" s="27" t="s">
        <v>7</v>
      </c>
      <c r="CM647" s="27" t="s">
        <v>8</v>
      </c>
      <c r="CN647" s="27" t="s">
        <v>7</v>
      </c>
      <c r="CO647" s="27" t="s">
        <v>8</v>
      </c>
      <c r="CP647" s="27" t="s">
        <v>7</v>
      </c>
      <c r="CQ647" s="27" t="s">
        <v>8</v>
      </c>
      <c r="EL647" s="27" t="s">
        <v>7</v>
      </c>
      <c r="EM647" s="27" t="s">
        <v>8</v>
      </c>
      <c r="EN647" s="27" t="s">
        <v>7</v>
      </c>
      <c r="EO647" s="27" t="s">
        <v>8</v>
      </c>
      <c r="EP647" s="27" t="s">
        <v>7</v>
      </c>
      <c r="EQ647" s="27" t="s">
        <v>8</v>
      </c>
      <c r="ER647" s="27" t="s">
        <v>7</v>
      </c>
      <c r="ES647" s="27" t="s">
        <v>8</v>
      </c>
      <c r="ET647" s="27" t="s">
        <v>7</v>
      </c>
      <c r="EU647" s="27" t="s">
        <v>8</v>
      </c>
      <c r="EZ647" s="27" t="s">
        <v>7</v>
      </c>
      <c r="FA647" s="27" t="s">
        <v>8</v>
      </c>
      <c r="FB647" s="27" t="s">
        <v>7</v>
      </c>
      <c r="FC647" s="27" t="s">
        <v>8</v>
      </c>
      <c r="FD647" s="27" t="s">
        <v>7</v>
      </c>
      <c r="FE647" s="27" t="s">
        <v>8</v>
      </c>
      <c r="GI647" s="27" t="s">
        <v>8</v>
      </c>
      <c r="GJ647" s="27" t="s">
        <v>7</v>
      </c>
      <c r="GK647" s="27" t="s">
        <v>8</v>
      </c>
      <c r="HF647" s="27" t="s">
        <v>7</v>
      </c>
      <c r="IT647" s="27" t="s">
        <v>7</v>
      </c>
      <c r="IU647" s="27" t="s">
        <v>8</v>
      </c>
      <c r="IV647" s="27" t="s">
        <v>7</v>
      </c>
      <c r="IW647" s="27" t="s">
        <v>8</v>
      </c>
      <c r="IX647" s="27" t="s">
        <v>7</v>
      </c>
      <c r="IY647" s="27" t="s">
        <v>8</v>
      </c>
      <c r="IZ647" s="27" t="s">
        <v>7</v>
      </c>
      <c r="JA647" s="27" t="s">
        <v>8</v>
      </c>
      <c r="JD647" s="27" t="s">
        <v>7</v>
      </c>
      <c r="JE647" s="27" t="s">
        <v>8</v>
      </c>
      <c r="JR647" s="27" t="s">
        <v>7</v>
      </c>
    </row>
    <row r="648" spans="1:280" x14ac:dyDescent="0.25">
      <c r="A648" s="7">
        <v>0.29880614358732388</v>
      </c>
      <c r="B648"/>
      <c r="C648"/>
      <c r="D648"/>
      <c r="E648"/>
      <c r="F648" s="27" t="s">
        <v>7</v>
      </c>
      <c r="BY648" s="27" t="s">
        <v>8</v>
      </c>
      <c r="BZ648" s="27" t="s">
        <v>7</v>
      </c>
      <c r="CA648" s="27" t="s">
        <v>8</v>
      </c>
      <c r="CB648" s="27" t="s">
        <v>7</v>
      </c>
      <c r="CC648" s="27" t="s">
        <v>8</v>
      </c>
      <c r="CL648" s="27" t="s">
        <v>7</v>
      </c>
      <c r="CM648" s="27" t="s">
        <v>8</v>
      </c>
      <c r="CN648" s="27" t="s">
        <v>7</v>
      </c>
      <c r="CP648" s="27" t="s">
        <v>7</v>
      </c>
      <c r="CQ648" s="27" t="s">
        <v>8</v>
      </c>
      <c r="EL648" s="27" t="s">
        <v>7</v>
      </c>
      <c r="EM648" s="27" t="s">
        <v>8</v>
      </c>
      <c r="EN648" s="27" t="s">
        <v>7</v>
      </c>
      <c r="EO648" s="27" t="s">
        <v>8</v>
      </c>
      <c r="EP648" s="27" t="s">
        <v>7</v>
      </c>
      <c r="EQ648" s="27" t="s">
        <v>8</v>
      </c>
      <c r="ER648" s="27" t="s">
        <v>7</v>
      </c>
      <c r="ES648" s="27" t="s">
        <v>8</v>
      </c>
      <c r="ET648" s="27" t="s">
        <v>7</v>
      </c>
      <c r="EU648" s="27" t="s">
        <v>8</v>
      </c>
      <c r="EZ648" s="27" t="s">
        <v>7</v>
      </c>
      <c r="FA648" s="27" t="s">
        <v>8</v>
      </c>
      <c r="FB648" s="27" t="s">
        <v>7</v>
      </c>
      <c r="FC648" s="27" t="s">
        <v>8</v>
      </c>
      <c r="FD648" s="27" t="s">
        <v>7</v>
      </c>
      <c r="FE648" s="27" t="s">
        <v>8</v>
      </c>
      <c r="FF648" s="27" t="s">
        <v>7</v>
      </c>
      <c r="GI648" s="27" t="s">
        <v>8</v>
      </c>
      <c r="GJ648" s="27" t="s">
        <v>7</v>
      </c>
      <c r="GK648" s="27" t="s">
        <v>8</v>
      </c>
      <c r="IT648" s="27" t="s">
        <v>7</v>
      </c>
      <c r="IU648" s="27" t="s">
        <v>8</v>
      </c>
      <c r="IV648" s="27" t="s">
        <v>7</v>
      </c>
      <c r="IW648" s="27" t="s">
        <v>8</v>
      </c>
      <c r="IX648" s="27" t="s">
        <v>7</v>
      </c>
      <c r="IY648" s="27" t="s">
        <v>8</v>
      </c>
      <c r="IZ648" s="27" t="s">
        <v>7</v>
      </c>
      <c r="JD648" s="27" t="s">
        <v>7</v>
      </c>
      <c r="JR648" s="27" t="s">
        <v>7</v>
      </c>
    </row>
    <row r="649" spans="1:280" x14ac:dyDescent="0.25">
      <c r="A649" s="7">
        <v>0.2929471995954156</v>
      </c>
      <c r="B649"/>
      <c r="C649"/>
      <c r="D649"/>
      <c r="E649"/>
      <c r="F649" s="27" t="s">
        <v>7</v>
      </c>
      <c r="BY649" s="27" t="s">
        <v>8</v>
      </c>
      <c r="BZ649" s="27" t="s">
        <v>7</v>
      </c>
      <c r="CB649" s="27" t="s">
        <v>7</v>
      </c>
      <c r="CC649" s="27" t="s">
        <v>8</v>
      </c>
      <c r="CL649" s="27" t="s">
        <v>7</v>
      </c>
      <c r="CM649" s="27" t="s">
        <v>8</v>
      </c>
      <c r="CP649" s="27" t="s">
        <v>7</v>
      </c>
      <c r="EL649" s="27" t="s">
        <v>7</v>
      </c>
      <c r="EM649" s="27" t="s">
        <v>8</v>
      </c>
      <c r="EN649" s="27" t="s">
        <v>7</v>
      </c>
      <c r="EO649" s="27" t="s">
        <v>8</v>
      </c>
      <c r="EP649" s="27" t="s">
        <v>7</v>
      </c>
      <c r="EQ649" s="27" t="s">
        <v>8</v>
      </c>
      <c r="ER649" s="27" t="s">
        <v>7</v>
      </c>
      <c r="ES649" s="27" t="s">
        <v>8</v>
      </c>
      <c r="ET649" s="27" t="s">
        <v>7</v>
      </c>
      <c r="EU649" s="27" t="s">
        <v>8</v>
      </c>
      <c r="EZ649" s="27" t="s">
        <v>7</v>
      </c>
      <c r="FA649" s="27" t="s">
        <v>8</v>
      </c>
      <c r="FB649" s="27" t="s">
        <v>7</v>
      </c>
      <c r="FC649" s="27" t="s">
        <v>8</v>
      </c>
      <c r="FD649" s="27" t="s">
        <v>7</v>
      </c>
      <c r="FE649" s="27" t="s">
        <v>8</v>
      </c>
      <c r="FF649" s="27" t="s">
        <v>7</v>
      </c>
      <c r="GI649" s="27" t="s">
        <v>8</v>
      </c>
      <c r="GJ649" s="27" t="s">
        <v>7</v>
      </c>
      <c r="GK649" s="27" t="s">
        <v>8</v>
      </c>
      <c r="IT649" s="27" t="s">
        <v>7</v>
      </c>
      <c r="IU649" s="27" t="s">
        <v>8</v>
      </c>
      <c r="IV649" s="27" t="s">
        <v>7</v>
      </c>
      <c r="IW649" s="27" t="s">
        <v>8</v>
      </c>
      <c r="IX649" s="27" t="s">
        <v>7</v>
      </c>
      <c r="IY649" s="27" t="s">
        <v>8</v>
      </c>
      <c r="JR649" s="27" t="s">
        <v>7</v>
      </c>
    </row>
    <row r="650" spans="1:280" x14ac:dyDescent="0.25">
      <c r="A650" s="7">
        <v>0.28720313685825055</v>
      </c>
      <c r="B650"/>
      <c r="C650"/>
      <c r="D650"/>
      <c r="E650"/>
      <c r="F650" s="27" t="s">
        <v>7</v>
      </c>
      <c r="BY650" s="27" t="s">
        <v>8</v>
      </c>
      <c r="CB650" s="27" t="s">
        <v>7</v>
      </c>
      <c r="CC650" s="27" t="s">
        <v>8</v>
      </c>
      <c r="CL650" s="27" t="s">
        <v>7</v>
      </c>
      <c r="CM650" s="27" t="s">
        <v>8</v>
      </c>
      <c r="EL650" s="27" t="s">
        <v>7</v>
      </c>
      <c r="EM650" s="27" t="s">
        <v>8</v>
      </c>
      <c r="EN650" s="27" t="s">
        <v>7</v>
      </c>
      <c r="EO650" s="27" t="s">
        <v>8</v>
      </c>
      <c r="EP650" s="27" t="s">
        <v>7</v>
      </c>
      <c r="EQ650" s="27" t="s">
        <v>8</v>
      </c>
      <c r="ER650" s="27" t="s">
        <v>7</v>
      </c>
      <c r="ES650" s="27" t="s">
        <v>8</v>
      </c>
      <c r="ET650" s="27" t="s">
        <v>7</v>
      </c>
      <c r="EU650" s="27" t="s">
        <v>8</v>
      </c>
      <c r="EZ650" s="27" t="s">
        <v>7</v>
      </c>
      <c r="FA650" s="27" t="s">
        <v>8</v>
      </c>
      <c r="FB650" s="27" t="s">
        <v>7</v>
      </c>
      <c r="FC650" s="27" t="s">
        <v>8</v>
      </c>
      <c r="FD650" s="27" t="s">
        <v>7</v>
      </c>
      <c r="FE650" s="27" t="s">
        <v>8</v>
      </c>
      <c r="FF650" s="27" t="s">
        <v>7</v>
      </c>
      <c r="GI650" s="27" t="s">
        <v>8</v>
      </c>
      <c r="GJ650" s="27" t="s">
        <v>7</v>
      </c>
      <c r="GK650" s="27" t="s">
        <v>8</v>
      </c>
      <c r="IT650" s="27" t="s">
        <v>7</v>
      </c>
      <c r="IU650" s="27" t="s">
        <v>8</v>
      </c>
      <c r="IV650" s="27" t="s">
        <v>7</v>
      </c>
      <c r="IW650" s="27" t="s">
        <v>8</v>
      </c>
      <c r="IX650" s="27" t="s">
        <v>7</v>
      </c>
      <c r="JR650" s="27" t="s">
        <v>7</v>
      </c>
    </row>
    <row r="651" spans="1:280" x14ac:dyDescent="0.25">
      <c r="A651" s="7">
        <v>0.28157170280220645</v>
      </c>
      <c r="B651"/>
      <c r="C651"/>
      <c r="D651"/>
      <c r="E651"/>
      <c r="F651" s="27" t="s">
        <v>7</v>
      </c>
      <c r="BY651" s="27" t="s">
        <v>8</v>
      </c>
      <c r="CB651" s="27" t="s">
        <v>7</v>
      </c>
      <c r="CC651" s="27" t="s">
        <v>8</v>
      </c>
      <c r="CL651" s="27" t="s">
        <v>7</v>
      </c>
      <c r="CM651" s="27" t="s">
        <v>8</v>
      </c>
      <c r="EL651" s="27" t="s">
        <v>7</v>
      </c>
      <c r="EM651" s="27" t="s">
        <v>8</v>
      </c>
      <c r="EN651" s="27" t="s">
        <v>7</v>
      </c>
      <c r="EO651" s="27" t="s">
        <v>8</v>
      </c>
      <c r="EP651" s="27" t="s">
        <v>7</v>
      </c>
      <c r="EQ651" s="27" t="s">
        <v>8</v>
      </c>
      <c r="ER651" s="27" t="s">
        <v>7</v>
      </c>
      <c r="ES651" s="27" t="s">
        <v>8</v>
      </c>
      <c r="ET651" s="27" t="s">
        <v>7</v>
      </c>
      <c r="EU651" s="27" t="s">
        <v>8</v>
      </c>
      <c r="EZ651" s="27" t="s">
        <v>7</v>
      </c>
      <c r="FA651" s="27" t="s">
        <v>8</v>
      </c>
      <c r="FB651" s="27" t="s">
        <v>7</v>
      </c>
      <c r="FC651" s="27" t="s">
        <v>8</v>
      </c>
      <c r="FD651" s="27" t="s">
        <v>7</v>
      </c>
      <c r="FE651" s="27" t="s">
        <v>8</v>
      </c>
      <c r="FF651" s="27" t="s">
        <v>7</v>
      </c>
      <c r="GI651" s="27" t="s">
        <v>8</v>
      </c>
      <c r="GJ651" s="27" t="s">
        <v>7</v>
      </c>
      <c r="GK651" s="27" t="s">
        <v>8</v>
      </c>
      <c r="IT651" s="27" t="s">
        <v>7</v>
      </c>
      <c r="IU651" s="27" t="s">
        <v>8</v>
      </c>
      <c r="IV651" s="27" t="s">
        <v>7</v>
      </c>
      <c r="IW651" s="27" t="s">
        <v>8</v>
      </c>
      <c r="JR651" s="27" t="s">
        <v>7</v>
      </c>
    </row>
    <row r="652" spans="1:280" x14ac:dyDescent="0.25">
      <c r="A652" s="7">
        <v>0.27605068902177105</v>
      </c>
      <c r="B652"/>
      <c r="C652"/>
      <c r="D652"/>
      <c r="E652"/>
      <c r="F652" s="27" t="s">
        <v>7</v>
      </c>
      <c r="BW652" s="27" t="s">
        <v>8</v>
      </c>
      <c r="BY652" s="27" t="s">
        <v>8</v>
      </c>
      <c r="CB652" s="27" t="s">
        <v>7</v>
      </c>
      <c r="CC652" s="27" t="s">
        <v>8</v>
      </c>
      <c r="CL652" s="27" t="s">
        <v>7</v>
      </c>
      <c r="CM652" s="27" t="s">
        <v>8</v>
      </c>
      <c r="EL652" s="27" t="s">
        <v>7</v>
      </c>
      <c r="EM652" s="27" t="s">
        <v>8</v>
      </c>
      <c r="EN652" s="27" t="s">
        <v>7</v>
      </c>
      <c r="EO652" s="27" t="s">
        <v>8</v>
      </c>
      <c r="EP652" s="27" t="s">
        <v>7</v>
      </c>
      <c r="EQ652" s="27" t="s">
        <v>8</v>
      </c>
      <c r="ER652" s="27" t="s">
        <v>7</v>
      </c>
      <c r="ES652" s="27" t="s">
        <v>8</v>
      </c>
      <c r="ET652" s="27" t="s">
        <v>7</v>
      </c>
      <c r="EU652" s="27" t="s">
        <v>8</v>
      </c>
      <c r="EZ652" s="27" t="s">
        <v>7</v>
      </c>
      <c r="FA652" s="27" t="s">
        <v>8</v>
      </c>
      <c r="FB652" s="27" t="s">
        <v>7</v>
      </c>
      <c r="FC652" s="27" t="s">
        <v>8</v>
      </c>
      <c r="FD652" s="27" t="s">
        <v>7</v>
      </c>
      <c r="FF652" s="27" t="s">
        <v>7</v>
      </c>
      <c r="GI652" s="27" t="s">
        <v>8</v>
      </c>
      <c r="GJ652" s="27" t="s">
        <v>7</v>
      </c>
      <c r="GK652" s="27" t="s">
        <v>8</v>
      </c>
      <c r="IT652" s="27" t="s">
        <v>7</v>
      </c>
      <c r="IU652" s="27" t="s">
        <v>8</v>
      </c>
      <c r="IV652" s="27" t="s">
        <v>7</v>
      </c>
      <c r="IW652" s="27" t="s">
        <v>8</v>
      </c>
      <c r="JR652" s="27" t="s">
        <v>7</v>
      </c>
    </row>
    <row r="653" spans="1:280" x14ac:dyDescent="0.25">
      <c r="A653" s="7">
        <v>0.27063793041350104</v>
      </c>
      <c r="B653"/>
      <c r="C653"/>
      <c r="D653"/>
      <c r="E653"/>
      <c r="F653" s="27" t="s">
        <v>7</v>
      </c>
      <c r="BW653" s="27" t="s">
        <v>8</v>
      </c>
      <c r="BX653" s="27" t="s">
        <v>7</v>
      </c>
      <c r="BY653" s="27" t="s">
        <v>8</v>
      </c>
      <c r="CB653" s="27" t="s">
        <v>7</v>
      </c>
      <c r="CC653" s="27" t="s">
        <v>8</v>
      </c>
      <c r="CL653" s="27" t="s">
        <v>7</v>
      </c>
      <c r="EL653" s="27" t="s">
        <v>7</v>
      </c>
      <c r="EM653" s="27" t="s">
        <v>8</v>
      </c>
      <c r="EN653" s="27" t="s">
        <v>7</v>
      </c>
      <c r="EP653" s="27" t="s">
        <v>7</v>
      </c>
      <c r="EQ653" s="27" t="s">
        <v>8</v>
      </c>
      <c r="ER653" s="27" t="s">
        <v>7</v>
      </c>
      <c r="ET653" s="27" t="s">
        <v>7</v>
      </c>
      <c r="EZ653" s="27" t="s">
        <v>7</v>
      </c>
      <c r="FA653" s="27" t="s">
        <v>8</v>
      </c>
      <c r="FB653" s="27" t="s">
        <v>7</v>
      </c>
      <c r="FF653" s="27" t="s">
        <v>7</v>
      </c>
      <c r="GG653" s="27" t="s">
        <v>8</v>
      </c>
      <c r="GI653" s="27" t="s">
        <v>8</v>
      </c>
      <c r="GJ653" s="27" t="s">
        <v>7</v>
      </c>
      <c r="IT653" s="27" t="s">
        <v>7</v>
      </c>
      <c r="IU653" s="27" t="s">
        <v>8</v>
      </c>
      <c r="IV653" s="27" t="s">
        <v>7</v>
      </c>
      <c r="JR653" s="27" t="s">
        <v>7</v>
      </c>
    </row>
    <row r="654" spans="1:280" x14ac:dyDescent="0.25">
      <c r="A654" s="7">
        <v>0.26533130432696184</v>
      </c>
      <c r="B654"/>
      <c r="C654"/>
      <c r="D654"/>
      <c r="E654"/>
      <c r="F654" s="27" t="s">
        <v>7</v>
      </c>
      <c r="BM654" s="27" t="s">
        <v>8</v>
      </c>
      <c r="BW654" s="27" t="s">
        <v>8</v>
      </c>
      <c r="BX654" s="27" t="s">
        <v>7</v>
      </c>
      <c r="BY654" s="27" t="s">
        <v>8</v>
      </c>
      <c r="CB654" s="27" t="s">
        <v>7</v>
      </c>
      <c r="CC654" s="27" t="s">
        <v>8</v>
      </c>
      <c r="EL654" s="27" t="s">
        <v>7</v>
      </c>
      <c r="EM654" s="27" t="s">
        <v>8</v>
      </c>
      <c r="EP654" s="27" t="s">
        <v>7</v>
      </c>
      <c r="EQ654" s="27" t="s">
        <v>8</v>
      </c>
      <c r="EZ654" s="27" t="s">
        <v>7</v>
      </c>
      <c r="FA654" s="27" t="s">
        <v>8</v>
      </c>
      <c r="FF654" s="27" t="s">
        <v>7</v>
      </c>
      <c r="GG654" s="27" t="s">
        <v>8</v>
      </c>
      <c r="GH654" s="27" t="s">
        <v>7</v>
      </c>
      <c r="GI654" s="27" t="s">
        <v>8</v>
      </c>
      <c r="IT654" s="27" t="s">
        <v>7</v>
      </c>
      <c r="IU654" s="27" t="s">
        <v>8</v>
      </c>
      <c r="JR654" s="27" t="s">
        <v>7</v>
      </c>
      <c r="JS654" s="27" t="s">
        <v>8</v>
      </c>
    </row>
    <row r="655" spans="1:280" x14ac:dyDescent="0.25">
      <c r="A655" s="7">
        <v>0.26012872973231554</v>
      </c>
      <c r="B655"/>
      <c r="C655"/>
      <c r="D655"/>
      <c r="E655"/>
      <c r="F655" s="27" t="s">
        <v>7</v>
      </c>
      <c r="BM655" s="27" t="s">
        <v>8</v>
      </c>
      <c r="BN655" s="27" t="s">
        <v>7</v>
      </c>
      <c r="BW655" s="27" t="s">
        <v>8</v>
      </c>
      <c r="BX655" s="27" t="s">
        <v>7</v>
      </c>
      <c r="BY655" s="27" t="s">
        <v>8</v>
      </c>
      <c r="CB655" s="27" t="s">
        <v>7</v>
      </c>
      <c r="EL655" s="27" t="s">
        <v>7</v>
      </c>
      <c r="EM655" s="27" t="s">
        <v>8</v>
      </c>
      <c r="EP655" s="27" t="s">
        <v>7</v>
      </c>
      <c r="EQ655" s="27" t="s">
        <v>8</v>
      </c>
      <c r="EZ655" s="27" t="s">
        <v>7</v>
      </c>
      <c r="FA655" s="27" t="s">
        <v>8</v>
      </c>
      <c r="FF655" s="27" t="s">
        <v>7</v>
      </c>
      <c r="GG655" s="27" t="s">
        <v>8</v>
      </c>
      <c r="GH655" s="27" t="s">
        <v>7</v>
      </c>
      <c r="GI655" s="27" t="s">
        <v>8</v>
      </c>
      <c r="IT655" s="27" t="s">
        <v>7</v>
      </c>
      <c r="JR655" s="27" t="s">
        <v>7</v>
      </c>
      <c r="JS655" s="27" t="s">
        <v>8</v>
      </c>
      <c r="JT655" s="27" t="s">
        <v>7</v>
      </c>
    </row>
    <row r="656" spans="1:280" x14ac:dyDescent="0.25">
      <c r="A656" s="7">
        <v>0.25502816640423093</v>
      </c>
      <c r="B656"/>
      <c r="C656"/>
      <c r="D656"/>
      <c r="E656"/>
      <c r="F656" s="27" t="s">
        <v>7</v>
      </c>
      <c r="BM656" s="27" t="s">
        <v>8</v>
      </c>
      <c r="BN656" s="27" t="s">
        <v>7</v>
      </c>
      <c r="BW656" s="27" t="s">
        <v>8</v>
      </c>
      <c r="BX656" s="27" t="s">
        <v>7</v>
      </c>
      <c r="BY656" s="27" t="s">
        <v>8</v>
      </c>
      <c r="EL656" s="27" t="s">
        <v>7</v>
      </c>
      <c r="EP656" s="27" t="s">
        <v>7</v>
      </c>
      <c r="EQ656" s="27" t="s">
        <v>8</v>
      </c>
      <c r="EZ656" s="27" t="s">
        <v>7</v>
      </c>
      <c r="FF656" s="27" t="s">
        <v>7</v>
      </c>
      <c r="GG656" s="27" t="s">
        <v>8</v>
      </c>
      <c r="GH656" s="27" t="s">
        <v>7</v>
      </c>
      <c r="GI656" s="27" t="s">
        <v>8</v>
      </c>
      <c r="JR656" s="27" t="s">
        <v>7</v>
      </c>
      <c r="JS656" s="27" t="s">
        <v>8</v>
      </c>
      <c r="JT656" s="27" t="s">
        <v>7</v>
      </c>
    </row>
    <row r="657" spans="1:282" x14ac:dyDescent="0.25">
      <c r="A657" s="7">
        <v>0.25002761412179503</v>
      </c>
      <c r="B657"/>
      <c r="C657"/>
      <c r="D657"/>
      <c r="E657"/>
      <c r="F657" s="27" t="s">
        <v>7</v>
      </c>
      <c r="BM657" s="27" t="s">
        <v>8</v>
      </c>
      <c r="BN657" s="27" t="s">
        <v>7</v>
      </c>
      <c r="BW657" s="27" t="s">
        <v>8</v>
      </c>
      <c r="BX657" s="27" t="s">
        <v>7</v>
      </c>
      <c r="BY657" s="27" t="s">
        <v>8</v>
      </c>
      <c r="EP657" s="27" t="s">
        <v>7</v>
      </c>
      <c r="EQ657" s="27" t="s">
        <v>8</v>
      </c>
      <c r="FF657" s="27" t="s">
        <v>7</v>
      </c>
      <c r="FK657" s="27" t="s">
        <v>8</v>
      </c>
      <c r="GG657" s="27" t="s">
        <v>8</v>
      </c>
      <c r="GH657" s="27" t="s">
        <v>7</v>
      </c>
      <c r="GI657" s="27" t="s">
        <v>8</v>
      </c>
      <c r="JR657" s="27" t="s">
        <v>7</v>
      </c>
      <c r="JS657" s="27" t="s">
        <v>8</v>
      </c>
      <c r="JT657" s="27" t="s">
        <v>7</v>
      </c>
      <c r="JU657" s="27" t="s">
        <v>8</v>
      </c>
    </row>
    <row r="658" spans="1:282" x14ac:dyDescent="0.25">
      <c r="A658" s="7">
        <v>0.24512511188411276</v>
      </c>
      <c r="B658"/>
      <c r="C658"/>
      <c r="D658"/>
      <c r="E658"/>
      <c r="F658" s="27" t="s">
        <v>7</v>
      </c>
      <c r="BM658" s="27" t="s">
        <v>8</v>
      </c>
      <c r="BN658" s="27" t="s">
        <v>7</v>
      </c>
      <c r="BS658" s="27" t="s">
        <v>8</v>
      </c>
      <c r="BU658" s="27" t="s">
        <v>8</v>
      </c>
      <c r="BW658" s="27" t="s">
        <v>8</v>
      </c>
      <c r="BX658" s="27" t="s">
        <v>7</v>
      </c>
      <c r="BY658" s="27" t="s">
        <v>8</v>
      </c>
      <c r="EP658" s="27" t="s">
        <v>7</v>
      </c>
      <c r="EQ658" s="27" t="s">
        <v>8</v>
      </c>
      <c r="FF658" s="27" t="s">
        <v>7</v>
      </c>
      <c r="FK658" s="27" t="s">
        <v>8</v>
      </c>
      <c r="FL658" s="27" t="s">
        <v>7</v>
      </c>
      <c r="GC658" s="27" t="s">
        <v>8</v>
      </c>
      <c r="GE658" s="27" t="s">
        <v>8</v>
      </c>
      <c r="GG658" s="27" t="s">
        <v>8</v>
      </c>
      <c r="GH658" s="27" t="s">
        <v>7</v>
      </c>
      <c r="JR658" s="27" t="s">
        <v>7</v>
      </c>
      <c r="JS658" s="27" t="s">
        <v>8</v>
      </c>
      <c r="JT658" s="27" t="s">
        <v>7</v>
      </c>
      <c r="JU658" s="27" t="s">
        <v>8</v>
      </c>
      <c r="JV658" s="27" t="s">
        <v>7</v>
      </c>
    </row>
    <row r="659" spans="1:282" x14ac:dyDescent="0.25">
      <c r="A659" s="7">
        <v>0.24031873714128701</v>
      </c>
      <c r="B659"/>
      <c r="C659"/>
      <c r="D659"/>
      <c r="E659"/>
      <c r="F659" s="27" t="s">
        <v>7</v>
      </c>
      <c r="BM659" s="27" t="s">
        <v>8</v>
      </c>
      <c r="BN659" s="27" t="s">
        <v>7</v>
      </c>
      <c r="BS659" s="27" t="s">
        <v>8</v>
      </c>
      <c r="BT659" s="27" t="s">
        <v>7</v>
      </c>
      <c r="BU659" s="27" t="s">
        <v>8</v>
      </c>
      <c r="BV659" s="27" t="s">
        <v>7</v>
      </c>
      <c r="BW659" s="27" t="s">
        <v>8</v>
      </c>
      <c r="BX659" s="27" t="s">
        <v>7</v>
      </c>
      <c r="BY659" s="27" t="s">
        <v>8</v>
      </c>
      <c r="EP659" s="27" t="s">
        <v>7</v>
      </c>
      <c r="EQ659" s="27" t="s">
        <v>8</v>
      </c>
      <c r="FF659" s="27" t="s">
        <v>7</v>
      </c>
      <c r="FK659" s="27" t="s">
        <v>8</v>
      </c>
      <c r="FL659" s="27" t="s">
        <v>7</v>
      </c>
      <c r="FQ659" s="27" t="s">
        <v>8</v>
      </c>
      <c r="GC659" s="27" t="s">
        <v>8</v>
      </c>
      <c r="GD659" s="27" t="s">
        <v>7</v>
      </c>
      <c r="GE659" s="27" t="s">
        <v>8</v>
      </c>
      <c r="GF659" s="27" t="s">
        <v>7</v>
      </c>
      <c r="GG659" s="27" t="s">
        <v>8</v>
      </c>
      <c r="JR659" s="27" t="s">
        <v>7</v>
      </c>
      <c r="JS659" s="27" t="s">
        <v>8</v>
      </c>
      <c r="JT659" s="27" t="s">
        <v>7</v>
      </c>
      <c r="JU659" s="27" t="s">
        <v>8</v>
      </c>
      <c r="JV659" s="27" t="s">
        <v>7</v>
      </c>
    </row>
    <row r="660" spans="1:282" x14ac:dyDescent="0.25">
      <c r="A660" s="7">
        <v>0.23560660504047748</v>
      </c>
      <c r="B660"/>
      <c r="C660"/>
      <c r="D660"/>
      <c r="E660"/>
      <c r="F660" s="27" t="s">
        <v>7</v>
      </c>
      <c r="BM660" s="27" t="s">
        <v>8</v>
      </c>
      <c r="BN660" s="27" t="s">
        <v>7</v>
      </c>
      <c r="BS660" s="27" t="s">
        <v>8</v>
      </c>
      <c r="BT660" s="27" t="s">
        <v>7</v>
      </c>
      <c r="BU660" s="27" t="s">
        <v>8</v>
      </c>
      <c r="BV660" s="27" t="s">
        <v>7</v>
      </c>
      <c r="BW660" s="27" t="s">
        <v>8</v>
      </c>
      <c r="BX660" s="27" t="s">
        <v>7</v>
      </c>
      <c r="BY660" s="27" t="s">
        <v>8</v>
      </c>
      <c r="EP660" s="27" t="s">
        <v>7</v>
      </c>
      <c r="EQ660" s="27" t="s">
        <v>8</v>
      </c>
      <c r="FF660" s="27" t="s">
        <v>7</v>
      </c>
      <c r="FK660" s="27" t="s">
        <v>8</v>
      </c>
      <c r="FL660" s="27" t="s">
        <v>7</v>
      </c>
      <c r="FM660" s="27" t="s">
        <v>8</v>
      </c>
      <c r="FQ660" s="27" t="s">
        <v>8</v>
      </c>
      <c r="FR660" s="27" t="s">
        <v>7</v>
      </c>
      <c r="GC660" s="27" t="s">
        <v>8</v>
      </c>
      <c r="GD660" s="27" t="s">
        <v>7</v>
      </c>
      <c r="GE660" s="27" t="s">
        <v>8</v>
      </c>
      <c r="GF660" s="27" t="s">
        <v>7</v>
      </c>
      <c r="GG660" s="27" t="s">
        <v>8</v>
      </c>
      <c r="JR660" s="27" t="s">
        <v>7</v>
      </c>
      <c r="JS660" s="27" t="s">
        <v>8</v>
      </c>
      <c r="JT660" s="27" t="s">
        <v>7</v>
      </c>
      <c r="JU660" s="27" t="s">
        <v>8</v>
      </c>
      <c r="JV660" s="27" t="s">
        <v>7</v>
      </c>
    </row>
    <row r="661" spans="1:282" x14ac:dyDescent="0.25">
      <c r="A661" s="7">
        <v>0.23098686768674265</v>
      </c>
      <c r="B661"/>
      <c r="C661"/>
      <c r="D661"/>
      <c r="E661"/>
      <c r="F661" s="27" t="s">
        <v>7</v>
      </c>
      <c r="BM661" s="27" t="s">
        <v>8</v>
      </c>
      <c r="BN661" s="27" t="s">
        <v>7</v>
      </c>
      <c r="BS661" s="27" t="s">
        <v>8</v>
      </c>
      <c r="BT661" s="27" t="s">
        <v>7</v>
      </c>
      <c r="BU661" s="27" t="s">
        <v>8</v>
      </c>
      <c r="BV661" s="27" t="s">
        <v>7</v>
      </c>
      <c r="BW661" s="27" t="s">
        <v>8</v>
      </c>
      <c r="BX661" s="27" t="s">
        <v>7</v>
      </c>
      <c r="BY661" s="27" t="s">
        <v>8</v>
      </c>
      <c r="EP661" s="27" t="s">
        <v>7</v>
      </c>
      <c r="EQ661" s="27" t="s">
        <v>8</v>
      </c>
      <c r="FF661" s="27" t="s">
        <v>7</v>
      </c>
      <c r="FG661" s="27" t="s">
        <v>8</v>
      </c>
      <c r="FK661" s="27" t="s">
        <v>8</v>
      </c>
      <c r="FL661" s="27" t="s">
        <v>7</v>
      </c>
      <c r="FM661" s="27" t="s">
        <v>8</v>
      </c>
      <c r="FN661" s="27" t="s">
        <v>7</v>
      </c>
      <c r="FO661" s="27" t="s">
        <v>8</v>
      </c>
      <c r="FQ661" s="27" t="s">
        <v>8</v>
      </c>
      <c r="FR661" s="27" t="s">
        <v>7</v>
      </c>
      <c r="GC661" s="27" t="s">
        <v>8</v>
      </c>
      <c r="GD661" s="27" t="s">
        <v>7</v>
      </c>
      <c r="GE661" s="27" t="s">
        <v>8</v>
      </c>
      <c r="GF661" s="27" t="s">
        <v>7</v>
      </c>
      <c r="GG661" s="27" t="s">
        <v>8</v>
      </c>
      <c r="JR661" s="27" t="s">
        <v>7</v>
      </c>
      <c r="JS661" s="27" t="s">
        <v>8</v>
      </c>
      <c r="JT661" s="27" t="s">
        <v>7</v>
      </c>
      <c r="JU661" s="27" t="s">
        <v>8</v>
      </c>
    </row>
    <row r="662" spans="1:282" x14ac:dyDescent="0.25">
      <c r="A662" s="7">
        <v>0.22645771341837515</v>
      </c>
      <c r="B662"/>
      <c r="C662"/>
      <c r="D662"/>
      <c r="E662"/>
      <c r="F662" s="27" t="s">
        <v>7</v>
      </c>
      <c r="BM662" s="27" t="s">
        <v>8</v>
      </c>
      <c r="BN662" s="27" t="s">
        <v>7</v>
      </c>
      <c r="BS662" s="27" t="s">
        <v>8</v>
      </c>
      <c r="BT662" s="27" t="s">
        <v>7</v>
      </c>
      <c r="BU662" s="27" t="s">
        <v>8</v>
      </c>
      <c r="BV662" s="27" t="s">
        <v>7</v>
      </c>
      <c r="BW662" s="27" t="s">
        <v>8</v>
      </c>
      <c r="BX662" s="27" t="s">
        <v>7</v>
      </c>
      <c r="EP662" s="27" t="s">
        <v>7</v>
      </c>
      <c r="EQ662" s="27" t="s">
        <v>8</v>
      </c>
      <c r="FF662" s="27" t="s">
        <v>7</v>
      </c>
      <c r="FG662" s="27" t="s">
        <v>8</v>
      </c>
      <c r="FH662" s="27" t="s">
        <v>7</v>
      </c>
      <c r="FI662" s="27" t="s">
        <v>8</v>
      </c>
      <c r="FK662" s="27" t="s">
        <v>8</v>
      </c>
      <c r="FL662" s="27" t="s">
        <v>7</v>
      </c>
      <c r="FM662" s="27" t="s">
        <v>8</v>
      </c>
      <c r="FN662" s="27" t="s">
        <v>7</v>
      </c>
      <c r="FO662" s="27" t="s">
        <v>8</v>
      </c>
      <c r="FP662" s="27" t="s">
        <v>7</v>
      </c>
      <c r="FQ662" s="27" t="s">
        <v>8</v>
      </c>
      <c r="FR662" s="27" t="s">
        <v>7</v>
      </c>
      <c r="FS662" s="27" t="s">
        <v>8</v>
      </c>
      <c r="GA662" s="27" t="s">
        <v>8</v>
      </c>
      <c r="GC662" s="27" t="s">
        <v>8</v>
      </c>
      <c r="GD662" s="27" t="s">
        <v>7</v>
      </c>
      <c r="GE662" s="27" t="s">
        <v>8</v>
      </c>
      <c r="GF662" s="27" t="s">
        <v>7</v>
      </c>
      <c r="GG662" s="27" t="s">
        <v>8</v>
      </c>
      <c r="JR662" s="27" t="s">
        <v>7</v>
      </c>
      <c r="JS662" s="27" t="s">
        <v>8</v>
      </c>
      <c r="JT662" s="27" t="s">
        <v>7</v>
      </c>
      <c r="JU662" s="27" t="s">
        <v>8</v>
      </c>
    </row>
    <row r="663" spans="1:282" x14ac:dyDescent="0.25">
      <c r="A663" s="7">
        <v>0.22201736609644623</v>
      </c>
      <c r="B663"/>
      <c r="C663"/>
      <c r="D663"/>
      <c r="E663"/>
      <c r="F663" s="27" t="s">
        <v>7</v>
      </c>
      <c r="BM663" s="27" t="s">
        <v>8</v>
      </c>
      <c r="BN663" s="27" t="s">
        <v>7</v>
      </c>
      <c r="BS663" s="27" t="s">
        <v>8</v>
      </c>
      <c r="BT663" s="27" t="s">
        <v>7</v>
      </c>
      <c r="BU663" s="27" t="s">
        <v>8</v>
      </c>
      <c r="BV663" s="27" t="s">
        <v>7</v>
      </c>
      <c r="BW663" s="27" t="s">
        <v>8</v>
      </c>
      <c r="EP663" s="27" t="s">
        <v>7</v>
      </c>
      <c r="EQ663" s="27" t="s">
        <v>8</v>
      </c>
      <c r="FF663" s="27" t="s">
        <v>7</v>
      </c>
      <c r="FG663" s="27" t="s">
        <v>8</v>
      </c>
      <c r="FH663" s="27" t="s">
        <v>7</v>
      </c>
      <c r="FI663" s="27" t="s">
        <v>8</v>
      </c>
      <c r="FJ663" s="27" t="s">
        <v>7</v>
      </c>
      <c r="FK663" s="27" t="s">
        <v>8</v>
      </c>
      <c r="FL663" s="27" t="s">
        <v>7</v>
      </c>
      <c r="FM663" s="27" t="s">
        <v>8</v>
      </c>
      <c r="FN663" s="27" t="s">
        <v>7</v>
      </c>
      <c r="FO663" s="27" t="s">
        <v>8</v>
      </c>
      <c r="FP663" s="27" t="s">
        <v>7</v>
      </c>
      <c r="FQ663" s="27" t="s">
        <v>8</v>
      </c>
      <c r="FR663" s="27" t="s">
        <v>7</v>
      </c>
      <c r="FS663" s="27" t="s">
        <v>8</v>
      </c>
      <c r="FT663" s="27" t="s">
        <v>7</v>
      </c>
      <c r="GA663" s="27" t="s">
        <v>8</v>
      </c>
      <c r="GB663" s="27" t="s">
        <v>7</v>
      </c>
      <c r="GC663" s="27" t="s">
        <v>8</v>
      </c>
      <c r="GD663" s="27" t="s">
        <v>7</v>
      </c>
      <c r="GE663" s="27" t="s">
        <v>8</v>
      </c>
      <c r="GF663" s="27" t="s">
        <v>7</v>
      </c>
      <c r="JR663" s="27" t="s">
        <v>7</v>
      </c>
      <c r="JS663" s="27" t="s">
        <v>8</v>
      </c>
      <c r="JT663" s="27" t="s">
        <v>7</v>
      </c>
      <c r="JU663" s="27" t="s">
        <v>8</v>
      </c>
    </row>
    <row r="664" spans="1:282" x14ac:dyDescent="0.25">
      <c r="A664" s="7">
        <v>0.21766408440828061</v>
      </c>
      <c r="B664"/>
      <c r="C664"/>
      <c r="D664"/>
      <c r="E664"/>
      <c r="F664" s="27" t="s">
        <v>7</v>
      </c>
      <c r="BM664" s="27" t="s">
        <v>8</v>
      </c>
      <c r="BN664" s="27" t="s">
        <v>7</v>
      </c>
      <c r="BO664" s="27" t="s">
        <v>8</v>
      </c>
      <c r="BS664" s="27" t="s">
        <v>8</v>
      </c>
      <c r="BT664" s="27" t="s">
        <v>7</v>
      </c>
      <c r="BU664" s="27" t="s">
        <v>8</v>
      </c>
      <c r="BV664" s="27" t="s">
        <v>7</v>
      </c>
      <c r="BW664" s="27" t="s">
        <v>8</v>
      </c>
      <c r="EP664" s="27" t="s">
        <v>7</v>
      </c>
      <c r="EQ664" s="27" t="s">
        <v>8</v>
      </c>
      <c r="FF664" s="27" t="s">
        <v>7</v>
      </c>
      <c r="FG664" s="27" t="s">
        <v>8</v>
      </c>
      <c r="FH664" s="27" t="s">
        <v>7</v>
      </c>
      <c r="FI664" s="27" t="s">
        <v>8</v>
      </c>
      <c r="FJ664" s="27" t="s">
        <v>7</v>
      </c>
      <c r="FK664" s="27" t="s">
        <v>8</v>
      </c>
      <c r="FL664" s="27" t="s">
        <v>7</v>
      </c>
      <c r="FN664" s="27" t="s">
        <v>7</v>
      </c>
      <c r="FO664" s="27" t="s">
        <v>8</v>
      </c>
      <c r="FP664" s="27" t="s">
        <v>7</v>
      </c>
      <c r="FQ664" s="27" t="s">
        <v>8</v>
      </c>
      <c r="FR664" s="27" t="s">
        <v>7</v>
      </c>
      <c r="FS664" s="27" t="s">
        <v>8</v>
      </c>
      <c r="FT664" s="27" t="s">
        <v>7</v>
      </c>
      <c r="GA664" s="27" t="s">
        <v>8</v>
      </c>
      <c r="GB664" s="27" t="s">
        <v>7</v>
      </c>
      <c r="GC664" s="27" t="s">
        <v>8</v>
      </c>
      <c r="GD664" s="27" t="s">
        <v>7</v>
      </c>
      <c r="JR664" s="27" t="s">
        <v>7</v>
      </c>
      <c r="JS664" s="27" t="s">
        <v>8</v>
      </c>
      <c r="JT664" s="27" t="s">
        <v>7</v>
      </c>
      <c r="JU664" s="27" t="s">
        <v>8</v>
      </c>
    </row>
    <row r="665" spans="1:282" x14ac:dyDescent="0.25">
      <c r="A665" s="7">
        <v>0.21339616118458882</v>
      </c>
      <c r="B665"/>
      <c r="C665"/>
      <c r="D665"/>
      <c r="E665"/>
      <c r="F665" s="27" t="s">
        <v>7</v>
      </c>
      <c r="BM665" s="27" t="s">
        <v>8</v>
      </c>
      <c r="BN665" s="27" t="s">
        <v>7</v>
      </c>
      <c r="BO665" s="27" t="s">
        <v>8</v>
      </c>
      <c r="BP665" s="27" t="s">
        <v>7</v>
      </c>
      <c r="BQ665" s="27" t="s">
        <v>8</v>
      </c>
      <c r="BS665" s="27" t="s">
        <v>8</v>
      </c>
      <c r="BT665" s="27" t="s">
        <v>7</v>
      </c>
      <c r="BU665" s="27" t="s">
        <v>8</v>
      </c>
      <c r="BV665" s="27" t="s">
        <v>7</v>
      </c>
      <c r="BW665" s="27" t="s">
        <v>8</v>
      </c>
      <c r="EP665" s="27" t="s">
        <v>7</v>
      </c>
      <c r="EQ665" s="27" t="s">
        <v>8</v>
      </c>
      <c r="FF665" s="27" t="s">
        <v>7</v>
      </c>
      <c r="FG665" s="27" t="s">
        <v>8</v>
      </c>
      <c r="FH665" s="27" t="s">
        <v>7</v>
      </c>
      <c r="FI665" s="27" t="s">
        <v>8</v>
      </c>
      <c r="FJ665" s="27" t="s">
        <v>7</v>
      </c>
      <c r="FN665" s="27" t="s">
        <v>7</v>
      </c>
      <c r="FP665" s="27" t="s">
        <v>7</v>
      </c>
      <c r="FR665" s="27" t="s">
        <v>7</v>
      </c>
      <c r="FS665" s="27" t="s">
        <v>8</v>
      </c>
      <c r="FT665" s="27" t="s">
        <v>7</v>
      </c>
      <c r="GA665" s="27" t="s">
        <v>8</v>
      </c>
      <c r="GB665" s="27" t="s">
        <v>7</v>
      </c>
      <c r="GC665" s="27" t="s">
        <v>8</v>
      </c>
      <c r="JR665" s="27" t="s">
        <v>7</v>
      </c>
      <c r="JS665" s="27" t="s">
        <v>8</v>
      </c>
      <c r="JT665" s="27" t="s">
        <v>7</v>
      </c>
      <c r="JU665" s="27" t="s">
        <v>8</v>
      </c>
    </row>
    <row r="666" spans="1:282" x14ac:dyDescent="0.25">
      <c r="A666" s="7">
        <v>0.20921192272998904</v>
      </c>
      <c r="B666"/>
      <c r="C666"/>
      <c r="D666"/>
      <c r="E666"/>
      <c r="F666" s="27" t="s">
        <v>7</v>
      </c>
      <c r="BM666" s="27" t="s">
        <v>8</v>
      </c>
      <c r="BN666" s="27" t="s">
        <v>7</v>
      </c>
      <c r="BO666" s="27" t="s">
        <v>8</v>
      </c>
      <c r="BP666" s="27" t="s">
        <v>7</v>
      </c>
      <c r="BQ666" s="27" t="s">
        <v>8</v>
      </c>
      <c r="BR666" s="27" t="s">
        <v>7</v>
      </c>
      <c r="BS666" s="27" t="s">
        <v>8</v>
      </c>
      <c r="BT666" s="27" t="s">
        <v>7</v>
      </c>
      <c r="BU666" s="27" t="s">
        <v>8</v>
      </c>
      <c r="BV666" s="27" t="s">
        <v>7</v>
      </c>
      <c r="BW666" s="27" t="s">
        <v>8</v>
      </c>
      <c r="EP666" s="27" t="s">
        <v>7</v>
      </c>
      <c r="EQ666" s="27" t="s">
        <v>8</v>
      </c>
      <c r="FF666" s="27" t="s">
        <v>7</v>
      </c>
      <c r="FG666" s="27" t="s">
        <v>8</v>
      </c>
      <c r="FH666" s="27" t="s">
        <v>7</v>
      </c>
      <c r="FI666" s="27" t="s">
        <v>8</v>
      </c>
      <c r="FR666" s="27" t="s">
        <v>7</v>
      </c>
      <c r="FS666" s="27" t="s">
        <v>8</v>
      </c>
      <c r="FT666" s="27" t="s">
        <v>7</v>
      </c>
      <c r="FU666" s="27" t="s">
        <v>8</v>
      </c>
      <c r="GA666" s="27" t="s">
        <v>8</v>
      </c>
      <c r="GB666" s="27" t="s">
        <v>7</v>
      </c>
      <c r="GC666" s="27" t="s">
        <v>8</v>
      </c>
      <c r="JR666" s="27" t="s">
        <v>7</v>
      </c>
      <c r="JS666" s="27" t="s">
        <v>8</v>
      </c>
      <c r="JT666" s="27" t="s">
        <v>7</v>
      </c>
      <c r="JU666" s="27" t="s">
        <v>8</v>
      </c>
    </row>
    <row r="667" spans="1:282" x14ac:dyDescent="0.25">
      <c r="A667" s="7">
        <v>0.20510972816665593</v>
      </c>
      <c r="B667"/>
      <c r="C667"/>
      <c r="D667"/>
      <c r="E667"/>
      <c r="F667" s="27" t="s">
        <v>7</v>
      </c>
      <c r="BM667" s="27" t="s">
        <v>8</v>
      </c>
      <c r="BN667" s="27" t="s">
        <v>7</v>
      </c>
      <c r="BO667" s="27" t="s">
        <v>8</v>
      </c>
      <c r="BP667" s="27" t="s">
        <v>7</v>
      </c>
      <c r="BQ667" s="27" t="s">
        <v>8</v>
      </c>
      <c r="BR667" s="27" t="s">
        <v>7</v>
      </c>
      <c r="BS667" s="27" t="s">
        <v>8</v>
      </c>
      <c r="BT667" s="27" t="s">
        <v>7</v>
      </c>
      <c r="BU667" s="27" t="s">
        <v>8</v>
      </c>
      <c r="BV667" s="27" t="s">
        <v>7</v>
      </c>
      <c r="EP667" s="27" t="s">
        <v>7</v>
      </c>
      <c r="EQ667" s="27" t="s">
        <v>8</v>
      </c>
      <c r="FF667" s="27" t="s">
        <v>7</v>
      </c>
      <c r="FG667" s="27" t="s">
        <v>8</v>
      </c>
      <c r="FH667" s="27" t="s">
        <v>7</v>
      </c>
      <c r="FI667" s="27" t="s">
        <v>8</v>
      </c>
      <c r="FR667" s="27" t="s">
        <v>7</v>
      </c>
      <c r="FT667" s="27" t="s">
        <v>7</v>
      </c>
      <c r="FU667" s="27" t="s">
        <v>8</v>
      </c>
      <c r="FV667" s="27" t="s">
        <v>7</v>
      </c>
      <c r="GA667" s="27" t="s">
        <v>8</v>
      </c>
      <c r="GB667" s="27" t="s">
        <v>7</v>
      </c>
      <c r="GC667" s="27" t="s">
        <v>8</v>
      </c>
      <c r="JR667" s="27" t="s">
        <v>7</v>
      </c>
      <c r="JS667" s="27" t="s">
        <v>8</v>
      </c>
      <c r="JT667" s="27" t="s">
        <v>7</v>
      </c>
      <c r="JU667" s="27" t="s">
        <v>8</v>
      </c>
    </row>
    <row r="668" spans="1:282" x14ac:dyDescent="0.25">
      <c r="A668" s="7">
        <v>0.20108796879083912</v>
      </c>
      <c r="B668"/>
      <c r="C668"/>
      <c r="D668"/>
      <c r="E668"/>
      <c r="F668" s="27" t="s">
        <v>7</v>
      </c>
      <c r="BM668" s="27" t="s">
        <v>8</v>
      </c>
      <c r="BN668" s="27" t="s">
        <v>7</v>
      </c>
      <c r="BO668" s="27" t="s">
        <v>8</v>
      </c>
      <c r="BP668" s="27" t="s">
        <v>7</v>
      </c>
      <c r="BQ668" s="27" t="s">
        <v>8</v>
      </c>
      <c r="BR668" s="27" t="s">
        <v>7</v>
      </c>
      <c r="BS668" s="27" t="s">
        <v>8</v>
      </c>
      <c r="BT668" s="27" t="s">
        <v>7</v>
      </c>
      <c r="BU668" s="27" t="s">
        <v>8</v>
      </c>
      <c r="EP668" s="27" t="s">
        <v>7</v>
      </c>
      <c r="EQ668" s="27" t="s">
        <v>8</v>
      </c>
      <c r="FF668" s="27" t="s">
        <v>7</v>
      </c>
      <c r="FG668" s="27" t="s">
        <v>8</v>
      </c>
      <c r="FH668" s="27" t="s">
        <v>7</v>
      </c>
      <c r="FI668" s="27" t="s">
        <v>8</v>
      </c>
      <c r="FT668" s="27" t="s">
        <v>7</v>
      </c>
      <c r="FU668" s="27" t="s">
        <v>8</v>
      </c>
      <c r="FV668" s="27" t="s">
        <v>7</v>
      </c>
      <c r="GA668" s="27" t="s">
        <v>8</v>
      </c>
      <c r="GB668" s="27" t="s">
        <v>7</v>
      </c>
      <c r="JR668" s="27" t="s">
        <v>7</v>
      </c>
      <c r="JT668" s="27" t="s">
        <v>7</v>
      </c>
      <c r="JU668" s="27" t="s">
        <v>8</v>
      </c>
    </row>
    <row r="669" spans="1:282" x14ac:dyDescent="0.25">
      <c r="A669" s="7">
        <v>0.19714506744199917</v>
      </c>
      <c r="B669"/>
      <c r="C669"/>
      <c r="D669"/>
      <c r="E669"/>
      <c r="F669" s="27" t="s">
        <v>7</v>
      </c>
      <c r="BM669" s="27" t="s">
        <v>8</v>
      </c>
      <c r="BN669" s="27" t="s">
        <v>7</v>
      </c>
      <c r="BO669" s="27" t="s">
        <v>8</v>
      </c>
      <c r="BP669" s="27" t="s">
        <v>7</v>
      </c>
      <c r="BQ669" s="27" t="s">
        <v>8</v>
      </c>
      <c r="BR669" s="27" t="s">
        <v>7</v>
      </c>
      <c r="BS669" s="27" t="s">
        <v>8</v>
      </c>
      <c r="BT669" s="27" t="s">
        <v>7</v>
      </c>
      <c r="BU669" s="27" t="s">
        <v>8</v>
      </c>
      <c r="EP669" s="27" t="s">
        <v>7</v>
      </c>
      <c r="EQ669" s="27" t="s">
        <v>8</v>
      </c>
      <c r="FF669" s="27" t="s">
        <v>7</v>
      </c>
      <c r="FG669" s="27" t="s">
        <v>8</v>
      </c>
      <c r="FH669" s="27" t="s">
        <v>7</v>
      </c>
      <c r="FI669" s="27" t="s">
        <v>8</v>
      </c>
      <c r="FT669" s="27" t="s">
        <v>7</v>
      </c>
      <c r="FU669" s="27" t="s">
        <v>8</v>
      </c>
      <c r="FV669" s="27" t="s">
        <v>7</v>
      </c>
      <c r="GA669" s="27" t="s">
        <v>8</v>
      </c>
      <c r="JT669" s="27" t="s">
        <v>7</v>
      </c>
    </row>
    <row r="670" spans="1:282" x14ac:dyDescent="0.25">
      <c r="A670" s="7">
        <v>0.19327947788431293</v>
      </c>
      <c r="B670"/>
      <c r="C670"/>
      <c r="D670"/>
      <c r="E670"/>
      <c r="F670" s="27" t="s">
        <v>7</v>
      </c>
      <c r="BM670" s="27" t="s">
        <v>8</v>
      </c>
      <c r="BN670" s="27" t="s">
        <v>7</v>
      </c>
      <c r="BO670" s="27" t="s">
        <v>8</v>
      </c>
      <c r="BP670" s="27" t="s">
        <v>7</v>
      </c>
      <c r="BQ670" s="27" t="s">
        <v>8</v>
      </c>
      <c r="BR670" s="27" t="s">
        <v>7</v>
      </c>
      <c r="BS670" s="27" t="s">
        <v>8</v>
      </c>
      <c r="BT670" s="27" t="s">
        <v>7</v>
      </c>
      <c r="BU670" s="27" t="s">
        <v>8</v>
      </c>
      <c r="EP670" s="27" t="s">
        <v>7</v>
      </c>
      <c r="EQ670" s="27" t="s">
        <v>8</v>
      </c>
      <c r="FF670" s="27" t="s">
        <v>7</v>
      </c>
      <c r="FG670" s="27" t="s">
        <v>8</v>
      </c>
      <c r="FH670" s="27" t="s">
        <v>7</v>
      </c>
      <c r="FI670" s="27" t="s">
        <v>8</v>
      </c>
      <c r="FT670" s="27" t="s">
        <v>7</v>
      </c>
      <c r="FU670" s="27" t="s">
        <v>8</v>
      </c>
      <c r="FV670" s="27" t="s">
        <v>7</v>
      </c>
      <c r="GA670" s="27" t="s">
        <v>8</v>
      </c>
    </row>
    <row r="671" spans="1:282" x14ac:dyDescent="0.25">
      <c r="A671" s="7">
        <v>0.18948968420030682</v>
      </c>
      <c r="B671"/>
      <c r="C671"/>
      <c r="D671"/>
      <c r="E671"/>
      <c r="F671" s="27" t="s">
        <v>7</v>
      </c>
      <c r="BM671" s="27" t="s">
        <v>8</v>
      </c>
      <c r="BN671" s="27" t="s">
        <v>7</v>
      </c>
      <c r="BO671" s="27" t="s">
        <v>8</v>
      </c>
      <c r="BP671" s="27" t="s">
        <v>7</v>
      </c>
      <c r="BQ671" s="27" t="s">
        <v>8</v>
      </c>
      <c r="BR671" s="27" t="s">
        <v>7</v>
      </c>
      <c r="BS671" s="27" t="s">
        <v>8</v>
      </c>
      <c r="BT671" s="27" t="s">
        <v>7</v>
      </c>
      <c r="BU671" s="27" t="s">
        <v>8</v>
      </c>
      <c r="EP671" s="27" t="s">
        <v>7</v>
      </c>
      <c r="EQ671" s="27" t="s">
        <v>8</v>
      </c>
      <c r="FF671" s="27" t="s">
        <v>7</v>
      </c>
      <c r="FG671" s="27" t="s">
        <v>8</v>
      </c>
      <c r="FH671" s="27" t="s">
        <v>7</v>
      </c>
      <c r="FI671" s="27" t="s">
        <v>8</v>
      </c>
      <c r="FT671" s="27" t="s">
        <v>7</v>
      </c>
      <c r="FV671" s="27" t="s">
        <v>7</v>
      </c>
      <c r="FW671" s="27" t="s">
        <v>8</v>
      </c>
      <c r="GA671" s="27" t="s">
        <v>8</v>
      </c>
    </row>
    <row r="672" spans="1:282" x14ac:dyDescent="0.25">
      <c r="A672" s="7">
        <v>0.18577420019637925</v>
      </c>
      <c r="B672"/>
      <c r="C672"/>
      <c r="D672"/>
      <c r="E672"/>
      <c r="F672" s="27" t="s">
        <v>7</v>
      </c>
      <c r="BM672" s="27" t="s">
        <v>8</v>
      </c>
      <c r="BN672" s="27" t="s">
        <v>7</v>
      </c>
      <c r="BP672" s="27" t="s">
        <v>7</v>
      </c>
      <c r="BQ672" s="27" t="s">
        <v>8</v>
      </c>
      <c r="BR672" s="27" t="s">
        <v>7</v>
      </c>
      <c r="BS672" s="27" t="s">
        <v>8</v>
      </c>
      <c r="BT672" s="27" t="s">
        <v>7</v>
      </c>
      <c r="BU672" s="27" t="s">
        <v>8</v>
      </c>
      <c r="EP672" s="27" t="s">
        <v>7</v>
      </c>
      <c r="EQ672" s="27" t="s">
        <v>8</v>
      </c>
      <c r="FF672" s="27" t="s">
        <v>7</v>
      </c>
      <c r="FG672" s="27" t="s">
        <v>8</v>
      </c>
      <c r="FH672" s="27" t="s">
        <v>7</v>
      </c>
      <c r="FV672" s="27" t="s">
        <v>7</v>
      </c>
      <c r="FW672" s="27" t="s">
        <v>8</v>
      </c>
      <c r="FX672" s="27" t="s">
        <v>7</v>
      </c>
      <c r="FY672" s="27" t="s">
        <v>8</v>
      </c>
      <c r="GA672" s="27" t="s">
        <v>8</v>
      </c>
    </row>
    <row r="673" spans="1:183" x14ac:dyDescent="0.25">
      <c r="A673" s="7">
        <v>0.18213156881997963</v>
      </c>
      <c r="B673"/>
      <c r="C673"/>
      <c r="D673"/>
      <c r="E673"/>
      <c r="F673" s="27" t="s">
        <v>7</v>
      </c>
      <c r="BM673" s="27" t="s">
        <v>8</v>
      </c>
      <c r="BP673" s="27" t="s">
        <v>7</v>
      </c>
      <c r="BQ673" s="27" t="s">
        <v>8</v>
      </c>
      <c r="BR673" s="27" t="s">
        <v>7</v>
      </c>
      <c r="BT673" s="27" t="s">
        <v>7</v>
      </c>
      <c r="BU673" s="27" t="s">
        <v>8</v>
      </c>
      <c r="EP673" s="27" t="s">
        <v>7</v>
      </c>
      <c r="EQ673" s="27" t="s">
        <v>8</v>
      </c>
      <c r="FF673" s="27" t="s">
        <v>7</v>
      </c>
      <c r="FG673" s="27" t="s">
        <v>8</v>
      </c>
      <c r="FV673" s="27" t="s">
        <v>7</v>
      </c>
      <c r="FW673" s="27" t="s">
        <v>8</v>
      </c>
      <c r="FX673" s="27" t="s">
        <v>7</v>
      </c>
      <c r="FY673" s="27" t="s">
        <v>8</v>
      </c>
      <c r="FZ673" s="27" t="s">
        <v>7</v>
      </c>
      <c r="GA673" s="27" t="s">
        <v>8</v>
      </c>
    </row>
    <row r="674" spans="1:183" x14ac:dyDescent="0.25">
      <c r="A674" s="7">
        <v>0.17856036158821534</v>
      </c>
      <c r="B674"/>
      <c r="C674"/>
      <c r="D674"/>
      <c r="E674"/>
      <c r="F674" s="27" t="s">
        <v>7</v>
      </c>
      <c r="BM674" s="27" t="s">
        <v>8</v>
      </c>
      <c r="BP674" s="27" t="s">
        <v>7</v>
      </c>
      <c r="BQ674" s="27" t="s">
        <v>8</v>
      </c>
      <c r="BT674" s="27" t="s">
        <v>7</v>
      </c>
      <c r="BU674" s="27" t="s">
        <v>8</v>
      </c>
      <c r="EP674" s="27" t="s">
        <v>7</v>
      </c>
      <c r="FF674" s="27" t="s">
        <v>7</v>
      </c>
      <c r="FG674" s="27" t="s">
        <v>8</v>
      </c>
      <c r="FV674" s="27" t="s">
        <v>7</v>
      </c>
      <c r="FX674" s="27" t="s">
        <v>7</v>
      </c>
      <c r="FY674" s="27" t="s">
        <v>8</v>
      </c>
      <c r="FZ674" s="27" t="s">
        <v>7</v>
      </c>
      <c r="GA674" s="27" t="s">
        <v>8</v>
      </c>
    </row>
    <row r="675" spans="1:183" x14ac:dyDescent="0.25">
      <c r="A675" s="7">
        <v>0.17505917802766208</v>
      </c>
      <c r="B675"/>
      <c r="C675"/>
      <c r="D675"/>
      <c r="E675"/>
      <c r="F675" s="27" t="s">
        <v>7</v>
      </c>
      <c r="BM675" s="27" t="s">
        <v>8</v>
      </c>
      <c r="BP675" s="27" t="s">
        <v>7</v>
      </c>
      <c r="BQ675" s="27" t="s">
        <v>8</v>
      </c>
      <c r="BT675" s="27" t="s">
        <v>7</v>
      </c>
      <c r="FF675" s="27" t="s">
        <v>7</v>
      </c>
      <c r="FX675" s="27" t="s">
        <v>7</v>
      </c>
      <c r="FY675" s="27" t="s">
        <v>8</v>
      </c>
      <c r="FZ675" s="27" t="s">
        <v>7</v>
      </c>
      <c r="GA675" s="27" t="s">
        <v>8</v>
      </c>
    </row>
    <row r="676" spans="1:183" x14ac:dyDescent="0.25">
      <c r="A676" s="7">
        <v>0.17162664512515888</v>
      </c>
      <c r="B676"/>
      <c r="C676"/>
      <c r="D676"/>
      <c r="E676"/>
      <c r="F676" s="27" t="s">
        <v>7</v>
      </c>
      <c r="AI676" s="27" t="s">
        <v>8</v>
      </c>
      <c r="BM676" s="27" t="s">
        <v>8</v>
      </c>
      <c r="BP676" s="27" t="s">
        <v>7</v>
      </c>
      <c r="BQ676" s="27" t="s">
        <v>8</v>
      </c>
      <c r="FX676" s="27" t="s">
        <v>7</v>
      </c>
      <c r="FY676" s="27" t="s">
        <v>8</v>
      </c>
      <c r="FZ676" s="27" t="s">
        <v>7</v>
      </c>
    </row>
    <row r="677" spans="1:183" x14ac:dyDescent="0.25">
      <c r="A677" s="7">
        <v>0.16826141678937145</v>
      </c>
      <c r="B677"/>
      <c r="C677"/>
      <c r="D677"/>
      <c r="E677"/>
      <c r="F677" s="27" t="s">
        <v>7</v>
      </c>
      <c r="AI677" s="27" t="s">
        <v>8</v>
      </c>
      <c r="AJ677" s="27" t="s">
        <v>7</v>
      </c>
      <c r="BM677" s="27" t="s">
        <v>8</v>
      </c>
      <c r="BP677" s="27" t="s">
        <v>7</v>
      </c>
      <c r="BQ677" s="27" t="s">
        <v>8</v>
      </c>
      <c r="FX677" s="18" t="s">
        <v>7</v>
      </c>
      <c r="FY677" s="27" t="s">
        <v>8</v>
      </c>
    </row>
    <row r="678" spans="1:183" x14ac:dyDescent="0.25">
      <c r="A678" s="7">
        <v>0.16496217332291319</v>
      </c>
      <c r="B678"/>
      <c r="C678"/>
      <c r="D678"/>
      <c r="E678"/>
      <c r="F678" s="27" t="s">
        <v>7</v>
      </c>
      <c r="AI678" s="27" t="s">
        <v>8</v>
      </c>
      <c r="AJ678" s="27" t="s">
        <v>7</v>
      </c>
      <c r="BM678" s="27" t="s">
        <v>8</v>
      </c>
      <c r="BP678" s="27" t="s">
        <v>7</v>
      </c>
      <c r="BQ678" s="27" t="s">
        <v>8</v>
      </c>
      <c r="FX678" s="27" t="s">
        <v>7</v>
      </c>
      <c r="FY678" s="27" t="s">
        <v>8</v>
      </c>
    </row>
    <row r="679" spans="1:183" x14ac:dyDescent="0.25">
      <c r="A679" s="7">
        <v>0.16172762090481685</v>
      </c>
      <c r="B679"/>
      <c r="C679"/>
      <c r="D679"/>
      <c r="E679"/>
      <c r="F679" s="27" t="s">
        <v>7</v>
      </c>
      <c r="AI679" s="27" t="s">
        <v>8</v>
      </c>
      <c r="AJ679" s="27" t="s">
        <v>7</v>
      </c>
      <c r="BM679" s="27" t="s">
        <v>8</v>
      </c>
      <c r="BP679" s="27" t="s">
        <v>7</v>
      </c>
      <c r="BQ679" s="27" t="s">
        <v>8</v>
      </c>
      <c r="FX679" s="27" t="s">
        <v>7</v>
      </c>
      <c r="FY679" s="27" t="s">
        <v>8</v>
      </c>
    </row>
    <row r="680" spans="1:183" x14ac:dyDescent="0.25">
      <c r="A680" s="7">
        <v>0.15855649108315376</v>
      </c>
      <c r="B680"/>
      <c r="C680"/>
      <c r="D680"/>
      <c r="E680"/>
      <c r="F680" s="27" t="s">
        <v>7</v>
      </c>
      <c r="AI680" s="27" t="s">
        <v>8</v>
      </c>
      <c r="AJ680" s="27" t="s">
        <v>7</v>
      </c>
      <c r="BA680" s="27" t="s">
        <v>8</v>
      </c>
      <c r="BM680" s="27" t="s">
        <v>8</v>
      </c>
      <c r="BP680" s="27" t="s">
        <v>7</v>
      </c>
      <c r="BQ680" s="27" t="s">
        <v>8</v>
      </c>
      <c r="FX680" s="27" t="s">
        <v>7</v>
      </c>
      <c r="FY680" s="27" t="s">
        <v>8</v>
      </c>
    </row>
    <row r="681" spans="1:183" x14ac:dyDescent="0.25">
      <c r="A681" s="7">
        <v>0.15544754027760171</v>
      </c>
      <c r="B681"/>
      <c r="C681"/>
      <c r="D681"/>
      <c r="E681"/>
      <c r="F681" s="27" t="s">
        <v>7</v>
      </c>
      <c r="AA681" s="27" t="s">
        <v>8</v>
      </c>
      <c r="AI681" s="27" t="s">
        <v>8</v>
      </c>
      <c r="AJ681" s="27" t="s">
        <v>7</v>
      </c>
      <c r="BA681" s="27" t="s">
        <v>8</v>
      </c>
      <c r="BB681" s="27" t="s">
        <v>7</v>
      </c>
      <c r="BM681" s="27" t="s">
        <v>8</v>
      </c>
      <c r="BP681" s="27" t="s">
        <v>7</v>
      </c>
      <c r="BQ681" s="27" t="s">
        <v>8</v>
      </c>
      <c r="FX681" s="27" t="s">
        <v>7</v>
      </c>
    </row>
    <row r="682" spans="1:183" x14ac:dyDescent="0.25">
      <c r="A682" s="7">
        <v>0.15239954929176638</v>
      </c>
      <c r="B682"/>
      <c r="C682"/>
      <c r="D682"/>
      <c r="E682"/>
      <c r="F682" s="27" t="s">
        <v>7</v>
      </c>
      <c r="AA682" s="27" t="s">
        <v>8</v>
      </c>
      <c r="AB682" s="27" t="s">
        <v>7</v>
      </c>
      <c r="AI682" s="27" t="s">
        <v>8</v>
      </c>
      <c r="AJ682" s="27" t="s">
        <v>7</v>
      </c>
      <c r="BA682" s="27" t="s">
        <v>8</v>
      </c>
      <c r="BB682" s="27" t="s">
        <v>7</v>
      </c>
      <c r="BM682" s="27" t="s">
        <v>8</v>
      </c>
      <c r="BP682" s="27" t="s">
        <v>7</v>
      </c>
      <c r="BQ682" s="27" t="s">
        <v>8</v>
      </c>
    </row>
    <row r="683" spans="1:183" x14ac:dyDescent="0.25">
      <c r="A683" s="7">
        <v>0.14941132283506509</v>
      </c>
      <c r="B683"/>
      <c r="C683"/>
      <c r="D683"/>
      <c r="E683"/>
      <c r="F683" s="27" t="s">
        <v>7</v>
      </c>
      <c r="AA683" s="27" t="s">
        <v>8</v>
      </c>
      <c r="AB683" s="27" t="s">
        <v>7</v>
      </c>
      <c r="AI683" s="27" t="s">
        <v>8</v>
      </c>
      <c r="AJ683" s="27" t="s">
        <v>7</v>
      </c>
      <c r="AW683" s="27" t="s">
        <v>8</v>
      </c>
      <c r="BA683" s="27" t="s">
        <v>8</v>
      </c>
      <c r="BB683" s="27" t="s">
        <v>7</v>
      </c>
      <c r="BM683" s="27" t="s">
        <v>8</v>
      </c>
      <c r="BP683" s="27" t="s">
        <v>7</v>
      </c>
      <c r="BQ683" s="27" t="s">
        <v>8</v>
      </c>
    </row>
    <row r="684" spans="1:183" x14ac:dyDescent="0.25">
      <c r="A684" s="7">
        <v>0.14648168905398537</v>
      </c>
      <c r="B684"/>
      <c r="C684"/>
      <c r="D684"/>
      <c r="E684"/>
      <c r="F684" s="27" t="s">
        <v>7</v>
      </c>
      <c r="AA684" s="27" t="s">
        <v>8</v>
      </c>
      <c r="AB684" s="27" t="s">
        <v>7</v>
      </c>
      <c r="AI684" s="27" t="s">
        <v>8</v>
      </c>
      <c r="AJ684" s="27" t="s">
        <v>7</v>
      </c>
      <c r="AW684" s="27" t="s">
        <v>8</v>
      </c>
      <c r="AX684" s="27" t="s">
        <v>7</v>
      </c>
      <c r="BA684" s="27" t="s">
        <v>8</v>
      </c>
      <c r="BB684" s="27" t="s">
        <v>7</v>
      </c>
      <c r="BM684" s="27" t="s">
        <v>8</v>
      </c>
      <c r="BP684" s="27" t="s">
        <v>7</v>
      </c>
    </row>
    <row r="685" spans="1:183" x14ac:dyDescent="0.25">
      <c r="A685" s="7">
        <v>0.14360949907253467</v>
      </c>
      <c r="B685"/>
      <c r="C685"/>
      <c r="D685"/>
      <c r="E685"/>
      <c r="F685" s="27" t="s">
        <v>7</v>
      </c>
      <c r="M685" s="27" t="s">
        <v>8</v>
      </c>
      <c r="AA685" s="27" t="s">
        <v>8</v>
      </c>
      <c r="AB685" s="27" t="s">
        <v>7</v>
      </c>
      <c r="AE685" s="27" t="s">
        <v>8</v>
      </c>
      <c r="AI685" s="27" t="s">
        <v>8</v>
      </c>
      <c r="AJ685" s="27" t="s">
        <v>7</v>
      </c>
      <c r="AW685" s="27" t="s">
        <v>8</v>
      </c>
      <c r="AX685" s="27" t="s">
        <v>7</v>
      </c>
      <c r="BA685" s="27" t="s">
        <v>8</v>
      </c>
      <c r="BB685" s="27" t="s">
        <v>7</v>
      </c>
      <c r="BM685" s="27" t="s">
        <v>8</v>
      </c>
    </row>
    <row r="686" spans="1:183" x14ac:dyDescent="0.25">
      <c r="A686" s="7">
        <v>0.14079362654170066</v>
      </c>
      <c r="B686"/>
      <c r="C686"/>
      <c r="D686"/>
      <c r="E686"/>
      <c r="F686" s="27" t="s">
        <v>7</v>
      </c>
      <c r="I686" s="27" t="s">
        <v>8</v>
      </c>
      <c r="K686" s="27" t="s">
        <v>8</v>
      </c>
      <c r="M686" s="27" t="s">
        <v>8</v>
      </c>
      <c r="N686" s="27" t="s">
        <v>7</v>
      </c>
      <c r="AA686" s="27" t="s">
        <v>8</v>
      </c>
      <c r="AB686" s="27" t="s">
        <v>7</v>
      </c>
      <c r="AE686" s="27" t="s">
        <v>8</v>
      </c>
      <c r="AF686" s="27" t="s">
        <v>7</v>
      </c>
      <c r="AG686" s="27" t="s">
        <v>8</v>
      </c>
      <c r="AI686" s="27" t="s">
        <v>8</v>
      </c>
      <c r="AJ686" s="27" t="s">
        <v>7</v>
      </c>
      <c r="AW686" s="27" t="s">
        <v>8</v>
      </c>
      <c r="AX686" s="27" t="s">
        <v>7</v>
      </c>
      <c r="BA686" s="27" t="s">
        <v>8</v>
      </c>
      <c r="BB686" s="27" t="s">
        <v>7</v>
      </c>
      <c r="BM686" s="27" t="s">
        <v>8</v>
      </c>
    </row>
    <row r="687" spans="1:183" x14ac:dyDescent="0.25">
      <c r="A687" s="7">
        <v>0.13803296719774574</v>
      </c>
      <c r="B687"/>
      <c r="C687"/>
      <c r="D687"/>
      <c r="E687"/>
      <c r="F687" s="27" t="s">
        <v>7</v>
      </c>
      <c r="G687" s="27" t="s">
        <v>8</v>
      </c>
      <c r="I687" s="27" t="s">
        <v>8</v>
      </c>
      <c r="J687" s="27" t="s">
        <v>7</v>
      </c>
      <c r="K687" s="27" t="s">
        <v>8</v>
      </c>
      <c r="L687" s="27" t="s">
        <v>7</v>
      </c>
      <c r="M687" s="27" t="s">
        <v>8</v>
      </c>
      <c r="N687" s="27" t="s">
        <v>7</v>
      </c>
      <c r="AA687" s="27" t="s">
        <v>8</v>
      </c>
      <c r="AB687" s="27" t="s">
        <v>7</v>
      </c>
      <c r="AE687" s="27" t="s">
        <v>8</v>
      </c>
      <c r="AF687" s="27" t="s">
        <v>7</v>
      </c>
      <c r="AG687" s="27" t="s">
        <v>8</v>
      </c>
      <c r="AH687" s="27" t="s">
        <v>7</v>
      </c>
      <c r="AI687" s="27" t="s">
        <v>8</v>
      </c>
      <c r="AJ687" s="27" t="s">
        <v>7</v>
      </c>
      <c r="AO687" s="27" t="s">
        <v>8</v>
      </c>
      <c r="AW687" s="27" t="s">
        <v>8</v>
      </c>
      <c r="AX687" s="27" t="s">
        <v>7</v>
      </c>
      <c r="BA687" s="27" t="s">
        <v>8</v>
      </c>
      <c r="BB687" s="27" t="s">
        <v>7</v>
      </c>
      <c r="BM687" s="27" t="s">
        <v>8</v>
      </c>
    </row>
    <row r="688" spans="1:183" x14ac:dyDescent="0.25">
      <c r="A688" s="7">
        <v>0.1353264384291625</v>
      </c>
      <c r="B688"/>
      <c r="C688"/>
      <c r="D688"/>
      <c r="E688"/>
      <c r="F688" s="27" t="s">
        <v>7</v>
      </c>
      <c r="G688" s="27" t="s">
        <v>8</v>
      </c>
      <c r="H688" s="27" t="s">
        <v>7</v>
      </c>
      <c r="I688" s="27" t="s">
        <v>8</v>
      </c>
      <c r="J688" s="27" t="s">
        <v>7</v>
      </c>
      <c r="K688" s="27" t="s">
        <v>8</v>
      </c>
      <c r="L688" s="27" t="s">
        <v>7</v>
      </c>
      <c r="M688" s="27" t="s">
        <v>8</v>
      </c>
      <c r="N688" s="27" t="s">
        <v>7</v>
      </c>
      <c r="AA688" s="27" t="s">
        <v>8</v>
      </c>
      <c r="AB688" s="27" t="s">
        <v>7</v>
      </c>
      <c r="AE688" s="27" t="s">
        <v>8</v>
      </c>
      <c r="AF688" s="27" t="s">
        <v>7</v>
      </c>
      <c r="AG688" s="27" t="s">
        <v>8</v>
      </c>
      <c r="AH688" s="27" t="s">
        <v>7</v>
      </c>
      <c r="AI688" s="27" t="s">
        <v>8</v>
      </c>
      <c r="AJ688" s="27" t="s">
        <v>7</v>
      </c>
      <c r="AO688" s="27" t="s">
        <v>8</v>
      </c>
      <c r="AP688" s="27" t="s">
        <v>7</v>
      </c>
      <c r="AW688" s="27" t="s">
        <v>8</v>
      </c>
      <c r="AX688" s="27" t="s">
        <v>7</v>
      </c>
      <c r="AY688" s="27" t="s">
        <v>8</v>
      </c>
      <c r="BA688" s="27" t="s">
        <v>8</v>
      </c>
      <c r="BB688" s="27" t="s">
        <v>7</v>
      </c>
      <c r="BG688" s="27" t="s">
        <v>8</v>
      </c>
      <c r="BM688" s="27" t="s">
        <v>8</v>
      </c>
    </row>
    <row r="689" spans="1:65" x14ac:dyDescent="0.25">
      <c r="A689" s="7">
        <v>0.13267297885212009</v>
      </c>
      <c r="B689"/>
      <c r="C689"/>
      <c r="D689"/>
      <c r="E689"/>
      <c r="F689" s="27" t="s">
        <v>7</v>
      </c>
      <c r="G689" s="27" t="s">
        <v>8</v>
      </c>
      <c r="H689" s="27" t="s">
        <v>7</v>
      </c>
      <c r="I689" s="27" t="s">
        <v>8</v>
      </c>
      <c r="J689" s="27" t="s">
        <v>7</v>
      </c>
      <c r="L689" s="27" t="s">
        <v>7</v>
      </c>
      <c r="M689" s="27" t="s">
        <v>8</v>
      </c>
      <c r="N689" s="27" t="s">
        <v>7</v>
      </c>
      <c r="AA689" s="27" t="s">
        <v>8</v>
      </c>
      <c r="AB689" s="27" t="s">
        <v>7</v>
      </c>
      <c r="AE689" s="27" t="s">
        <v>8</v>
      </c>
      <c r="AF689" s="27" t="s">
        <v>7</v>
      </c>
      <c r="AG689" s="27" t="s">
        <v>8</v>
      </c>
      <c r="AH689" s="27" t="s">
        <v>7</v>
      </c>
      <c r="AI689" s="27" t="s">
        <v>8</v>
      </c>
      <c r="AJ689" s="27" t="s">
        <v>7</v>
      </c>
      <c r="AM689" s="27" t="s">
        <v>8</v>
      </c>
      <c r="AO689" s="27" t="s">
        <v>8</v>
      </c>
      <c r="AP689" s="27" t="s">
        <v>7</v>
      </c>
      <c r="AW689" s="27" t="s">
        <v>8</v>
      </c>
      <c r="AX689" s="27" t="s">
        <v>7</v>
      </c>
      <c r="AY689" s="27" t="s">
        <v>8</v>
      </c>
      <c r="AZ689" s="27" t="s">
        <v>7</v>
      </c>
      <c r="BA689" s="27" t="s">
        <v>8</v>
      </c>
      <c r="BB689" s="27" t="s">
        <v>7</v>
      </c>
      <c r="BG689" s="27" t="s">
        <v>8</v>
      </c>
      <c r="BH689" s="27" t="s">
        <v>7</v>
      </c>
      <c r="BM689" s="27" t="s">
        <v>8</v>
      </c>
    </row>
    <row r="690" spans="1:65" x14ac:dyDescent="0.25">
      <c r="A690" s="7">
        <v>0.13007154789423539</v>
      </c>
      <c r="B690"/>
      <c r="C690"/>
      <c r="D690"/>
      <c r="E690"/>
      <c r="F690" s="27" t="s">
        <v>7</v>
      </c>
      <c r="G690" s="27" t="s">
        <v>8</v>
      </c>
      <c r="H690" s="27" t="s">
        <v>7</v>
      </c>
      <c r="I690" s="27" t="s">
        <v>8</v>
      </c>
      <c r="L690" s="27" t="s">
        <v>7</v>
      </c>
      <c r="M690" s="27" t="s">
        <v>8</v>
      </c>
      <c r="N690" s="27" t="s">
        <v>7</v>
      </c>
      <c r="O690" s="27" t="s">
        <v>8</v>
      </c>
      <c r="AA690" s="27" t="s">
        <v>8</v>
      </c>
      <c r="AB690" s="27" t="s">
        <v>7</v>
      </c>
      <c r="AC690" s="27" t="s">
        <v>8</v>
      </c>
      <c r="AE690" s="27" t="s">
        <v>8</v>
      </c>
      <c r="AF690" s="27" t="s">
        <v>7</v>
      </c>
      <c r="AG690" s="27" t="s">
        <v>8</v>
      </c>
      <c r="AH690" s="27" t="s">
        <v>7</v>
      </c>
      <c r="AI690" s="27" t="s">
        <v>8</v>
      </c>
      <c r="AJ690" s="27" t="s">
        <v>7</v>
      </c>
      <c r="AK690" s="27" t="s">
        <v>8</v>
      </c>
      <c r="AM690" s="27" t="s">
        <v>8</v>
      </c>
      <c r="AN690" s="27" t="s">
        <v>7</v>
      </c>
      <c r="AO690" s="27" t="s">
        <v>8</v>
      </c>
      <c r="AP690" s="27" t="s">
        <v>7</v>
      </c>
      <c r="AW690" s="27" t="s">
        <v>8</v>
      </c>
      <c r="AX690" s="27" t="s">
        <v>7</v>
      </c>
      <c r="AY690" s="27" t="s">
        <v>8</v>
      </c>
      <c r="AZ690" s="27" t="s">
        <v>7</v>
      </c>
      <c r="BA690" s="27" t="s">
        <v>8</v>
      </c>
      <c r="BB690" s="27" t="s">
        <v>7</v>
      </c>
      <c r="BG690" s="27" t="s">
        <v>8</v>
      </c>
      <c r="BH690" s="27" t="s">
        <v>7</v>
      </c>
      <c r="BM690" s="27" t="s">
        <v>8</v>
      </c>
    </row>
    <row r="691" spans="1:65" x14ac:dyDescent="0.25">
      <c r="A691" s="7">
        <v>0.12752112538650529</v>
      </c>
      <c r="B691"/>
      <c r="C691"/>
      <c r="D691"/>
      <c r="E691"/>
      <c r="F691" s="27" t="s">
        <v>7</v>
      </c>
      <c r="G691" s="27" t="s">
        <v>8</v>
      </c>
      <c r="H691" s="27" t="s">
        <v>7</v>
      </c>
      <c r="I691" s="27" t="s">
        <v>8</v>
      </c>
      <c r="L691" s="27" t="s">
        <v>7</v>
      </c>
      <c r="M691" s="27" t="s">
        <v>8</v>
      </c>
      <c r="N691" s="27" t="s">
        <v>7</v>
      </c>
      <c r="O691" s="27" t="s">
        <v>8</v>
      </c>
      <c r="P691" s="27" t="s">
        <v>7</v>
      </c>
      <c r="AA691" s="27" t="s">
        <v>8</v>
      </c>
      <c r="AB691" s="27" t="s">
        <v>7</v>
      </c>
      <c r="AC691" s="27" t="s">
        <v>8</v>
      </c>
      <c r="AD691" s="27" t="s">
        <v>7</v>
      </c>
      <c r="AE691" s="27" t="s">
        <v>8</v>
      </c>
      <c r="AF691" s="27" t="s">
        <v>7</v>
      </c>
      <c r="AH691" s="27" t="s">
        <v>7</v>
      </c>
      <c r="AI691" s="27" t="s">
        <v>8</v>
      </c>
      <c r="AJ691" s="27" t="s">
        <v>7</v>
      </c>
      <c r="AK691" s="27" t="s">
        <v>8</v>
      </c>
      <c r="AL691" s="27" t="s">
        <v>7</v>
      </c>
      <c r="AM691" s="27" t="s">
        <v>8</v>
      </c>
      <c r="AN691" s="27" t="s">
        <v>7</v>
      </c>
      <c r="AO691" s="27" t="s">
        <v>8</v>
      </c>
      <c r="AP691" s="27" t="s">
        <v>7</v>
      </c>
      <c r="AW691" s="27" t="s">
        <v>8</v>
      </c>
      <c r="AX691" s="27" t="s">
        <v>7</v>
      </c>
      <c r="AY691" s="27" t="s">
        <v>8</v>
      </c>
      <c r="AZ691" s="27" t="s">
        <v>7</v>
      </c>
      <c r="BA691" s="27" t="s">
        <v>8</v>
      </c>
      <c r="BB691" s="27" t="s">
        <v>7</v>
      </c>
      <c r="BG691" s="27" t="s">
        <v>8</v>
      </c>
      <c r="BH691" s="27" t="s">
        <v>7</v>
      </c>
      <c r="BM691" s="27" t="s">
        <v>8</v>
      </c>
    </row>
    <row r="692" spans="1:65" x14ac:dyDescent="0.25">
      <c r="A692" s="7">
        <v>0.12502071116324048</v>
      </c>
      <c r="B692"/>
      <c r="C692"/>
      <c r="D692"/>
      <c r="E692"/>
      <c r="F692" s="27" t="s">
        <v>7</v>
      </c>
      <c r="G692" s="27" t="s">
        <v>8</v>
      </c>
      <c r="H692" s="27" t="s">
        <v>7</v>
      </c>
      <c r="L692" s="27" t="s">
        <v>7</v>
      </c>
      <c r="M692" s="27" t="s">
        <v>8</v>
      </c>
      <c r="N692" s="27" t="s">
        <v>7</v>
      </c>
      <c r="O692" s="27" t="s">
        <v>8</v>
      </c>
      <c r="P692" s="27" t="s">
        <v>7</v>
      </c>
      <c r="W692" s="27" t="s">
        <v>8</v>
      </c>
      <c r="AA692" s="27" t="s">
        <v>8</v>
      </c>
      <c r="AB692" s="27" t="s">
        <v>7</v>
      </c>
      <c r="AC692" s="27" t="s">
        <v>8</v>
      </c>
      <c r="AD692" s="27" t="s">
        <v>7</v>
      </c>
      <c r="AE692" s="27" t="s">
        <v>8</v>
      </c>
      <c r="AH692" s="27" t="s">
        <v>7</v>
      </c>
      <c r="AI692" s="27" t="s">
        <v>8</v>
      </c>
      <c r="AJ692" s="27" t="s">
        <v>7</v>
      </c>
      <c r="AK692" s="27" t="s">
        <v>8</v>
      </c>
      <c r="AL692" s="27" t="s">
        <v>7</v>
      </c>
      <c r="AM692" s="27" t="s">
        <v>8</v>
      </c>
      <c r="AN692" s="27" t="s">
        <v>7</v>
      </c>
      <c r="AO692" s="27" t="s">
        <v>8</v>
      </c>
      <c r="AP692" s="27" t="s">
        <v>7</v>
      </c>
      <c r="AW692" s="27" t="s">
        <v>8</v>
      </c>
      <c r="AX692" s="27" t="s">
        <v>7</v>
      </c>
      <c r="AY692" s="27" t="s">
        <v>8</v>
      </c>
      <c r="AZ692" s="27" t="s">
        <v>7</v>
      </c>
      <c r="BB692" s="27" t="s">
        <v>7</v>
      </c>
      <c r="BG692" s="27" t="s">
        <v>8</v>
      </c>
      <c r="BH692" s="27" t="s">
        <v>7</v>
      </c>
      <c r="BI692" s="27" t="s">
        <v>8</v>
      </c>
      <c r="BK692" s="27" t="s">
        <v>8</v>
      </c>
      <c r="BM692" s="27" t="s">
        <v>8</v>
      </c>
    </row>
    <row r="693" spans="1:65" x14ac:dyDescent="0.25">
      <c r="A693" s="7">
        <v>0.1225693246698436</v>
      </c>
      <c r="B693"/>
      <c r="C693"/>
      <c r="D693"/>
      <c r="E693"/>
      <c r="F693" s="27" t="s">
        <v>7</v>
      </c>
      <c r="G693" s="27" t="s">
        <v>8</v>
      </c>
      <c r="L693" s="27" t="s">
        <v>7</v>
      </c>
      <c r="N693" s="27" t="s">
        <v>7</v>
      </c>
      <c r="O693" s="27" t="s">
        <v>8</v>
      </c>
      <c r="P693" s="27" t="s">
        <v>7</v>
      </c>
      <c r="Q693" s="27" t="s">
        <v>8</v>
      </c>
      <c r="W693" s="27" t="s">
        <v>8</v>
      </c>
      <c r="X693" s="27" t="s">
        <v>7</v>
      </c>
      <c r="AA693" s="27" t="s">
        <v>8</v>
      </c>
      <c r="AB693" s="27" t="s">
        <v>7</v>
      </c>
      <c r="AC693" s="27" t="s">
        <v>8</v>
      </c>
      <c r="AD693" s="27" t="s">
        <v>7</v>
      </c>
      <c r="AE693" s="27" t="s">
        <v>8</v>
      </c>
      <c r="AH693" s="27" t="s">
        <v>7</v>
      </c>
      <c r="AJ693" s="27" t="s">
        <v>7</v>
      </c>
      <c r="AK693" s="27" t="s">
        <v>8</v>
      </c>
      <c r="AL693" s="27" t="s">
        <v>7</v>
      </c>
      <c r="AM693" s="27" t="s">
        <v>8</v>
      </c>
      <c r="AN693" s="27" t="s">
        <v>7</v>
      </c>
      <c r="AO693" s="27" t="s">
        <v>8</v>
      </c>
      <c r="AP693" s="27" t="s">
        <v>7</v>
      </c>
      <c r="AS693" s="27" t="s">
        <v>8</v>
      </c>
      <c r="AW693" s="27" t="s">
        <v>8</v>
      </c>
      <c r="AX693" s="27" t="s">
        <v>7</v>
      </c>
      <c r="AY693" s="27" t="s">
        <v>8</v>
      </c>
      <c r="BB693" s="27" t="s">
        <v>7</v>
      </c>
      <c r="BC693" s="27" t="s">
        <v>8</v>
      </c>
      <c r="BG693" s="27" t="s">
        <v>8</v>
      </c>
      <c r="BH693" s="27" t="s">
        <v>7</v>
      </c>
      <c r="BI693" s="27" t="s">
        <v>8</v>
      </c>
      <c r="BJ693" s="27" t="s">
        <v>7</v>
      </c>
      <c r="BK693" s="27" t="s">
        <v>8</v>
      </c>
      <c r="BL693" s="27" t="s">
        <v>7</v>
      </c>
      <c r="BM693" s="27" t="s">
        <v>8</v>
      </c>
    </row>
    <row r="694" spans="1:65" x14ac:dyDescent="0.25">
      <c r="A694" s="7">
        <v>0.12016600457827803</v>
      </c>
      <c r="B694"/>
      <c r="C694"/>
      <c r="D694"/>
      <c r="E694"/>
      <c r="F694" s="27" t="s">
        <v>7</v>
      </c>
      <c r="G694" s="27" t="s">
        <v>8</v>
      </c>
      <c r="N694" s="27" t="s">
        <v>7</v>
      </c>
      <c r="P694" s="27" t="s">
        <v>7</v>
      </c>
      <c r="Q694" s="27" t="s">
        <v>8</v>
      </c>
      <c r="R694" s="27" t="s">
        <v>7</v>
      </c>
      <c r="W694" s="27" t="s">
        <v>8</v>
      </c>
      <c r="X694" s="27" t="s">
        <v>7</v>
      </c>
      <c r="AA694" s="27" t="s">
        <v>8</v>
      </c>
      <c r="AB694" s="27" t="s">
        <v>7</v>
      </c>
      <c r="AC694" s="27" t="s">
        <v>8</v>
      </c>
      <c r="AD694" s="27" t="s">
        <v>7</v>
      </c>
      <c r="AE694" s="27" t="s">
        <v>8</v>
      </c>
      <c r="AJ694" s="27" t="s">
        <v>7</v>
      </c>
      <c r="AK694" s="27" t="s">
        <v>8</v>
      </c>
      <c r="AL694" s="27" t="s">
        <v>7</v>
      </c>
      <c r="AN694" s="27" t="s">
        <v>7</v>
      </c>
      <c r="AO694" s="27" t="s">
        <v>8</v>
      </c>
      <c r="AP694" s="27" t="s">
        <v>7</v>
      </c>
      <c r="AS694" s="27" t="s">
        <v>8</v>
      </c>
      <c r="AT694" s="27" t="s">
        <v>7</v>
      </c>
      <c r="AW694" s="27" t="s">
        <v>8</v>
      </c>
      <c r="AX694" s="27" t="s">
        <v>7</v>
      </c>
      <c r="AY694" s="27" t="s">
        <v>8</v>
      </c>
      <c r="BB694" s="27" t="s">
        <v>7</v>
      </c>
      <c r="BC694" s="27" t="s">
        <v>8</v>
      </c>
      <c r="BD694" s="27" t="s">
        <v>7</v>
      </c>
      <c r="BG694" s="27" t="s">
        <v>8</v>
      </c>
      <c r="BH694" s="27" t="s">
        <v>7</v>
      </c>
      <c r="BI694" s="27" t="s">
        <v>8</v>
      </c>
      <c r="BJ694" s="27" t="s">
        <v>7</v>
      </c>
      <c r="BK694" s="27" t="s">
        <v>8</v>
      </c>
      <c r="BL694" s="27" t="s">
        <v>7</v>
      </c>
      <c r="BM694" s="27" t="s">
        <v>8</v>
      </c>
    </row>
    <row r="695" spans="1:65" x14ac:dyDescent="0.25">
      <c r="A695" s="7">
        <v>0.1178098084100765</v>
      </c>
      <c r="B695"/>
      <c r="C695"/>
      <c r="D695"/>
      <c r="E695"/>
      <c r="F695" s="27" t="s">
        <v>7</v>
      </c>
      <c r="G695" s="27" t="s">
        <v>8</v>
      </c>
      <c r="P695" s="27" t="s">
        <v>7</v>
      </c>
      <c r="Q695" s="27" t="s">
        <v>8</v>
      </c>
      <c r="R695" s="27" t="s">
        <v>7</v>
      </c>
      <c r="W695" s="27" t="s">
        <v>8</v>
      </c>
      <c r="X695" s="27" t="s">
        <v>7</v>
      </c>
      <c r="Y695" s="27" t="s">
        <v>8</v>
      </c>
      <c r="AA695" s="27" t="s">
        <v>8</v>
      </c>
      <c r="AB695" s="27" t="s">
        <v>7</v>
      </c>
      <c r="AC695" s="27" t="s">
        <v>8</v>
      </c>
      <c r="AD695" s="27" t="s">
        <v>7</v>
      </c>
      <c r="AE695" s="27" t="s">
        <v>8</v>
      </c>
      <c r="AJ695" s="27" t="s">
        <v>7</v>
      </c>
      <c r="AK695" s="27" t="s">
        <v>8</v>
      </c>
      <c r="AN695" s="27" t="s">
        <v>7</v>
      </c>
      <c r="AO695" s="27" t="s">
        <v>8</v>
      </c>
      <c r="AP695" s="27" t="s">
        <v>7</v>
      </c>
      <c r="AQ695" s="27" t="s">
        <v>8</v>
      </c>
      <c r="AS695" s="27" t="s">
        <v>8</v>
      </c>
      <c r="AT695" s="27" t="s">
        <v>7</v>
      </c>
      <c r="AW695" s="27" t="s">
        <v>8</v>
      </c>
      <c r="AX695" s="27" t="s">
        <v>7</v>
      </c>
      <c r="AY695" s="27" t="s">
        <v>8</v>
      </c>
      <c r="BB695" s="27" t="s">
        <v>7</v>
      </c>
      <c r="BC695" s="27" t="s">
        <v>8</v>
      </c>
      <c r="BD695" s="27" t="s">
        <v>7</v>
      </c>
      <c r="BE695" s="27" t="s">
        <v>8</v>
      </c>
      <c r="BG695" s="27" t="s">
        <v>8</v>
      </c>
      <c r="BH695" s="27" t="s">
        <v>7</v>
      </c>
      <c r="BI695" s="27" t="s">
        <v>8</v>
      </c>
      <c r="BJ695" s="27" t="s">
        <v>7</v>
      </c>
      <c r="BL695" s="27" t="s">
        <v>7</v>
      </c>
      <c r="BM695" s="27" t="s">
        <v>8</v>
      </c>
    </row>
    <row r="696" spans="1:65" x14ac:dyDescent="0.25">
      <c r="A696" s="7">
        <v>0.11549981216674166</v>
      </c>
      <c r="B696"/>
      <c r="C696"/>
      <c r="D696"/>
      <c r="E696"/>
      <c r="F696" s="27" t="s">
        <v>7</v>
      </c>
      <c r="G696" s="27" t="s">
        <v>8</v>
      </c>
      <c r="P696" s="27" t="s">
        <v>7</v>
      </c>
      <c r="Q696" s="27" t="s">
        <v>8</v>
      </c>
      <c r="R696" s="27" t="s">
        <v>7</v>
      </c>
      <c r="W696" s="27" t="s">
        <v>8</v>
      </c>
      <c r="X696" s="27" t="s">
        <v>7</v>
      </c>
      <c r="Y696" s="27" t="s">
        <v>8</v>
      </c>
      <c r="Z696" s="27" t="s">
        <v>7</v>
      </c>
      <c r="AA696" s="27" t="s">
        <v>8</v>
      </c>
      <c r="AB696" s="27" t="s">
        <v>7</v>
      </c>
      <c r="AC696" s="27" t="s">
        <v>8</v>
      </c>
      <c r="AD696" s="27" t="s">
        <v>7</v>
      </c>
      <c r="AJ696" s="27" t="s">
        <v>7</v>
      </c>
      <c r="AK696" s="27" t="s">
        <v>8</v>
      </c>
      <c r="AN696" s="27" t="s">
        <v>7</v>
      </c>
      <c r="AO696" s="27" t="s">
        <v>8</v>
      </c>
      <c r="AP696" s="27" t="s">
        <v>7</v>
      </c>
      <c r="AQ696" s="27" t="s">
        <v>8</v>
      </c>
      <c r="AR696" s="27" t="s">
        <v>7</v>
      </c>
      <c r="AS696" s="27" t="s">
        <v>8</v>
      </c>
      <c r="AT696" s="27" t="s">
        <v>7</v>
      </c>
      <c r="AW696" s="27" t="s">
        <v>8</v>
      </c>
      <c r="AX696" s="27" t="s">
        <v>7</v>
      </c>
      <c r="AY696" s="27" t="s">
        <v>8</v>
      </c>
      <c r="BB696" s="27" t="s">
        <v>7</v>
      </c>
      <c r="BD696" s="27" t="s">
        <v>7</v>
      </c>
      <c r="BE696" s="27" t="s">
        <v>8</v>
      </c>
      <c r="BF696" s="27" t="s">
        <v>7</v>
      </c>
      <c r="BG696" s="27" t="s">
        <v>8</v>
      </c>
      <c r="BH696" s="27" t="s">
        <v>7</v>
      </c>
      <c r="BI696" s="27" t="s">
        <v>8</v>
      </c>
      <c r="BL696" s="27" t="s">
        <v>7</v>
      </c>
    </row>
    <row r="697" spans="1:65" x14ac:dyDescent="0.25">
      <c r="A697" s="7">
        <v>0.11323510996739378</v>
      </c>
      <c r="B697"/>
      <c r="C697"/>
      <c r="D697"/>
      <c r="E697"/>
      <c r="F697" s="27" t="s">
        <v>7</v>
      </c>
      <c r="G697" s="27" t="s">
        <v>8</v>
      </c>
      <c r="P697" s="27" t="s">
        <v>7</v>
      </c>
      <c r="Q697" s="27" t="s">
        <v>8</v>
      </c>
      <c r="R697" s="27" t="s">
        <v>7</v>
      </c>
      <c r="W697" s="27" t="s">
        <v>8</v>
      </c>
      <c r="X697" s="27" t="s">
        <v>7</v>
      </c>
      <c r="Y697" s="27" t="s">
        <v>8</v>
      </c>
      <c r="Z697" s="27" t="s">
        <v>7</v>
      </c>
      <c r="AA697" s="27" t="s">
        <v>8</v>
      </c>
      <c r="AB697" s="27" t="s">
        <v>7</v>
      </c>
      <c r="AJ697" s="27" t="s">
        <v>7</v>
      </c>
      <c r="AK697" s="27" t="s">
        <v>8</v>
      </c>
      <c r="AN697" s="27" t="s">
        <v>7</v>
      </c>
      <c r="AO697" s="27" t="s">
        <v>8</v>
      </c>
      <c r="AP697" s="27" t="s">
        <v>7</v>
      </c>
      <c r="AQ697" s="27" t="s">
        <v>8</v>
      </c>
      <c r="AR697" s="27" t="s">
        <v>7</v>
      </c>
      <c r="AS697" s="27" t="s">
        <v>8</v>
      </c>
      <c r="AT697" s="27" t="s">
        <v>7</v>
      </c>
      <c r="AU697" s="27" t="s">
        <v>8</v>
      </c>
      <c r="AW697" s="27" t="s">
        <v>8</v>
      </c>
      <c r="AX697" s="27" t="s">
        <v>7</v>
      </c>
      <c r="BD697" s="27" t="s">
        <v>7</v>
      </c>
      <c r="BE697" s="27" t="s">
        <v>8</v>
      </c>
      <c r="BF697" s="27" t="s">
        <v>7</v>
      </c>
      <c r="BG697" s="27" t="s">
        <v>8</v>
      </c>
      <c r="BH697" s="27" t="s">
        <v>7</v>
      </c>
      <c r="BI697" s="27" t="s">
        <v>8</v>
      </c>
    </row>
    <row r="698" spans="1:65" x14ac:dyDescent="0.25">
      <c r="A698" s="7">
        <v>0.11101481369352331</v>
      </c>
      <c r="B698"/>
      <c r="C698"/>
      <c r="D698"/>
      <c r="E698"/>
      <c r="F698" s="27" t="s">
        <v>7</v>
      </c>
      <c r="G698" s="27" t="s">
        <v>8</v>
      </c>
      <c r="P698" s="27" t="s">
        <v>7</v>
      </c>
      <c r="Q698" s="27" t="s">
        <v>8</v>
      </c>
      <c r="R698" s="27" t="s">
        <v>7</v>
      </c>
      <c r="W698" s="27" t="s">
        <v>8</v>
      </c>
      <c r="X698" s="27" t="s">
        <v>7</v>
      </c>
      <c r="Y698" s="27" t="s">
        <v>8</v>
      </c>
      <c r="Z698" s="27" t="s">
        <v>7</v>
      </c>
      <c r="AA698" s="27" t="s">
        <v>8</v>
      </c>
      <c r="AJ698" s="27" t="s">
        <v>7</v>
      </c>
      <c r="AK698" s="27" t="s">
        <v>8</v>
      </c>
      <c r="AN698" s="27" t="s">
        <v>7</v>
      </c>
      <c r="AP698" s="27" t="s">
        <v>7</v>
      </c>
      <c r="AQ698" s="27" t="s">
        <v>8</v>
      </c>
      <c r="AR698" s="27" t="s">
        <v>7</v>
      </c>
      <c r="AT698" s="27" t="s">
        <v>7</v>
      </c>
      <c r="AU698" s="27" t="s">
        <v>8</v>
      </c>
      <c r="AV698" s="27" t="s">
        <v>7</v>
      </c>
      <c r="AW698" s="27" t="s">
        <v>8</v>
      </c>
      <c r="BD698" s="27" t="s">
        <v>7</v>
      </c>
      <c r="BE698" s="27" t="s">
        <v>8</v>
      </c>
      <c r="BF698" s="27" t="s">
        <v>7</v>
      </c>
      <c r="BG698" s="27" t="s">
        <v>8</v>
      </c>
      <c r="BH698" s="27" t="s">
        <v>7</v>
      </c>
    </row>
    <row r="699" spans="1:65" x14ac:dyDescent="0.25">
      <c r="A699" s="7">
        <v>0.10883805264070913</v>
      </c>
      <c r="B699"/>
      <c r="C699"/>
      <c r="D699"/>
      <c r="E699"/>
      <c r="F699" s="27" t="s">
        <v>7</v>
      </c>
      <c r="P699" s="27" t="s">
        <v>7</v>
      </c>
      <c r="Q699" s="27" t="s">
        <v>8</v>
      </c>
      <c r="R699" s="27" t="s">
        <v>7</v>
      </c>
      <c r="W699" s="27" t="s">
        <v>8</v>
      </c>
      <c r="X699" s="27" t="s">
        <v>7</v>
      </c>
      <c r="Y699" s="27" t="s">
        <v>8</v>
      </c>
      <c r="Z699" s="27" t="s">
        <v>7</v>
      </c>
      <c r="AA699" s="27" t="s">
        <v>8</v>
      </c>
      <c r="AJ699" s="27" t="s">
        <v>7</v>
      </c>
      <c r="AK699" s="27" t="s">
        <v>8</v>
      </c>
      <c r="AP699" s="27" t="s">
        <v>7</v>
      </c>
      <c r="AT699" s="27" t="s">
        <v>7</v>
      </c>
      <c r="AU699" s="27" t="s">
        <v>8</v>
      </c>
      <c r="AV699" s="27" t="s">
        <v>7</v>
      </c>
      <c r="AW699" s="27" t="s">
        <v>8</v>
      </c>
      <c r="BD699" s="27" t="s">
        <v>7</v>
      </c>
      <c r="BE699" s="27" t="s">
        <v>8</v>
      </c>
      <c r="BF699" s="27" t="s">
        <v>7</v>
      </c>
      <c r="BG699" s="27" t="s">
        <v>8</v>
      </c>
    </row>
    <row r="700" spans="1:65" x14ac:dyDescent="0.25">
      <c r="A700" s="7">
        <v>0.10670397317716582</v>
      </c>
      <c r="B700"/>
      <c r="C700"/>
      <c r="D700"/>
      <c r="E700"/>
      <c r="P700" s="27" t="s">
        <v>7</v>
      </c>
      <c r="Q700" s="27" t="s">
        <v>8</v>
      </c>
      <c r="R700" s="27" t="s">
        <v>7</v>
      </c>
      <c r="W700" s="27" t="s">
        <v>8</v>
      </c>
      <c r="X700" s="27" t="s">
        <v>7</v>
      </c>
      <c r="Y700" s="27" t="s">
        <v>8</v>
      </c>
      <c r="Z700" s="27" t="s">
        <v>7</v>
      </c>
      <c r="AA700" s="27" t="s">
        <v>8</v>
      </c>
      <c r="AJ700" s="27" t="s">
        <v>7</v>
      </c>
      <c r="AK700" s="27" t="s">
        <v>8</v>
      </c>
      <c r="AT700" s="27" t="s">
        <v>7</v>
      </c>
      <c r="AU700" s="27" t="s">
        <v>8</v>
      </c>
      <c r="AV700" s="27" t="s">
        <v>7</v>
      </c>
      <c r="AW700" s="27" t="s">
        <v>8</v>
      </c>
      <c r="BD700" s="27" t="s">
        <v>7</v>
      </c>
      <c r="BF700" s="27" t="s">
        <v>7</v>
      </c>
      <c r="BG700" s="27" t="s">
        <v>8</v>
      </c>
    </row>
    <row r="701" spans="1:65" x14ac:dyDescent="0.25">
      <c r="A701" s="7">
        <v>0.1046117384089861</v>
      </c>
      <c r="B701"/>
      <c r="C701"/>
      <c r="D701"/>
      <c r="E701"/>
      <c r="P701" s="27" t="s">
        <v>7</v>
      </c>
      <c r="Q701" s="27" t="s">
        <v>8</v>
      </c>
      <c r="R701" s="27" t="s">
        <v>7</v>
      </c>
      <c r="W701" s="27" t="s">
        <v>8</v>
      </c>
      <c r="X701" s="27" t="s">
        <v>7</v>
      </c>
      <c r="Y701" s="27" t="s">
        <v>8</v>
      </c>
      <c r="Z701" s="27" t="s">
        <v>7</v>
      </c>
      <c r="AA701" s="27" t="s">
        <v>8</v>
      </c>
      <c r="AJ701" s="27" t="s">
        <v>7</v>
      </c>
      <c r="AK701" s="27" t="s">
        <v>8</v>
      </c>
      <c r="AT701" s="27" t="s">
        <v>7</v>
      </c>
      <c r="AU701" s="27" t="s">
        <v>8</v>
      </c>
      <c r="AV701" s="27" t="s">
        <v>7</v>
      </c>
      <c r="AW701" s="27" t="s">
        <v>8</v>
      </c>
      <c r="BF701" s="27" t="s">
        <v>7</v>
      </c>
      <c r="BG701" s="27" t="s">
        <v>8</v>
      </c>
    </row>
    <row r="702" spans="1:65" x14ac:dyDescent="0.25">
      <c r="A702" s="7">
        <v>0.10256052785194716</v>
      </c>
      <c r="B702"/>
      <c r="C702"/>
      <c r="D702"/>
      <c r="E702"/>
      <c r="P702" s="27" t="s">
        <v>7</v>
      </c>
      <c r="R702" s="27" t="s">
        <v>7</v>
      </c>
      <c r="S702" s="27" t="s">
        <v>8</v>
      </c>
      <c r="W702" s="27" t="s">
        <v>8</v>
      </c>
      <c r="X702" s="27" t="s">
        <v>7</v>
      </c>
      <c r="Y702" s="27" t="s">
        <v>8</v>
      </c>
      <c r="Z702" s="27" t="s">
        <v>7</v>
      </c>
      <c r="AA702" s="27" t="s">
        <v>8</v>
      </c>
      <c r="AJ702" s="27" t="s">
        <v>7</v>
      </c>
      <c r="AT702" s="27" t="s">
        <v>7</v>
      </c>
      <c r="AU702" s="27" t="s">
        <v>8</v>
      </c>
      <c r="AV702" s="27" t="s">
        <v>7</v>
      </c>
      <c r="AW702" s="27" t="s">
        <v>8</v>
      </c>
      <c r="BF702" s="27" t="s">
        <v>7</v>
      </c>
    </row>
    <row r="703" spans="1:65" x14ac:dyDescent="0.25">
      <c r="A703" s="7">
        <v>0.10054953710975212</v>
      </c>
      <c r="B703"/>
      <c r="C703"/>
      <c r="D703"/>
      <c r="E703"/>
      <c r="R703" s="27" t="s">
        <v>7</v>
      </c>
      <c r="S703" s="27" t="s">
        <v>8</v>
      </c>
      <c r="T703" s="27" t="s">
        <v>7</v>
      </c>
      <c r="W703" s="27" t="s">
        <v>8</v>
      </c>
      <c r="X703" s="27" t="s">
        <v>7</v>
      </c>
      <c r="Y703" s="27" t="s">
        <v>8</v>
      </c>
      <c r="Z703" s="27" t="s">
        <v>7</v>
      </c>
      <c r="AA703" s="27" t="s">
        <v>8</v>
      </c>
      <c r="AT703" s="27" t="s">
        <v>7</v>
      </c>
      <c r="AU703" s="27" t="s">
        <v>8</v>
      </c>
      <c r="AV703" s="27" t="s">
        <v>7</v>
      </c>
    </row>
    <row r="704" spans="1:65" x14ac:dyDescent="0.25">
      <c r="A704" s="7">
        <v>9.8577977558580512E-2</v>
      </c>
      <c r="B704"/>
      <c r="C704"/>
      <c r="D704"/>
      <c r="E704"/>
      <c r="R704" s="27" t="s">
        <v>7</v>
      </c>
      <c r="S704" s="27" t="s">
        <v>8</v>
      </c>
      <c r="T704" s="27" t="s">
        <v>7</v>
      </c>
      <c r="U704" s="27" t="s">
        <v>8</v>
      </c>
      <c r="W704" s="27" t="s">
        <v>8</v>
      </c>
      <c r="X704" s="27" t="s">
        <v>7</v>
      </c>
      <c r="Y704" s="27" t="s">
        <v>8</v>
      </c>
      <c r="Z704" s="27" t="s">
        <v>7</v>
      </c>
      <c r="AA704" s="27" t="s">
        <v>8</v>
      </c>
      <c r="AT704" s="27" t="s">
        <v>7</v>
      </c>
    </row>
    <row r="705" spans="1:27" x14ac:dyDescent="0.25">
      <c r="A705" s="7">
        <v>9.6645076037824032E-2</v>
      </c>
      <c r="B705"/>
      <c r="C705"/>
      <c r="D705"/>
      <c r="E705"/>
      <c r="R705" s="27" t="s">
        <v>7</v>
      </c>
      <c r="S705" s="27" t="s">
        <v>8</v>
      </c>
      <c r="T705" s="27" t="s">
        <v>7</v>
      </c>
      <c r="U705" s="27" t="s">
        <v>8</v>
      </c>
      <c r="V705" s="27" t="s">
        <v>7</v>
      </c>
      <c r="W705" s="27" t="s">
        <v>8</v>
      </c>
      <c r="X705" s="27" t="s">
        <v>7</v>
      </c>
      <c r="Y705" s="27" t="s">
        <v>8</v>
      </c>
      <c r="Z705" s="27" t="s">
        <v>7</v>
      </c>
      <c r="AA705" s="27" t="s">
        <v>8</v>
      </c>
    </row>
    <row r="706" spans="1:27" x14ac:dyDescent="0.25">
      <c r="A706" s="7">
        <v>9.4750074546886304E-2</v>
      </c>
      <c r="B706"/>
      <c r="C706"/>
      <c r="D706"/>
      <c r="E706"/>
      <c r="R706" s="27" t="s">
        <v>7</v>
      </c>
      <c r="S706" s="27" t="s">
        <v>8</v>
      </c>
      <c r="T706" s="27" t="s">
        <v>7</v>
      </c>
      <c r="U706" s="27" t="s">
        <v>8</v>
      </c>
      <c r="V706" s="27" t="s">
        <v>7</v>
      </c>
      <c r="W706" s="27" t="s">
        <v>8</v>
      </c>
      <c r="X706" s="27" t="s">
        <v>7</v>
      </c>
      <c r="Z706" s="27" t="s">
        <v>7</v>
      </c>
      <c r="AA706" s="27" t="s">
        <v>8</v>
      </c>
    </row>
    <row r="707" spans="1:27" x14ac:dyDescent="0.25">
      <c r="A707" s="7">
        <v>9.2892229947927743E-2</v>
      </c>
      <c r="B707"/>
      <c r="C707"/>
      <c r="D707"/>
      <c r="E707"/>
      <c r="R707" s="27" t="s">
        <v>7</v>
      </c>
      <c r="T707" s="27" t="s">
        <v>7</v>
      </c>
      <c r="U707" s="27" t="s">
        <v>8</v>
      </c>
      <c r="V707" s="27" t="s">
        <v>7</v>
      </c>
      <c r="W707" s="27" t="s">
        <v>8</v>
      </c>
      <c r="Z707" s="27" t="s">
        <v>7</v>
      </c>
    </row>
    <row r="708" spans="1:27" x14ac:dyDescent="0.25">
      <c r="A708" s="7">
        <v>9.1070813674438963E-2</v>
      </c>
      <c r="B708"/>
      <c r="C708"/>
      <c r="D708"/>
      <c r="E708"/>
      <c r="T708" s="27" t="s">
        <v>7</v>
      </c>
      <c r="U708" s="27" t="s">
        <v>8</v>
      </c>
      <c r="V708" s="27" t="s">
        <v>7</v>
      </c>
      <c r="W708" s="27" t="s">
        <v>8</v>
      </c>
    </row>
    <row r="709" spans="1:27" x14ac:dyDescent="0.25">
      <c r="A709" s="7">
        <v>8.9285111445528392E-2</v>
      </c>
      <c r="B709"/>
      <c r="C709"/>
      <c r="D709"/>
      <c r="E709"/>
      <c r="T709" s="27" t="s">
        <v>7</v>
      </c>
      <c r="U709" s="27" t="s">
        <v>8</v>
      </c>
      <c r="V709" s="27" t="s">
        <v>7</v>
      </c>
      <c r="W709" s="27" t="s">
        <v>8</v>
      </c>
    </row>
    <row r="710" spans="1:27" x14ac:dyDescent="0.25">
      <c r="A710" s="7">
        <v>8.7534422985812155E-2</v>
      </c>
      <c r="B710"/>
      <c r="C710"/>
      <c r="D710"/>
      <c r="E710"/>
      <c r="T710" s="27" t="s">
        <v>7</v>
      </c>
      <c r="U710" s="27" t="s">
        <v>8</v>
      </c>
      <c r="V710" s="27" t="s">
        <v>7</v>
      </c>
      <c r="W710" s="27" t="s">
        <v>8</v>
      </c>
    </row>
    <row r="711" spans="1:27" x14ac:dyDescent="0.25">
      <c r="A711" s="7">
        <v>8.5818061750796232E-2</v>
      </c>
      <c r="B711"/>
      <c r="C711"/>
      <c r="D711"/>
      <c r="E711"/>
      <c r="T711" s="27" t="s">
        <v>7</v>
      </c>
      <c r="U711" s="27" t="s">
        <v>8</v>
      </c>
      <c r="V711" s="27" t="s">
        <v>7</v>
      </c>
      <c r="W711" s="27" t="s">
        <v>8</v>
      </c>
    </row>
    <row r="712" spans="1:27" x14ac:dyDescent="0.25">
      <c r="A712" s="7">
        <v>8.4135354657643366E-2</v>
      </c>
      <c r="B712"/>
      <c r="C712"/>
      <c r="D712"/>
      <c r="E712"/>
      <c r="T712" s="27" t="s">
        <v>7</v>
      </c>
      <c r="V712" s="27" t="s">
        <v>7</v>
      </c>
      <c r="W712" s="27" t="s">
        <v>8</v>
      </c>
    </row>
    <row r="713" spans="1:27" x14ac:dyDescent="0.25">
      <c r="A713" s="7">
        <v>8.248564182121898E-2</v>
      </c>
      <c r="B713"/>
      <c r="C713"/>
      <c r="D713"/>
      <c r="E713"/>
      <c r="V713" s="27" t="s">
        <v>7</v>
      </c>
    </row>
    <row r="714" spans="1:27" x14ac:dyDescent="0.25">
      <c r="A714" s="7">
        <v>8.0868276295312735E-2</v>
      </c>
      <c r="B714"/>
      <c r="C714"/>
      <c r="D714"/>
      <c r="E714"/>
    </row>
    <row r="715" spans="1:27" x14ac:dyDescent="0.25">
      <c r="A715" s="7">
        <v>7.9282623818934056E-2</v>
      </c>
      <c r="B715"/>
      <c r="C715"/>
      <c r="D715"/>
      <c r="E715"/>
    </row>
    <row r="716" spans="1:27" x14ac:dyDescent="0.25">
      <c r="A716" s="7">
        <v>7.7728062567582412E-2</v>
      </c>
      <c r="B716"/>
      <c r="C716"/>
      <c r="D716"/>
      <c r="E716"/>
    </row>
    <row r="717" spans="1:27" x14ac:dyDescent="0.25">
      <c r="A717" s="7">
        <v>7.6203982909394521E-2</v>
      </c>
      <c r="B717"/>
      <c r="C717"/>
      <c r="D717"/>
      <c r="E717"/>
    </row>
    <row r="718" spans="1:27" x14ac:dyDescent="0.25">
      <c r="A718" s="7">
        <v>7.4709787166073058E-2</v>
      </c>
      <c r="B718"/>
      <c r="C718"/>
      <c r="D718"/>
      <c r="E718"/>
    </row>
    <row r="719" spans="1:27" x14ac:dyDescent="0.25">
      <c r="A719" s="7">
        <v>7.3244889378503E-2</v>
      </c>
      <c r="B719"/>
      <c r="C719"/>
      <c r="D719"/>
      <c r="E719"/>
    </row>
    <row r="720" spans="1:27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88" operator="equal">
      <formula>$U$1</formula>
    </cfRule>
    <cfRule type="cellIs" dxfId="89" priority="889" operator="equal">
      <formula>$S$1</formula>
    </cfRule>
  </conditionalFormatting>
  <conditionalFormatting sqref="D27">
    <cfRule type="cellIs" dxfId="88" priority="886" operator="equal">
      <formula>$S$1</formula>
    </cfRule>
    <cfRule type="cellIs" dxfId="87" priority="887" operator="equal">
      <formula>$U$1</formula>
    </cfRule>
  </conditionalFormatting>
  <conditionalFormatting sqref="C164">
    <cfRule type="cellIs" dxfId="86" priority="884" operator="equal">
      <formula>$U$1</formula>
    </cfRule>
    <cfRule type="cellIs" dxfId="85" priority="885" operator="equal">
      <formula>$S$1</formula>
    </cfRule>
  </conditionalFormatting>
  <conditionalFormatting sqref="D164">
    <cfRule type="cellIs" dxfId="84" priority="882" operator="equal">
      <formula>$S$1</formula>
    </cfRule>
    <cfRule type="cellIs" dxfId="83" priority="883" operator="equal">
      <formula>$U$1</formula>
    </cfRule>
  </conditionalFormatting>
  <conditionalFormatting sqref="C55">
    <cfRule type="cellIs" dxfId="82" priority="880" operator="equal">
      <formula>$U$1</formula>
    </cfRule>
    <cfRule type="cellIs" dxfId="81" priority="881" operator="equal">
      <formula>$S$1</formula>
    </cfRule>
  </conditionalFormatting>
  <conditionalFormatting sqref="D55">
    <cfRule type="cellIs" dxfId="80" priority="878" operator="equal">
      <formula>$S$1</formula>
    </cfRule>
    <cfRule type="cellIs" dxfId="79" priority="879" operator="equal">
      <formula>$U$1</formula>
    </cfRule>
  </conditionalFormatting>
  <conditionalFormatting sqref="C89">
    <cfRule type="cellIs" dxfId="78" priority="876" operator="equal">
      <formula>$U$1</formula>
    </cfRule>
    <cfRule type="cellIs" dxfId="77" priority="877" operator="equal">
      <formula>$S$1</formula>
    </cfRule>
  </conditionalFormatting>
  <conditionalFormatting sqref="D89">
    <cfRule type="cellIs" dxfId="76" priority="874" operator="equal">
      <formula>$S$1</formula>
    </cfRule>
    <cfRule type="cellIs" dxfId="75" priority="875" operator="equal">
      <formula>$U$1</formula>
    </cfRule>
  </conditionalFormatting>
  <conditionalFormatting sqref="C136">
    <cfRule type="cellIs" dxfId="74" priority="872" operator="equal">
      <formula>$U$1</formula>
    </cfRule>
    <cfRule type="cellIs" dxfId="73" priority="873" operator="equal">
      <formula>$S$1</formula>
    </cfRule>
  </conditionalFormatting>
  <conditionalFormatting sqref="D136">
    <cfRule type="cellIs" dxfId="72" priority="870" operator="equal">
      <formula>$S$1</formula>
    </cfRule>
    <cfRule type="cellIs" dxfId="71" priority="871" operator="equal">
      <formula>$U$1</formula>
    </cfRule>
  </conditionalFormatting>
  <conditionalFormatting sqref="C1">
    <cfRule type="cellIs" dxfId="70" priority="869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FE269" sqref="FE26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$A$268</v>
      </c>
      <c r="D111" s="1" t="str">
        <f>ADDRESS(C121-1,D121,1,1)</f>
        <v>$FE$268</v>
      </c>
      <c r="E111"/>
    </row>
    <row r="112" spans="1:5" x14ac:dyDescent="0.25">
      <c r="A112" s="30">
        <v>515.50191262726139</v>
      </c>
      <c r="C112" s="1" t="str">
        <f>ADDRESS(C121,1,1,1)</f>
        <v>$A$269</v>
      </c>
      <c r="D112" s="1" t="str">
        <f>ADDRESS(C121,D121-1,1,1)</f>
        <v>$FD$269</v>
      </c>
      <c r="E112"/>
    </row>
    <row r="113" spans="1:5" x14ac:dyDescent="0.25">
      <c r="A113" s="30">
        <v>490.95420250215363</v>
      </c>
      <c r="C113" s="1" t="str">
        <f>ADDRESS(C121+1,1,1,1)</f>
        <v>$A$270</v>
      </c>
      <c r="D113" s="1" t="str">
        <f>ADDRESS(C121-1,D121+1,1,1)</f>
        <v>$FF$268</v>
      </c>
    </row>
    <row r="114" spans="1:5" x14ac:dyDescent="0.25">
      <c r="A114" s="30">
        <v>467.57543095443202</v>
      </c>
      <c r="C114" s="1" t="str">
        <f>ADDRESS(C121,D121,1,1)</f>
        <v>$FE$269</v>
      </c>
      <c r="D114" s="1" t="str">
        <f>ADDRESS(C121+1,D121+1,1,1)</f>
        <v>$FF$270</v>
      </c>
    </row>
    <row r="115" spans="1:5" x14ac:dyDescent="0.25">
      <c r="A115" s="30">
        <v>445.30993424231622</v>
      </c>
      <c r="C115" s="1" t="str">
        <f>ADDRESS(C121+1,D121,1,1)</f>
        <v>$FE$270</v>
      </c>
    </row>
    <row r="116" spans="1:5" x14ac:dyDescent="0.25">
      <c r="A116" s="30">
        <v>424.10469927839637</v>
      </c>
      <c r="C116" s="1">
        <f>C117-1</f>
        <v>268</v>
      </c>
    </row>
    <row r="117" spans="1:5" x14ac:dyDescent="0.25">
      <c r="A117" s="30">
        <v>403.9092374079965</v>
      </c>
      <c r="C117" s="1">
        <f>C121</f>
        <v>269</v>
      </c>
      <c r="D117" s="1">
        <f>D121</f>
        <v>161</v>
      </c>
    </row>
    <row r="118" spans="1:5" x14ac:dyDescent="0.25">
      <c r="A118" s="30">
        <v>384.6754641980919</v>
      </c>
      <c r="C118" s="1">
        <f>C117+1</f>
        <v>270</v>
      </c>
      <c r="D118" s="1">
        <f>D117+1</f>
        <v>162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269</v>
      </c>
      <c r="D121" s="19">
        <v>161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R269</v>
      </c>
      <c r="D123" s="1" t="str">
        <f>"C"&amp;D121</f>
        <v>C161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0.24294632108864825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90" x14ac:dyDescent="0.25">
      <c r="A225" s="30">
        <v>2.0789281794113688</v>
      </c>
      <c r="E225"/>
    </row>
    <row r="226" spans="1:90" x14ac:dyDescent="0.25">
      <c r="A226" s="30">
        <v>1.9799315994393987</v>
      </c>
      <c r="E226"/>
    </row>
    <row r="227" spans="1:90" x14ac:dyDescent="0.25">
      <c r="A227" s="30">
        <v>1.8856491423232367</v>
      </c>
      <c r="E227"/>
    </row>
    <row r="228" spans="1:90" x14ac:dyDescent="0.25">
      <c r="A228" s="30">
        <v>1.7958563260221301</v>
      </c>
      <c r="C228" s="7"/>
      <c r="D228"/>
      <c r="E228"/>
    </row>
    <row r="229" spans="1:90" x14ac:dyDescent="0.25">
      <c r="A229" s="30">
        <v>1.7103393581163142</v>
      </c>
      <c r="E229"/>
    </row>
    <row r="230" spans="1:90" x14ac:dyDescent="0.25">
      <c r="A230" s="30">
        <v>1.628894626777442</v>
      </c>
      <c r="E230"/>
    </row>
    <row r="231" spans="1:90" x14ac:dyDescent="0.25">
      <c r="A231" s="30">
        <v>1.5513282159785162</v>
      </c>
      <c r="C231"/>
      <c r="D231"/>
      <c r="E231"/>
    </row>
    <row r="232" spans="1:90" x14ac:dyDescent="0.25">
      <c r="A232" s="30">
        <v>1.477455443789063</v>
      </c>
      <c r="E232"/>
    </row>
    <row r="233" spans="1:90" x14ac:dyDescent="0.25">
      <c r="A233" s="30">
        <v>1.4071004226562505</v>
      </c>
      <c r="E233"/>
    </row>
    <row r="234" spans="1:90" x14ac:dyDescent="0.25">
      <c r="A234" s="30">
        <v>1.3400956406250004</v>
      </c>
      <c r="E234"/>
    </row>
    <row r="235" spans="1:90" x14ac:dyDescent="0.25">
      <c r="A235" s="30">
        <v>1.2762815625000004</v>
      </c>
      <c r="C235"/>
      <c r="E235"/>
    </row>
    <row r="236" spans="1:90" x14ac:dyDescent="0.25">
      <c r="A236" s="30">
        <v>1.2155062500000002</v>
      </c>
      <c r="E236"/>
    </row>
    <row r="237" spans="1:90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90" x14ac:dyDescent="0.25">
      <c r="A238" s="30">
        <v>1.1025</v>
      </c>
      <c r="E238"/>
    </row>
    <row r="239" spans="1:90" x14ac:dyDescent="0.25">
      <c r="A239" s="30">
        <v>1.05</v>
      </c>
      <c r="E239"/>
      <c r="CK239" s="27" t="s">
        <v>8</v>
      </c>
    </row>
    <row r="240" spans="1:90" x14ac:dyDescent="0.25">
      <c r="A240" s="30">
        <v>1</v>
      </c>
      <c r="E240" s="29" t="s">
        <v>8</v>
      </c>
      <c r="CK240" s="27" t="s">
        <v>8</v>
      </c>
      <c r="CL240" s="27" t="s">
        <v>7</v>
      </c>
    </row>
    <row r="241" spans="1:157" x14ac:dyDescent="0.25">
      <c r="A241" s="30">
        <v>0.952380952380952</v>
      </c>
      <c r="B241"/>
      <c r="C241"/>
      <c r="D241"/>
      <c r="E241"/>
      <c r="F241" s="27" t="s">
        <v>7</v>
      </c>
      <c r="CK241" s="27" t="s">
        <v>8</v>
      </c>
      <c r="CL241" s="27" t="s">
        <v>7</v>
      </c>
    </row>
    <row r="242" spans="1:157" x14ac:dyDescent="0.25">
      <c r="A242" s="30">
        <v>0.90702947845804915</v>
      </c>
      <c r="B242"/>
      <c r="C242"/>
      <c r="D242"/>
      <c r="E242"/>
      <c r="F242" s="27" t="s">
        <v>7</v>
      </c>
      <c r="CK242" s="27" t="s">
        <v>8</v>
      </c>
      <c r="CL242" s="27" t="s">
        <v>7</v>
      </c>
    </row>
    <row r="243" spans="1:157" x14ac:dyDescent="0.25">
      <c r="A243" s="30">
        <v>0.86383759853147501</v>
      </c>
      <c r="B243"/>
      <c r="C243"/>
      <c r="D243"/>
      <c r="E243"/>
      <c r="F243" s="27" t="s">
        <v>7</v>
      </c>
      <c r="CI243" s="27" t="s">
        <v>8</v>
      </c>
      <c r="CK243" s="27" t="s">
        <v>8</v>
      </c>
      <c r="CL243" s="27" t="s">
        <v>7</v>
      </c>
    </row>
    <row r="244" spans="1:157" x14ac:dyDescent="0.25">
      <c r="A244" s="30">
        <v>0.82270247479188063</v>
      </c>
      <c r="B244"/>
      <c r="C244"/>
      <c r="D244"/>
      <c r="E244"/>
      <c r="F244" s="27" t="s">
        <v>7</v>
      </c>
      <c r="CI244" s="27" t="s">
        <v>8</v>
      </c>
      <c r="CJ244" s="27" t="s">
        <v>7</v>
      </c>
      <c r="CK244" s="27" t="s">
        <v>8</v>
      </c>
      <c r="CL244" s="27" t="s">
        <v>7</v>
      </c>
    </row>
    <row r="245" spans="1:157" x14ac:dyDescent="0.25">
      <c r="A245" s="30">
        <v>0.78352616646845741</v>
      </c>
      <c r="B245"/>
      <c r="C245"/>
      <c r="D245"/>
      <c r="E245"/>
      <c r="F245" s="27" t="s">
        <v>7</v>
      </c>
      <c r="CI245" s="27" t="s">
        <v>8</v>
      </c>
      <c r="CJ245" s="27" t="s">
        <v>7</v>
      </c>
      <c r="CK245" s="27" t="s">
        <v>8</v>
      </c>
      <c r="CL245" s="27" t="s">
        <v>7</v>
      </c>
      <c r="CM245" s="27" t="s">
        <v>8</v>
      </c>
    </row>
    <row r="246" spans="1:157" x14ac:dyDescent="0.25">
      <c r="A246" s="30">
        <v>0.74621539663662584</v>
      </c>
      <c r="B246"/>
      <c r="C246"/>
      <c r="D246"/>
      <c r="E246"/>
      <c r="F246" s="27" t="s">
        <v>7</v>
      </c>
      <c r="BU246" s="27" t="s">
        <v>8</v>
      </c>
      <c r="CI246" s="27" t="s">
        <v>8</v>
      </c>
      <c r="CJ246" s="27" t="s">
        <v>7</v>
      </c>
      <c r="CK246" s="27" t="s">
        <v>8</v>
      </c>
      <c r="CL246" s="27" t="s">
        <v>7</v>
      </c>
      <c r="CM246" s="27" t="s">
        <v>8</v>
      </c>
      <c r="CN246" s="27" t="s">
        <v>7</v>
      </c>
    </row>
    <row r="247" spans="1:157" x14ac:dyDescent="0.25">
      <c r="A247" s="30">
        <v>0.71068133013011958</v>
      </c>
      <c r="B247"/>
      <c r="C247"/>
      <c r="D247"/>
      <c r="E247"/>
      <c r="F247" s="27" t="s">
        <v>7</v>
      </c>
      <c r="BM247" s="27" t="s">
        <v>8</v>
      </c>
      <c r="BU247" s="27" t="s">
        <v>8</v>
      </c>
      <c r="BV247" s="27" t="s">
        <v>7</v>
      </c>
      <c r="BY247" s="27" t="s">
        <v>8</v>
      </c>
      <c r="CI247" s="27" t="s">
        <v>8</v>
      </c>
      <c r="CJ247" s="27" t="s">
        <v>7</v>
      </c>
      <c r="CK247" s="27" t="s">
        <v>8</v>
      </c>
      <c r="CL247" s="27" t="s">
        <v>7</v>
      </c>
      <c r="CM247" s="27" t="s">
        <v>8</v>
      </c>
      <c r="CN247" s="27" t="s">
        <v>7</v>
      </c>
      <c r="DM247" s="27" t="s">
        <v>8</v>
      </c>
    </row>
    <row r="248" spans="1:157" x14ac:dyDescent="0.25">
      <c r="A248" s="30">
        <v>0.676839362028685</v>
      </c>
      <c r="B248"/>
      <c r="C248"/>
      <c r="D248"/>
      <c r="E248"/>
      <c r="F248" s="27" t="s">
        <v>7</v>
      </c>
      <c r="BM248" s="27" t="s">
        <v>8</v>
      </c>
      <c r="BN248" s="27" t="s">
        <v>7</v>
      </c>
      <c r="BS248" s="27" t="s">
        <v>8</v>
      </c>
      <c r="BU248" s="27" t="s">
        <v>8</v>
      </c>
      <c r="BV248" s="27" t="s">
        <v>7</v>
      </c>
      <c r="BW248" s="27" t="s">
        <v>8</v>
      </c>
      <c r="BY248" s="27" t="s">
        <v>8</v>
      </c>
      <c r="BZ248" s="27" t="s">
        <v>7</v>
      </c>
      <c r="CI248" s="27" t="s">
        <v>8</v>
      </c>
      <c r="CJ248" s="27" t="s">
        <v>7</v>
      </c>
      <c r="CL248" s="27" t="s">
        <v>7</v>
      </c>
      <c r="CM248" s="27" t="s">
        <v>8</v>
      </c>
      <c r="CN248" s="27" t="s">
        <v>7</v>
      </c>
      <c r="DM248" s="27" t="s">
        <v>8</v>
      </c>
      <c r="DN248" s="27" t="s">
        <v>7</v>
      </c>
    </row>
    <row r="249" spans="1:157" x14ac:dyDescent="0.25">
      <c r="A249" s="30">
        <v>0.64460891621779492</v>
      </c>
      <c r="B249"/>
      <c r="C249"/>
      <c r="D249"/>
      <c r="E249"/>
      <c r="F249" s="27" t="s">
        <v>7</v>
      </c>
      <c r="BM249" s="27" t="s">
        <v>8</v>
      </c>
      <c r="BN249" s="27" t="s">
        <v>7</v>
      </c>
      <c r="BO249" s="27" t="s">
        <v>8</v>
      </c>
      <c r="BQ249" s="27" t="s">
        <v>8</v>
      </c>
      <c r="BS249" s="27" t="s">
        <v>8</v>
      </c>
      <c r="BT249" s="27" t="s">
        <v>7</v>
      </c>
      <c r="BU249" s="27" t="s">
        <v>8</v>
      </c>
      <c r="BV249" s="27" t="s">
        <v>7</v>
      </c>
      <c r="BW249" s="27" t="s">
        <v>8</v>
      </c>
      <c r="BX249" s="27" t="s">
        <v>7</v>
      </c>
      <c r="BY249" s="27" t="s">
        <v>8</v>
      </c>
      <c r="BZ249" s="27" t="s">
        <v>7</v>
      </c>
      <c r="CI249" s="27" t="s">
        <v>8</v>
      </c>
      <c r="CL249" s="27" t="s">
        <v>7</v>
      </c>
      <c r="CN249" s="27" t="s">
        <v>7</v>
      </c>
      <c r="DM249" s="27" t="s">
        <v>8</v>
      </c>
      <c r="DN249" s="27" t="s">
        <v>7</v>
      </c>
    </row>
    <row r="250" spans="1:157" x14ac:dyDescent="0.25">
      <c r="A250" s="30">
        <v>0.61391325354075688</v>
      </c>
      <c r="B250"/>
      <c r="C250"/>
      <c r="D250"/>
      <c r="E250"/>
      <c r="F250" s="27" t="s">
        <v>7</v>
      </c>
      <c r="BM250" s="27" t="s">
        <v>8</v>
      </c>
      <c r="BN250" s="27" t="s">
        <v>7</v>
      </c>
      <c r="BO250" s="27" t="s">
        <v>8</v>
      </c>
      <c r="BP250" s="27" t="s">
        <v>7</v>
      </c>
      <c r="BQ250" s="27" t="s">
        <v>8</v>
      </c>
      <c r="BR250" s="27" t="s">
        <v>7</v>
      </c>
      <c r="BS250" s="27" t="s">
        <v>8</v>
      </c>
      <c r="BT250" s="27" t="s">
        <v>7</v>
      </c>
      <c r="BU250" s="27" t="s">
        <v>8</v>
      </c>
      <c r="BV250" s="27" t="s">
        <v>7</v>
      </c>
      <c r="BW250" s="27" t="s">
        <v>8</v>
      </c>
      <c r="BX250" s="27" t="s">
        <v>7</v>
      </c>
      <c r="BY250" s="27" t="s">
        <v>8</v>
      </c>
      <c r="BZ250" s="27" t="s">
        <v>7</v>
      </c>
      <c r="CA250" s="27" t="s">
        <v>8</v>
      </c>
      <c r="CI250" s="27" t="s">
        <v>8</v>
      </c>
      <c r="CN250" s="27" t="s">
        <v>7</v>
      </c>
      <c r="DM250" s="27" t="s">
        <v>8</v>
      </c>
      <c r="DN250" s="27" t="s">
        <v>7</v>
      </c>
    </row>
    <row r="251" spans="1:157" x14ac:dyDescent="0.25">
      <c r="A251" s="30">
        <v>0.58467928908643485</v>
      </c>
      <c r="B251"/>
      <c r="C251"/>
      <c r="D251"/>
      <c r="E251"/>
      <c r="F251" s="27" t="s">
        <v>7</v>
      </c>
      <c r="BM251" s="27" t="s">
        <v>8</v>
      </c>
      <c r="BN251" s="27" t="s">
        <v>7</v>
      </c>
      <c r="BO251" s="27" t="s">
        <v>8</v>
      </c>
      <c r="BP251" s="27" t="s">
        <v>7</v>
      </c>
      <c r="BQ251" s="27" t="s">
        <v>8</v>
      </c>
      <c r="BR251" s="27" t="s">
        <v>7</v>
      </c>
      <c r="BS251" s="27" t="s">
        <v>8</v>
      </c>
      <c r="BT251" s="27" t="s">
        <v>7</v>
      </c>
      <c r="BV251" s="27" t="s">
        <v>7</v>
      </c>
      <c r="BX251" s="27" t="s">
        <v>7</v>
      </c>
      <c r="BY251" s="27" t="s">
        <v>8</v>
      </c>
      <c r="BZ251" s="27" t="s">
        <v>7</v>
      </c>
      <c r="CA251" s="27" t="s">
        <v>8</v>
      </c>
      <c r="CB251" s="27" t="s">
        <v>7</v>
      </c>
      <c r="CI251" s="27" t="s">
        <v>8</v>
      </c>
      <c r="CN251" s="27" t="s">
        <v>7</v>
      </c>
      <c r="CO251" s="27" t="s">
        <v>8</v>
      </c>
      <c r="DM251" s="27" t="s">
        <v>8</v>
      </c>
      <c r="DN251" s="27" t="s">
        <v>7</v>
      </c>
    </row>
    <row r="252" spans="1:157" x14ac:dyDescent="0.25">
      <c r="A252" s="30">
        <v>0.55683741817755672</v>
      </c>
      <c r="B252"/>
      <c r="C252"/>
      <c r="D252"/>
      <c r="E252"/>
      <c r="F252" s="27" t="s">
        <v>7</v>
      </c>
      <c r="AY252" s="27" t="s">
        <v>8</v>
      </c>
      <c r="BM252" s="27" t="s">
        <v>8</v>
      </c>
      <c r="BN252" s="27" t="s">
        <v>7</v>
      </c>
      <c r="BP252" s="27" t="s">
        <v>7</v>
      </c>
      <c r="BQ252" s="27" t="s">
        <v>8</v>
      </c>
      <c r="BR252" s="27" t="s">
        <v>7</v>
      </c>
      <c r="BS252" s="27" t="s">
        <v>8</v>
      </c>
      <c r="BX252" s="27" t="s">
        <v>7</v>
      </c>
      <c r="BY252" s="27" t="s">
        <v>8</v>
      </c>
      <c r="BZ252" s="27" t="s">
        <v>7</v>
      </c>
      <c r="CA252" s="27" t="s">
        <v>8</v>
      </c>
      <c r="CB252" s="27" t="s">
        <v>7</v>
      </c>
      <c r="CC252" s="27" t="s">
        <v>8</v>
      </c>
      <c r="CG252" s="27" t="s">
        <v>8</v>
      </c>
      <c r="CI252" s="27" t="s">
        <v>8</v>
      </c>
      <c r="CN252" s="27" t="s">
        <v>7</v>
      </c>
      <c r="CO252" s="27" t="s">
        <v>8</v>
      </c>
      <c r="CP252" s="27" t="s">
        <v>7</v>
      </c>
      <c r="DM252" s="27" t="s">
        <v>8</v>
      </c>
      <c r="DN252" s="27" t="s">
        <v>7</v>
      </c>
    </row>
    <row r="253" spans="1:157" x14ac:dyDescent="0.25">
      <c r="A253" s="30">
        <v>0.53032135064529184</v>
      </c>
      <c r="B253"/>
      <c r="C253"/>
      <c r="D253"/>
      <c r="E253"/>
      <c r="F253" s="27" t="s">
        <v>7</v>
      </c>
      <c r="AY253" s="27" t="s">
        <v>8</v>
      </c>
      <c r="AZ253" s="27" t="s">
        <v>7</v>
      </c>
      <c r="BC253" s="27" t="s">
        <v>8</v>
      </c>
      <c r="BM253" s="27" t="s">
        <v>8</v>
      </c>
      <c r="BP253" s="27" t="s">
        <v>7</v>
      </c>
      <c r="BR253" s="27" t="s">
        <v>7</v>
      </c>
      <c r="BS253" s="27" t="s">
        <v>8</v>
      </c>
      <c r="BX253" s="27" t="s">
        <v>7</v>
      </c>
      <c r="BZ253" s="27" t="s">
        <v>7</v>
      </c>
      <c r="CB253" s="27" t="s">
        <v>7</v>
      </c>
      <c r="CC253" s="27" t="s">
        <v>8</v>
      </c>
      <c r="CD253" s="27" t="s">
        <v>7</v>
      </c>
      <c r="CG253" s="27" t="s">
        <v>8</v>
      </c>
      <c r="CH253" s="27" t="s">
        <v>7</v>
      </c>
      <c r="CI253" s="27" t="s">
        <v>8</v>
      </c>
      <c r="CN253" s="27" t="s">
        <v>7</v>
      </c>
      <c r="CO253" s="27" t="s">
        <v>8</v>
      </c>
      <c r="CP253" s="27" t="s">
        <v>7</v>
      </c>
      <c r="DM253" s="27" t="s">
        <v>8</v>
      </c>
      <c r="DN253" s="27" t="s">
        <v>7</v>
      </c>
      <c r="DS253" s="27" t="s">
        <v>8</v>
      </c>
      <c r="DW253" s="27" t="s">
        <v>8</v>
      </c>
      <c r="EK253" s="27" t="s">
        <v>8</v>
      </c>
      <c r="EO253" s="27" t="s">
        <v>8</v>
      </c>
    </row>
    <row r="254" spans="1:157" x14ac:dyDescent="0.25">
      <c r="A254" s="30">
        <v>0.50506795299551588</v>
      </c>
      <c r="B254"/>
      <c r="C254"/>
      <c r="D254"/>
      <c r="E254"/>
      <c r="F254" s="27" t="s">
        <v>7</v>
      </c>
      <c r="AY254" s="27" t="s">
        <v>8</v>
      </c>
      <c r="AZ254" s="27" t="s">
        <v>7</v>
      </c>
      <c r="BA254" s="27" t="s">
        <v>8</v>
      </c>
      <c r="BC254" s="27" t="s">
        <v>8</v>
      </c>
      <c r="BD254" s="27" t="s">
        <v>7</v>
      </c>
      <c r="BM254" s="27" t="s">
        <v>8</v>
      </c>
      <c r="BR254" s="27" t="s">
        <v>7</v>
      </c>
      <c r="BS254" s="27" t="s">
        <v>8</v>
      </c>
      <c r="CB254" s="27" t="s">
        <v>7</v>
      </c>
      <c r="CC254" s="27" t="s">
        <v>8</v>
      </c>
      <c r="CD254" s="27" t="s">
        <v>7</v>
      </c>
      <c r="CG254" s="27" t="s">
        <v>8</v>
      </c>
      <c r="CH254" s="27" t="s">
        <v>7</v>
      </c>
      <c r="CI254" s="27" t="s">
        <v>8</v>
      </c>
      <c r="CN254" s="27" t="s">
        <v>7</v>
      </c>
      <c r="CO254" s="27" t="s">
        <v>8</v>
      </c>
      <c r="CP254" s="27" t="s">
        <v>7</v>
      </c>
      <c r="DM254" s="27" t="s">
        <v>8</v>
      </c>
      <c r="DN254" s="27" t="s">
        <v>7</v>
      </c>
      <c r="DO254" s="27" t="s">
        <v>8</v>
      </c>
      <c r="DQ254" s="27" t="s">
        <v>8</v>
      </c>
      <c r="DS254" s="27" t="s">
        <v>8</v>
      </c>
      <c r="DT254" s="27" t="s">
        <v>7</v>
      </c>
      <c r="DW254" s="27" t="s">
        <v>8</v>
      </c>
      <c r="DX254" s="27" t="s">
        <v>7</v>
      </c>
      <c r="EI254" s="27" t="s">
        <v>8</v>
      </c>
      <c r="EK254" s="27" t="s">
        <v>8</v>
      </c>
      <c r="EL254" s="27" t="s">
        <v>7</v>
      </c>
      <c r="EO254" s="27" t="s">
        <v>8</v>
      </c>
      <c r="EP254" s="27" t="s">
        <v>7</v>
      </c>
    </row>
    <row r="255" spans="1:157" x14ac:dyDescent="0.25">
      <c r="A255" s="30">
        <v>0.48101709809096732</v>
      </c>
      <c r="E255"/>
      <c r="F255" s="27" t="s">
        <v>7</v>
      </c>
      <c r="AY255" s="27" t="s">
        <v>8</v>
      </c>
      <c r="AZ255" s="27" t="s">
        <v>7</v>
      </c>
      <c r="BA255" s="27" t="s">
        <v>8</v>
      </c>
      <c r="BB255" s="27" t="s">
        <v>7</v>
      </c>
      <c r="BC255" s="27" t="s">
        <v>8</v>
      </c>
      <c r="BD255" s="27" t="s">
        <v>7</v>
      </c>
      <c r="BM255" s="27" t="s">
        <v>8</v>
      </c>
      <c r="BR255" s="27" t="s">
        <v>7</v>
      </c>
      <c r="CB255" s="27" t="s">
        <v>7</v>
      </c>
      <c r="CC255" s="27" t="s">
        <v>8</v>
      </c>
      <c r="CD255" s="27" t="s">
        <v>7</v>
      </c>
      <c r="CG255" s="27" t="s">
        <v>8</v>
      </c>
      <c r="CH255" s="27" t="s">
        <v>7</v>
      </c>
      <c r="CN255" s="27" t="s">
        <v>7</v>
      </c>
      <c r="CP255" s="27" t="s">
        <v>7</v>
      </c>
      <c r="CQ255" s="27" t="s">
        <v>8</v>
      </c>
      <c r="DM255" s="27" t="s">
        <v>8</v>
      </c>
      <c r="DN255" s="27" t="s">
        <v>7</v>
      </c>
      <c r="DO255" s="27" t="s">
        <v>8</v>
      </c>
      <c r="DP255" s="27" t="s">
        <v>7</v>
      </c>
      <c r="DQ255" s="27" t="s">
        <v>8</v>
      </c>
      <c r="DR255" s="27" t="s">
        <v>7</v>
      </c>
      <c r="DS255" s="27" t="s">
        <v>8</v>
      </c>
      <c r="DT255" s="27" t="s">
        <v>7</v>
      </c>
      <c r="DW255" s="27" t="s">
        <v>8</v>
      </c>
      <c r="DX255" s="27" t="s">
        <v>7</v>
      </c>
      <c r="EI255" s="27" t="s">
        <v>8</v>
      </c>
      <c r="EJ255" s="27" t="s">
        <v>7</v>
      </c>
      <c r="EK255" s="27" t="s">
        <v>8</v>
      </c>
      <c r="EL255" s="27" t="s">
        <v>7</v>
      </c>
      <c r="EO255" s="27" t="s">
        <v>8</v>
      </c>
      <c r="EP255" s="27" t="s">
        <v>7</v>
      </c>
      <c r="EU255" s="27" t="s">
        <v>8</v>
      </c>
    </row>
    <row r="256" spans="1:157" x14ac:dyDescent="0.25">
      <c r="A256" s="30">
        <v>0.45811152199139726</v>
      </c>
      <c r="E256"/>
      <c r="F256" s="27" t="s">
        <v>7</v>
      </c>
      <c r="AY256" s="27" t="s">
        <v>8</v>
      </c>
      <c r="AZ256" s="27" t="s">
        <v>7</v>
      </c>
      <c r="BA256" s="27" t="s">
        <v>8</v>
      </c>
      <c r="BB256" s="27" t="s">
        <v>7</v>
      </c>
      <c r="BC256" s="27" t="s">
        <v>8</v>
      </c>
      <c r="BD256" s="27" t="s">
        <v>7</v>
      </c>
      <c r="BM256" s="27" t="s">
        <v>8</v>
      </c>
      <c r="CB256" s="27" t="s">
        <v>7</v>
      </c>
      <c r="CD256" s="27" t="s">
        <v>7</v>
      </c>
      <c r="CG256" s="27" t="s">
        <v>8</v>
      </c>
      <c r="CP256" s="27" t="s">
        <v>7</v>
      </c>
      <c r="CQ256" s="27" t="s">
        <v>8</v>
      </c>
      <c r="CR256" s="27" t="s">
        <v>7</v>
      </c>
      <c r="DM256" s="27" t="s">
        <v>8</v>
      </c>
      <c r="DN256" s="27" t="s">
        <v>7</v>
      </c>
      <c r="DO256" s="27" t="s">
        <v>8</v>
      </c>
      <c r="DP256" s="27" t="s">
        <v>7</v>
      </c>
      <c r="DQ256" s="27" t="s">
        <v>8</v>
      </c>
      <c r="DR256" s="27" t="s">
        <v>7</v>
      </c>
      <c r="DS256" s="27" t="s">
        <v>8</v>
      </c>
      <c r="DT256" s="27" t="s">
        <v>7</v>
      </c>
      <c r="DW256" s="27" t="s">
        <v>8</v>
      </c>
      <c r="DX256" s="27" t="s">
        <v>7</v>
      </c>
      <c r="EG256" s="27" t="s">
        <v>8</v>
      </c>
      <c r="EI256" s="27" t="s">
        <v>8</v>
      </c>
      <c r="EJ256" s="27" t="s">
        <v>7</v>
      </c>
      <c r="EK256" s="27" t="s">
        <v>8</v>
      </c>
      <c r="EL256" s="27" t="s">
        <v>7</v>
      </c>
      <c r="EO256" s="27" t="s">
        <v>8</v>
      </c>
      <c r="EP256" s="27" t="s">
        <v>7</v>
      </c>
      <c r="EU256" s="27" t="s">
        <v>8</v>
      </c>
      <c r="EV256" s="27" t="s">
        <v>7</v>
      </c>
      <c r="EY256" s="27" t="s">
        <v>8</v>
      </c>
      <c r="FA256" s="27" t="s">
        <v>8</v>
      </c>
    </row>
    <row r="257" spans="1:161" x14ac:dyDescent="0.25">
      <c r="A257" s="30">
        <v>0.43629668761085438</v>
      </c>
      <c r="B257"/>
      <c r="C257"/>
      <c r="D257"/>
      <c r="E257"/>
      <c r="F257" s="27" t="s">
        <v>7</v>
      </c>
      <c r="AY257" s="27" t="s">
        <v>8</v>
      </c>
      <c r="AZ257" s="27" t="s">
        <v>7</v>
      </c>
      <c r="BA257" s="27" t="s">
        <v>8</v>
      </c>
      <c r="BB257" s="27" t="s">
        <v>7</v>
      </c>
      <c r="BC257" s="27" t="s">
        <v>8</v>
      </c>
      <c r="BD257" s="27" t="s">
        <v>7</v>
      </c>
      <c r="BK257" s="27" t="s">
        <v>8</v>
      </c>
      <c r="BM257" s="27" t="s">
        <v>8</v>
      </c>
      <c r="CD257" s="27" t="s">
        <v>7</v>
      </c>
      <c r="CG257" s="27" t="s">
        <v>8</v>
      </c>
      <c r="CP257" s="27" t="s">
        <v>7</v>
      </c>
      <c r="CQ257" s="27" t="s">
        <v>8</v>
      </c>
      <c r="CR257" s="27" t="s">
        <v>7</v>
      </c>
      <c r="CW257" s="27" t="s">
        <v>8</v>
      </c>
      <c r="DM257" s="27" t="s">
        <v>8</v>
      </c>
      <c r="DN257" s="27" t="s">
        <v>7</v>
      </c>
      <c r="DP257" s="27" t="s">
        <v>7</v>
      </c>
      <c r="DQ257" s="27" t="s">
        <v>8</v>
      </c>
      <c r="DR257" s="27" t="s">
        <v>7</v>
      </c>
      <c r="DT257" s="27" t="s">
        <v>7</v>
      </c>
      <c r="DW257" s="27" t="s">
        <v>8</v>
      </c>
      <c r="DX257" s="27" t="s">
        <v>7</v>
      </c>
      <c r="DY257" s="27" t="s">
        <v>8</v>
      </c>
      <c r="EE257" s="27" t="s">
        <v>8</v>
      </c>
      <c r="EG257" s="27" t="s">
        <v>8</v>
      </c>
      <c r="EH257" s="27" t="s">
        <v>7</v>
      </c>
      <c r="EI257" s="27" t="s">
        <v>8</v>
      </c>
      <c r="EJ257" s="27" t="s">
        <v>7</v>
      </c>
      <c r="EK257" s="27" t="s">
        <v>8</v>
      </c>
      <c r="EL257" s="27" t="s">
        <v>7</v>
      </c>
      <c r="EM257" s="27" t="s">
        <v>8</v>
      </c>
      <c r="EO257" s="27" t="s">
        <v>8</v>
      </c>
      <c r="EP257" s="27" t="s">
        <v>7</v>
      </c>
      <c r="EU257" s="27" t="s">
        <v>8</v>
      </c>
      <c r="EV257" s="27" t="s">
        <v>7</v>
      </c>
      <c r="EW257" s="27" t="s">
        <v>8</v>
      </c>
      <c r="EY257" s="27" t="s">
        <v>8</v>
      </c>
      <c r="EZ257" s="27" t="s">
        <v>7</v>
      </c>
      <c r="FA257" s="27" t="s">
        <v>8</v>
      </c>
      <c r="FB257" s="27" t="s">
        <v>7</v>
      </c>
    </row>
    <row r="258" spans="1:161" x14ac:dyDescent="0.25">
      <c r="A258" s="30">
        <v>0.41552065486748019</v>
      </c>
      <c r="B258"/>
      <c r="C258"/>
      <c r="D258"/>
      <c r="E258"/>
      <c r="F258" s="27" t="s">
        <v>7</v>
      </c>
      <c r="AY258" s="27" t="s">
        <v>8</v>
      </c>
      <c r="AZ258" s="27" t="s">
        <v>7</v>
      </c>
      <c r="BB258" s="27" t="s">
        <v>7</v>
      </c>
      <c r="BC258" s="27" t="s">
        <v>8</v>
      </c>
      <c r="BD258" s="27" t="s">
        <v>7</v>
      </c>
      <c r="BK258" s="27" t="s">
        <v>8</v>
      </c>
      <c r="BL258" s="27" t="s">
        <v>7</v>
      </c>
      <c r="BM258" s="27" t="s">
        <v>8</v>
      </c>
      <c r="CD258" s="27" t="s">
        <v>7</v>
      </c>
      <c r="CE258" s="27" t="s">
        <v>8</v>
      </c>
      <c r="CG258" s="27" t="s">
        <v>8</v>
      </c>
      <c r="CP258" s="27" t="s">
        <v>7</v>
      </c>
      <c r="CQ258" s="27" t="s">
        <v>8</v>
      </c>
      <c r="CR258" s="27" t="s">
        <v>7</v>
      </c>
      <c r="CW258" s="27" t="s">
        <v>8</v>
      </c>
      <c r="CX258" s="27" t="s">
        <v>7</v>
      </c>
      <c r="CY258" s="27" t="s">
        <v>8</v>
      </c>
      <c r="DM258" s="27" t="s">
        <v>8</v>
      </c>
      <c r="DP258" s="27" t="s">
        <v>7</v>
      </c>
      <c r="DT258" s="27" t="s">
        <v>7</v>
      </c>
      <c r="DU258" s="27" t="s">
        <v>8</v>
      </c>
      <c r="DW258" s="27" t="s">
        <v>8</v>
      </c>
      <c r="DX258" s="27" t="s">
        <v>7</v>
      </c>
      <c r="DY258" s="27" t="s">
        <v>8</v>
      </c>
      <c r="DZ258" s="27" t="s">
        <v>7</v>
      </c>
      <c r="EA258" s="27" t="s">
        <v>8</v>
      </c>
      <c r="EE258" s="27" t="s">
        <v>8</v>
      </c>
      <c r="EF258" s="27" t="s">
        <v>7</v>
      </c>
      <c r="EG258" s="27" t="s">
        <v>8</v>
      </c>
      <c r="EH258" s="27" t="s">
        <v>7</v>
      </c>
      <c r="EI258" s="27" t="s">
        <v>8</v>
      </c>
      <c r="EJ258" s="27" t="s">
        <v>7</v>
      </c>
      <c r="EK258" s="27" t="s">
        <v>8</v>
      </c>
      <c r="EL258" s="27" t="s">
        <v>7</v>
      </c>
      <c r="EM258" s="27" t="s">
        <v>8</v>
      </c>
      <c r="EN258" s="27" t="s">
        <v>7</v>
      </c>
      <c r="EO258" s="27" t="s">
        <v>8</v>
      </c>
      <c r="EP258" s="27" t="s">
        <v>7</v>
      </c>
      <c r="EU258" s="27" t="s">
        <v>8</v>
      </c>
      <c r="EV258" s="27" t="s">
        <v>7</v>
      </c>
      <c r="EW258" s="27" t="s">
        <v>8</v>
      </c>
      <c r="EX258" s="27" t="s">
        <v>7</v>
      </c>
      <c r="EY258" s="27" t="s">
        <v>8</v>
      </c>
      <c r="EZ258" s="27" t="s">
        <v>7</v>
      </c>
      <c r="FA258" s="27" t="s">
        <v>8</v>
      </c>
      <c r="FB258" s="27" t="s">
        <v>7</v>
      </c>
    </row>
    <row r="259" spans="1:161" x14ac:dyDescent="0.25">
      <c r="A259" s="30">
        <v>0.39573395701664765</v>
      </c>
      <c r="B259"/>
      <c r="C259"/>
      <c r="D259"/>
      <c r="E259"/>
      <c r="F259" s="27" t="s">
        <v>7</v>
      </c>
      <c r="AY259" s="27" t="s">
        <v>8</v>
      </c>
      <c r="BB259" s="27" t="s">
        <v>7</v>
      </c>
      <c r="BD259" s="27" t="s">
        <v>7</v>
      </c>
      <c r="BE259" s="27" t="s">
        <v>8</v>
      </c>
      <c r="BK259" s="27" t="s">
        <v>8</v>
      </c>
      <c r="BL259" s="27" t="s">
        <v>7</v>
      </c>
      <c r="BM259" s="27" t="s">
        <v>8</v>
      </c>
      <c r="CD259" s="27" t="s">
        <v>7</v>
      </c>
      <c r="CE259" s="27" t="s">
        <v>8</v>
      </c>
      <c r="CF259" s="27" t="s">
        <v>7</v>
      </c>
      <c r="CG259" s="27" t="s">
        <v>8</v>
      </c>
      <c r="CP259" s="27" t="s">
        <v>7</v>
      </c>
      <c r="CQ259" s="27" t="s">
        <v>8</v>
      </c>
      <c r="CR259" s="27" t="s">
        <v>7</v>
      </c>
      <c r="CW259" s="27" t="s">
        <v>8</v>
      </c>
      <c r="CX259" s="27" t="s">
        <v>7</v>
      </c>
      <c r="CY259" s="27" t="s">
        <v>8</v>
      </c>
      <c r="CZ259" s="27" t="s">
        <v>7</v>
      </c>
      <c r="DM259" s="27" t="s">
        <v>8</v>
      </c>
      <c r="DT259" s="27" t="s">
        <v>7</v>
      </c>
      <c r="DU259" s="27" t="s">
        <v>8</v>
      </c>
      <c r="DV259" s="27" t="s">
        <v>7</v>
      </c>
      <c r="DW259" s="27" t="s">
        <v>8</v>
      </c>
      <c r="DX259" s="27" t="s">
        <v>7</v>
      </c>
      <c r="DY259" s="27" t="s">
        <v>8</v>
      </c>
      <c r="DZ259" s="27" t="s">
        <v>7</v>
      </c>
      <c r="EA259" s="27" t="s">
        <v>8</v>
      </c>
      <c r="EB259" s="27" t="s">
        <v>7</v>
      </c>
      <c r="EC259" s="27" t="s">
        <v>8</v>
      </c>
      <c r="EE259" s="27" t="s">
        <v>8</v>
      </c>
      <c r="EF259" s="27" t="s">
        <v>7</v>
      </c>
      <c r="EG259" s="27" t="s">
        <v>8</v>
      </c>
      <c r="EH259" s="27" t="s">
        <v>7</v>
      </c>
      <c r="EI259" s="27" t="s">
        <v>8</v>
      </c>
      <c r="EJ259" s="27" t="s">
        <v>7</v>
      </c>
      <c r="EL259" s="27" t="s">
        <v>7</v>
      </c>
      <c r="EM259" s="27" t="s">
        <v>8</v>
      </c>
      <c r="EN259" s="27" t="s">
        <v>7</v>
      </c>
      <c r="EO259" s="27" t="s">
        <v>8</v>
      </c>
      <c r="EP259" s="27" t="s">
        <v>7</v>
      </c>
      <c r="EU259" s="27" t="s">
        <v>8</v>
      </c>
      <c r="EV259" s="27" t="s">
        <v>7</v>
      </c>
      <c r="EW259" s="27" t="s">
        <v>8</v>
      </c>
      <c r="EX259" s="27" t="s">
        <v>7</v>
      </c>
      <c r="EY259" s="27" t="s">
        <v>8</v>
      </c>
      <c r="EZ259" s="27" t="s">
        <v>7</v>
      </c>
      <c r="FA259" s="27" t="s">
        <v>8</v>
      </c>
      <c r="FB259" s="27" t="s">
        <v>7</v>
      </c>
    </row>
    <row r="260" spans="1:161" x14ac:dyDescent="0.25">
      <c r="A260" s="30">
        <v>0.37688948287299762</v>
      </c>
      <c r="B260"/>
      <c r="C260"/>
      <c r="D260"/>
      <c r="E260"/>
      <c r="F260" s="27" t="s">
        <v>7</v>
      </c>
      <c r="AW260" s="27" t="s">
        <v>8</v>
      </c>
      <c r="AY260" s="27" t="s">
        <v>8</v>
      </c>
      <c r="BD260" s="27" t="s">
        <v>7</v>
      </c>
      <c r="BE260" s="27" t="s">
        <v>8</v>
      </c>
      <c r="BF260" s="27" t="s">
        <v>7</v>
      </c>
      <c r="BI260" s="27" t="s">
        <v>8</v>
      </c>
      <c r="BK260" s="27" t="s">
        <v>8</v>
      </c>
      <c r="BL260" s="27" t="s">
        <v>7</v>
      </c>
      <c r="CD260" s="27" t="s">
        <v>7</v>
      </c>
      <c r="CE260" s="27" t="s">
        <v>8</v>
      </c>
      <c r="CF260" s="27" t="s">
        <v>7</v>
      </c>
      <c r="CG260" s="27" t="s">
        <v>8</v>
      </c>
      <c r="CP260" s="27" t="s">
        <v>7</v>
      </c>
      <c r="CQ260" s="27" t="s">
        <v>8</v>
      </c>
      <c r="CR260" s="27" t="s">
        <v>7</v>
      </c>
      <c r="CW260" s="27" t="s">
        <v>8</v>
      </c>
      <c r="CX260" s="27" t="s">
        <v>7</v>
      </c>
      <c r="CY260" s="27" t="s">
        <v>8</v>
      </c>
      <c r="CZ260" s="27" t="s">
        <v>7</v>
      </c>
      <c r="DA260" s="27" t="s">
        <v>8</v>
      </c>
      <c r="DC260" s="27" t="s">
        <v>8</v>
      </c>
      <c r="DM260" s="27" t="s">
        <v>8</v>
      </c>
      <c r="DT260" s="27" t="s">
        <v>7</v>
      </c>
      <c r="DU260" s="27" t="s">
        <v>8</v>
      </c>
      <c r="DV260" s="27" t="s">
        <v>7</v>
      </c>
      <c r="DW260" s="27" t="s">
        <v>8</v>
      </c>
      <c r="DX260" s="27" t="s">
        <v>7</v>
      </c>
      <c r="DY260" s="27" t="s">
        <v>8</v>
      </c>
      <c r="DZ260" s="27" t="s">
        <v>7</v>
      </c>
      <c r="EA260" s="27" t="s">
        <v>8</v>
      </c>
      <c r="EB260" s="27" t="s">
        <v>7</v>
      </c>
      <c r="EC260" s="27" t="s">
        <v>8</v>
      </c>
      <c r="ED260" s="27" t="s">
        <v>7</v>
      </c>
      <c r="EE260" s="27" t="s">
        <v>8</v>
      </c>
      <c r="EF260" s="27" t="s">
        <v>7</v>
      </c>
      <c r="EG260" s="27" t="s">
        <v>8</v>
      </c>
      <c r="EH260" s="27" t="s">
        <v>7</v>
      </c>
      <c r="EI260" s="27" t="s">
        <v>8</v>
      </c>
      <c r="EL260" s="27" t="s">
        <v>7</v>
      </c>
      <c r="EN260" s="27" t="s">
        <v>7</v>
      </c>
      <c r="EO260" s="27" t="s">
        <v>8</v>
      </c>
      <c r="EP260" s="27" t="s">
        <v>7</v>
      </c>
      <c r="EU260" s="27" t="s">
        <v>8</v>
      </c>
      <c r="EV260" s="27" t="s">
        <v>7</v>
      </c>
      <c r="EW260" s="27" t="s">
        <v>8</v>
      </c>
      <c r="EX260" s="27" t="s">
        <v>7</v>
      </c>
      <c r="EZ260" s="27" t="s">
        <v>7</v>
      </c>
      <c r="FA260" s="27" t="s">
        <v>8</v>
      </c>
      <c r="FB260" s="27" t="s">
        <v>7</v>
      </c>
    </row>
    <row r="261" spans="1:161" x14ac:dyDescent="0.25">
      <c r="A261" s="30">
        <v>0.35894236464094997</v>
      </c>
      <c r="B261"/>
      <c r="C261"/>
      <c r="D261"/>
      <c r="E261"/>
      <c r="F261" s="27" t="s">
        <v>7</v>
      </c>
      <c r="AW261" s="27" t="s">
        <v>8</v>
      </c>
      <c r="AX261" s="27" t="s">
        <v>7</v>
      </c>
      <c r="AY261" s="27" t="s">
        <v>8</v>
      </c>
      <c r="BD261" s="27" t="s">
        <v>7</v>
      </c>
      <c r="BE261" s="27" t="s">
        <v>8</v>
      </c>
      <c r="BF261" s="27" t="s">
        <v>7</v>
      </c>
      <c r="BG261" s="27" t="s">
        <v>8</v>
      </c>
      <c r="BI261" s="27" t="s">
        <v>8</v>
      </c>
      <c r="BJ261" s="27" t="s">
        <v>7</v>
      </c>
      <c r="BK261" s="27" t="s">
        <v>8</v>
      </c>
      <c r="CD261" s="27" t="s">
        <v>7</v>
      </c>
      <c r="CF261" s="27" t="s">
        <v>7</v>
      </c>
      <c r="CG261" s="27" t="s">
        <v>8</v>
      </c>
      <c r="CP261" s="27" t="s">
        <v>7</v>
      </c>
      <c r="CQ261" s="27" t="s">
        <v>8</v>
      </c>
      <c r="CR261" s="27" t="s">
        <v>7</v>
      </c>
      <c r="CW261" s="27" t="s">
        <v>8</v>
      </c>
      <c r="CX261" s="27" t="s">
        <v>7</v>
      </c>
      <c r="CY261" s="27" t="s">
        <v>8</v>
      </c>
      <c r="CZ261" s="27" t="s">
        <v>7</v>
      </c>
      <c r="DA261" s="27" t="s">
        <v>8</v>
      </c>
      <c r="DB261" s="27" t="s">
        <v>7</v>
      </c>
      <c r="DC261" s="27" t="s">
        <v>8</v>
      </c>
      <c r="DD261" s="27" t="s">
        <v>7</v>
      </c>
      <c r="DM261" s="27" t="s">
        <v>8</v>
      </c>
      <c r="DT261" s="27" t="s">
        <v>7</v>
      </c>
      <c r="DV261" s="27" t="s">
        <v>7</v>
      </c>
      <c r="DX261" s="27" t="s">
        <v>7</v>
      </c>
      <c r="DY261" s="27" t="s">
        <v>8</v>
      </c>
      <c r="DZ261" s="27" t="s">
        <v>7</v>
      </c>
      <c r="EA261" s="27" t="s">
        <v>8</v>
      </c>
      <c r="EB261" s="27" t="s">
        <v>7</v>
      </c>
      <c r="EC261" s="27" t="s">
        <v>8</v>
      </c>
      <c r="ED261" s="27" t="s">
        <v>7</v>
      </c>
      <c r="EE261" s="27" t="s">
        <v>8</v>
      </c>
      <c r="EF261" s="27" t="s">
        <v>7</v>
      </c>
      <c r="EH261" s="27" t="s">
        <v>7</v>
      </c>
      <c r="EN261" s="27" t="s">
        <v>7</v>
      </c>
      <c r="EO261" s="27" t="s">
        <v>8</v>
      </c>
      <c r="EP261" s="27" t="s">
        <v>7</v>
      </c>
      <c r="EQ261" s="27" t="s">
        <v>8</v>
      </c>
      <c r="ES261" s="27" t="s">
        <v>8</v>
      </c>
      <c r="EU261" s="27" t="s">
        <v>8</v>
      </c>
      <c r="EV261" s="27" t="s">
        <v>7</v>
      </c>
      <c r="EW261" s="27" t="s">
        <v>8</v>
      </c>
      <c r="EZ261" s="27" t="s">
        <v>7</v>
      </c>
      <c r="FA261" s="27" t="s">
        <v>8</v>
      </c>
      <c r="FB261" s="27" t="s">
        <v>7</v>
      </c>
    </row>
    <row r="262" spans="1:161" x14ac:dyDescent="0.25">
      <c r="A262" s="30">
        <v>0.34184987108661891</v>
      </c>
      <c r="B262"/>
      <c r="C262"/>
      <c r="D262"/>
      <c r="E262"/>
      <c r="F262" s="27" t="s">
        <v>7</v>
      </c>
      <c r="AW262" s="27" t="s">
        <v>8</v>
      </c>
      <c r="AX262" s="27" t="s">
        <v>7</v>
      </c>
      <c r="AY262" s="27" t="s">
        <v>8</v>
      </c>
      <c r="BD262" s="27" t="s">
        <v>7</v>
      </c>
      <c r="BE262" s="27" t="s">
        <v>8</v>
      </c>
      <c r="BF262" s="27" t="s">
        <v>7</v>
      </c>
      <c r="BG262" s="27" t="s">
        <v>8</v>
      </c>
      <c r="BH262" s="27" t="s">
        <v>7</v>
      </c>
      <c r="BI262" s="27" t="s">
        <v>8</v>
      </c>
      <c r="BJ262" s="27" t="s">
        <v>7</v>
      </c>
      <c r="BK262" s="27" t="s">
        <v>8</v>
      </c>
      <c r="CF262" s="27" t="s">
        <v>7</v>
      </c>
      <c r="CP262" s="27" t="s">
        <v>7</v>
      </c>
      <c r="CQ262" s="27" t="s">
        <v>8</v>
      </c>
      <c r="CR262" s="27" t="s">
        <v>7</v>
      </c>
      <c r="CS262" s="27" t="s">
        <v>8</v>
      </c>
      <c r="CW262" s="27" t="s">
        <v>8</v>
      </c>
      <c r="CX262" s="27" t="s">
        <v>7</v>
      </c>
      <c r="CY262" s="27" t="s">
        <v>8</v>
      </c>
      <c r="CZ262" s="27" t="s">
        <v>7</v>
      </c>
      <c r="DA262" s="27" t="s">
        <v>8</v>
      </c>
      <c r="DB262" s="27" t="s">
        <v>7</v>
      </c>
      <c r="DC262" s="27" t="s">
        <v>8</v>
      </c>
      <c r="DD262" s="27" t="s">
        <v>7</v>
      </c>
      <c r="DE262" s="27" t="s">
        <v>8</v>
      </c>
      <c r="DK262" s="27" t="s">
        <v>8</v>
      </c>
      <c r="DM262" s="27" t="s">
        <v>8</v>
      </c>
      <c r="DX262" s="27" t="s">
        <v>7</v>
      </c>
      <c r="DY262" s="27" t="s">
        <v>8</v>
      </c>
      <c r="DZ262" s="27" t="s">
        <v>7</v>
      </c>
      <c r="EA262" s="27" t="s">
        <v>8</v>
      </c>
      <c r="EB262" s="27" t="s">
        <v>7</v>
      </c>
      <c r="EC262" s="27" t="s">
        <v>8</v>
      </c>
      <c r="ED262" s="27" t="s">
        <v>7</v>
      </c>
      <c r="EN262" s="27" t="s">
        <v>7</v>
      </c>
      <c r="EP262" s="27" t="s">
        <v>7</v>
      </c>
      <c r="EQ262" s="27" t="s">
        <v>8</v>
      </c>
      <c r="ER262" s="27" t="s">
        <v>7</v>
      </c>
      <c r="ES262" s="27" t="s">
        <v>8</v>
      </c>
      <c r="ET262" s="27" t="s">
        <v>7</v>
      </c>
      <c r="EU262" s="27" t="s">
        <v>8</v>
      </c>
      <c r="EV262" s="27" t="s">
        <v>7</v>
      </c>
      <c r="EW262" s="27" t="s">
        <v>8</v>
      </c>
      <c r="EZ262" s="27" t="s">
        <v>7</v>
      </c>
      <c r="FB262" s="27" t="s">
        <v>7</v>
      </c>
    </row>
    <row r="263" spans="1:161" x14ac:dyDescent="0.25">
      <c r="A263" s="30">
        <v>0.32557130579677979</v>
      </c>
      <c r="B263"/>
      <c r="C263"/>
      <c r="D263"/>
      <c r="E263"/>
      <c r="F263" s="27" t="s">
        <v>7</v>
      </c>
      <c r="AU263" s="27" t="s">
        <v>8</v>
      </c>
      <c r="AW263" s="27" t="s">
        <v>8</v>
      </c>
      <c r="AX263" s="27" t="s">
        <v>7</v>
      </c>
      <c r="AY263" s="27" t="s">
        <v>8</v>
      </c>
      <c r="BD263" s="27" t="s">
        <v>7</v>
      </c>
      <c r="BE263" s="27" t="s">
        <v>8</v>
      </c>
      <c r="BF263" s="27" t="s">
        <v>7</v>
      </c>
      <c r="BG263" s="27" t="s">
        <v>8</v>
      </c>
      <c r="BH263" s="27" t="s">
        <v>7</v>
      </c>
      <c r="BI263" s="27" t="s">
        <v>8</v>
      </c>
      <c r="BJ263" s="27" t="s">
        <v>7</v>
      </c>
      <c r="CP263" s="27" t="s">
        <v>7</v>
      </c>
      <c r="CQ263" s="27" t="s">
        <v>8</v>
      </c>
      <c r="CR263" s="27" t="s">
        <v>7</v>
      </c>
      <c r="CS263" s="27" t="s">
        <v>8</v>
      </c>
      <c r="CT263" s="27" t="s">
        <v>7</v>
      </c>
      <c r="CU263" s="27" t="s">
        <v>8</v>
      </c>
      <c r="CW263" s="27" t="s">
        <v>8</v>
      </c>
      <c r="CX263" s="27" t="s">
        <v>7</v>
      </c>
      <c r="CY263" s="27" t="s">
        <v>8</v>
      </c>
      <c r="CZ263" s="27" t="s">
        <v>7</v>
      </c>
      <c r="DB263" s="27" t="s">
        <v>7</v>
      </c>
      <c r="DC263" s="27" t="s">
        <v>8</v>
      </c>
      <c r="DD263" s="27" t="s">
        <v>7</v>
      </c>
      <c r="DE263" s="27" t="s">
        <v>8</v>
      </c>
      <c r="DF263" s="27" t="s">
        <v>7</v>
      </c>
      <c r="DK263" s="27" t="s">
        <v>8</v>
      </c>
      <c r="DL263" s="27" t="s">
        <v>7</v>
      </c>
      <c r="DM263" s="27" t="s">
        <v>8</v>
      </c>
      <c r="DX263" s="27" t="s">
        <v>7</v>
      </c>
      <c r="DY263" s="27" t="s">
        <v>8</v>
      </c>
      <c r="DZ263" s="27" t="s">
        <v>7</v>
      </c>
      <c r="EB263" s="27" t="s">
        <v>7</v>
      </c>
      <c r="EP263" s="27" t="s">
        <v>7</v>
      </c>
      <c r="EQ263" s="27" t="s">
        <v>8</v>
      </c>
      <c r="ER263" s="27" t="s">
        <v>7</v>
      </c>
      <c r="ES263" s="27" t="s">
        <v>8</v>
      </c>
      <c r="ET263" s="27" t="s">
        <v>7</v>
      </c>
      <c r="EU263" s="27" t="s">
        <v>8</v>
      </c>
      <c r="EV263" s="27" t="s">
        <v>7</v>
      </c>
      <c r="FB263" s="27" t="s">
        <v>7</v>
      </c>
    </row>
    <row r="264" spans="1:161" x14ac:dyDescent="0.25">
      <c r="A264" s="30">
        <v>0.3100679102826473</v>
      </c>
      <c r="B264"/>
      <c r="C264"/>
      <c r="D264"/>
      <c r="E264"/>
      <c r="F264" s="27" t="s">
        <v>7</v>
      </c>
      <c r="AU264" s="27" t="s">
        <v>8</v>
      </c>
      <c r="AV264" s="27" t="s">
        <v>7</v>
      </c>
      <c r="AW264" s="27" t="s">
        <v>8</v>
      </c>
      <c r="AX264" s="27" t="s">
        <v>7</v>
      </c>
      <c r="BD264" s="27" t="s">
        <v>7</v>
      </c>
      <c r="BE264" s="27" t="s">
        <v>8</v>
      </c>
      <c r="BF264" s="27" t="s">
        <v>7</v>
      </c>
      <c r="BH264" s="27" t="s">
        <v>7</v>
      </c>
      <c r="BI264" s="27" t="s">
        <v>8</v>
      </c>
      <c r="CP264" s="27" t="s">
        <v>7</v>
      </c>
      <c r="CQ264" s="27" t="s">
        <v>8</v>
      </c>
      <c r="CR264" s="27" t="s">
        <v>7</v>
      </c>
      <c r="CS264" s="27" t="s">
        <v>8</v>
      </c>
      <c r="CT264" s="27" t="s">
        <v>7</v>
      </c>
      <c r="CU264" s="27" t="s">
        <v>8</v>
      </c>
      <c r="CV264" s="27" t="s">
        <v>7</v>
      </c>
      <c r="CW264" s="27" t="s">
        <v>8</v>
      </c>
      <c r="CX264" s="27" t="s">
        <v>7</v>
      </c>
      <c r="CY264" s="27" t="s">
        <v>8</v>
      </c>
      <c r="DB264" s="27" t="s">
        <v>7</v>
      </c>
      <c r="DC264" s="27" t="s">
        <v>8</v>
      </c>
      <c r="DD264" s="27" t="s">
        <v>7</v>
      </c>
      <c r="DE264" s="27" t="s">
        <v>8</v>
      </c>
      <c r="DF264" s="27" t="s">
        <v>7</v>
      </c>
      <c r="DK264" s="27" t="s">
        <v>8</v>
      </c>
      <c r="DL264" s="27" t="s">
        <v>7</v>
      </c>
      <c r="DM264" s="27" t="s">
        <v>8</v>
      </c>
      <c r="DX264" s="27" t="s">
        <v>7</v>
      </c>
      <c r="EP264" s="27" t="s">
        <v>7</v>
      </c>
      <c r="EQ264" s="27" t="s">
        <v>8</v>
      </c>
      <c r="ER264" s="27" t="s">
        <v>7</v>
      </c>
      <c r="ET264" s="27" t="s">
        <v>7</v>
      </c>
      <c r="FB264" s="27" t="s">
        <v>7</v>
      </c>
    </row>
    <row r="265" spans="1:161" x14ac:dyDescent="0.25">
      <c r="A265" s="30">
        <v>0.2953027716977592</v>
      </c>
      <c r="B265"/>
      <c r="C265"/>
      <c r="D265"/>
      <c r="E265"/>
      <c r="F265" s="27" t="s">
        <v>7</v>
      </c>
      <c r="AU265" s="27" t="s">
        <v>8</v>
      </c>
      <c r="AV265" s="27" t="s">
        <v>7</v>
      </c>
      <c r="AW265" s="27" t="s">
        <v>8</v>
      </c>
      <c r="BD265" s="27" t="s">
        <v>7</v>
      </c>
      <c r="BE265" s="27" t="s">
        <v>8</v>
      </c>
      <c r="BH265" s="27" t="s">
        <v>7</v>
      </c>
      <c r="CP265" s="27" t="s">
        <v>7</v>
      </c>
      <c r="CQ265" s="27" t="s">
        <v>8</v>
      </c>
      <c r="CR265" s="27" t="s">
        <v>7</v>
      </c>
      <c r="CS265" s="27" t="s">
        <v>8</v>
      </c>
      <c r="CT265" s="27" t="s">
        <v>7</v>
      </c>
      <c r="CU265" s="27" t="s">
        <v>8</v>
      </c>
      <c r="CV265" s="27" t="s">
        <v>7</v>
      </c>
      <c r="CW265" s="27" t="s">
        <v>8</v>
      </c>
      <c r="CX265" s="27" t="s">
        <v>7</v>
      </c>
      <c r="CY265" s="27" t="s">
        <v>8</v>
      </c>
      <c r="DB265" s="27" t="s">
        <v>7</v>
      </c>
      <c r="DC265" s="27" t="s">
        <v>8</v>
      </c>
      <c r="DD265" s="27" t="s">
        <v>7</v>
      </c>
      <c r="DE265" s="27" t="s">
        <v>8</v>
      </c>
      <c r="DF265" s="27" t="s">
        <v>7</v>
      </c>
      <c r="DK265" s="27" t="s">
        <v>8</v>
      </c>
      <c r="DL265" s="27" t="s">
        <v>7</v>
      </c>
      <c r="DM265" s="27" t="s">
        <v>8</v>
      </c>
      <c r="EP265" s="27" t="s">
        <v>7</v>
      </c>
      <c r="EQ265" s="27" t="s">
        <v>8</v>
      </c>
      <c r="FB265" s="27" t="s">
        <v>7</v>
      </c>
    </row>
    <row r="266" spans="1:161" x14ac:dyDescent="0.25">
      <c r="A266" s="30">
        <v>0.28124073495024676</v>
      </c>
      <c r="B266"/>
      <c r="C266"/>
      <c r="D266"/>
      <c r="E266"/>
      <c r="F266" s="27" t="s">
        <v>7</v>
      </c>
      <c r="AU266" s="27" t="s">
        <v>8</v>
      </c>
      <c r="AV266" s="27" t="s">
        <v>7</v>
      </c>
      <c r="AW266" s="27" t="s">
        <v>8</v>
      </c>
      <c r="BD266" s="27" t="s">
        <v>7</v>
      </c>
      <c r="BE266" s="27" t="s">
        <v>8</v>
      </c>
      <c r="CP266" s="27" t="s">
        <v>7</v>
      </c>
      <c r="CQ266" s="27" t="s">
        <v>8</v>
      </c>
      <c r="CR266" s="27" t="s">
        <v>7</v>
      </c>
      <c r="CT266" s="27" t="s">
        <v>7</v>
      </c>
      <c r="CU266" s="27" t="s">
        <v>8</v>
      </c>
      <c r="CV266" s="27" t="s">
        <v>7</v>
      </c>
      <c r="CW266" s="27" t="s">
        <v>8</v>
      </c>
      <c r="CX266" s="27" t="s">
        <v>7</v>
      </c>
      <c r="CY266" s="27" t="s">
        <v>8</v>
      </c>
      <c r="DB266" s="27" t="s">
        <v>7</v>
      </c>
      <c r="DC266" s="27" t="s">
        <v>8</v>
      </c>
      <c r="DD266" s="27" t="s">
        <v>7</v>
      </c>
      <c r="DF266" s="27" t="s">
        <v>7</v>
      </c>
      <c r="DK266" s="27" t="s">
        <v>8</v>
      </c>
      <c r="DL266" s="27" t="s">
        <v>7</v>
      </c>
      <c r="EP266" s="27" t="s">
        <v>7</v>
      </c>
      <c r="EQ266" s="27" t="s">
        <v>8</v>
      </c>
      <c r="FB266" s="27" t="s">
        <v>7</v>
      </c>
    </row>
    <row r="267" spans="1:161" x14ac:dyDescent="0.25">
      <c r="A267" s="30">
        <v>0.26784831900023492</v>
      </c>
      <c r="B267"/>
      <c r="C267"/>
      <c r="D267"/>
      <c r="E267"/>
      <c r="F267" s="27" t="s">
        <v>7</v>
      </c>
      <c r="AI267" s="27" t="s">
        <v>8</v>
      </c>
      <c r="AS267" s="27" t="s">
        <v>8</v>
      </c>
      <c r="AU267" s="27" t="s">
        <v>8</v>
      </c>
      <c r="AV267" s="27" t="s">
        <v>7</v>
      </c>
      <c r="BD267" s="27" t="s">
        <v>7</v>
      </c>
      <c r="CP267" s="27" t="s">
        <v>7</v>
      </c>
      <c r="CQ267" s="27" t="s">
        <v>8</v>
      </c>
      <c r="CT267" s="27" t="s">
        <v>7</v>
      </c>
      <c r="CU267" s="27" t="s">
        <v>8</v>
      </c>
      <c r="CV267" s="27" t="s">
        <v>7</v>
      </c>
      <c r="CX267" s="27" t="s">
        <v>7</v>
      </c>
      <c r="DB267" s="27" t="s">
        <v>7</v>
      </c>
      <c r="DC267" s="27" t="s">
        <v>8</v>
      </c>
      <c r="DF267" s="27" t="s">
        <v>7</v>
      </c>
      <c r="DK267" s="27" t="s">
        <v>8</v>
      </c>
      <c r="EP267" s="27" t="s">
        <v>7</v>
      </c>
      <c r="FB267" s="27" t="s">
        <v>7</v>
      </c>
      <c r="FC267" s="27" t="s">
        <v>8</v>
      </c>
    </row>
    <row r="268" spans="1:161" x14ac:dyDescent="0.25">
      <c r="A268" s="30">
        <v>0.25509363714308075</v>
      </c>
      <c r="B268"/>
      <c r="C268"/>
      <c r="D268"/>
      <c r="E268"/>
      <c r="F268" s="27" t="s">
        <v>7</v>
      </c>
      <c r="AI268" s="27" t="s">
        <v>8</v>
      </c>
      <c r="AJ268" s="27" t="s">
        <v>7</v>
      </c>
      <c r="AS268" s="27" t="s">
        <v>8</v>
      </c>
      <c r="AT268" s="27" t="s">
        <v>7</v>
      </c>
      <c r="AU268" s="27" t="s">
        <v>8</v>
      </c>
      <c r="CP268" s="27" t="s">
        <v>7</v>
      </c>
      <c r="CT268" s="27" t="s">
        <v>7</v>
      </c>
      <c r="CU268" s="27" t="s">
        <v>8</v>
      </c>
      <c r="DB268" s="27" t="s">
        <v>7</v>
      </c>
      <c r="DF268" s="27" t="s">
        <v>7</v>
      </c>
      <c r="DK268" s="27" t="s">
        <v>8</v>
      </c>
      <c r="FB268" s="27" t="s">
        <v>7</v>
      </c>
      <c r="FC268" s="27" t="s">
        <v>8</v>
      </c>
      <c r="FD268" s="27" t="s">
        <v>7</v>
      </c>
    </row>
    <row r="269" spans="1:161" x14ac:dyDescent="0.25">
      <c r="A269" s="30">
        <v>0.24294632108864825</v>
      </c>
      <c r="B269"/>
      <c r="C269"/>
      <c r="D269"/>
      <c r="E269"/>
      <c r="F269" s="27" t="s">
        <v>7</v>
      </c>
      <c r="AI269" s="27" t="s">
        <v>8</v>
      </c>
      <c r="AJ269" s="27" t="s">
        <v>7</v>
      </c>
      <c r="AO269" s="27" t="s">
        <v>8</v>
      </c>
      <c r="AQ269" s="27" t="s">
        <v>8</v>
      </c>
      <c r="AS269" s="27" t="s">
        <v>8</v>
      </c>
      <c r="AT269" s="27" t="s">
        <v>7</v>
      </c>
      <c r="AU269" s="27" t="s">
        <v>8</v>
      </c>
      <c r="CT269" s="27" t="s">
        <v>7</v>
      </c>
      <c r="CU269" s="27" t="s">
        <v>8</v>
      </c>
      <c r="DF269" s="27" t="s">
        <v>7</v>
      </c>
      <c r="DI269" s="27" t="s">
        <v>8</v>
      </c>
      <c r="DK269" s="27" t="s">
        <v>8</v>
      </c>
      <c r="FB269" s="27" t="s">
        <v>7</v>
      </c>
      <c r="FC269" s="27" t="s">
        <v>8</v>
      </c>
      <c r="FD269" s="27" t="s">
        <v>7</v>
      </c>
      <c r="FE269" s="27" t="s">
        <v>8</v>
      </c>
    </row>
    <row r="270" spans="1:161" x14ac:dyDescent="0.25">
      <c r="A270" s="30">
        <v>0.23137744865585538</v>
      </c>
      <c r="B270"/>
      <c r="C270"/>
      <c r="D270"/>
      <c r="E270"/>
      <c r="F270" s="27" t="s">
        <v>7</v>
      </c>
      <c r="AI270" s="27" t="s">
        <v>8</v>
      </c>
      <c r="AJ270" s="27" t="s">
        <v>7</v>
      </c>
      <c r="AO270" s="27" t="s">
        <v>8</v>
      </c>
      <c r="AP270" s="27" t="s">
        <v>7</v>
      </c>
      <c r="AQ270" s="27" t="s">
        <v>8</v>
      </c>
      <c r="AR270" s="27" t="s">
        <v>7</v>
      </c>
      <c r="AS270" s="27" t="s">
        <v>8</v>
      </c>
      <c r="AT270" s="27" t="s">
        <v>7</v>
      </c>
      <c r="CT270" s="27" t="s">
        <v>7</v>
      </c>
      <c r="CU270" s="27" t="s">
        <v>8</v>
      </c>
      <c r="DF270" s="27" t="s">
        <v>7</v>
      </c>
      <c r="DG270" s="27" t="s">
        <v>8</v>
      </c>
      <c r="DI270" s="27" t="s">
        <v>8</v>
      </c>
      <c r="DJ270" s="27" t="s">
        <v>7</v>
      </c>
      <c r="DK270" s="27" t="s">
        <v>8</v>
      </c>
      <c r="FB270" s="27" t="s">
        <v>7</v>
      </c>
      <c r="FC270" s="27" t="s">
        <v>8</v>
      </c>
      <c r="FD270" s="27" t="s">
        <v>7</v>
      </c>
      <c r="FE270" s="27" t="s">
        <v>8</v>
      </c>
    </row>
    <row r="271" spans="1:161" x14ac:dyDescent="0.25">
      <c r="A271" s="30">
        <v>0.22035947491033836</v>
      </c>
      <c r="B271"/>
      <c r="C271"/>
      <c r="D271"/>
      <c r="E271"/>
      <c r="F271" s="27" t="s">
        <v>7</v>
      </c>
      <c r="AI271" s="27" t="s">
        <v>8</v>
      </c>
      <c r="AJ271" s="27" t="s">
        <v>7</v>
      </c>
      <c r="AK271" s="27" t="s">
        <v>8</v>
      </c>
      <c r="AO271" s="27" t="s">
        <v>8</v>
      </c>
      <c r="AP271" s="27" t="s">
        <v>7</v>
      </c>
      <c r="AQ271" s="27" t="s">
        <v>8</v>
      </c>
      <c r="AR271" s="27" t="s">
        <v>7</v>
      </c>
      <c r="AS271" s="27" t="s">
        <v>8</v>
      </c>
      <c r="CT271" s="27" t="s">
        <v>7</v>
      </c>
      <c r="CU271" s="27" t="s">
        <v>8</v>
      </c>
      <c r="DF271" s="27" t="s">
        <v>7</v>
      </c>
      <c r="DG271" s="27" t="s">
        <v>8</v>
      </c>
      <c r="DH271" s="27" t="s">
        <v>7</v>
      </c>
      <c r="DI271" s="27" t="s">
        <v>8</v>
      </c>
      <c r="DJ271" s="27" t="s">
        <v>7</v>
      </c>
      <c r="DK271" s="27" t="s">
        <v>8</v>
      </c>
      <c r="FB271" s="27" t="s">
        <v>7</v>
      </c>
      <c r="FC271" s="27" t="s">
        <v>8</v>
      </c>
      <c r="FD271" s="27" t="s">
        <v>7</v>
      </c>
      <c r="FE271" s="27" t="s">
        <v>8</v>
      </c>
    </row>
    <row r="272" spans="1:161" x14ac:dyDescent="0.25">
      <c r="A272" s="30">
        <v>0.20986616658127455</v>
      </c>
      <c r="B272"/>
      <c r="C272"/>
      <c r="D272"/>
      <c r="E272"/>
      <c r="F272" s="27" t="s">
        <v>7</v>
      </c>
      <c r="AI272" s="27" t="s">
        <v>8</v>
      </c>
      <c r="AJ272" s="27" t="s">
        <v>7</v>
      </c>
      <c r="AK272" s="27" t="s">
        <v>8</v>
      </c>
      <c r="AL272" s="27" t="s">
        <v>7</v>
      </c>
      <c r="AM272" s="27" t="s">
        <v>8</v>
      </c>
      <c r="AO272" s="27" t="s">
        <v>8</v>
      </c>
      <c r="AP272" s="27" t="s">
        <v>7</v>
      </c>
      <c r="AQ272" s="27" t="s">
        <v>8</v>
      </c>
      <c r="AR272" s="27" t="s">
        <v>7</v>
      </c>
      <c r="CT272" s="27" t="s">
        <v>7</v>
      </c>
      <c r="CU272" s="27" t="s">
        <v>8</v>
      </c>
      <c r="DF272" s="27" t="s">
        <v>7</v>
      </c>
      <c r="DG272" s="27" t="s">
        <v>8</v>
      </c>
      <c r="DH272" s="27" t="s">
        <v>7</v>
      </c>
      <c r="DI272" s="27" t="s">
        <v>8</v>
      </c>
      <c r="DJ272" s="27" t="s">
        <v>7</v>
      </c>
      <c r="DK272" s="27" t="s">
        <v>8</v>
      </c>
      <c r="FB272" s="27" t="s">
        <v>7</v>
      </c>
      <c r="FD272" s="27" t="s">
        <v>7</v>
      </c>
      <c r="FE272" s="27" t="s">
        <v>8</v>
      </c>
    </row>
    <row r="273" spans="1:160" x14ac:dyDescent="0.25">
      <c r="A273" s="30">
        <v>0.19987253960121379</v>
      </c>
      <c r="B273"/>
      <c r="C273"/>
      <c r="D273"/>
      <c r="E273"/>
      <c r="F273" s="27" t="s">
        <v>7</v>
      </c>
      <c r="AI273" s="27" t="s">
        <v>8</v>
      </c>
      <c r="AJ273" s="27" t="s">
        <v>7</v>
      </c>
      <c r="AK273" s="27" t="s">
        <v>8</v>
      </c>
      <c r="AL273" s="27" t="s">
        <v>7</v>
      </c>
      <c r="AM273" s="27" t="s">
        <v>8</v>
      </c>
      <c r="AN273" s="27" t="s">
        <v>7</v>
      </c>
      <c r="AO273" s="27" t="s">
        <v>8</v>
      </c>
      <c r="AP273" s="27" t="s">
        <v>7</v>
      </c>
      <c r="AQ273" s="27" t="s">
        <v>8</v>
      </c>
      <c r="CT273" s="27" t="s">
        <v>7</v>
      </c>
      <c r="CU273" s="27" t="s">
        <v>8</v>
      </c>
      <c r="DF273" s="27" t="s">
        <v>7</v>
      </c>
      <c r="DG273" s="27" t="s">
        <v>8</v>
      </c>
      <c r="DH273" s="27" t="s">
        <v>7</v>
      </c>
      <c r="DI273" s="27" t="s">
        <v>8</v>
      </c>
      <c r="DJ273" s="27" t="s">
        <v>7</v>
      </c>
      <c r="DK273" s="27" t="s">
        <v>8</v>
      </c>
      <c r="FD273" s="27" t="s">
        <v>7</v>
      </c>
    </row>
    <row r="274" spans="1:160" x14ac:dyDescent="0.25">
      <c r="A274" s="30">
        <v>0.19035479962020352</v>
      </c>
      <c r="B274"/>
      <c r="C274"/>
      <c r="D274"/>
      <c r="E274"/>
      <c r="F274" s="27" t="s">
        <v>7</v>
      </c>
      <c r="AI274" s="27" t="s">
        <v>8</v>
      </c>
      <c r="AJ274" s="27" t="s">
        <v>7</v>
      </c>
      <c r="AL274" s="27" t="s">
        <v>7</v>
      </c>
      <c r="AM274" s="27" t="s">
        <v>8</v>
      </c>
      <c r="AN274" s="27" t="s">
        <v>7</v>
      </c>
      <c r="AO274" s="27" t="s">
        <v>8</v>
      </c>
      <c r="AP274" s="27" t="s">
        <v>7</v>
      </c>
      <c r="AQ274" s="27" t="s">
        <v>8</v>
      </c>
      <c r="CT274" s="27" t="s">
        <v>7</v>
      </c>
      <c r="CU274" s="27" t="s">
        <v>8</v>
      </c>
      <c r="DF274" s="27" t="s">
        <v>7</v>
      </c>
      <c r="DG274" s="27" t="s">
        <v>8</v>
      </c>
      <c r="DH274" s="27" t="s">
        <v>7</v>
      </c>
      <c r="DJ274" s="27" t="s">
        <v>7</v>
      </c>
      <c r="DK274" s="27" t="s">
        <v>8</v>
      </c>
    </row>
    <row r="275" spans="1:160" x14ac:dyDescent="0.25">
      <c r="A275" s="30">
        <v>0.18129028535257471</v>
      </c>
      <c r="B275"/>
      <c r="C275"/>
      <c r="D275"/>
      <c r="E275"/>
      <c r="F275" s="27" t="s">
        <v>7</v>
      </c>
      <c r="AI275" s="27" t="s">
        <v>8</v>
      </c>
      <c r="AL275" s="27" t="s">
        <v>7</v>
      </c>
      <c r="AM275" s="27" t="s">
        <v>8</v>
      </c>
      <c r="AN275" s="27" t="s">
        <v>7</v>
      </c>
      <c r="AP275" s="27" t="s">
        <v>7</v>
      </c>
      <c r="CT275" s="27" t="s">
        <v>7</v>
      </c>
      <c r="DF275" s="27" t="s">
        <v>7</v>
      </c>
      <c r="DG275" s="27" t="s">
        <v>8</v>
      </c>
      <c r="DJ275" s="27" t="s">
        <v>7</v>
      </c>
      <c r="DK275" s="27" t="s">
        <v>8</v>
      </c>
    </row>
    <row r="276" spans="1:160" x14ac:dyDescent="0.25">
      <c r="A276" s="30">
        <v>0.17265741462149967</v>
      </c>
      <c r="B276"/>
      <c r="C276"/>
      <c r="D276"/>
      <c r="E276"/>
      <c r="F276" s="27" t="s">
        <v>7</v>
      </c>
      <c r="W276" s="27" t="s">
        <v>8</v>
      </c>
      <c r="AI276" s="27" t="s">
        <v>8</v>
      </c>
      <c r="AL276" s="27" t="s">
        <v>7</v>
      </c>
      <c r="AM276" s="27" t="s">
        <v>8</v>
      </c>
      <c r="DF276" s="27" t="s">
        <v>7</v>
      </c>
      <c r="DJ276" s="18" t="s">
        <v>7</v>
      </c>
      <c r="DK276" s="27" t="s">
        <v>8</v>
      </c>
    </row>
    <row r="277" spans="1:160" x14ac:dyDescent="0.25">
      <c r="A277" s="30">
        <v>0.16443563297285677</v>
      </c>
      <c r="B277"/>
      <c r="C277"/>
      <c r="D277"/>
      <c r="E277"/>
      <c r="F277" s="27" t="s">
        <v>7</v>
      </c>
      <c r="W277" s="27" t="s">
        <v>8</v>
      </c>
      <c r="X277" s="27" t="s">
        <v>7</v>
      </c>
      <c r="AI277" s="27" t="s">
        <v>8</v>
      </c>
      <c r="AL277" s="27" t="s">
        <v>7</v>
      </c>
      <c r="AM277" s="27" t="s">
        <v>8</v>
      </c>
      <c r="DJ277" s="27" t="s">
        <v>7</v>
      </c>
      <c r="DK277" s="27" t="s">
        <v>8</v>
      </c>
    </row>
    <row r="278" spans="1:160" x14ac:dyDescent="0.25">
      <c r="A278" s="30">
        <v>0.15660536473605399</v>
      </c>
      <c r="B278"/>
      <c r="C278"/>
      <c r="D278"/>
      <c r="E278"/>
      <c r="F278" s="27" t="s">
        <v>7</v>
      </c>
      <c r="S278" s="27" t="s">
        <v>8</v>
      </c>
      <c r="W278" s="27" t="s">
        <v>8</v>
      </c>
      <c r="X278" s="27" t="s">
        <v>7</v>
      </c>
      <c r="AE278" s="27" t="s">
        <v>8</v>
      </c>
      <c r="AI278" s="27" t="s">
        <v>8</v>
      </c>
      <c r="AL278" s="27" t="s">
        <v>7</v>
      </c>
      <c r="AM278" s="27" t="s">
        <v>8</v>
      </c>
      <c r="DJ278" s="27" t="s">
        <v>7</v>
      </c>
    </row>
    <row r="279" spans="1:160" x14ac:dyDescent="0.25">
      <c r="A279" s="30">
        <v>0.14914796641528946</v>
      </c>
      <c r="B279"/>
      <c r="C279"/>
      <c r="D279"/>
      <c r="E279"/>
      <c r="F279" s="27" t="s">
        <v>7</v>
      </c>
      <c r="G279" s="27" t="s">
        <v>8</v>
      </c>
      <c r="S279" s="27" t="s">
        <v>8</v>
      </c>
      <c r="T279" s="27" t="s">
        <v>7</v>
      </c>
      <c r="W279" s="27" t="s">
        <v>8</v>
      </c>
      <c r="X279" s="27" t="s">
        <v>7</v>
      </c>
      <c r="AC279" s="27" t="s">
        <v>8</v>
      </c>
      <c r="AE279" s="27" t="s">
        <v>8</v>
      </c>
      <c r="AF279" s="27" t="s">
        <v>7</v>
      </c>
      <c r="AI279" s="27" t="s">
        <v>8</v>
      </c>
      <c r="AL279" s="27" t="s">
        <v>7</v>
      </c>
    </row>
    <row r="280" spans="1:160" x14ac:dyDescent="0.25">
      <c r="A280" s="30">
        <v>0.14204568230027562</v>
      </c>
      <c r="B280"/>
      <c r="C280"/>
      <c r="D280"/>
      <c r="E280"/>
      <c r="F280" s="27" t="s">
        <v>7</v>
      </c>
      <c r="G280" s="27" t="s">
        <v>8</v>
      </c>
      <c r="H280" s="27" t="s">
        <v>7</v>
      </c>
      <c r="I280" s="27" t="s">
        <v>8</v>
      </c>
      <c r="S280" s="27" t="s">
        <v>8</v>
      </c>
      <c r="T280" s="27" t="s">
        <v>7</v>
      </c>
      <c r="U280" s="27" t="s">
        <v>8</v>
      </c>
      <c r="W280" s="27" t="s">
        <v>8</v>
      </c>
      <c r="X280" s="27" t="s">
        <v>7</v>
      </c>
      <c r="AC280" s="27" t="s">
        <v>8</v>
      </c>
      <c r="AD280" s="27" t="s">
        <v>7</v>
      </c>
      <c r="AE280" s="27" t="s">
        <v>8</v>
      </c>
      <c r="AF280" s="27" t="s">
        <v>7</v>
      </c>
      <c r="AI280" s="27" t="s">
        <v>8</v>
      </c>
    </row>
    <row r="281" spans="1:160" x14ac:dyDescent="0.25">
      <c r="A281" s="30">
        <v>0.13528160219073862</v>
      </c>
      <c r="B281"/>
      <c r="C281"/>
      <c r="D281"/>
      <c r="E281"/>
      <c r="F281" s="27" t="s">
        <v>7</v>
      </c>
      <c r="G281" s="27" t="s">
        <v>8</v>
      </c>
      <c r="H281" s="27" t="s">
        <v>7</v>
      </c>
      <c r="I281" s="27" t="s">
        <v>8</v>
      </c>
      <c r="J281" s="27" t="s">
        <v>7</v>
      </c>
      <c r="S281" s="27" t="s">
        <v>8</v>
      </c>
      <c r="T281" s="27" t="s">
        <v>7</v>
      </c>
      <c r="U281" s="27" t="s">
        <v>8</v>
      </c>
      <c r="V281" s="27" t="s">
        <v>7</v>
      </c>
      <c r="W281" s="27" t="s">
        <v>8</v>
      </c>
      <c r="X281" s="27" t="s">
        <v>7</v>
      </c>
      <c r="AA281" s="27" t="s">
        <v>8</v>
      </c>
      <c r="AC281" s="27" t="s">
        <v>8</v>
      </c>
      <c r="AD281" s="27" t="s">
        <v>7</v>
      </c>
      <c r="AE281" s="27" t="s">
        <v>8</v>
      </c>
      <c r="AF281" s="27" t="s">
        <v>7</v>
      </c>
      <c r="AG281" s="27" t="s">
        <v>8</v>
      </c>
      <c r="AI281" s="27" t="s">
        <v>8</v>
      </c>
    </row>
    <row r="282" spans="1:160" x14ac:dyDescent="0.25">
      <c r="A282" s="30">
        <v>0.12883962113403674</v>
      </c>
      <c r="B282"/>
      <c r="C282"/>
      <c r="D282"/>
      <c r="E282"/>
      <c r="F282" s="27" t="s">
        <v>7</v>
      </c>
      <c r="G282" s="27" t="s">
        <v>8</v>
      </c>
      <c r="H282" s="27" t="s">
        <v>7</v>
      </c>
      <c r="I282" s="27" t="s">
        <v>8</v>
      </c>
      <c r="J282" s="27" t="s">
        <v>7</v>
      </c>
      <c r="S282" s="27" t="s">
        <v>8</v>
      </c>
      <c r="T282" s="27" t="s">
        <v>7</v>
      </c>
      <c r="U282" s="27" t="s">
        <v>8</v>
      </c>
      <c r="V282" s="27" t="s">
        <v>7</v>
      </c>
      <c r="W282" s="27" t="s">
        <v>8</v>
      </c>
      <c r="X282" s="27" t="s">
        <v>7</v>
      </c>
      <c r="Y282" s="27" t="s">
        <v>8</v>
      </c>
      <c r="AA282" s="27" t="s">
        <v>8</v>
      </c>
      <c r="AB282" s="27" t="s">
        <v>7</v>
      </c>
      <c r="AC282" s="27" t="s">
        <v>8</v>
      </c>
      <c r="AD282" s="27" t="s">
        <v>7</v>
      </c>
      <c r="AE282" s="27" t="s">
        <v>8</v>
      </c>
      <c r="AF282" s="27" t="s">
        <v>7</v>
      </c>
      <c r="AG282" s="27" t="s">
        <v>8</v>
      </c>
      <c r="AH282" s="27" t="s">
        <v>7</v>
      </c>
      <c r="AI282" s="27" t="s">
        <v>8</v>
      </c>
    </row>
    <row r="283" spans="1:160" x14ac:dyDescent="0.25">
      <c r="A283" s="30">
        <v>0.12270440108003494</v>
      </c>
      <c r="B283"/>
      <c r="C283"/>
      <c r="D283"/>
      <c r="E283"/>
      <c r="F283" s="27" t="s">
        <v>7</v>
      </c>
      <c r="G283" s="27" t="s">
        <v>8</v>
      </c>
      <c r="H283" s="27" t="s">
        <v>7</v>
      </c>
      <c r="I283" s="27" t="s">
        <v>8</v>
      </c>
      <c r="J283" s="27" t="s">
        <v>7</v>
      </c>
      <c r="K283" s="27" t="s">
        <v>8</v>
      </c>
      <c r="O283" s="27" t="s">
        <v>8</v>
      </c>
      <c r="S283" s="27" t="s">
        <v>8</v>
      </c>
      <c r="T283" s="27" t="s">
        <v>7</v>
      </c>
      <c r="U283" s="27" t="s">
        <v>8</v>
      </c>
      <c r="V283" s="27" t="s">
        <v>7</v>
      </c>
      <c r="X283" s="27" t="s">
        <v>7</v>
      </c>
      <c r="Y283" s="27" t="s">
        <v>8</v>
      </c>
      <c r="Z283" s="27" t="s">
        <v>7</v>
      </c>
      <c r="AA283" s="27" t="s">
        <v>8</v>
      </c>
      <c r="AB283" s="27" t="s">
        <v>7</v>
      </c>
      <c r="AC283" s="27" t="s">
        <v>8</v>
      </c>
      <c r="AD283" s="27" t="s">
        <v>7</v>
      </c>
      <c r="AE283" s="27" t="s">
        <v>8</v>
      </c>
      <c r="AF283" s="27" t="s">
        <v>7</v>
      </c>
      <c r="AG283" s="27" t="s">
        <v>8</v>
      </c>
      <c r="AH283" s="27" t="s">
        <v>7</v>
      </c>
      <c r="AI283" s="27" t="s">
        <v>8</v>
      </c>
    </row>
    <row r="284" spans="1:160" x14ac:dyDescent="0.25">
      <c r="A284" s="30">
        <v>0.11686133436193799</v>
      </c>
      <c r="B284"/>
      <c r="C284"/>
      <c r="D284"/>
      <c r="E284"/>
      <c r="F284" s="27" t="s">
        <v>7</v>
      </c>
      <c r="G284" s="27" t="s">
        <v>8</v>
      </c>
      <c r="H284" s="27" t="s">
        <v>7</v>
      </c>
      <c r="I284" s="27" t="s">
        <v>8</v>
      </c>
      <c r="J284" s="27" t="s">
        <v>7</v>
      </c>
      <c r="K284" s="27" t="s">
        <v>8</v>
      </c>
      <c r="L284" s="27" t="s">
        <v>7</v>
      </c>
      <c r="O284" s="27" t="s">
        <v>8</v>
      </c>
      <c r="P284" s="27" t="s">
        <v>7</v>
      </c>
      <c r="Q284" s="27" t="s">
        <v>8</v>
      </c>
      <c r="S284" s="27" t="s">
        <v>8</v>
      </c>
      <c r="T284" s="27" t="s">
        <v>7</v>
      </c>
      <c r="X284" s="27" t="s">
        <v>7</v>
      </c>
      <c r="Y284" s="27" t="s">
        <v>8</v>
      </c>
      <c r="Z284" s="27" t="s">
        <v>7</v>
      </c>
      <c r="AA284" s="27" t="s">
        <v>8</v>
      </c>
      <c r="AB284" s="27" t="s">
        <v>7</v>
      </c>
      <c r="AC284" s="27" t="s">
        <v>8</v>
      </c>
      <c r="AD284" s="27" t="s">
        <v>7</v>
      </c>
      <c r="AF284" s="27" t="s">
        <v>7</v>
      </c>
      <c r="AG284" s="27" t="s">
        <v>8</v>
      </c>
      <c r="AH284" s="27" t="s">
        <v>7</v>
      </c>
      <c r="AI284" s="27" t="s">
        <v>8</v>
      </c>
    </row>
    <row r="285" spans="1:160" x14ac:dyDescent="0.25">
      <c r="A285" s="30">
        <v>0.11129650891613138</v>
      </c>
      <c r="B285"/>
      <c r="C285"/>
      <c r="D285"/>
      <c r="E285"/>
      <c r="F285" s="27" t="s">
        <v>7</v>
      </c>
      <c r="H285" s="27" t="s">
        <v>7</v>
      </c>
      <c r="J285" s="27" t="s">
        <v>7</v>
      </c>
      <c r="K285" s="27" t="s">
        <v>8</v>
      </c>
      <c r="L285" s="27" t="s">
        <v>7</v>
      </c>
      <c r="O285" s="27" t="s">
        <v>8</v>
      </c>
      <c r="P285" s="27" t="s">
        <v>7</v>
      </c>
      <c r="Q285" s="27" t="s">
        <v>8</v>
      </c>
      <c r="R285" s="27" t="s">
        <v>7</v>
      </c>
      <c r="S285" s="27" t="s">
        <v>8</v>
      </c>
      <c r="X285" s="27" t="s">
        <v>7</v>
      </c>
      <c r="Y285" s="27" t="s">
        <v>8</v>
      </c>
      <c r="Z285" s="27" t="s">
        <v>7</v>
      </c>
      <c r="AB285" s="27" t="s">
        <v>7</v>
      </c>
      <c r="AC285" s="27" t="s">
        <v>8</v>
      </c>
      <c r="AF285" s="27" t="s">
        <v>7</v>
      </c>
      <c r="AG285" s="27" t="s">
        <v>8</v>
      </c>
      <c r="AH285" s="27" t="s">
        <v>7</v>
      </c>
    </row>
    <row r="286" spans="1:160" x14ac:dyDescent="0.25">
      <c r="A286" s="30">
        <v>0.10599667515822032</v>
      </c>
      <c r="B286"/>
      <c r="C286"/>
      <c r="D286"/>
      <c r="E286"/>
      <c r="J286" s="27" t="s">
        <v>7</v>
      </c>
      <c r="L286" s="27" t="s">
        <v>7</v>
      </c>
      <c r="O286" s="27" t="s">
        <v>8</v>
      </c>
      <c r="P286" s="27" t="s">
        <v>7</v>
      </c>
      <c r="Q286" s="27" t="s">
        <v>8</v>
      </c>
      <c r="R286" s="27" t="s">
        <v>7</v>
      </c>
      <c r="S286" s="27" t="s">
        <v>8</v>
      </c>
      <c r="X286" s="27" t="s">
        <v>7</v>
      </c>
      <c r="AB286" s="27" t="s">
        <v>7</v>
      </c>
      <c r="AC286" s="27" t="s">
        <v>8</v>
      </c>
      <c r="AF286" s="27" t="s">
        <v>7</v>
      </c>
    </row>
    <row r="287" spans="1:160" x14ac:dyDescent="0.25">
      <c r="A287" s="30">
        <v>0.10094921443640027</v>
      </c>
      <c r="B287"/>
      <c r="C287"/>
      <c r="D287"/>
      <c r="E287"/>
      <c r="L287" s="27" t="s">
        <v>7</v>
      </c>
      <c r="M287" s="27" t="s">
        <v>8</v>
      </c>
      <c r="O287" s="27" t="s">
        <v>8</v>
      </c>
      <c r="P287" s="27" t="s">
        <v>7</v>
      </c>
      <c r="Q287" s="27" t="s">
        <v>8</v>
      </c>
      <c r="R287" s="27" t="s">
        <v>7</v>
      </c>
      <c r="S287" s="27" t="s">
        <v>8</v>
      </c>
      <c r="AB287" s="27" t="s">
        <v>7</v>
      </c>
    </row>
    <row r="288" spans="1:160" x14ac:dyDescent="0.25">
      <c r="A288" s="30">
        <v>9.6142108987047836E-2</v>
      </c>
      <c r="B288"/>
      <c r="C288"/>
      <c r="D288"/>
      <c r="E288"/>
      <c r="L288" s="27" t="s">
        <v>7</v>
      </c>
      <c r="M288" s="27" t="s">
        <v>8</v>
      </c>
      <c r="N288" s="27" t="s">
        <v>7</v>
      </c>
      <c r="O288" s="27" t="s">
        <v>8</v>
      </c>
      <c r="P288" s="27" t="s">
        <v>7</v>
      </c>
      <c r="R288" s="27" t="s">
        <v>7</v>
      </c>
    </row>
    <row r="289" spans="1:15" x14ac:dyDescent="0.25">
      <c r="A289" s="30">
        <v>9.1563913320997906E-2</v>
      </c>
      <c r="B289"/>
      <c r="C289"/>
      <c r="D289"/>
      <c r="E289"/>
      <c r="L289" s="27" t="s">
        <v>7</v>
      </c>
      <c r="M289" s="27" t="s">
        <v>8</v>
      </c>
      <c r="N289" s="27" t="s">
        <v>7</v>
      </c>
      <c r="O289" s="27" t="s">
        <v>8</v>
      </c>
    </row>
    <row r="290" spans="1:15" x14ac:dyDescent="0.25">
      <c r="A290" s="30">
        <v>8.7203726972378923E-2</v>
      </c>
      <c r="B290"/>
      <c r="C290"/>
      <c r="D290"/>
      <c r="E290"/>
      <c r="L290" s="27" t="s">
        <v>7</v>
      </c>
      <c r="N290" s="27" t="s">
        <v>7</v>
      </c>
      <c r="O290" s="27" t="s">
        <v>8</v>
      </c>
    </row>
    <row r="291" spans="1:15" x14ac:dyDescent="0.25">
      <c r="A291" s="30">
        <v>8.3051168545122747E-2</v>
      </c>
      <c r="B291"/>
      <c r="C291"/>
      <c r="D291"/>
      <c r="E291"/>
      <c r="N291" s="27" t="s">
        <v>7</v>
      </c>
    </row>
    <row r="292" spans="1:15" x14ac:dyDescent="0.25">
      <c r="A292" s="30">
        <v>7.9096350995354961E-2</v>
      </c>
      <c r="B292"/>
      <c r="C292"/>
      <c r="D292"/>
      <c r="E292"/>
    </row>
    <row r="293" spans="1:15" x14ac:dyDescent="0.25">
      <c r="A293" s="30">
        <v>7.5329858090814217E-2</v>
      </c>
      <c r="B293"/>
      <c r="C293"/>
      <c r="D293"/>
      <c r="E293"/>
    </row>
    <row r="294" spans="1:15" x14ac:dyDescent="0.25">
      <c r="A294" s="30">
        <v>7.1742721991251604E-2</v>
      </c>
      <c r="B294"/>
      <c r="C294"/>
      <c r="D294"/>
      <c r="E294"/>
    </row>
    <row r="295" spans="1:15" x14ac:dyDescent="0.25">
      <c r="A295" s="30">
        <v>6.8326401896430078E-2</v>
      </c>
      <c r="B295"/>
      <c r="C295"/>
      <c r="D295"/>
      <c r="E295"/>
    </row>
    <row r="296" spans="1:15" x14ac:dyDescent="0.25">
      <c r="A296" s="30">
        <v>6.5072763710885759E-2</v>
      </c>
      <c r="B296"/>
      <c r="C296"/>
      <c r="D296"/>
      <c r="E296"/>
    </row>
    <row r="297" spans="1:15" x14ac:dyDescent="0.25">
      <c r="A297" s="30">
        <v>6.197406067703403E-2</v>
      </c>
      <c r="B297"/>
      <c r="C297"/>
      <c r="D297"/>
      <c r="E297"/>
    </row>
    <row r="298" spans="1:15" x14ac:dyDescent="0.25">
      <c r="A298" s="30">
        <v>5.9022914930508576E-2</v>
      </c>
      <c r="B298"/>
      <c r="C298"/>
      <c r="D298"/>
      <c r="E298"/>
    </row>
    <row r="299" spans="1:15" x14ac:dyDescent="0.25">
      <c r="A299" s="30">
        <v>5.6212299933817669E-2</v>
      </c>
      <c r="B299"/>
      <c r="C299"/>
      <c r="D299"/>
      <c r="E299"/>
    </row>
    <row r="300" spans="1:15" x14ac:dyDescent="0.25">
      <c r="A300" s="30">
        <v>5.3535523746492994E-2</v>
      </c>
      <c r="B300"/>
      <c r="C300"/>
      <c r="D300"/>
      <c r="E300"/>
    </row>
    <row r="301" spans="1:15" x14ac:dyDescent="0.25">
      <c r="A301" s="30">
        <v>5.0986213091898068E-2</v>
      </c>
      <c r="B301"/>
      <c r="C301"/>
      <c r="D301"/>
      <c r="E301"/>
    </row>
    <row r="302" spans="1:15" x14ac:dyDescent="0.25">
      <c r="A302" s="30">
        <v>4.8558298182760043E-2</v>
      </c>
      <c r="B302"/>
      <c r="C302"/>
      <c r="D302"/>
      <c r="E302"/>
    </row>
    <row r="303" spans="1:15" x14ac:dyDescent="0.25">
      <c r="A303" s="30">
        <v>4.6245998269295263E-2</v>
      </c>
      <c r="B303"/>
      <c r="C303"/>
      <c r="D303"/>
      <c r="E303"/>
    </row>
    <row r="304" spans="1:1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03" operator="equal">
      <formula>$U$1</formula>
    </cfRule>
    <cfRule type="cellIs" dxfId="67" priority="904" operator="equal">
      <formula>$S$1</formula>
    </cfRule>
  </conditionalFormatting>
  <conditionalFormatting sqref="D136">
    <cfRule type="cellIs" dxfId="66" priority="901" operator="equal">
      <formula>$S$1</formula>
    </cfRule>
    <cfRule type="cellIs" dxfId="65" priority="902" operator="equal">
      <formula>$U$1</formula>
    </cfRule>
  </conditionalFormatting>
  <conditionalFormatting sqref="C162">
    <cfRule type="cellIs" dxfId="64" priority="899" operator="equal">
      <formula>$U$1</formula>
    </cfRule>
    <cfRule type="cellIs" dxfId="63" priority="900" operator="equal">
      <formula>$S$1</formula>
    </cfRule>
  </conditionalFormatting>
  <conditionalFormatting sqref="D162">
    <cfRule type="cellIs" dxfId="62" priority="897" operator="equal">
      <formula>$S$1</formula>
    </cfRule>
    <cfRule type="cellIs" dxfId="61" priority="898" operator="equal">
      <formula>$U$1</formula>
    </cfRule>
  </conditionalFormatting>
  <conditionalFormatting sqref="C187">
    <cfRule type="cellIs" dxfId="60" priority="895" operator="equal">
      <formula>$U$1</formula>
    </cfRule>
    <cfRule type="cellIs" dxfId="59" priority="896" operator="equal">
      <formula>$S$1</formula>
    </cfRule>
  </conditionalFormatting>
  <conditionalFormatting sqref="D187">
    <cfRule type="cellIs" dxfId="58" priority="893" operator="equal">
      <formula>$S$1</formula>
    </cfRule>
    <cfRule type="cellIs" dxfId="57" priority="894" operator="equal">
      <formula>$U$1</formula>
    </cfRule>
  </conditionalFormatting>
  <conditionalFormatting sqref="C212">
    <cfRule type="cellIs" dxfId="56" priority="891" operator="equal">
      <formula>$U$1</formula>
    </cfRule>
    <cfRule type="cellIs" dxfId="55" priority="892" operator="equal">
      <formula>$S$1</formula>
    </cfRule>
  </conditionalFormatting>
  <conditionalFormatting sqref="D212">
    <cfRule type="cellIs" dxfId="54" priority="889" operator="equal">
      <formula>$S$1</formula>
    </cfRule>
    <cfRule type="cellIs" dxfId="53" priority="890" operator="equal">
      <formula>$U$1</formula>
    </cfRule>
  </conditionalFormatting>
  <conditionalFormatting sqref="C237">
    <cfRule type="cellIs" dxfId="52" priority="887" operator="equal">
      <formula>$U$1</formula>
    </cfRule>
    <cfRule type="cellIs" dxfId="51" priority="888" operator="equal">
      <formula>$S$1</formula>
    </cfRule>
  </conditionalFormatting>
  <conditionalFormatting sqref="D237">
    <cfRule type="cellIs" dxfId="50" priority="885" operator="equal">
      <formula>$S$1</formula>
    </cfRule>
    <cfRule type="cellIs" dxfId="49" priority="886" operator="equal">
      <formula>$U$1</formula>
    </cfRule>
  </conditionalFormatting>
  <conditionalFormatting sqref="C106">
    <cfRule type="cellIs" dxfId="48" priority="883" operator="equal">
      <formula>$U$1</formula>
    </cfRule>
    <cfRule type="cellIs" dxfId="47" priority="884" operator="equal">
      <formula>$S$1</formula>
    </cfRule>
  </conditionalFormatting>
  <conditionalFormatting sqref="D106">
    <cfRule type="cellIs" dxfId="46" priority="881" operator="equal">
      <formula>$S$1</formula>
    </cfRule>
    <cfRule type="cellIs" dxfId="45" priority="882" operator="equal">
      <formula>$U$1</formula>
    </cfRule>
  </conditionalFormatting>
  <conditionalFormatting sqref="C81">
    <cfRule type="cellIs" dxfId="44" priority="879" operator="equal">
      <formula>$U$1</formula>
    </cfRule>
    <cfRule type="cellIs" dxfId="43" priority="880" operator="equal">
      <formula>$S$1</formula>
    </cfRule>
  </conditionalFormatting>
  <conditionalFormatting sqref="D81">
    <cfRule type="cellIs" dxfId="42" priority="877" operator="equal">
      <formula>$S$1</formula>
    </cfRule>
    <cfRule type="cellIs" dxfId="41" priority="878" operator="equal">
      <formula>$U$1</formula>
    </cfRule>
  </conditionalFormatting>
  <conditionalFormatting sqref="C56">
    <cfRule type="cellIs" dxfId="40" priority="875" operator="equal">
      <formula>$U$1</formula>
    </cfRule>
    <cfRule type="cellIs" dxfId="39" priority="876" operator="equal">
      <formula>$S$1</formula>
    </cfRule>
  </conditionalFormatting>
  <conditionalFormatting sqref="D56">
    <cfRule type="cellIs" dxfId="38" priority="873" operator="equal">
      <formula>$S$1</formula>
    </cfRule>
    <cfRule type="cellIs" dxfId="37" priority="874" operator="equal">
      <formula>$U$1</formula>
    </cfRule>
  </conditionalFormatting>
  <conditionalFormatting sqref="C31">
    <cfRule type="cellIs" dxfId="36" priority="871" operator="equal">
      <formula>$U$1</formula>
    </cfRule>
    <cfRule type="cellIs" dxfId="35" priority="872" operator="equal">
      <formula>$S$1</formula>
    </cfRule>
  </conditionalFormatting>
  <conditionalFormatting sqref="D31">
    <cfRule type="cellIs" dxfId="34" priority="869" operator="equal">
      <formula>$S$1</formula>
    </cfRule>
    <cfRule type="cellIs" dxfId="33" priority="870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X138" sqref="AX138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$A$137</v>
      </c>
      <c r="D111" s="1" t="str">
        <f>ADDRESS(C121-1,D121,1,1)</f>
        <v>$AX$137</v>
      </c>
      <c r="E111"/>
    </row>
    <row r="112" spans="1:5" x14ac:dyDescent="0.25">
      <c r="A112" s="30">
        <v>2.3579476910000019</v>
      </c>
      <c r="C112" s="1" t="str">
        <f>ADDRESS(C121,1,1,1)</f>
        <v>$A$138</v>
      </c>
      <c r="D112" s="1" t="str">
        <f>ADDRESS(C121,D121-1,1,1)</f>
        <v>$AW$138</v>
      </c>
      <c r="E112"/>
    </row>
    <row r="113" spans="1:45" x14ac:dyDescent="0.25">
      <c r="A113" s="30">
        <v>2.1435888100000016</v>
      </c>
      <c r="C113" s="1" t="str">
        <f>ADDRESS(C121+1,1,1,1)</f>
        <v>$A$139</v>
      </c>
      <c r="D113" s="1" t="str">
        <f>ADDRESS(C121-1,D121+1,1,1)</f>
        <v>$AY$137</v>
      </c>
    </row>
    <row r="114" spans="1:45" x14ac:dyDescent="0.25">
      <c r="A114" s="30">
        <v>1.9487171000000014</v>
      </c>
      <c r="C114" s="1" t="str">
        <f>ADDRESS(C121,D121,1,1)</f>
        <v>$AX$138</v>
      </c>
      <c r="D114" s="1" t="str">
        <f>ADDRESS(C121+1,D121+1,1,1)</f>
        <v>$AY$139</v>
      </c>
    </row>
    <row r="115" spans="1:45" x14ac:dyDescent="0.25">
      <c r="A115" s="30">
        <v>1.7715610000000011</v>
      </c>
      <c r="C115" s="1" t="str">
        <f>ADDRESS(C121+1,D121,1,1)</f>
        <v>$AX$139</v>
      </c>
    </row>
    <row r="116" spans="1:45" x14ac:dyDescent="0.25">
      <c r="A116" s="30">
        <v>1.6105100000000008</v>
      </c>
      <c r="C116" s="1">
        <f>C117-1</f>
        <v>137</v>
      </c>
    </row>
    <row r="117" spans="1:45" x14ac:dyDescent="0.25">
      <c r="A117" s="30">
        <v>1.4641000000000006</v>
      </c>
      <c r="C117" s="1">
        <f>C121</f>
        <v>138</v>
      </c>
      <c r="D117" s="1">
        <f>D121</f>
        <v>50</v>
      </c>
    </row>
    <row r="118" spans="1:45" x14ac:dyDescent="0.25">
      <c r="A118" s="30">
        <v>1.3310000000000004</v>
      </c>
      <c r="C118" s="1">
        <f>C117+1</f>
        <v>139</v>
      </c>
      <c r="D118" s="1">
        <f>D117+1</f>
        <v>51</v>
      </c>
    </row>
    <row r="119" spans="1:45" x14ac:dyDescent="0.25">
      <c r="A119" s="30">
        <v>1.2100000000000002</v>
      </c>
    </row>
    <row r="120" spans="1:45" x14ac:dyDescent="0.25">
      <c r="A120" s="30">
        <v>1.1000000000000001</v>
      </c>
      <c r="C120" s="1" t="s">
        <v>9</v>
      </c>
    </row>
    <row r="121" spans="1:45" x14ac:dyDescent="0.25">
      <c r="A121" s="30">
        <v>1</v>
      </c>
      <c r="C121" s="18">
        <v>138</v>
      </c>
      <c r="D121" s="19">
        <v>50</v>
      </c>
      <c r="E121" s="18" t="s">
        <v>8</v>
      </c>
      <c r="AA121" s="27" t="s">
        <v>8</v>
      </c>
    </row>
    <row r="122" spans="1:45" x14ac:dyDescent="0.25">
      <c r="A122" s="30">
        <v>0.90909090909090895</v>
      </c>
      <c r="C122" s="1" t="str">
        <f>INDEX(1:1048576,C117,D117)</f>
        <v>O</v>
      </c>
      <c r="F122" s="27" t="s">
        <v>7</v>
      </c>
      <c r="AA122" s="27" t="s">
        <v>8</v>
      </c>
      <c r="AB122" s="27" t="s">
        <v>7</v>
      </c>
    </row>
    <row r="123" spans="1:45" x14ac:dyDescent="0.25">
      <c r="A123" s="30">
        <v>0.82644628099173523</v>
      </c>
      <c r="C123" s="1" t="str">
        <f>"R"&amp;C121</f>
        <v>R138</v>
      </c>
      <c r="D123" s="1" t="str">
        <f>"C"&amp;D121</f>
        <v>C50</v>
      </c>
      <c r="F123" s="27" t="s">
        <v>7</v>
      </c>
      <c r="AA123" s="27" t="s">
        <v>8</v>
      </c>
      <c r="AB123" s="27" t="s">
        <v>7</v>
      </c>
    </row>
    <row r="124" spans="1:45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A124" s="27" t="s">
        <v>8</v>
      </c>
      <c r="AB124" s="27" t="s">
        <v>7</v>
      </c>
    </row>
    <row r="125" spans="1:45" x14ac:dyDescent="0.25">
      <c r="A125" s="30">
        <v>0.68301345536507019</v>
      </c>
      <c r="F125" s="27" t="s">
        <v>7</v>
      </c>
      <c r="W125" s="27" t="s">
        <v>8</v>
      </c>
      <c r="Y125" s="27" t="s">
        <v>8</v>
      </c>
      <c r="AA125" s="27" t="s">
        <v>8</v>
      </c>
      <c r="AB125" s="27" t="s">
        <v>7</v>
      </c>
      <c r="AM125" s="27" t="s">
        <v>8</v>
      </c>
    </row>
    <row r="126" spans="1:45" x14ac:dyDescent="0.25">
      <c r="A126" s="30">
        <v>0.6209213230591546</v>
      </c>
      <c r="C126" s="1" t="s">
        <v>10</v>
      </c>
      <c r="F126" s="27" t="s">
        <v>7</v>
      </c>
      <c r="W126" s="27" t="s">
        <v>8</v>
      </c>
      <c r="X126" s="27" t="s">
        <v>7</v>
      </c>
      <c r="Y126" s="27" t="s">
        <v>8</v>
      </c>
      <c r="Z126" s="27" t="s">
        <v>7</v>
      </c>
      <c r="AA126" s="27" t="s">
        <v>8</v>
      </c>
      <c r="AB126" s="27" t="s">
        <v>7</v>
      </c>
      <c r="AM126" s="27" t="s">
        <v>8</v>
      </c>
      <c r="AN126" s="27" t="s">
        <v>7</v>
      </c>
    </row>
    <row r="127" spans="1:45" x14ac:dyDescent="0.25">
      <c r="A127" s="30">
        <v>0.56447393005377677</v>
      </c>
      <c r="C127" s="30">
        <v>0.19784466890013469</v>
      </c>
      <c r="D127"/>
      <c r="F127" s="27" t="s">
        <v>7</v>
      </c>
      <c r="U127" s="27" t="s">
        <v>8</v>
      </c>
      <c r="W127" s="27" t="s">
        <v>8</v>
      </c>
      <c r="X127" s="27" t="s">
        <v>7</v>
      </c>
      <c r="Y127" s="27" t="s">
        <v>8</v>
      </c>
      <c r="Z127" s="27" t="s">
        <v>7</v>
      </c>
      <c r="AA127" s="27" t="s">
        <v>8</v>
      </c>
      <c r="AB127" s="27" t="s">
        <v>7</v>
      </c>
      <c r="AM127" s="27" t="s">
        <v>8</v>
      </c>
      <c r="AN127" s="27" t="s">
        <v>7</v>
      </c>
    </row>
    <row r="128" spans="1:45" x14ac:dyDescent="0.25">
      <c r="A128" s="30">
        <v>0.51315811823070612</v>
      </c>
      <c r="F128" s="27" t="s">
        <v>7</v>
      </c>
      <c r="U128" s="27" t="s">
        <v>8</v>
      </c>
      <c r="V128" s="27" t="s">
        <v>7</v>
      </c>
      <c r="W128" s="27" t="s">
        <v>8</v>
      </c>
      <c r="X128" s="27" t="s">
        <v>7</v>
      </c>
      <c r="Z128" s="27" t="s">
        <v>7</v>
      </c>
      <c r="AA128" s="27" t="s">
        <v>8</v>
      </c>
      <c r="AB128" s="27" t="s">
        <v>7</v>
      </c>
      <c r="AM128" s="27" t="s">
        <v>8</v>
      </c>
      <c r="AN128" s="27" t="s">
        <v>7</v>
      </c>
      <c r="AO128" s="27" t="s">
        <v>8</v>
      </c>
      <c r="AS128" s="27" t="s">
        <v>8</v>
      </c>
    </row>
    <row r="129" spans="1:50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U129" s="27" t="s">
        <v>8</v>
      </c>
      <c r="V129" s="27" t="s">
        <v>7</v>
      </c>
      <c r="W129" s="27" t="s">
        <v>8</v>
      </c>
      <c r="Z129" s="27" t="s">
        <v>7</v>
      </c>
      <c r="AA129" s="27" t="s">
        <v>8</v>
      </c>
      <c r="AB129" s="27" t="s">
        <v>7</v>
      </c>
      <c r="AC129" s="27" t="s">
        <v>8</v>
      </c>
      <c r="AM129" s="27" t="s">
        <v>8</v>
      </c>
      <c r="AN129" s="27" t="s">
        <v>7</v>
      </c>
      <c r="AO129" s="27" t="s">
        <v>8</v>
      </c>
      <c r="AP129" s="27" t="s">
        <v>7</v>
      </c>
      <c r="AQ129" s="27" t="s">
        <v>8</v>
      </c>
      <c r="AS129" s="27" t="s">
        <v>8</v>
      </c>
      <c r="AT129" s="27" t="s">
        <v>7</v>
      </c>
      <c r="AU129" s="27" t="s">
        <v>8</v>
      </c>
    </row>
    <row r="130" spans="1:50" x14ac:dyDescent="0.25">
      <c r="A130" s="30">
        <v>0.42409761837248428</v>
      </c>
      <c r="C130" s="6"/>
      <c r="D130" s="6"/>
      <c r="E130"/>
      <c r="F130" s="27" t="s">
        <v>7</v>
      </c>
      <c r="U130" s="27" t="s">
        <v>8</v>
      </c>
      <c r="V130" s="27" t="s">
        <v>7</v>
      </c>
      <c r="W130" s="27" t="s">
        <v>8</v>
      </c>
      <c r="Z130" s="27" t="s">
        <v>7</v>
      </c>
      <c r="AA130" s="27" t="s">
        <v>8</v>
      </c>
      <c r="AB130" s="27" t="s">
        <v>7</v>
      </c>
      <c r="AC130" s="27" t="s">
        <v>8</v>
      </c>
      <c r="AD130" s="27" t="s">
        <v>7</v>
      </c>
      <c r="AE130" s="27" t="s">
        <v>8</v>
      </c>
      <c r="AM130" s="27" t="s">
        <v>8</v>
      </c>
      <c r="AN130" s="27" t="s">
        <v>7</v>
      </c>
      <c r="AO130" s="27" t="s">
        <v>8</v>
      </c>
      <c r="AP130" s="27" t="s">
        <v>7</v>
      </c>
      <c r="AQ130" s="27" t="s">
        <v>8</v>
      </c>
      <c r="AR130" s="27" t="s">
        <v>7</v>
      </c>
      <c r="AS130" s="27" t="s">
        <v>8</v>
      </c>
      <c r="AT130" s="27" t="s">
        <v>7</v>
      </c>
      <c r="AU130" s="27" t="s">
        <v>8</v>
      </c>
      <c r="AV130" s="27" t="s">
        <v>7</v>
      </c>
      <c r="AW130" s="27" t="s">
        <v>8</v>
      </c>
    </row>
    <row r="131" spans="1:50" x14ac:dyDescent="0.25">
      <c r="A131" s="30">
        <v>0.38554328942953109</v>
      </c>
      <c r="E131"/>
      <c r="F131" s="27" t="s">
        <v>7</v>
      </c>
      <c r="U131" s="27" t="s">
        <v>8</v>
      </c>
      <c r="V131" s="27" t="s">
        <v>7</v>
      </c>
      <c r="W131" s="27" t="s">
        <v>8</v>
      </c>
      <c r="Z131" s="27" t="s">
        <v>7</v>
      </c>
      <c r="AA131" s="27" t="s">
        <v>8</v>
      </c>
      <c r="AB131" s="27" t="s">
        <v>7</v>
      </c>
      <c r="AC131" s="27" t="s">
        <v>8</v>
      </c>
      <c r="AD131" s="27" t="s">
        <v>7</v>
      </c>
      <c r="AE131" s="27" t="s">
        <v>8</v>
      </c>
      <c r="AF131" s="27" t="s">
        <v>7</v>
      </c>
      <c r="AG131" s="27" t="s">
        <v>8</v>
      </c>
      <c r="AI131" s="27" t="s">
        <v>8</v>
      </c>
      <c r="AM131" s="27" t="s">
        <v>8</v>
      </c>
      <c r="AN131" s="27" t="s">
        <v>7</v>
      </c>
      <c r="AO131" s="27" t="s">
        <v>8</v>
      </c>
      <c r="AP131" s="27" t="s">
        <v>7</v>
      </c>
      <c r="AQ131" s="27" t="s">
        <v>8</v>
      </c>
      <c r="AR131" s="27" t="s">
        <v>7</v>
      </c>
      <c r="AS131" s="27" t="s">
        <v>8</v>
      </c>
      <c r="AT131" s="27" t="s">
        <v>7</v>
      </c>
      <c r="AU131" s="27" t="s">
        <v>8</v>
      </c>
      <c r="AV131" s="27" t="s">
        <v>7</v>
      </c>
      <c r="AW131" s="27" t="s">
        <v>8</v>
      </c>
      <c r="AX131" s="27" t="s">
        <v>7</v>
      </c>
    </row>
    <row r="132" spans="1:50" x14ac:dyDescent="0.25">
      <c r="A132" s="30">
        <v>0.35049389948139187</v>
      </c>
      <c r="C132" s="1" t="s">
        <v>13</v>
      </c>
      <c r="E132"/>
      <c r="F132" s="27" t="s">
        <v>7</v>
      </c>
      <c r="U132" s="27" t="s">
        <v>8</v>
      </c>
      <c r="V132" s="27" t="s">
        <v>7</v>
      </c>
      <c r="W132" s="27" t="s">
        <v>8</v>
      </c>
      <c r="Z132" s="27" t="s">
        <v>7</v>
      </c>
      <c r="AB132" s="27" t="s">
        <v>7</v>
      </c>
      <c r="AC132" s="27" t="s">
        <v>8</v>
      </c>
      <c r="AD132" s="27" t="s">
        <v>7</v>
      </c>
      <c r="AE132" s="27" t="s">
        <v>8</v>
      </c>
      <c r="AF132" s="27" t="s">
        <v>7</v>
      </c>
      <c r="AG132" s="27" t="s">
        <v>8</v>
      </c>
      <c r="AH132" s="27" t="s">
        <v>7</v>
      </c>
      <c r="AI132" s="27" t="s">
        <v>8</v>
      </c>
      <c r="AJ132" s="27" t="s">
        <v>7</v>
      </c>
      <c r="AM132" s="27" t="s">
        <v>8</v>
      </c>
      <c r="AN132" s="27" t="s">
        <v>7</v>
      </c>
      <c r="AP132" s="27" t="s">
        <v>7</v>
      </c>
      <c r="AQ132" s="27" t="s">
        <v>8</v>
      </c>
      <c r="AR132" s="27" t="s">
        <v>7</v>
      </c>
      <c r="AT132" s="27" t="s">
        <v>7</v>
      </c>
      <c r="AU132" s="27" t="s">
        <v>8</v>
      </c>
      <c r="AV132" s="27" t="s">
        <v>7</v>
      </c>
      <c r="AW132" s="27" t="s">
        <v>8</v>
      </c>
      <c r="AX132" s="27" t="s">
        <v>7</v>
      </c>
    </row>
    <row r="133" spans="1:50" x14ac:dyDescent="0.25">
      <c r="A133" s="30">
        <v>0.31863081771035617</v>
      </c>
      <c r="C133" s="1" t="str">
        <f>C122</f>
        <v>O</v>
      </c>
      <c r="E133"/>
      <c r="F133" s="27" t="s">
        <v>7</v>
      </c>
      <c r="U133" s="27" t="s">
        <v>8</v>
      </c>
      <c r="V133" s="27" t="s">
        <v>7</v>
      </c>
      <c r="W133" s="27" t="s">
        <v>8</v>
      </c>
      <c r="AB133" s="27" t="s">
        <v>7</v>
      </c>
      <c r="AC133" s="27" t="s">
        <v>8</v>
      </c>
      <c r="AD133" s="27" t="s">
        <v>7</v>
      </c>
      <c r="AE133" s="27" t="s">
        <v>8</v>
      </c>
      <c r="AF133" s="27" t="s">
        <v>7</v>
      </c>
      <c r="AG133" s="27" t="s">
        <v>8</v>
      </c>
      <c r="AH133" s="27" t="s">
        <v>7</v>
      </c>
      <c r="AI133" s="27" t="s">
        <v>8</v>
      </c>
      <c r="AJ133" s="27" t="s">
        <v>7</v>
      </c>
      <c r="AM133" s="27" t="s">
        <v>8</v>
      </c>
      <c r="AP133" s="27" t="s">
        <v>7</v>
      </c>
      <c r="AT133" s="27" t="s">
        <v>7</v>
      </c>
      <c r="AU133" s="27" t="s">
        <v>8</v>
      </c>
      <c r="AV133" s="27" t="s">
        <v>7</v>
      </c>
      <c r="AX133" s="27" t="s">
        <v>7</v>
      </c>
    </row>
    <row r="134" spans="1:50" x14ac:dyDescent="0.25">
      <c r="A134" s="30">
        <v>0.28966437973668741</v>
      </c>
      <c r="C134"/>
      <c r="D134"/>
      <c r="E134"/>
      <c r="F134" s="27" t="s">
        <v>7</v>
      </c>
      <c r="U134" s="27" t="s">
        <v>8</v>
      </c>
      <c r="V134" s="27" t="s">
        <v>7</v>
      </c>
      <c r="AB134" s="27" t="s">
        <v>7</v>
      </c>
      <c r="AC134" s="27" t="s">
        <v>8</v>
      </c>
      <c r="AD134" s="27" t="s">
        <v>7</v>
      </c>
      <c r="AE134" s="27" t="s">
        <v>8</v>
      </c>
      <c r="AF134" s="27" t="s">
        <v>7</v>
      </c>
      <c r="AH134" s="27" t="s">
        <v>7</v>
      </c>
      <c r="AI134" s="27" t="s">
        <v>8</v>
      </c>
      <c r="AJ134" s="27" t="s">
        <v>7</v>
      </c>
      <c r="AM134" s="27" t="s">
        <v>8</v>
      </c>
      <c r="AT134" s="27" t="s">
        <v>7</v>
      </c>
      <c r="AU134" s="27" t="s">
        <v>8</v>
      </c>
      <c r="AX134" s="27" t="s">
        <v>7</v>
      </c>
    </row>
    <row r="135" spans="1:50" x14ac:dyDescent="0.25">
      <c r="A135" s="30">
        <v>0.2633312543060794</v>
      </c>
      <c r="C135" s="1" t="s">
        <v>14</v>
      </c>
      <c r="E135"/>
      <c r="F135" s="27" t="s">
        <v>7</v>
      </c>
      <c r="Q135" s="27" t="s">
        <v>8</v>
      </c>
      <c r="U135" s="27" t="s">
        <v>8</v>
      </c>
      <c r="AB135" s="27" t="s">
        <v>7</v>
      </c>
      <c r="AD135" s="27" t="s">
        <v>7</v>
      </c>
      <c r="AE135" s="27" t="s">
        <v>8</v>
      </c>
      <c r="AH135" s="27" t="s">
        <v>7</v>
      </c>
      <c r="AJ135" s="27" t="s">
        <v>7</v>
      </c>
      <c r="AM135" s="27" t="s">
        <v>8</v>
      </c>
      <c r="AT135" s="27" t="s">
        <v>7</v>
      </c>
      <c r="AX135" s="27" t="s">
        <v>7</v>
      </c>
    </row>
    <row r="136" spans="1:50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Q136" s="27" t="s">
        <v>8</v>
      </c>
      <c r="R136" s="27" t="s">
        <v>7</v>
      </c>
      <c r="S136" s="27" t="s">
        <v>8</v>
      </c>
      <c r="U136" s="27" t="s">
        <v>8</v>
      </c>
      <c r="AD136" s="27" t="s">
        <v>7</v>
      </c>
      <c r="AE136" s="27" t="s">
        <v>8</v>
      </c>
      <c r="AJ136" s="27" t="s">
        <v>7</v>
      </c>
      <c r="AK136" s="27" t="s">
        <v>8</v>
      </c>
      <c r="AM136" s="27" t="s">
        <v>8</v>
      </c>
      <c r="AX136" s="27" t="s">
        <v>7</v>
      </c>
    </row>
    <row r="137" spans="1:50" x14ac:dyDescent="0.25">
      <c r="A137" s="30">
        <v>0.2176291357901482</v>
      </c>
      <c r="E137"/>
      <c r="F137" s="27" t="s">
        <v>7</v>
      </c>
      <c r="Q137" s="27" t="s">
        <v>8</v>
      </c>
      <c r="R137" s="27" t="s">
        <v>7</v>
      </c>
      <c r="S137" s="27" t="s">
        <v>8</v>
      </c>
      <c r="T137" s="27" t="s">
        <v>7</v>
      </c>
      <c r="U137" s="27" t="s">
        <v>8</v>
      </c>
      <c r="AD137" s="27" t="s">
        <v>7</v>
      </c>
      <c r="AE137" s="27" t="s">
        <v>8</v>
      </c>
      <c r="AJ137" s="27" t="s">
        <v>7</v>
      </c>
      <c r="AK137" s="27" t="s">
        <v>8</v>
      </c>
      <c r="AL137" s="27" t="s">
        <v>7</v>
      </c>
      <c r="AM137" s="27" t="s">
        <v>8</v>
      </c>
      <c r="AX137" s="27" t="s">
        <v>7</v>
      </c>
    </row>
    <row r="138" spans="1:50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Q138" s="27" t="s">
        <v>8</v>
      </c>
      <c r="R138" s="27" t="s">
        <v>7</v>
      </c>
      <c r="S138" s="27" t="s">
        <v>8</v>
      </c>
      <c r="T138" s="27" t="s">
        <v>7</v>
      </c>
      <c r="U138" s="27" t="s">
        <v>8</v>
      </c>
      <c r="AD138" s="27" t="s">
        <v>7</v>
      </c>
      <c r="AE138" s="27" t="s">
        <v>8</v>
      </c>
      <c r="AJ138" s="27" t="s">
        <v>7</v>
      </c>
      <c r="AK138" s="27" t="s">
        <v>8</v>
      </c>
      <c r="AL138" s="27" t="s">
        <v>7</v>
      </c>
      <c r="AM138" s="27" t="s">
        <v>8</v>
      </c>
      <c r="AX138" s="27" t="s">
        <v>7</v>
      </c>
    </row>
    <row r="139" spans="1:50" x14ac:dyDescent="0.25">
      <c r="A139" s="30">
        <v>0.17985878990921333</v>
      </c>
      <c r="E139"/>
      <c r="F139" s="27" t="s">
        <v>7</v>
      </c>
      <c r="Q139" s="27" t="s">
        <v>8</v>
      </c>
      <c r="R139" s="27" t="s">
        <v>7</v>
      </c>
      <c r="S139" s="27" t="s">
        <v>8</v>
      </c>
      <c r="T139" s="27" t="s">
        <v>7</v>
      </c>
      <c r="AD139" s="27" t="s">
        <v>7</v>
      </c>
      <c r="AJ139" s="27" t="s">
        <v>7</v>
      </c>
      <c r="AL139" s="18" t="s">
        <v>7</v>
      </c>
      <c r="AM139" s="27" t="s">
        <v>8</v>
      </c>
    </row>
    <row r="140" spans="1:50" x14ac:dyDescent="0.25">
      <c r="A140" s="30">
        <v>0.16350799082655756</v>
      </c>
      <c r="C140" s="1">
        <v>0</v>
      </c>
      <c r="E140"/>
      <c r="F140" s="27" t="s">
        <v>7</v>
      </c>
      <c r="I140" s="27" t="s">
        <v>8</v>
      </c>
      <c r="Q140" s="27" t="s">
        <v>8</v>
      </c>
      <c r="R140" s="27" t="s">
        <v>7</v>
      </c>
      <c r="S140" s="27" t="s">
        <v>8</v>
      </c>
      <c r="AL140" s="27" t="s">
        <v>7</v>
      </c>
    </row>
    <row r="141" spans="1:50" x14ac:dyDescent="0.25">
      <c r="A141" s="30">
        <v>0.14864362802414322</v>
      </c>
      <c r="C141" s="1">
        <v>1</v>
      </c>
      <c r="E141"/>
      <c r="F141" s="27" t="s">
        <v>7</v>
      </c>
      <c r="G141" s="27" t="s">
        <v>8</v>
      </c>
      <c r="I141" s="27" t="s">
        <v>8</v>
      </c>
      <c r="J141" s="27" t="s">
        <v>7</v>
      </c>
      <c r="M141" s="27" t="s">
        <v>8</v>
      </c>
      <c r="O141" s="27" t="s">
        <v>8</v>
      </c>
      <c r="Q141" s="27" t="s">
        <v>8</v>
      </c>
      <c r="R141" s="27" t="s">
        <v>7</v>
      </c>
    </row>
    <row r="142" spans="1:50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  <c r="H142" s="27" t="s">
        <v>7</v>
      </c>
      <c r="I142" s="27" t="s">
        <v>8</v>
      </c>
      <c r="J142" s="27" t="s">
        <v>7</v>
      </c>
      <c r="K142" s="27" t="s">
        <v>8</v>
      </c>
      <c r="M142" s="27" t="s">
        <v>8</v>
      </c>
      <c r="N142" s="27" t="s">
        <v>7</v>
      </c>
      <c r="O142" s="27" t="s">
        <v>8</v>
      </c>
      <c r="P142" s="27" t="s">
        <v>7</v>
      </c>
      <c r="Q142" s="27" t="s">
        <v>8</v>
      </c>
    </row>
    <row r="143" spans="1:50" x14ac:dyDescent="0.25">
      <c r="A143" s="30">
        <v>0.12284597357367205</v>
      </c>
      <c r="C143" s="1">
        <v>3</v>
      </c>
      <c r="E143"/>
      <c r="F143" s="27" t="s">
        <v>7</v>
      </c>
      <c r="G143" s="27" t="s">
        <v>8</v>
      </c>
      <c r="H143" s="27" t="s">
        <v>7</v>
      </c>
      <c r="I143" s="27" t="s">
        <v>8</v>
      </c>
      <c r="J143" s="27" t="s">
        <v>7</v>
      </c>
      <c r="K143" s="27" t="s">
        <v>8</v>
      </c>
      <c r="L143" s="27" t="s">
        <v>7</v>
      </c>
      <c r="M143" s="27" t="s">
        <v>8</v>
      </c>
      <c r="N143" s="27" t="s">
        <v>7</v>
      </c>
      <c r="O143" s="27" t="s">
        <v>8</v>
      </c>
      <c r="P143" s="27" t="s">
        <v>7</v>
      </c>
      <c r="Q143" s="27" t="s">
        <v>8</v>
      </c>
    </row>
    <row r="144" spans="1:50" x14ac:dyDescent="0.25">
      <c r="A144" s="30">
        <v>0.11167815779424731</v>
      </c>
      <c r="C144" s="1">
        <v>4</v>
      </c>
      <c r="E144"/>
      <c r="F144" s="27" t="s">
        <v>7</v>
      </c>
      <c r="H144" s="27" t="s">
        <v>7</v>
      </c>
      <c r="I144" s="27" t="s">
        <v>8</v>
      </c>
      <c r="J144" s="27" t="s">
        <v>7</v>
      </c>
      <c r="K144" s="27" t="s">
        <v>8</v>
      </c>
      <c r="L144" s="27" t="s">
        <v>7</v>
      </c>
      <c r="M144" s="27" t="s">
        <v>8</v>
      </c>
      <c r="N144" s="27" t="s">
        <v>7</v>
      </c>
      <c r="P144" s="27" t="s">
        <v>7</v>
      </c>
      <c r="Q144" s="27" t="s">
        <v>8</v>
      </c>
    </row>
    <row r="145" spans="1:16" x14ac:dyDescent="0.25">
      <c r="A145" s="30">
        <v>0.10152559799477026</v>
      </c>
      <c r="B145"/>
      <c r="C145"/>
      <c r="D145"/>
      <c r="E145"/>
      <c r="H145" s="27" t="s">
        <v>7</v>
      </c>
      <c r="I145" s="27" t="s">
        <v>8</v>
      </c>
      <c r="J145" s="27" t="s">
        <v>7</v>
      </c>
      <c r="L145" s="27" t="s">
        <v>7</v>
      </c>
      <c r="P145" s="27" t="s">
        <v>7</v>
      </c>
    </row>
    <row r="146" spans="1:16" x14ac:dyDescent="0.25">
      <c r="A146" s="30">
        <v>9.2295998177063854E-2</v>
      </c>
      <c r="B146"/>
      <c r="C146"/>
      <c r="D146"/>
      <c r="E146"/>
      <c r="H146" s="27" t="s">
        <v>7</v>
      </c>
      <c r="I146" s="27" t="s">
        <v>8</v>
      </c>
    </row>
    <row r="147" spans="1:16" x14ac:dyDescent="0.25">
      <c r="A147" s="30">
        <v>8.3905452888239848E-2</v>
      </c>
      <c r="B147"/>
      <c r="C147"/>
      <c r="D147"/>
      <c r="E147"/>
      <c r="H147" s="27" t="s">
        <v>7</v>
      </c>
    </row>
    <row r="148" spans="1:16" x14ac:dyDescent="0.25">
      <c r="A148" s="30">
        <v>7.6277684443854396E-2</v>
      </c>
      <c r="B148"/>
      <c r="C148"/>
      <c r="D148"/>
      <c r="E148"/>
    </row>
    <row r="149" spans="1:16" x14ac:dyDescent="0.25">
      <c r="A149" s="30">
        <v>6.9343349494413078E-2</v>
      </c>
      <c r="B149"/>
      <c r="C149"/>
      <c r="D149"/>
      <c r="E149"/>
    </row>
    <row r="150" spans="1:16" x14ac:dyDescent="0.25">
      <c r="A150" s="30">
        <v>6.3039408631284613E-2</v>
      </c>
      <c r="B150"/>
      <c r="C150"/>
      <c r="D150"/>
      <c r="E150"/>
    </row>
    <row r="151" spans="1:16" x14ac:dyDescent="0.25">
      <c r="A151" s="30">
        <v>5.7308553301167818E-2</v>
      </c>
      <c r="B151"/>
      <c r="C151"/>
      <c r="D151"/>
      <c r="E151"/>
    </row>
    <row r="152" spans="1:16" x14ac:dyDescent="0.25">
      <c r="A152" s="30">
        <v>5.2098684819243464E-2</v>
      </c>
      <c r="B152"/>
      <c r="C152"/>
      <c r="D152"/>
      <c r="E152"/>
    </row>
    <row r="153" spans="1:16" x14ac:dyDescent="0.25">
      <c r="A153" s="30">
        <v>4.7362440744766775E-2</v>
      </c>
      <c r="B153"/>
      <c r="C153"/>
      <c r="D153"/>
      <c r="E153"/>
    </row>
    <row r="154" spans="1:16" x14ac:dyDescent="0.25">
      <c r="A154" s="30">
        <v>4.3056764313424332E-2</v>
      </c>
      <c r="B154"/>
      <c r="C154"/>
      <c r="D154"/>
      <c r="E154"/>
    </row>
    <row r="155" spans="1:16" x14ac:dyDescent="0.25">
      <c r="A155" s="30">
        <v>3.9142513012203929E-2</v>
      </c>
      <c r="B155"/>
      <c r="C155"/>
      <c r="D155"/>
      <c r="E155"/>
    </row>
    <row r="156" spans="1:16" x14ac:dyDescent="0.25">
      <c r="A156" s="30">
        <v>3.55841027383672E-2</v>
      </c>
      <c r="B156"/>
      <c r="C156"/>
      <c r="D156"/>
      <c r="E156"/>
    </row>
    <row r="157" spans="1:16" x14ac:dyDescent="0.25">
      <c r="A157" s="30">
        <v>3.2349184307606541E-2</v>
      </c>
      <c r="B157"/>
      <c r="C157"/>
      <c r="D157"/>
      <c r="E157"/>
    </row>
    <row r="158" spans="1:16" x14ac:dyDescent="0.25">
      <c r="A158" s="30">
        <v>2.9408349370551395E-2</v>
      </c>
      <c r="B158"/>
      <c r="C158"/>
      <c r="D158"/>
      <c r="E158"/>
    </row>
    <row r="159" spans="1:16" x14ac:dyDescent="0.25">
      <c r="A159" s="30">
        <v>2.6734863064137627E-2</v>
      </c>
      <c r="B159"/>
      <c r="C159"/>
      <c r="D159"/>
      <c r="E159"/>
    </row>
    <row r="160" spans="1:16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87" operator="equal">
      <formula>$U$1</formula>
    </cfRule>
    <cfRule type="cellIs" dxfId="30" priority="888" operator="equal">
      <formula>$S$1</formula>
    </cfRule>
  </conditionalFormatting>
  <conditionalFormatting sqref="D136">
    <cfRule type="cellIs" dxfId="29" priority="885" operator="equal">
      <formula>$S$1</formula>
    </cfRule>
    <cfRule type="cellIs" dxfId="28" priority="886" operator="equal">
      <formula>$U$1</formula>
    </cfRule>
  </conditionalFormatting>
  <conditionalFormatting sqref="C102">
    <cfRule type="cellIs" dxfId="27" priority="883" operator="equal">
      <formula>$U$1</formula>
    </cfRule>
    <cfRule type="cellIs" dxfId="26" priority="884" operator="equal">
      <formula>$S$1</formula>
    </cfRule>
  </conditionalFormatting>
  <conditionalFormatting sqref="D102">
    <cfRule type="cellIs" dxfId="25" priority="881" operator="equal">
      <formula>$S$1</formula>
    </cfRule>
    <cfRule type="cellIs" dxfId="24" priority="882" operator="equal">
      <formula>$U$1</formula>
    </cfRule>
  </conditionalFormatting>
  <conditionalFormatting sqref="C77">
    <cfRule type="cellIs" dxfId="23" priority="879" operator="equal">
      <formula>$U$1</formula>
    </cfRule>
    <cfRule type="cellIs" dxfId="22" priority="880" operator="equal">
      <formula>$S$1</formula>
    </cfRule>
  </conditionalFormatting>
  <conditionalFormatting sqref="D77">
    <cfRule type="cellIs" dxfId="21" priority="877" operator="equal">
      <formula>$S$1</formula>
    </cfRule>
    <cfRule type="cellIs" dxfId="20" priority="878" operator="equal">
      <formula>$U$1</formula>
    </cfRule>
  </conditionalFormatting>
  <conditionalFormatting sqref="C52">
    <cfRule type="cellIs" dxfId="19" priority="875" operator="equal">
      <formula>$U$1</formula>
    </cfRule>
    <cfRule type="cellIs" dxfId="18" priority="876" operator="equal">
      <formula>$S$1</formula>
    </cfRule>
  </conditionalFormatting>
  <conditionalFormatting sqref="D52">
    <cfRule type="cellIs" dxfId="17" priority="873" operator="equal">
      <formula>$S$1</formula>
    </cfRule>
    <cfRule type="cellIs" dxfId="16" priority="874" operator="equal">
      <formula>$U$1</formula>
    </cfRule>
  </conditionalFormatting>
  <conditionalFormatting sqref="C26">
    <cfRule type="cellIs" dxfId="15" priority="871" operator="equal">
      <formula>$U$1</formula>
    </cfRule>
    <cfRule type="cellIs" dxfId="14" priority="872" operator="equal">
      <formula>$S$1</formula>
    </cfRule>
  </conditionalFormatting>
  <conditionalFormatting sqref="D26">
    <cfRule type="cellIs" dxfId="13" priority="869" operator="equal">
      <formula>$S$1</formula>
    </cfRule>
    <cfRule type="cellIs" dxfId="12" priority="870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2022-01-28T01:22:43Z</dcterms:modified>
</cp:coreProperties>
</file>