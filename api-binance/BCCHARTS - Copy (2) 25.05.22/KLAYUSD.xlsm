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E4BE76B-A748-4276-8D0F-FCBED6CD76D8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S766" i="1" s="1"/>
  <c r="T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D136" i="5" s="1"/>
  <c r="C122" i="3"/>
  <c r="C133" i="3" s="1"/>
  <c r="C136" i="3" s="1"/>
  <c r="C118" i="4"/>
  <c r="C116" i="4"/>
  <c r="C136" i="4"/>
  <c r="D136" i="4"/>
  <c r="C118" i="3"/>
  <c r="C116" i="3"/>
  <c r="R765" i="1"/>
  <c r="C136" i="5" l="1"/>
  <c r="C138" i="5" s="1"/>
  <c r="D136" i="3"/>
  <c r="C138" i="3" s="1"/>
  <c r="C138" i="4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S263" i="1" l="1"/>
  <c r="T263" i="1" s="1"/>
  <c r="R262" i="1"/>
  <c r="R261" i="1" l="1"/>
  <c r="S262" i="1"/>
  <c r="T262" i="1" s="1"/>
  <c r="R260" i="1" l="1"/>
  <c r="S261" i="1"/>
  <c r="T261" i="1" s="1"/>
  <c r="R259" i="1" l="1"/>
  <c r="S260" i="1"/>
  <c r="T260" i="1" s="1"/>
  <c r="S259" i="1" l="1"/>
  <c r="T259" i="1" s="1"/>
  <c r="R258" i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S239" i="1" l="1"/>
  <c r="T239" i="1" s="1"/>
  <c r="R238" i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S227" i="1" l="1"/>
  <c r="T227" i="1" s="1"/>
  <c r="R226" i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S203" i="1" l="1"/>
  <c r="T203" i="1" s="1"/>
  <c r="R202" i="1"/>
  <c r="R201" i="1" l="1"/>
  <c r="S202" i="1"/>
  <c r="T202" i="1" s="1"/>
  <c r="R200" i="1" l="1"/>
  <c r="S201" i="1"/>
  <c r="T201" i="1" s="1"/>
  <c r="R199" i="1" l="1"/>
  <c r="S200" i="1"/>
  <c r="T200" i="1" s="1"/>
  <c r="S199" i="1" l="1"/>
  <c r="T199" i="1" s="1"/>
  <c r="R198" i="1"/>
  <c r="R197" i="1" l="1"/>
  <c r="S198" i="1"/>
  <c r="T198" i="1" s="1"/>
  <c r="R196" i="1" l="1"/>
  <c r="S197" i="1"/>
  <c r="T197" i="1" s="1"/>
  <c r="S196" i="1" l="1"/>
  <c r="T196" i="1" s="1"/>
  <c r="R195" i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S183" i="1" l="1"/>
  <c r="T183" i="1" s="1"/>
  <c r="R182" i="1"/>
  <c r="R181" i="1" l="1"/>
  <c r="S182" i="1"/>
  <c r="T182" i="1" s="1"/>
  <c r="R180" i="1" l="1"/>
  <c r="S181" i="1"/>
  <c r="T181" i="1" s="1"/>
  <c r="R179" i="1" l="1"/>
  <c r="S180" i="1"/>
  <c r="T180" i="1" s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S172" i="1" l="1"/>
  <c r="T172" i="1" s="1"/>
  <c r="R171" i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S167" i="1" l="1"/>
  <c r="T167" i="1" s="1"/>
  <c r="R166" i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S131" i="1" l="1"/>
  <c r="T131" i="1" s="1"/>
  <c r="R130" i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S103" i="1" l="1"/>
  <c r="T103" i="1" s="1"/>
  <c r="R102" i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S83" i="1" l="1"/>
  <c r="T83" i="1" s="1"/>
  <c r="R82" i="1"/>
  <c r="S82" i="1" l="1"/>
  <c r="T82" i="1" s="1"/>
  <c r="R81" i="1"/>
  <c r="S81" i="1" l="1"/>
  <c r="T81" i="1" s="1"/>
  <c r="R80" i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S59" i="1" l="1"/>
  <c r="T59" i="1" s="1"/>
  <c r="R58" i="1"/>
  <c r="S58" i="1" l="1"/>
  <c r="T58" i="1" s="1"/>
  <c r="R57" i="1"/>
  <c r="S57" i="1" l="1"/>
  <c r="T57" i="1" s="1"/>
  <c r="R56" i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R34" i="1" l="1"/>
  <c r="S35" i="1"/>
  <c r="T35" i="1" s="1"/>
  <c r="R33" i="1" l="1"/>
  <c r="S34" i="1"/>
  <c r="T34" i="1" s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S25" i="1" l="1"/>
  <c r="T25" i="1" s="1"/>
  <c r="R24" i="1"/>
  <c r="S24" i="1" l="1"/>
  <c r="T24" i="1" s="1"/>
  <c r="R23" i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<sst xmlns="http://schemas.openxmlformats.org/spreadsheetml/2006/main" count="1797" uniqueCount="34">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</sst>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1.1970000000000001</c:v>
                </c:pt>
                <c:pt idx="1">
                  <c:v>1.22</c:v>
                </c:pt>
                <c:pt idx="2">
                  <c:v>1.232</c:v>
                </c:pt>
                <c:pt idx="3">
                  <c:v>1.226</c:v>
                </c:pt>
                <c:pt idx="4">
                  <c:v>1.234</c:v>
                </c:pt>
                <c:pt idx="5">
                  <c:v>1.165</c:v>
                </c:pt>
                <c:pt idx="6">
                  <c:v>1.2629999999999999</c:v>
                </c:pt>
                <c:pt idx="7">
                  <c:v>1.413</c:v>
                </c:pt>
                <c:pt idx="8">
                  <c:v>1.399</c:v>
                </c:pt>
                <c:pt idx="9">
                  <c:v>1.373</c:v>
                </c:pt>
                <c:pt idx="10">
                  <c:v>1.3939999999999999</c:v>
                </c:pt>
                <c:pt idx="11">
                  <c:v>1.4159999999999999</c:v>
                </c:pt>
                <c:pt idx="12">
                  <c:v>1.3959999999999999</c:v>
                </c:pt>
                <c:pt idx="13">
                  <c:v>1.385</c:v>
                </c:pt>
                <c:pt idx="14">
                  <c:v>1.409</c:v>
                </c:pt>
                <c:pt idx="15">
                  <c:v>1.419</c:v>
                </c:pt>
                <c:pt idx="16">
                  <c:v>1.35</c:v>
                </c:pt>
                <c:pt idx="17">
                  <c:v>1.294</c:v>
                </c:pt>
                <c:pt idx="18">
                  <c:v>1.351</c:v>
                </c:pt>
                <c:pt idx="19">
                  <c:v>1.2969999999999999</c:v>
                </c:pt>
                <c:pt idx="20">
                  <c:v>1.292</c:v>
                </c:pt>
                <c:pt idx="21">
                  <c:v>1.3460000000000001</c:v>
                </c:pt>
                <c:pt idx="22">
                  <c:v>1.3480000000000001</c:v>
                </c:pt>
                <c:pt idx="23">
                  <c:v>1.403</c:v>
                </c:pt>
                <c:pt idx="24">
                  <c:v>1.401</c:v>
                </c:pt>
                <c:pt idx="25">
                  <c:v>1.391</c:v>
                </c:pt>
                <c:pt idx="26">
                  <c:v>1.3520000000000001</c:v>
                </c:pt>
                <c:pt idx="27">
                  <c:v>1.278</c:v>
                </c:pt>
                <c:pt idx="28">
                  <c:v>1.2829999999999999</c:v>
                </c:pt>
                <c:pt idx="29">
                  <c:v>1.25</c:v>
                </c:pt>
                <c:pt idx="30">
                  <c:v>1.2609999999999999</c:v>
                </c:pt>
                <c:pt idx="31">
                  <c:v>1.371</c:v>
                </c:pt>
                <c:pt idx="32">
                  <c:v>1.355</c:v>
                </c:pt>
                <c:pt idx="33">
                  <c:v>1.353</c:v>
                </c:pt>
                <c:pt idx="34">
                  <c:v>1.3029999999999999</c:v>
                </c:pt>
                <c:pt idx="35">
                  <c:v>1.3360000000000001</c:v>
                </c:pt>
                <c:pt idx="36">
                  <c:v>1.296</c:v>
                </c:pt>
                <c:pt idx="37">
                  <c:v>1.29</c:v>
                </c:pt>
                <c:pt idx="38">
                  <c:v>1.2350000000000001</c:v>
                </c:pt>
                <c:pt idx="39">
                  <c:v>1.2450000000000001</c:v>
                </c:pt>
                <c:pt idx="40">
                  <c:v>1.2709999999999999</c:v>
                </c:pt>
                <c:pt idx="41">
                  <c:v>1.2609999999999999</c:v>
                </c:pt>
                <c:pt idx="42">
                  <c:v>1.264</c:v>
                </c:pt>
                <c:pt idx="43">
                  <c:v>1.2789999999999999</c:v>
                </c:pt>
                <c:pt idx="44">
                  <c:v>1.264</c:v>
                </c:pt>
                <c:pt idx="45">
                  <c:v>1.226</c:v>
                </c:pt>
                <c:pt idx="46">
                  <c:v>1.341</c:v>
                </c:pt>
                <c:pt idx="47">
                  <c:v>1.3220000000000001</c:v>
                </c:pt>
                <c:pt idx="48">
                  <c:v>1.304</c:v>
                </c:pt>
                <c:pt idx="49">
                  <c:v>1.3280000000000001</c:v>
                </c:pt>
                <c:pt idx="50">
                  <c:v>1.42</c:v>
                </c:pt>
                <c:pt idx="51">
                  <c:v>1.36</c:v>
                </c:pt>
                <c:pt idx="52">
                  <c:v>1.31</c:v>
                </c:pt>
                <c:pt idx="53">
                  <c:v>1.2589999999999999</c:v>
                </c:pt>
                <c:pt idx="54">
                  <c:v>1.2809999999999999</c:v>
                </c:pt>
                <c:pt idx="55">
                  <c:v>1.466</c:v>
                </c:pt>
                <c:pt idx="56">
                  <c:v>1.4910000000000001</c:v>
                </c:pt>
                <c:pt idx="57">
                  <c:v>1.5229999999999999</c:v>
                </c:pt>
                <c:pt idx="58">
                  <c:v>1.3879999999999999</c:v>
                </c:pt>
                <c:pt idx="59">
                  <c:v>1.4179999999999999</c:v>
                </c:pt>
                <c:pt idx="60">
                  <c:v>1.375</c:v>
                </c:pt>
                <c:pt idx="61">
                  <c:v>1.347</c:v>
                </c:pt>
                <c:pt idx="62">
                  <c:v>1.3520000000000001</c:v>
                </c:pt>
                <c:pt idx="63">
                  <c:v>1.488</c:v>
                </c:pt>
                <c:pt idx="64">
                  <c:v>1.4690000000000001</c:v>
                </c:pt>
                <c:pt idx="65">
                  <c:v>1.472</c:v>
                </c:pt>
                <c:pt idx="66">
                  <c:v>1.4670000000000001</c:v>
                </c:pt>
                <c:pt idx="67">
                  <c:v>1.528</c:v>
                </c:pt>
                <c:pt idx="68">
                  <c:v>1.528</c:v>
                </c:pt>
                <c:pt idx="69">
                  <c:v>1.538</c:v>
                </c:pt>
                <c:pt idx="70">
                  <c:v>1.478</c:v>
                </c:pt>
                <c:pt idx="71">
                  <c:v>1.54</c:v>
                </c:pt>
                <c:pt idx="72">
                  <c:v>1.5429999999999999</c:v>
                </c:pt>
                <c:pt idx="73">
                  <c:v>1.5049999999999999</c:v>
                </c:pt>
                <c:pt idx="74">
                  <c:v>1.4970000000000001</c:v>
                </c:pt>
                <c:pt idx="75">
                  <c:v>1.5309999999999999</c:v>
                </c:pt>
                <c:pt idx="76">
                  <c:v>1.5369999999999999</c:v>
                </c:pt>
                <c:pt idx="77">
                  <c:v>1.5569999999999999</c:v>
                </c:pt>
                <c:pt idx="78">
                  <c:v>1.5069999999999999</c:v>
                </c:pt>
                <c:pt idx="79">
                  <c:v>1.579</c:v>
                </c:pt>
                <c:pt idx="80">
                  <c:v>1.601</c:v>
                </c:pt>
                <c:pt idx="81">
                  <c:v>1.6180000000000001</c:v>
                </c:pt>
                <c:pt idx="82">
                  <c:v>1.617</c:v>
                </c:pt>
                <c:pt idx="83">
                  <c:v>1.591</c:v>
                </c:pt>
                <c:pt idx="84">
                  <c:v>1.655</c:v>
                </c:pt>
                <c:pt idx="85">
                  <c:v>1.6930000000000001</c:v>
                </c:pt>
                <c:pt idx="86">
                  <c:v>1.837</c:v>
                </c:pt>
                <c:pt idx="87">
                  <c:v>1.631</c:v>
                </c:pt>
                <c:pt idx="88">
                  <c:v>1.59</c:v>
                </c:pt>
                <c:pt idx="89">
                  <c:v>1.601</c:v>
                </c:pt>
                <c:pt idx="90">
                  <c:v>1.633</c:v>
                </c:pt>
                <c:pt idx="91">
                  <c:v>1.5660000000000001</c:v>
                </c:pt>
                <c:pt idx="92">
                  <c:v>1.484</c:v>
                </c:pt>
                <c:pt idx="93">
                  <c:v>1.6080000000000001</c:v>
                </c:pt>
                <c:pt idx="94">
                  <c:v>1.613</c:v>
                </c:pt>
                <c:pt idx="95">
                  <c:v>1.573</c:v>
                </c:pt>
                <c:pt idx="96">
                  <c:v>1.617</c:v>
                </c:pt>
                <c:pt idx="97">
                  <c:v>1.6160000000000001</c:v>
                </c:pt>
                <c:pt idx="98">
                  <c:v>1.6020000000000001</c:v>
                </c:pt>
                <c:pt idx="99">
                  <c:v>1.6559999999999999</c:v>
                </c:pt>
                <c:pt idx="100">
                  <c:v>1.617</c:v>
                </c:pt>
                <c:pt idx="101">
                  <c:v>1.609</c:v>
                </c:pt>
                <c:pt idx="102">
                  <c:v>1.6279999999999999</c:v>
                </c:pt>
                <c:pt idx="103">
                  <c:v>1.5880000000000001</c:v>
                </c:pt>
                <c:pt idx="104">
                  <c:v>1.61</c:v>
                </c:pt>
                <c:pt idx="105">
                  <c:v>1.637</c:v>
                </c:pt>
                <c:pt idx="106">
                  <c:v>1.609</c:v>
                </c:pt>
                <c:pt idx="107">
                  <c:v>1.6259999999999999</c:v>
                </c:pt>
                <c:pt idx="108">
                  <c:v>1.5449999999999999</c:v>
                </c:pt>
                <c:pt idx="109">
                  <c:v>1.6759999999999999</c:v>
                </c:pt>
                <c:pt idx="110">
                  <c:v>1.913</c:v>
                </c:pt>
                <c:pt idx="111">
                  <c:v>1.575</c:v>
                </c:pt>
                <c:pt idx="112">
                  <c:v>1.5409999999999999</c:v>
                </c:pt>
                <c:pt idx="113">
                  <c:v>1.478</c:v>
                </c:pt>
                <c:pt idx="114">
                  <c:v>1.4410000000000001</c:v>
                </c:pt>
                <c:pt idx="115">
                  <c:v>1.296</c:v>
                </c:pt>
                <c:pt idx="116">
                  <c:v>1.226</c:v>
                </c:pt>
                <c:pt idx="117">
                  <c:v>1.198</c:v>
                </c:pt>
                <c:pt idx="118">
                  <c:v>1.2430000000000001</c:v>
                </c:pt>
                <c:pt idx="119">
                  <c:v>1.0840000000000001</c:v>
                </c:pt>
                <c:pt idx="120">
                  <c:v>1.04</c:v>
                </c:pt>
                <c:pt idx="121">
                  <c:v>1.028</c:v>
                </c:pt>
                <c:pt idx="122">
                  <c:v>1.052</c:v>
                </c:pt>
                <c:pt idx="123">
                  <c:v>1.0569999999999999</c:v>
                </c:pt>
                <c:pt idx="124">
                  <c:v>1.0669999999999999</c:v>
                </c:pt>
                <c:pt idx="125">
                  <c:v>1.1000000000000001</c:v>
                </c:pt>
                <c:pt idx="126">
                  <c:v>1.157</c:v>
                </c:pt>
                <c:pt idx="127">
                  <c:v>1.155</c:v>
                </c:pt>
                <c:pt idx="128">
                  <c:v>1.028</c:v>
                </c:pt>
                <c:pt idx="129">
                  <c:v>1.105</c:v>
                </c:pt>
                <c:pt idx="130">
                  <c:v>1.2170000000000001</c:v>
                </c:pt>
                <c:pt idx="131">
                  <c:v>1.2789999999999999</c:v>
                </c:pt>
                <c:pt idx="132">
                  <c:v>1.2430000000000001</c:v>
                </c:pt>
                <c:pt idx="133">
                  <c:v>1.32</c:v>
                </c:pt>
                <c:pt idx="134">
                  <c:v>1.3620000000000001</c:v>
                </c:pt>
                <c:pt idx="135">
                  <c:v>1.36</c:v>
                </c:pt>
                <c:pt idx="136">
                  <c:v>1.3220000000000001</c:v>
                </c:pt>
                <c:pt idx="137">
                  <c:v>1.38</c:v>
                </c:pt>
                <c:pt idx="138">
                  <c:v>1.34</c:v>
                </c:pt>
                <c:pt idx="139">
                  <c:v>1.3420000000000001</c:v>
                </c:pt>
                <c:pt idx="140">
                  <c:v>1.383</c:v>
                </c:pt>
                <c:pt idx="141">
                  <c:v>1.3839999999999999</c:v>
                </c:pt>
                <c:pt idx="142">
                  <c:v>1.4330000000000001</c:v>
                </c:pt>
                <c:pt idx="143">
                  <c:v>1.63</c:v>
                </c:pt>
                <c:pt idx="144">
                  <c:v>1.637</c:v>
                </c:pt>
                <c:pt idx="145">
                  <c:v>1.589</c:v>
                </c:pt>
                <c:pt idx="146">
                  <c:v>1.5960000000000001</c:v>
                </c:pt>
                <c:pt idx="147">
                  <c:v>1.601</c:v>
                </c:pt>
                <c:pt idx="148">
                  <c:v>1.6519999999999999</c:v>
                </c:pt>
                <c:pt idx="149">
                  <c:v>1.5660000000000001</c:v>
                </c:pt>
                <c:pt idx="150">
                  <c:v>1.5609999999999999</c:v>
                </c:pt>
                <c:pt idx="151">
                  <c:v>1.629</c:v>
                </c:pt>
                <c:pt idx="152">
                  <c:v>1.6519999999999999</c:v>
                </c:pt>
                <c:pt idx="153">
                  <c:v>1.7430000000000001</c:v>
                </c:pt>
                <c:pt idx="154">
                  <c:v>1.639</c:v>
                </c:pt>
                <c:pt idx="155">
                  <c:v>1.7452000000000001</c:v>
                </c:pt>
                <c:pt idx="156">
                  <c:v>1.681</c:v>
                </c:pt>
                <c:pt idx="157">
                  <c:v>1.8344</c:v>
                </c:pt>
                <c:pt idx="158">
                  <c:v>1.8736999999999999</c:v>
                </c:pt>
                <c:pt idx="159">
                  <c:v>1.85</c:v>
                </c:pt>
                <c:pt idx="160">
                  <c:v>1.9204000000000001</c:v>
                </c:pt>
                <c:pt idx="161">
                  <c:v>1.8712</c:v>
                </c:pt>
                <c:pt idx="162">
                  <c:v>1.7458</c:v>
                </c:pt>
                <c:pt idx="163">
                  <c:v>1.6757</c:v>
                </c:pt>
                <c:pt idx="164">
                  <c:v>1.8115000000000001</c:v>
                </c:pt>
                <c:pt idx="165">
                  <c:v>1.9169</c:v>
                </c:pt>
                <c:pt idx="166">
                  <c:v>1.7784</c:v>
                </c:pt>
                <c:pt idx="167">
                  <c:v>1.6798999999999999</c:v>
                </c:pt>
                <c:pt idx="168">
                  <c:v>1.4782999999999999</c:v>
                </c:pt>
                <c:pt idx="169">
                  <c:v>1.4306000000000001</c:v>
                </c:pt>
                <c:pt idx="170">
                  <c:v>1.2582</c:v>
                </c:pt>
                <c:pt idx="171">
                  <c:v>1.2303999999999999</c:v>
                </c:pt>
                <c:pt idx="172">
                  <c:v>1.1989000000000001</c:v>
                </c:pt>
                <c:pt idx="173">
                  <c:v>1.2468999999999999</c:v>
                </c:pt>
                <c:pt idx="174">
                  <c:v>1.1886000000000001</c:v>
                </c:pt>
                <c:pt idx="175">
                  <c:v>1.0837000000000001</c:v>
                </c:pt>
                <c:pt idx="176">
                  <c:v>1.0772999999999999</c:v>
                </c:pt>
                <c:pt idx="177">
                  <c:v>1.0089999999999999</c:v>
                </c:pt>
                <c:pt idx="178">
                  <c:v>1.0286999999999999</c:v>
                </c:pt>
                <c:pt idx="179">
                  <c:v>1.0228999999999999</c:v>
                </c:pt>
                <c:pt idx="180">
                  <c:v>1.0569</c:v>
                </c:pt>
                <c:pt idx="181">
                  <c:v>1.0469999999999999</c:v>
                </c:pt>
                <c:pt idx="182">
                  <c:v>1.0244</c:v>
                </c:pt>
                <c:pt idx="183">
                  <c:v>1.0085999999999999</c:v>
                </c:pt>
                <c:pt idx="184">
                  <c:v>1.0056</c:v>
                </c:pt>
                <c:pt idx="185">
                  <c:v>1.0003</c:v>
                </c:pt>
                <c:pt idx="186">
                  <c:v>0.99019999999999997</c:v>
                </c:pt>
                <c:pt idx="187">
                  <c:v>0.98880000000000001</c:v>
                </c:pt>
                <c:pt idx="188">
                  <c:v>0.97070000000000001</c:v>
                </c:pt>
                <c:pt idx="189">
                  <c:v>0.94399999999999995</c:v>
                </c:pt>
                <c:pt idx="190">
                  <c:v>0.93799999999999994</c:v>
                </c:pt>
                <c:pt idx="191">
                  <c:v>0.88759999999999994</c:v>
                </c:pt>
                <c:pt idx="192">
                  <c:v>0.91649999999999998</c:v>
                </c:pt>
                <c:pt idx="193">
                  <c:v>0.9042</c:v>
                </c:pt>
                <c:pt idx="194">
                  <c:v>0.88990000000000002</c:v>
                </c:pt>
                <c:pt idx="195">
                  <c:v>0.879</c:v>
                </c:pt>
                <c:pt idx="196">
                  <c:v>0.90010000000000001</c:v>
                </c:pt>
                <c:pt idx="197">
                  <c:v>0.91859999999999997</c:v>
                </c:pt>
                <c:pt idx="198">
                  <c:v>0.91700000000000004</c:v>
                </c:pt>
                <c:pt idx="199">
                  <c:v>0.94530000000000003</c:v>
                </c:pt>
                <c:pt idx="200">
                  <c:v>0.98270000000000002</c:v>
                </c:pt>
                <c:pt idx="201">
                  <c:v>0.95169999999999999</c:v>
                </c:pt>
                <c:pt idx="202">
                  <c:v>0.95809999999999995</c:v>
                </c:pt>
                <c:pt idx="203">
                  <c:v>0.9405</c:v>
                </c:pt>
                <c:pt idx="204">
                  <c:v>1.0044999999999999</c:v>
                </c:pt>
                <c:pt idx="205">
                  <c:v>1.0235000000000001</c:v>
                </c:pt>
                <c:pt idx="206">
                  <c:v>1.0169999999999999</c:v>
                </c:pt>
                <c:pt idx="207">
                  <c:v>1.0177</c:v>
                </c:pt>
                <c:pt idx="208">
                  <c:v>1.0084</c:v>
                </c:pt>
                <c:pt idx="209">
                  <c:v>0.97840000000000005</c:v>
                </c:pt>
                <c:pt idx="210">
                  <c:v>0.97450000000000003</c:v>
                </c:pt>
                <c:pt idx="211">
                  <c:v>1.0241</c:v>
                </c:pt>
                <c:pt idx="212">
                  <c:v>1.0301</c:v>
                </c:pt>
                <c:pt idx="213">
                  <c:v>1.0027999999999999</c:v>
                </c:pt>
                <c:pt idx="214">
                  <c:v>0.99329999999999996</c:v>
                </c:pt>
                <c:pt idx="215">
                  <c:v>0.93410000000000004</c:v>
                </c:pt>
                <c:pt idx="216">
                  <c:v>0.93100000000000005</c:v>
                </c:pt>
                <c:pt idx="217">
                  <c:v>1.0157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01-462A-B9CF-49435700D5B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-1.2316949913185731</c:v>
                </c:pt>
                <c:pt idx="1">
                  <c:v>-1.2241748918975206</c:v>
                </c:pt>
                <c:pt idx="2">
                  <c:v>-1.0550379168170605</c:v>
                </c:pt>
                <c:pt idx="3">
                  <c:v>-1.1137229043170602</c:v>
                </c:pt>
                <c:pt idx="4">
                  <c:v>-1.2262062523933959</c:v>
                </c:pt>
                <c:pt idx="5">
                  <c:v>-1.281720513781631</c:v>
                </c:pt>
                <c:pt idx="6">
                  <c:v>-1.2622392619613547</c:v>
                </c:pt>
                <c:pt idx="7">
                  <c:v>-1.1378612454173131</c:v>
                </c:pt>
                <c:pt idx="8">
                  <c:v>-1.0511275578285282</c:v>
                </c:pt>
                <c:pt idx="9">
                  <c:v>-1.0667596857221449</c:v>
                </c:pt>
                <c:pt idx="10">
                  <c:v>-1.0707662441665893</c:v>
                </c:pt>
                <c:pt idx="11">
                  <c:v>-1.0668101330237321</c:v>
                </c:pt>
                <c:pt idx="12">
                  <c:v>-1.1044612816767934</c:v>
                </c:pt>
                <c:pt idx="13">
                  <c:v>-1.1263063081767932</c:v>
                </c:pt>
                <c:pt idx="14">
                  <c:v>-1.1187250614993738</c:v>
                </c:pt>
                <c:pt idx="15">
                  <c:v>-1.0433903459236165</c:v>
                </c:pt>
                <c:pt idx="16">
                  <c:v>-1.1152886705042617</c:v>
                </c:pt>
                <c:pt idx="17">
                  <c:v>-1.1688320726694796</c:v>
                </c:pt>
                <c:pt idx="18">
                  <c:v>-1.1745076662116485</c:v>
                </c:pt>
                <c:pt idx="19">
                  <c:v>-1.2247920692477932</c:v>
                </c:pt>
                <c:pt idx="20">
                  <c:v>-1.216233425572117</c:v>
                </c:pt>
                <c:pt idx="21">
                  <c:v>-1.1776309381054506</c:v>
                </c:pt>
                <c:pt idx="22">
                  <c:v>-1.2167586586387842</c:v>
                </c:pt>
                <c:pt idx="23">
                  <c:v>-1.1231585606429686</c:v>
                </c:pt>
                <c:pt idx="24">
                  <c:v>-1.1292787490596352</c:v>
                </c:pt>
                <c:pt idx="25">
                  <c:v>-0.98133115898690826</c:v>
                </c:pt>
                <c:pt idx="26">
                  <c:v>-1.0360474562332851</c:v>
                </c:pt>
                <c:pt idx="27">
                  <c:v>-1.0972561320307535</c:v>
                </c:pt>
                <c:pt idx="28">
                  <c:v>-1.0628928519962708</c:v>
                </c:pt>
                <c:pt idx="29">
                  <c:v>-1.0925739651195583</c:v>
                </c:pt>
                <c:pt idx="30">
                  <c:v>-1.032185300696481</c:v>
                </c:pt>
                <c:pt idx="31">
                  <c:v>-0.94696970909998979</c:v>
                </c:pt>
                <c:pt idx="32">
                  <c:v>-0.92625436243332293</c:v>
                </c:pt>
                <c:pt idx="33">
                  <c:v>-0.9576520445202793</c:v>
                </c:pt>
                <c:pt idx="34">
                  <c:v>-0.98765688854844824</c:v>
                </c:pt>
                <c:pt idx="35">
                  <c:v>-0.96449019307018713</c:v>
                </c:pt>
                <c:pt idx="36">
                  <c:v>-1.0200665451951871</c:v>
                </c:pt>
                <c:pt idx="37">
                  <c:v>-1.0055640862322244</c:v>
                </c:pt>
                <c:pt idx="38">
                  <c:v>-1.0190731141231335</c:v>
                </c:pt>
                <c:pt idx="39">
                  <c:v>-1.0397790626231338</c:v>
                </c:pt>
                <c:pt idx="40">
                  <c:v>-1.0184943431133298</c:v>
                </c:pt>
                <c:pt idx="41">
                  <c:v>-1.0203133601659611</c:v>
                </c:pt>
                <c:pt idx="42">
                  <c:v>-1.0197556507521679</c:v>
                </c:pt>
                <c:pt idx="43">
                  <c:v>-1.0010616671434722</c:v>
                </c:pt>
                <c:pt idx="44">
                  <c:v>-1.0417806307385133</c:v>
                </c:pt>
                <c:pt idx="45">
                  <c:v>-1.0809956040585134</c:v>
                </c:pt>
                <c:pt idx="46">
                  <c:v>-1.0662200313984149</c:v>
                </c:pt>
                <c:pt idx="47">
                  <c:v>-1.0398452399893239</c:v>
                </c:pt>
                <c:pt idx="48">
                  <c:v>-1.0412988230957068</c:v>
                </c:pt>
                <c:pt idx="49">
                  <c:v>-1.0064715186638886</c:v>
                </c:pt>
                <c:pt idx="50">
                  <c:v>-0.95574901838865922</c:v>
                </c:pt>
                <c:pt idx="51">
                  <c:v>-1.0176136542860952</c:v>
                </c:pt>
                <c:pt idx="52">
                  <c:v>-1.0317052654433987</c:v>
                </c:pt>
                <c:pt idx="53">
                  <c:v>-1.0692691824054239</c:v>
                </c:pt>
                <c:pt idx="54">
                  <c:v>-1.0577575408985747</c:v>
                </c:pt>
                <c:pt idx="55">
                  <c:v>-1.0855714756678052</c:v>
                </c:pt>
                <c:pt idx="56">
                  <c:v>-1.0359224598648855</c:v>
                </c:pt>
                <c:pt idx="57">
                  <c:v>-0.99200855192910598</c:v>
                </c:pt>
                <c:pt idx="58">
                  <c:v>-1.0064010616230561</c:v>
                </c:pt>
                <c:pt idx="59">
                  <c:v>-0.99082830862305593</c:v>
                </c:pt>
                <c:pt idx="60">
                  <c:v>-1.0070625271685103</c:v>
                </c:pt>
                <c:pt idx="61">
                  <c:v>-1.0613768198041691</c:v>
                </c:pt>
                <c:pt idx="62">
                  <c:v>-1.0316788819421003</c:v>
                </c:pt>
                <c:pt idx="63">
                  <c:v>-0.97709249974697843</c:v>
                </c:pt>
                <c:pt idx="64">
                  <c:v>-1.0067835026560694</c:v>
                </c:pt>
                <c:pt idx="65">
                  <c:v>-1.0198564917865043</c:v>
                </c:pt>
                <c:pt idx="66">
                  <c:v>-1.0430351899293615</c:v>
                </c:pt>
                <c:pt idx="67">
                  <c:v>-1.0060248680328097</c:v>
                </c:pt>
                <c:pt idx="68">
                  <c:v>-0.99567429391852413</c:v>
                </c:pt>
                <c:pt idx="69">
                  <c:v>-1.0146938116244064</c:v>
                </c:pt>
                <c:pt idx="70">
                  <c:v>-1.0590293386463845</c:v>
                </c:pt>
                <c:pt idx="71">
                  <c:v>-0.97972254396896519</c:v>
                </c:pt>
                <c:pt idx="72">
                  <c:v>-1.0236491653760449</c:v>
                </c:pt>
                <c:pt idx="73">
                  <c:v>-1.1197210452695361</c:v>
                </c:pt>
                <c:pt idx="74">
                  <c:v>-1.0916619413380289</c:v>
                </c:pt>
                <c:pt idx="75">
                  <c:v>-1.0730040604959237</c:v>
                </c:pt>
                <c:pt idx="76">
                  <c:v>-1.0557192817959236</c:v>
                </c:pt>
                <c:pt idx="77">
                  <c:v>-1.0658634169307548</c:v>
                </c:pt>
                <c:pt idx="78">
                  <c:v>-1.0909164462640881</c:v>
                </c:pt>
                <c:pt idx="79">
                  <c:v>-1.0739502038506263</c:v>
                </c:pt>
                <c:pt idx="80">
                  <c:v>-1.0363386201583185</c:v>
                </c:pt>
                <c:pt idx="81">
                  <c:v>-1.0338111069514218</c:v>
                </c:pt>
                <c:pt idx="82">
                  <c:v>-1.0045144643198431</c:v>
                </c:pt>
                <c:pt idx="83">
                  <c:v>-1.0444999795040539</c:v>
                </c:pt>
                <c:pt idx="84">
                  <c:v>-1.0211110245373871</c:v>
                </c:pt>
                <c:pt idx="85">
                  <c:v>-0.99087202900167293</c:v>
                </c:pt>
                <c:pt idx="86">
                  <c:v>-0.90683811693555727</c:v>
                </c:pt>
                <c:pt idx="87">
                  <c:v>-1.0577968911443483</c:v>
                </c:pt>
                <c:pt idx="88">
                  <c:v>-1.1026138917969799</c:v>
                </c:pt>
                <c:pt idx="89">
                  <c:v>-1.1152799635443484</c:v>
                </c:pt>
                <c:pt idx="90">
                  <c:v>-1.1103816235443484</c:v>
                </c:pt>
                <c:pt idx="91">
                  <c:v>-1.1484505403943486</c:v>
                </c:pt>
                <c:pt idx="92">
                  <c:v>-1.1940170742276819</c:v>
                </c:pt>
                <c:pt idx="93">
                  <c:v>-1.1833704259004092</c:v>
                </c:pt>
                <c:pt idx="94">
                  <c:v>-1.1486653674083458</c:v>
                </c:pt>
                <c:pt idx="95">
                  <c:v>-1.1664073469605847</c:v>
                </c:pt>
                <c:pt idx="96">
                  <c:v>-1.1629060839718204</c:v>
                </c:pt>
                <c:pt idx="97">
                  <c:v>-1.1643732905273763</c:v>
                </c:pt>
                <c:pt idx="98">
                  <c:v>-1.1735930038130904</c:v>
                </c:pt>
                <c:pt idx="99">
                  <c:v>-1.1023333846722454</c:v>
                </c:pt>
                <c:pt idx="100">
                  <c:v>-1.121980921224484</c:v>
                </c:pt>
                <c:pt idx="101">
                  <c:v>-1.1085013941025328</c:v>
                </c:pt>
                <c:pt idx="102">
                  <c:v>-1.1144362898563789</c:v>
                </c:pt>
                <c:pt idx="103">
                  <c:v>-1.136594488611774</c:v>
                </c:pt>
                <c:pt idx="104">
                  <c:v>-1.1108739792517743</c:v>
                </c:pt>
                <c:pt idx="105">
                  <c:v>-1.1525242082195164</c:v>
                </c:pt>
                <c:pt idx="106">
                  <c:v>-1.1368677057330299</c:v>
                </c:pt>
                <c:pt idx="107">
                  <c:v>-1.1277124386249215</c:v>
                </c:pt>
                <c:pt idx="108">
                  <c:v>-1.2586351126688773</c:v>
                </c:pt>
                <c:pt idx="109">
                  <c:v>-1.103387995368877</c:v>
                </c:pt>
                <c:pt idx="110">
                  <c:v>-0.77909780264160433</c:v>
                </c:pt>
                <c:pt idx="111">
                  <c:v>-0.13518577051430594</c:v>
                </c:pt>
                <c:pt idx="112">
                  <c:v>-0.14099611651430591</c:v>
                </c:pt>
                <c:pt idx="113">
                  <c:v>-0.16838477251430581</c:v>
                </c:pt>
                <c:pt idx="114">
                  <c:v>-0.19882426235301545</c:v>
                </c:pt>
                <c:pt idx="115">
                  <c:v>-0.27656045145624136</c:v>
                </c:pt>
                <c:pt idx="116">
                  <c:v>-0.31660351303518869</c:v>
                </c:pt>
                <c:pt idx="117">
                  <c:v>-0.32402600646802449</c:v>
                </c:pt>
                <c:pt idx="118">
                  <c:v>-0.30590537326802447</c:v>
                </c:pt>
                <c:pt idx="119">
                  <c:v>-0.3588145879021708</c:v>
                </c:pt>
                <c:pt idx="120">
                  <c:v>-0.39818440472975714</c:v>
                </c:pt>
                <c:pt idx="121">
                  <c:v>-0.39157166067315347</c:v>
                </c:pt>
                <c:pt idx="122">
                  <c:v>-0.37779271600648684</c:v>
                </c:pt>
                <c:pt idx="123">
                  <c:v>-0.36270176880309701</c:v>
                </c:pt>
                <c:pt idx="124">
                  <c:v>-0.35282809059414177</c:v>
                </c:pt>
                <c:pt idx="125">
                  <c:v>-0.34552019082402685</c:v>
                </c:pt>
                <c:pt idx="126">
                  <c:v>-0.34981904093513799</c:v>
                </c:pt>
                <c:pt idx="127">
                  <c:v>-0.36348663708608142</c:v>
                </c:pt>
                <c:pt idx="128">
                  <c:v>-0.38049380891740675</c:v>
                </c:pt>
                <c:pt idx="129">
                  <c:v>-0.37065662182891118</c:v>
                </c:pt>
                <c:pt idx="130">
                  <c:v>-0.35877201979187412</c:v>
                </c:pt>
                <c:pt idx="131">
                  <c:v>-0.3438043764115925</c:v>
                </c:pt>
                <c:pt idx="132">
                  <c:v>-0.3498706220637664</c:v>
                </c:pt>
                <c:pt idx="133">
                  <c:v>-0.33328791506376648</c:v>
                </c:pt>
                <c:pt idx="134">
                  <c:v>-0.32511531923519504</c:v>
                </c:pt>
                <c:pt idx="135">
                  <c:v>-0.33861749534630625</c:v>
                </c:pt>
                <c:pt idx="136">
                  <c:v>-0.36470630787571806</c:v>
                </c:pt>
                <c:pt idx="137">
                  <c:v>-0.36009738779024791</c:v>
                </c:pt>
                <c:pt idx="138">
                  <c:v>-0.36846341886524792</c:v>
                </c:pt>
                <c:pt idx="139">
                  <c:v>-0.36574433856016314</c:v>
                </c:pt>
                <c:pt idx="140">
                  <c:v>-0.35273913686016312</c:v>
                </c:pt>
                <c:pt idx="141">
                  <c:v>-0.33785864806968685</c:v>
                </c:pt>
                <c:pt idx="142">
                  <c:v>-0.33738862337136283</c:v>
                </c:pt>
                <c:pt idx="143">
                  <c:v>-0.33179000259863556</c:v>
                </c:pt>
                <c:pt idx="144">
                  <c:v>-0.32740720607689633</c:v>
                </c:pt>
                <c:pt idx="145">
                  <c:v>-0.34292596907689638</c:v>
                </c:pt>
                <c:pt idx="146">
                  <c:v>-0.33029038569391761</c:v>
                </c:pt>
                <c:pt idx="147">
                  <c:v>-0.3269111898775911</c:v>
                </c:pt>
                <c:pt idx="148">
                  <c:v>-0.30859249133042127</c:v>
                </c:pt>
                <c:pt idx="149">
                  <c:v>-0.32390538510894473</c:v>
                </c:pt>
                <c:pt idx="150">
                  <c:v>-0.31928768042809375</c:v>
                </c:pt>
                <c:pt idx="151">
                  <c:v>-0.30026566133193977</c:v>
                </c:pt>
                <c:pt idx="152">
                  <c:v>-0.29196319712633234</c:v>
                </c:pt>
                <c:pt idx="153">
                  <c:v>-0.27381082399708057</c:v>
                </c:pt>
                <c:pt idx="154">
                  <c:v>-0.29594727556311834</c:v>
                </c:pt>
                <c:pt idx="155">
                  <c:v>-0.26738417706382495</c:v>
                </c:pt>
                <c:pt idx="156">
                  <c:v>-0.28840641364728831</c:v>
                </c:pt>
                <c:pt idx="157">
                  <c:v>-0.26821047863287911</c:v>
                </c:pt>
                <c:pt idx="158">
                  <c:v>-0.25921162363287908</c:v>
                </c:pt>
                <c:pt idx="159">
                  <c:v>-0.26143810131580597</c:v>
                </c:pt>
                <c:pt idx="160">
                  <c:v>-0.24409187131580595</c:v>
                </c:pt>
                <c:pt idx="161">
                  <c:v>-0.24558762825475697</c:v>
                </c:pt>
                <c:pt idx="162">
                  <c:v>-0.27025587706079335</c:v>
                </c:pt>
                <c:pt idx="163">
                  <c:v>-0.28130027277897829</c:v>
                </c:pt>
                <c:pt idx="164">
                  <c:v>-0.24863501805987712</c:v>
                </c:pt>
                <c:pt idx="165">
                  <c:v>-0.21962975494147804</c:v>
                </c:pt>
                <c:pt idx="166">
                  <c:v>-0.23845527765258917</c:v>
                </c:pt>
                <c:pt idx="167">
                  <c:v>-0.23436108046794565</c:v>
                </c:pt>
                <c:pt idx="168">
                  <c:v>-0.2662460640942132</c:v>
                </c:pt>
                <c:pt idx="169">
                  <c:v>-0.25631622104470819</c:v>
                </c:pt>
                <c:pt idx="170">
                  <c:v>-0.26963846942308661</c:v>
                </c:pt>
                <c:pt idx="171">
                  <c:v>-0.27122436441804121</c:v>
                </c:pt>
                <c:pt idx="172">
                  <c:v>-0.28472765950000845</c:v>
                </c:pt>
                <c:pt idx="173">
                  <c:v>-0.27168993129221625</c:v>
                </c:pt>
                <c:pt idx="174">
                  <c:v>-0.27522996662216548</c:v>
                </c:pt>
                <c:pt idx="175">
                  <c:v>-0.28703503545416553</c:v>
                </c:pt>
                <c:pt idx="176">
                  <c:v>-0.30601608862928831</c:v>
                </c:pt>
                <c:pt idx="177">
                  <c:v>-0.32878404717068122</c:v>
                </c:pt>
                <c:pt idx="178">
                  <c:v>-0.32287071780560178</c:v>
                </c:pt>
                <c:pt idx="179">
                  <c:v>-0.32417434864959155</c:v>
                </c:pt>
                <c:pt idx="180">
                  <c:v>-0.31841140213244112</c:v>
                </c:pt>
                <c:pt idx="181">
                  <c:v>-0.31809977442410781</c:v>
                </c:pt>
                <c:pt idx="182">
                  <c:v>-0.32295331420492973</c:v>
                </c:pt>
                <c:pt idx="183">
                  <c:v>-0.32656384740289929</c:v>
                </c:pt>
                <c:pt idx="184">
                  <c:v>-0.32028468534701104</c:v>
                </c:pt>
                <c:pt idx="185">
                  <c:v>-0.33017011409492419</c:v>
                </c:pt>
                <c:pt idx="186">
                  <c:v>-0.30995312503539008</c:v>
                </c:pt>
                <c:pt idx="187">
                  <c:v>-0.31599543513589257</c:v>
                </c:pt>
                <c:pt idx="188">
                  <c:v>-0.32347541247074457</c:v>
                </c:pt>
                <c:pt idx="189">
                  <c:v>-0.33142102497074455</c:v>
                </c:pt>
                <c:pt idx="190">
                  <c:v>-0.33501562246441546</c:v>
                </c:pt>
                <c:pt idx="191">
                  <c:v>-0.3465582737013127</c:v>
                </c:pt>
                <c:pt idx="192">
                  <c:v>-0.29063468127766739</c:v>
                </c:pt>
                <c:pt idx="193">
                  <c:v>-0.28719327239328607</c:v>
                </c:pt>
                <c:pt idx="194">
                  <c:v>-0.28740915711550824</c:v>
                </c:pt>
                <c:pt idx="195">
                  <c:v>-0.29375226002690075</c:v>
                </c:pt>
                <c:pt idx="196">
                  <c:v>-0.28932150323857958</c:v>
                </c:pt>
                <c:pt idx="197">
                  <c:v>-0.28629474039783348</c:v>
                </c:pt>
                <c:pt idx="198">
                  <c:v>-0.29537691836393515</c:v>
                </c:pt>
                <c:pt idx="199">
                  <c:v>-0.2905655891458282</c:v>
                </c:pt>
                <c:pt idx="200">
                  <c:v>-0.28091385996215473</c:v>
                </c:pt>
                <c:pt idx="201">
                  <c:v>-0.2859702545364452</c:v>
                </c:pt>
                <c:pt idx="202">
                  <c:v>-0.28546174043952893</c:v>
                </c:pt>
                <c:pt idx="203">
                  <c:v>-0.28126784740791971</c:v>
                </c:pt>
                <c:pt idx="204">
                  <c:v>-0.26731622952132172</c:v>
                </c:pt>
                <c:pt idx="205">
                  <c:v>-0.24610689485996706</c:v>
                </c:pt>
                <c:pt idx="206">
                  <c:v>-0.23758459998632098</c:v>
                </c:pt>
                <c:pt idx="207">
                  <c:v>-0.21689964385055058</c:v>
                </c:pt>
                <c:pt idx="208">
                  <c:v>-0.21535836106448095</c:v>
                </c:pt>
                <c:pt idx="209">
                  <c:v>-0.21504627198772899</c:v>
                </c:pt>
                <c:pt idx="210">
                  <c:v>-0.2111294730758119</c:v>
                </c:pt>
                <c:pt idx="211">
                  <c:v>-0.20246653054707628</c:v>
                </c:pt>
                <c:pt idx="212">
                  <c:v>-0.21634499511400543</c:v>
                </c:pt>
                <c:pt idx="213">
                  <c:v>-0.21056092976917784</c:v>
                </c:pt>
                <c:pt idx="214">
                  <c:v>-0.21143438633097555</c:v>
                </c:pt>
                <c:pt idx="215">
                  <c:v>-0.23001087556930475</c:v>
                </c:pt>
                <c:pt idx="216">
                  <c:v>-0.24408346559886143</c:v>
                </c:pt>
                <c:pt idx="217">
                  <c:v>-0.16567251024858259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01-462A-B9CF-49435700D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820688"/>
        <c:axId val="191813200"/>
      </c:lineChart>
      <c:dateAx>
        <c:axId val="19182068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13200"/>
        <c:crosses val="autoZero"/>
        <c:auto val="1"/>
        <c:lblOffset val="100"/>
        <c:baseTimeUnit val="days"/>
      </c:dateAx>
      <c:valAx>
        <c:axId val="19181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82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890C60-D752-47C7-B690-602BD0FE0412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E6F406-2C92-46E7-B52D-3AFD270BEE5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4.4000000000000004</v>
      </c>
      <c r="D2" s="4">
        <f>MIN(D3:D1912)</f>
        <v>0.82399999999999995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1.2190000000000001</v>
      </c>
      <c r="C5">
        <v>1.2330000000000001</v>
      </c>
      <c r="D5">
        <v>1.1950000000000001</v>
      </c>
      <c r="E5">
        <v>1.1970000000000001</v>
      </c>
      <c r="F5">
        <v>840481.7</v>
      </c>
      <c r="G5">
        <v>1.1970000000000001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-0.89473684210526316</v>
      </c>
      <c r="Q5">
        <f t="shared" ref="Q5" si="1">F5*P5</f>
        <v>-752009.94210526312</v>
      </c>
      <c r="R5">
        <f t="shared" ref="R5" si="2">R6+Q5</f>
        <v>-123169499.13185732</v>
      </c>
      <c r="S5">
        <f t="shared" ref="S5" si="3">R5/100000</f>
        <v>-1231.6949913185731</v>
      </c>
      <c r="T5">
        <f t="shared" ref="T5" si="4">S5/1000</f>
        <v>-1.2316949913185731</v>
      </c>
    </row>
    <row r="6" spans="1:20" x14ac:dyDescent="0.25">
      <c r="A6" s="5">
        <v>44587</v>
      </c>
      <c r="B6">
        <v>1.232</v>
      </c>
      <c r="C6">
        <v>1.363</v>
      </c>
      <c r="D6">
        <v>1.1890000000000001</v>
      </c>
      <c r="E6">
        <v>1.22</v>
      </c>
      <c r="F6">
        <v>26276637.199999999</v>
      </c>
      <c r="G6">
        <v>1.22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-0.643678160919541</v>
      </c>
      <c r="Q6">
        <f t="shared" ref="Q6" si="6">F6*P6</f>
        <v>-16913697.508045997</v>
      </c>
      <c r="R6">
        <f t="shared" ref="R6" si="7">R7+Q6</f>
        <v>-122417489.18975206</v>
      </c>
      <c r="S6">
        <f t="shared" ref="S6" si="8">R6/100000</f>
        <v>-1224.1748918975206</v>
      </c>
      <c r="T6">
        <f t="shared" ref="T6" si="9">S6/1000</f>
        <v>-1.2241748918975206</v>
      </c>
    </row>
    <row r="7" spans="1:20" x14ac:dyDescent="0.25">
      <c r="A7" s="5">
        <v>44586</v>
      </c>
      <c r="B7">
        <v>1.226</v>
      </c>
      <c r="C7">
        <v>1.2410000000000001</v>
      </c>
      <c r="D7">
        <v>1.169</v>
      </c>
      <c r="E7">
        <v>1.232</v>
      </c>
      <c r="F7">
        <v>7824665</v>
      </c>
      <c r="G7">
        <v>1.232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0.74999999999999689</v>
      </c>
      <c r="Q7">
        <f t="shared" ref="Q7" si="11">F7*P7</f>
        <v>5868498.7499999758</v>
      </c>
      <c r="R7">
        <f t="shared" ref="R7" si="12">R8+Q7</f>
        <v>-105503791.68170606</v>
      </c>
      <c r="S7">
        <f t="shared" ref="S7" si="13">R7/100000</f>
        <v>-1055.0379168170605</v>
      </c>
      <c r="T7">
        <f t="shared" ref="T7" si="14">S7/1000</f>
        <v>-1.0550379168170605</v>
      </c>
    </row>
    <row r="8" spans="1:20" x14ac:dyDescent="0.25">
      <c r="A8" s="5">
        <v>44585</v>
      </c>
      <c r="B8">
        <v>1.2330000000000001</v>
      </c>
      <c r="C8">
        <v>1.2330000000000001</v>
      </c>
      <c r="D8">
        <v>1.1020000000000001</v>
      </c>
      <c r="E8">
        <v>1.226</v>
      </c>
      <c r="F8">
        <v>12594289.4</v>
      </c>
      <c r="G8">
        <v>1.226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0.89312977099236468</v>
      </c>
      <c r="Q8">
        <f t="shared" ref="Q8" si="16">F8*P8</f>
        <v>11248334.807633566</v>
      </c>
      <c r="R8">
        <f t="shared" ref="R8" si="17">R9+Q8</f>
        <v>-111372290.43170603</v>
      </c>
      <c r="S8">
        <f t="shared" ref="S8" si="18">R8/100000</f>
        <v>-1113.7229043170603</v>
      </c>
      <c r="T8">
        <f t="shared" ref="T8" si="19">S8/1000</f>
        <v>-1.1137229043170602</v>
      </c>
    </row>
    <row r="9" spans="1:20" x14ac:dyDescent="0.25">
      <c r="A9" s="5">
        <v>44584</v>
      </c>
      <c r="B9">
        <v>1.165</v>
      </c>
      <c r="C9">
        <v>1.246</v>
      </c>
      <c r="D9">
        <v>1.161</v>
      </c>
      <c r="E9">
        <v>1.234</v>
      </c>
      <c r="F9">
        <v>7735593.7999999998</v>
      </c>
      <c r="G9">
        <v>1.234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0.71764705882352908</v>
      </c>
      <c r="Q9">
        <f t="shared" ref="Q9" si="21">F9*P9</f>
        <v>5551426.1388235269</v>
      </c>
      <c r="R9">
        <f t="shared" ref="R9" si="22">R10+Q9</f>
        <v>-122620625.23933959</v>
      </c>
      <c r="S9">
        <f t="shared" ref="S9" si="23">R9/100000</f>
        <v>-1226.206252393396</v>
      </c>
      <c r="T9">
        <f t="shared" ref="T9" si="24">S9/1000</f>
        <v>-1.2262062523933959</v>
      </c>
    </row>
    <row r="10" spans="1:20" x14ac:dyDescent="0.25">
      <c r="A10" s="5">
        <v>44583</v>
      </c>
      <c r="B10">
        <v>1.264</v>
      </c>
      <c r="C10">
        <v>1.288</v>
      </c>
      <c r="D10">
        <v>1.071</v>
      </c>
      <c r="E10">
        <v>1.165</v>
      </c>
      <c r="F10">
        <v>14577350.5</v>
      </c>
      <c r="G10">
        <v>1.165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-0.13364055299539127</v>
      </c>
      <c r="Q10">
        <f t="shared" ref="Q10" si="26">F10*P10</f>
        <v>-1948125.1820276433</v>
      </c>
      <c r="R10">
        <f t="shared" ref="R10" si="27">R11+Q10</f>
        <v>-128172051.37816311</v>
      </c>
      <c r="S10">
        <f t="shared" ref="S10" si="28">R10/100000</f>
        <v>-1281.7205137816311</v>
      </c>
      <c r="T10">
        <f t="shared" ref="T10" si="29">S10/1000</f>
        <v>-1.281720513781631</v>
      </c>
    </row>
    <row r="11" spans="1:20" x14ac:dyDescent="0.25">
      <c r="A11" s="5">
        <v>44582</v>
      </c>
      <c r="B11">
        <v>1.4119999999999999</v>
      </c>
      <c r="C11">
        <v>1.44</v>
      </c>
      <c r="D11">
        <v>1.2470000000000001</v>
      </c>
      <c r="E11">
        <v>1.2629999999999999</v>
      </c>
      <c r="F11">
        <v>14909911.300000001</v>
      </c>
      <c r="G11">
        <v>1.2629999999999999</v>
      </c>
      <c r="L11" t="s">
        <v>7</v>
      </c>
      <c r="M11" t="s">
        <v>7</v>
      </c>
      <c r="N11" t="s">
        <v>8</v>
      </c>
      <c r="P11">
        <f t="shared" ref="P11" si="30">IF(C11=D11,0,((E11-D11)-(C11-E11))/(C11-D11))</f>
        <v>-0.83419689119171181</v>
      </c>
      <c r="Q11">
        <f t="shared" ref="Q11" si="31">F11*P11</f>
        <v>-12437801.654404175</v>
      </c>
      <c r="R11">
        <f t="shared" ref="R11" si="32">R12+Q11</f>
        <v>-126223926.19613548</v>
      </c>
      <c r="S11">
        <f t="shared" ref="S11" si="33">R11/100000</f>
        <v>-1262.2392619613547</v>
      </c>
      <c r="T11">
        <f t="shared" ref="T11" si="34">S11/1000</f>
        <v>-1.2622392619613547</v>
      </c>
    </row>
    <row r="12" spans="1:20" x14ac:dyDescent="0.25">
      <c r="A12" s="5">
        <v>44581</v>
      </c>
      <c r="B12">
        <v>1.4</v>
      </c>
      <c r="C12">
        <v>1.502</v>
      </c>
      <c r="D12">
        <v>1.395</v>
      </c>
      <c r="E12">
        <v>1.413</v>
      </c>
      <c r="F12">
        <v>13071133.199999999</v>
      </c>
      <c r="G12">
        <v>1.413</v>
      </c>
      <c r="L12" t="s">
        <v>8</v>
      </c>
      <c r="M12" t="s">
        <v>8</v>
      </c>
      <c r="N12" t="s">
        <v>8</v>
      </c>
      <c r="P12">
        <f t="shared" ref="P12" si="35">IF(C12=D12,0,((E12-D12)-(C12-E12))/(C12-D12))</f>
        <v>-0.66355140186915851</v>
      </c>
      <c r="Q12">
        <f t="shared" ref="Q12" si="36">F12*P12</f>
        <v>-8673368.7588784993</v>
      </c>
      <c r="R12">
        <f t="shared" ref="R12" si="37">R13+Q12</f>
        <v>-113786124.5417313</v>
      </c>
      <c r="S12">
        <f t="shared" ref="S12" si="38">R12/100000</f>
        <v>-1137.8612454173131</v>
      </c>
      <c r="T12">
        <f t="shared" ref="T12" si="39">S12/1000</f>
        <v>-1.1378612454173131</v>
      </c>
    </row>
    <row r="13" spans="1:20" x14ac:dyDescent="0.25">
      <c r="A13" s="5">
        <v>44580</v>
      </c>
      <c r="B13">
        <v>1.375</v>
      </c>
      <c r="C13">
        <v>1.4390000000000001</v>
      </c>
      <c r="D13">
        <v>1.345</v>
      </c>
      <c r="E13">
        <v>1.399</v>
      </c>
      <c r="F13">
        <v>10495857.300000001</v>
      </c>
      <c r="G13">
        <v>1.399</v>
      </c>
      <c r="L13" t="s">
        <v>8</v>
      </c>
      <c r="M13" t="s">
        <v>8</v>
      </c>
      <c r="N13" t="s">
        <v>8</v>
      </c>
      <c r="P13">
        <f t="shared" ref="P13" si="40">IF(C13=D13,0,((E13-D13)-(C13-E13))/(C13-D13))</f>
        <v>0.14893617021276595</v>
      </c>
      <c r="Q13">
        <f t="shared" ref="Q13" si="41">F13*P13</f>
        <v>1563212.7893617023</v>
      </c>
      <c r="R13">
        <f t="shared" ref="R13" si="42">R14+Q13</f>
        <v>-105112755.7828528</v>
      </c>
      <c r="S13">
        <f t="shared" ref="S13" si="43">R13/100000</f>
        <v>-1051.1275578285281</v>
      </c>
      <c r="T13">
        <f t="shared" ref="T13" si="44">S13/1000</f>
        <v>-1.0511275578285282</v>
      </c>
    </row>
    <row r="14" spans="1:20" x14ac:dyDescent="0.25">
      <c r="A14" s="5">
        <v>44579</v>
      </c>
      <c r="B14">
        <v>1.393</v>
      </c>
      <c r="C14">
        <v>1.3979999999999999</v>
      </c>
      <c r="D14">
        <v>1.3440000000000001</v>
      </c>
      <c r="E14">
        <v>1.373</v>
      </c>
      <c r="F14">
        <v>5408853.9000000004</v>
      </c>
      <c r="G14">
        <v>1.373</v>
      </c>
      <c r="L14" t="s">
        <v>7</v>
      </c>
      <c r="M14" t="s">
        <v>8</v>
      </c>
      <c r="N14" t="s">
        <v>8</v>
      </c>
      <c r="P14">
        <f t="shared" ref="P14" si="45">IF(C14=D14,0,((E14-D14)-(C14-E14))/(C14-D14))</f>
        <v>7.4074074074074375E-2</v>
      </c>
      <c r="Q14">
        <f t="shared" ref="Q14" si="46">F14*P14</f>
        <v>400655.84444444609</v>
      </c>
      <c r="R14">
        <f t="shared" ref="R14" si="47">R15+Q14</f>
        <v>-106675968.5722145</v>
      </c>
      <c r="S14">
        <f t="shared" ref="S14" si="48">R14/100000</f>
        <v>-1066.7596857221449</v>
      </c>
      <c r="T14">
        <f t="shared" ref="T14" si="49">S14/1000</f>
        <v>-1.0667596857221449</v>
      </c>
    </row>
    <row r="15" spans="1:20" x14ac:dyDescent="0.25">
      <c r="A15" s="5">
        <v>44578</v>
      </c>
      <c r="B15">
        <v>1.415</v>
      </c>
      <c r="C15">
        <v>1.4239999999999999</v>
      </c>
      <c r="D15">
        <v>1.3680000000000001</v>
      </c>
      <c r="E15">
        <v>1.3939999999999999</v>
      </c>
      <c r="F15">
        <v>5538555.5999999996</v>
      </c>
      <c r="G15">
        <v>1.3939999999999999</v>
      </c>
      <c r="L15" t="s">
        <v>7</v>
      </c>
      <c r="M15" t="s">
        <v>8</v>
      </c>
      <c r="N15" t="s">
        <v>8</v>
      </c>
      <c r="P15">
        <f t="shared" ref="P15" si="50">IF(C15=D15,0,((E15-D15)-(C15-E15))/(C15-D15))</f>
        <v>-7.1428571428575671E-2</v>
      </c>
      <c r="Q15">
        <f t="shared" ref="Q15" si="51">F15*P15</f>
        <v>-395611.11428573774</v>
      </c>
      <c r="R15">
        <f t="shared" ref="R15" si="52">R16+Q15</f>
        <v>-107076624.41665894</v>
      </c>
      <c r="S15">
        <f t="shared" ref="S15" si="53">R15/100000</f>
        <v>-1070.7662441665893</v>
      </c>
      <c r="T15">
        <f t="shared" ref="T15" si="54">S15/1000</f>
        <v>-1.0707662441665893</v>
      </c>
    </row>
    <row r="16" spans="1:20" x14ac:dyDescent="0.25">
      <c r="A16" s="5">
        <v>44577</v>
      </c>
      <c r="B16">
        <v>1.3939999999999999</v>
      </c>
      <c r="C16">
        <v>1.4219999999999999</v>
      </c>
      <c r="D16">
        <v>1.373</v>
      </c>
      <c r="E16">
        <v>1.4159999999999999</v>
      </c>
      <c r="F16">
        <v>4986233.2</v>
      </c>
      <c r="G16">
        <v>1.4159999999999999</v>
      </c>
      <c r="L16" t="s">
        <v>7</v>
      </c>
      <c r="M16" t="s">
        <v>8</v>
      </c>
      <c r="N16" t="s">
        <v>8</v>
      </c>
      <c r="P16">
        <f t="shared" ref="P16" si="55">IF(C16=D16,0,((E16-D16)-(C16-E16))/(C16-D16))</f>
        <v>0.75510204081632593</v>
      </c>
      <c r="Q16">
        <f t="shared" ref="Q16" si="56">F16*P16</f>
        <v>3765114.8653061194</v>
      </c>
      <c r="R16">
        <f t="shared" ref="R16" si="57">R17+Q16</f>
        <v>-106681013.3023732</v>
      </c>
      <c r="S16">
        <f t="shared" ref="S16" si="58">R16/100000</f>
        <v>-1066.8101330237321</v>
      </c>
      <c r="T16">
        <f t="shared" ref="T16" si="59">S16/1000</f>
        <v>-1.0668101330237321</v>
      </c>
    </row>
    <row r="17" spans="1:20" x14ac:dyDescent="0.25">
      <c r="A17" s="5">
        <v>44576</v>
      </c>
      <c r="B17">
        <v>1.3859999999999999</v>
      </c>
      <c r="C17">
        <v>1.4059999999999999</v>
      </c>
      <c r="D17">
        <v>1.3660000000000001</v>
      </c>
      <c r="E17">
        <v>1.3959999999999999</v>
      </c>
      <c r="F17">
        <v>4369005.3</v>
      </c>
      <c r="G17">
        <v>1.3959999999999999</v>
      </c>
      <c r="L17" t="s">
        <v>7</v>
      </c>
      <c r="M17" t="s">
        <v>8</v>
      </c>
      <c r="N17" t="s">
        <v>8</v>
      </c>
      <c r="P17">
        <f t="shared" ref="P17" si="60">IF(C17=D17,0,((E17-D17)-(C17-E17))/(C17-D17))</f>
        <v>0.49999999999999722</v>
      </c>
      <c r="Q17">
        <f t="shared" ref="Q17" si="61">F17*P17</f>
        <v>2184502.6499999878</v>
      </c>
      <c r="R17">
        <f t="shared" ref="R17" si="62">R18+Q17</f>
        <v>-110446128.16767932</v>
      </c>
      <c r="S17">
        <f t="shared" ref="S17" si="63">R17/100000</f>
        <v>-1104.4612816767933</v>
      </c>
      <c r="T17">
        <f t="shared" ref="T17" si="64">S17/1000</f>
        <v>-1.1044612816767934</v>
      </c>
    </row>
    <row r="18" spans="1:20" x14ac:dyDescent="0.25">
      <c r="A18" s="5">
        <v>44575</v>
      </c>
      <c r="B18">
        <v>1.411</v>
      </c>
      <c r="C18">
        <v>1.419</v>
      </c>
      <c r="D18">
        <v>1.357</v>
      </c>
      <c r="E18">
        <v>1.385</v>
      </c>
      <c r="F18">
        <v>7833954.9000000004</v>
      </c>
      <c r="G18">
        <v>1.385</v>
      </c>
      <c r="L18" t="s">
        <v>7</v>
      </c>
      <c r="M18" t="s">
        <v>8</v>
      </c>
      <c r="N18" t="s">
        <v>8</v>
      </c>
      <c r="P18">
        <f t="shared" ref="P18" si="65">IF(C18=D18,0,((E18-D18)-(C18-E18))/(C18-D18))</f>
        <v>-9.6774193548387094E-2</v>
      </c>
      <c r="Q18">
        <f t="shared" ref="Q18" si="66">F18*P18</f>
        <v>-758124.66774193547</v>
      </c>
      <c r="R18">
        <f t="shared" ref="R18" si="67">R19+Q18</f>
        <v>-112630630.81767932</v>
      </c>
      <c r="S18">
        <f t="shared" ref="S18" si="68">R18/100000</f>
        <v>-1126.3063081767932</v>
      </c>
      <c r="T18">
        <f t="shared" ref="T18" si="69">S18/1000</f>
        <v>-1.1263063081767932</v>
      </c>
    </row>
    <row r="19" spans="1:20" x14ac:dyDescent="0.25">
      <c r="A19" s="5">
        <v>44574</v>
      </c>
      <c r="B19">
        <v>1.419</v>
      </c>
      <c r="C19">
        <v>1.4870000000000001</v>
      </c>
      <c r="D19">
        <v>1.3879999999999999</v>
      </c>
      <c r="E19">
        <v>1.409</v>
      </c>
      <c r="F19">
        <v>13084450.6</v>
      </c>
      <c r="G19">
        <v>1.409</v>
      </c>
      <c r="L19" t="s">
        <v>8</v>
      </c>
      <c r="M19" t="s">
        <v>8</v>
      </c>
      <c r="N19" t="s">
        <v>8</v>
      </c>
      <c r="P19">
        <f t="shared" ref="P19" si="70">IF(C19=D19,0,((E19-D19)-(C19-E19))/(C19-D19))</f>
        <v>-0.57575757575757402</v>
      </c>
      <c r="Q19">
        <f t="shared" ref="Q19" si="71">F19*P19</f>
        <v>-7533471.5575757343</v>
      </c>
      <c r="R19">
        <f t="shared" ref="R19" si="72">R20+Q19</f>
        <v>-111872506.14993738</v>
      </c>
      <c r="S19">
        <f t="shared" ref="S19" si="73">R19/100000</f>
        <v>-1118.7250614993739</v>
      </c>
      <c r="T19">
        <f t="shared" ref="T19" si="74">S19/1000</f>
        <v>-1.1187250614993738</v>
      </c>
    </row>
    <row r="20" spans="1:20" x14ac:dyDescent="0.25">
      <c r="A20" s="5">
        <v>44573</v>
      </c>
      <c r="B20">
        <v>1.349</v>
      </c>
      <c r="C20">
        <v>1.4339999999999999</v>
      </c>
      <c r="D20">
        <v>1.341</v>
      </c>
      <c r="E20">
        <v>1.419</v>
      </c>
      <c r="F20">
        <v>10613562.199999999</v>
      </c>
      <c r="G20">
        <v>1.419</v>
      </c>
      <c r="L20" t="s">
        <v>8</v>
      </c>
      <c r="M20" t="s">
        <v>8</v>
      </c>
      <c r="N20" t="s">
        <v>8</v>
      </c>
      <c r="P20">
        <f t="shared" ref="P20" si="75">IF(C20=D20,0,((E20-D20)-(C20-E20))/(C20-D20))</f>
        <v>0.67741935483871163</v>
      </c>
      <c r="Q20">
        <f t="shared" ref="Q20" si="76">F20*P20</f>
        <v>7189832.4580645366</v>
      </c>
      <c r="R20">
        <f t="shared" ref="R20" si="77">R21+Q20</f>
        <v>-104339034.59236164</v>
      </c>
      <c r="S20">
        <f t="shared" ref="S20" si="78">R20/100000</f>
        <v>-1043.3903459236165</v>
      </c>
      <c r="T20">
        <f t="shared" ref="T20" si="79">S20/1000</f>
        <v>-1.0433903459236165</v>
      </c>
    </row>
    <row r="21" spans="1:20" x14ac:dyDescent="0.25">
      <c r="A21" s="5">
        <v>44572</v>
      </c>
      <c r="B21">
        <v>1.2929999999999999</v>
      </c>
      <c r="C21">
        <v>1.3879999999999999</v>
      </c>
      <c r="D21">
        <v>1.2729999999999999</v>
      </c>
      <c r="E21">
        <v>1.35</v>
      </c>
      <c r="F21">
        <v>15788439.1</v>
      </c>
      <c r="G21">
        <v>1.35</v>
      </c>
      <c r="L21" t="s">
        <v>7</v>
      </c>
      <c r="M21" t="s">
        <v>7</v>
      </c>
      <c r="N21" t="s">
        <v>8</v>
      </c>
      <c r="P21">
        <f t="shared" ref="P21" si="80">IF(C21=D21,0,((E21-D21)-(C21-E21))/(C21-D21))</f>
        <v>0.3391304347826119</v>
      </c>
      <c r="Q21">
        <f t="shared" ref="Q21" si="81">F21*P21</f>
        <v>5354340.2165217893</v>
      </c>
      <c r="R21">
        <f t="shared" ref="R21" si="82">R22+Q21</f>
        <v>-111528867.05042619</v>
      </c>
      <c r="S21">
        <f t="shared" ref="S21" si="83">R21/100000</f>
        <v>-1115.2886705042617</v>
      </c>
      <c r="T21">
        <f t="shared" ref="T21" si="84">S21/1000</f>
        <v>-1.1152886705042617</v>
      </c>
    </row>
    <row r="22" spans="1:20" x14ac:dyDescent="0.25">
      <c r="A22" s="5">
        <v>44571</v>
      </c>
      <c r="B22">
        <v>1.35</v>
      </c>
      <c r="C22">
        <v>1.373</v>
      </c>
      <c r="D22">
        <v>1.2070000000000001</v>
      </c>
      <c r="E22">
        <v>1.294</v>
      </c>
      <c r="F22">
        <v>11776856.6</v>
      </c>
      <c r="G22">
        <v>1.294</v>
      </c>
      <c r="L22" t="s">
        <v>8</v>
      </c>
      <c r="M22" t="s">
        <v>7</v>
      </c>
      <c r="N22" t="s">
        <v>8</v>
      </c>
      <c r="P22">
        <f t="shared" ref="P22" si="85">IF(C22=D22,0,((E22-D22)-(C22-E22))/(C22-D22))</f>
        <v>4.8192771084337414E-2</v>
      </c>
      <c r="Q22">
        <f t="shared" ref="Q22" si="86">F22*P22</f>
        <v>567559.35421686817</v>
      </c>
      <c r="R22">
        <f t="shared" ref="R22" si="87">R23+Q22</f>
        <v>-116883207.26694797</v>
      </c>
      <c r="S22">
        <f t="shared" ref="S22" si="88">R22/100000</f>
        <v>-1168.8320726694797</v>
      </c>
      <c r="T22">
        <f t="shared" ref="T22" si="89">S22/1000</f>
        <v>-1.1688320726694796</v>
      </c>
    </row>
    <row r="23" spans="1:20" x14ac:dyDescent="0.25">
      <c r="A23" s="5">
        <v>44570</v>
      </c>
      <c r="B23">
        <v>1.2969999999999999</v>
      </c>
      <c r="C23">
        <v>1.369</v>
      </c>
      <c r="D23">
        <v>1.286</v>
      </c>
      <c r="E23">
        <v>1.351</v>
      </c>
      <c r="F23">
        <v>8880011.5999999996</v>
      </c>
      <c r="G23">
        <v>1.351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0.56626506024096324</v>
      </c>
      <c r="Q23">
        <f t="shared" ref="Q23" si="91">F23*P23</f>
        <v>5028440.3036144525</v>
      </c>
      <c r="R23">
        <f t="shared" ref="R23" si="92">R24+Q23</f>
        <v>-117450766.62116484</v>
      </c>
      <c r="S23">
        <f t="shared" ref="S23" si="93">R23/100000</f>
        <v>-1174.5076662116485</v>
      </c>
      <c r="T23">
        <f t="shared" ref="T23" si="94">S23/1000</f>
        <v>-1.1745076662116485</v>
      </c>
    </row>
    <row r="24" spans="1:20" x14ac:dyDescent="0.25">
      <c r="A24" s="5">
        <v>44569</v>
      </c>
      <c r="B24">
        <v>1.292</v>
      </c>
      <c r="C24">
        <v>1.3380000000000001</v>
      </c>
      <c r="D24">
        <v>1.264</v>
      </c>
      <c r="E24">
        <v>1.2969999999999999</v>
      </c>
      <c r="F24">
        <v>7916745.4000000004</v>
      </c>
      <c r="G24">
        <v>1.2969999999999999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-0.10810810810811111</v>
      </c>
      <c r="Q24">
        <f t="shared" ref="Q24" si="96">F24*P24</f>
        <v>-855864.36756759137</v>
      </c>
      <c r="R24">
        <f t="shared" ref="R24" si="97">R25+Q24</f>
        <v>-122479206.9247793</v>
      </c>
      <c r="S24">
        <f t="shared" ref="S24" si="98">R24/100000</f>
        <v>-1224.7920692477931</v>
      </c>
      <c r="T24">
        <f t="shared" ref="T24" si="99">S24/1000</f>
        <v>-1.2247920692477932</v>
      </c>
    </row>
    <row r="25" spans="1:20" x14ac:dyDescent="0.25">
      <c r="A25" s="5">
        <v>44568</v>
      </c>
      <c r="B25">
        <v>1.3460000000000001</v>
      </c>
      <c r="C25">
        <v>1.353</v>
      </c>
      <c r="D25">
        <v>1.2629999999999999</v>
      </c>
      <c r="E25">
        <v>1.292</v>
      </c>
      <c r="F25">
        <v>10856949.6</v>
      </c>
      <c r="G25">
        <v>1.292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-0.35555555555555307</v>
      </c>
      <c r="Q25">
        <f t="shared" ref="Q25" si="101">F25*P25</f>
        <v>-3860248.7466666396</v>
      </c>
      <c r="R25">
        <f t="shared" ref="R25" si="102">R26+Q25</f>
        <v>-121623342.55721171</v>
      </c>
      <c r="S25">
        <f t="shared" ref="S25" si="103">R25/100000</f>
        <v>-1216.2334255721171</v>
      </c>
      <c r="T25">
        <f t="shared" ref="T25" si="104">S25/1000</f>
        <v>-1.216233425572117</v>
      </c>
    </row>
    <row r="26" spans="1:20" x14ac:dyDescent="0.25">
      <c r="A26" s="5">
        <v>44567</v>
      </c>
      <c r="B26">
        <v>1.3460000000000001</v>
      </c>
      <c r="C26">
        <v>1.375</v>
      </c>
      <c r="D26">
        <v>1.2849999999999999</v>
      </c>
      <c r="E26">
        <v>1.3460000000000001</v>
      </c>
      <c r="F26">
        <v>11004671.4</v>
      </c>
      <c r="G26">
        <v>1.3460000000000001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0.35555555555555801</v>
      </c>
      <c r="Q26">
        <f t="shared" ref="Q26" si="106">F26*P26</f>
        <v>3912772.0533333607</v>
      </c>
      <c r="R26">
        <f t="shared" ref="R26" si="107">R27+Q26</f>
        <v>-117763093.81054507</v>
      </c>
      <c r="S26">
        <f t="shared" ref="S26" si="108">R26/100000</f>
        <v>-1177.6309381054507</v>
      </c>
      <c r="T26">
        <f t="shared" ref="T26" si="109">S26/1000</f>
        <v>-1.1776309381054506</v>
      </c>
    </row>
    <row r="27" spans="1:20" x14ac:dyDescent="0.25">
      <c r="A27" s="5">
        <v>44566</v>
      </c>
      <c r="B27">
        <v>1.403</v>
      </c>
      <c r="C27">
        <v>1.5329999999999999</v>
      </c>
      <c r="D27">
        <v>1.294</v>
      </c>
      <c r="E27">
        <v>1.3480000000000001</v>
      </c>
      <c r="F27">
        <v>17076659.100000001</v>
      </c>
      <c r="G27">
        <v>1.3480000000000001</v>
      </c>
      <c r="L27" t="s">
        <v>7</v>
      </c>
      <c r="M27" t="s">
        <v>7</v>
      </c>
      <c r="N27" t="s">
        <v>8</v>
      </c>
      <c r="P27">
        <f t="shared" ref="P27" si="110">IF(C27=D27,0,((E27-D27)-(C27-E27))/(C27-D27))</f>
        <v>-0.54811715481171486</v>
      </c>
      <c r="Q27">
        <f t="shared" ref="Q27" si="111">F27*P27</f>
        <v>-9360009.7995815799</v>
      </c>
      <c r="R27">
        <f t="shared" ref="R27" si="112">R28+Q27</f>
        <v>-121675865.86387843</v>
      </c>
      <c r="S27">
        <f t="shared" ref="S27" si="113">R27/100000</f>
        <v>-1216.7586586387843</v>
      </c>
      <c r="T27">
        <f t="shared" ref="T27" si="114">S27/1000</f>
        <v>-1.2167586586387842</v>
      </c>
    </row>
    <row r="28" spans="1:20" x14ac:dyDescent="0.25">
      <c r="A28" s="5">
        <v>44565</v>
      </c>
      <c r="B28">
        <v>1.401</v>
      </c>
      <c r="C28">
        <v>1.4470000000000001</v>
      </c>
      <c r="D28">
        <v>1.351</v>
      </c>
      <c r="E28">
        <v>1.403</v>
      </c>
      <c r="F28">
        <v>7344226.0999999996</v>
      </c>
      <c r="G28">
        <v>1.403</v>
      </c>
      <c r="L28" t="s">
        <v>7</v>
      </c>
      <c r="M28" t="s">
        <v>8</v>
      </c>
      <c r="N28" t="s">
        <v>8</v>
      </c>
      <c r="P28">
        <f t="shared" ref="P28" si="115">IF(C28=D28,0,((E28-D28)-(C28-E28))/(C28-D28))</f>
        <v>8.3333333333333329E-2</v>
      </c>
      <c r="Q28">
        <f t="shared" ref="Q28" si="116">F28*P28</f>
        <v>612018.84166666656</v>
      </c>
      <c r="R28">
        <f t="shared" ref="R28" si="117">R29+Q28</f>
        <v>-112315856.06429686</v>
      </c>
      <c r="S28">
        <f t="shared" ref="S28" si="118">R28/100000</f>
        <v>-1123.1585606429685</v>
      </c>
      <c r="T28">
        <f t="shared" ref="T28" si="119">S28/1000</f>
        <v>-1.1231585606429686</v>
      </c>
    </row>
    <row r="29" spans="1:20" x14ac:dyDescent="0.25">
      <c r="A29" s="5">
        <v>44564</v>
      </c>
      <c r="B29">
        <v>1.39</v>
      </c>
      <c r="C29">
        <v>1.6</v>
      </c>
      <c r="D29">
        <v>1.38</v>
      </c>
      <c r="E29">
        <v>1.401</v>
      </c>
      <c r="F29">
        <v>18285657.199999999</v>
      </c>
      <c r="G29">
        <v>1.401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-0.80909090909090808</v>
      </c>
      <c r="Q29">
        <f t="shared" ref="Q29" si="121">F29*P29</f>
        <v>-14794759.007272709</v>
      </c>
      <c r="R29">
        <f t="shared" ref="R29" si="122">R30+Q29</f>
        <v>-112927874.90596353</v>
      </c>
      <c r="S29">
        <f t="shared" ref="S29" si="123">R29/100000</f>
        <v>-1129.2787490596352</v>
      </c>
      <c r="T29">
        <f t="shared" ref="T29" si="124">S29/1000</f>
        <v>-1.1292787490596352</v>
      </c>
    </row>
    <row r="30" spans="1:20" x14ac:dyDescent="0.25">
      <c r="A30" s="5">
        <v>44563</v>
      </c>
      <c r="B30">
        <v>1.35</v>
      </c>
      <c r="C30">
        <v>1.393</v>
      </c>
      <c r="D30">
        <v>1.3240000000000001</v>
      </c>
      <c r="E30">
        <v>1.391</v>
      </c>
      <c r="F30">
        <v>5808345.4000000004</v>
      </c>
      <c r="G30">
        <v>1.391</v>
      </c>
      <c r="L30" t="s">
        <v>8</v>
      </c>
      <c r="M30" t="s">
        <v>8</v>
      </c>
      <c r="N30" t="s">
        <v>7</v>
      </c>
      <c r="P30">
        <f t="shared" ref="P30" si="125">IF(C30=D30,0,((E30-D30)-(C30-E30))/(C30-D30))</f>
        <v>0.94202898550724623</v>
      </c>
      <c r="Q30">
        <f t="shared" ref="Q30" si="126">F30*P30</f>
        <v>5471629.7246376807</v>
      </c>
      <c r="R30">
        <f t="shared" ref="R30" si="127">R31+Q30</f>
        <v>-98133115.89869082</v>
      </c>
      <c r="S30">
        <f t="shared" ref="S30" si="128">R30/100000</f>
        <v>-981.33115898690824</v>
      </c>
      <c r="T30">
        <f t="shared" ref="T30" si="129">S30/1000</f>
        <v>-0.98133115898690826</v>
      </c>
    </row>
    <row r="31" spans="1:20" x14ac:dyDescent="0.25">
      <c r="A31" s="5">
        <v>44562</v>
      </c>
      <c r="B31">
        <v>1.2769999999999999</v>
      </c>
      <c r="C31">
        <v>1.3560000000000001</v>
      </c>
      <c r="D31">
        <v>1.2769999999999999</v>
      </c>
      <c r="E31">
        <v>1.3520000000000001</v>
      </c>
      <c r="F31">
        <v>6810542.7999999998</v>
      </c>
      <c r="G31">
        <v>1.3520000000000001</v>
      </c>
      <c r="L31" t="s">
        <v>8</v>
      </c>
      <c r="M31" t="s">
        <v>8</v>
      </c>
      <c r="N31" t="s">
        <v>7</v>
      </c>
      <c r="P31">
        <f t="shared" ref="P31" si="130">IF(C31=D31,0,((E31-D31)-(C31-E31))/(C31-D31))</f>
        <v>0.89873417721519</v>
      </c>
      <c r="Q31">
        <f t="shared" ref="Q31" si="131">F31*P31</f>
        <v>6120867.5797468359</v>
      </c>
      <c r="R31">
        <f t="shared" ref="R31" si="132">R32+Q31</f>
        <v>-103604745.62332851</v>
      </c>
      <c r="S31">
        <f t="shared" ref="S31" si="133">R31/100000</f>
        <v>-1036.0474562332852</v>
      </c>
      <c r="T31">
        <f t="shared" ref="T31" si="134">S31/1000</f>
        <v>-1.0360474562332851</v>
      </c>
    </row>
    <row r="32" spans="1:20" x14ac:dyDescent="0.25">
      <c r="A32" s="5">
        <v>44561</v>
      </c>
      <c r="B32">
        <v>1.282</v>
      </c>
      <c r="C32">
        <v>1.3240000000000001</v>
      </c>
      <c r="D32">
        <v>1.266</v>
      </c>
      <c r="E32">
        <v>1.278</v>
      </c>
      <c r="F32">
        <v>5861971.2999999998</v>
      </c>
      <c r="G32">
        <v>1.278</v>
      </c>
      <c r="L32" t="s">
        <v>8</v>
      </c>
      <c r="M32" t="s">
        <v>8</v>
      </c>
      <c r="N32" t="s">
        <v>7</v>
      </c>
      <c r="P32">
        <f t="shared" ref="P32" si="135">IF(C32=D32,0,((E32-D32)-(C32-E32))/(C32-D32))</f>
        <v>-0.58620689655172409</v>
      </c>
      <c r="Q32">
        <f t="shared" ref="Q32" si="136">F32*P32</f>
        <v>-3436328.0034482754</v>
      </c>
      <c r="R32">
        <f t="shared" ref="R32" si="137">R33+Q32</f>
        <v>-109725613.20307535</v>
      </c>
      <c r="S32">
        <f t="shared" ref="S32" si="138">R32/100000</f>
        <v>-1097.2561320307534</v>
      </c>
      <c r="T32">
        <f t="shared" ref="T32" si="139">S32/1000</f>
        <v>-1.0972561320307535</v>
      </c>
    </row>
    <row r="33" spans="1:20" x14ac:dyDescent="0.25">
      <c r="A33" s="5">
        <v>44560</v>
      </c>
      <c r="B33">
        <v>1.2509999999999999</v>
      </c>
      <c r="C33">
        <v>1.3009999999999999</v>
      </c>
      <c r="D33">
        <v>1.228</v>
      </c>
      <c r="E33">
        <v>1.2829999999999999</v>
      </c>
      <c r="F33">
        <v>5856003.4000000004</v>
      </c>
      <c r="G33">
        <v>1.2829999999999999</v>
      </c>
      <c r="L33" t="s">
        <v>7</v>
      </c>
      <c r="M33" t="s">
        <v>8</v>
      </c>
      <c r="N33" t="s">
        <v>7</v>
      </c>
      <c r="P33">
        <f t="shared" ref="P33" si="140">IF(C33=D33,0,((E33-D33)-(C33-E33))/(C33-D33))</f>
        <v>0.5068493150684924</v>
      </c>
      <c r="Q33">
        <f t="shared" ref="Q33" si="141">F33*P33</f>
        <v>2968111.3123287628</v>
      </c>
      <c r="R33">
        <f t="shared" ref="R33" si="142">R34+Q33</f>
        <v>-106289285.19962707</v>
      </c>
      <c r="S33">
        <f t="shared" ref="S33" si="143">R33/100000</f>
        <v>-1062.8928519962708</v>
      </c>
      <c r="T33">
        <f t="shared" ref="T33" si="144">S33/1000</f>
        <v>-1.0628928519962708</v>
      </c>
    </row>
    <row r="34" spans="1:20" x14ac:dyDescent="0.25">
      <c r="A34" s="5">
        <v>44559</v>
      </c>
      <c r="B34">
        <v>1.2609999999999999</v>
      </c>
      <c r="C34">
        <v>1.3009999999999999</v>
      </c>
      <c r="D34">
        <v>1.2490000000000001</v>
      </c>
      <c r="E34">
        <v>1.25</v>
      </c>
      <c r="F34">
        <v>6280421.0999999996</v>
      </c>
      <c r="G34">
        <v>1.25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-0.96153846153846567</v>
      </c>
      <c r="Q34">
        <f t="shared" ref="Q34" si="146">F34*P34</f>
        <v>-6038866.4423077181</v>
      </c>
      <c r="R34">
        <f t="shared" ref="R34" si="147">R35+Q34</f>
        <v>-109257396.51195583</v>
      </c>
      <c r="S34">
        <f t="shared" ref="S34" si="148">R34/100000</f>
        <v>-1092.5739651195584</v>
      </c>
      <c r="T34">
        <f t="shared" ref="T34" si="149">S34/1000</f>
        <v>-1.0925739651195583</v>
      </c>
    </row>
    <row r="35" spans="1:20" x14ac:dyDescent="0.25">
      <c r="A35" s="5">
        <v>44558</v>
      </c>
      <c r="B35">
        <v>1.37</v>
      </c>
      <c r="C35">
        <v>1.371</v>
      </c>
      <c r="D35">
        <v>1.2569999999999999</v>
      </c>
      <c r="E35">
        <v>1.2609999999999999</v>
      </c>
      <c r="F35">
        <v>9164695.6999999993</v>
      </c>
      <c r="G35">
        <v>1.2609999999999999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-0.92982456140350878</v>
      </c>
      <c r="Q35">
        <f t="shared" ref="Q35" si="151">F35*P35</f>
        <v>-8521559.1596491225</v>
      </c>
      <c r="R35">
        <f t="shared" ref="R35" si="152">R36+Q35</f>
        <v>-103218530.0696481</v>
      </c>
      <c r="S35">
        <f t="shared" ref="S35" si="153">R35/100000</f>
        <v>-1032.1853006964809</v>
      </c>
      <c r="T35">
        <f t="shared" ref="T35" si="154">S35/1000</f>
        <v>-1.032185300696481</v>
      </c>
    </row>
    <row r="36" spans="1:20" x14ac:dyDescent="0.25">
      <c r="A36" s="5">
        <v>44557</v>
      </c>
      <c r="B36">
        <v>1.3560000000000001</v>
      </c>
      <c r="C36">
        <v>1.417</v>
      </c>
      <c r="D36">
        <v>1.3480000000000001</v>
      </c>
      <c r="E36">
        <v>1.371</v>
      </c>
      <c r="F36">
        <v>6214604</v>
      </c>
      <c r="G36">
        <v>1.371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-0.33333333333333548</v>
      </c>
      <c r="Q36">
        <f t="shared" ref="Q36" si="156">F36*P36</f>
        <v>-2071534.66666668</v>
      </c>
      <c r="R36">
        <f t="shared" ref="R36" si="157">R37+Q36</f>
        <v>-94696970.909998983</v>
      </c>
      <c r="S36">
        <f t="shared" ref="S36" si="158">R36/100000</f>
        <v>-946.96970909998981</v>
      </c>
      <c r="T36">
        <f t="shared" ref="T36" si="159">S36/1000</f>
        <v>-0.94696970909998979</v>
      </c>
    </row>
    <row r="37" spans="1:20" x14ac:dyDescent="0.25">
      <c r="A37" s="5">
        <v>44556</v>
      </c>
      <c r="B37">
        <v>1.3540000000000001</v>
      </c>
      <c r="C37">
        <v>1.3620000000000001</v>
      </c>
      <c r="D37">
        <v>1.3160000000000001</v>
      </c>
      <c r="E37">
        <v>1.355</v>
      </c>
      <c r="F37">
        <v>4513416.8</v>
      </c>
      <c r="G37">
        <v>1.355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0.69565217391303868</v>
      </c>
      <c r="Q37">
        <f t="shared" ref="Q37" si="161">F37*P37</f>
        <v>3139768.2086956305</v>
      </c>
      <c r="R37">
        <f t="shared" ref="R37" si="162">R38+Q37</f>
        <v>-92625436.243332297</v>
      </c>
      <c r="S37">
        <f t="shared" ref="S37" si="163">R37/100000</f>
        <v>-926.25436243332297</v>
      </c>
      <c r="T37">
        <f t="shared" ref="T37" si="164">S37/1000</f>
        <v>-0.92625436243332293</v>
      </c>
    </row>
    <row r="38" spans="1:20" x14ac:dyDescent="0.25">
      <c r="A38" s="5">
        <v>44555</v>
      </c>
      <c r="B38">
        <v>1.3009999999999999</v>
      </c>
      <c r="C38">
        <v>1.367</v>
      </c>
      <c r="D38">
        <v>1.296</v>
      </c>
      <c r="E38">
        <v>1.353</v>
      </c>
      <c r="F38">
        <v>4954288.2</v>
      </c>
      <c r="G38">
        <v>1.353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0.60563380281690082</v>
      </c>
      <c r="Q38">
        <f t="shared" ref="Q38" si="166">F38*P38</f>
        <v>3000484.4028168987</v>
      </c>
      <c r="R38">
        <f t="shared" ref="R38" si="167">R39+Q38</f>
        <v>-95765204.452027932</v>
      </c>
      <c r="S38">
        <f t="shared" ref="S38" si="168">R38/100000</f>
        <v>-957.65204452027933</v>
      </c>
      <c r="T38">
        <f t="shared" ref="T38" si="169">S38/1000</f>
        <v>-0.9576520445202793</v>
      </c>
    </row>
    <row r="39" spans="1:20" x14ac:dyDescent="0.25">
      <c r="A39" s="5">
        <v>44554</v>
      </c>
      <c r="B39">
        <v>1.337</v>
      </c>
      <c r="C39">
        <v>1.3380000000000001</v>
      </c>
      <c r="D39">
        <v>1.292</v>
      </c>
      <c r="E39">
        <v>1.3029999999999999</v>
      </c>
      <c r="F39">
        <v>4440283.3</v>
      </c>
      <c r="G39">
        <v>1.3029999999999999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-0.52173913043478748</v>
      </c>
      <c r="Q39">
        <f t="shared" ref="Q39" si="171">F39*P39</f>
        <v>-2316669.5478261085</v>
      </c>
      <c r="R39">
        <f t="shared" ref="R39" si="172">R40+Q39</f>
        <v>-98765688.854844823</v>
      </c>
      <c r="S39">
        <f t="shared" ref="S39" si="173">R39/100000</f>
        <v>-987.65688854844825</v>
      </c>
      <c r="T39">
        <f t="shared" ref="T39" si="174">S39/1000</f>
        <v>-0.98765688854844824</v>
      </c>
    </row>
    <row r="40" spans="1:20" x14ac:dyDescent="0.25">
      <c r="A40" s="5">
        <v>44553</v>
      </c>
      <c r="B40">
        <v>1.296</v>
      </c>
      <c r="C40">
        <v>1.34</v>
      </c>
      <c r="D40">
        <v>1.276</v>
      </c>
      <c r="E40">
        <v>1.3360000000000001</v>
      </c>
      <c r="F40">
        <v>6351583.0999999996</v>
      </c>
      <c r="G40">
        <v>1.3360000000000001</v>
      </c>
      <c r="L40" t="s">
        <v>8</v>
      </c>
      <c r="M40" t="s">
        <v>7</v>
      </c>
      <c r="N40" t="s">
        <v>7</v>
      </c>
      <c r="P40">
        <f t="shared" ref="P40" si="175">IF(C40=D40,0,((E40-D40)-(C40-E40))/(C40-D40))</f>
        <v>0.875</v>
      </c>
      <c r="Q40">
        <f t="shared" ref="Q40" si="176">F40*P40</f>
        <v>5557635.2124999994</v>
      </c>
      <c r="R40">
        <f t="shared" ref="R40" si="177">R41+Q40</f>
        <v>-96449019.307018712</v>
      </c>
      <c r="S40">
        <f t="shared" ref="S40" si="178">R40/100000</f>
        <v>-964.49019307018716</v>
      </c>
      <c r="T40">
        <f t="shared" ref="T40" si="179">S40/1000</f>
        <v>-0.96449019307018713</v>
      </c>
    </row>
    <row r="41" spans="1:20" x14ac:dyDescent="0.25">
      <c r="A41" s="5">
        <v>44552</v>
      </c>
      <c r="B41">
        <v>1.29</v>
      </c>
      <c r="C41">
        <v>1.331</v>
      </c>
      <c r="D41">
        <v>1.2769999999999999</v>
      </c>
      <c r="E41">
        <v>1.296</v>
      </c>
      <c r="F41">
        <v>4894579.9000000004</v>
      </c>
      <c r="G41">
        <v>1.296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-0.29629629629629217</v>
      </c>
      <c r="Q41">
        <f t="shared" ref="Q41" si="181">F41*P41</f>
        <v>-1450245.8962962762</v>
      </c>
      <c r="R41">
        <f t="shared" ref="R41" si="182">R42+Q41</f>
        <v>-102006654.51951872</v>
      </c>
      <c r="S41">
        <f t="shared" ref="S41" si="183">R41/100000</f>
        <v>-1020.0665451951871</v>
      </c>
      <c r="T41">
        <f t="shared" ref="T41" si="184">S41/1000</f>
        <v>-1.0200665451951871</v>
      </c>
    </row>
    <row r="42" spans="1:20" x14ac:dyDescent="0.25">
      <c r="A42" s="5">
        <v>44551</v>
      </c>
      <c r="B42">
        <v>1.236</v>
      </c>
      <c r="C42">
        <v>1.331</v>
      </c>
      <c r="D42">
        <v>1.2210000000000001</v>
      </c>
      <c r="E42">
        <v>1.29</v>
      </c>
      <c r="F42">
        <v>5307118.0999999996</v>
      </c>
      <c r="G42">
        <v>1.29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0.25454545454545507</v>
      </c>
      <c r="Q42">
        <f t="shared" ref="Q42" si="186">F42*P42</f>
        <v>1350902.7890909119</v>
      </c>
      <c r="R42">
        <f t="shared" ref="R42" si="187">R43+Q42</f>
        <v>-100556408.62322244</v>
      </c>
      <c r="S42">
        <f t="shared" ref="S42" si="188">R42/100000</f>
        <v>-1005.5640862322244</v>
      </c>
      <c r="T42">
        <f t="shared" ref="T42" si="189">S42/1000</f>
        <v>-1.0055640862322244</v>
      </c>
    </row>
    <row r="43" spans="1:20" x14ac:dyDescent="0.25">
      <c r="A43" s="5">
        <v>44550</v>
      </c>
      <c r="B43">
        <v>1.2450000000000001</v>
      </c>
      <c r="C43">
        <v>1.254</v>
      </c>
      <c r="D43">
        <v>1.1779999999999999</v>
      </c>
      <c r="E43">
        <v>1.2350000000000001</v>
      </c>
      <c r="F43">
        <v>4141189.7</v>
      </c>
      <c r="G43">
        <v>1.2350000000000001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0.50000000000000289</v>
      </c>
      <c r="Q43">
        <f t="shared" ref="Q43" si="191">F43*P43</f>
        <v>2070594.850000012</v>
      </c>
      <c r="R43">
        <f t="shared" ref="R43" si="192">R44+Q43</f>
        <v>-101907311.41231336</v>
      </c>
      <c r="S43">
        <f t="shared" ref="S43" si="193">R43/100000</f>
        <v>-1019.0731141231336</v>
      </c>
      <c r="T43">
        <f t="shared" ref="T43" si="194">S43/1000</f>
        <v>-1.0190731141231335</v>
      </c>
    </row>
    <row r="44" spans="1:20" x14ac:dyDescent="0.25">
      <c r="A44" s="5">
        <v>44549</v>
      </c>
      <c r="B44">
        <v>1.272</v>
      </c>
      <c r="C44">
        <v>1.288</v>
      </c>
      <c r="D44">
        <v>1.2370000000000001</v>
      </c>
      <c r="E44">
        <v>1.2450000000000001</v>
      </c>
      <c r="F44">
        <v>3101487.7</v>
      </c>
      <c r="G44">
        <v>1.2450000000000001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-0.68627450980392091</v>
      </c>
      <c r="Q44">
        <f t="shared" ref="Q44" si="196">F44*P44</f>
        <v>-2128471.9509803904</v>
      </c>
      <c r="R44">
        <f t="shared" ref="R44" si="197">R45+Q44</f>
        <v>-103977906.26231337</v>
      </c>
      <c r="S44">
        <f t="shared" ref="S44" si="198">R44/100000</f>
        <v>-1039.7790626231338</v>
      </c>
      <c r="T44">
        <f t="shared" ref="T44" si="199">S44/1000</f>
        <v>-1.0397790626231338</v>
      </c>
    </row>
    <row r="45" spans="1:20" x14ac:dyDescent="0.25">
      <c r="A45" s="5">
        <v>44548</v>
      </c>
      <c r="B45">
        <v>1.2629999999999999</v>
      </c>
      <c r="C45">
        <v>1.298</v>
      </c>
      <c r="D45">
        <v>1.2410000000000001</v>
      </c>
      <c r="E45">
        <v>1.2709999999999999</v>
      </c>
      <c r="F45">
        <v>3456132.4</v>
      </c>
      <c r="G45">
        <v>1.2709999999999999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5.263157894736268E-2</v>
      </c>
      <c r="Q45">
        <f t="shared" ref="Q45" si="201">F45*P45</f>
        <v>181901.70526313805</v>
      </c>
      <c r="R45">
        <f t="shared" ref="R45" si="202">R46+Q45</f>
        <v>-101849434.31133297</v>
      </c>
      <c r="S45">
        <f t="shared" ref="S45" si="203">R45/100000</f>
        <v>-1018.4943431133297</v>
      </c>
      <c r="T45">
        <f t="shared" ref="T45" si="204">S45/1000</f>
        <v>-1.0184943431133298</v>
      </c>
    </row>
    <row r="46" spans="1:20" x14ac:dyDescent="0.25">
      <c r="A46" s="5">
        <v>44547</v>
      </c>
      <c r="B46">
        <v>1.2629999999999999</v>
      </c>
      <c r="C46">
        <v>1.3049999999999999</v>
      </c>
      <c r="D46">
        <v>1.218</v>
      </c>
      <c r="E46">
        <v>1.2609999999999999</v>
      </c>
      <c r="F46">
        <v>4852071.9000000004</v>
      </c>
      <c r="G46">
        <v>1.2609999999999999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-1.1494252873564509E-2</v>
      </c>
      <c r="Q46">
        <f t="shared" ref="Q46" si="206">F46*P46</f>
        <v>-55770.94137931661</v>
      </c>
      <c r="R46">
        <f t="shared" ref="R46" si="207">R47+Q46</f>
        <v>-102031336.01659611</v>
      </c>
      <c r="S46">
        <f t="shared" ref="S46" si="208">R46/100000</f>
        <v>-1020.3133601659611</v>
      </c>
      <c r="T46">
        <f t="shared" ref="T46" si="209">S46/1000</f>
        <v>-1.0203133601659611</v>
      </c>
    </row>
    <row r="47" spans="1:20" x14ac:dyDescent="0.25">
      <c r="A47" s="5">
        <v>44546</v>
      </c>
      <c r="B47">
        <v>1.2809999999999999</v>
      </c>
      <c r="C47">
        <v>1.3</v>
      </c>
      <c r="D47">
        <v>1.254</v>
      </c>
      <c r="E47">
        <v>1.264</v>
      </c>
      <c r="F47">
        <v>3307397.1</v>
      </c>
      <c r="G47">
        <v>1.264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-0.56521739130434778</v>
      </c>
      <c r="Q47">
        <f t="shared" ref="Q47" si="211">F47*P47</f>
        <v>-1869398.360869565</v>
      </c>
      <c r="R47">
        <f t="shared" ref="R47" si="212">R48+Q47</f>
        <v>-101975565.07521679</v>
      </c>
      <c r="S47">
        <f t="shared" ref="S47" si="213">R47/100000</f>
        <v>-1019.7556507521679</v>
      </c>
      <c r="T47">
        <f t="shared" ref="T47" si="214">S47/1000</f>
        <v>-1.0197556507521679</v>
      </c>
    </row>
    <row r="48" spans="1:20" x14ac:dyDescent="0.25">
      <c r="A48" s="5">
        <v>44545</v>
      </c>
      <c r="B48">
        <v>1.2629999999999999</v>
      </c>
      <c r="C48">
        <v>1.292</v>
      </c>
      <c r="D48">
        <v>1.171</v>
      </c>
      <c r="E48">
        <v>1.2789999999999999</v>
      </c>
      <c r="F48">
        <v>5186310.0999999996</v>
      </c>
      <c r="G48">
        <v>1.2789999999999999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0.7851239669421467</v>
      </c>
      <c r="Q48">
        <f t="shared" ref="Q48" si="216">F48*P48</f>
        <v>4071896.3595041214</v>
      </c>
      <c r="R48">
        <f t="shared" ref="R48" si="217">R49+Q48</f>
        <v>-100106166.71434721</v>
      </c>
      <c r="S48">
        <f t="shared" ref="S48" si="218">R48/100000</f>
        <v>-1001.0616671434722</v>
      </c>
      <c r="T48">
        <f t="shared" ref="T48" si="219">S48/1000</f>
        <v>-1.0010616671434722</v>
      </c>
    </row>
    <row r="49" spans="1:20" x14ac:dyDescent="0.25">
      <c r="A49" s="5">
        <v>44544</v>
      </c>
      <c r="B49">
        <v>1.2270000000000001</v>
      </c>
      <c r="C49">
        <v>1.266</v>
      </c>
      <c r="D49">
        <v>1.216</v>
      </c>
      <c r="E49">
        <v>1.264</v>
      </c>
      <c r="F49">
        <v>4262497.0999999996</v>
      </c>
      <c r="G49">
        <v>1.264</v>
      </c>
      <c r="L49" t="s">
        <v>8</v>
      </c>
      <c r="M49" t="s">
        <v>7</v>
      </c>
      <c r="N49" t="s">
        <v>7</v>
      </c>
      <c r="P49">
        <f t="shared" ref="P49" si="220">IF(C49=D49,0,((E49-D49)-(C49-E49))/(C49-D49))</f>
        <v>0.92</v>
      </c>
      <c r="Q49">
        <f t="shared" ref="Q49" si="221">F49*P49</f>
        <v>3921497.3319999999</v>
      </c>
      <c r="R49">
        <f t="shared" ref="R49" si="222">R50+Q49</f>
        <v>-104178063.07385133</v>
      </c>
      <c r="S49">
        <f t="shared" ref="S49" si="223">R49/100000</f>
        <v>-1041.7806307385133</v>
      </c>
      <c r="T49">
        <f t="shared" ref="T49" si="224">S49/1000</f>
        <v>-1.0417806307385133</v>
      </c>
    </row>
    <row r="50" spans="1:20" x14ac:dyDescent="0.25">
      <c r="A50" s="5">
        <v>44543</v>
      </c>
      <c r="B50">
        <v>1.341</v>
      </c>
      <c r="C50">
        <v>1.347</v>
      </c>
      <c r="D50">
        <v>1.1439999999999999</v>
      </c>
      <c r="E50">
        <v>1.226</v>
      </c>
      <c r="F50">
        <v>7690875</v>
      </c>
      <c r="G50">
        <v>1.226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-0.19211822660098479</v>
      </c>
      <c r="Q50">
        <f t="shared" ref="Q50" si="226">F50*P50</f>
        <v>-1477557.266009849</v>
      </c>
      <c r="R50">
        <f t="shared" ref="R50" si="227">R51+Q50</f>
        <v>-108099560.40585133</v>
      </c>
      <c r="S50">
        <f t="shared" ref="S50" si="228">R50/100000</f>
        <v>-1080.9956040585134</v>
      </c>
      <c r="T50">
        <f t="shared" ref="T50" si="229">S50/1000</f>
        <v>-1.0809956040585134</v>
      </c>
    </row>
    <row r="51" spans="1:20" x14ac:dyDescent="0.25">
      <c r="A51" s="5">
        <v>44542</v>
      </c>
      <c r="B51">
        <v>1.357</v>
      </c>
      <c r="C51">
        <v>1.38</v>
      </c>
      <c r="D51">
        <v>1.3360000000000001</v>
      </c>
      <c r="E51">
        <v>1.341</v>
      </c>
      <c r="F51">
        <v>3413208.3</v>
      </c>
      <c r="G51">
        <v>1.341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-0.77272727272727659</v>
      </c>
      <c r="Q51">
        <f t="shared" ref="Q51" si="231">F51*P51</f>
        <v>-2637479.1409091041</v>
      </c>
      <c r="R51">
        <f t="shared" ref="R51" si="232">R52+Q51</f>
        <v>-106622003.13984148</v>
      </c>
      <c r="S51">
        <f t="shared" ref="S51" si="233">R51/100000</f>
        <v>-1066.2200313984149</v>
      </c>
      <c r="T51">
        <f t="shared" ref="T51" si="234">S51/1000</f>
        <v>-1.0662200313984149</v>
      </c>
    </row>
    <row r="52" spans="1:20" x14ac:dyDescent="0.25">
      <c r="A52" s="5">
        <v>44541</v>
      </c>
      <c r="B52">
        <v>1.304</v>
      </c>
      <c r="C52">
        <v>1.3260000000000001</v>
      </c>
      <c r="D52">
        <v>1.2789999999999999</v>
      </c>
      <c r="E52">
        <v>1.3220000000000001</v>
      </c>
      <c r="F52">
        <v>175175.4</v>
      </c>
      <c r="G52">
        <v>1.3220000000000001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0.82978723404255361</v>
      </c>
      <c r="Q52">
        <f t="shared" ref="Q52" si="236">F52*P52</f>
        <v>145358.31063829793</v>
      </c>
      <c r="R52">
        <f t="shared" ref="R52" si="237">R53+Q52</f>
        <v>-103984523.99893238</v>
      </c>
      <c r="S52">
        <f t="shared" ref="S52" si="238">R52/100000</f>
        <v>-1039.8452399893238</v>
      </c>
      <c r="T52">
        <f t="shared" ref="T52" si="239">S52/1000</f>
        <v>-1.0398452399893239</v>
      </c>
    </row>
    <row r="53" spans="1:20" x14ac:dyDescent="0.25">
      <c r="A53" s="5">
        <v>44540</v>
      </c>
      <c r="B53">
        <v>1.3280000000000001</v>
      </c>
      <c r="C53">
        <v>1.383</v>
      </c>
      <c r="D53">
        <v>1.2949999999999999</v>
      </c>
      <c r="E53">
        <v>1.304</v>
      </c>
      <c r="F53">
        <v>4378289.7</v>
      </c>
      <c r="G53">
        <v>1.304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-0.79545454545454297</v>
      </c>
      <c r="Q53">
        <f t="shared" ref="Q53" si="241">F53*P53</f>
        <v>-3482730.4431818076</v>
      </c>
      <c r="R53">
        <f t="shared" ref="R53" si="242">R54+Q53</f>
        <v>-104129882.30957067</v>
      </c>
      <c r="S53">
        <f t="shared" ref="S53" si="243">R53/100000</f>
        <v>-1041.2988230957067</v>
      </c>
      <c r="T53">
        <f t="shared" ref="T53" si="244">S53/1000</f>
        <v>-1.0412988230957068</v>
      </c>
    </row>
    <row r="54" spans="1:20" x14ac:dyDescent="0.25">
      <c r="A54" s="5">
        <v>44539</v>
      </c>
      <c r="B54">
        <v>1.419</v>
      </c>
      <c r="C54">
        <v>1.4350000000000001</v>
      </c>
      <c r="D54">
        <v>1.3260000000000001</v>
      </c>
      <c r="E54">
        <v>1.3280000000000001</v>
      </c>
      <c r="F54">
        <v>5265478.5999999996</v>
      </c>
      <c r="G54">
        <v>1.3280000000000001</v>
      </c>
      <c r="L54" t="s">
        <v>8</v>
      </c>
      <c r="M54" t="s">
        <v>8</v>
      </c>
      <c r="N54" t="s">
        <v>7</v>
      </c>
      <c r="P54">
        <f t="shared" ref="P54" si="245">IF(C54=D54,0,((E54-D54)-(C54-E54))/(C54-D54))</f>
        <v>-0.96330275229357798</v>
      </c>
      <c r="Q54">
        <f t="shared" ref="Q54" si="246">F54*P54</f>
        <v>-5072250.0275229355</v>
      </c>
      <c r="R54">
        <f t="shared" ref="R54" si="247">R55+Q54</f>
        <v>-100647151.86638886</v>
      </c>
      <c r="S54">
        <f t="shared" ref="S54" si="248">R54/100000</f>
        <v>-1006.4715186638886</v>
      </c>
      <c r="T54">
        <f t="shared" ref="T54" si="249">S54/1000</f>
        <v>-1.0064715186638886</v>
      </c>
    </row>
    <row r="55" spans="1:20" x14ac:dyDescent="0.25">
      <c r="A55" s="5">
        <v>44538</v>
      </c>
      <c r="B55">
        <v>1.361</v>
      </c>
      <c r="C55">
        <v>1.4259999999999999</v>
      </c>
      <c r="D55">
        <v>1.3089999999999999</v>
      </c>
      <c r="E55">
        <v>1.42</v>
      </c>
      <c r="F55">
        <v>6893488</v>
      </c>
      <c r="G55">
        <v>1.42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0.89743589743589736</v>
      </c>
      <c r="Q55">
        <f t="shared" ref="Q55" si="251">F55*P55</f>
        <v>6186463.5897435891</v>
      </c>
      <c r="R55">
        <f t="shared" ref="R55" si="252">R56+Q55</f>
        <v>-95574901.838865921</v>
      </c>
      <c r="S55">
        <f t="shared" ref="S55" si="253">R55/100000</f>
        <v>-955.74901838865924</v>
      </c>
      <c r="T55">
        <f t="shared" ref="T55" si="254">S55/1000</f>
        <v>-0.95574901838865922</v>
      </c>
    </row>
    <row r="56" spans="1:20" x14ac:dyDescent="0.25">
      <c r="A56" s="5">
        <v>44537</v>
      </c>
      <c r="B56">
        <v>1.31</v>
      </c>
      <c r="C56">
        <v>1.3959999999999999</v>
      </c>
      <c r="D56">
        <v>1.3069999999999999</v>
      </c>
      <c r="E56">
        <v>1.36</v>
      </c>
      <c r="F56">
        <v>7377372.9000000004</v>
      </c>
      <c r="G56">
        <v>1.36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0.19101123595506017</v>
      </c>
      <c r="Q56">
        <f t="shared" ref="Q56" si="256">F56*P56</f>
        <v>1409161.1157303667</v>
      </c>
      <c r="R56">
        <f t="shared" ref="R56" si="257">R57+Q56</f>
        <v>-101761365.42860951</v>
      </c>
      <c r="S56">
        <f t="shared" ref="S56" si="258">R56/100000</f>
        <v>-1017.6136542860951</v>
      </c>
      <c r="T56">
        <f t="shared" ref="T56" si="259">S56/1000</f>
        <v>-1.0176136542860952</v>
      </c>
    </row>
    <row r="57" spans="1:20" x14ac:dyDescent="0.25">
      <c r="A57" s="5">
        <v>44536</v>
      </c>
      <c r="B57">
        <v>1.2609999999999999</v>
      </c>
      <c r="C57">
        <v>1.325</v>
      </c>
      <c r="D57">
        <v>1.167</v>
      </c>
      <c r="E57">
        <v>1.31</v>
      </c>
      <c r="F57">
        <v>4636796</v>
      </c>
      <c r="G57">
        <v>1.31</v>
      </c>
      <c r="L57" t="s">
        <v>7</v>
      </c>
      <c r="M57" t="s">
        <v>8</v>
      </c>
      <c r="N57" t="s">
        <v>7</v>
      </c>
      <c r="P57">
        <f t="shared" ref="P57" si="260">IF(C57=D57,0,((E57-D57)-(C57-E57))/(C57-D57))</f>
        <v>0.81012658227848211</v>
      </c>
      <c r="Q57">
        <f t="shared" ref="Q57" si="261">F57*P57</f>
        <v>3756391.6962025366</v>
      </c>
      <c r="R57">
        <f t="shared" ref="R57" si="262">R58+Q57</f>
        <v>-103170526.54433987</v>
      </c>
      <c r="S57">
        <f t="shared" ref="S57" si="263">R57/100000</f>
        <v>-1031.7052654433987</v>
      </c>
      <c r="T57">
        <f t="shared" ref="T57" si="264">S57/1000</f>
        <v>-1.0317052654433987</v>
      </c>
    </row>
    <row r="58" spans="1:20" x14ac:dyDescent="0.25">
      <c r="A58" s="5">
        <v>44535</v>
      </c>
      <c r="B58">
        <v>1.282</v>
      </c>
      <c r="C58">
        <v>1.347</v>
      </c>
      <c r="D58">
        <v>1.2010000000000001</v>
      </c>
      <c r="E58">
        <v>1.2589999999999999</v>
      </c>
      <c r="F58">
        <v>5602332.2000000002</v>
      </c>
      <c r="G58">
        <v>1.2589999999999999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-0.20547945205479634</v>
      </c>
      <c r="Q58">
        <f t="shared" ref="Q58" si="266">F58*P58</f>
        <v>-1151164.1506849418</v>
      </c>
      <c r="R58">
        <f t="shared" ref="R58" si="267">R59+Q58</f>
        <v>-106926918.2405424</v>
      </c>
      <c r="S58">
        <f t="shared" ref="S58" si="268">R58/100000</f>
        <v>-1069.2691824054239</v>
      </c>
      <c r="T58">
        <f t="shared" ref="T58" si="269">S58/1000</f>
        <v>-1.0692691824054239</v>
      </c>
    </row>
    <row r="59" spans="1:20" x14ac:dyDescent="0.25">
      <c r="A59" s="5">
        <v>44534</v>
      </c>
      <c r="B59">
        <v>1.4630000000000001</v>
      </c>
      <c r="C59">
        <v>1.468</v>
      </c>
      <c r="D59">
        <v>1</v>
      </c>
      <c r="E59">
        <v>1.2809999999999999</v>
      </c>
      <c r="F59">
        <v>13847788.800000001</v>
      </c>
      <c r="G59">
        <v>1.2809999999999999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0.20085470085470056</v>
      </c>
      <c r="Q59">
        <f t="shared" ref="Q59" si="271">F59*P59</f>
        <v>2781393.4769230732</v>
      </c>
      <c r="R59">
        <f t="shared" ref="R59" si="272">R60+Q59</f>
        <v>-105775754.08985746</v>
      </c>
      <c r="S59">
        <f t="shared" ref="S59" si="273">R59/100000</f>
        <v>-1057.7575408985747</v>
      </c>
      <c r="T59">
        <f t="shared" ref="T59" si="274">S59/1000</f>
        <v>-1.0577575408985747</v>
      </c>
    </row>
    <row r="60" spans="1:20" x14ac:dyDescent="0.25">
      <c r="A60" s="5">
        <v>44533</v>
      </c>
      <c r="B60">
        <v>1.4910000000000001</v>
      </c>
      <c r="C60">
        <v>1.5820000000000001</v>
      </c>
      <c r="D60">
        <v>1.4450000000000001</v>
      </c>
      <c r="E60">
        <v>1.466</v>
      </c>
      <c r="F60">
        <v>7159910.7000000002</v>
      </c>
      <c r="G60">
        <v>1.466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-0.69343065693430794</v>
      </c>
      <c r="Q60">
        <f t="shared" ref="Q60" si="276">F60*P60</f>
        <v>-4964901.5802919809</v>
      </c>
      <c r="R60">
        <f t="shared" ref="R60" si="277">R61+Q60</f>
        <v>-108557147.56678054</v>
      </c>
      <c r="S60">
        <f t="shared" ref="S60" si="278">R60/100000</f>
        <v>-1085.5714756678053</v>
      </c>
      <c r="T60">
        <f t="shared" ref="T60" si="279">S60/1000</f>
        <v>-1.0855714756678052</v>
      </c>
    </row>
    <row r="61" spans="1:20" x14ac:dyDescent="0.25">
      <c r="A61" s="5">
        <v>44532</v>
      </c>
      <c r="B61">
        <v>1.524</v>
      </c>
      <c r="C61">
        <v>1.571</v>
      </c>
      <c r="D61">
        <v>1.462</v>
      </c>
      <c r="E61">
        <v>1.4910000000000001</v>
      </c>
      <c r="F61">
        <v>9385521.5</v>
      </c>
      <c r="G61">
        <v>1.4910000000000001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-0.46788990825687815</v>
      </c>
      <c r="Q61">
        <f t="shared" ref="Q61" si="281">F61*P61</f>
        <v>-4391390.793577957</v>
      </c>
      <c r="R61">
        <f t="shared" ref="R61" si="282">R62+Q61</f>
        <v>-103592245.98648855</v>
      </c>
      <c r="S61">
        <f t="shared" ref="S61" si="283">R61/100000</f>
        <v>-1035.9224598648855</v>
      </c>
      <c r="T61">
        <f t="shared" ref="T61" si="284">S61/1000</f>
        <v>-1.0359224598648855</v>
      </c>
    </row>
    <row r="62" spans="1:20" x14ac:dyDescent="0.25">
      <c r="A62" s="5">
        <v>44531</v>
      </c>
      <c r="B62">
        <v>1.389</v>
      </c>
      <c r="C62">
        <v>1.65</v>
      </c>
      <c r="D62">
        <v>1.369</v>
      </c>
      <c r="E62">
        <v>1.5229999999999999</v>
      </c>
      <c r="F62">
        <v>14978871.199999999</v>
      </c>
      <c r="G62">
        <v>1.5229999999999999</v>
      </c>
      <c r="L62" t="s">
        <v>8</v>
      </c>
      <c r="M62" t="s">
        <v>8</v>
      </c>
      <c r="N62" t="s">
        <v>7</v>
      </c>
      <c r="P62">
        <f t="shared" ref="P62" si="285">IF(C62=D62,0,((E62-D62)-(C62-E62))/(C62-D62))</f>
        <v>9.6085409252668758E-2</v>
      </c>
      <c r="Q62">
        <f t="shared" ref="Q62" si="286">F62*P62</f>
        <v>1439250.9693950135</v>
      </c>
      <c r="R62">
        <f t="shared" ref="R62" si="287">R63+Q62</f>
        <v>-99200855.192910597</v>
      </c>
      <c r="S62">
        <f t="shared" ref="S62" si="288">R62/100000</f>
        <v>-992.00855192910592</v>
      </c>
      <c r="T62">
        <f t="shared" ref="T62" si="289">S62/1000</f>
        <v>-0.99200855192910598</v>
      </c>
    </row>
    <row r="63" spans="1:20" x14ac:dyDescent="0.25">
      <c r="A63" s="5">
        <v>44530</v>
      </c>
      <c r="B63">
        <v>1.4179999999999999</v>
      </c>
      <c r="C63">
        <v>1.454</v>
      </c>
      <c r="D63">
        <v>1.35</v>
      </c>
      <c r="E63">
        <v>1.3879999999999999</v>
      </c>
      <c r="F63">
        <v>5784165.4000000004</v>
      </c>
      <c r="G63">
        <v>1.3879999999999999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-0.26923076923077194</v>
      </c>
      <c r="Q63">
        <f t="shared" ref="Q63" si="291">F63*P63</f>
        <v>-1557275.3000000156</v>
      </c>
      <c r="R63">
        <f t="shared" ref="R63" si="292">R64+Q63</f>
        <v>-100640106.16230561</v>
      </c>
      <c r="S63">
        <f t="shared" ref="S63" si="293">R63/100000</f>
        <v>-1006.4010616230561</v>
      </c>
      <c r="T63">
        <f t="shared" ref="T63" si="294">S63/1000</f>
        <v>-1.0064010616230561</v>
      </c>
    </row>
    <row r="64" spans="1:20" x14ac:dyDescent="0.25">
      <c r="A64" s="5">
        <v>44529</v>
      </c>
      <c r="B64">
        <v>1.375</v>
      </c>
      <c r="C64">
        <v>1.454</v>
      </c>
      <c r="D64">
        <v>1.3660000000000001</v>
      </c>
      <c r="E64">
        <v>1.4179999999999999</v>
      </c>
      <c r="F64">
        <v>8928820.1999999993</v>
      </c>
      <c r="G64">
        <v>1.4179999999999999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0.18181818181817974</v>
      </c>
      <c r="Q64">
        <f t="shared" ref="Q64" si="296">F64*P64</f>
        <v>1623421.8545454359</v>
      </c>
      <c r="R64">
        <f t="shared" ref="R64" si="297">R65+Q64</f>
        <v>-99082830.862305596</v>
      </c>
      <c r="S64">
        <f t="shared" ref="S64" si="298">R64/100000</f>
        <v>-990.82830862305593</v>
      </c>
      <c r="T64">
        <f t="shared" ref="T64" si="299">S64/1000</f>
        <v>-0.99082830862305593</v>
      </c>
    </row>
    <row r="65" spans="1:20" x14ac:dyDescent="0.25">
      <c r="A65" s="5">
        <v>44528</v>
      </c>
      <c r="B65">
        <v>1.347</v>
      </c>
      <c r="C65">
        <v>1.377</v>
      </c>
      <c r="D65">
        <v>1.248</v>
      </c>
      <c r="E65">
        <v>1.375</v>
      </c>
      <c r="F65">
        <v>5605235</v>
      </c>
      <c r="G65">
        <v>1.375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0.96899224806201545</v>
      </c>
      <c r="Q65">
        <f t="shared" ref="Q65" si="301">F65*P65</f>
        <v>5431429.2635658914</v>
      </c>
      <c r="R65">
        <f t="shared" ref="R65" si="302">R66+Q65</f>
        <v>-100706252.71685103</v>
      </c>
      <c r="S65">
        <f t="shared" ref="S65" si="303">R65/100000</f>
        <v>-1007.0625271685103</v>
      </c>
      <c r="T65">
        <f t="shared" ref="T65" si="304">S65/1000</f>
        <v>-1.0070625271685103</v>
      </c>
    </row>
    <row r="66" spans="1:20" x14ac:dyDescent="0.25">
      <c r="A66" s="5">
        <v>44527</v>
      </c>
      <c r="B66">
        <v>1.351</v>
      </c>
      <c r="C66">
        <v>1.41</v>
      </c>
      <c r="D66">
        <v>1.323</v>
      </c>
      <c r="E66">
        <v>1.347</v>
      </c>
      <c r="F66">
        <v>6624924.5999999996</v>
      </c>
      <c r="G66">
        <v>1.347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-0.4482758620689648</v>
      </c>
      <c r="Q66">
        <f t="shared" ref="Q66" si="306">F66*P66</f>
        <v>-2969793.7862068918</v>
      </c>
      <c r="R66">
        <f t="shared" ref="R66" si="307">R67+Q66</f>
        <v>-106137681.98041692</v>
      </c>
      <c r="S66">
        <f t="shared" ref="S66" si="308">R66/100000</f>
        <v>-1061.3768198041691</v>
      </c>
      <c r="T66">
        <f t="shared" ref="T66" si="309">S66/1000</f>
        <v>-1.0613768198041691</v>
      </c>
    </row>
    <row r="67" spans="1:20" x14ac:dyDescent="0.25">
      <c r="A67" s="5">
        <v>44526</v>
      </c>
      <c r="B67">
        <v>1.4870000000000001</v>
      </c>
      <c r="C67">
        <v>1.526</v>
      </c>
      <c r="D67">
        <v>1.28</v>
      </c>
      <c r="E67">
        <v>1.3520000000000001</v>
      </c>
      <c r="F67">
        <v>13164951</v>
      </c>
      <c r="G67">
        <v>1.3520000000000001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-0.41463414634146289</v>
      </c>
      <c r="Q67">
        <f t="shared" ref="Q67" si="311">F67*P67</f>
        <v>-5458638.2195121879</v>
      </c>
      <c r="R67">
        <f t="shared" ref="R67" si="312">R68+Q67</f>
        <v>-103167888.19421004</v>
      </c>
      <c r="S67">
        <f t="shared" ref="S67" si="313">R67/100000</f>
        <v>-1031.6788819421004</v>
      </c>
      <c r="T67">
        <f t="shared" ref="T67" si="314">S67/1000</f>
        <v>-1.0316788819421003</v>
      </c>
    </row>
    <row r="68" spans="1:20" x14ac:dyDescent="0.25">
      <c r="A68" s="5">
        <v>44525</v>
      </c>
      <c r="B68">
        <v>1.446</v>
      </c>
      <c r="C68">
        <v>1.5129999999999999</v>
      </c>
      <c r="D68">
        <v>1.425</v>
      </c>
      <c r="E68">
        <v>1.488</v>
      </c>
      <c r="F68">
        <v>6875811.2000000002</v>
      </c>
      <c r="G68">
        <v>1.488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0.43181818181818293</v>
      </c>
      <c r="Q68">
        <f t="shared" ref="Q68" si="316">F68*P68</f>
        <v>2969100.2909090985</v>
      </c>
      <c r="R68">
        <f t="shared" ref="R68" si="317">R69+Q68</f>
        <v>-97709249.974697843</v>
      </c>
      <c r="S68">
        <f t="shared" ref="S68" si="318">R68/100000</f>
        <v>-977.09249974697843</v>
      </c>
      <c r="T68">
        <f t="shared" ref="T68" si="319">S68/1000</f>
        <v>-0.97709249974697843</v>
      </c>
    </row>
    <row r="69" spans="1:20" x14ac:dyDescent="0.25">
      <c r="A69" s="5">
        <v>44524</v>
      </c>
      <c r="B69">
        <v>1.4730000000000001</v>
      </c>
      <c r="C69">
        <v>1.4830000000000001</v>
      </c>
      <c r="D69">
        <v>1.4370000000000001</v>
      </c>
      <c r="E69">
        <v>1.4690000000000001</v>
      </c>
      <c r="F69">
        <v>3340875</v>
      </c>
      <c r="G69">
        <v>1.4690000000000001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0.39130434782608697</v>
      </c>
      <c r="Q69">
        <f t="shared" ref="Q69" si="321">F69*P69</f>
        <v>1307298.9130434783</v>
      </c>
      <c r="R69">
        <f t="shared" ref="R69" si="322">R70+Q69</f>
        <v>-100678350.26560694</v>
      </c>
      <c r="S69">
        <f t="shared" ref="S69" si="323">R69/100000</f>
        <v>-1006.7835026560693</v>
      </c>
      <c r="T69">
        <f t="shared" ref="T69" si="324">S69/1000</f>
        <v>-1.0067835026560694</v>
      </c>
    </row>
    <row r="70" spans="1:20" x14ac:dyDescent="0.25">
      <c r="A70" s="5">
        <v>44523</v>
      </c>
      <c r="B70">
        <v>1.466</v>
      </c>
      <c r="C70">
        <v>1.49</v>
      </c>
      <c r="D70">
        <v>1.427</v>
      </c>
      <c r="E70">
        <v>1.472</v>
      </c>
      <c r="F70">
        <v>5408362.9000000004</v>
      </c>
      <c r="G70">
        <v>1.472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0.42857142857142755</v>
      </c>
      <c r="Q70">
        <f t="shared" ref="Q70" si="326">F70*P70</f>
        <v>2317869.8142857091</v>
      </c>
      <c r="R70">
        <f t="shared" ref="R70" si="327">R71+Q70</f>
        <v>-101985649.17865042</v>
      </c>
      <c r="S70">
        <f t="shared" ref="S70" si="328">R70/100000</f>
        <v>-1019.8564917865042</v>
      </c>
      <c r="T70">
        <f t="shared" ref="T70" si="329">S70/1000</f>
        <v>-1.0198564917865043</v>
      </c>
    </row>
    <row r="71" spans="1:20" x14ac:dyDescent="0.25">
      <c r="A71" s="5">
        <v>44522</v>
      </c>
      <c r="B71">
        <v>1.528</v>
      </c>
      <c r="C71">
        <v>1.5329999999999999</v>
      </c>
      <c r="D71">
        <v>1.446</v>
      </c>
      <c r="E71">
        <v>1.4670000000000001</v>
      </c>
      <c r="F71">
        <v>7155328.9000000004</v>
      </c>
      <c r="G71">
        <v>1.4670000000000001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-0.51724137931034164</v>
      </c>
      <c r="Q71">
        <f t="shared" ref="Q71" si="331">F71*P71</f>
        <v>-3701032.1896551498</v>
      </c>
      <c r="R71">
        <f t="shared" ref="R71" si="332">R72+Q71</f>
        <v>-104303518.99293613</v>
      </c>
      <c r="S71">
        <f t="shared" ref="S71" si="333">R71/100000</f>
        <v>-1043.0351899293614</v>
      </c>
      <c r="T71">
        <f t="shared" ref="T71" si="334">S71/1000</f>
        <v>-1.0430351899293615</v>
      </c>
    </row>
    <row r="72" spans="1:20" x14ac:dyDescent="0.25">
      <c r="A72" s="5">
        <v>44521</v>
      </c>
      <c r="B72">
        <v>1.528</v>
      </c>
      <c r="C72">
        <v>1.569</v>
      </c>
      <c r="D72">
        <v>1.4990000000000001</v>
      </c>
      <c r="E72">
        <v>1.528</v>
      </c>
      <c r="F72">
        <v>6037834.9000000004</v>
      </c>
      <c r="G72">
        <v>1.528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-0.17142857142857199</v>
      </c>
      <c r="Q72">
        <f t="shared" ref="Q72" si="336">F72*P72</f>
        <v>-1035057.4114285748</v>
      </c>
      <c r="R72">
        <f t="shared" ref="R72" si="337">R73+Q72</f>
        <v>-100602486.80328098</v>
      </c>
      <c r="S72">
        <f t="shared" ref="S72" si="338">R72/100000</f>
        <v>-1006.0248680328098</v>
      </c>
      <c r="T72">
        <f t="shared" ref="T72" si="339">S72/1000</f>
        <v>-1.0060248680328097</v>
      </c>
    </row>
    <row r="73" spans="1:20" x14ac:dyDescent="0.25">
      <c r="A73" s="5">
        <v>44520</v>
      </c>
      <c r="B73">
        <v>1.538</v>
      </c>
      <c r="C73">
        <v>1.5489999999999999</v>
      </c>
      <c r="D73">
        <v>1.4810000000000001</v>
      </c>
      <c r="E73">
        <v>1.528</v>
      </c>
      <c r="F73">
        <v>4974335.4000000004</v>
      </c>
      <c r="G73">
        <v>1.528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0.38235294117647184</v>
      </c>
      <c r="Q73">
        <f t="shared" ref="Q73" si="341">F73*P73</f>
        <v>1901951.7705882418</v>
      </c>
      <c r="R73">
        <f t="shared" ref="R73" si="342">R74+Q73</f>
        <v>-99567429.391852409</v>
      </c>
      <c r="S73">
        <f t="shared" ref="S73" si="343">R73/100000</f>
        <v>-995.67429391852409</v>
      </c>
      <c r="T73">
        <f t="shared" ref="T73" si="344">S73/1000</f>
        <v>-0.99567429391852413</v>
      </c>
    </row>
    <row r="74" spans="1:20" x14ac:dyDescent="0.25">
      <c r="A74" s="5">
        <v>44519</v>
      </c>
      <c r="B74">
        <v>1.478</v>
      </c>
      <c r="C74">
        <v>1.5389999999999999</v>
      </c>
      <c r="D74">
        <v>1.448</v>
      </c>
      <c r="E74">
        <v>1.538</v>
      </c>
      <c r="F74">
        <v>4533183.0999999996</v>
      </c>
      <c r="G74">
        <v>1.538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0.97802197802198043</v>
      </c>
      <c r="Q74">
        <f t="shared" ref="Q74" si="346">F74*P74</f>
        <v>4433552.7021978125</v>
      </c>
      <c r="R74">
        <f t="shared" ref="R74" si="347">R75+Q74</f>
        <v>-101469381.16244066</v>
      </c>
      <c r="S74">
        <f t="shared" ref="S74" si="348">R74/100000</f>
        <v>-1014.6938116244065</v>
      </c>
      <c r="T74">
        <f t="shared" ref="T74" si="349">S74/1000</f>
        <v>-1.0146938116244064</v>
      </c>
    </row>
    <row r="75" spans="1:20" x14ac:dyDescent="0.25">
      <c r="A75" s="5">
        <v>44518</v>
      </c>
      <c r="B75">
        <v>1.5389999999999999</v>
      </c>
      <c r="C75">
        <v>1.6080000000000001</v>
      </c>
      <c r="D75">
        <v>1.4530000000000001</v>
      </c>
      <c r="E75">
        <v>1.478</v>
      </c>
      <c r="F75">
        <v>11707193.5</v>
      </c>
      <c r="G75">
        <v>1.478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-0.67741935483871085</v>
      </c>
      <c r="Q75">
        <f t="shared" ref="Q75" si="351">F75*P75</f>
        <v>-7930679.4677419495</v>
      </c>
      <c r="R75">
        <f t="shared" ref="R75" si="352">R76+Q75</f>
        <v>-105902933.86463846</v>
      </c>
      <c r="S75">
        <f t="shared" ref="S75" si="353">R75/100000</f>
        <v>-1059.0293386463845</v>
      </c>
      <c r="T75">
        <f t="shared" ref="T75" si="354">S75/1000</f>
        <v>-1.0590293386463845</v>
      </c>
    </row>
    <row r="76" spans="1:20" x14ac:dyDescent="0.25">
      <c r="A76" s="5">
        <v>44517</v>
      </c>
      <c r="B76">
        <v>1.5429999999999999</v>
      </c>
      <c r="C76">
        <v>1.56</v>
      </c>
      <c r="D76">
        <v>1.4470000000000001</v>
      </c>
      <c r="E76">
        <v>1.54</v>
      </c>
      <c r="F76">
        <v>6799600.2999999998</v>
      </c>
      <c r="G76">
        <v>1.54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0.64601769911504392</v>
      </c>
      <c r="Q76">
        <f t="shared" ref="Q76" si="356">F76*P76</f>
        <v>4392662.1407079622</v>
      </c>
      <c r="R76">
        <f t="shared" ref="R76" si="357">R77+Q76</f>
        <v>-97972254.396896511</v>
      </c>
      <c r="S76">
        <f t="shared" ref="S76" si="358">R76/100000</f>
        <v>-979.72254396896517</v>
      </c>
      <c r="T76">
        <f t="shared" ref="T76" si="359">S76/1000</f>
        <v>-0.97972254396896519</v>
      </c>
    </row>
    <row r="77" spans="1:20" x14ac:dyDescent="0.25">
      <c r="A77" s="5">
        <v>44516</v>
      </c>
      <c r="B77">
        <v>1.504</v>
      </c>
      <c r="C77">
        <v>1.579</v>
      </c>
      <c r="D77">
        <v>1.41</v>
      </c>
      <c r="E77">
        <v>1.5429999999999999</v>
      </c>
      <c r="F77">
        <v>16738296.6</v>
      </c>
      <c r="G77">
        <v>1.5429999999999999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0.57396449704141983</v>
      </c>
      <c r="Q77">
        <f t="shared" ref="Q77" si="361">F77*P77</f>
        <v>9607187.9893491082</v>
      </c>
      <c r="R77">
        <f t="shared" ref="R77" si="362">R78+Q77</f>
        <v>-102364916.53760448</v>
      </c>
      <c r="S77">
        <f t="shared" ref="S77" si="363">R77/100000</f>
        <v>-1023.6491653760448</v>
      </c>
      <c r="T77">
        <f t="shared" ref="T77" si="364">S77/1000</f>
        <v>-1.0236491653760449</v>
      </c>
    </row>
    <row r="78" spans="1:20" x14ac:dyDescent="0.25">
      <c r="A78" s="5">
        <v>44515</v>
      </c>
      <c r="B78">
        <v>1.496</v>
      </c>
      <c r="C78">
        <v>1.5580000000000001</v>
      </c>
      <c r="D78">
        <v>1.4850000000000001</v>
      </c>
      <c r="E78">
        <v>1.5049999999999999</v>
      </c>
      <c r="F78">
        <v>6207013.9000000004</v>
      </c>
      <c r="G78">
        <v>1.5049999999999999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-0.45205479452055319</v>
      </c>
      <c r="Q78">
        <f t="shared" ref="Q78" si="366">F78*P78</f>
        <v>-2805910.3931507175</v>
      </c>
      <c r="R78">
        <f t="shared" ref="R78" si="367">R79+Q78</f>
        <v>-111972104.52695359</v>
      </c>
      <c r="S78">
        <f t="shared" ref="S78" si="368">R78/100000</f>
        <v>-1119.721045269536</v>
      </c>
      <c r="T78">
        <f t="shared" ref="T78" si="369">S78/1000</f>
        <v>-1.1197210452695361</v>
      </c>
    </row>
    <row r="79" spans="1:20" x14ac:dyDescent="0.25">
      <c r="A79" s="5">
        <v>44514</v>
      </c>
      <c r="B79">
        <v>1.53</v>
      </c>
      <c r="C79">
        <v>1.5509999999999999</v>
      </c>
      <c r="D79">
        <v>1.4750000000000001</v>
      </c>
      <c r="E79">
        <v>1.4970000000000001</v>
      </c>
      <c r="F79">
        <v>4431246.7</v>
      </c>
      <c r="G79">
        <v>1.4970000000000001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-0.42105263157894568</v>
      </c>
      <c r="Q79">
        <f t="shared" ref="Q79" si="371">F79*P79</f>
        <v>-1865788.084210519</v>
      </c>
      <c r="R79">
        <f t="shared" ref="R79" si="372">R80+Q79</f>
        <v>-109166194.13380288</v>
      </c>
      <c r="S79">
        <f t="shared" ref="S79" si="373">R79/100000</f>
        <v>-1091.6619413380288</v>
      </c>
      <c r="T79">
        <f t="shared" ref="T79" si="374">S79/1000</f>
        <v>-1.0916619413380289</v>
      </c>
    </row>
    <row r="80" spans="1:20" x14ac:dyDescent="0.25">
      <c r="A80" s="5">
        <v>44513</v>
      </c>
      <c r="B80">
        <v>1.5349999999999999</v>
      </c>
      <c r="C80">
        <v>1.57</v>
      </c>
      <c r="D80">
        <v>1.51</v>
      </c>
      <c r="E80">
        <v>1.5309999999999999</v>
      </c>
      <c r="F80">
        <v>5761592.9000000004</v>
      </c>
      <c r="G80">
        <v>1.5309999999999999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-0.30000000000000371</v>
      </c>
      <c r="Q80">
        <f t="shared" ref="Q80" si="376">F80*P80</f>
        <v>-1728477.8700000215</v>
      </c>
      <c r="R80">
        <f t="shared" ref="R80" si="377">R81+Q80</f>
        <v>-107300406.04959236</v>
      </c>
      <c r="S80">
        <f t="shared" ref="S80" si="378">R80/100000</f>
        <v>-1073.0040604959236</v>
      </c>
      <c r="T80">
        <f t="shared" ref="T80" si="379">S80/1000</f>
        <v>-1.0730040604959237</v>
      </c>
    </row>
    <row r="81" spans="1:20" x14ac:dyDescent="0.25">
      <c r="A81" s="5">
        <v>44512</v>
      </c>
      <c r="B81">
        <v>1.5569999999999999</v>
      </c>
      <c r="C81">
        <v>1.573</v>
      </c>
      <c r="D81">
        <v>1.484</v>
      </c>
      <c r="E81">
        <v>1.5369999999999999</v>
      </c>
      <c r="F81">
        <v>5310753.0999999996</v>
      </c>
      <c r="G81">
        <v>1.5369999999999999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0.19101123595505518</v>
      </c>
      <c r="Q81">
        <f t="shared" ref="Q81" si="381">F81*P81</f>
        <v>1014413.5134831406</v>
      </c>
      <c r="R81">
        <f t="shared" ref="R81" si="382">R82+Q81</f>
        <v>-105571928.17959234</v>
      </c>
      <c r="S81">
        <f t="shared" ref="S81" si="383">R81/100000</f>
        <v>-1055.7192817959235</v>
      </c>
      <c r="T81">
        <f t="shared" ref="T81" si="384">S81/1000</f>
        <v>-1.0557192817959236</v>
      </c>
    </row>
    <row r="82" spans="1:20" x14ac:dyDescent="0.25">
      <c r="A82" s="5">
        <v>44511</v>
      </c>
      <c r="B82">
        <v>1.506</v>
      </c>
      <c r="C82">
        <v>1.583</v>
      </c>
      <c r="D82">
        <v>1.4990000000000001</v>
      </c>
      <c r="E82">
        <v>1.5569999999999999</v>
      </c>
      <c r="F82">
        <v>6576420.2000000002</v>
      </c>
      <c r="G82">
        <v>1.5569999999999999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0.38095238095237932</v>
      </c>
      <c r="Q82">
        <f t="shared" ref="Q82" si="386">F82*P82</f>
        <v>2505302.9333333229</v>
      </c>
      <c r="R82">
        <f t="shared" ref="R82" si="387">R83+Q82</f>
        <v>-106586341.69307548</v>
      </c>
      <c r="S82">
        <f t="shared" ref="S82" si="388">R82/100000</f>
        <v>-1065.8634169307547</v>
      </c>
      <c r="T82">
        <f t="shared" ref="T82" si="389">S82/1000</f>
        <v>-1.0658634169307548</v>
      </c>
    </row>
    <row r="83" spans="1:20" x14ac:dyDescent="0.25">
      <c r="A83" s="5">
        <v>44510</v>
      </c>
      <c r="B83">
        <v>1.579</v>
      </c>
      <c r="C83">
        <v>1.6279999999999999</v>
      </c>
      <c r="D83">
        <v>1.42</v>
      </c>
      <c r="E83">
        <v>1.5069999999999999</v>
      </c>
      <c r="F83">
        <v>10379348.300000001</v>
      </c>
      <c r="G83">
        <v>1.5069999999999999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-0.16346153846153863</v>
      </c>
      <c r="Q83">
        <f t="shared" ref="Q83" si="391">F83*P83</f>
        <v>-1696624.2413461558</v>
      </c>
      <c r="R83">
        <f t="shared" ref="R83" si="392">R84+Q83</f>
        <v>-109091644.6264088</v>
      </c>
      <c r="S83">
        <f t="shared" ref="S83" si="393">R83/100000</f>
        <v>-1090.9164462640881</v>
      </c>
      <c r="T83">
        <f t="shared" ref="T83" si="394">S83/1000</f>
        <v>-1.0909164462640881</v>
      </c>
    </row>
    <row r="84" spans="1:20" x14ac:dyDescent="0.25">
      <c r="A84" s="5">
        <v>44509</v>
      </c>
      <c r="B84">
        <v>1.601</v>
      </c>
      <c r="C84">
        <v>1.609</v>
      </c>
      <c r="D84">
        <v>1.57</v>
      </c>
      <c r="E84">
        <v>1.579</v>
      </c>
      <c r="F84">
        <v>6985008.4000000004</v>
      </c>
      <c r="G84">
        <v>1.579</v>
      </c>
      <c r="L84" t="s">
        <v>7</v>
      </c>
      <c r="M84" t="s">
        <v>7</v>
      </c>
      <c r="N84" t="s">
        <v>7</v>
      </c>
      <c r="P84">
        <f t="shared" ref="P84" si="395">IF(C84=D84,0,((E84-D84)-(C84-E84))/(C84-D84))</f>
        <v>-0.53846153846154288</v>
      </c>
      <c r="Q84">
        <f t="shared" ref="Q84" si="396">F84*P84</f>
        <v>-3761158.3692308003</v>
      </c>
      <c r="R84">
        <f t="shared" ref="R84" si="397">R85+Q84</f>
        <v>-107395020.38506265</v>
      </c>
      <c r="S84">
        <f t="shared" ref="S84" si="398">R84/100000</f>
        <v>-1073.9502038506264</v>
      </c>
      <c r="T84">
        <f t="shared" ref="T84" si="399">S84/1000</f>
        <v>-1.0739502038506263</v>
      </c>
    </row>
    <row r="85" spans="1:20" x14ac:dyDescent="0.25">
      <c r="A85" s="5">
        <v>44508</v>
      </c>
      <c r="B85">
        <v>1.6180000000000001</v>
      </c>
      <c r="C85">
        <v>1.631</v>
      </c>
      <c r="D85">
        <v>1.573</v>
      </c>
      <c r="E85">
        <v>1.601</v>
      </c>
      <c r="F85">
        <v>7329788.2999999998</v>
      </c>
      <c r="G85">
        <v>1.601</v>
      </c>
      <c r="L85" t="s">
        <v>7</v>
      </c>
      <c r="M85" t="s">
        <v>7</v>
      </c>
      <c r="N85" t="s">
        <v>7</v>
      </c>
      <c r="P85">
        <f t="shared" ref="P85" si="400">IF(C85=D85,0,((E85-D85)-(C85-E85))/(C85-D85))</f>
        <v>-3.4482758620689655E-2</v>
      </c>
      <c r="Q85">
        <f t="shared" ref="Q85" si="401">F85*P85</f>
        <v>-252751.32068965517</v>
      </c>
      <c r="R85">
        <f t="shared" ref="R85" si="402">R86+Q85</f>
        <v>-103633862.01583184</v>
      </c>
      <c r="S85">
        <f t="shared" ref="S85" si="403">R85/100000</f>
        <v>-1036.3386201583185</v>
      </c>
      <c r="T85">
        <f t="shared" ref="T85" si="404">S85/1000</f>
        <v>-1.0363386201583185</v>
      </c>
    </row>
    <row r="86" spans="1:20" x14ac:dyDescent="0.25">
      <c r="A86" s="5">
        <v>44507</v>
      </c>
      <c r="B86">
        <v>1.619</v>
      </c>
      <c r="C86">
        <v>1.6659999999999999</v>
      </c>
      <c r="D86">
        <v>1.609</v>
      </c>
      <c r="E86">
        <v>1.6180000000000001</v>
      </c>
      <c r="F86">
        <v>4281817</v>
      </c>
      <c r="G86">
        <v>1.6180000000000001</v>
      </c>
      <c r="L86" t="s">
        <v>7</v>
      </c>
      <c r="M86" t="s">
        <v>7</v>
      </c>
      <c r="N86" t="s">
        <v>7</v>
      </c>
      <c r="P86">
        <f t="shared" ref="P86" si="405">IF(C86=D86,0,((E86-D86)-(C86-E86))/(C86-D86))</f>
        <v>-0.68421052631578494</v>
      </c>
      <c r="Q86">
        <f t="shared" ref="Q86" si="406">F86*P86</f>
        <v>-2929664.2631578753</v>
      </c>
      <c r="R86">
        <f t="shared" ref="R86" si="407">R87+Q86</f>
        <v>-103381110.69514219</v>
      </c>
      <c r="S86">
        <f t="shared" ref="S86" si="408">R86/100000</f>
        <v>-1033.8111069514218</v>
      </c>
      <c r="T86">
        <f t="shared" ref="T86" si="409">S86/1000</f>
        <v>-1.0338111069514218</v>
      </c>
    </row>
    <row r="87" spans="1:20" x14ac:dyDescent="0.25">
      <c r="A87" s="5">
        <v>44506</v>
      </c>
      <c r="B87">
        <v>1.59</v>
      </c>
      <c r="C87">
        <v>1.6259999999999999</v>
      </c>
      <c r="D87">
        <v>1.55</v>
      </c>
      <c r="E87">
        <v>1.617</v>
      </c>
      <c r="F87">
        <v>5239481.3</v>
      </c>
      <c r="G87">
        <v>1.617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0.76315789473684437</v>
      </c>
      <c r="Q87">
        <f t="shared" ref="Q87" si="411">F87*P87</f>
        <v>3998551.5184210641</v>
      </c>
      <c r="R87">
        <f t="shared" ref="R87" si="412">R88+Q87</f>
        <v>-100451446.43198432</v>
      </c>
      <c r="S87">
        <f t="shared" ref="S87" si="413">R87/100000</f>
        <v>-1004.5144643198432</v>
      </c>
      <c r="T87">
        <f t="shared" ref="T87" si="414">S87/1000</f>
        <v>-1.0045144643198431</v>
      </c>
    </row>
    <row r="88" spans="1:20" x14ac:dyDescent="0.25">
      <c r="A88" s="5">
        <v>44505</v>
      </c>
      <c r="B88">
        <v>1.6559999999999999</v>
      </c>
      <c r="C88">
        <v>1.673</v>
      </c>
      <c r="D88">
        <v>1.5529999999999999</v>
      </c>
      <c r="E88">
        <v>1.591</v>
      </c>
      <c r="F88">
        <v>6378805.9000000004</v>
      </c>
      <c r="G88">
        <v>1.591</v>
      </c>
      <c r="L88" t="s">
        <v>7</v>
      </c>
      <c r="M88" t="s">
        <v>7</v>
      </c>
      <c r="N88" t="s">
        <v>7</v>
      </c>
      <c r="P88">
        <f t="shared" ref="P88" si="415">IF(C88=D88,0,((E88-D88)-(C88-E88))/(C88-D88))</f>
        <v>-0.36666666666666664</v>
      </c>
      <c r="Q88">
        <f t="shared" ref="Q88" si="416">F88*P88</f>
        <v>-2338895.4966666666</v>
      </c>
      <c r="R88">
        <f t="shared" ref="R88" si="417">R89+Q88</f>
        <v>-104449997.95040539</v>
      </c>
      <c r="S88">
        <f t="shared" ref="S88" si="418">R88/100000</f>
        <v>-1044.499979504054</v>
      </c>
      <c r="T88">
        <f t="shared" ref="T88" si="419">S88/1000</f>
        <v>-1.0444999795040539</v>
      </c>
    </row>
    <row r="89" spans="1:20" x14ac:dyDescent="0.25">
      <c r="A89" s="5">
        <v>44504</v>
      </c>
      <c r="B89">
        <v>1.6930000000000001</v>
      </c>
      <c r="C89">
        <v>1.736</v>
      </c>
      <c r="D89">
        <v>1.6240000000000001</v>
      </c>
      <c r="E89">
        <v>1.655</v>
      </c>
      <c r="F89">
        <v>6773535</v>
      </c>
      <c r="G89">
        <v>1.655</v>
      </c>
      <c r="L89" t="s">
        <v>7</v>
      </c>
      <c r="M89" t="s">
        <v>7</v>
      </c>
      <c r="N89" t="s">
        <v>7</v>
      </c>
      <c r="P89">
        <f t="shared" ref="P89" si="420">IF(C89=D89,0,((E89-D89)-(C89-E89))/(C89-D89))</f>
        <v>-0.44642857142857234</v>
      </c>
      <c r="Q89">
        <f t="shared" ref="Q89" si="421">F89*P89</f>
        <v>-3023899.5535714347</v>
      </c>
      <c r="R89">
        <f t="shared" ref="R89" si="422">R90+Q89</f>
        <v>-102111102.45373872</v>
      </c>
      <c r="S89">
        <f t="shared" ref="S89" si="423">R89/100000</f>
        <v>-1021.1110245373872</v>
      </c>
      <c r="T89">
        <f t="shared" ref="T89" si="424">S89/1000</f>
        <v>-1.0211110245373871</v>
      </c>
    </row>
    <row r="90" spans="1:20" x14ac:dyDescent="0.25">
      <c r="A90" s="5">
        <v>44503</v>
      </c>
      <c r="B90">
        <v>1.8380000000000001</v>
      </c>
      <c r="C90">
        <v>1.9</v>
      </c>
      <c r="D90">
        <v>1.6579999999999999</v>
      </c>
      <c r="E90">
        <v>1.6930000000000001</v>
      </c>
      <c r="F90">
        <v>11823376</v>
      </c>
      <c r="G90">
        <v>1.6930000000000001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-0.71074380165289142</v>
      </c>
      <c r="Q90">
        <f t="shared" ref="Q90" si="426">F90*P90</f>
        <v>-8403391.2066115569</v>
      </c>
      <c r="R90">
        <f t="shared" ref="R90" si="427">R91+Q90</f>
        <v>-99087202.900167286</v>
      </c>
      <c r="S90">
        <f t="shared" ref="S90" si="428">R90/100000</f>
        <v>-990.8720290016729</v>
      </c>
      <c r="T90">
        <f t="shared" ref="T90" si="429">S90/1000</f>
        <v>-0.99087202900167293</v>
      </c>
    </row>
    <row r="91" spans="1:20" x14ac:dyDescent="0.25">
      <c r="A91" s="5">
        <v>44502</v>
      </c>
      <c r="B91">
        <v>1.63</v>
      </c>
      <c r="C91">
        <v>1.873</v>
      </c>
      <c r="D91">
        <v>1.6</v>
      </c>
      <c r="E91">
        <v>1.837</v>
      </c>
      <c r="F91">
        <v>20503355.899999999</v>
      </c>
      <c r="G91">
        <v>1.837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0.73626373626373598</v>
      </c>
      <c r="Q91">
        <f t="shared" ref="Q91" si="431">F91*P91</f>
        <v>15095877.420879114</v>
      </c>
      <c r="R91">
        <f t="shared" ref="R91" si="432">R92+Q91</f>
        <v>-90683811.693555728</v>
      </c>
      <c r="S91">
        <f t="shared" ref="S91" si="433">R91/100000</f>
        <v>-906.83811693555731</v>
      </c>
      <c r="T91">
        <f t="shared" ref="T91" si="434">S91/1000</f>
        <v>-0.90683811693555727</v>
      </c>
    </row>
    <row r="92" spans="1:20" x14ac:dyDescent="0.25">
      <c r="A92" s="5">
        <v>44501</v>
      </c>
      <c r="B92">
        <v>1.59</v>
      </c>
      <c r="C92">
        <v>1.6419999999999999</v>
      </c>
      <c r="D92">
        <v>1.5469999999999999</v>
      </c>
      <c r="E92">
        <v>1.631</v>
      </c>
      <c r="F92">
        <v>5832349.4000000004</v>
      </c>
      <c r="G92">
        <v>1.631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0.768421052631581</v>
      </c>
      <c r="Q92">
        <f t="shared" ref="Q92" si="436">F92*P92</f>
        <v>4481700.0652631698</v>
      </c>
      <c r="R92">
        <f t="shared" ref="R92" si="437">R93+Q92</f>
        <v>-105779689.11443484</v>
      </c>
      <c r="S92">
        <f t="shared" ref="S92" si="438">R92/100000</f>
        <v>-1057.7968911443484</v>
      </c>
      <c r="T92">
        <f t="shared" ref="T92" si="439">S92/1000</f>
        <v>-1.0577968911443483</v>
      </c>
    </row>
    <row r="93" spans="1:20" x14ac:dyDescent="0.25">
      <c r="A93" s="5">
        <v>44500</v>
      </c>
      <c r="B93">
        <v>1.601</v>
      </c>
      <c r="C93">
        <v>1.6240000000000001</v>
      </c>
      <c r="D93">
        <v>1.5289999999999999</v>
      </c>
      <c r="E93">
        <v>1.59</v>
      </c>
      <c r="F93">
        <v>4456580.8</v>
      </c>
      <c r="G93">
        <v>1.59</v>
      </c>
      <c r="L93" t="s">
        <v>8</v>
      </c>
      <c r="M93" t="s">
        <v>8</v>
      </c>
      <c r="N93" t="s">
        <v>7</v>
      </c>
      <c r="P93">
        <f t="shared" ref="P93" si="440">IF(C93=D93,0,((E93-D93)-(C93-E93))/(C93-D93))</f>
        <v>0.2842105263157903</v>
      </c>
      <c r="Q93">
        <f t="shared" ref="Q93" si="441">F93*P93</f>
        <v>1266607.1747368458</v>
      </c>
      <c r="R93">
        <f t="shared" ref="R93" si="442">R94+Q93</f>
        <v>-110261389.17969801</v>
      </c>
      <c r="S93">
        <f t="shared" ref="S93" si="443">R93/100000</f>
        <v>-1102.6138917969799</v>
      </c>
      <c r="T93">
        <f t="shared" ref="T93" si="444">S93/1000</f>
        <v>-1.1026138917969799</v>
      </c>
    </row>
    <row r="94" spans="1:20" x14ac:dyDescent="0.25">
      <c r="A94" s="5">
        <v>44499</v>
      </c>
      <c r="B94">
        <v>1.6339999999999999</v>
      </c>
      <c r="C94">
        <v>1.6379999999999999</v>
      </c>
      <c r="D94">
        <v>1.573</v>
      </c>
      <c r="E94">
        <v>1.601</v>
      </c>
      <c r="F94">
        <v>3537690</v>
      </c>
      <c r="G94">
        <v>1.601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-0.138461538461537</v>
      </c>
      <c r="Q94">
        <f t="shared" ref="Q94" si="446">F94*P94</f>
        <v>-489833.99999999482</v>
      </c>
      <c r="R94">
        <f t="shared" ref="R94" si="447">R95+Q94</f>
        <v>-111527996.35443485</v>
      </c>
      <c r="S94">
        <f t="shared" ref="S94" si="448">R94/100000</f>
        <v>-1115.2799635443484</v>
      </c>
      <c r="T94">
        <f t="shared" ref="T94" si="449">S94/1000</f>
        <v>-1.1152799635443484</v>
      </c>
    </row>
    <row r="95" spans="1:20" x14ac:dyDescent="0.25">
      <c r="A95" s="5">
        <v>44498</v>
      </c>
      <c r="B95">
        <v>1.569</v>
      </c>
      <c r="C95">
        <v>1.639</v>
      </c>
      <c r="D95">
        <v>1.5589999999999999</v>
      </c>
      <c r="E95">
        <v>1.633</v>
      </c>
      <c r="F95">
        <v>4478696.0999999996</v>
      </c>
      <c r="G95">
        <v>1.633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0.85</v>
      </c>
      <c r="Q95">
        <f t="shared" ref="Q95" si="451">F95*P95</f>
        <v>3806891.6849999996</v>
      </c>
      <c r="R95">
        <f t="shared" ref="R95" si="452">R96+Q95</f>
        <v>-111038162.35443485</v>
      </c>
      <c r="S95">
        <f t="shared" ref="S95" si="453">R95/100000</f>
        <v>-1110.3816235443485</v>
      </c>
      <c r="T95">
        <f t="shared" ref="T95" si="454">S95/1000</f>
        <v>-1.1103816235443484</v>
      </c>
    </row>
    <row r="96" spans="1:20" x14ac:dyDescent="0.25">
      <c r="A96" s="5">
        <v>44497</v>
      </c>
      <c r="B96">
        <v>1.484</v>
      </c>
      <c r="C96">
        <v>1.577</v>
      </c>
      <c r="D96">
        <v>1.4690000000000001</v>
      </c>
      <c r="E96">
        <v>1.5660000000000001</v>
      </c>
      <c r="F96">
        <v>5722308.9000000004</v>
      </c>
      <c r="G96">
        <v>1.5660000000000001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0.79629629629629795</v>
      </c>
      <c r="Q96">
        <f t="shared" ref="Q96" si="456">F96*P96</f>
        <v>4556653.3833333431</v>
      </c>
      <c r="R96">
        <f t="shared" ref="R96" si="457">R97+Q96</f>
        <v>-114845054.03943485</v>
      </c>
      <c r="S96">
        <f t="shared" ref="S96" si="458">R96/100000</f>
        <v>-1148.4505403943485</v>
      </c>
      <c r="T96">
        <f t="shared" ref="T96" si="459">S96/1000</f>
        <v>-1.1484505403943486</v>
      </c>
    </row>
    <row r="97" spans="1:20" x14ac:dyDescent="0.25">
      <c r="A97" s="5">
        <v>44496</v>
      </c>
      <c r="B97">
        <v>1.6080000000000001</v>
      </c>
      <c r="C97">
        <v>1.643</v>
      </c>
      <c r="D97">
        <v>1.3680000000000001</v>
      </c>
      <c r="E97">
        <v>1.484</v>
      </c>
      <c r="F97">
        <v>6808903</v>
      </c>
      <c r="G97">
        <v>1.484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-0.15636363636363695</v>
      </c>
      <c r="Q97">
        <f t="shared" ref="Q97" si="461">F97*P97</f>
        <v>-1064664.8327272767</v>
      </c>
      <c r="R97">
        <f t="shared" ref="R97" si="462">R98+Q97</f>
        <v>-119401707.42276819</v>
      </c>
      <c r="S97">
        <f t="shared" ref="S97" si="463">R97/100000</f>
        <v>-1194.0170742276819</v>
      </c>
      <c r="T97">
        <f t="shared" ref="T97" si="464">S97/1000</f>
        <v>-1.1940170742276819</v>
      </c>
    </row>
    <row r="98" spans="1:20" x14ac:dyDescent="0.25">
      <c r="A98" s="5">
        <v>44495</v>
      </c>
      <c r="B98">
        <v>1.613</v>
      </c>
      <c r="C98">
        <v>1.66</v>
      </c>
      <c r="D98">
        <v>1.597</v>
      </c>
      <c r="E98">
        <v>1.6080000000000001</v>
      </c>
      <c r="F98">
        <v>5332728.5</v>
      </c>
      <c r="G98">
        <v>1.6080000000000001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-0.65079365079364671</v>
      </c>
      <c r="Q98">
        <f t="shared" ref="Q98" si="466">F98*P98</f>
        <v>-3470505.8492063275</v>
      </c>
      <c r="R98">
        <f t="shared" ref="R98" si="467">R99+Q98</f>
        <v>-118337042.59004091</v>
      </c>
      <c r="S98">
        <f t="shared" ref="S98" si="468">R98/100000</f>
        <v>-1183.3704259004091</v>
      </c>
      <c r="T98">
        <f t="shared" ref="T98" si="469">S98/1000</f>
        <v>-1.1833704259004092</v>
      </c>
    </row>
    <row r="99" spans="1:20" x14ac:dyDescent="0.25">
      <c r="A99" s="5">
        <v>44494</v>
      </c>
      <c r="B99">
        <v>1.5720000000000001</v>
      </c>
      <c r="C99">
        <v>1.629</v>
      </c>
      <c r="D99">
        <v>1.5620000000000001</v>
      </c>
      <c r="E99">
        <v>1.613</v>
      </c>
      <c r="F99">
        <v>3396321.8</v>
      </c>
      <c r="G99">
        <v>1.613</v>
      </c>
      <c r="L99" t="s">
        <v>7</v>
      </c>
      <c r="M99" t="s">
        <v>8</v>
      </c>
      <c r="N99" t="s">
        <v>7</v>
      </c>
      <c r="P99">
        <f t="shared" ref="P99" si="470">IF(C99=D99,0,((E99-D99)-(C99-E99))/(C99-D99))</f>
        <v>0.52238805970149171</v>
      </c>
      <c r="Q99">
        <f t="shared" ref="Q99" si="471">F99*P99</f>
        <v>1774197.9552238777</v>
      </c>
      <c r="R99">
        <f t="shared" ref="R99" si="472">R100+Q99</f>
        <v>-114866536.74083458</v>
      </c>
      <c r="S99">
        <f t="shared" ref="S99" si="473">R99/100000</f>
        <v>-1148.6653674083459</v>
      </c>
      <c r="T99">
        <f t="shared" ref="T99" si="474">S99/1000</f>
        <v>-1.1486653674083458</v>
      </c>
    </row>
    <row r="100" spans="1:20" x14ac:dyDescent="0.25">
      <c r="A100" s="5">
        <v>44493</v>
      </c>
      <c r="B100">
        <v>1.617</v>
      </c>
      <c r="C100">
        <v>1.621</v>
      </c>
      <c r="D100">
        <v>1.532</v>
      </c>
      <c r="E100">
        <v>1.573</v>
      </c>
      <c r="F100">
        <v>4451605.8</v>
      </c>
      <c r="G100">
        <v>1.573</v>
      </c>
      <c r="L100" t="s">
        <v>7</v>
      </c>
      <c r="M100" t="s">
        <v>8</v>
      </c>
      <c r="N100" t="s">
        <v>7</v>
      </c>
      <c r="P100">
        <f t="shared" ref="P100" si="475">IF(C100=D100,0,((E100-D100)-(C100-E100))/(C100-D100))</f>
        <v>-7.8651685393259771E-2</v>
      </c>
      <c r="Q100">
        <f t="shared" ref="Q100" si="476">F100*P100</f>
        <v>-350126.29887641047</v>
      </c>
      <c r="R100">
        <f t="shared" ref="R100" si="477">R101+Q100</f>
        <v>-116640734.69605845</v>
      </c>
      <c r="S100">
        <f t="shared" ref="S100" si="478">R100/100000</f>
        <v>-1166.4073469605846</v>
      </c>
      <c r="T100">
        <f t="shared" ref="T100" si="479">S100/1000</f>
        <v>-1.1664073469605847</v>
      </c>
    </row>
    <row r="101" spans="1:20" x14ac:dyDescent="0.25">
      <c r="A101" s="5">
        <v>44492</v>
      </c>
      <c r="B101">
        <v>1.615</v>
      </c>
      <c r="C101">
        <v>1.6339999999999999</v>
      </c>
      <c r="D101">
        <v>1.5980000000000001</v>
      </c>
      <c r="E101">
        <v>1.617</v>
      </c>
      <c r="F101">
        <v>2640971.7999999998</v>
      </c>
      <c r="G101">
        <v>1.617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5.5555555555555899E-2</v>
      </c>
      <c r="Q101">
        <f t="shared" ref="Q101" si="481">F101*P101</f>
        <v>146720.65555555644</v>
      </c>
      <c r="R101">
        <f t="shared" ref="R101" si="482">R102+Q101</f>
        <v>-116290608.39718205</v>
      </c>
      <c r="S101">
        <f t="shared" ref="S101" si="483">R101/100000</f>
        <v>-1162.9060839718204</v>
      </c>
      <c r="T101">
        <f t="shared" ref="T101" si="484">S101/1000</f>
        <v>-1.1629060839718204</v>
      </c>
    </row>
    <row r="102" spans="1:20" x14ac:dyDescent="0.25">
      <c r="A102" s="5">
        <v>44491</v>
      </c>
      <c r="B102">
        <v>1.601</v>
      </c>
      <c r="C102">
        <v>1.641</v>
      </c>
      <c r="D102">
        <v>1.5780000000000001</v>
      </c>
      <c r="E102">
        <v>1.6160000000000001</v>
      </c>
      <c r="F102">
        <v>4468014.9000000004</v>
      </c>
      <c r="G102">
        <v>1.6160000000000001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0.20634920634920847</v>
      </c>
      <c r="Q102">
        <f t="shared" ref="Q102" si="486">F102*P102</f>
        <v>921971.32857143809</v>
      </c>
      <c r="R102">
        <f t="shared" ref="R102" si="487">R103+Q102</f>
        <v>-116437329.05273761</v>
      </c>
      <c r="S102">
        <f t="shared" ref="S102" si="488">R102/100000</f>
        <v>-1164.3732905273762</v>
      </c>
      <c r="T102">
        <f t="shared" ref="T102" si="489">S102/1000</f>
        <v>-1.1643732905273763</v>
      </c>
    </row>
    <row r="103" spans="1:20" x14ac:dyDescent="0.25">
      <c r="A103" s="5">
        <v>44490</v>
      </c>
      <c r="B103">
        <v>1.6579999999999999</v>
      </c>
      <c r="C103">
        <v>1.732</v>
      </c>
      <c r="D103">
        <v>1.59</v>
      </c>
      <c r="E103">
        <v>1.6020000000000001</v>
      </c>
      <c r="F103">
        <v>8575310.0999999996</v>
      </c>
      <c r="G103">
        <v>1.6020000000000001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-0.83098591549295753</v>
      </c>
      <c r="Q103">
        <f t="shared" ref="Q103" si="491">F103*P103</f>
        <v>-7125961.9140845053</v>
      </c>
      <c r="R103">
        <f t="shared" ref="R103" si="492">R104+Q103</f>
        <v>-117359300.38130905</v>
      </c>
      <c r="S103">
        <f t="shared" ref="S103" si="493">R103/100000</f>
        <v>-1173.5930038130905</v>
      </c>
      <c r="T103">
        <f t="shared" ref="T103" si="494">S103/1000</f>
        <v>-1.1735930038130904</v>
      </c>
    </row>
    <row r="104" spans="1:20" x14ac:dyDescent="0.25">
      <c r="A104" s="5">
        <v>44489</v>
      </c>
      <c r="B104">
        <v>1.617</v>
      </c>
      <c r="C104">
        <v>1.673</v>
      </c>
      <c r="D104">
        <v>1.6060000000000001</v>
      </c>
      <c r="E104">
        <v>1.6559999999999999</v>
      </c>
      <c r="F104">
        <v>3989045.3</v>
      </c>
      <c r="G104">
        <v>1.6559999999999999</v>
      </c>
      <c r="L104" t="s">
        <v>7</v>
      </c>
      <c r="M104" t="s">
        <v>7</v>
      </c>
      <c r="N104" t="s">
        <v>7</v>
      </c>
      <c r="P104">
        <f t="shared" ref="P104" si="495">IF(C104=D104,0,((E104-D104)-(C104-E104))/(C104-D104))</f>
        <v>0.49253731343283169</v>
      </c>
      <c r="Q104">
        <f t="shared" ref="Q104" si="496">F104*P104</f>
        <v>1964753.6552238641</v>
      </c>
      <c r="R104">
        <f t="shared" ref="R104" si="497">R105+Q104</f>
        <v>-110233338.46722454</v>
      </c>
      <c r="S104">
        <f t="shared" ref="S104" si="498">R104/100000</f>
        <v>-1102.3333846722453</v>
      </c>
      <c r="T104">
        <f t="shared" ref="T104" si="499">S104/1000</f>
        <v>-1.1023333846722454</v>
      </c>
    </row>
    <row r="105" spans="1:20" x14ac:dyDescent="0.25">
      <c r="A105" s="5">
        <v>44488</v>
      </c>
      <c r="B105">
        <v>1.611</v>
      </c>
      <c r="C105">
        <v>1.67</v>
      </c>
      <c r="D105">
        <v>1.5880000000000001</v>
      </c>
      <c r="E105">
        <v>1.617</v>
      </c>
      <c r="F105">
        <v>4605505.0999999996</v>
      </c>
      <c r="G105">
        <v>1.617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-0.29268292682926911</v>
      </c>
      <c r="Q105">
        <f t="shared" ref="Q105" si="501">F105*P105</f>
        <v>-1347952.7121951256</v>
      </c>
      <c r="R105">
        <f t="shared" ref="R105" si="502">R106+Q105</f>
        <v>-112198092.1224484</v>
      </c>
      <c r="S105">
        <f t="shared" ref="S105" si="503">R105/100000</f>
        <v>-1121.9809212244841</v>
      </c>
      <c r="T105">
        <f t="shared" ref="T105" si="504">S105/1000</f>
        <v>-1.121980921224484</v>
      </c>
    </row>
    <row r="106" spans="1:20" x14ac:dyDescent="0.25">
      <c r="A106" s="5">
        <v>44487</v>
      </c>
      <c r="B106">
        <v>1.625</v>
      </c>
      <c r="C106">
        <v>1.637</v>
      </c>
      <c r="D106">
        <v>1.5720000000000001</v>
      </c>
      <c r="E106">
        <v>1.609</v>
      </c>
      <c r="F106">
        <v>4286313.5999999996</v>
      </c>
      <c r="G106">
        <v>1.609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0.138461538461537</v>
      </c>
      <c r="Q106">
        <f t="shared" ref="Q106" si="506">F106*P106</f>
        <v>593489.57538460905</v>
      </c>
      <c r="R106">
        <f t="shared" ref="R106" si="507">R107+Q106</f>
        <v>-110850139.41025327</v>
      </c>
      <c r="S106">
        <f t="shared" ref="S106" si="508">R106/100000</f>
        <v>-1108.5013941025327</v>
      </c>
      <c r="T106">
        <f t="shared" ref="T106" si="509">S106/1000</f>
        <v>-1.1085013941025328</v>
      </c>
    </row>
    <row r="107" spans="1:20" x14ac:dyDescent="0.25">
      <c r="A107" s="5">
        <v>44486</v>
      </c>
      <c r="B107">
        <v>1.5880000000000001</v>
      </c>
      <c r="C107">
        <v>1.681</v>
      </c>
      <c r="D107">
        <v>1.542</v>
      </c>
      <c r="E107">
        <v>1.6279999999999999</v>
      </c>
      <c r="F107">
        <v>9333301.9000000004</v>
      </c>
      <c r="G107">
        <v>1.6279999999999999</v>
      </c>
      <c r="L107" t="s">
        <v>8</v>
      </c>
      <c r="M107" t="s">
        <v>7</v>
      </c>
      <c r="N107" t="s">
        <v>7</v>
      </c>
      <c r="P107">
        <f t="shared" ref="P107" si="510">IF(C107=D107,0,((E107-D107)-(C107-E107))/(C107-D107))</f>
        <v>0.23741007194244385</v>
      </c>
      <c r="Q107">
        <f t="shared" ref="Q107" si="511">F107*P107</f>
        <v>2215819.8755395478</v>
      </c>
      <c r="R107">
        <f t="shared" ref="R107" si="512">R108+Q107</f>
        <v>-111443628.98563787</v>
      </c>
      <c r="S107">
        <f t="shared" ref="S107" si="513">R107/100000</f>
        <v>-1114.4362898563788</v>
      </c>
      <c r="T107">
        <f t="shared" ref="T107" si="514">S107/1000</f>
        <v>-1.1144362898563789</v>
      </c>
    </row>
    <row r="108" spans="1:20" x14ac:dyDescent="0.25">
      <c r="A108" s="5">
        <v>44485</v>
      </c>
      <c r="B108">
        <v>1.61</v>
      </c>
      <c r="C108">
        <v>1.645</v>
      </c>
      <c r="D108">
        <v>1.57</v>
      </c>
      <c r="E108">
        <v>1.5880000000000001</v>
      </c>
      <c r="F108">
        <v>4946251.8</v>
      </c>
      <c r="G108">
        <v>1.5880000000000001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-0.51999999999999924</v>
      </c>
      <c r="Q108">
        <f t="shared" ref="Q108" si="516">F108*P108</f>
        <v>-2572050.935999996</v>
      </c>
      <c r="R108">
        <f t="shared" ref="R108" si="517">R109+Q108</f>
        <v>-113659448.86117741</v>
      </c>
      <c r="S108">
        <f t="shared" ref="S108" si="518">R108/100000</f>
        <v>-1136.5944886117741</v>
      </c>
      <c r="T108">
        <f t="shared" ref="T108" si="519">S108/1000</f>
        <v>-1.136594488611774</v>
      </c>
    </row>
    <row r="109" spans="1:20" x14ac:dyDescent="0.25">
      <c r="A109" s="5">
        <v>44484</v>
      </c>
      <c r="B109">
        <v>1.637</v>
      </c>
      <c r="C109">
        <v>1.66</v>
      </c>
      <c r="D109">
        <v>1.5049999999999999</v>
      </c>
      <c r="E109">
        <v>1.61</v>
      </c>
      <c r="F109">
        <v>11737791.800000001</v>
      </c>
      <c r="G109">
        <v>1.61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0.35483870967742176</v>
      </c>
      <c r="Q109">
        <f t="shared" ref="Q109" si="521">F109*P109</f>
        <v>4165022.8967742221</v>
      </c>
      <c r="R109">
        <f t="shared" ref="R109" si="522">R110+Q109</f>
        <v>-111087397.92517743</v>
      </c>
      <c r="S109">
        <f t="shared" ref="S109" si="523">R109/100000</f>
        <v>-1110.8739792517742</v>
      </c>
      <c r="T109">
        <f t="shared" ref="T109" si="524">S109/1000</f>
        <v>-1.1108739792517743</v>
      </c>
    </row>
    <row r="110" spans="1:20" x14ac:dyDescent="0.25">
      <c r="A110" s="5">
        <v>44483</v>
      </c>
      <c r="B110">
        <v>1.609</v>
      </c>
      <c r="C110">
        <v>1.68</v>
      </c>
      <c r="D110">
        <v>1.6060000000000001</v>
      </c>
      <c r="E110">
        <v>1.637</v>
      </c>
      <c r="F110">
        <v>9654843.1999999993</v>
      </c>
      <c r="G110">
        <v>1.637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-0.16216216216216264</v>
      </c>
      <c r="Q110">
        <f t="shared" ref="Q110" si="526">F110*P110</f>
        <v>-1565650.2486486533</v>
      </c>
      <c r="R110">
        <f t="shared" ref="R110" si="527">R111+Q110</f>
        <v>-115252420.82195164</v>
      </c>
      <c r="S110">
        <f t="shared" ref="S110" si="528">R110/100000</f>
        <v>-1152.5242082195164</v>
      </c>
      <c r="T110">
        <f t="shared" ref="T110" si="529">S110/1000</f>
        <v>-1.1525242082195164</v>
      </c>
    </row>
    <row r="111" spans="1:20" x14ac:dyDescent="0.25">
      <c r="A111" s="5">
        <v>44482</v>
      </c>
      <c r="B111">
        <v>1.6259999999999999</v>
      </c>
      <c r="C111">
        <v>1.669</v>
      </c>
      <c r="D111">
        <v>1.5580000000000001</v>
      </c>
      <c r="E111">
        <v>1.609</v>
      </c>
      <c r="F111">
        <v>11291496.1</v>
      </c>
      <c r="G111">
        <v>1.609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-8.1081081081082168E-2</v>
      </c>
      <c r="Q111">
        <f t="shared" ref="Q111" si="531">F111*P111</f>
        <v>-915526.71081082302</v>
      </c>
      <c r="R111">
        <f t="shared" ref="R111" si="532">R112+Q111</f>
        <v>-113686770.57330298</v>
      </c>
      <c r="S111">
        <f t="shared" ref="S111" si="533">R111/100000</f>
        <v>-1136.8677057330299</v>
      </c>
      <c r="T111">
        <f t="shared" ref="T111" si="534">S111/1000</f>
        <v>-1.1368677057330299</v>
      </c>
    </row>
    <row r="112" spans="1:20" x14ac:dyDescent="0.25">
      <c r="A112" s="5">
        <v>44481</v>
      </c>
      <c r="B112">
        <v>1.5449999999999999</v>
      </c>
      <c r="C112">
        <v>1.655</v>
      </c>
      <c r="D112">
        <v>1.4730000000000001</v>
      </c>
      <c r="E112">
        <v>1.6259999999999999</v>
      </c>
      <c r="F112">
        <v>19216069.899999999</v>
      </c>
      <c r="G112">
        <v>1.6259999999999999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0.68131868131867968</v>
      </c>
      <c r="Q112">
        <f t="shared" ref="Q112" si="536">F112*P112</f>
        <v>13092267.404395571</v>
      </c>
      <c r="R112">
        <f t="shared" ref="R112" si="537">R113+Q112</f>
        <v>-112771243.86249216</v>
      </c>
      <c r="S112">
        <f t="shared" ref="S112" si="538">R112/100000</f>
        <v>-1127.7124386249216</v>
      </c>
      <c r="T112">
        <f t="shared" ref="T112" si="539">S112/1000</f>
        <v>-1.1277124386249215</v>
      </c>
    </row>
    <row r="113" spans="1:20" x14ac:dyDescent="0.25">
      <c r="A113" s="5">
        <v>44480</v>
      </c>
      <c r="B113">
        <v>1.6779999999999999</v>
      </c>
      <c r="C113">
        <v>1.792</v>
      </c>
      <c r="D113">
        <v>1.532</v>
      </c>
      <c r="E113">
        <v>1.5449999999999999</v>
      </c>
      <c r="F113">
        <v>17249679.699999999</v>
      </c>
      <c r="G113">
        <v>1.5449999999999999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-0.9000000000000008</v>
      </c>
      <c r="Q113">
        <f t="shared" ref="Q113" si="541">F113*P113</f>
        <v>-15524711.730000013</v>
      </c>
      <c r="R113">
        <f t="shared" ref="R113" si="542">R114+Q113</f>
        <v>-125863511.26688772</v>
      </c>
      <c r="S113">
        <f t="shared" ref="S113" si="543">R113/100000</f>
        <v>-1258.6351126688774</v>
      </c>
      <c r="T113">
        <f t="shared" ref="T113" si="544">S113/1000</f>
        <v>-1.2586351126688773</v>
      </c>
    </row>
    <row r="114" spans="1:20" x14ac:dyDescent="0.25">
      <c r="A114" s="5">
        <v>44479</v>
      </c>
      <c r="B114">
        <v>1.909</v>
      </c>
      <c r="C114">
        <v>1.97</v>
      </c>
      <c r="D114">
        <v>1.6619999999999999</v>
      </c>
      <c r="E114">
        <v>1.6759999999999999</v>
      </c>
      <c r="F114">
        <v>35671921.200000003</v>
      </c>
      <c r="G114">
        <v>1.6759999999999999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-0.90909090909090906</v>
      </c>
      <c r="Q114">
        <f t="shared" ref="Q114" si="546">F114*P114</f>
        <v>-32429019.272727273</v>
      </c>
      <c r="R114">
        <f t="shared" ref="R114" si="547">R115+Q114</f>
        <v>-110338799.53688771</v>
      </c>
      <c r="S114">
        <f t="shared" ref="S114" si="548">R114/100000</f>
        <v>-1103.387995368877</v>
      </c>
      <c r="T114">
        <f t="shared" ref="T114" si="549">S114/1000</f>
        <v>-1.103387995368877</v>
      </c>
    </row>
    <row r="115" spans="1:20" x14ac:dyDescent="0.25">
      <c r="A115" s="5">
        <v>44478</v>
      </c>
      <c r="B115">
        <v>1.5780000000000001</v>
      </c>
      <c r="C115">
        <v>4.4000000000000004</v>
      </c>
      <c r="D115">
        <v>1.5720000000000001</v>
      </c>
      <c r="E115">
        <v>1.913</v>
      </c>
      <c r="F115">
        <v>84854763.599999994</v>
      </c>
      <c r="G115">
        <v>1.913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-0.75884016973125878</v>
      </c>
      <c r="Q115">
        <f t="shared" ref="Q115" si="551">F115*P115</f>
        <v>-64391203.212729834</v>
      </c>
      <c r="R115">
        <f t="shared" ref="R115" si="552">R116+Q115</f>
        <v>-77909780.264160424</v>
      </c>
      <c r="S115">
        <f t="shared" ref="S115" si="553">R115/100000</f>
        <v>-779.09780264160429</v>
      </c>
      <c r="T115">
        <f t="shared" ref="T115" si="554">S115/1000</f>
        <v>-0.77909780264160433</v>
      </c>
    </row>
    <row r="116" spans="1:20" x14ac:dyDescent="0.25">
      <c r="A116" s="5">
        <v>44477</v>
      </c>
      <c r="B116">
        <v>1.5409999999999999</v>
      </c>
      <c r="C116">
        <v>1.625</v>
      </c>
      <c r="D116">
        <v>1.51</v>
      </c>
      <c r="E116">
        <v>1.575</v>
      </c>
      <c r="F116">
        <v>4454598.5999999996</v>
      </c>
      <c r="G116">
        <v>1.575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0.13043478260869482</v>
      </c>
      <c r="Q116">
        <f t="shared" ref="Q116" si="556">F116*P116</f>
        <v>581034.59999999625</v>
      </c>
      <c r="R116">
        <f t="shared" ref="R116" si="557">R117+Q116</f>
        <v>-13518577.051430594</v>
      </c>
      <c r="S116">
        <f t="shared" ref="S116" si="558">R116/100000</f>
        <v>-135.18577051430594</v>
      </c>
      <c r="T116">
        <f t="shared" ref="T116" si="559">S116/1000</f>
        <v>-0.13518577051430594</v>
      </c>
    </row>
    <row r="117" spans="1:20" x14ac:dyDescent="0.25">
      <c r="A117" s="5">
        <v>44476</v>
      </c>
      <c r="B117">
        <v>1.4790000000000001</v>
      </c>
      <c r="C117">
        <v>1.5680000000000001</v>
      </c>
      <c r="D117">
        <v>1.4319999999999999</v>
      </c>
      <c r="E117">
        <v>1.5409999999999999</v>
      </c>
      <c r="F117">
        <v>4542508.8</v>
      </c>
      <c r="G117">
        <v>1.5409999999999999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0.60294117647058665</v>
      </c>
      <c r="Q117">
        <f t="shared" ref="Q117" si="561">F117*P117</f>
        <v>2738865.5999999926</v>
      </c>
      <c r="R117">
        <f t="shared" ref="R117" si="562">R118+Q117</f>
        <v>-14099611.65143059</v>
      </c>
      <c r="S117">
        <f t="shared" ref="S117" si="563">R117/100000</f>
        <v>-140.9961165143059</v>
      </c>
      <c r="T117">
        <f t="shared" ref="T117" si="564">S117/1000</f>
        <v>-0.14099611651430591</v>
      </c>
    </row>
    <row r="118" spans="1:20" x14ac:dyDescent="0.25">
      <c r="A118" s="5">
        <v>44475</v>
      </c>
      <c r="B118">
        <v>1.4410000000000001</v>
      </c>
      <c r="C118">
        <v>1.512</v>
      </c>
      <c r="D118">
        <v>1.357</v>
      </c>
      <c r="E118">
        <v>1.478</v>
      </c>
      <c r="F118">
        <v>5423127.5</v>
      </c>
      <c r="G118">
        <v>1.478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0.56129032258064482</v>
      </c>
      <c r="Q118">
        <f t="shared" ref="Q118" si="566">F118*P118</f>
        <v>3043948.9838709659</v>
      </c>
      <c r="R118">
        <f t="shared" ref="R118" si="567">R119+Q118</f>
        <v>-16838477.251430582</v>
      </c>
      <c r="S118">
        <f t="shared" ref="S118" si="568">R118/100000</f>
        <v>-168.38477251430581</v>
      </c>
      <c r="T118">
        <f t="shared" ref="T118" si="569">S118/1000</f>
        <v>-0.16838477251430581</v>
      </c>
    </row>
    <row r="119" spans="1:20" x14ac:dyDescent="0.25">
      <c r="A119" s="5">
        <v>44474</v>
      </c>
      <c r="B119">
        <v>1.3009999999999999</v>
      </c>
      <c r="C119">
        <v>1.45</v>
      </c>
      <c r="D119">
        <v>1.2949999999999999</v>
      </c>
      <c r="E119">
        <v>1.4410000000000001</v>
      </c>
      <c r="F119">
        <v>8794970.3000000007</v>
      </c>
      <c r="G119">
        <v>1.4410000000000001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0.88387096774193685</v>
      </c>
      <c r="Q119">
        <f t="shared" ref="Q119" si="571">F119*P119</f>
        <v>7773618.9103225935</v>
      </c>
      <c r="R119">
        <f t="shared" ref="R119" si="572">R120+Q119</f>
        <v>-19882426.235301547</v>
      </c>
      <c r="S119">
        <f t="shared" ref="S119" si="573">R119/100000</f>
        <v>-198.82426235301546</v>
      </c>
      <c r="T119">
        <f t="shared" ref="T119" si="574">S119/1000</f>
        <v>-0.19882426235301545</v>
      </c>
    </row>
    <row r="120" spans="1:20" x14ac:dyDescent="0.25">
      <c r="A120" s="5">
        <v>44473</v>
      </c>
      <c r="B120">
        <v>1.2290000000000001</v>
      </c>
      <c r="C120">
        <v>1.32</v>
      </c>
      <c r="D120">
        <v>1.1870000000000001</v>
      </c>
      <c r="E120">
        <v>1.296</v>
      </c>
      <c r="F120">
        <v>6265561.4000000004</v>
      </c>
      <c r="G120">
        <v>1.296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0.63909774436090194</v>
      </c>
      <c r="Q120">
        <f t="shared" ref="Q120" si="576">F120*P120</f>
        <v>4004306.1578947352</v>
      </c>
      <c r="R120">
        <f t="shared" ref="R120" si="577">R121+Q120</f>
        <v>-27656045.145624138</v>
      </c>
      <c r="S120">
        <f t="shared" ref="S120" si="578">R120/100000</f>
        <v>-276.56045145624137</v>
      </c>
      <c r="T120">
        <f t="shared" ref="T120" si="579">S120/1000</f>
        <v>-0.27656045145624136</v>
      </c>
    </row>
    <row r="121" spans="1:20" x14ac:dyDescent="0.25">
      <c r="A121" s="5">
        <v>44472</v>
      </c>
      <c r="B121">
        <v>1.1990000000000001</v>
      </c>
      <c r="C121">
        <v>1.252</v>
      </c>
      <c r="D121">
        <v>1.1850000000000001</v>
      </c>
      <c r="E121">
        <v>1.226</v>
      </c>
      <c r="F121">
        <v>3315380.4</v>
      </c>
      <c r="G121">
        <v>1.226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0.22388059701492408</v>
      </c>
      <c r="Q121">
        <f t="shared" ref="Q121" si="581">F121*P121</f>
        <v>742249.34328357782</v>
      </c>
      <c r="R121">
        <f t="shared" ref="R121" si="582">R122+Q121</f>
        <v>-31660351.303518873</v>
      </c>
      <c r="S121">
        <f t="shared" ref="S121" si="583">R121/100000</f>
        <v>-316.60351303518871</v>
      </c>
      <c r="T121">
        <f t="shared" ref="T121" si="584">S121/1000</f>
        <v>-0.31660351303518869</v>
      </c>
    </row>
    <row r="122" spans="1:20" x14ac:dyDescent="0.25">
      <c r="A122" s="5">
        <v>44471</v>
      </c>
      <c r="B122">
        <v>1.2430000000000001</v>
      </c>
      <c r="C122">
        <v>1.2549999999999999</v>
      </c>
      <c r="D122">
        <v>1.175</v>
      </c>
      <c r="E122">
        <v>1.198</v>
      </c>
      <c r="F122">
        <v>4263678.4000000004</v>
      </c>
      <c r="G122">
        <v>1.198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-0.42500000000000115</v>
      </c>
      <c r="Q122">
        <f t="shared" ref="Q122" si="586">F122*P122</f>
        <v>-1812063.3200000052</v>
      </c>
      <c r="R122">
        <f t="shared" ref="R122" si="587">R123+Q122</f>
        <v>-32402600.646802451</v>
      </c>
      <c r="S122">
        <f t="shared" ref="S122" si="588">R122/100000</f>
        <v>-324.02600646802449</v>
      </c>
      <c r="T122">
        <f t="shared" ref="T122" si="589">S122/1000</f>
        <v>-0.32402600646802449</v>
      </c>
    </row>
    <row r="123" spans="1:20" x14ac:dyDescent="0.25">
      <c r="A123" s="5">
        <v>44470</v>
      </c>
      <c r="B123">
        <v>1.085</v>
      </c>
      <c r="C123">
        <v>1.2450000000000001</v>
      </c>
      <c r="D123">
        <v>1.081</v>
      </c>
      <c r="E123">
        <v>1.2430000000000001</v>
      </c>
      <c r="F123">
        <v>5423194.5</v>
      </c>
      <c r="G123">
        <v>1.2430000000000001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0.97560975609756095</v>
      </c>
      <c r="Q123">
        <f t="shared" ref="Q123" si="591">F123*P123</f>
        <v>5290921.4634146336</v>
      </c>
      <c r="R123">
        <f t="shared" ref="R123" si="592">R124+Q123</f>
        <v>-30590537.326802447</v>
      </c>
      <c r="S123">
        <f t="shared" ref="S123" si="593">R123/100000</f>
        <v>-305.90537326802445</v>
      </c>
      <c r="T123">
        <f t="shared" ref="T123" si="594">S123/1000</f>
        <v>-0.30590537326802447</v>
      </c>
    </row>
    <row r="124" spans="1:20" x14ac:dyDescent="0.25">
      <c r="A124" s="5">
        <v>44469</v>
      </c>
      <c r="B124">
        <v>1.04</v>
      </c>
      <c r="C124">
        <v>1.087</v>
      </c>
      <c r="D124">
        <v>1.0289999999999999</v>
      </c>
      <c r="E124">
        <v>1.0840000000000001</v>
      </c>
      <c r="F124">
        <v>4391248.8</v>
      </c>
      <c r="G124">
        <v>1.0840000000000001</v>
      </c>
      <c r="L124" t="s">
        <v>8</v>
      </c>
      <c r="M124" t="s">
        <v>8</v>
      </c>
      <c r="N124" t="s">
        <v>7</v>
      </c>
      <c r="P124">
        <f t="shared" ref="P124" si="595">IF(C124=D124,0,((E124-D124)-(C124-E124))/(C124-D124))</f>
        <v>0.89655172413793482</v>
      </c>
      <c r="Q124">
        <f t="shared" ref="Q124" si="596">F124*P124</f>
        <v>3936981.6827586372</v>
      </c>
      <c r="R124">
        <f t="shared" ref="R124" si="597">R125+Q124</f>
        <v>-35881458.790217079</v>
      </c>
      <c r="S124">
        <f t="shared" ref="S124" si="598">R124/100000</f>
        <v>-358.81458790217079</v>
      </c>
      <c r="T124">
        <f t="shared" ref="T124" si="599">S124/1000</f>
        <v>-0.3588145879021708</v>
      </c>
    </row>
    <row r="125" spans="1:20" x14ac:dyDescent="0.25">
      <c r="A125" s="5">
        <v>44468</v>
      </c>
      <c r="B125">
        <v>1.0289999999999999</v>
      </c>
      <c r="C125">
        <v>1.0740000000000001</v>
      </c>
      <c r="D125">
        <v>1.0209999999999999</v>
      </c>
      <c r="E125">
        <v>1.04</v>
      </c>
      <c r="F125">
        <v>2336502.9</v>
      </c>
      <c r="G125">
        <v>1.04</v>
      </c>
      <c r="L125" t="s">
        <v>7</v>
      </c>
      <c r="M125" t="s">
        <v>8</v>
      </c>
      <c r="N125" t="s">
        <v>7</v>
      </c>
      <c r="P125">
        <f t="shared" ref="P125" si="600">IF(C125=D125,0,((E125-D125)-(C125-E125))/(C125-D125))</f>
        <v>-0.28301886792452563</v>
      </c>
      <c r="Q125">
        <f t="shared" ref="Q125" si="601">F125*P125</f>
        <v>-661274.40566037106</v>
      </c>
      <c r="R125">
        <f t="shared" ref="R125" si="602">R126+Q125</f>
        <v>-39818440.472975716</v>
      </c>
      <c r="S125">
        <f t="shared" ref="S125" si="603">R125/100000</f>
        <v>-398.18440472975715</v>
      </c>
      <c r="T125">
        <f t="shared" ref="T125" si="604">S125/1000</f>
        <v>-0.39818440472975714</v>
      </c>
    </row>
    <row r="126" spans="1:20" x14ac:dyDescent="0.25">
      <c r="A126" s="5">
        <v>44467</v>
      </c>
      <c r="B126">
        <v>1.052</v>
      </c>
      <c r="C126">
        <v>1.083</v>
      </c>
      <c r="D126">
        <v>1.0169999999999999</v>
      </c>
      <c r="E126">
        <v>1.028</v>
      </c>
      <c r="F126">
        <v>2066841.7</v>
      </c>
      <c r="G126">
        <v>1.028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-0.6666666666666633</v>
      </c>
      <c r="Q126">
        <f t="shared" ref="Q126" si="606">F126*P126</f>
        <v>-1377894.4666666596</v>
      </c>
      <c r="R126">
        <f t="shared" ref="R126" si="607">R127+Q126</f>
        <v>-39157166.067315347</v>
      </c>
      <c r="S126">
        <f t="shared" ref="S126" si="608">R126/100000</f>
        <v>-391.57166067315347</v>
      </c>
      <c r="T126">
        <f t="shared" ref="T126" si="609">S126/1000</f>
        <v>-0.39157166067315347</v>
      </c>
    </row>
    <row r="127" spans="1:20" x14ac:dyDescent="0.25">
      <c r="A127" s="5">
        <v>44466</v>
      </c>
      <c r="B127">
        <v>1.056</v>
      </c>
      <c r="C127">
        <v>1.105</v>
      </c>
      <c r="D127">
        <v>1.046</v>
      </c>
      <c r="E127">
        <v>1.052</v>
      </c>
      <c r="F127">
        <v>1894395.5</v>
      </c>
      <c r="G127">
        <v>1.052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-0.79661016949152508</v>
      </c>
      <c r="Q127">
        <f t="shared" ref="Q127" si="611">F127*P127</f>
        <v>-1509094.7203389823</v>
      </c>
      <c r="R127">
        <f t="shared" ref="R127" si="612">R128+Q127</f>
        <v>-37779271.600648686</v>
      </c>
      <c r="S127">
        <f t="shared" ref="S127" si="613">R127/100000</f>
        <v>-377.79271600648684</v>
      </c>
      <c r="T127">
        <f t="shared" ref="T127" si="614">S127/1000</f>
        <v>-0.37779271600648684</v>
      </c>
    </row>
    <row r="128" spans="1:20" x14ac:dyDescent="0.25">
      <c r="A128" s="5">
        <v>44465</v>
      </c>
      <c r="B128">
        <v>1.0649999999999999</v>
      </c>
      <c r="C128">
        <v>1.1339999999999999</v>
      </c>
      <c r="D128">
        <v>1</v>
      </c>
      <c r="E128">
        <v>1.0569999999999999</v>
      </c>
      <c r="F128">
        <v>6615364.4000000004</v>
      </c>
      <c r="G128">
        <v>1.0569999999999999</v>
      </c>
      <c r="L128" t="s">
        <v>7</v>
      </c>
      <c r="M128" t="s">
        <v>8</v>
      </c>
      <c r="N128" t="s">
        <v>7</v>
      </c>
      <c r="P128">
        <f t="shared" ref="P128" si="615">IF(C128=D128,0,((E128-D128)-(C128-E128))/(C128-D128))</f>
        <v>-0.14925373134328382</v>
      </c>
      <c r="Q128">
        <f t="shared" ref="Q128" si="616">F128*P128</f>
        <v>-987367.820895524</v>
      </c>
      <c r="R128">
        <f t="shared" ref="R128" si="617">R129+Q128</f>
        <v>-36270176.880309701</v>
      </c>
      <c r="S128">
        <f t="shared" ref="S128" si="618">R128/100000</f>
        <v>-362.70176880309702</v>
      </c>
      <c r="T128">
        <f t="shared" ref="T128" si="619">S128/1000</f>
        <v>-0.36270176880309701</v>
      </c>
    </row>
    <row r="129" spans="1:20" x14ac:dyDescent="0.25">
      <c r="A129" s="5">
        <v>44464</v>
      </c>
      <c r="B129">
        <v>1.101</v>
      </c>
      <c r="C129">
        <v>1.129</v>
      </c>
      <c r="D129">
        <v>1.042</v>
      </c>
      <c r="E129">
        <v>1.0669999999999999</v>
      </c>
      <c r="F129">
        <v>1718344</v>
      </c>
      <c r="G129">
        <v>1.0669999999999999</v>
      </c>
      <c r="L129" t="s">
        <v>8</v>
      </c>
      <c r="M129" t="s">
        <v>8</v>
      </c>
      <c r="N129" t="s">
        <v>7</v>
      </c>
      <c r="P129">
        <f t="shared" ref="P129" si="620">IF(C129=D129,0,((E129-D129)-(C129-E129))/(C129-D129))</f>
        <v>-0.42528735632184089</v>
      </c>
      <c r="Q129">
        <f t="shared" ref="Q129" si="621">F129*P129</f>
        <v>-730789.97701149737</v>
      </c>
      <c r="R129">
        <f t="shared" ref="R129" si="622">R130+Q129</f>
        <v>-35282809.059414178</v>
      </c>
      <c r="S129">
        <f t="shared" ref="S129" si="623">R129/100000</f>
        <v>-352.82809059414177</v>
      </c>
      <c r="T129">
        <f t="shared" ref="T129" si="624">S129/1000</f>
        <v>-0.35282809059414177</v>
      </c>
    </row>
    <row r="130" spans="1:20" x14ac:dyDescent="0.25">
      <c r="A130" s="5">
        <v>44463</v>
      </c>
      <c r="B130">
        <v>1.1579999999999999</v>
      </c>
      <c r="C130">
        <v>1.161</v>
      </c>
      <c r="D130">
        <v>1.0169999999999999</v>
      </c>
      <c r="E130">
        <v>1.1000000000000001</v>
      </c>
      <c r="F130">
        <v>2813792.8</v>
      </c>
      <c r="G130">
        <v>1.1000000000000001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0.15277777777777932</v>
      </c>
      <c r="Q130">
        <f t="shared" ref="Q130" si="626">F130*P130</f>
        <v>429885.0111111154</v>
      </c>
      <c r="R130">
        <f t="shared" ref="R130" si="627">R131+Q130</f>
        <v>-34552019.082402684</v>
      </c>
      <c r="S130">
        <f t="shared" ref="S130" si="628">R130/100000</f>
        <v>-345.52019082402683</v>
      </c>
      <c r="T130">
        <f t="shared" ref="T130" si="629">S130/1000</f>
        <v>-0.34552019082402685</v>
      </c>
    </row>
    <row r="131" spans="1:20" x14ac:dyDescent="0.25">
      <c r="A131" s="5">
        <v>44462</v>
      </c>
      <c r="B131">
        <v>1.1539999999999999</v>
      </c>
      <c r="C131">
        <v>1.165</v>
      </c>
      <c r="D131">
        <v>1.1120000000000001</v>
      </c>
      <c r="E131">
        <v>1.157</v>
      </c>
      <c r="F131">
        <v>1957790.8</v>
      </c>
      <c r="G131">
        <v>1.157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0.69811320754716921</v>
      </c>
      <c r="Q131">
        <f t="shared" ref="Q131" si="631">F131*P131</f>
        <v>1366759.6150943385</v>
      </c>
      <c r="R131">
        <f t="shared" ref="R131" si="632">R132+Q131</f>
        <v>-34981904.093513802</v>
      </c>
      <c r="S131">
        <f t="shared" ref="S131" si="633">R131/100000</f>
        <v>-349.81904093513799</v>
      </c>
      <c r="T131">
        <f t="shared" ref="T131" si="634">S131/1000</f>
        <v>-0.34981904093513799</v>
      </c>
    </row>
    <row r="132" spans="1:20" x14ac:dyDescent="0.25">
      <c r="A132" s="5">
        <v>44461</v>
      </c>
      <c r="B132">
        <v>1.028</v>
      </c>
      <c r="C132">
        <v>1.1719999999999999</v>
      </c>
      <c r="D132">
        <v>1.006</v>
      </c>
      <c r="E132">
        <v>1.155</v>
      </c>
      <c r="F132">
        <v>2138780.7000000002</v>
      </c>
      <c r="G132">
        <v>1.155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0.79518072289156738</v>
      </c>
      <c r="Q132">
        <f t="shared" ref="Q132" si="636">F132*P132</f>
        <v>1700717.1831325328</v>
      </c>
      <c r="R132">
        <f t="shared" ref="R132" si="637">R133+Q132</f>
        <v>-36348663.708608143</v>
      </c>
      <c r="S132">
        <f t="shared" ref="S132" si="638">R132/100000</f>
        <v>-363.48663708608143</v>
      </c>
      <c r="T132">
        <f t="shared" ref="T132" si="639">S132/1000</f>
        <v>-0.36348663708608142</v>
      </c>
    </row>
    <row r="133" spans="1:20" x14ac:dyDescent="0.25">
      <c r="A133" s="5">
        <v>44460</v>
      </c>
      <c r="B133">
        <v>1.0569999999999999</v>
      </c>
      <c r="C133">
        <v>1.1040000000000001</v>
      </c>
      <c r="D133">
        <v>0.99099999999999999</v>
      </c>
      <c r="E133">
        <v>1.028</v>
      </c>
      <c r="F133">
        <v>2850261.9</v>
      </c>
      <c r="G133">
        <v>1.028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-0.34513274336283184</v>
      </c>
      <c r="Q133">
        <f t="shared" ref="Q133" si="641">F133*P133</f>
        <v>-983718.70884955744</v>
      </c>
      <c r="R133">
        <f t="shared" ref="R133" si="642">R134+Q133</f>
        <v>-38049380.891740672</v>
      </c>
      <c r="S133">
        <f t="shared" ref="S133" si="643">R133/100000</f>
        <v>-380.49380891740674</v>
      </c>
      <c r="T133">
        <f t="shared" ref="T133" si="644">S133/1000</f>
        <v>-0.38049380891740675</v>
      </c>
    </row>
    <row r="134" spans="1:20" x14ac:dyDescent="0.25">
      <c r="A134" s="5">
        <v>44459</v>
      </c>
      <c r="B134">
        <v>1.2170000000000001</v>
      </c>
      <c r="C134">
        <v>1.22</v>
      </c>
      <c r="D134">
        <v>1.085</v>
      </c>
      <c r="E134">
        <v>1.105</v>
      </c>
      <c r="F134">
        <v>1688864.5</v>
      </c>
      <c r="G134">
        <v>1.105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-0.7037037037037035</v>
      </c>
      <c r="Q134">
        <f t="shared" ref="Q134" si="646">F134*P134</f>
        <v>-1188460.2037037034</v>
      </c>
      <c r="R134">
        <f t="shared" ref="R134" si="647">R135+Q134</f>
        <v>-37065662.182891116</v>
      </c>
      <c r="S134">
        <f t="shared" ref="S134" si="648">R134/100000</f>
        <v>-370.65662182891117</v>
      </c>
      <c r="T134">
        <f t="shared" ref="T134" si="649">S134/1000</f>
        <v>-0.37065662182891118</v>
      </c>
    </row>
    <row r="135" spans="1:20" x14ac:dyDescent="0.25">
      <c r="A135" s="5">
        <v>44458</v>
      </c>
      <c r="B135">
        <v>1.2789999999999999</v>
      </c>
      <c r="C135">
        <v>1.2849999999999999</v>
      </c>
      <c r="D135">
        <v>1.214</v>
      </c>
      <c r="E135">
        <v>1.2170000000000001</v>
      </c>
      <c r="F135">
        <v>1634927.2</v>
      </c>
      <c r="G135">
        <v>1.2170000000000001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-0.91549295774647566</v>
      </c>
      <c r="Q135">
        <f t="shared" ref="Q135" si="651">F135*P135</f>
        <v>-1496764.3380281636</v>
      </c>
      <c r="R135">
        <f t="shared" ref="R135" si="652">R136+Q135</f>
        <v>-35877201.979187414</v>
      </c>
      <c r="S135">
        <f t="shared" ref="S135" si="653">R135/100000</f>
        <v>-358.77201979187413</v>
      </c>
      <c r="T135">
        <f t="shared" ref="T135" si="654">S135/1000</f>
        <v>-0.35877201979187412</v>
      </c>
    </row>
    <row r="136" spans="1:20" x14ac:dyDescent="0.25">
      <c r="A136" s="5">
        <v>44457</v>
      </c>
      <c r="B136">
        <v>1.2470000000000001</v>
      </c>
      <c r="C136">
        <v>1.3009999999999999</v>
      </c>
      <c r="D136">
        <v>1.232</v>
      </c>
      <c r="E136">
        <v>1.2789999999999999</v>
      </c>
      <c r="F136">
        <v>1674283.8</v>
      </c>
      <c r="G136">
        <v>1.2789999999999999</v>
      </c>
      <c r="L136" t="s">
        <v>7</v>
      </c>
      <c r="M136" t="s">
        <v>7</v>
      </c>
      <c r="N136" t="s">
        <v>7</v>
      </c>
      <c r="P136">
        <f t="shared" ref="P136" si="655">IF(C136=D136,0,((E136-D136)-(C136-E136))/(C136-D136))</f>
        <v>0.36231884057970914</v>
      </c>
      <c r="Q136">
        <f t="shared" ref="Q136" si="656">F136*P136</f>
        <v>606624.56521738961</v>
      </c>
      <c r="R136">
        <f t="shared" ref="R136" si="657">R137+Q136</f>
        <v>-34380437.641159251</v>
      </c>
      <c r="S136">
        <f t="shared" ref="S136" si="658">R136/100000</f>
        <v>-343.8043764115925</v>
      </c>
      <c r="T136">
        <f t="shared" ref="T136" si="659">S136/1000</f>
        <v>-0.3438043764115925</v>
      </c>
    </row>
    <row r="137" spans="1:20" x14ac:dyDescent="0.25">
      <c r="A137" s="5">
        <v>44456</v>
      </c>
      <c r="B137">
        <v>1.32</v>
      </c>
      <c r="C137">
        <v>1.327</v>
      </c>
      <c r="D137">
        <v>1.2310000000000001</v>
      </c>
      <c r="E137">
        <v>1.2430000000000001</v>
      </c>
      <c r="F137">
        <v>2211027.6</v>
      </c>
      <c r="G137">
        <v>1.2430000000000001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-0.74999999999999944</v>
      </c>
      <c r="Q137">
        <f t="shared" ref="Q137" si="661">F137*P137</f>
        <v>-1658270.6999999988</v>
      </c>
      <c r="R137">
        <f t="shared" ref="R137" si="662">R138+Q137</f>
        <v>-34987062.206376642</v>
      </c>
      <c r="S137">
        <f t="shared" ref="S137" si="663">R137/100000</f>
        <v>-349.8706220637664</v>
      </c>
      <c r="T137">
        <f t="shared" ref="T137" si="664">S137/1000</f>
        <v>-0.3498706220637664</v>
      </c>
    </row>
    <row r="138" spans="1:20" x14ac:dyDescent="0.25">
      <c r="A138" s="5">
        <v>44455</v>
      </c>
      <c r="B138">
        <v>1.3620000000000001</v>
      </c>
      <c r="C138">
        <v>1.3660000000000001</v>
      </c>
      <c r="D138">
        <v>1.296</v>
      </c>
      <c r="E138">
        <v>1.32</v>
      </c>
      <c r="F138">
        <v>2600371.4</v>
      </c>
      <c r="G138">
        <v>1.32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-0.31428571428571428</v>
      </c>
      <c r="Q138">
        <f t="shared" ref="Q138" si="666">F138*P138</f>
        <v>-817259.58285714278</v>
      </c>
      <c r="R138">
        <f t="shared" ref="R138" si="667">R139+Q138</f>
        <v>-33328791.506376646</v>
      </c>
      <c r="S138">
        <f t="shared" ref="S138" si="668">R138/100000</f>
        <v>-333.28791506376649</v>
      </c>
      <c r="T138">
        <f t="shared" ref="T138" si="669">S138/1000</f>
        <v>-0.33328791506376648</v>
      </c>
    </row>
    <row r="139" spans="1:20" x14ac:dyDescent="0.25">
      <c r="A139" s="5">
        <v>44454</v>
      </c>
      <c r="B139">
        <v>1.3620000000000001</v>
      </c>
      <c r="C139">
        <v>1.369</v>
      </c>
      <c r="D139">
        <v>1.333</v>
      </c>
      <c r="E139">
        <v>1.3620000000000001</v>
      </c>
      <c r="F139">
        <v>2209447</v>
      </c>
      <c r="G139">
        <v>1.3620000000000001</v>
      </c>
      <c r="L139" t="s">
        <v>7</v>
      </c>
      <c r="M139" t="s">
        <v>7</v>
      </c>
      <c r="N139" t="s">
        <v>7</v>
      </c>
      <c r="P139">
        <f t="shared" ref="P139" si="670">IF(C139=D139,0,((E139-D139)-(C139-E139))/(C139-D139))</f>
        <v>0.61111111111111727</v>
      </c>
      <c r="Q139">
        <f t="shared" ref="Q139" si="671">F139*P139</f>
        <v>1350217.6111111247</v>
      </c>
      <c r="R139">
        <f t="shared" ref="R139" si="672">R140+Q139</f>
        <v>-32511531.923519503</v>
      </c>
      <c r="S139">
        <f t="shared" ref="S139" si="673">R139/100000</f>
        <v>-325.11531923519505</v>
      </c>
      <c r="T139">
        <f t="shared" ref="T139" si="674">S139/1000</f>
        <v>-0.32511531923519504</v>
      </c>
    </row>
    <row r="140" spans="1:20" x14ac:dyDescent="0.25">
      <c r="A140" s="5">
        <v>44453</v>
      </c>
      <c r="B140">
        <v>1.325</v>
      </c>
      <c r="C140">
        <v>1.3620000000000001</v>
      </c>
      <c r="D140">
        <v>1.3109999999999999</v>
      </c>
      <c r="E140">
        <v>1.36</v>
      </c>
      <c r="F140">
        <v>2830913.7</v>
      </c>
      <c r="G140">
        <v>1.36</v>
      </c>
      <c r="L140" t="s">
        <v>7</v>
      </c>
      <c r="M140" t="s">
        <v>7</v>
      </c>
      <c r="N140" t="s">
        <v>7</v>
      </c>
      <c r="P140">
        <f t="shared" ref="P140" si="675">IF(C140=D140,0,((E140-D140)-(C140-E140))/(C140-D140))</f>
        <v>0.92156862745098056</v>
      </c>
      <c r="Q140">
        <f t="shared" ref="Q140" si="676">F140*P140</f>
        <v>2608881.2529411772</v>
      </c>
      <c r="R140">
        <f t="shared" ref="R140" si="677">R141+Q140</f>
        <v>-33861749.534630626</v>
      </c>
      <c r="S140">
        <f t="shared" ref="S140" si="678">R140/100000</f>
        <v>-338.61749534630627</v>
      </c>
      <c r="T140">
        <f t="shared" ref="T140" si="679">S140/1000</f>
        <v>-0.33861749534630625</v>
      </c>
    </row>
    <row r="141" spans="1:20" x14ac:dyDescent="0.25">
      <c r="A141" s="5">
        <v>44452</v>
      </c>
      <c r="B141">
        <v>1.3779999999999999</v>
      </c>
      <c r="C141">
        <v>1.393</v>
      </c>
      <c r="D141">
        <v>1.276</v>
      </c>
      <c r="E141">
        <v>1.3220000000000001</v>
      </c>
      <c r="F141">
        <v>2156974.6</v>
      </c>
      <c r="G141">
        <v>1.3220000000000001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-0.21367521367521292</v>
      </c>
      <c r="Q141">
        <f t="shared" ref="Q141" si="681">F141*P141</f>
        <v>-460892.00854700693</v>
      </c>
      <c r="R141">
        <f t="shared" ref="R141" si="682">R142+Q141</f>
        <v>-36470630.787571803</v>
      </c>
      <c r="S141">
        <f t="shared" ref="S141" si="683">R141/100000</f>
        <v>-364.70630787571804</v>
      </c>
      <c r="T141">
        <f t="shared" ref="T141" si="684">S141/1000</f>
        <v>-0.36470630787571806</v>
      </c>
    </row>
    <row r="142" spans="1:20" x14ac:dyDescent="0.25">
      <c r="A142" s="5">
        <v>44451</v>
      </c>
      <c r="B142">
        <v>1.3420000000000001</v>
      </c>
      <c r="C142">
        <v>1.403</v>
      </c>
      <c r="D142">
        <v>1.323</v>
      </c>
      <c r="E142">
        <v>1.38</v>
      </c>
      <c r="F142">
        <v>1968477.9</v>
      </c>
      <c r="G142">
        <v>1.38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0.42499999999999721</v>
      </c>
      <c r="Q142">
        <f t="shared" ref="Q142" si="686">F142*P142</f>
        <v>836603.10749999445</v>
      </c>
      <c r="R142">
        <f t="shared" ref="R142" si="687">R143+Q142</f>
        <v>-36009738.779024795</v>
      </c>
      <c r="S142">
        <f t="shared" ref="S142" si="688">R142/100000</f>
        <v>-360.09738779024792</v>
      </c>
      <c r="T142">
        <f t="shared" ref="T142" si="689">S142/1000</f>
        <v>-0.36009738779024791</v>
      </c>
    </row>
    <row r="143" spans="1:20" x14ac:dyDescent="0.25">
      <c r="A143" s="5">
        <v>44450</v>
      </c>
      <c r="B143">
        <v>1.3420000000000001</v>
      </c>
      <c r="C143">
        <v>1.375</v>
      </c>
      <c r="D143">
        <v>1.3160000000000001</v>
      </c>
      <c r="E143">
        <v>1.34</v>
      </c>
      <c r="F143">
        <v>1458415.8</v>
      </c>
      <c r="G143">
        <v>1.34</v>
      </c>
      <c r="L143" t="s">
        <v>7</v>
      </c>
      <c r="M143" t="s">
        <v>7</v>
      </c>
      <c r="N143" t="s">
        <v>7</v>
      </c>
      <c r="P143">
        <f t="shared" ref="P143" si="690">IF(C143=D143,0,((E143-D143)-(C143-E143))/(C143-D143))</f>
        <v>-0.18644067796610017</v>
      </c>
      <c r="Q143">
        <f t="shared" ref="Q143" si="691">F143*P143</f>
        <v>-271908.03050847235</v>
      </c>
      <c r="R143">
        <f t="shared" ref="R143" si="692">R144+Q143</f>
        <v>-36846341.886524789</v>
      </c>
      <c r="S143">
        <f t="shared" ref="S143" si="693">R143/100000</f>
        <v>-368.46341886524789</v>
      </c>
      <c r="T143">
        <f t="shared" ref="T143" si="694">S143/1000</f>
        <v>-0.36846341886524792</v>
      </c>
    </row>
    <row r="144" spans="1:20" x14ac:dyDescent="0.25">
      <c r="A144" s="5">
        <v>44449</v>
      </c>
      <c r="B144">
        <v>1.3839999999999999</v>
      </c>
      <c r="C144">
        <v>1.44</v>
      </c>
      <c r="D144">
        <v>1.32</v>
      </c>
      <c r="E144">
        <v>1.3420000000000001</v>
      </c>
      <c r="F144">
        <v>2053452.9</v>
      </c>
      <c r="G144">
        <v>1.3420000000000001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-0.63333333333333264</v>
      </c>
      <c r="Q144">
        <f t="shared" ref="Q144" si="696">F144*P144</f>
        <v>-1300520.1699999985</v>
      </c>
      <c r="R144">
        <f t="shared" ref="R144" si="697">R145+Q144</f>
        <v>-36574433.856016316</v>
      </c>
      <c r="S144">
        <f t="shared" ref="S144" si="698">R144/100000</f>
        <v>-365.74433856016316</v>
      </c>
      <c r="T144">
        <f t="shared" ref="T144" si="699">S144/1000</f>
        <v>-0.36574433856016314</v>
      </c>
    </row>
    <row r="145" spans="1:20" x14ac:dyDescent="0.25">
      <c r="A145" s="5">
        <v>44448</v>
      </c>
      <c r="B145">
        <v>1.383</v>
      </c>
      <c r="C145">
        <v>1.4690000000000001</v>
      </c>
      <c r="D145">
        <v>1.3640000000000001</v>
      </c>
      <c r="E145">
        <v>1.383</v>
      </c>
      <c r="F145">
        <v>2332016.9</v>
      </c>
      <c r="G145">
        <v>1.383</v>
      </c>
      <c r="L145" t="s">
        <v>7</v>
      </c>
      <c r="M145" t="s">
        <v>7</v>
      </c>
      <c r="N145" t="s">
        <v>7</v>
      </c>
      <c r="P145">
        <f t="shared" ref="P145" si="700">IF(C145=D145,0,((E145-D145)-(C145-E145))/(C145-D145))</f>
        <v>-0.63809523809523983</v>
      </c>
      <c r="Q145">
        <f t="shared" ref="Q145" si="701">F145*P145</f>
        <v>-1488048.8790476231</v>
      </c>
      <c r="R145">
        <f t="shared" ref="R145" si="702">R146+Q145</f>
        <v>-35273913.686016314</v>
      </c>
      <c r="S145">
        <f t="shared" ref="S145" si="703">R145/100000</f>
        <v>-352.73913686016311</v>
      </c>
      <c r="T145">
        <f t="shared" ref="T145" si="704">S145/1000</f>
        <v>-0.35273913686016312</v>
      </c>
    </row>
    <row r="146" spans="1:20" x14ac:dyDescent="0.25">
      <c r="A146" s="5">
        <v>44447</v>
      </c>
      <c r="B146">
        <v>1.4339999999999999</v>
      </c>
      <c r="C146">
        <v>1.4750000000000001</v>
      </c>
      <c r="D146">
        <v>1.296</v>
      </c>
      <c r="E146">
        <v>1.3839999999999999</v>
      </c>
      <c r="F146">
        <v>2804480.7</v>
      </c>
      <c r="G146">
        <v>1.3839999999999999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-1.6759776536314719E-2</v>
      </c>
      <c r="Q146">
        <f t="shared" ref="Q146" si="706">F146*P146</f>
        <v>-47002.469832407478</v>
      </c>
      <c r="R146">
        <f t="shared" ref="R146" si="707">R147+Q146</f>
        <v>-33785864.806968689</v>
      </c>
      <c r="S146">
        <f t="shared" ref="S146" si="708">R146/100000</f>
        <v>-337.85864806968686</v>
      </c>
      <c r="T146">
        <f t="shared" ref="T146" si="709">S146/1000</f>
        <v>-0.33785864806968685</v>
      </c>
    </row>
    <row r="147" spans="1:20" x14ac:dyDescent="0.25">
      <c r="A147" s="5">
        <v>44446</v>
      </c>
      <c r="B147">
        <v>1.629</v>
      </c>
      <c r="C147">
        <v>1.635</v>
      </c>
      <c r="D147">
        <v>1.2829999999999999</v>
      </c>
      <c r="E147">
        <v>1.4330000000000001</v>
      </c>
      <c r="F147">
        <v>3789835.6</v>
      </c>
      <c r="G147">
        <v>1.4330000000000001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-0.14772727272727218</v>
      </c>
      <c r="Q147">
        <f t="shared" ref="Q147" si="711">F147*P147</f>
        <v>-559862.07727272518</v>
      </c>
      <c r="R147">
        <f t="shared" ref="R147" si="712">R148+Q147</f>
        <v>-33738862.337136284</v>
      </c>
      <c r="S147">
        <f t="shared" ref="S147" si="713">R147/100000</f>
        <v>-337.38862337136283</v>
      </c>
      <c r="T147">
        <f t="shared" ref="T147" si="714">S147/1000</f>
        <v>-0.33738862337136283</v>
      </c>
    </row>
    <row r="148" spans="1:20" x14ac:dyDescent="0.25">
      <c r="A148" s="5">
        <v>44445</v>
      </c>
      <c r="B148">
        <v>1.637</v>
      </c>
      <c r="C148">
        <v>1.6950000000000001</v>
      </c>
      <c r="D148">
        <v>1.58</v>
      </c>
      <c r="E148">
        <v>1.63</v>
      </c>
      <c r="F148">
        <v>3360144</v>
      </c>
      <c r="G148">
        <v>1.63</v>
      </c>
      <c r="L148" t="s">
        <v>8</v>
      </c>
      <c r="M148" t="s">
        <v>7</v>
      </c>
      <c r="N148" t="s">
        <v>8</v>
      </c>
      <c r="P148">
        <f t="shared" ref="P148" si="715">IF(C148=D148,0,((E148-D148)-(C148-E148))/(C148-D148))</f>
        <v>-0.13043478260869867</v>
      </c>
      <c r="Q148">
        <f t="shared" ref="Q148" si="716">F148*P148</f>
        <v>-438279.65217392321</v>
      </c>
      <c r="R148">
        <f t="shared" ref="R148" si="717">R149+Q148</f>
        <v>-33179000.259863555</v>
      </c>
      <c r="S148">
        <f t="shared" ref="S148" si="718">R148/100000</f>
        <v>-331.79000259863557</v>
      </c>
      <c r="T148">
        <f t="shared" ref="T148" si="719">S148/1000</f>
        <v>-0.33179000259863556</v>
      </c>
    </row>
    <row r="149" spans="1:20" x14ac:dyDescent="0.25">
      <c r="A149" s="5">
        <v>44444</v>
      </c>
      <c r="B149">
        <v>1.591</v>
      </c>
      <c r="C149">
        <v>1.65</v>
      </c>
      <c r="D149">
        <v>1.5669999999999999</v>
      </c>
      <c r="E149">
        <v>1.637</v>
      </c>
      <c r="F149">
        <v>2259749.7000000002</v>
      </c>
      <c r="G149">
        <v>1.637</v>
      </c>
      <c r="L149" t="s">
        <v>7</v>
      </c>
      <c r="M149" t="s">
        <v>7</v>
      </c>
      <c r="N149" t="s">
        <v>8</v>
      </c>
      <c r="P149">
        <f t="shared" ref="P149" si="720">IF(C149=D149,0,((E149-D149)-(C149-E149))/(C149-D149))</f>
        <v>0.68674698795180944</v>
      </c>
      <c r="Q149">
        <f t="shared" ref="Q149" si="721">F149*P149</f>
        <v>1551876.3000000052</v>
      </c>
      <c r="R149">
        <f t="shared" ref="R149" si="722">R150+Q149</f>
        <v>-32740720.607689634</v>
      </c>
      <c r="S149">
        <f t="shared" ref="S149" si="723">R149/100000</f>
        <v>-327.40720607689633</v>
      </c>
      <c r="T149">
        <f t="shared" ref="T149" si="724">S149/1000</f>
        <v>-0.32740720607689633</v>
      </c>
    </row>
    <row r="150" spans="1:20" x14ac:dyDescent="0.25">
      <c r="A150" s="5">
        <v>44443</v>
      </c>
      <c r="B150">
        <v>1.599</v>
      </c>
      <c r="C150">
        <v>1.623</v>
      </c>
      <c r="D150">
        <v>1.5760000000000001</v>
      </c>
      <c r="E150">
        <v>1.589</v>
      </c>
      <c r="F150">
        <v>2827963.9</v>
      </c>
      <c r="G150">
        <v>1.589</v>
      </c>
      <c r="L150" t="s">
        <v>7</v>
      </c>
      <c r="M150" t="s">
        <v>7</v>
      </c>
      <c r="N150" t="s">
        <v>8</v>
      </c>
      <c r="P150">
        <f t="shared" ref="P150" si="725">IF(C150=D150,0,((E150-D150)-(C150-E150))/(C150-D150))</f>
        <v>-0.44680851063830129</v>
      </c>
      <c r="Q150">
        <f t="shared" ref="Q150" si="726">F150*P150</f>
        <v>-1263558.3382978819</v>
      </c>
      <c r="R150">
        <f t="shared" ref="R150" si="727">R151+Q150</f>
        <v>-34292596.907689638</v>
      </c>
      <c r="S150">
        <f t="shared" ref="S150" si="728">R150/100000</f>
        <v>-342.92596907689637</v>
      </c>
      <c r="T150">
        <f t="shared" ref="T150" si="729">S150/1000</f>
        <v>-0.34292596907689638</v>
      </c>
    </row>
    <row r="151" spans="1:20" x14ac:dyDescent="0.25">
      <c r="A151" s="5">
        <v>44442</v>
      </c>
      <c r="B151">
        <v>1.6040000000000001</v>
      </c>
      <c r="C151">
        <v>1.65</v>
      </c>
      <c r="D151">
        <v>1.552</v>
      </c>
      <c r="E151">
        <v>1.5960000000000001</v>
      </c>
      <c r="F151">
        <v>3311611.9</v>
      </c>
      <c r="G151">
        <v>1.5960000000000001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-0.10204081632652857</v>
      </c>
      <c r="Q151">
        <f t="shared" ref="Q151" si="731">F151*P151</f>
        <v>-337919.58163264632</v>
      </c>
      <c r="R151">
        <f t="shared" ref="R151" si="732">R152+Q151</f>
        <v>-33029038.569391757</v>
      </c>
      <c r="S151">
        <f t="shared" ref="S151" si="733">R151/100000</f>
        <v>-330.29038569391759</v>
      </c>
      <c r="T151">
        <f t="shared" ref="T151" si="734">S151/1000</f>
        <v>-0.33029038569391761</v>
      </c>
    </row>
    <row r="152" spans="1:20" x14ac:dyDescent="0.25">
      <c r="A152" s="5">
        <v>44441</v>
      </c>
      <c r="B152">
        <v>1.6519999999999999</v>
      </c>
      <c r="C152">
        <v>1.6970000000000001</v>
      </c>
      <c r="D152">
        <v>1.591</v>
      </c>
      <c r="E152">
        <v>1.601</v>
      </c>
      <c r="F152">
        <v>2257886.1</v>
      </c>
      <c r="G152">
        <v>1.601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-0.81132075471698117</v>
      </c>
      <c r="Q152">
        <f t="shared" ref="Q152" si="736">F152*P152</f>
        <v>-1831869.8547169813</v>
      </c>
      <c r="R152">
        <f t="shared" ref="R152" si="737">R153+Q152</f>
        <v>-32691118.98775911</v>
      </c>
      <c r="S152">
        <f t="shared" ref="S152" si="738">R152/100000</f>
        <v>-326.91118987759108</v>
      </c>
      <c r="T152">
        <f t="shared" ref="T152" si="739">S152/1000</f>
        <v>-0.3269111898775911</v>
      </c>
    </row>
    <row r="153" spans="1:20" x14ac:dyDescent="0.25">
      <c r="A153" s="5">
        <v>44440</v>
      </c>
      <c r="B153">
        <v>1.5609999999999999</v>
      </c>
      <c r="C153">
        <v>1.68</v>
      </c>
      <c r="D153">
        <v>1.5309999999999999</v>
      </c>
      <c r="E153">
        <v>1.6519999999999999</v>
      </c>
      <c r="F153">
        <v>2453356.1</v>
      </c>
      <c r="G153">
        <v>1.6519999999999999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0.62416107382550312</v>
      </c>
      <c r="Q153">
        <f t="shared" ref="Q153" si="741">F153*P153</f>
        <v>1531289.3778523484</v>
      </c>
      <c r="R153">
        <f t="shared" ref="R153" si="742">R154+Q153</f>
        <v>-30859249.133042127</v>
      </c>
      <c r="S153">
        <f t="shared" ref="S153" si="743">R153/100000</f>
        <v>-308.5924913304213</v>
      </c>
      <c r="T153">
        <f t="shared" ref="T153" si="744">S153/1000</f>
        <v>-0.30859249133042127</v>
      </c>
    </row>
    <row r="154" spans="1:20" x14ac:dyDescent="0.25">
      <c r="A154" s="5">
        <v>44439</v>
      </c>
      <c r="B154">
        <v>1.56</v>
      </c>
      <c r="C154">
        <v>1.625</v>
      </c>
      <c r="D154">
        <v>1.5309999999999999</v>
      </c>
      <c r="E154">
        <v>1.5660000000000001</v>
      </c>
      <c r="F154">
        <v>1808601</v>
      </c>
      <c r="G154">
        <v>1.5660000000000001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-0.25531914893616786</v>
      </c>
      <c r="Q154">
        <f t="shared" ref="Q154" si="746">F154*P154</f>
        <v>-461770.46808510215</v>
      </c>
      <c r="R154">
        <f t="shared" ref="R154" si="747">R155+Q154</f>
        <v>-32390538.510894474</v>
      </c>
      <c r="S154">
        <f t="shared" ref="S154" si="748">R154/100000</f>
        <v>-323.90538510894476</v>
      </c>
      <c r="T154">
        <f t="shared" ref="T154" si="749">S154/1000</f>
        <v>-0.32390538510894473</v>
      </c>
    </row>
    <row r="155" spans="1:20" x14ac:dyDescent="0.25">
      <c r="A155" s="5">
        <v>44438</v>
      </c>
      <c r="B155">
        <v>1.629</v>
      </c>
      <c r="C155">
        <v>1.6439999999999999</v>
      </c>
      <c r="D155">
        <v>1.54</v>
      </c>
      <c r="E155">
        <v>1.5609999999999999</v>
      </c>
      <c r="F155">
        <v>3190790.3</v>
      </c>
      <c r="G155">
        <v>1.5609999999999999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-0.59615384615384748</v>
      </c>
      <c r="Q155">
        <f t="shared" ref="Q155" si="751">F155*P155</f>
        <v>-1902201.9096153888</v>
      </c>
      <c r="R155">
        <f t="shared" ref="R155" si="752">R156+Q155</f>
        <v>-31928768.042809371</v>
      </c>
      <c r="S155">
        <f t="shared" ref="S155" si="753">R155/100000</f>
        <v>-319.28768042809372</v>
      </c>
      <c r="T155">
        <f t="shared" ref="T155" si="754">S155/1000</f>
        <v>-0.31928768042809375</v>
      </c>
    </row>
    <row r="156" spans="1:20" x14ac:dyDescent="0.25">
      <c r="A156" s="5">
        <v>44437</v>
      </c>
      <c r="B156">
        <v>1.6519999999999999</v>
      </c>
      <c r="C156">
        <v>1.6970000000000001</v>
      </c>
      <c r="D156">
        <v>1.59</v>
      </c>
      <c r="E156">
        <v>1.629</v>
      </c>
      <c r="F156">
        <v>3063323</v>
      </c>
      <c r="G156">
        <v>1.629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-0.27102803738317888</v>
      </c>
      <c r="Q156">
        <f t="shared" ref="Q156" si="756">F156*P156</f>
        <v>-830246.42056075169</v>
      </c>
      <c r="R156">
        <f t="shared" ref="R156" si="757">R157+Q156</f>
        <v>-30026566.133193981</v>
      </c>
      <c r="S156">
        <f t="shared" ref="S156" si="758">R156/100000</f>
        <v>-300.26566133193978</v>
      </c>
      <c r="T156">
        <f t="shared" ref="T156" si="759">S156/1000</f>
        <v>-0.30026566133193977</v>
      </c>
    </row>
    <row r="157" spans="1:20" x14ac:dyDescent="0.25">
      <c r="A157" s="5">
        <v>44436</v>
      </c>
      <c r="B157">
        <v>1.744</v>
      </c>
      <c r="C157">
        <v>1.758</v>
      </c>
      <c r="D157">
        <v>1.611</v>
      </c>
      <c r="E157">
        <v>1.6519999999999999</v>
      </c>
      <c r="F157">
        <v>4105229</v>
      </c>
      <c r="G157">
        <v>1.6519999999999999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-0.44217687074830042</v>
      </c>
      <c r="Q157">
        <f t="shared" ref="Q157" si="761">F157*P157</f>
        <v>-1815237.3129251746</v>
      </c>
      <c r="R157">
        <f t="shared" ref="R157" si="762">R158+Q157</f>
        <v>-29196319.71263323</v>
      </c>
      <c r="S157">
        <f t="shared" ref="S157" si="763">R157/100000</f>
        <v>-291.96319712633232</v>
      </c>
      <c r="T157">
        <f t="shared" ref="T157" si="764">S157/1000</f>
        <v>-0.29196319712633234</v>
      </c>
    </row>
    <row r="158" spans="1:20" x14ac:dyDescent="0.25">
      <c r="A158" s="5">
        <v>44435</v>
      </c>
      <c r="B158">
        <v>1.6379999999999999</v>
      </c>
      <c r="C158">
        <v>1.7669999999999999</v>
      </c>
      <c r="D158">
        <v>1.5549999999999999</v>
      </c>
      <c r="E158">
        <v>1.7430000000000001</v>
      </c>
      <c r="F158">
        <v>2861541.3</v>
      </c>
      <c r="G158">
        <v>1.7430000000000001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0.77358490566037919</v>
      </c>
      <c r="Q158">
        <f t="shared" ref="Q158" si="766">F158*P158</f>
        <v>2213645.1566037787</v>
      </c>
      <c r="R158">
        <f t="shared" ref="R158" si="767">R159+Q158</f>
        <v>-27381082.399708055</v>
      </c>
      <c r="S158">
        <f t="shared" ref="S158" si="768">R158/100000</f>
        <v>-273.81082399708055</v>
      </c>
      <c r="T158">
        <f t="shared" ref="T158" si="769">S158/1000</f>
        <v>-0.27381082399708057</v>
      </c>
    </row>
    <row r="159" spans="1:20" x14ac:dyDescent="0.25">
      <c r="A159" s="5">
        <v>44434</v>
      </c>
      <c r="B159">
        <v>1.7470000000000001</v>
      </c>
      <c r="C159">
        <v>1.7892999999999999</v>
      </c>
      <c r="D159">
        <v>1.577</v>
      </c>
      <c r="E159">
        <v>1.639</v>
      </c>
      <c r="F159">
        <v>6867435.7999999998</v>
      </c>
      <c r="G159">
        <v>1.639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-0.41592086669806805</v>
      </c>
      <c r="Q159">
        <f t="shared" ref="Q159" si="771">F159*P159</f>
        <v>-2856309.8499293402</v>
      </c>
      <c r="R159">
        <f t="shared" ref="R159" si="772">R160+Q159</f>
        <v>-29594727.556311835</v>
      </c>
      <c r="S159">
        <f t="shared" ref="S159" si="773">R159/100000</f>
        <v>-295.94727556311835</v>
      </c>
      <c r="T159">
        <f t="shared" ref="T159" si="774">S159/1000</f>
        <v>-0.29594727556311834</v>
      </c>
    </row>
    <row r="160" spans="1:20" x14ac:dyDescent="0.25">
      <c r="A160" s="5">
        <v>44433</v>
      </c>
      <c r="B160">
        <v>1.6828000000000001</v>
      </c>
      <c r="C160">
        <v>1.7558</v>
      </c>
      <c r="D160">
        <v>1.6275999999999999</v>
      </c>
      <c r="E160">
        <v>1.7452000000000001</v>
      </c>
      <c r="F160">
        <v>2518739</v>
      </c>
      <c r="G160">
        <v>1.7452000000000001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0.83463338533541442</v>
      </c>
      <c r="Q160">
        <f t="shared" ref="Q160" si="776">F160*P160</f>
        <v>2102223.6583463363</v>
      </c>
      <c r="R160">
        <f t="shared" ref="R160" si="777">R161+Q160</f>
        <v>-26738417.706382494</v>
      </c>
      <c r="S160">
        <f t="shared" ref="S160" si="778">R160/100000</f>
        <v>-267.38417706382495</v>
      </c>
      <c r="T160">
        <f t="shared" ref="T160" si="779">S160/1000</f>
        <v>-0.26738417706382495</v>
      </c>
    </row>
    <row r="161" spans="1:20" x14ac:dyDescent="0.25">
      <c r="A161" s="5">
        <v>44432</v>
      </c>
      <c r="B161">
        <v>1.8292999999999999</v>
      </c>
      <c r="C161">
        <v>1.8409</v>
      </c>
      <c r="D161">
        <v>1.6674</v>
      </c>
      <c r="E161">
        <v>1.681</v>
      </c>
      <c r="F161">
        <v>2395075</v>
      </c>
      <c r="G161">
        <v>1.681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-0.84322766570605123</v>
      </c>
      <c r="Q161">
        <f t="shared" ref="Q161" si="781">F161*P161</f>
        <v>-2019593.5014409206</v>
      </c>
      <c r="R161">
        <f t="shared" ref="R161" si="782">R162+Q161</f>
        <v>-28840641.364728831</v>
      </c>
      <c r="S161">
        <f t="shared" ref="S161" si="783">R161/100000</f>
        <v>-288.40641364728833</v>
      </c>
      <c r="T161">
        <f t="shared" ref="T161" si="784">S161/1000</f>
        <v>-0.28840641364728831</v>
      </c>
    </row>
    <row r="162" spans="1:20" x14ac:dyDescent="0.25">
      <c r="A162" s="5">
        <v>44431</v>
      </c>
      <c r="B162">
        <v>1.84</v>
      </c>
      <c r="C162">
        <v>1.9319</v>
      </c>
      <c r="D162">
        <v>1.8019000000000001</v>
      </c>
      <c r="E162">
        <v>1.8344</v>
      </c>
      <c r="F162">
        <v>1799771</v>
      </c>
      <c r="G162">
        <v>1.8344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-0.5</v>
      </c>
      <c r="Q162">
        <f t="shared" ref="Q162" si="786">F162*P162</f>
        <v>-899885.5</v>
      </c>
      <c r="R162">
        <f t="shared" ref="R162" si="787">R163+Q162</f>
        <v>-26821047.863287911</v>
      </c>
      <c r="S162">
        <f t="shared" ref="S162" si="788">R162/100000</f>
        <v>-268.21047863287913</v>
      </c>
      <c r="T162">
        <f t="shared" ref="T162" si="789">S162/1000</f>
        <v>-0.26821047863287911</v>
      </c>
    </row>
    <row r="163" spans="1:20" x14ac:dyDescent="0.25">
      <c r="A163" s="5">
        <v>44430</v>
      </c>
      <c r="B163">
        <v>1.85</v>
      </c>
      <c r="C163">
        <v>1.8778999999999999</v>
      </c>
      <c r="D163">
        <v>1.8451</v>
      </c>
      <c r="E163">
        <v>1.8736999999999999</v>
      </c>
      <c r="F163">
        <v>299297</v>
      </c>
      <c r="G163">
        <v>1.8736999999999999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0.7439024390243909</v>
      </c>
      <c r="Q163">
        <f t="shared" ref="Q163" si="791">F163*P163</f>
        <v>222647.76829268312</v>
      </c>
      <c r="R163">
        <f t="shared" ref="R163" si="792">R164+Q163</f>
        <v>-25921162.363287911</v>
      </c>
      <c r="S163">
        <f t="shared" ref="S163" si="793">R163/100000</f>
        <v>-259.21162363287908</v>
      </c>
      <c r="T163">
        <f t="shared" ref="T163" si="794">S163/1000</f>
        <v>-0.25921162363287908</v>
      </c>
    </row>
    <row r="164" spans="1:20" x14ac:dyDescent="0.25">
      <c r="A164" s="5">
        <v>44429</v>
      </c>
      <c r="B164">
        <v>1.9254</v>
      </c>
      <c r="C164">
        <v>1.9274</v>
      </c>
      <c r="D164">
        <v>1.85</v>
      </c>
      <c r="E164">
        <v>1.85</v>
      </c>
      <c r="F164">
        <v>1734623</v>
      </c>
      <c r="G164">
        <v>1.85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-1</v>
      </c>
      <c r="Q164">
        <f t="shared" ref="Q164" si="796">F164*P164</f>
        <v>-1734623</v>
      </c>
      <c r="R164">
        <f t="shared" ref="R164" si="797">R165+Q164</f>
        <v>-26143810.131580595</v>
      </c>
      <c r="S164">
        <f t="shared" ref="S164" si="798">R164/100000</f>
        <v>-261.43810131580597</v>
      </c>
      <c r="T164">
        <f t="shared" ref="T164" si="799">S164/1000</f>
        <v>-0.26143810131580597</v>
      </c>
    </row>
    <row r="165" spans="1:20" x14ac:dyDescent="0.25">
      <c r="A165" s="5">
        <v>44428</v>
      </c>
      <c r="B165">
        <v>1.8712</v>
      </c>
      <c r="C165">
        <v>1.9750000000000001</v>
      </c>
      <c r="D165">
        <v>1.8587</v>
      </c>
      <c r="E165">
        <v>1.9204000000000001</v>
      </c>
      <c r="F165">
        <v>2450092</v>
      </c>
      <c r="G165">
        <v>1.9204000000000001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6.1049011177988839E-2</v>
      </c>
      <c r="Q165">
        <f t="shared" ref="Q165" si="801">F165*P165</f>
        <v>149575.69389510102</v>
      </c>
      <c r="R165">
        <f t="shared" ref="R165" si="802">R166+Q165</f>
        <v>-24409187.131580595</v>
      </c>
      <c r="S165">
        <f t="shared" ref="S165" si="803">R165/100000</f>
        <v>-244.09187131580595</v>
      </c>
      <c r="T165">
        <f t="shared" ref="T165" si="804">S165/1000</f>
        <v>-0.24409187131580595</v>
      </c>
    </row>
    <row r="166" spans="1:20" x14ac:dyDescent="0.25">
      <c r="A166" s="5">
        <v>44427</v>
      </c>
      <c r="B166">
        <v>1.7504999999999999</v>
      </c>
      <c r="C166">
        <v>1.9023000000000001</v>
      </c>
      <c r="D166">
        <v>1.677</v>
      </c>
      <c r="E166">
        <v>1.8712</v>
      </c>
      <c r="F166">
        <v>3407576</v>
      </c>
      <c r="G166">
        <v>1.8712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0.72392365734576014</v>
      </c>
      <c r="Q166">
        <f t="shared" ref="Q166" si="806">F166*P166</f>
        <v>2466824.8806036361</v>
      </c>
      <c r="R166">
        <f t="shared" ref="R166" si="807">R167+Q166</f>
        <v>-24558762.825475696</v>
      </c>
      <c r="S166">
        <f t="shared" ref="S166" si="808">R166/100000</f>
        <v>-245.58762825475696</v>
      </c>
      <c r="T166">
        <f t="shared" ref="T166" si="809">S166/1000</f>
        <v>-0.24558762825475697</v>
      </c>
    </row>
    <row r="167" spans="1:20" x14ac:dyDescent="0.25">
      <c r="A167" s="5">
        <v>44426</v>
      </c>
      <c r="B167">
        <v>1.6721999999999999</v>
      </c>
      <c r="C167">
        <v>1.8431999999999999</v>
      </c>
      <c r="D167">
        <v>1.5501</v>
      </c>
      <c r="E167">
        <v>1.7458</v>
      </c>
      <c r="F167">
        <v>3293095</v>
      </c>
      <c r="G167">
        <v>1.7458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0.33538041624019133</v>
      </c>
      <c r="Q167">
        <f t="shared" ref="Q167" si="811">F167*P167</f>
        <v>1104439.5718184928</v>
      </c>
      <c r="R167">
        <f t="shared" ref="R167" si="812">R168+Q167</f>
        <v>-27025587.706079334</v>
      </c>
      <c r="S167">
        <f t="shared" ref="S167" si="813">R167/100000</f>
        <v>-270.25587706079335</v>
      </c>
      <c r="T167">
        <f t="shared" ref="T167" si="814">S167/1000</f>
        <v>-0.27025587706079335</v>
      </c>
    </row>
    <row r="168" spans="1:20" x14ac:dyDescent="0.25">
      <c r="A168" s="5">
        <v>44425</v>
      </c>
      <c r="B168">
        <v>1.8103</v>
      </c>
      <c r="C168">
        <v>1.8989</v>
      </c>
      <c r="D168">
        <v>1.6586000000000001</v>
      </c>
      <c r="E168">
        <v>1.6757</v>
      </c>
      <c r="F168">
        <v>3808569</v>
      </c>
      <c r="G168">
        <v>1.6757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-0.85767790262172372</v>
      </c>
      <c r="Q168">
        <f t="shared" ref="Q168" si="816">F168*P168</f>
        <v>-3266525.4719101158</v>
      </c>
      <c r="R168">
        <f t="shared" ref="R168" si="817">R169+Q168</f>
        <v>-28130027.277897827</v>
      </c>
      <c r="S168">
        <f t="shared" ref="S168" si="818">R168/100000</f>
        <v>-281.3002727789783</v>
      </c>
      <c r="T168">
        <f t="shared" ref="T168" si="819">S168/1000</f>
        <v>-0.28130027277897829</v>
      </c>
    </row>
    <row r="169" spans="1:20" x14ac:dyDescent="0.25">
      <c r="A169" s="5">
        <v>44424</v>
      </c>
      <c r="B169">
        <v>1.9197</v>
      </c>
      <c r="C169">
        <v>1.9799</v>
      </c>
      <c r="D169">
        <v>1.8</v>
      </c>
      <c r="E169">
        <v>1.8115000000000001</v>
      </c>
      <c r="F169">
        <v>3325715</v>
      </c>
      <c r="G169">
        <v>1.8115000000000001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-0.87215119510839278</v>
      </c>
      <c r="Q169">
        <f t="shared" ref="Q169" si="821">F169*P169</f>
        <v>-2900526.3118399084</v>
      </c>
      <c r="R169">
        <f t="shared" ref="R169" si="822">R170+Q169</f>
        <v>-24863501.805987712</v>
      </c>
      <c r="S169">
        <f t="shared" ref="S169" si="823">R169/100000</f>
        <v>-248.63501805987713</v>
      </c>
      <c r="T169">
        <f t="shared" ref="T169" si="824">S169/1000</f>
        <v>-0.24863501805987712</v>
      </c>
    </row>
    <row r="170" spans="1:20" x14ac:dyDescent="0.25">
      <c r="A170" s="5">
        <v>44423</v>
      </c>
      <c r="B170">
        <v>1.7846</v>
      </c>
      <c r="C170">
        <v>1.9397</v>
      </c>
      <c r="D170">
        <v>1.6697</v>
      </c>
      <c r="E170">
        <v>1.9169</v>
      </c>
      <c r="F170">
        <v>2265103</v>
      </c>
      <c r="G170">
        <v>1.9169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0.83111111111111158</v>
      </c>
      <c r="Q170">
        <f t="shared" ref="Q170" si="826">F170*P170</f>
        <v>1882552.2711111121</v>
      </c>
      <c r="R170">
        <f t="shared" ref="R170" si="827">R171+Q170</f>
        <v>-21962975.494147804</v>
      </c>
      <c r="S170">
        <f t="shared" ref="S170" si="828">R170/100000</f>
        <v>-219.62975494147804</v>
      </c>
      <c r="T170">
        <f t="shared" ref="T170" si="829">S170/1000</f>
        <v>-0.21962975494147804</v>
      </c>
    </row>
    <row r="171" spans="1:20" x14ac:dyDescent="0.25">
      <c r="A171" s="5">
        <v>44422</v>
      </c>
      <c r="B171">
        <v>1.6808000000000001</v>
      </c>
      <c r="C171">
        <v>1.9249000000000001</v>
      </c>
      <c r="D171">
        <v>1.6514</v>
      </c>
      <c r="E171">
        <v>1.7784</v>
      </c>
      <c r="F171">
        <v>5742374</v>
      </c>
      <c r="G171">
        <v>1.7784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-7.1297989031078854E-2</v>
      </c>
      <c r="Q171">
        <f t="shared" ref="Q171" si="831">F171*P171</f>
        <v>-409419.71846435242</v>
      </c>
      <c r="R171">
        <f t="shared" ref="R171" si="832">R172+Q171</f>
        <v>-23845527.765258916</v>
      </c>
      <c r="S171">
        <f t="shared" ref="S171" si="833">R171/100000</f>
        <v>-238.45527765258916</v>
      </c>
      <c r="T171">
        <f t="shared" ref="T171" si="834">S171/1000</f>
        <v>-0.23845527765258917</v>
      </c>
    </row>
    <row r="172" spans="1:20" x14ac:dyDescent="0.25">
      <c r="A172" s="5">
        <v>44421</v>
      </c>
      <c r="B172">
        <v>1.4771000000000001</v>
      </c>
      <c r="C172">
        <v>1.6803999999999999</v>
      </c>
      <c r="D172">
        <v>1.4733000000000001</v>
      </c>
      <c r="E172">
        <v>1.6798999999999999</v>
      </c>
      <c r="F172">
        <v>3203969</v>
      </c>
      <c r="G172">
        <v>1.6798999999999999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0.99517141477547133</v>
      </c>
      <c r="Q172">
        <f t="shared" ref="Q172" si="836">F172*P172</f>
        <v>3188498.3626267519</v>
      </c>
      <c r="R172">
        <f t="shared" ref="R172" si="837">R173+Q172</f>
        <v>-23436108.046794564</v>
      </c>
      <c r="S172">
        <f t="shared" ref="S172" si="838">R172/100000</f>
        <v>-234.36108046794564</v>
      </c>
      <c r="T172">
        <f t="shared" ref="T172" si="839">S172/1000</f>
        <v>-0.23436108046794565</v>
      </c>
    </row>
    <row r="173" spans="1:20" x14ac:dyDescent="0.25">
      <c r="A173" s="5">
        <v>44420</v>
      </c>
      <c r="B173">
        <v>1.4306000000000001</v>
      </c>
      <c r="C173">
        <v>1.6020000000000001</v>
      </c>
      <c r="D173">
        <v>1.4</v>
      </c>
      <c r="E173">
        <v>1.4782999999999999</v>
      </c>
      <c r="F173">
        <v>4418124</v>
      </c>
      <c r="G173">
        <v>1.4782999999999999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-0.22475247524752509</v>
      </c>
      <c r="Q173">
        <f t="shared" ref="Q173" si="841">F173*P173</f>
        <v>-992984.30495049653</v>
      </c>
      <c r="R173">
        <f t="shared" ref="R173" si="842">R174+Q173</f>
        <v>-26624606.409421317</v>
      </c>
      <c r="S173">
        <f t="shared" ref="S173" si="843">R173/100000</f>
        <v>-266.24606409421318</v>
      </c>
      <c r="T173">
        <f t="shared" ref="T173" si="844">S173/1000</f>
        <v>-0.2662460640942132</v>
      </c>
    </row>
    <row r="174" spans="1:20" x14ac:dyDescent="0.25">
      <c r="A174" s="5">
        <v>44419</v>
      </c>
      <c r="B174">
        <v>1.2628999999999999</v>
      </c>
      <c r="C174">
        <v>1.5250999999999999</v>
      </c>
      <c r="D174">
        <v>1.2586999999999999</v>
      </c>
      <c r="E174">
        <v>1.4306000000000001</v>
      </c>
      <c r="F174">
        <v>4585332</v>
      </c>
      <c r="G174">
        <v>1.4306000000000001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0.2905405405405419</v>
      </c>
      <c r="Q174">
        <f t="shared" ref="Q174" si="846">F174*P174</f>
        <v>1332224.8378378442</v>
      </c>
      <c r="R174">
        <f t="shared" ref="R174" si="847">R175+Q174</f>
        <v>-25631622.104470819</v>
      </c>
      <c r="S174">
        <f t="shared" ref="S174" si="848">R174/100000</f>
        <v>-256.31622104470819</v>
      </c>
      <c r="T174">
        <f t="shared" ref="T174" si="849">S174/1000</f>
        <v>-0.25631622104470819</v>
      </c>
    </row>
    <row r="175" spans="1:20" x14ac:dyDescent="0.25">
      <c r="A175" s="5">
        <v>44418</v>
      </c>
      <c r="B175">
        <v>1.232</v>
      </c>
      <c r="C175">
        <v>1.3048</v>
      </c>
      <c r="D175">
        <v>1.2057</v>
      </c>
      <c r="E175">
        <v>1.2582</v>
      </c>
      <c r="F175">
        <v>2663766</v>
      </c>
      <c r="G175">
        <v>1.2582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5.9535822401614716E-2</v>
      </c>
      <c r="Q175">
        <f t="shared" ref="Q175" si="851">F175*P175</f>
        <v>158589.49949545963</v>
      </c>
      <c r="R175">
        <f t="shared" ref="R175" si="852">R176+Q175</f>
        <v>-26963846.942308664</v>
      </c>
      <c r="S175">
        <f t="shared" ref="S175" si="853">R175/100000</f>
        <v>-269.63846942308663</v>
      </c>
      <c r="T175">
        <f t="shared" ref="T175" si="854">S175/1000</f>
        <v>-0.26963846942308661</v>
      </c>
    </row>
    <row r="176" spans="1:20" x14ac:dyDescent="0.25">
      <c r="A176" s="5">
        <v>44417</v>
      </c>
      <c r="B176">
        <v>1.1989000000000001</v>
      </c>
      <c r="C176">
        <v>1.2359</v>
      </c>
      <c r="D176">
        <v>1.1505000000000001</v>
      </c>
      <c r="E176">
        <v>1.2303999999999999</v>
      </c>
      <c r="F176">
        <v>1549975</v>
      </c>
      <c r="G176">
        <v>1.2303999999999999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0.87119437939109912</v>
      </c>
      <c r="Q176">
        <f t="shared" ref="Q176" si="856">F176*P176</f>
        <v>1350329.5081967188</v>
      </c>
      <c r="R176">
        <f t="shared" ref="R176" si="857">R177+Q176</f>
        <v>-27122436.441804122</v>
      </c>
      <c r="S176">
        <f t="shared" ref="S176" si="858">R176/100000</f>
        <v>-271.2243644180412</v>
      </c>
      <c r="T176">
        <f t="shared" ref="T176" si="859">S176/1000</f>
        <v>-0.27122436441804121</v>
      </c>
    </row>
    <row r="177" spans="1:20" x14ac:dyDescent="0.25">
      <c r="A177" s="5">
        <v>44416</v>
      </c>
      <c r="B177">
        <v>1.2464</v>
      </c>
      <c r="C177">
        <v>1.2932999999999999</v>
      </c>
      <c r="D177">
        <v>1.1778</v>
      </c>
      <c r="E177">
        <v>1.1989000000000001</v>
      </c>
      <c r="F177">
        <v>2054376</v>
      </c>
      <c r="G177">
        <v>1.1989000000000001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-0.63463203463203233</v>
      </c>
      <c r="Q177">
        <f t="shared" ref="Q177" si="861">F177*P177</f>
        <v>-1303772.820779216</v>
      </c>
      <c r="R177">
        <f t="shared" ref="R177" si="862">R178+Q177</f>
        <v>-28472765.950000841</v>
      </c>
      <c r="S177">
        <f t="shared" ref="S177" si="863">R177/100000</f>
        <v>-284.72765950000843</v>
      </c>
      <c r="T177">
        <f t="shared" ref="T177" si="864">S177/1000</f>
        <v>-0.28472765950000845</v>
      </c>
    </row>
    <row r="178" spans="1:20" x14ac:dyDescent="0.25">
      <c r="A178" s="5">
        <v>44415</v>
      </c>
      <c r="B178">
        <v>1.1883999999999999</v>
      </c>
      <c r="C178">
        <v>1.3006</v>
      </c>
      <c r="D178">
        <v>1.1823999999999999</v>
      </c>
      <c r="E178">
        <v>1.2468999999999999</v>
      </c>
      <c r="F178">
        <v>3874372</v>
      </c>
      <c r="G178">
        <v>1.2468999999999999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9.1370558375633779E-2</v>
      </c>
      <c r="Q178">
        <f t="shared" ref="Q178" si="866">F178*P178</f>
        <v>354003.53299492097</v>
      </c>
      <c r="R178">
        <f t="shared" ref="R178" si="867">R179+Q178</f>
        <v>-27168993.129221626</v>
      </c>
      <c r="S178">
        <f t="shared" ref="S178" si="868">R178/100000</f>
        <v>-271.68993129221627</v>
      </c>
      <c r="T178">
        <f t="shared" ref="T178" si="869">S178/1000</f>
        <v>-0.27168993129221625</v>
      </c>
    </row>
    <row r="179" spans="1:20" x14ac:dyDescent="0.25">
      <c r="A179" s="5">
        <v>44414</v>
      </c>
      <c r="B179">
        <v>1.0835999999999999</v>
      </c>
      <c r="C179">
        <v>1.25</v>
      </c>
      <c r="D179">
        <v>1.0625</v>
      </c>
      <c r="E179">
        <v>1.1886000000000001</v>
      </c>
      <c r="F179">
        <v>3421098</v>
      </c>
      <c r="G179">
        <v>1.1886000000000001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0.34506666666666774</v>
      </c>
      <c r="Q179">
        <f t="shared" ref="Q179" si="871">F179*P179</f>
        <v>1180506.8832000038</v>
      </c>
      <c r="R179">
        <f t="shared" ref="R179" si="872">R180+Q179</f>
        <v>-27522996.662216548</v>
      </c>
      <c r="S179">
        <f t="shared" ref="S179" si="873">R179/100000</f>
        <v>-275.22996662216548</v>
      </c>
      <c r="T179">
        <f t="shared" ref="T179" si="874">S179/1000</f>
        <v>-0.27522996662216548</v>
      </c>
    </row>
    <row r="180" spans="1:20" x14ac:dyDescent="0.25">
      <c r="A180" s="5">
        <v>44413</v>
      </c>
      <c r="B180">
        <v>1.0772999999999999</v>
      </c>
      <c r="C180">
        <v>1.0844</v>
      </c>
      <c r="D180">
        <v>1.0233000000000001</v>
      </c>
      <c r="E180">
        <v>1.0837000000000001</v>
      </c>
      <c r="F180">
        <v>1942617</v>
      </c>
      <c r="G180">
        <v>1.0837000000000001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0.9770867430441923</v>
      </c>
      <c r="Q180">
        <f t="shared" ref="Q180" si="876">F180*P180</f>
        <v>1898105.3175122796</v>
      </c>
      <c r="R180">
        <f t="shared" ref="R180" si="877">R181+Q180</f>
        <v>-28703503.545416553</v>
      </c>
      <c r="S180">
        <f t="shared" ref="S180" si="878">R180/100000</f>
        <v>-287.03503545416555</v>
      </c>
      <c r="T180">
        <f t="shared" ref="T180" si="879">S180/1000</f>
        <v>-0.28703503545416553</v>
      </c>
    </row>
    <row r="181" spans="1:20" x14ac:dyDescent="0.25">
      <c r="A181" s="5">
        <v>44412</v>
      </c>
      <c r="B181">
        <v>1.0091000000000001</v>
      </c>
      <c r="C181">
        <v>1.0813999999999999</v>
      </c>
      <c r="D181">
        <v>1.0053000000000001</v>
      </c>
      <c r="E181">
        <v>1.0772999999999999</v>
      </c>
      <c r="F181">
        <v>2551755</v>
      </c>
      <c r="G181">
        <v>1.0772999999999999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0.89224704336399474</v>
      </c>
      <c r="Q181">
        <f t="shared" ref="Q181" si="881">F181*P181</f>
        <v>2276795.8541392903</v>
      </c>
      <c r="R181">
        <f t="shared" ref="R181" si="882">R182+Q181</f>
        <v>-30601608.862928834</v>
      </c>
      <c r="S181">
        <f t="shared" ref="S181" si="883">R181/100000</f>
        <v>-306.01608862928833</v>
      </c>
      <c r="T181">
        <f t="shared" ref="T181" si="884">S181/1000</f>
        <v>-0.30601608862928831</v>
      </c>
    </row>
    <row r="182" spans="1:20" x14ac:dyDescent="0.25">
      <c r="A182" s="5">
        <v>44411</v>
      </c>
      <c r="B182">
        <v>1.0290999999999999</v>
      </c>
      <c r="C182">
        <v>1.0354000000000001</v>
      </c>
      <c r="D182">
        <v>0.99760000000000004</v>
      </c>
      <c r="E182">
        <v>1.0089999999999999</v>
      </c>
      <c r="F182">
        <v>1490159</v>
      </c>
      <c r="G182">
        <v>1.0089999999999999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-0.39682539682540541</v>
      </c>
      <c r="Q182">
        <f t="shared" ref="Q182" si="886">F182*P182</f>
        <v>-591332.93650794926</v>
      </c>
      <c r="R182">
        <f t="shared" ref="R182" si="887">R183+Q182</f>
        <v>-32878404.717068125</v>
      </c>
      <c r="S182">
        <f t="shared" ref="S182" si="888">R182/100000</f>
        <v>-328.78404717068122</v>
      </c>
      <c r="T182">
        <f t="shared" ref="T182" si="889">S182/1000</f>
        <v>-0.32878404717068122</v>
      </c>
    </row>
    <row r="183" spans="1:20" x14ac:dyDescent="0.25">
      <c r="A183" s="5">
        <v>44410</v>
      </c>
      <c r="B183">
        <v>1.0190999999999999</v>
      </c>
      <c r="C183">
        <v>1.0451999999999999</v>
      </c>
      <c r="D183">
        <v>1.0061</v>
      </c>
      <c r="E183">
        <v>1.0286999999999999</v>
      </c>
      <c r="F183">
        <v>835606</v>
      </c>
      <c r="G183">
        <v>1.0286999999999999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0.15601023017902835</v>
      </c>
      <c r="Q183">
        <f t="shared" ref="Q183" si="891">F183*P183</f>
        <v>130363.08439897717</v>
      </c>
      <c r="R183">
        <f t="shared" ref="R183" si="892">R184+Q183</f>
        <v>-32287071.780560177</v>
      </c>
      <c r="S183">
        <f t="shared" ref="S183" si="893">R183/100000</f>
        <v>-322.87071780560177</v>
      </c>
      <c r="T183">
        <f t="shared" ref="T183" si="894">S183/1000</f>
        <v>-0.32287071780560178</v>
      </c>
    </row>
    <row r="184" spans="1:20" x14ac:dyDescent="0.25">
      <c r="A184" s="5">
        <v>44409</v>
      </c>
      <c r="B184">
        <v>1.0568</v>
      </c>
      <c r="C184">
        <v>1.0805</v>
      </c>
      <c r="D184">
        <v>1.0046999999999999</v>
      </c>
      <c r="E184">
        <v>1.0228999999999999</v>
      </c>
      <c r="F184">
        <v>1108709</v>
      </c>
      <c r="G184">
        <v>1.0228999999999999</v>
      </c>
      <c r="L184" t="s">
        <v>7</v>
      </c>
      <c r="M184" t="s">
        <v>8</v>
      </c>
      <c r="N184" t="s">
        <v>7</v>
      </c>
      <c r="P184">
        <f t="shared" ref="P184" si="895">IF(C184=D184,0,((E184-D184)-(C184-E184))/(C184-D184))</f>
        <v>-0.51978891820580553</v>
      </c>
      <c r="Q184">
        <f t="shared" ref="Q184" si="896">F184*P184</f>
        <v>-576294.65171504044</v>
      </c>
      <c r="R184">
        <f t="shared" ref="R184" si="897">R185+Q184</f>
        <v>-32417434.864959154</v>
      </c>
      <c r="S184">
        <f t="shared" ref="S184" si="898">R184/100000</f>
        <v>-324.17434864959154</v>
      </c>
      <c r="T184">
        <f t="shared" ref="T184" si="899">S184/1000</f>
        <v>-0.32417434864959155</v>
      </c>
    </row>
    <row r="185" spans="1:20" x14ac:dyDescent="0.25">
      <c r="A185" s="5">
        <v>44408</v>
      </c>
      <c r="B185">
        <v>1.0469999999999999</v>
      </c>
      <c r="C185">
        <v>1.0915999999999999</v>
      </c>
      <c r="D185">
        <v>1.0244</v>
      </c>
      <c r="E185">
        <v>1.0569</v>
      </c>
      <c r="F185">
        <v>951881</v>
      </c>
      <c r="G185">
        <v>1.0569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-3.2738095238094969E-2</v>
      </c>
      <c r="Q185">
        <f t="shared" ref="Q185" si="901">F185*P185</f>
        <v>-31162.770833333077</v>
      </c>
      <c r="R185">
        <f t="shared" ref="R185" si="902">R186+Q185</f>
        <v>-31841140.213244114</v>
      </c>
      <c r="S185">
        <f t="shared" ref="S185" si="903">R185/100000</f>
        <v>-318.41140213244114</v>
      </c>
      <c r="T185">
        <f t="shared" ref="T185" si="904">S185/1000</f>
        <v>-0.31841140213244112</v>
      </c>
    </row>
    <row r="186" spans="1:20" x14ac:dyDescent="0.25">
      <c r="A186" s="5">
        <v>44407</v>
      </c>
      <c r="B186">
        <v>1.0244</v>
      </c>
      <c r="C186">
        <v>1.0733999999999999</v>
      </c>
      <c r="D186">
        <v>1.0004</v>
      </c>
      <c r="E186">
        <v>1.0469999999999999</v>
      </c>
      <c r="F186">
        <v>1754002</v>
      </c>
      <c r="G186">
        <v>1.0469999999999999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0.27671232876712343</v>
      </c>
      <c r="Q186">
        <f t="shared" ref="Q186" si="906">F186*P186</f>
        <v>485353.97808219201</v>
      </c>
      <c r="R186">
        <f t="shared" ref="R186" si="907">R187+Q186</f>
        <v>-31809977.442410782</v>
      </c>
      <c r="S186">
        <f t="shared" ref="S186" si="908">R186/100000</f>
        <v>-318.09977442410781</v>
      </c>
      <c r="T186">
        <f t="shared" ref="T186" si="909">S186/1000</f>
        <v>-0.31809977442410781</v>
      </c>
    </row>
    <row r="187" spans="1:20" x14ac:dyDescent="0.25">
      <c r="A187" s="5">
        <v>44406</v>
      </c>
      <c r="B187">
        <v>1.0086999999999999</v>
      </c>
      <c r="C187">
        <v>1.0378000000000001</v>
      </c>
      <c r="D187">
        <v>0.99839999999999995</v>
      </c>
      <c r="E187">
        <v>1.0244</v>
      </c>
      <c r="F187">
        <v>1129008</v>
      </c>
      <c r="G187">
        <v>1.0244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0.31979695431471861</v>
      </c>
      <c r="Q187">
        <f t="shared" ref="Q187" si="911">F187*P187</f>
        <v>361053.31979695184</v>
      </c>
      <c r="R187">
        <f t="shared" ref="R187" si="912">R188+Q187</f>
        <v>-32295331.420492973</v>
      </c>
      <c r="S187">
        <f t="shared" ref="S187" si="913">R187/100000</f>
        <v>-322.95331420492971</v>
      </c>
      <c r="T187">
        <f t="shared" ref="T187" si="914">S187/1000</f>
        <v>-0.32295331420492973</v>
      </c>
    </row>
    <row r="188" spans="1:20" x14ac:dyDescent="0.25">
      <c r="A188" s="5">
        <v>44405</v>
      </c>
      <c r="B188">
        <v>1.0057</v>
      </c>
      <c r="C188">
        <v>1.0463</v>
      </c>
      <c r="D188">
        <v>0.99619999999999997</v>
      </c>
      <c r="E188">
        <v>1.0085999999999999</v>
      </c>
      <c r="F188">
        <v>1243423</v>
      </c>
      <c r="G188">
        <v>1.0085999999999999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-0.50499001996008153</v>
      </c>
      <c r="Q188">
        <f t="shared" ref="Q188" si="916">F188*P188</f>
        <v>-627916.20558882446</v>
      </c>
      <c r="R188">
        <f t="shared" ref="R188" si="917">R189+Q188</f>
        <v>-32656384.740289927</v>
      </c>
      <c r="S188">
        <f t="shared" ref="S188" si="918">R188/100000</f>
        <v>-326.56384740289928</v>
      </c>
      <c r="T188">
        <f t="shared" ref="T188" si="919">S188/1000</f>
        <v>-0.32656384740289929</v>
      </c>
    </row>
    <row r="189" spans="1:20" x14ac:dyDescent="0.25">
      <c r="A189" s="5">
        <v>44404</v>
      </c>
      <c r="B189">
        <v>1.0023</v>
      </c>
      <c r="C189">
        <v>1.0124</v>
      </c>
      <c r="D189">
        <v>0.95250000000000001</v>
      </c>
      <c r="E189">
        <v>1.0056</v>
      </c>
      <c r="F189">
        <v>1278914</v>
      </c>
      <c r="G189">
        <v>1.0056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0.77295492487479389</v>
      </c>
      <c r="Q189">
        <f t="shared" ref="Q189" si="921">F189*P189</f>
        <v>988542.87479132216</v>
      </c>
      <c r="R189">
        <f t="shared" ref="R189" si="922">R190+Q189</f>
        <v>-32028468.534701101</v>
      </c>
      <c r="S189">
        <f t="shared" ref="S189" si="923">R189/100000</f>
        <v>-320.28468534701102</v>
      </c>
      <c r="T189">
        <f t="shared" ref="T189" si="924">S189/1000</f>
        <v>-0.32028468534701104</v>
      </c>
    </row>
    <row r="190" spans="1:20" x14ac:dyDescent="0.25">
      <c r="A190" s="5">
        <v>44403</v>
      </c>
      <c r="B190">
        <v>0.99239999999999995</v>
      </c>
      <c r="C190">
        <v>1.0999000000000001</v>
      </c>
      <c r="D190">
        <v>0.98399999999999999</v>
      </c>
      <c r="E190">
        <v>1.0003</v>
      </c>
      <c r="F190">
        <v>2812904</v>
      </c>
      <c r="G190">
        <v>1.0003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-0.71872303710094965</v>
      </c>
      <c r="Q190">
        <f t="shared" ref="Q190" si="926">F190*P190</f>
        <v>-2021698.9059534096</v>
      </c>
      <c r="R190">
        <f t="shared" ref="R190" si="927">R191+Q190</f>
        <v>-33017011.409492422</v>
      </c>
      <c r="S190">
        <f t="shared" ref="S190" si="928">R190/100000</f>
        <v>-330.1701140949242</v>
      </c>
      <c r="T190">
        <f t="shared" ref="T190" si="929">S190/1000</f>
        <v>-0.33017011409492419</v>
      </c>
    </row>
    <row r="191" spans="1:20" x14ac:dyDescent="0.25">
      <c r="A191" s="5">
        <v>44402</v>
      </c>
      <c r="B191">
        <v>0.99309999999999998</v>
      </c>
      <c r="C191">
        <v>0.999</v>
      </c>
      <c r="D191">
        <v>0.95920000000000005</v>
      </c>
      <c r="E191">
        <v>0.99019999999999997</v>
      </c>
      <c r="F191">
        <v>1083261</v>
      </c>
      <c r="G191">
        <v>0.99019999999999997</v>
      </c>
      <c r="L191" t="s">
        <v>8</v>
      </c>
      <c r="M191" t="s">
        <v>7</v>
      </c>
      <c r="N191" t="s">
        <v>7</v>
      </c>
      <c r="P191">
        <f t="shared" ref="P191" si="930">IF(C191=D191,0,((E191-D191)-(C191-E191))/(C191-D191))</f>
        <v>0.55778894472361595</v>
      </c>
      <c r="Q191">
        <f t="shared" ref="Q191" si="931">F191*P191</f>
        <v>604231.01005024894</v>
      </c>
      <c r="R191">
        <f t="shared" ref="R191" si="932">R192+Q191</f>
        <v>-30995312.503539011</v>
      </c>
      <c r="S191">
        <f t="shared" ref="S191" si="933">R191/100000</f>
        <v>-309.95312503539009</v>
      </c>
      <c r="T191">
        <f t="shared" ref="T191:T197" si="934">S191/1000</f>
        <v>-0.30995312503539008</v>
      </c>
    </row>
    <row r="192" spans="1:20" x14ac:dyDescent="0.25">
      <c r="A192" s="5">
        <v>44401</v>
      </c>
      <c r="B192">
        <v>0.97199999999999998</v>
      </c>
      <c r="C192">
        <v>1</v>
      </c>
      <c r="D192">
        <v>0.95609999999999995</v>
      </c>
      <c r="E192">
        <v>0.98880000000000001</v>
      </c>
      <c r="F192">
        <v>1527307</v>
      </c>
      <c r="G192">
        <v>0.98880000000000001</v>
      </c>
      <c r="L192" t="s">
        <v>8</v>
      </c>
      <c r="M192" t="s">
        <v>7</v>
      </c>
      <c r="N192" t="s">
        <v>7</v>
      </c>
      <c r="P192">
        <f t="shared" ref="P192" si="935">IF(C192=D192,0,((E192-D192)-(C192-E192))/(C192-D192))</f>
        <v>0.48974943052391912</v>
      </c>
      <c r="Q192">
        <f t="shared" ref="Q192" si="936">F192*P192</f>
        <v>747997.73348519532</v>
      </c>
      <c r="R192">
        <f t="shared" ref="R192" si="937">R193+Q192</f>
        <v>-31599543.513589259</v>
      </c>
      <c r="S192">
        <f t="shared" ref="S192" si="938">R192/100000</f>
        <v>-315.99543513589259</v>
      </c>
      <c r="T192">
        <f t="shared" si="934"/>
        <v>-0.31599543513589257</v>
      </c>
    </row>
    <row r="193" spans="1:20" x14ac:dyDescent="0.25">
      <c r="A193" s="5">
        <v>44400</v>
      </c>
      <c r="B193">
        <v>0.94669999999999999</v>
      </c>
      <c r="C193">
        <v>0.98499999999999999</v>
      </c>
      <c r="D193">
        <v>0.9234</v>
      </c>
      <c r="E193">
        <v>0.97070000000000001</v>
      </c>
      <c r="F193">
        <v>1483181</v>
      </c>
      <c r="G193">
        <v>0.97070000000000001</v>
      </c>
      <c r="L193" t="s">
        <v>8</v>
      </c>
      <c r="M193" t="s">
        <v>7</v>
      </c>
      <c r="N193" t="s">
        <v>7</v>
      </c>
      <c r="P193">
        <f t="shared" ref="P193" si="939">IF(C193=D193,0,((E193-D193)-(C193-E193))/(C193-D193))</f>
        <v>0.53571428571428625</v>
      </c>
      <c r="Q193">
        <f t="shared" ref="Q193" si="940">F193*P193</f>
        <v>794561.25000000081</v>
      </c>
      <c r="R193">
        <f t="shared" ref="R193" si="941">R194+Q193</f>
        <v>-32347541.247074455</v>
      </c>
      <c r="S193">
        <f t="shared" ref="S193" si="942">R193/100000</f>
        <v>-323.47541247074457</v>
      </c>
      <c r="T193">
        <f t="shared" si="934"/>
        <v>-0.32347541247074457</v>
      </c>
    </row>
    <row r="194" spans="1:20" x14ac:dyDescent="0.25">
      <c r="A194" s="5">
        <v>44399</v>
      </c>
      <c r="B194">
        <v>0.93710000000000004</v>
      </c>
      <c r="C194">
        <v>0.95609999999999995</v>
      </c>
      <c r="D194">
        <v>0.91659999999999997</v>
      </c>
      <c r="E194">
        <v>0.94399999999999995</v>
      </c>
      <c r="F194">
        <v>928017</v>
      </c>
      <c r="G194">
        <v>0.94399999999999995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0.38734177215189841</v>
      </c>
      <c r="Q194">
        <f t="shared" ref="Q194" si="944">F194*P194</f>
        <v>359459.74936708831</v>
      </c>
      <c r="R194">
        <f t="shared" ref="R194" si="945">R195+Q194</f>
        <v>-33142102.497074455</v>
      </c>
      <c r="S194">
        <f t="shared" ref="S194" si="946">R194/100000</f>
        <v>-331.42102497074455</v>
      </c>
      <c r="T194">
        <f t="shared" si="934"/>
        <v>-0.33142102497074455</v>
      </c>
    </row>
    <row r="195" spans="1:20" x14ac:dyDescent="0.25">
      <c r="A195" s="5">
        <v>44398</v>
      </c>
      <c r="B195">
        <v>0.88749999999999996</v>
      </c>
      <c r="C195">
        <v>0.96</v>
      </c>
      <c r="D195">
        <v>0.86460000000000004</v>
      </c>
      <c r="E195">
        <v>0.93799999999999994</v>
      </c>
      <c r="F195">
        <v>2142352</v>
      </c>
      <c r="G195">
        <v>0.93799999999999994</v>
      </c>
      <c r="L195" t="s">
        <v>7</v>
      </c>
      <c r="M195" t="s">
        <v>7</v>
      </c>
      <c r="N195" t="s">
        <v>7</v>
      </c>
      <c r="P195">
        <f t="shared" ref="P195" si="947">IF(C195=D195,0,((E195-D195)-(C195-E195))/(C195-D195))</f>
        <v>0.53878406708595317</v>
      </c>
      <c r="Q195">
        <f t="shared" ref="Q195" si="948">F195*P195</f>
        <v>1154265.123689726</v>
      </c>
      <c r="R195">
        <f t="shared" ref="R195" si="949">R196+Q195</f>
        <v>-33501562.246441543</v>
      </c>
      <c r="S195">
        <f t="shared" ref="S195" si="950">R195/100000</f>
        <v>-335.01562246441546</v>
      </c>
      <c r="T195">
        <f t="shared" si="934"/>
        <v>-0.33501562246441546</v>
      </c>
    </row>
    <row r="196" spans="1:20" x14ac:dyDescent="0.25">
      <c r="A196" s="5">
        <v>44397</v>
      </c>
      <c r="B196">
        <v>0.91110000000000002</v>
      </c>
      <c r="C196">
        <v>1.23</v>
      </c>
      <c r="D196">
        <v>0.82399999999999995</v>
      </c>
      <c r="E196">
        <v>0.88759999999999994</v>
      </c>
      <c r="F196">
        <v>8143823</v>
      </c>
      <c r="G196">
        <v>0.88759999999999994</v>
      </c>
      <c r="L196" t="s">
        <v>8</v>
      </c>
      <c r="M196" t="s">
        <v>8</v>
      </c>
      <c r="N196" t="s">
        <v>8</v>
      </c>
      <c r="P196">
        <f t="shared" ref="P196" si="951">IF(C196=D196,0,((E196-D196)-(C196-E196))/(C196-D196))</f>
        <v>-0.68669950738916263</v>
      </c>
      <c r="Q196">
        <f t="shared" ref="Q196" si="952">F196*P196</f>
        <v>-5592359.2423645323</v>
      </c>
      <c r="R196">
        <f t="shared" ref="R196" si="953">R197+Q196</f>
        <v>-34655827.370131269</v>
      </c>
      <c r="S196">
        <f t="shared" ref="S196" si="954">R196/100000</f>
        <v>-346.55827370131271</v>
      </c>
      <c r="T196">
        <f t="shared" si="934"/>
        <v>-0.3465582737013127</v>
      </c>
    </row>
    <row r="197" spans="1:20" x14ac:dyDescent="0.25">
      <c r="A197" s="5">
        <v>44396</v>
      </c>
      <c r="B197">
        <v>0.90759999999999996</v>
      </c>
      <c r="C197">
        <v>0.97289999999999999</v>
      </c>
      <c r="D197">
        <v>0.87429999999999997</v>
      </c>
      <c r="E197">
        <v>0.91649999999999998</v>
      </c>
      <c r="F197">
        <v>2389598</v>
      </c>
      <c r="G197">
        <v>0</v>
      </c>
      <c r="L197" t="s">
        <v>8</v>
      </c>
      <c r="M197" t="s">
        <v>7</v>
      </c>
      <c r="N197" t="s">
        <v>8</v>
      </c>
      <c r="P197">
        <f t="shared" ref="P197" si="955">IF(C197=D197,0,((E197-D197)-(C197-E197))/(C197-D197))</f>
        <v>-0.14401622718052726</v>
      </c>
      <c r="Q197">
        <f t="shared" ref="Q197" si="956">F197*P197</f>
        <v>-344140.88843813358</v>
      </c>
      <c r="R197">
        <f t="shared" ref="R197" si="957">R198+Q197</f>
        <v>-29063468.12776674</v>
      </c>
      <c r="S197">
        <f t="shared" ref="S197" si="958">R197/100000</f>
        <v>-290.63468127766737</v>
      </c>
      <c r="T197">
        <f t="shared" si="934"/>
        <v>-0.29063468127766739</v>
      </c>
    </row>
    <row r="198" spans="1:20" x14ac:dyDescent="0.25">
      <c r="A198" s="5">
        <v>44395</v>
      </c>
      <c r="B198">
        <v>0.88680000000000003</v>
      </c>
      <c r="C198">
        <v>0.92169999999999996</v>
      </c>
      <c r="D198">
        <v>0.88570000000000004</v>
      </c>
      <c r="E198">
        <v>0.9042</v>
      </c>
      <c r="F198">
        <v>777185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2.7777777777777863E-2</v>
      </c>
      <c r="Q198">
        <f t="shared" ref="Q198:Q261" si="960">F198*P198</f>
        <v>21588.472222222288</v>
      </c>
      <c r="R198">
        <f t="shared" ref="R198:R261" si="961">R199+Q198</f>
        <v>-28719327.239328604</v>
      </c>
      <c r="S198">
        <f t="shared" ref="S198:S261" si="962">R198/100000</f>
        <v>-287.19327239328607</v>
      </c>
      <c r="T198">
        <f t="shared" ref="T198:T261" si="963">S198/1000</f>
        <v>-0.28719327239328607</v>
      </c>
    </row>
    <row r="199" spans="1:20" x14ac:dyDescent="0.25">
      <c r="A199" s="5">
        <v>44394</v>
      </c>
      <c r="B199">
        <v>0.879</v>
      </c>
      <c r="C199">
        <v>0.89259999999999995</v>
      </c>
      <c r="D199">
        <v>0.86099999999999999</v>
      </c>
      <c r="E199">
        <v>0.88990000000000002</v>
      </c>
      <c r="F199">
        <v>765046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0.82911392405063744</v>
      </c>
      <c r="Q199">
        <f t="shared" si="960"/>
        <v>634310.29113924399</v>
      </c>
      <c r="R199">
        <f t="shared" si="961"/>
        <v>-28740915.711550828</v>
      </c>
      <c r="S199">
        <f t="shared" si="962"/>
        <v>-287.40915711550826</v>
      </c>
      <c r="T199">
        <f t="shared" si="963"/>
        <v>-0.28740915711550824</v>
      </c>
    </row>
    <row r="200" spans="1:20" x14ac:dyDescent="0.25">
      <c r="A200" s="5">
        <v>44393</v>
      </c>
      <c r="B200">
        <v>0.90439999999999998</v>
      </c>
      <c r="C200">
        <v>0.92459999999999998</v>
      </c>
      <c r="D200">
        <v>0.86980000000000002</v>
      </c>
      <c r="E200">
        <v>0.879</v>
      </c>
      <c r="F200">
        <v>667048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-0.66423357664233607</v>
      </c>
      <c r="Q200">
        <f t="shared" si="960"/>
        <v>-443075.678832117</v>
      </c>
      <c r="R200">
        <f t="shared" si="961"/>
        <v>-29375226.002690073</v>
      </c>
      <c r="S200">
        <f t="shared" si="962"/>
        <v>-293.75226002690073</v>
      </c>
      <c r="T200">
        <f t="shared" si="963"/>
        <v>-0.29375226002690075</v>
      </c>
    </row>
    <row r="201" spans="1:20" x14ac:dyDescent="0.25">
      <c r="A201" s="5">
        <v>44392</v>
      </c>
      <c r="B201">
        <v>0.91900000000000004</v>
      </c>
      <c r="C201">
        <v>0.94850000000000001</v>
      </c>
      <c r="D201">
        <v>0.87880000000000003</v>
      </c>
      <c r="E201">
        <v>0.90010000000000001</v>
      </c>
      <c r="F201">
        <v>778470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-0.38880918220946942</v>
      </c>
      <c r="Q201">
        <f t="shared" si="960"/>
        <v>-302676.28407460568</v>
      </c>
      <c r="R201">
        <f t="shared" si="961"/>
        <v>-28932150.323857956</v>
      </c>
      <c r="S201">
        <f t="shared" si="962"/>
        <v>-289.32150323857957</v>
      </c>
      <c r="T201">
        <f t="shared" si="963"/>
        <v>-0.28932150323857958</v>
      </c>
    </row>
    <row r="202" spans="1:20" x14ac:dyDescent="0.25">
      <c r="A202" s="5">
        <v>44391</v>
      </c>
      <c r="B202">
        <v>0.9214</v>
      </c>
      <c r="C202">
        <v>0.93530000000000002</v>
      </c>
      <c r="D202">
        <v>0.86450000000000005</v>
      </c>
      <c r="E202">
        <v>0.91859999999999997</v>
      </c>
      <c r="F202">
        <v>1719300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0.52824858757061999</v>
      </c>
      <c r="Q202">
        <f t="shared" si="960"/>
        <v>908217.7966101669</v>
      </c>
      <c r="R202">
        <f t="shared" si="961"/>
        <v>-28629474.039783351</v>
      </c>
      <c r="S202">
        <f t="shared" si="962"/>
        <v>-286.29474039783349</v>
      </c>
      <c r="T202">
        <f t="shared" si="963"/>
        <v>-0.28629474039783348</v>
      </c>
    </row>
    <row r="203" spans="1:20" x14ac:dyDescent="0.25">
      <c r="A203" s="5">
        <v>44390</v>
      </c>
      <c r="B203">
        <v>0.94889999999999997</v>
      </c>
      <c r="C203">
        <v>0.9516</v>
      </c>
      <c r="D203">
        <v>0.90300000000000002</v>
      </c>
      <c r="E203">
        <v>0.91700000000000004</v>
      </c>
      <c r="F203">
        <v>1135100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-0.42386831275720088</v>
      </c>
      <c r="Q203">
        <f t="shared" si="960"/>
        <v>-481132.9218106987</v>
      </c>
      <c r="R203">
        <f t="shared" si="961"/>
        <v>-29537691.836393517</v>
      </c>
      <c r="S203">
        <f t="shared" si="962"/>
        <v>-295.37691836393515</v>
      </c>
      <c r="T203">
        <f t="shared" si="963"/>
        <v>-0.29537691836393515</v>
      </c>
    </row>
    <row r="204" spans="1:20" x14ac:dyDescent="0.25">
      <c r="A204" s="5">
        <v>44389</v>
      </c>
      <c r="B204">
        <v>0.98499999999999999</v>
      </c>
      <c r="C204">
        <v>0.99</v>
      </c>
      <c r="D204">
        <v>0.93120000000000003</v>
      </c>
      <c r="E204">
        <v>0.94530000000000003</v>
      </c>
      <c r="F204">
        <v>1854646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-0.52040816326530581</v>
      </c>
      <c r="Q204">
        <f t="shared" si="960"/>
        <v>-965172.9183673464</v>
      </c>
      <c r="R204">
        <f t="shared" si="961"/>
        <v>-29056558.914582819</v>
      </c>
      <c r="S204">
        <f t="shared" si="962"/>
        <v>-290.5655891458282</v>
      </c>
      <c r="T204">
        <f t="shared" si="963"/>
        <v>-0.2905655891458282</v>
      </c>
    </row>
    <row r="205" spans="1:20" x14ac:dyDescent="0.25">
      <c r="A205" s="5">
        <v>44388</v>
      </c>
      <c r="B205">
        <v>0.95169999999999999</v>
      </c>
      <c r="C205">
        <v>0.99990000000000001</v>
      </c>
      <c r="D205">
        <v>0.94</v>
      </c>
      <c r="E205">
        <v>0.98270000000000002</v>
      </c>
      <c r="F205">
        <v>1187757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0.42570951585976713</v>
      </c>
      <c r="Q205">
        <f t="shared" si="960"/>
        <v>505639.45742904942</v>
      </c>
      <c r="R205">
        <f t="shared" si="961"/>
        <v>-28091385.996215474</v>
      </c>
      <c r="S205">
        <f t="shared" si="962"/>
        <v>-280.91385996215473</v>
      </c>
      <c r="T205">
        <f t="shared" si="963"/>
        <v>-0.28091385996215473</v>
      </c>
    </row>
    <row r="206" spans="1:20" x14ac:dyDescent="0.25">
      <c r="A206" s="5">
        <v>44387</v>
      </c>
      <c r="B206">
        <v>0.95499999999999996</v>
      </c>
      <c r="C206">
        <v>0.97540000000000004</v>
      </c>
      <c r="D206">
        <v>0.93</v>
      </c>
      <c r="E206">
        <v>0.95169999999999999</v>
      </c>
      <c r="F206">
        <v>1154327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-4.4052863436125834E-2</v>
      </c>
      <c r="Q206">
        <f t="shared" si="960"/>
        <v>-50851.409691632827</v>
      </c>
      <c r="R206">
        <f t="shared" si="961"/>
        <v>-28597025.453644522</v>
      </c>
      <c r="S206">
        <f t="shared" si="962"/>
        <v>-285.97025453644522</v>
      </c>
      <c r="T206">
        <f t="shared" si="963"/>
        <v>-0.2859702545364452</v>
      </c>
    </row>
    <row r="207" spans="1:20" x14ac:dyDescent="0.25">
      <c r="A207" s="5">
        <v>44386</v>
      </c>
      <c r="B207">
        <v>0.94210000000000005</v>
      </c>
      <c r="C207">
        <v>1.0391999999999999</v>
      </c>
      <c r="D207">
        <v>0.9</v>
      </c>
      <c r="E207">
        <v>0.95809999999999995</v>
      </c>
      <c r="F207">
        <v>2538217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-0.16522988505747155</v>
      </c>
      <c r="Q207">
        <f t="shared" si="960"/>
        <v>-419389.30316092027</v>
      </c>
      <c r="R207">
        <f t="shared" si="961"/>
        <v>-28546174.04395289</v>
      </c>
      <c r="S207">
        <f t="shared" si="962"/>
        <v>-285.46174043952891</v>
      </c>
      <c r="T207">
        <f t="shared" si="963"/>
        <v>-0.28546174043952893</v>
      </c>
    </row>
    <row r="208" spans="1:20" x14ac:dyDescent="0.25">
      <c r="A208" s="5">
        <v>44385</v>
      </c>
      <c r="B208">
        <v>1.0049999999999999</v>
      </c>
      <c r="C208">
        <v>1.0085999999999999</v>
      </c>
      <c r="D208">
        <v>0.93100000000000005</v>
      </c>
      <c r="E208">
        <v>0.9405</v>
      </c>
      <c r="F208">
        <v>1847518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-0.7551546391752586</v>
      </c>
      <c r="Q208">
        <f t="shared" si="960"/>
        <v>-1395161.7886597954</v>
      </c>
      <c r="R208">
        <f t="shared" si="961"/>
        <v>-28126784.740791969</v>
      </c>
      <c r="S208">
        <f t="shared" si="962"/>
        <v>-281.2678474079197</v>
      </c>
      <c r="T208">
        <f t="shared" si="963"/>
        <v>-0.28126784740791971</v>
      </c>
    </row>
    <row r="209" spans="1:20" x14ac:dyDescent="0.25">
      <c r="A209" s="5">
        <v>44384</v>
      </c>
      <c r="B209">
        <v>1.0235000000000001</v>
      </c>
      <c r="C209">
        <v>1.0522</v>
      </c>
      <c r="D209">
        <v>1.002</v>
      </c>
      <c r="E209">
        <v>1.0044999999999999</v>
      </c>
      <c r="F209">
        <v>2355550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-0.90039840637450419</v>
      </c>
      <c r="Q209">
        <f t="shared" si="960"/>
        <v>-2120933.4661354632</v>
      </c>
      <c r="R209">
        <f t="shared" si="961"/>
        <v>-26731622.952132173</v>
      </c>
      <c r="S209">
        <f t="shared" si="962"/>
        <v>-267.3162295213217</v>
      </c>
      <c r="T209">
        <f t="shared" si="963"/>
        <v>-0.26731622952132172</v>
      </c>
    </row>
    <row r="210" spans="1:20" x14ac:dyDescent="0.25">
      <c r="A210" s="5">
        <v>44383</v>
      </c>
      <c r="B210">
        <v>1.0169999999999999</v>
      </c>
      <c r="C210">
        <v>1.06</v>
      </c>
      <c r="D210">
        <v>1.0045999999999999</v>
      </c>
      <c r="E210">
        <v>1.0235000000000001</v>
      </c>
      <c r="F210">
        <v>2682586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-0.31768953068591699</v>
      </c>
      <c r="Q210">
        <f t="shared" si="960"/>
        <v>-852229.48736461136</v>
      </c>
      <c r="R210">
        <f t="shared" si="961"/>
        <v>-24610689.485996708</v>
      </c>
      <c r="S210">
        <f t="shared" si="962"/>
        <v>-246.10689485996707</v>
      </c>
      <c r="T210">
        <f t="shared" si="963"/>
        <v>-0.24610689485996706</v>
      </c>
    </row>
    <row r="211" spans="1:20" x14ac:dyDescent="0.25">
      <c r="A211" s="5">
        <v>44382</v>
      </c>
      <c r="B211">
        <v>1.0199</v>
      </c>
      <c r="C211">
        <v>1.0763</v>
      </c>
      <c r="D211">
        <v>0.99970000000000003</v>
      </c>
      <c r="E211">
        <v>1.0169999999999999</v>
      </c>
      <c r="F211">
        <v>3772542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-0.54830287206266659</v>
      </c>
      <c r="Q211">
        <f t="shared" si="960"/>
        <v>-2068495.6135770364</v>
      </c>
      <c r="R211">
        <f t="shared" si="961"/>
        <v>-23758459.998632096</v>
      </c>
      <c r="S211">
        <f t="shared" si="962"/>
        <v>-237.58459998632097</v>
      </c>
      <c r="T211">
        <f t="shared" si="963"/>
        <v>-0.23758459998632098</v>
      </c>
    </row>
    <row r="212" spans="1:20" x14ac:dyDescent="0.25">
      <c r="A212" s="5">
        <v>44381</v>
      </c>
      <c r="B212">
        <v>1.0084</v>
      </c>
      <c r="C212">
        <v>1.04</v>
      </c>
      <c r="D212">
        <v>0.99980000000000002</v>
      </c>
      <c r="E212">
        <v>1.0177</v>
      </c>
      <c r="F212">
        <v>1408172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-0.10945273631840692</v>
      </c>
      <c r="Q212">
        <f t="shared" si="960"/>
        <v>-154128.27860696372</v>
      </c>
      <c r="R212">
        <f t="shared" si="961"/>
        <v>-21689964.385055058</v>
      </c>
      <c r="S212">
        <f t="shared" si="962"/>
        <v>-216.89964385055058</v>
      </c>
      <c r="T212">
        <f t="shared" si="963"/>
        <v>-0.21689964385055058</v>
      </c>
    </row>
    <row r="213" spans="1:20" x14ac:dyDescent="0.25">
      <c r="A213" s="5">
        <v>44380</v>
      </c>
      <c r="B213">
        <v>0.97709999999999997</v>
      </c>
      <c r="C213">
        <v>1.054</v>
      </c>
      <c r="D213">
        <v>0.96409999999999996</v>
      </c>
      <c r="E213">
        <v>1.0084</v>
      </c>
      <c r="F213">
        <v>2158216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-1.4460511679644912E-2</v>
      </c>
      <c r="Q213">
        <f t="shared" si="960"/>
        <v>-31208.907675196522</v>
      </c>
      <c r="R213">
        <f t="shared" si="961"/>
        <v>-21535836.106448095</v>
      </c>
      <c r="S213">
        <f t="shared" si="962"/>
        <v>-215.35836106448096</v>
      </c>
      <c r="T213">
        <f t="shared" si="963"/>
        <v>-0.21535836106448095</v>
      </c>
    </row>
    <row r="214" spans="1:20" x14ac:dyDescent="0.25">
      <c r="A214" s="5">
        <v>44379</v>
      </c>
      <c r="B214">
        <v>0.97450000000000003</v>
      </c>
      <c r="C214">
        <v>1.0359</v>
      </c>
      <c r="D214">
        <v>0.93940000000000001</v>
      </c>
      <c r="E214">
        <v>0.97840000000000005</v>
      </c>
      <c r="F214">
        <v>2043087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-0.19170984455958504</v>
      </c>
      <c r="Q214">
        <f t="shared" si="960"/>
        <v>-391679.89119170891</v>
      </c>
      <c r="R214">
        <f t="shared" si="961"/>
        <v>-21504627.1987729</v>
      </c>
      <c r="S214">
        <f t="shared" si="962"/>
        <v>-215.046271987729</v>
      </c>
      <c r="T214">
        <f t="shared" si="963"/>
        <v>-0.21504627198772899</v>
      </c>
    </row>
    <row r="215" spans="1:20" x14ac:dyDescent="0.25">
      <c r="A215" s="5">
        <v>44378</v>
      </c>
      <c r="B215">
        <v>1.0243</v>
      </c>
      <c r="C215">
        <v>1.04</v>
      </c>
      <c r="D215">
        <v>0.95299999999999996</v>
      </c>
      <c r="E215">
        <v>0.97450000000000003</v>
      </c>
      <c r="F215">
        <v>1712900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-0.50574712643678033</v>
      </c>
      <c r="Q215">
        <f t="shared" si="960"/>
        <v>-866294.252873561</v>
      </c>
      <c r="R215">
        <f t="shared" si="961"/>
        <v>-21112947.30758119</v>
      </c>
      <c r="S215">
        <f t="shared" si="962"/>
        <v>-211.12947307581189</v>
      </c>
      <c r="T215">
        <f t="shared" si="963"/>
        <v>-0.2111294730758119</v>
      </c>
    </row>
    <row r="216" spans="1:20" x14ac:dyDescent="0.25">
      <c r="A216" s="5">
        <v>44377</v>
      </c>
      <c r="B216">
        <v>1.0288999999999999</v>
      </c>
      <c r="C216">
        <v>1.0322</v>
      </c>
      <c r="D216">
        <v>0.95599999999999996</v>
      </c>
      <c r="E216">
        <v>1.0241</v>
      </c>
      <c r="F216">
        <v>1762565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0.78740157480314987</v>
      </c>
      <c r="Q216">
        <f t="shared" si="960"/>
        <v>1387846.4566929138</v>
      </c>
      <c r="R216">
        <f t="shared" si="961"/>
        <v>-20246653.054707628</v>
      </c>
      <c r="S216">
        <f t="shared" si="962"/>
        <v>-202.46653054707627</v>
      </c>
      <c r="T216">
        <f t="shared" si="963"/>
        <v>-0.20246653054707628</v>
      </c>
    </row>
    <row r="217" spans="1:20" x14ac:dyDescent="0.25">
      <c r="A217" s="5">
        <v>44376</v>
      </c>
      <c r="B217">
        <v>1.0028999999999999</v>
      </c>
      <c r="C217">
        <v>1.07</v>
      </c>
      <c r="D217">
        <v>1.0004</v>
      </c>
      <c r="E217">
        <v>1.0301</v>
      </c>
      <c r="F217">
        <v>3946774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-0.14655172413793063</v>
      </c>
      <c r="Q217">
        <f t="shared" si="960"/>
        <v>-578406.5344827571</v>
      </c>
      <c r="R217">
        <f t="shared" si="961"/>
        <v>-21634499.511400543</v>
      </c>
      <c r="S217">
        <f t="shared" si="962"/>
        <v>-216.34499511400543</v>
      </c>
      <c r="T217">
        <f t="shared" si="963"/>
        <v>-0.21634499511400543</v>
      </c>
    </row>
    <row r="218" spans="1:20" x14ac:dyDescent="0.25">
      <c r="A218" s="5">
        <v>44375</v>
      </c>
      <c r="B218">
        <v>0.99109999999999998</v>
      </c>
      <c r="C218">
        <v>1.046</v>
      </c>
      <c r="D218">
        <v>0.95699999999999996</v>
      </c>
      <c r="E218">
        <v>1.0027999999999999</v>
      </c>
      <c r="F218">
        <v>2989909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2.9213483146065419E-2</v>
      </c>
      <c r="Q218">
        <f t="shared" si="960"/>
        <v>87345.656179769314</v>
      </c>
      <c r="R218">
        <f t="shared" si="961"/>
        <v>-21056092.976917785</v>
      </c>
      <c r="S218">
        <f t="shared" si="962"/>
        <v>-210.56092976917785</v>
      </c>
      <c r="T218">
        <f t="shared" si="963"/>
        <v>-0.21056092976917784</v>
      </c>
    </row>
    <row r="219" spans="1:20" x14ac:dyDescent="0.25">
      <c r="A219" s="5">
        <v>44374</v>
      </c>
      <c r="B219">
        <v>0.93410000000000004</v>
      </c>
      <c r="C219">
        <v>1.0014000000000001</v>
      </c>
      <c r="D219">
        <v>0.92</v>
      </c>
      <c r="E219">
        <v>0.99329999999999996</v>
      </c>
      <c r="F219">
        <v>2319212</v>
      </c>
      <c r="G219">
        <v>0</v>
      </c>
      <c r="L219" t="s">
        <v>8</v>
      </c>
      <c r="M219" t="s">
        <v>8</v>
      </c>
      <c r="N219" t="s">
        <v>8</v>
      </c>
      <c r="P219">
        <f t="shared" si="959"/>
        <v>0.80098280098279839</v>
      </c>
      <c r="Q219">
        <f t="shared" si="960"/>
        <v>1857648.9238329178</v>
      </c>
      <c r="R219">
        <f t="shared" si="961"/>
        <v>-21143438.633097555</v>
      </c>
      <c r="S219">
        <f t="shared" si="962"/>
        <v>-211.43438633097554</v>
      </c>
      <c r="T219">
        <f t="shared" si="963"/>
        <v>-0.21143438633097555</v>
      </c>
    </row>
    <row r="220" spans="1:20" x14ac:dyDescent="0.25">
      <c r="A220" s="5">
        <v>44373</v>
      </c>
      <c r="B220">
        <v>0.93</v>
      </c>
      <c r="C220">
        <v>0.96499999999999997</v>
      </c>
      <c r="D220">
        <v>0.86350000000000005</v>
      </c>
      <c r="E220">
        <v>0.93410000000000004</v>
      </c>
      <c r="F220">
        <v>3597904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0.39113300492610936</v>
      </c>
      <c r="Q220">
        <f t="shared" si="960"/>
        <v>1407259.0029556686</v>
      </c>
      <c r="R220">
        <f t="shared" si="961"/>
        <v>-23001087.556930475</v>
      </c>
      <c r="S220">
        <f t="shared" si="962"/>
        <v>-230.01087556930474</v>
      </c>
      <c r="T220">
        <f t="shared" si="963"/>
        <v>-0.23001087556930475</v>
      </c>
    </row>
    <row r="221" spans="1:20" x14ac:dyDescent="0.25">
      <c r="A221" s="5">
        <v>44372</v>
      </c>
      <c r="B221">
        <v>1.0158</v>
      </c>
      <c r="C221">
        <v>1.0790999999999999</v>
      </c>
      <c r="D221">
        <v>0.91779999999999995</v>
      </c>
      <c r="E221">
        <v>0.93100000000000005</v>
      </c>
      <c r="F221">
        <v>9375602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-0.83632982021078606</v>
      </c>
      <c r="Q221">
        <f t="shared" si="960"/>
        <v>-7841095.5350278858</v>
      </c>
      <c r="R221">
        <f t="shared" si="961"/>
        <v>-24408346.559886143</v>
      </c>
      <c r="S221">
        <f t="shared" si="962"/>
        <v>-244.08346559886144</v>
      </c>
      <c r="T221">
        <f t="shared" si="963"/>
        <v>-0.24408346559886143</v>
      </c>
    </row>
    <row r="222" spans="1:20" x14ac:dyDescent="0.25">
      <c r="A222" s="5">
        <v>44371</v>
      </c>
      <c r="B222">
        <v>0.89739999999999998</v>
      </c>
      <c r="C222">
        <v>1.3560000000000001</v>
      </c>
      <c r="D222">
        <v>0.89739999999999998</v>
      </c>
      <c r="E222">
        <v>1.0157</v>
      </c>
      <c r="F222">
        <v>34224060</v>
      </c>
      <c r="G222">
        <v>0</v>
      </c>
      <c r="P222">
        <f t="shared" si="959"/>
        <v>-0.48408198866114244</v>
      </c>
      <c r="Q222">
        <f t="shared" si="960"/>
        <v>-16567251.024858259</v>
      </c>
      <c r="R222">
        <f t="shared" si="961"/>
        <v>-16567251.024858259</v>
      </c>
      <c r="S222">
        <f t="shared" si="962"/>
        <v>-165.6725102485826</v>
      </c>
      <c r="T222">
        <f t="shared" si="963"/>
        <v>-0.16567251024858259</v>
      </c>
    </row>
    <row r="223" spans="1:20" x14ac:dyDescent="0.25">
      <c r="A223" s="5"/>
      <c r="P223">
        <f t="shared" si="959"/>
        <v>0</v>
      </c>
      <c r="Q223">
        <f t="shared" si="960"/>
        <v>0</v>
      </c>
      <c r="R223">
        <f t="shared" si="961"/>
        <v>0</v>
      </c>
      <c r="S223">
        <f t="shared" si="962"/>
        <v>0</v>
      </c>
      <c r="T223">
        <f t="shared" si="963"/>
        <v>0</v>
      </c>
    </row>
    <row r="224" spans="1:20" x14ac:dyDescent="0.25">
      <c r="A224" s="5"/>
      <c r="P224">
        <f t="shared" si="959"/>
        <v>0</v>
      </c>
      <c r="Q224">
        <f t="shared" si="960"/>
        <v>0</v>
      </c>
      <c r="R224">
        <f t="shared" si="961"/>
        <v>0</v>
      </c>
      <c r="S224">
        <f t="shared" si="962"/>
        <v>0</v>
      </c>
      <c r="T224">
        <f t="shared" si="963"/>
        <v>0</v>
      </c>
    </row>
    <row r="225" spans="1:20" x14ac:dyDescent="0.25">
      <c r="A225" s="5"/>
      <c r="P225">
        <f t="shared" si="959"/>
        <v>0</v>
      </c>
      <c r="Q225">
        <f t="shared" si="960"/>
        <v>0</v>
      </c>
      <c r="R225">
        <f t="shared" si="961"/>
        <v>0</v>
      </c>
      <c r="S225">
        <f t="shared" si="962"/>
        <v>0</v>
      </c>
      <c r="T225">
        <f t="shared" si="963"/>
        <v>0</v>
      </c>
    </row>
    <row r="226" spans="1:20" x14ac:dyDescent="0.25">
      <c r="A226" s="5"/>
      <c r="P226">
        <f t="shared" si="959"/>
        <v>0</v>
      </c>
      <c r="Q226">
        <f t="shared" si="960"/>
        <v>0</v>
      </c>
      <c r="R226">
        <f t="shared" si="961"/>
        <v>0</v>
      </c>
      <c r="S226">
        <f t="shared" si="962"/>
        <v>0</v>
      </c>
      <c r="T226">
        <f t="shared" si="963"/>
        <v>0</v>
      </c>
    </row>
    <row r="227" spans="1:20" x14ac:dyDescent="0.25">
      <c r="A227" s="5"/>
      <c r="B227" s="1"/>
      <c r="C227" s="2"/>
      <c r="D227" s="2"/>
      <c r="E227" s="1"/>
      <c r="F227" s="1"/>
      <c r="P227">
        <f t="shared" si="959"/>
        <v>0</v>
      </c>
      <c r="Q227">
        <f t="shared" si="960"/>
        <v>0</v>
      </c>
      <c r="R227">
        <f t="shared" si="961"/>
        <v>0</v>
      </c>
      <c r="S227">
        <f t="shared" si="962"/>
        <v>0</v>
      </c>
      <c r="T227">
        <f t="shared" si="963"/>
        <v>0</v>
      </c>
    </row>
    <row r="228" spans="1:20" x14ac:dyDescent="0.25">
      <c r="A228" s="5"/>
      <c r="B228" s="1"/>
      <c r="C228" s="2"/>
      <c r="D228" s="2"/>
      <c r="E228" s="1"/>
      <c r="F228" s="1"/>
      <c r="P228">
        <f t="shared" si="959"/>
        <v>0</v>
      </c>
      <c r="Q228">
        <f t="shared" si="960"/>
        <v>0</v>
      </c>
      <c r="R228">
        <f t="shared" si="961"/>
        <v>0</v>
      </c>
      <c r="S228">
        <f t="shared" si="962"/>
        <v>0</v>
      </c>
      <c r="T228">
        <f t="shared" si="963"/>
        <v>0</v>
      </c>
    </row>
    <row r="229" spans="1:20" x14ac:dyDescent="0.25">
      <c r="A229" s="5"/>
      <c r="B229" s="1"/>
      <c r="C229" s="2"/>
      <c r="D229" s="2"/>
      <c r="E229" s="1"/>
      <c r="F229" s="1"/>
      <c r="P229">
        <f t="shared" si="959"/>
        <v>0</v>
      </c>
      <c r="Q229">
        <f t="shared" si="960"/>
        <v>0</v>
      </c>
      <c r="R229">
        <f t="shared" si="961"/>
        <v>0</v>
      </c>
      <c r="S229">
        <f t="shared" si="962"/>
        <v>0</v>
      </c>
      <c r="T229">
        <f t="shared" si="963"/>
        <v>0</v>
      </c>
    </row>
    <row r="230" spans="1:20" x14ac:dyDescent="0.25">
      <c r="A230" s="5"/>
      <c r="B230" s="1"/>
      <c r="C230" s="2"/>
      <c r="D230" s="2"/>
      <c r="E230" s="1"/>
      <c r="F230" s="1"/>
      <c r="P230">
        <f t="shared" si="959"/>
        <v>0</v>
      </c>
      <c r="Q230">
        <f t="shared" si="960"/>
        <v>0</v>
      </c>
      <c r="R230">
        <f t="shared" si="961"/>
        <v>0</v>
      </c>
      <c r="S230">
        <f t="shared" si="962"/>
        <v>0</v>
      </c>
      <c r="T230">
        <f t="shared" si="963"/>
        <v>0</v>
      </c>
    </row>
    <row r="231" spans="1:20" x14ac:dyDescent="0.25">
      <c r="A231" s="5"/>
      <c r="B231" s="1"/>
      <c r="C231" s="2"/>
      <c r="D231" s="2"/>
      <c r="E231" s="1"/>
      <c r="F231" s="1"/>
      <c r="P231">
        <f t="shared" si="959"/>
        <v>0</v>
      </c>
      <c r="Q231">
        <f t="shared" si="960"/>
        <v>0</v>
      </c>
      <c r="R231">
        <f t="shared" si="961"/>
        <v>0</v>
      </c>
      <c r="S231">
        <f t="shared" si="962"/>
        <v>0</v>
      </c>
      <c r="T231">
        <f t="shared" si="963"/>
        <v>0</v>
      </c>
    </row>
    <row r="232" spans="1:20" x14ac:dyDescent="0.25">
      <c r="A232" s="5"/>
      <c r="B232" s="1"/>
      <c r="C232" s="2"/>
      <c r="D232" s="2"/>
      <c r="E232" s="1"/>
      <c r="F232" s="1"/>
      <c r="P232">
        <f t="shared" si="959"/>
        <v>0</v>
      </c>
      <c r="Q232">
        <f t="shared" si="960"/>
        <v>0</v>
      </c>
      <c r="R232">
        <f t="shared" si="961"/>
        <v>0</v>
      </c>
      <c r="S232">
        <f t="shared" si="962"/>
        <v>0</v>
      </c>
      <c r="T232">
        <f t="shared" si="963"/>
        <v>0</v>
      </c>
    </row>
    <row r="233" spans="1:20" x14ac:dyDescent="0.25">
      <c r="A233" s="5"/>
      <c r="B233" s="1"/>
      <c r="C233" s="2"/>
      <c r="D233" s="2"/>
      <c r="E233" s="1"/>
      <c r="F233" s="1"/>
      <c r="P233">
        <f t="shared" si="959"/>
        <v>0</v>
      </c>
      <c r="Q233">
        <f t="shared" si="960"/>
        <v>0</v>
      </c>
      <c r="R233">
        <f t="shared" si="961"/>
        <v>0</v>
      </c>
      <c r="S233">
        <f t="shared" si="962"/>
        <v>0</v>
      </c>
      <c r="T233">
        <f t="shared" si="963"/>
        <v>0</v>
      </c>
    </row>
    <row r="234" spans="1:20" x14ac:dyDescent="0.25">
      <c r="A234" s="5"/>
      <c r="B234" s="1"/>
      <c r="C234" s="2"/>
      <c r="D234" s="2"/>
      <c r="E234" s="1"/>
      <c r="F234" s="1"/>
      <c r="P234">
        <f t="shared" si="959"/>
        <v>0</v>
      </c>
      <c r="Q234">
        <f t="shared" si="960"/>
        <v>0</v>
      </c>
      <c r="R234">
        <f t="shared" si="961"/>
        <v>0</v>
      </c>
      <c r="S234">
        <f t="shared" si="962"/>
        <v>0</v>
      </c>
      <c r="T234">
        <f t="shared" si="963"/>
        <v>0</v>
      </c>
    </row>
    <row r="235" spans="1:20" x14ac:dyDescent="0.25">
      <c r="A235" s="5"/>
      <c r="B235" s="1"/>
      <c r="C235" s="2"/>
      <c r="D235" s="2"/>
      <c r="E235" s="1"/>
      <c r="F235" s="1"/>
      <c r="P235">
        <f t="shared" si="959"/>
        <v>0</v>
      </c>
      <c r="Q235">
        <f t="shared" si="960"/>
        <v>0</v>
      </c>
      <c r="R235">
        <f t="shared" si="961"/>
        <v>0</v>
      </c>
      <c r="S235">
        <f t="shared" si="962"/>
        <v>0</v>
      </c>
      <c r="T235">
        <f t="shared" si="963"/>
        <v>0</v>
      </c>
    </row>
    <row r="236" spans="1:20" x14ac:dyDescent="0.25">
      <c r="A236" s="5"/>
      <c r="B236" s="1"/>
      <c r="C236" s="2"/>
      <c r="D236" s="2"/>
      <c r="E236" s="1"/>
      <c r="F236" s="1"/>
      <c r="P236">
        <f t="shared" si="959"/>
        <v>0</v>
      </c>
      <c r="Q236">
        <f t="shared" si="960"/>
        <v>0</v>
      </c>
      <c r="R236">
        <f t="shared" si="961"/>
        <v>0</v>
      </c>
      <c r="S236">
        <f t="shared" si="962"/>
        <v>0</v>
      </c>
      <c r="T236">
        <f t="shared" si="963"/>
        <v>0</v>
      </c>
    </row>
    <row r="237" spans="1:20" x14ac:dyDescent="0.25">
      <c r="A237" s="5"/>
      <c r="B237" s="1"/>
      <c r="C237" s="2"/>
      <c r="D237" s="2"/>
      <c r="E237" s="1"/>
      <c r="F237" s="1"/>
      <c r="P237">
        <f t="shared" si="959"/>
        <v>0</v>
      </c>
      <c r="Q237">
        <f t="shared" si="960"/>
        <v>0</v>
      </c>
      <c r="R237">
        <f t="shared" si="961"/>
        <v>0</v>
      </c>
      <c r="S237">
        <f t="shared" si="962"/>
        <v>0</v>
      </c>
      <c r="T237">
        <f t="shared" si="963"/>
        <v>0</v>
      </c>
    </row>
    <row r="238" spans="1:20" x14ac:dyDescent="0.25">
      <c r="A238" s="5"/>
      <c r="B238" s="1"/>
      <c r="C238" s="2"/>
      <c r="D238" s="2"/>
      <c r="E238" s="1"/>
      <c r="F238" s="1"/>
      <c r="P238">
        <f t="shared" si="959"/>
        <v>0</v>
      </c>
      <c r="Q238">
        <f t="shared" si="960"/>
        <v>0</v>
      </c>
      <c r="R238">
        <f t="shared" si="961"/>
        <v>0</v>
      </c>
      <c r="S238">
        <f t="shared" si="962"/>
        <v>0</v>
      </c>
      <c r="T238">
        <f t="shared" si="963"/>
        <v>0</v>
      </c>
    </row>
    <row r="239" spans="1:20" x14ac:dyDescent="0.25">
      <c r="A239" s="5"/>
      <c r="B239" s="1"/>
      <c r="C239" s="2"/>
      <c r="D239" s="2"/>
      <c r="E239" s="1"/>
      <c r="F239" s="1"/>
      <c r="P239">
        <f t="shared" si="959"/>
        <v>0</v>
      </c>
      <c r="Q239">
        <f t="shared" si="960"/>
        <v>0</v>
      </c>
      <c r="R239">
        <f t="shared" si="961"/>
        <v>0</v>
      </c>
      <c r="S239">
        <f t="shared" si="962"/>
        <v>0</v>
      </c>
      <c r="T239">
        <f t="shared" si="963"/>
        <v>0</v>
      </c>
    </row>
    <row r="240" spans="1:20" x14ac:dyDescent="0.25">
      <c r="A240" s="5"/>
      <c r="B240" s="1"/>
      <c r="C240" s="2"/>
      <c r="D240" s="2"/>
      <c r="E240" s="1"/>
      <c r="F240" s="1"/>
      <c r="P240">
        <f t="shared" si="959"/>
        <v>0</v>
      </c>
      <c r="Q240">
        <f t="shared" si="960"/>
        <v>0</v>
      </c>
      <c r="R240">
        <f t="shared" si="961"/>
        <v>0</v>
      </c>
      <c r="S240">
        <f t="shared" si="962"/>
        <v>0</v>
      </c>
      <c r="T240">
        <f t="shared" si="963"/>
        <v>0</v>
      </c>
    </row>
    <row r="241" spans="1:20" x14ac:dyDescent="0.25">
      <c r="A241" s="5"/>
      <c r="B241" s="1"/>
      <c r="C241" s="2"/>
      <c r="D241" s="2"/>
      <c r="E241" s="1"/>
      <c r="F241" s="1"/>
      <c r="P241">
        <f t="shared" si="959"/>
        <v>0</v>
      </c>
      <c r="Q241">
        <f t="shared" si="960"/>
        <v>0</v>
      </c>
      <c r="R241">
        <f t="shared" si="961"/>
        <v>0</v>
      </c>
      <c r="S241">
        <f t="shared" si="962"/>
        <v>0</v>
      </c>
      <c r="T241">
        <f t="shared" si="963"/>
        <v>0</v>
      </c>
    </row>
    <row r="242" spans="1:20" x14ac:dyDescent="0.25">
      <c r="A242" s="5"/>
      <c r="B242" s="1"/>
      <c r="C242" s="2"/>
      <c r="D242" s="2"/>
      <c r="E242" s="1"/>
      <c r="F242" s="1"/>
      <c r="P242">
        <f t="shared" si="959"/>
        <v>0</v>
      </c>
      <c r="Q242">
        <f t="shared" si="960"/>
        <v>0</v>
      </c>
      <c r="R242">
        <f t="shared" si="961"/>
        <v>0</v>
      </c>
      <c r="S242">
        <f t="shared" si="962"/>
        <v>0</v>
      </c>
      <c r="T242">
        <f t="shared" si="963"/>
        <v>0</v>
      </c>
    </row>
    <row r="243" spans="1:20" x14ac:dyDescent="0.25">
      <c r="A243" s="5"/>
      <c r="B243" s="1"/>
      <c r="C243" s="2"/>
      <c r="D243" s="2"/>
      <c r="E243" s="1"/>
      <c r="F243" s="1"/>
      <c r="P243">
        <f t="shared" si="959"/>
        <v>0</v>
      </c>
      <c r="Q243">
        <f t="shared" si="960"/>
        <v>0</v>
      </c>
      <c r="R243">
        <f t="shared" si="961"/>
        <v>0</v>
      </c>
      <c r="S243">
        <f t="shared" si="962"/>
        <v>0</v>
      </c>
      <c r="T243">
        <f t="shared" si="963"/>
        <v>0</v>
      </c>
    </row>
    <row r="244" spans="1:20" x14ac:dyDescent="0.25">
      <c r="A244" s="5"/>
      <c r="B244" s="1"/>
      <c r="C244" s="2"/>
      <c r="D244" s="2"/>
      <c r="E244" s="1"/>
      <c r="F244" s="1"/>
      <c r="P244">
        <f t="shared" si="959"/>
        <v>0</v>
      </c>
      <c r="Q244">
        <f t="shared" si="960"/>
        <v>0</v>
      </c>
      <c r="R244">
        <f t="shared" si="961"/>
        <v>0</v>
      </c>
      <c r="S244">
        <f t="shared" si="962"/>
        <v>0</v>
      </c>
      <c r="T244">
        <f t="shared" si="963"/>
        <v>0</v>
      </c>
    </row>
    <row r="245" spans="1:20" x14ac:dyDescent="0.25">
      <c r="A245" s="5"/>
      <c r="B245" s="1"/>
      <c r="C245" s="2"/>
      <c r="D245" s="2"/>
      <c r="E245" s="1"/>
      <c r="F245" s="1"/>
      <c r="P245">
        <f t="shared" si="959"/>
        <v>0</v>
      </c>
      <c r="Q245">
        <f t="shared" si="960"/>
        <v>0</v>
      </c>
      <c r="R245">
        <f t="shared" si="961"/>
        <v>0</v>
      </c>
      <c r="S245">
        <f t="shared" si="962"/>
        <v>0</v>
      </c>
      <c r="T245">
        <f t="shared" si="963"/>
        <v>0</v>
      </c>
    </row>
    <row r="246" spans="1:20" x14ac:dyDescent="0.25">
      <c r="A246" s="5"/>
      <c r="B246" s="1"/>
      <c r="C246" s="2"/>
      <c r="D246" s="2"/>
      <c r="E246" s="1"/>
      <c r="F246" s="1"/>
      <c r="P246">
        <f t="shared" si="959"/>
        <v>0</v>
      </c>
      <c r="Q246">
        <f t="shared" si="960"/>
        <v>0</v>
      </c>
      <c r="R246">
        <f t="shared" si="961"/>
        <v>0</v>
      </c>
      <c r="S246">
        <f t="shared" si="962"/>
        <v>0</v>
      </c>
      <c r="T246">
        <f t="shared" si="963"/>
        <v>0</v>
      </c>
    </row>
    <row r="247" spans="1:20" x14ac:dyDescent="0.25">
      <c r="A247" s="5"/>
      <c r="B247" s="1"/>
      <c r="C247" s="2"/>
      <c r="D247" s="2"/>
      <c r="E247" s="1"/>
      <c r="F247" s="1"/>
      <c r="P247">
        <f t="shared" si="959"/>
        <v>0</v>
      </c>
      <c r="Q247">
        <f t="shared" si="960"/>
        <v>0</v>
      </c>
      <c r="R247">
        <f t="shared" si="961"/>
        <v>0</v>
      </c>
      <c r="S247">
        <f t="shared" si="962"/>
        <v>0</v>
      </c>
      <c r="T247">
        <f t="shared" si="963"/>
        <v>0</v>
      </c>
    </row>
    <row r="248" spans="1:20" x14ac:dyDescent="0.25">
      <c r="A248" s="5"/>
      <c r="B248" s="1"/>
      <c r="C248" s="2"/>
      <c r="D248" s="2"/>
      <c r="E248" s="1"/>
      <c r="F248" s="1"/>
      <c r="P248">
        <f t="shared" si="959"/>
        <v>0</v>
      </c>
      <c r="Q248">
        <f t="shared" si="960"/>
        <v>0</v>
      </c>
      <c r="R248">
        <f t="shared" si="961"/>
        <v>0</v>
      </c>
      <c r="S248">
        <f t="shared" si="962"/>
        <v>0</v>
      </c>
      <c r="T248">
        <f t="shared" si="963"/>
        <v>0</v>
      </c>
    </row>
    <row r="249" spans="1:20" x14ac:dyDescent="0.25">
      <c r="A249" s="5"/>
      <c r="B249" s="1"/>
      <c r="C249" s="2"/>
      <c r="D249" s="2"/>
      <c r="E249" s="1"/>
      <c r="F249" s="1"/>
      <c r="P249">
        <f t="shared" si="959"/>
        <v>0</v>
      </c>
      <c r="Q249">
        <f t="shared" si="960"/>
        <v>0</v>
      </c>
      <c r="R249">
        <f t="shared" si="961"/>
        <v>0</v>
      </c>
      <c r="S249">
        <f t="shared" si="962"/>
        <v>0</v>
      </c>
      <c r="T249">
        <f t="shared" si="963"/>
        <v>0</v>
      </c>
    </row>
    <row r="250" spans="1:20" x14ac:dyDescent="0.25">
      <c r="A250" s="5"/>
      <c r="B250" s="1"/>
      <c r="C250" s="2"/>
      <c r="D250" s="2"/>
      <c r="E250" s="1"/>
      <c r="F250" s="1"/>
      <c r="P250">
        <f t="shared" si="959"/>
        <v>0</v>
      </c>
      <c r="Q250">
        <f t="shared" si="960"/>
        <v>0</v>
      </c>
      <c r="R250">
        <f t="shared" si="961"/>
        <v>0</v>
      </c>
      <c r="S250">
        <f t="shared" si="962"/>
        <v>0</v>
      </c>
      <c r="T250">
        <f t="shared" si="963"/>
        <v>0</v>
      </c>
    </row>
    <row r="251" spans="1:20" x14ac:dyDescent="0.25">
      <c r="A251" s="5"/>
      <c r="B251" s="1"/>
      <c r="C251" s="2"/>
      <c r="D251" s="2"/>
      <c r="E251" s="1"/>
      <c r="F251" s="1"/>
      <c r="P251">
        <f t="shared" si="959"/>
        <v>0</v>
      </c>
      <c r="Q251">
        <f t="shared" si="960"/>
        <v>0</v>
      </c>
      <c r="R251">
        <f t="shared" si="961"/>
        <v>0</v>
      </c>
      <c r="S251">
        <f t="shared" si="962"/>
        <v>0</v>
      </c>
      <c r="T251">
        <f t="shared" si="963"/>
        <v>0</v>
      </c>
    </row>
    <row r="252" spans="1:20" x14ac:dyDescent="0.25">
      <c r="A252" s="5"/>
      <c r="B252" s="1"/>
      <c r="C252" s="2"/>
      <c r="D252" s="2"/>
      <c r="E252" s="1"/>
      <c r="F252" s="1"/>
      <c r="P252">
        <f t="shared" si="959"/>
        <v>0</v>
      </c>
      <c r="Q252">
        <f t="shared" si="960"/>
        <v>0</v>
      </c>
      <c r="R252">
        <f t="shared" si="961"/>
        <v>0</v>
      </c>
      <c r="S252">
        <f t="shared" si="962"/>
        <v>0</v>
      </c>
      <c r="T252">
        <f t="shared" si="963"/>
        <v>0</v>
      </c>
    </row>
    <row r="253" spans="1:20" x14ac:dyDescent="0.25">
      <c r="A253" s="5"/>
      <c r="B253" s="1"/>
      <c r="C253" s="2"/>
      <c r="D253" s="2"/>
      <c r="E253" s="1"/>
      <c r="F253" s="1"/>
      <c r="P253">
        <f t="shared" si="959"/>
        <v>0</v>
      </c>
      <c r="Q253">
        <f t="shared" si="960"/>
        <v>0</v>
      </c>
      <c r="R253">
        <f t="shared" si="961"/>
        <v>0</v>
      </c>
      <c r="S253">
        <f t="shared" si="962"/>
        <v>0</v>
      </c>
      <c r="T253">
        <f t="shared" si="963"/>
        <v>0</v>
      </c>
    </row>
    <row r="254" spans="1:20" x14ac:dyDescent="0.25">
      <c r="A254" s="5"/>
      <c r="B254" s="1"/>
      <c r="C254" s="2"/>
      <c r="D254" s="2"/>
      <c r="E254" s="1"/>
      <c r="F254" s="1"/>
      <c r="P254">
        <f t="shared" si="959"/>
        <v>0</v>
      </c>
      <c r="Q254">
        <f t="shared" si="960"/>
        <v>0</v>
      </c>
      <c r="R254">
        <f t="shared" si="961"/>
        <v>0</v>
      </c>
      <c r="S254">
        <f t="shared" si="962"/>
        <v>0</v>
      </c>
      <c r="T254">
        <f t="shared" si="963"/>
        <v>0</v>
      </c>
    </row>
    <row r="255" spans="1:20" x14ac:dyDescent="0.25">
      <c r="A255" s="5"/>
      <c r="B255" s="1"/>
      <c r="C255" s="2"/>
      <c r="D255" s="2"/>
      <c r="E255" s="1"/>
      <c r="F255" s="1"/>
      <c r="P255">
        <f t="shared" si="959"/>
        <v>0</v>
      </c>
      <c r="Q255">
        <f t="shared" si="960"/>
        <v>0</v>
      </c>
      <c r="R255">
        <f t="shared" si="961"/>
        <v>0</v>
      </c>
      <c r="S255">
        <f t="shared" si="962"/>
        <v>0</v>
      </c>
      <c r="T255">
        <f t="shared" si="963"/>
        <v>0</v>
      </c>
    </row>
    <row r="256" spans="1:20" x14ac:dyDescent="0.25">
      <c r="A256" s="5"/>
      <c r="B256" s="1"/>
      <c r="C256" s="2"/>
      <c r="D256" s="2"/>
      <c r="E256" s="1"/>
      <c r="F256" s="1"/>
      <c r="P256">
        <f t="shared" si="959"/>
        <v>0</v>
      </c>
      <c r="Q256">
        <f t="shared" si="960"/>
        <v>0</v>
      </c>
      <c r="R256">
        <f t="shared" si="961"/>
        <v>0</v>
      </c>
      <c r="S256">
        <f t="shared" si="962"/>
        <v>0</v>
      </c>
      <c r="T256">
        <f t="shared" si="963"/>
        <v>0</v>
      </c>
    </row>
    <row r="257" spans="1:20" x14ac:dyDescent="0.25">
      <c r="A257" s="5"/>
      <c r="B257" s="1"/>
      <c r="C257" s="2"/>
      <c r="D257" s="2"/>
      <c r="E257" s="1"/>
      <c r="F257" s="1"/>
      <c r="P257">
        <f t="shared" si="959"/>
        <v>0</v>
      </c>
      <c r="Q257">
        <f t="shared" si="960"/>
        <v>0</v>
      </c>
      <c r="R257">
        <f t="shared" si="961"/>
        <v>0</v>
      </c>
      <c r="S257">
        <f t="shared" si="962"/>
        <v>0</v>
      </c>
      <c r="T257">
        <f t="shared" si="963"/>
        <v>0</v>
      </c>
    </row>
    <row r="258" spans="1:20" x14ac:dyDescent="0.25">
      <c r="A258" s="5"/>
      <c r="B258" s="1"/>
      <c r="C258" s="2"/>
      <c r="D258" s="2"/>
      <c r="E258" s="1"/>
      <c r="F258" s="1"/>
      <c r="P258">
        <f t="shared" si="959"/>
        <v>0</v>
      </c>
      <c r="Q258">
        <f t="shared" si="960"/>
        <v>0</v>
      </c>
      <c r="R258">
        <f t="shared" si="961"/>
        <v>0</v>
      </c>
      <c r="S258">
        <f t="shared" si="962"/>
        <v>0</v>
      </c>
      <c r="T258">
        <f t="shared" si="963"/>
        <v>0</v>
      </c>
    </row>
    <row r="259" spans="1:20" x14ac:dyDescent="0.25">
      <c r="A259" s="5"/>
      <c r="B259" s="1"/>
      <c r="C259" s="2"/>
      <c r="D259" s="2"/>
      <c r="E259" s="1"/>
      <c r="F259" s="1"/>
      <c r="P259">
        <f t="shared" si="959"/>
        <v>0</v>
      </c>
      <c r="Q259">
        <f t="shared" si="960"/>
        <v>0</v>
      </c>
      <c r="R259">
        <f t="shared" si="961"/>
        <v>0</v>
      </c>
      <c r="S259">
        <f t="shared" si="962"/>
        <v>0</v>
      </c>
      <c r="T259">
        <f t="shared" si="963"/>
        <v>0</v>
      </c>
    </row>
    <row r="260" spans="1:20" x14ac:dyDescent="0.25">
      <c r="A260" s="5"/>
      <c r="B260" s="1"/>
      <c r="C260" s="2"/>
      <c r="D260" s="2"/>
      <c r="E260" s="1"/>
      <c r="F260" s="1"/>
      <c r="P260">
        <f t="shared" si="959"/>
        <v>0</v>
      </c>
      <c r="Q260">
        <f t="shared" si="960"/>
        <v>0</v>
      </c>
      <c r="R260">
        <f t="shared" si="961"/>
        <v>0</v>
      </c>
      <c r="S260">
        <f t="shared" si="962"/>
        <v>0</v>
      </c>
      <c r="T260">
        <f t="shared" si="963"/>
        <v>0</v>
      </c>
    </row>
    <row r="261" spans="1:20" x14ac:dyDescent="0.25">
      <c r="A261" s="5"/>
      <c r="B261" s="1"/>
      <c r="C261" s="2"/>
      <c r="D261" s="2"/>
      <c r="E261" s="1"/>
      <c r="F261" s="1"/>
      <c r="P261">
        <f t="shared" si="959"/>
        <v>0</v>
      </c>
      <c r="Q261">
        <f t="shared" si="960"/>
        <v>0</v>
      </c>
      <c r="R261">
        <f t="shared" si="961"/>
        <v>0</v>
      </c>
      <c r="S261">
        <f t="shared" si="962"/>
        <v>0</v>
      </c>
      <c r="T261">
        <f t="shared" si="963"/>
        <v>0</v>
      </c>
    </row>
    <row r="262" spans="1:20" x14ac:dyDescent="0.25">
      <c r="A262" s="5"/>
      <c r="B262" s="1"/>
      <c r="C262" s="2"/>
      <c r="D262" s="2"/>
      <c r="E262" s="1"/>
      <c r="F262" s="1"/>
      <c r="P262">
        <f t="shared" ref="P262:P325" si="964">IF(C262=D262,0,((E262-D262)-(C262-E262))/(C262-D262))</f>
        <v>0</v>
      </c>
      <c r="Q262">
        <f t="shared" ref="Q262:Q325" si="965">F262*P262</f>
        <v>0</v>
      </c>
      <c r="R262">
        <f t="shared" ref="R262:R325" si="966">R263+Q262</f>
        <v>0</v>
      </c>
      <c r="S262">
        <f t="shared" ref="S262:S325" si="967">R262/100000</f>
        <v>0</v>
      </c>
      <c r="T262">
        <f t="shared" ref="T262:T325" si="968">S262/1000</f>
        <v>0</v>
      </c>
    </row>
    <row r="263" spans="1:20" x14ac:dyDescent="0.25">
      <c r="A263" s="5"/>
      <c r="B263" s="1"/>
      <c r="C263" s="2"/>
      <c r="D263" s="2"/>
      <c r="E263" s="1"/>
      <c r="F263" s="1"/>
      <c r="P263">
        <f t="shared" si="964"/>
        <v>0</v>
      </c>
      <c r="Q263">
        <f t="shared" si="965"/>
        <v>0</v>
      </c>
      <c r="R263">
        <f t="shared" si="966"/>
        <v>0</v>
      </c>
      <c r="S263">
        <f t="shared" si="967"/>
        <v>0</v>
      </c>
      <c r="T263">
        <f t="shared" si="968"/>
        <v>0</v>
      </c>
    </row>
    <row r="264" spans="1:20" x14ac:dyDescent="0.25">
      <c r="A264" s="5"/>
      <c r="B264" s="1"/>
      <c r="C264" s="2"/>
      <c r="D264" s="2"/>
      <c r="E264" s="1"/>
      <c r="F264" s="1"/>
      <c r="P264">
        <f t="shared" si="964"/>
        <v>0</v>
      </c>
      <c r="Q264">
        <f t="shared" si="965"/>
        <v>0</v>
      </c>
      <c r="R264">
        <f t="shared" si="966"/>
        <v>0</v>
      </c>
      <c r="S264">
        <f t="shared" si="967"/>
        <v>0</v>
      </c>
      <c r="T264">
        <f t="shared" si="968"/>
        <v>0</v>
      </c>
    </row>
    <row r="265" spans="1:20" x14ac:dyDescent="0.25">
      <c r="A265" s="5"/>
      <c r="B265" s="1"/>
      <c r="C265" s="2"/>
      <c r="D265" s="2"/>
      <c r="E265" s="1"/>
      <c r="F265" s="1"/>
      <c r="P265">
        <f t="shared" si="964"/>
        <v>0</v>
      </c>
      <c r="Q265">
        <f t="shared" si="965"/>
        <v>0</v>
      </c>
      <c r="R265">
        <f t="shared" si="966"/>
        <v>0</v>
      </c>
      <c r="S265">
        <f t="shared" si="967"/>
        <v>0</v>
      </c>
      <c r="T265">
        <f t="shared" si="968"/>
        <v>0</v>
      </c>
    </row>
    <row r="266" spans="1:20" x14ac:dyDescent="0.25">
      <c r="A266" s="5"/>
      <c r="B266" s="1"/>
      <c r="C266" s="2"/>
      <c r="D266" s="2"/>
      <c r="E266" s="1"/>
      <c r="F266" s="1"/>
      <c r="P266">
        <f t="shared" si="964"/>
        <v>0</v>
      </c>
      <c r="Q266">
        <f t="shared" si="965"/>
        <v>0</v>
      </c>
      <c r="R266">
        <f t="shared" si="966"/>
        <v>0</v>
      </c>
      <c r="S266">
        <f t="shared" si="967"/>
        <v>0</v>
      </c>
      <c r="T266">
        <f t="shared" si="968"/>
        <v>0</v>
      </c>
    </row>
    <row r="267" spans="1:20" x14ac:dyDescent="0.25">
      <c r="A267" s="5"/>
      <c r="B267" s="1"/>
      <c r="C267" s="2"/>
      <c r="D267" s="2"/>
      <c r="E267" s="1"/>
      <c r="F267" s="1"/>
      <c r="P267">
        <f t="shared" si="964"/>
        <v>0</v>
      </c>
      <c r="Q267">
        <f t="shared" si="965"/>
        <v>0</v>
      </c>
      <c r="R267">
        <f t="shared" si="966"/>
        <v>0</v>
      </c>
      <c r="S267">
        <f t="shared" si="967"/>
        <v>0</v>
      </c>
      <c r="T267">
        <f t="shared" si="968"/>
        <v>0</v>
      </c>
    </row>
    <row r="268" spans="1:20" x14ac:dyDescent="0.25">
      <c r="A268" s="5"/>
      <c r="B268" s="1"/>
      <c r="C268" s="2"/>
      <c r="D268" s="2"/>
      <c r="E268" s="1"/>
      <c r="F268" s="1"/>
      <c r="P268">
        <f t="shared" si="964"/>
        <v>0</v>
      </c>
      <c r="Q268">
        <f t="shared" si="965"/>
        <v>0</v>
      </c>
      <c r="R268">
        <f t="shared" si="966"/>
        <v>0</v>
      </c>
      <c r="S268">
        <f t="shared" si="967"/>
        <v>0</v>
      </c>
      <c r="T268">
        <f t="shared" si="968"/>
        <v>0</v>
      </c>
    </row>
    <row r="269" spans="1:20" x14ac:dyDescent="0.25">
      <c r="A269" s="5"/>
      <c r="B269" s="1"/>
      <c r="C269" s="2"/>
      <c r="D269" s="2"/>
      <c r="E269" s="1"/>
      <c r="F269" s="1"/>
      <c r="P269">
        <f t="shared" si="964"/>
        <v>0</v>
      </c>
      <c r="Q269">
        <f t="shared" si="965"/>
        <v>0</v>
      </c>
      <c r="R269">
        <f t="shared" si="966"/>
        <v>0</v>
      </c>
      <c r="S269">
        <f t="shared" si="967"/>
        <v>0</v>
      </c>
      <c r="T269">
        <f t="shared" si="968"/>
        <v>0</v>
      </c>
    </row>
    <row r="270" spans="1:20" x14ac:dyDescent="0.25">
      <c r="A270" s="5"/>
      <c r="B270" s="1"/>
      <c r="C270" s="2"/>
      <c r="D270" s="2"/>
      <c r="E270" s="1"/>
      <c r="F270" s="1"/>
      <c r="P270">
        <f t="shared" si="964"/>
        <v>0</v>
      </c>
      <c r="Q270">
        <f t="shared" si="965"/>
        <v>0</v>
      </c>
      <c r="R270">
        <f t="shared" si="966"/>
        <v>0</v>
      </c>
      <c r="S270">
        <f t="shared" si="967"/>
        <v>0</v>
      </c>
      <c r="T270">
        <f t="shared" si="968"/>
        <v>0</v>
      </c>
    </row>
    <row r="271" spans="1:20" x14ac:dyDescent="0.25">
      <c r="A271" s="5"/>
      <c r="B271" s="1"/>
      <c r="C271" s="2"/>
      <c r="D271" s="2"/>
      <c r="E271" s="1"/>
      <c r="F271" s="1"/>
      <c r="P271">
        <f t="shared" si="964"/>
        <v>0</v>
      </c>
      <c r="Q271">
        <f t="shared" si="965"/>
        <v>0</v>
      </c>
      <c r="R271">
        <f t="shared" si="966"/>
        <v>0</v>
      </c>
      <c r="S271">
        <f t="shared" si="967"/>
        <v>0</v>
      </c>
      <c r="T271">
        <f t="shared" si="968"/>
        <v>0</v>
      </c>
    </row>
    <row r="272" spans="1:20" x14ac:dyDescent="0.25">
      <c r="A272" s="5"/>
      <c r="B272" s="1"/>
      <c r="C272" s="2"/>
      <c r="D272" s="2"/>
      <c r="E272" s="1"/>
      <c r="F272" s="1"/>
      <c r="P272">
        <f t="shared" si="964"/>
        <v>0</v>
      </c>
      <c r="Q272">
        <f t="shared" si="965"/>
        <v>0</v>
      </c>
      <c r="R272">
        <f t="shared" si="966"/>
        <v>0</v>
      </c>
      <c r="S272">
        <f t="shared" si="967"/>
        <v>0</v>
      </c>
      <c r="T272">
        <f t="shared" si="968"/>
        <v>0</v>
      </c>
    </row>
    <row r="273" spans="1:20" x14ac:dyDescent="0.25">
      <c r="A273" s="5"/>
      <c r="B273" s="1"/>
      <c r="C273" s="2"/>
      <c r="D273" s="2"/>
      <c r="E273" s="1"/>
      <c r="F273" s="1"/>
      <c r="P273">
        <f t="shared" si="964"/>
        <v>0</v>
      </c>
      <c r="Q273">
        <f t="shared" si="965"/>
        <v>0</v>
      </c>
      <c r="R273">
        <f t="shared" si="966"/>
        <v>0</v>
      </c>
      <c r="S273">
        <f t="shared" si="967"/>
        <v>0</v>
      </c>
      <c r="T273">
        <f t="shared" si="968"/>
        <v>0</v>
      </c>
    </row>
    <row r="274" spans="1:20" x14ac:dyDescent="0.25">
      <c r="A274" s="5"/>
      <c r="B274" s="1"/>
      <c r="C274" s="2"/>
      <c r="D274" s="2"/>
      <c r="E274" s="1"/>
      <c r="F274" s="1"/>
      <c r="P274">
        <f t="shared" si="964"/>
        <v>0</v>
      </c>
      <c r="Q274">
        <f t="shared" si="965"/>
        <v>0</v>
      </c>
      <c r="R274">
        <f t="shared" si="966"/>
        <v>0</v>
      </c>
      <c r="S274">
        <f t="shared" si="967"/>
        <v>0</v>
      </c>
      <c r="T274">
        <f t="shared" si="968"/>
        <v>0</v>
      </c>
    </row>
    <row r="275" spans="1:20" x14ac:dyDescent="0.25">
      <c r="A275" s="5"/>
      <c r="B275" s="1"/>
      <c r="C275" s="2"/>
      <c r="D275" s="2"/>
      <c r="E275" s="1"/>
      <c r="F275" s="1"/>
      <c r="P275">
        <f t="shared" si="964"/>
        <v>0</v>
      </c>
      <c r="Q275">
        <f t="shared" si="965"/>
        <v>0</v>
      </c>
      <c r="R275">
        <f t="shared" si="966"/>
        <v>0</v>
      </c>
      <c r="S275">
        <f t="shared" si="967"/>
        <v>0</v>
      </c>
      <c r="T275">
        <f t="shared" si="968"/>
        <v>0</v>
      </c>
    </row>
    <row r="276" spans="1:20" x14ac:dyDescent="0.25">
      <c r="A276" s="5"/>
      <c r="B276" s="1"/>
      <c r="C276" s="2"/>
      <c r="D276" s="2"/>
      <c r="E276" s="1"/>
      <c r="F276" s="1"/>
      <c r="P276">
        <f t="shared" si="964"/>
        <v>0</v>
      </c>
      <c r="Q276">
        <f t="shared" si="965"/>
        <v>0</v>
      </c>
      <c r="R276">
        <f t="shared" si="966"/>
        <v>0</v>
      </c>
      <c r="S276">
        <f t="shared" si="967"/>
        <v>0</v>
      </c>
      <c r="T276">
        <f t="shared" si="968"/>
        <v>0</v>
      </c>
    </row>
    <row r="277" spans="1:20" x14ac:dyDescent="0.25">
      <c r="A277" s="5"/>
      <c r="B277" s="1"/>
      <c r="C277" s="2"/>
      <c r="D277" s="2"/>
      <c r="E277" s="1"/>
      <c r="F277" s="1"/>
      <c r="P277">
        <f t="shared" si="964"/>
        <v>0</v>
      </c>
      <c r="Q277">
        <f t="shared" si="965"/>
        <v>0</v>
      </c>
      <c r="R277">
        <f t="shared" si="966"/>
        <v>0</v>
      </c>
      <c r="S277">
        <f t="shared" si="967"/>
        <v>0</v>
      </c>
      <c r="T277">
        <f t="shared" si="968"/>
        <v>0</v>
      </c>
    </row>
    <row r="278" spans="1:20" x14ac:dyDescent="0.25">
      <c r="A278" s="5"/>
      <c r="B278" s="1"/>
      <c r="C278" s="2"/>
      <c r="D278" s="2"/>
      <c r="E278" s="1"/>
      <c r="F278" s="1"/>
      <c r="P278">
        <f t="shared" si="964"/>
        <v>0</v>
      </c>
      <c r="Q278">
        <f t="shared" si="965"/>
        <v>0</v>
      </c>
      <c r="R278">
        <f t="shared" si="966"/>
        <v>0</v>
      </c>
      <c r="S278">
        <f t="shared" si="967"/>
        <v>0</v>
      </c>
      <c r="T278">
        <f t="shared" si="968"/>
        <v>0</v>
      </c>
    </row>
    <row r="279" spans="1:20" x14ac:dyDescent="0.25">
      <c r="A279" s="5"/>
      <c r="B279" s="1"/>
      <c r="C279" s="2"/>
      <c r="D279" s="2"/>
      <c r="E279" s="1"/>
      <c r="F279" s="1"/>
      <c r="P279">
        <f t="shared" si="964"/>
        <v>0</v>
      </c>
      <c r="Q279">
        <f t="shared" si="965"/>
        <v>0</v>
      </c>
      <c r="R279">
        <f t="shared" si="966"/>
        <v>0</v>
      </c>
      <c r="S279">
        <f t="shared" si="967"/>
        <v>0</v>
      </c>
      <c r="T279">
        <f t="shared" si="968"/>
        <v>0</v>
      </c>
    </row>
    <row r="280" spans="1:20" x14ac:dyDescent="0.25">
      <c r="A280" s="5"/>
      <c r="B280" s="1"/>
      <c r="C280" s="2"/>
      <c r="D280" s="2"/>
      <c r="E280" s="1"/>
      <c r="F280" s="1"/>
      <c r="P280">
        <f t="shared" si="964"/>
        <v>0</v>
      </c>
      <c r="Q280">
        <f t="shared" si="965"/>
        <v>0</v>
      </c>
      <c r="R280">
        <f t="shared" si="966"/>
        <v>0</v>
      </c>
      <c r="S280">
        <f t="shared" si="967"/>
        <v>0</v>
      </c>
      <c r="T280">
        <f t="shared" si="968"/>
        <v>0</v>
      </c>
    </row>
    <row r="281" spans="1:20" x14ac:dyDescent="0.25">
      <c r="A281" s="5"/>
      <c r="B281" s="1"/>
      <c r="C281" s="2"/>
      <c r="D281" s="2"/>
      <c r="E281" s="1"/>
      <c r="F281" s="1"/>
      <c r="P281">
        <f t="shared" si="964"/>
        <v>0</v>
      </c>
      <c r="Q281">
        <f t="shared" si="965"/>
        <v>0</v>
      </c>
      <c r="R281">
        <f t="shared" si="966"/>
        <v>0</v>
      </c>
      <c r="S281">
        <f t="shared" si="967"/>
        <v>0</v>
      </c>
      <c r="T281">
        <f t="shared" si="968"/>
        <v>0</v>
      </c>
    </row>
    <row r="282" spans="1:20" x14ac:dyDescent="0.25">
      <c r="A282" s="5"/>
      <c r="B282" s="1"/>
      <c r="C282" s="2"/>
      <c r="D282" s="2"/>
      <c r="E282" s="1"/>
      <c r="F282" s="1"/>
      <c r="P282">
        <f t="shared" si="964"/>
        <v>0</v>
      </c>
      <c r="Q282">
        <f t="shared" si="965"/>
        <v>0</v>
      </c>
      <c r="R282">
        <f t="shared" si="966"/>
        <v>0</v>
      </c>
      <c r="S282">
        <f t="shared" si="967"/>
        <v>0</v>
      </c>
      <c r="T282">
        <f t="shared" si="968"/>
        <v>0</v>
      </c>
    </row>
    <row r="283" spans="1:20" x14ac:dyDescent="0.25">
      <c r="A283" s="5"/>
      <c r="B283" s="1"/>
      <c r="C283" s="2"/>
      <c r="D283" s="2"/>
      <c r="E283" s="1"/>
      <c r="F283" s="1"/>
      <c r="P283">
        <f t="shared" si="964"/>
        <v>0</v>
      </c>
      <c r="Q283">
        <f t="shared" si="965"/>
        <v>0</v>
      </c>
      <c r="R283">
        <f t="shared" si="966"/>
        <v>0</v>
      </c>
      <c r="S283">
        <f t="shared" si="967"/>
        <v>0</v>
      </c>
      <c r="T283">
        <f t="shared" si="968"/>
        <v>0</v>
      </c>
    </row>
    <row r="284" spans="1:20" x14ac:dyDescent="0.25">
      <c r="A284" s="5"/>
      <c r="B284" s="1"/>
      <c r="C284" s="2"/>
      <c r="D284" s="2"/>
      <c r="E284" s="1"/>
      <c r="F284" s="1"/>
      <c r="P284">
        <f t="shared" si="964"/>
        <v>0</v>
      </c>
      <c r="Q284">
        <f t="shared" si="965"/>
        <v>0</v>
      </c>
      <c r="R284">
        <f t="shared" si="966"/>
        <v>0</v>
      </c>
      <c r="S284">
        <f t="shared" si="967"/>
        <v>0</v>
      </c>
      <c r="T284">
        <f t="shared" si="968"/>
        <v>0</v>
      </c>
    </row>
    <row r="285" spans="1:20" x14ac:dyDescent="0.25">
      <c r="A285" s="5"/>
      <c r="B285" s="1"/>
      <c r="C285" s="2"/>
      <c r="D285" s="2"/>
      <c r="E285" s="1"/>
      <c r="F285" s="1"/>
      <c r="P285">
        <f t="shared" si="964"/>
        <v>0</v>
      </c>
      <c r="Q285">
        <f t="shared" si="965"/>
        <v>0</v>
      </c>
      <c r="R285">
        <f t="shared" si="966"/>
        <v>0</v>
      </c>
      <c r="S285">
        <f t="shared" si="967"/>
        <v>0</v>
      </c>
      <c r="T285">
        <f t="shared" si="968"/>
        <v>0</v>
      </c>
    </row>
    <row r="286" spans="1:20" x14ac:dyDescent="0.25">
      <c r="A286" s="5"/>
      <c r="B286" s="1"/>
      <c r="C286" s="2"/>
      <c r="D286" s="2"/>
      <c r="E286" s="1"/>
      <c r="F286" s="1"/>
      <c r="P286">
        <f t="shared" si="964"/>
        <v>0</v>
      </c>
      <c r="Q286">
        <f t="shared" si="965"/>
        <v>0</v>
      </c>
      <c r="R286">
        <f t="shared" si="966"/>
        <v>0</v>
      </c>
      <c r="S286">
        <f t="shared" si="967"/>
        <v>0</v>
      </c>
      <c r="T286">
        <f t="shared" si="968"/>
        <v>0</v>
      </c>
    </row>
    <row r="287" spans="1:20" x14ac:dyDescent="0.25">
      <c r="A287" s="5"/>
      <c r="B287" s="1"/>
      <c r="C287" s="2"/>
      <c r="D287" s="2"/>
      <c r="E287" s="1"/>
      <c r="F287" s="1"/>
      <c r="P287">
        <f t="shared" si="964"/>
        <v>0</v>
      </c>
      <c r="Q287">
        <f t="shared" si="965"/>
        <v>0</v>
      </c>
      <c r="R287">
        <f t="shared" si="966"/>
        <v>0</v>
      </c>
      <c r="S287">
        <f t="shared" si="967"/>
        <v>0</v>
      </c>
      <c r="T287">
        <f t="shared" si="968"/>
        <v>0</v>
      </c>
    </row>
    <row r="288" spans="1:20" x14ac:dyDescent="0.25">
      <c r="A288" s="5"/>
      <c r="B288" s="1"/>
      <c r="C288" s="2"/>
      <c r="D288" s="2"/>
      <c r="E288" s="1"/>
      <c r="F288" s="1"/>
      <c r="P288">
        <f t="shared" si="964"/>
        <v>0</v>
      </c>
      <c r="Q288">
        <f t="shared" si="965"/>
        <v>0</v>
      </c>
      <c r="R288">
        <f t="shared" si="966"/>
        <v>0</v>
      </c>
      <c r="S288">
        <f t="shared" si="967"/>
        <v>0</v>
      </c>
      <c r="T288">
        <f t="shared" si="968"/>
        <v>0</v>
      </c>
    </row>
    <row r="289" spans="1:20" x14ac:dyDescent="0.25">
      <c r="A289" s="5"/>
      <c r="B289" s="1"/>
      <c r="C289" s="2"/>
      <c r="D289" s="2"/>
      <c r="E289" s="1"/>
      <c r="F289" s="1"/>
      <c r="P289">
        <f t="shared" si="964"/>
        <v>0</v>
      </c>
      <c r="Q289">
        <f t="shared" si="965"/>
        <v>0</v>
      </c>
      <c r="R289">
        <f t="shared" si="966"/>
        <v>0</v>
      </c>
      <c r="S289">
        <f t="shared" si="967"/>
        <v>0</v>
      </c>
      <c r="T289">
        <f t="shared" si="968"/>
        <v>0</v>
      </c>
    </row>
    <row r="290" spans="1:20" x14ac:dyDescent="0.25">
      <c r="A290" s="5"/>
      <c r="B290" s="1"/>
      <c r="C290" s="2"/>
      <c r="D290" s="2"/>
      <c r="E290" s="1"/>
      <c r="F290" s="1"/>
      <c r="P290">
        <f t="shared" si="964"/>
        <v>0</v>
      </c>
      <c r="Q290">
        <f t="shared" si="965"/>
        <v>0</v>
      </c>
      <c r="R290">
        <f t="shared" si="966"/>
        <v>0</v>
      </c>
      <c r="S290">
        <f t="shared" si="967"/>
        <v>0</v>
      </c>
      <c r="T290">
        <f t="shared" si="968"/>
        <v>0</v>
      </c>
    </row>
    <row r="291" spans="1:20" x14ac:dyDescent="0.25">
      <c r="A291" s="5"/>
      <c r="B291" s="1"/>
      <c r="C291" s="2"/>
      <c r="D291" s="2"/>
      <c r="E291" s="1"/>
      <c r="F291" s="1"/>
      <c r="P291">
        <f t="shared" si="964"/>
        <v>0</v>
      </c>
      <c r="Q291">
        <f t="shared" si="965"/>
        <v>0</v>
      </c>
      <c r="R291">
        <f t="shared" si="966"/>
        <v>0</v>
      </c>
      <c r="S291">
        <f t="shared" si="967"/>
        <v>0</v>
      </c>
      <c r="T291">
        <f t="shared" si="968"/>
        <v>0</v>
      </c>
    </row>
    <row r="292" spans="1:20" x14ac:dyDescent="0.25">
      <c r="A292" s="5"/>
      <c r="B292" s="1"/>
      <c r="C292" s="2"/>
      <c r="D292" s="2"/>
      <c r="E292" s="1"/>
      <c r="F292" s="1"/>
      <c r="P292">
        <f t="shared" si="964"/>
        <v>0</v>
      </c>
      <c r="Q292">
        <f t="shared" si="965"/>
        <v>0</v>
      </c>
      <c r="R292">
        <f t="shared" si="966"/>
        <v>0</v>
      </c>
      <c r="S292">
        <f t="shared" si="967"/>
        <v>0</v>
      </c>
      <c r="T292">
        <f t="shared" si="968"/>
        <v>0</v>
      </c>
    </row>
    <row r="293" spans="1:20" x14ac:dyDescent="0.25">
      <c r="A293" s="5"/>
      <c r="B293" s="1"/>
      <c r="C293" s="2"/>
      <c r="D293" s="2"/>
      <c r="E293" s="1"/>
      <c r="F293" s="1"/>
      <c r="P293">
        <f t="shared" si="964"/>
        <v>0</v>
      </c>
      <c r="Q293">
        <f t="shared" si="965"/>
        <v>0</v>
      </c>
      <c r="R293">
        <f t="shared" si="966"/>
        <v>0</v>
      </c>
      <c r="S293">
        <f t="shared" si="967"/>
        <v>0</v>
      </c>
      <c r="T293">
        <f t="shared" si="968"/>
        <v>0</v>
      </c>
    </row>
    <row r="294" spans="1:20" x14ac:dyDescent="0.25">
      <c r="A294" s="5"/>
      <c r="B294" s="1"/>
      <c r="C294" s="2"/>
      <c r="D294" s="2"/>
      <c r="E294" s="1"/>
      <c r="F294" s="1"/>
      <c r="P294">
        <f t="shared" si="964"/>
        <v>0</v>
      </c>
      <c r="Q294">
        <f t="shared" si="965"/>
        <v>0</v>
      </c>
      <c r="R294">
        <f t="shared" si="966"/>
        <v>0</v>
      </c>
      <c r="S294">
        <f t="shared" si="967"/>
        <v>0</v>
      </c>
      <c r="T294">
        <f t="shared" si="968"/>
        <v>0</v>
      </c>
    </row>
    <row r="295" spans="1:20" x14ac:dyDescent="0.25">
      <c r="A295" s="5"/>
      <c r="B295" s="1"/>
      <c r="C295" s="2"/>
      <c r="D295" s="2"/>
      <c r="E295" s="1"/>
      <c r="F295" s="1"/>
      <c r="P295">
        <f t="shared" si="964"/>
        <v>0</v>
      </c>
      <c r="Q295">
        <f t="shared" si="965"/>
        <v>0</v>
      </c>
      <c r="R295">
        <f t="shared" si="966"/>
        <v>0</v>
      </c>
      <c r="S295">
        <f t="shared" si="967"/>
        <v>0</v>
      </c>
      <c r="T295">
        <f t="shared" si="968"/>
        <v>0</v>
      </c>
    </row>
    <row r="296" spans="1:20" x14ac:dyDescent="0.25">
      <c r="A296" s="5"/>
      <c r="B296" s="1"/>
      <c r="C296" s="2"/>
      <c r="D296" s="2"/>
      <c r="E296" s="1"/>
      <c r="F296" s="1"/>
      <c r="P296">
        <f t="shared" si="964"/>
        <v>0</v>
      </c>
      <c r="Q296">
        <f t="shared" si="965"/>
        <v>0</v>
      </c>
      <c r="R296">
        <f t="shared" si="966"/>
        <v>0</v>
      </c>
      <c r="S296">
        <f t="shared" si="967"/>
        <v>0</v>
      </c>
      <c r="T296">
        <f t="shared" si="968"/>
        <v>0</v>
      </c>
    </row>
    <row r="297" spans="1:20" x14ac:dyDescent="0.25">
      <c r="A297" s="5"/>
      <c r="B297" s="1"/>
      <c r="C297" s="2"/>
      <c r="D297" s="2"/>
      <c r="E297" s="1"/>
      <c r="F297" s="1"/>
      <c r="P297">
        <f t="shared" si="964"/>
        <v>0</v>
      </c>
      <c r="Q297">
        <f t="shared" si="965"/>
        <v>0</v>
      </c>
      <c r="R297">
        <f t="shared" si="966"/>
        <v>0</v>
      </c>
      <c r="S297">
        <f t="shared" si="967"/>
        <v>0</v>
      </c>
      <c r="T297">
        <f t="shared" si="968"/>
        <v>0</v>
      </c>
    </row>
    <row r="298" spans="1:20" x14ac:dyDescent="0.25">
      <c r="A298" s="5"/>
      <c r="B298" s="1"/>
      <c r="C298" s="2"/>
      <c r="D298" s="2"/>
      <c r="E298" s="1"/>
      <c r="F298" s="1"/>
      <c r="P298">
        <f t="shared" si="964"/>
        <v>0</v>
      </c>
      <c r="Q298">
        <f t="shared" si="965"/>
        <v>0</v>
      </c>
      <c r="R298">
        <f t="shared" si="966"/>
        <v>0</v>
      </c>
      <c r="S298">
        <f t="shared" si="967"/>
        <v>0</v>
      </c>
      <c r="T298">
        <f t="shared" si="968"/>
        <v>0</v>
      </c>
    </row>
    <row r="299" spans="1:20" x14ac:dyDescent="0.25">
      <c r="A299" s="5"/>
      <c r="B299" s="1"/>
      <c r="C299" s="2"/>
      <c r="D299" s="2"/>
      <c r="E299" s="1"/>
      <c r="F299" s="1"/>
      <c r="P299">
        <f t="shared" si="964"/>
        <v>0</v>
      </c>
      <c r="Q299">
        <f t="shared" si="965"/>
        <v>0</v>
      </c>
      <c r="R299">
        <f t="shared" si="966"/>
        <v>0</v>
      </c>
      <c r="S299">
        <f t="shared" si="967"/>
        <v>0</v>
      </c>
      <c r="T299">
        <f t="shared" si="968"/>
        <v>0</v>
      </c>
    </row>
    <row r="300" spans="1:20" x14ac:dyDescent="0.25">
      <c r="A300" s="5"/>
      <c r="B300" s="1"/>
      <c r="C300" s="2"/>
      <c r="D300" s="2"/>
      <c r="E300" s="1"/>
      <c r="F300" s="1"/>
      <c r="P300">
        <f t="shared" si="964"/>
        <v>0</v>
      </c>
      <c r="Q300">
        <f t="shared" si="965"/>
        <v>0</v>
      </c>
      <c r="R300">
        <f t="shared" si="966"/>
        <v>0</v>
      </c>
      <c r="S300">
        <f t="shared" si="967"/>
        <v>0</v>
      </c>
      <c r="T300">
        <f t="shared" si="968"/>
        <v>0</v>
      </c>
    </row>
    <row r="301" spans="1:20" x14ac:dyDescent="0.25">
      <c r="A301" s="5"/>
      <c r="B301" s="1"/>
      <c r="C301" s="2"/>
      <c r="D301" s="2"/>
      <c r="E301" s="1"/>
      <c r="F301" s="1"/>
      <c r="P301">
        <f t="shared" si="964"/>
        <v>0</v>
      </c>
      <c r="Q301">
        <f t="shared" si="965"/>
        <v>0</v>
      </c>
      <c r="R301">
        <f t="shared" si="966"/>
        <v>0</v>
      </c>
      <c r="S301">
        <f t="shared" si="967"/>
        <v>0</v>
      </c>
      <c r="T301">
        <f t="shared" si="968"/>
        <v>0</v>
      </c>
    </row>
    <row r="302" spans="1:20" x14ac:dyDescent="0.25">
      <c r="A302" s="5"/>
      <c r="B302" s="1"/>
      <c r="C302" s="2"/>
      <c r="D302" s="2"/>
      <c r="E302" s="1"/>
      <c r="F302" s="1"/>
      <c r="P302">
        <f t="shared" si="964"/>
        <v>0</v>
      </c>
      <c r="Q302">
        <f t="shared" si="965"/>
        <v>0</v>
      </c>
      <c r="R302">
        <f t="shared" si="966"/>
        <v>0</v>
      </c>
      <c r="S302">
        <f t="shared" si="967"/>
        <v>0</v>
      </c>
      <c r="T302">
        <f t="shared" si="968"/>
        <v>0</v>
      </c>
    </row>
    <row r="303" spans="1:20" x14ac:dyDescent="0.25">
      <c r="A303" s="5"/>
      <c r="B303" s="1"/>
      <c r="C303" s="2"/>
      <c r="D303" s="2"/>
      <c r="E303" s="1"/>
      <c r="F303" s="1"/>
      <c r="P303">
        <f t="shared" si="964"/>
        <v>0</v>
      </c>
      <c r="Q303">
        <f t="shared" si="965"/>
        <v>0</v>
      </c>
      <c r="R303">
        <f t="shared" si="966"/>
        <v>0</v>
      </c>
      <c r="S303">
        <f t="shared" si="967"/>
        <v>0</v>
      </c>
      <c r="T303">
        <f t="shared" si="968"/>
        <v>0</v>
      </c>
    </row>
    <row r="304" spans="1:20" x14ac:dyDescent="0.25">
      <c r="A304" s="5"/>
      <c r="B304" s="1"/>
      <c r="C304" s="2"/>
      <c r="D304" s="2"/>
      <c r="E304" s="1"/>
      <c r="F304" s="1"/>
      <c r="P304">
        <f t="shared" si="964"/>
        <v>0</v>
      </c>
      <c r="Q304">
        <f t="shared" si="965"/>
        <v>0</v>
      </c>
      <c r="R304">
        <f t="shared" si="966"/>
        <v>0</v>
      </c>
      <c r="S304">
        <f t="shared" si="967"/>
        <v>0</v>
      </c>
      <c r="T304">
        <f t="shared" si="968"/>
        <v>0</v>
      </c>
    </row>
    <row r="305" spans="1:20" x14ac:dyDescent="0.25">
      <c r="A305" s="5"/>
      <c r="B305" s="1"/>
      <c r="C305" s="2"/>
      <c r="D305" s="2"/>
      <c r="E305" s="1"/>
      <c r="F305" s="1"/>
      <c r="P305">
        <f t="shared" si="964"/>
        <v>0</v>
      </c>
      <c r="Q305">
        <f t="shared" si="965"/>
        <v>0</v>
      </c>
      <c r="R305">
        <f t="shared" si="966"/>
        <v>0</v>
      </c>
      <c r="S305">
        <f t="shared" si="967"/>
        <v>0</v>
      </c>
      <c r="T305">
        <f t="shared" si="968"/>
        <v>0</v>
      </c>
    </row>
    <row r="306" spans="1:20" x14ac:dyDescent="0.25">
      <c r="A306" s="5"/>
      <c r="B306" s="1"/>
      <c r="C306" s="2"/>
      <c r="D306" s="2"/>
      <c r="E306" s="1"/>
      <c r="F306" s="1"/>
      <c r="P306">
        <f t="shared" si="964"/>
        <v>0</v>
      </c>
      <c r="Q306">
        <f t="shared" si="965"/>
        <v>0</v>
      </c>
      <c r="R306">
        <f t="shared" si="966"/>
        <v>0</v>
      </c>
      <c r="S306">
        <f t="shared" si="967"/>
        <v>0</v>
      </c>
      <c r="T306">
        <f t="shared" si="968"/>
        <v>0</v>
      </c>
    </row>
    <row r="307" spans="1:20" x14ac:dyDescent="0.25">
      <c r="A307" s="5"/>
      <c r="B307" s="1"/>
      <c r="C307" s="2"/>
      <c r="D307" s="2"/>
      <c r="E307" s="1"/>
      <c r="F307" s="1"/>
      <c r="P307">
        <f t="shared" si="964"/>
        <v>0</v>
      </c>
      <c r="Q307">
        <f t="shared" si="965"/>
        <v>0</v>
      </c>
      <c r="R307">
        <f t="shared" si="966"/>
        <v>0</v>
      </c>
      <c r="S307">
        <f t="shared" si="967"/>
        <v>0</v>
      </c>
      <c r="T307">
        <f t="shared" si="968"/>
        <v>0</v>
      </c>
    </row>
    <row r="308" spans="1:20" x14ac:dyDescent="0.25">
      <c r="A308" s="5"/>
      <c r="B308" s="1"/>
      <c r="C308" s="2"/>
      <c r="D308" s="2"/>
      <c r="E308" s="1"/>
      <c r="F308" s="1"/>
      <c r="P308">
        <f t="shared" si="964"/>
        <v>0</v>
      </c>
      <c r="Q308">
        <f t="shared" si="965"/>
        <v>0</v>
      </c>
      <c r="R308">
        <f t="shared" si="966"/>
        <v>0</v>
      </c>
      <c r="S308">
        <f t="shared" si="967"/>
        <v>0</v>
      </c>
      <c r="T308">
        <f t="shared" si="968"/>
        <v>0</v>
      </c>
    </row>
    <row r="309" spans="1:20" x14ac:dyDescent="0.25">
      <c r="A309" s="5"/>
      <c r="B309" s="1"/>
      <c r="C309" s="2"/>
      <c r="D309" s="2"/>
      <c r="E309" s="1"/>
      <c r="F309" s="1"/>
      <c r="P309">
        <f t="shared" si="964"/>
        <v>0</v>
      </c>
      <c r="Q309">
        <f t="shared" si="965"/>
        <v>0</v>
      </c>
      <c r="R309">
        <f t="shared" si="966"/>
        <v>0</v>
      </c>
      <c r="S309">
        <f t="shared" si="967"/>
        <v>0</v>
      </c>
      <c r="T309">
        <f t="shared" si="968"/>
        <v>0</v>
      </c>
    </row>
    <row r="310" spans="1:20" x14ac:dyDescent="0.25">
      <c r="A310" s="5"/>
      <c r="B310" s="1"/>
      <c r="C310" s="2"/>
      <c r="D310" s="2"/>
      <c r="E310" s="1"/>
      <c r="F310" s="1"/>
      <c r="P310">
        <f t="shared" si="964"/>
        <v>0</v>
      </c>
      <c r="Q310">
        <f t="shared" si="965"/>
        <v>0</v>
      </c>
      <c r="R310">
        <f t="shared" si="966"/>
        <v>0</v>
      </c>
      <c r="S310">
        <f t="shared" si="967"/>
        <v>0</v>
      </c>
      <c r="T310">
        <f t="shared" si="968"/>
        <v>0</v>
      </c>
    </row>
    <row r="311" spans="1:20" x14ac:dyDescent="0.25">
      <c r="A311" s="5"/>
      <c r="B311" s="1"/>
      <c r="C311" s="2"/>
      <c r="D311" s="2"/>
      <c r="E311" s="1"/>
      <c r="F311" s="1"/>
      <c r="P311">
        <f t="shared" si="964"/>
        <v>0</v>
      </c>
      <c r="Q311">
        <f t="shared" si="965"/>
        <v>0</v>
      </c>
      <c r="R311">
        <f t="shared" si="966"/>
        <v>0</v>
      </c>
      <c r="S311">
        <f t="shared" si="967"/>
        <v>0</v>
      </c>
      <c r="T311">
        <f t="shared" si="968"/>
        <v>0</v>
      </c>
    </row>
    <row r="312" spans="1:20" x14ac:dyDescent="0.25">
      <c r="A312" s="5"/>
      <c r="B312" s="1"/>
      <c r="C312" s="2"/>
      <c r="D312" s="2"/>
      <c r="E312" s="1"/>
      <c r="F312" s="1"/>
      <c r="P312">
        <f t="shared" si="964"/>
        <v>0</v>
      </c>
      <c r="Q312">
        <f t="shared" si="965"/>
        <v>0</v>
      </c>
      <c r="R312">
        <f t="shared" si="966"/>
        <v>0</v>
      </c>
      <c r="S312">
        <f t="shared" si="967"/>
        <v>0</v>
      </c>
      <c r="T312">
        <f t="shared" si="968"/>
        <v>0</v>
      </c>
    </row>
    <row r="313" spans="1:20" x14ac:dyDescent="0.25">
      <c r="A313" s="5"/>
      <c r="B313" s="1"/>
      <c r="C313" s="2"/>
      <c r="D313" s="2"/>
      <c r="E313" s="1"/>
      <c r="F313" s="1"/>
      <c r="P313">
        <f t="shared" si="964"/>
        <v>0</v>
      </c>
      <c r="Q313">
        <f t="shared" si="965"/>
        <v>0</v>
      </c>
      <c r="R313">
        <f t="shared" si="966"/>
        <v>0</v>
      </c>
      <c r="S313">
        <f t="shared" si="967"/>
        <v>0</v>
      </c>
      <c r="T313">
        <f t="shared" si="968"/>
        <v>0</v>
      </c>
    </row>
    <row r="314" spans="1:20" x14ac:dyDescent="0.25">
      <c r="A314" s="5"/>
      <c r="P314">
        <f t="shared" si="964"/>
        <v>0</v>
      </c>
      <c r="Q314">
        <f t="shared" si="965"/>
        <v>0</v>
      </c>
      <c r="R314">
        <f t="shared" si="966"/>
        <v>0</v>
      </c>
      <c r="S314">
        <f t="shared" si="967"/>
        <v>0</v>
      </c>
      <c r="T314">
        <f t="shared" si="968"/>
        <v>0</v>
      </c>
    </row>
    <row r="315" spans="1:20" x14ac:dyDescent="0.25">
      <c r="A315" s="5"/>
      <c r="P315">
        <f t="shared" si="964"/>
        <v>0</v>
      </c>
      <c r="Q315">
        <f t="shared" si="965"/>
        <v>0</v>
      </c>
      <c r="R315">
        <f t="shared" si="966"/>
        <v>0</v>
      </c>
      <c r="S315">
        <f t="shared" si="967"/>
        <v>0</v>
      </c>
      <c r="T315">
        <f t="shared" si="968"/>
        <v>0</v>
      </c>
    </row>
    <row r="316" spans="1:20" x14ac:dyDescent="0.25">
      <c r="A316" s="5"/>
      <c r="P316">
        <f t="shared" si="964"/>
        <v>0</v>
      </c>
      <c r="Q316">
        <f t="shared" si="965"/>
        <v>0</v>
      </c>
      <c r="R316">
        <f t="shared" si="966"/>
        <v>0</v>
      </c>
      <c r="S316">
        <f t="shared" si="967"/>
        <v>0</v>
      </c>
      <c r="T316">
        <f t="shared" si="968"/>
        <v>0</v>
      </c>
    </row>
    <row r="317" spans="1:20" x14ac:dyDescent="0.25">
      <c r="A317" s="5"/>
      <c r="P317">
        <f t="shared" si="964"/>
        <v>0</v>
      </c>
      <c r="Q317">
        <f t="shared" si="965"/>
        <v>0</v>
      </c>
      <c r="R317">
        <f t="shared" si="966"/>
        <v>0</v>
      </c>
      <c r="S317">
        <f t="shared" si="967"/>
        <v>0</v>
      </c>
      <c r="T317">
        <f t="shared" si="968"/>
        <v>0</v>
      </c>
    </row>
    <row r="318" spans="1:20" x14ac:dyDescent="0.25">
      <c r="A318" s="5"/>
      <c r="P318">
        <f t="shared" si="964"/>
        <v>0</v>
      </c>
      <c r="Q318">
        <f t="shared" si="965"/>
        <v>0</v>
      </c>
      <c r="R318">
        <f t="shared" si="966"/>
        <v>0</v>
      </c>
      <c r="S318">
        <f t="shared" si="967"/>
        <v>0</v>
      </c>
      <c r="T318">
        <f t="shared" si="968"/>
        <v>0</v>
      </c>
    </row>
    <row r="319" spans="1:20" x14ac:dyDescent="0.25">
      <c r="A319" s="5"/>
      <c r="P319">
        <f t="shared" si="964"/>
        <v>0</v>
      </c>
      <c r="Q319">
        <f t="shared" si="965"/>
        <v>0</v>
      </c>
      <c r="R319">
        <f t="shared" si="966"/>
        <v>0</v>
      </c>
      <c r="S319">
        <f t="shared" si="967"/>
        <v>0</v>
      </c>
      <c r="T319">
        <f t="shared" si="968"/>
        <v>0</v>
      </c>
    </row>
    <row r="320" spans="1:20" x14ac:dyDescent="0.25">
      <c r="A320" s="5"/>
      <c r="P320">
        <f t="shared" si="964"/>
        <v>0</v>
      </c>
      <c r="Q320">
        <f t="shared" si="965"/>
        <v>0</v>
      </c>
      <c r="R320">
        <f t="shared" si="966"/>
        <v>0</v>
      </c>
      <c r="S320">
        <f t="shared" si="967"/>
        <v>0</v>
      </c>
      <c r="T320">
        <f t="shared" si="968"/>
        <v>0</v>
      </c>
    </row>
    <row r="321" spans="1:20" x14ac:dyDescent="0.25">
      <c r="A321" s="5"/>
      <c r="P321">
        <f t="shared" si="964"/>
        <v>0</v>
      </c>
      <c r="Q321">
        <f t="shared" si="965"/>
        <v>0</v>
      </c>
      <c r="R321">
        <f t="shared" si="966"/>
        <v>0</v>
      </c>
      <c r="S321">
        <f t="shared" si="967"/>
        <v>0</v>
      </c>
      <c r="T321">
        <f t="shared" si="968"/>
        <v>0</v>
      </c>
    </row>
    <row r="322" spans="1:20" x14ac:dyDescent="0.25">
      <c r="A322" s="5"/>
      <c r="P322">
        <f t="shared" si="964"/>
        <v>0</v>
      </c>
      <c r="Q322">
        <f t="shared" si="965"/>
        <v>0</v>
      </c>
      <c r="R322">
        <f t="shared" si="966"/>
        <v>0</v>
      </c>
      <c r="S322">
        <f t="shared" si="967"/>
        <v>0</v>
      </c>
      <c r="T322">
        <f t="shared" si="968"/>
        <v>0</v>
      </c>
    </row>
    <row r="323" spans="1:20" x14ac:dyDescent="0.25">
      <c r="A323" s="5"/>
      <c r="P323">
        <f t="shared" si="964"/>
        <v>0</v>
      </c>
      <c r="Q323">
        <f t="shared" si="965"/>
        <v>0</v>
      </c>
      <c r="R323">
        <f t="shared" si="966"/>
        <v>0</v>
      </c>
      <c r="S323">
        <f t="shared" si="967"/>
        <v>0</v>
      </c>
      <c r="T323">
        <f t="shared" si="968"/>
        <v>0</v>
      </c>
    </row>
    <row r="324" spans="1:20" x14ac:dyDescent="0.25">
      <c r="A324" s="5"/>
      <c r="P324">
        <f t="shared" si="964"/>
        <v>0</v>
      </c>
      <c r="Q324">
        <f t="shared" si="965"/>
        <v>0</v>
      </c>
      <c r="R324">
        <f t="shared" si="966"/>
        <v>0</v>
      </c>
      <c r="S324">
        <f t="shared" si="967"/>
        <v>0</v>
      </c>
      <c r="T324">
        <f t="shared" si="968"/>
        <v>0</v>
      </c>
    </row>
    <row r="325" spans="1:20" x14ac:dyDescent="0.25">
      <c r="A325" s="5"/>
      <c r="C325"/>
      <c r="D325"/>
      <c r="P325">
        <f t="shared" si="964"/>
        <v>0</v>
      </c>
      <c r="Q325">
        <f t="shared" si="965"/>
        <v>0</v>
      </c>
      <c r="R325">
        <f t="shared" si="966"/>
        <v>0</v>
      </c>
      <c r="S325">
        <f t="shared" si="967"/>
        <v>0</v>
      </c>
      <c r="T325">
        <f t="shared" si="968"/>
        <v>0</v>
      </c>
    </row>
    <row r="326" spans="1:20" x14ac:dyDescent="0.25">
      <c r="A326" s="5"/>
      <c r="C326"/>
      <c r="D326"/>
      <c r="P326">
        <f t="shared" ref="P326:P389" si="969">IF(C326=D326,0,((E326-D326)-(C326-E326))/(C326-D326))</f>
        <v>0</v>
      </c>
      <c r="Q326">
        <f t="shared" ref="Q326:Q389" si="970">F326*P326</f>
        <v>0</v>
      </c>
      <c r="R326">
        <f t="shared" ref="R326:R389" si="971">R327+Q326</f>
        <v>0</v>
      </c>
      <c r="S326">
        <f t="shared" ref="S326:S389" si="972">R326/100000</f>
        <v>0</v>
      </c>
      <c r="T326">
        <f t="shared" ref="T326:T389" si="973">S326/1000</f>
        <v>0</v>
      </c>
    </row>
    <row r="327" spans="1:20" x14ac:dyDescent="0.25">
      <c r="A327" s="5"/>
      <c r="C327"/>
      <c r="D327"/>
      <c r="P327">
        <f t="shared" si="969"/>
        <v>0</v>
      </c>
      <c r="Q327">
        <f t="shared" si="970"/>
        <v>0</v>
      </c>
      <c r="R327">
        <f t="shared" si="971"/>
        <v>0</v>
      </c>
      <c r="S327">
        <f t="shared" si="972"/>
        <v>0</v>
      </c>
      <c r="T327">
        <f t="shared" si="973"/>
        <v>0</v>
      </c>
    </row>
    <row r="328" spans="1:20" x14ac:dyDescent="0.25">
      <c r="A328" s="5"/>
      <c r="C328"/>
      <c r="D328"/>
      <c r="P328">
        <f t="shared" si="969"/>
        <v>0</v>
      </c>
      <c r="Q328">
        <f t="shared" si="970"/>
        <v>0</v>
      </c>
      <c r="R328">
        <f t="shared" si="971"/>
        <v>0</v>
      </c>
      <c r="S328">
        <f t="shared" si="972"/>
        <v>0</v>
      </c>
      <c r="T328">
        <f t="shared" si="973"/>
        <v>0</v>
      </c>
    </row>
    <row r="329" spans="1:20" x14ac:dyDescent="0.25">
      <c r="A329" s="5"/>
      <c r="C329"/>
      <c r="D329"/>
      <c r="P329">
        <f t="shared" si="969"/>
        <v>0</v>
      </c>
      <c r="Q329">
        <f t="shared" si="970"/>
        <v>0</v>
      </c>
      <c r="R329">
        <f t="shared" si="971"/>
        <v>0</v>
      </c>
      <c r="S329">
        <f t="shared" si="972"/>
        <v>0</v>
      </c>
      <c r="T329">
        <f t="shared" si="973"/>
        <v>0</v>
      </c>
    </row>
    <row r="330" spans="1:20" x14ac:dyDescent="0.25">
      <c r="A330" s="5"/>
      <c r="C330"/>
      <c r="D330"/>
      <c r="P330">
        <f t="shared" si="969"/>
        <v>0</v>
      </c>
      <c r="Q330">
        <f t="shared" si="970"/>
        <v>0</v>
      </c>
      <c r="R330">
        <f t="shared" si="971"/>
        <v>0</v>
      </c>
      <c r="S330">
        <f t="shared" si="972"/>
        <v>0</v>
      </c>
      <c r="T330">
        <f t="shared" si="973"/>
        <v>0</v>
      </c>
    </row>
    <row r="331" spans="1:20" x14ac:dyDescent="0.25">
      <c r="A331" s="5"/>
      <c r="C331"/>
      <c r="D331"/>
      <c r="P331">
        <f t="shared" si="969"/>
        <v>0</v>
      </c>
      <c r="Q331">
        <f t="shared" si="970"/>
        <v>0</v>
      </c>
      <c r="R331">
        <f t="shared" si="971"/>
        <v>0</v>
      </c>
      <c r="S331">
        <f t="shared" si="972"/>
        <v>0</v>
      </c>
      <c r="T331">
        <f t="shared" si="973"/>
        <v>0</v>
      </c>
    </row>
    <row r="332" spans="1:20" x14ac:dyDescent="0.25">
      <c r="A332" s="5"/>
      <c r="C332"/>
      <c r="D332"/>
      <c r="P332">
        <f t="shared" si="969"/>
        <v>0</v>
      </c>
      <c r="Q332">
        <f t="shared" si="970"/>
        <v>0</v>
      </c>
      <c r="R332">
        <f t="shared" si="971"/>
        <v>0</v>
      </c>
      <c r="S332">
        <f t="shared" si="972"/>
        <v>0</v>
      </c>
      <c r="T332">
        <f t="shared" si="973"/>
        <v>0</v>
      </c>
    </row>
    <row r="333" spans="1:20" x14ac:dyDescent="0.25">
      <c r="A333" s="5"/>
      <c r="C333"/>
      <c r="D333"/>
      <c r="P333">
        <f t="shared" si="969"/>
        <v>0</v>
      </c>
      <c r="Q333">
        <f t="shared" si="970"/>
        <v>0</v>
      </c>
      <c r="R333">
        <f t="shared" si="971"/>
        <v>0</v>
      </c>
      <c r="S333">
        <f t="shared" si="972"/>
        <v>0</v>
      </c>
      <c r="T333">
        <f t="shared" si="973"/>
        <v>0</v>
      </c>
    </row>
    <row r="334" spans="1:20" x14ac:dyDescent="0.25">
      <c r="A334" s="5"/>
      <c r="C334"/>
      <c r="D334"/>
      <c r="P334">
        <f t="shared" si="969"/>
        <v>0</v>
      </c>
      <c r="Q334">
        <f t="shared" si="970"/>
        <v>0</v>
      </c>
      <c r="R334">
        <f t="shared" si="971"/>
        <v>0</v>
      </c>
      <c r="S334">
        <f t="shared" si="972"/>
        <v>0</v>
      </c>
      <c r="T334">
        <f t="shared" si="973"/>
        <v>0</v>
      </c>
    </row>
    <row r="335" spans="1:20" x14ac:dyDescent="0.25">
      <c r="A335" s="5"/>
      <c r="C335"/>
      <c r="D335"/>
      <c r="P335">
        <f t="shared" si="969"/>
        <v>0</v>
      </c>
      <c r="Q335">
        <f t="shared" si="970"/>
        <v>0</v>
      </c>
      <c r="R335">
        <f t="shared" si="971"/>
        <v>0</v>
      </c>
      <c r="S335">
        <f t="shared" si="972"/>
        <v>0</v>
      </c>
      <c r="T335">
        <f t="shared" si="973"/>
        <v>0</v>
      </c>
    </row>
    <row r="336" spans="1:20" x14ac:dyDescent="0.25">
      <c r="A336" s="5"/>
      <c r="C336"/>
      <c r="D336"/>
      <c r="P336">
        <f t="shared" si="969"/>
        <v>0</v>
      </c>
      <c r="Q336">
        <f t="shared" si="970"/>
        <v>0</v>
      </c>
      <c r="R336">
        <f t="shared" si="971"/>
        <v>0</v>
      </c>
      <c r="S336">
        <f t="shared" si="972"/>
        <v>0</v>
      </c>
      <c r="T336">
        <f t="shared" si="973"/>
        <v>0</v>
      </c>
    </row>
    <row r="337" spans="1:20" x14ac:dyDescent="0.25">
      <c r="A337" s="5"/>
      <c r="C337"/>
      <c r="D337"/>
      <c r="P337">
        <f t="shared" si="969"/>
        <v>0</v>
      </c>
      <c r="Q337">
        <f t="shared" si="970"/>
        <v>0</v>
      </c>
      <c r="R337">
        <f t="shared" si="971"/>
        <v>0</v>
      </c>
      <c r="S337">
        <f t="shared" si="972"/>
        <v>0</v>
      </c>
      <c r="T337">
        <f t="shared" si="973"/>
        <v>0</v>
      </c>
    </row>
    <row r="338" spans="1:20" x14ac:dyDescent="0.25">
      <c r="A338" s="5"/>
      <c r="C338"/>
      <c r="D338"/>
      <c r="P338">
        <f t="shared" si="969"/>
        <v>0</v>
      </c>
      <c r="Q338">
        <f t="shared" si="970"/>
        <v>0</v>
      </c>
      <c r="R338">
        <f t="shared" si="971"/>
        <v>0</v>
      </c>
      <c r="S338">
        <f t="shared" si="972"/>
        <v>0</v>
      </c>
      <c r="T338">
        <f t="shared" si="973"/>
        <v>0</v>
      </c>
    </row>
    <row r="339" spans="1:20" x14ac:dyDescent="0.25">
      <c r="A339" s="5"/>
      <c r="C339"/>
      <c r="D339"/>
      <c r="P339">
        <f t="shared" si="969"/>
        <v>0</v>
      </c>
      <c r="Q339">
        <f t="shared" si="970"/>
        <v>0</v>
      </c>
      <c r="R339">
        <f t="shared" si="971"/>
        <v>0</v>
      </c>
      <c r="S339">
        <f t="shared" si="972"/>
        <v>0</v>
      </c>
      <c r="T339">
        <f t="shared" si="973"/>
        <v>0</v>
      </c>
    </row>
    <row r="340" spans="1:20" x14ac:dyDescent="0.25">
      <c r="A340" s="5"/>
      <c r="C340"/>
      <c r="D340"/>
      <c r="P340">
        <f t="shared" si="969"/>
        <v>0</v>
      </c>
      <c r="Q340">
        <f t="shared" si="970"/>
        <v>0</v>
      </c>
      <c r="R340">
        <f t="shared" si="971"/>
        <v>0</v>
      </c>
      <c r="S340">
        <f t="shared" si="972"/>
        <v>0</v>
      </c>
      <c r="T340">
        <f t="shared" si="973"/>
        <v>0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CN578" sqref="CN578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$A$577</v>
      </c>
      <c r="D111" s="1" t="str">
        <f>ADDRESS(C121-1,D121,1,1)</f>
        <v>$CN$577</v>
      </c>
      <c r="E111"/>
    </row>
    <row r="112" spans="1:5" x14ac:dyDescent="0.25">
      <c r="A112" s="7">
        <v>12164.144957890772</v>
      </c>
      <c r="C112" s="1" t="str">
        <f>ADDRESS(C121,1,1,1)</f>
        <v>$A$578</v>
      </c>
      <c r="D112" s="1" t="str">
        <f>ADDRESS(C121,D121-1,1,1)</f>
        <v>$CM$578</v>
      </c>
      <c r="E112"/>
    </row>
    <row r="113" spans="1:5" x14ac:dyDescent="0.25">
      <c r="A113" s="7">
        <v>11925.63231165762</v>
      </c>
      <c r="C113" s="1" t="str">
        <f>ADDRESS(C121+1,1,1,1)</f>
        <v>$A$579</v>
      </c>
      <c r="D113" s="1" t="str">
        <f>ADDRESS(C121-1,D121+1,1,1)</f>
        <v>$CO$577</v>
      </c>
    </row>
    <row r="114" spans="1:5" x14ac:dyDescent="0.25">
      <c r="A114" s="7">
        <v>11691.796383978059</v>
      </c>
      <c r="C114" s="1" t="str">
        <f>ADDRESS(C121,D121,1,1)</f>
        <v>$CN$578</v>
      </c>
      <c r="D114" s="1" t="str">
        <f>ADDRESS(C121+1,D121+1,1,1)</f>
        <v>$CO$579</v>
      </c>
    </row>
    <row r="115" spans="1:5" x14ac:dyDescent="0.25">
      <c r="A115" s="7">
        <v>11462.545474488292</v>
      </c>
      <c r="C115" s="1" t="str">
        <f>ADDRESS(C121+1,D121,1,1)</f>
        <v>$CN$579</v>
      </c>
    </row>
    <row r="116" spans="1:5" x14ac:dyDescent="0.25">
      <c r="A116" s="7">
        <v>11237.789680870874</v>
      </c>
      <c r="C116" s="1">
        <f>C117-1</f>
        <v>577</v>
      </c>
    </row>
    <row r="117" spans="1:5" x14ac:dyDescent="0.25">
      <c r="A117" s="7">
        <v>11017.440863598895</v>
      </c>
      <c r="C117" s="1">
        <f>C121</f>
        <v>578</v>
      </c>
      <c r="D117" s="1">
        <f>D121</f>
        <v>92</v>
      </c>
    </row>
    <row r="118" spans="1:5" x14ac:dyDescent="0.25">
      <c r="A118" s="7">
        <v>10801.412611371465</v>
      </c>
      <c r="C118" s="1">
        <f>C117+1</f>
        <v>579</v>
      </c>
      <c r="D118" s="1">
        <f>D117+1</f>
        <v>93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578</v>
      </c>
      <c r="D121" s="19">
        <v>92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R578</v>
      </c>
      <c r="D123" s="1" t="str">
        <f>"C"&amp;D121</f>
        <v>C92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1.1950925686223111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48" x14ac:dyDescent="0.25">
      <c r="A513" s="7">
        <v>4.3292504462035977</v>
      </c>
      <c r="B513"/>
      <c r="C513"/>
      <c r="D513"/>
      <c r="E513"/>
      <c r="AU513" s="27" t="s">
        <v>8</v>
      </c>
    </row>
    <row r="514" spans="1:48" x14ac:dyDescent="0.25">
      <c r="A514" s="7">
        <v>4.2443631825525463</v>
      </c>
      <c r="B514"/>
      <c r="C514"/>
      <c r="D514"/>
      <c r="E514"/>
      <c r="AU514" s="27" t="s">
        <v>8</v>
      </c>
      <c r="AV514" s="27" t="s">
        <v>7</v>
      </c>
    </row>
    <row r="515" spans="1:48" x14ac:dyDescent="0.25">
      <c r="A515" s="7">
        <v>4.1611403750515157</v>
      </c>
      <c r="B515"/>
      <c r="C515"/>
      <c r="D515"/>
      <c r="E515"/>
      <c r="AU515" s="27" t="s">
        <v>8</v>
      </c>
      <c r="AV515" s="27" t="s">
        <v>7</v>
      </c>
    </row>
    <row r="516" spans="1:48" x14ac:dyDescent="0.25">
      <c r="A516" s="7">
        <v>4.0795493873054074</v>
      </c>
      <c r="B516"/>
      <c r="C516"/>
      <c r="D516"/>
      <c r="E516"/>
      <c r="AU516" s="27" t="s">
        <v>8</v>
      </c>
      <c r="AV516" s="27" t="s">
        <v>7</v>
      </c>
    </row>
    <row r="517" spans="1:48" x14ac:dyDescent="0.25">
      <c r="A517" s="7">
        <v>3.9995582228484383</v>
      </c>
      <c r="B517"/>
      <c r="C517"/>
      <c r="D517"/>
      <c r="E517"/>
      <c r="AU517" s="27" t="s">
        <v>8</v>
      </c>
      <c r="AV517" s="27" t="s">
        <v>7</v>
      </c>
    </row>
    <row r="518" spans="1:48" x14ac:dyDescent="0.25">
      <c r="A518" s="7">
        <v>3.9211355125965079</v>
      </c>
      <c r="B518"/>
      <c r="C518"/>
      <c r="D518"/>
      <c r="E518"/>
      <c r="AU518" s="27" t="s">
        <v>8</v>
      </c>
      <c r="AV518" s="27" t="s">
        <v>7</v>
      </c>
    </row>
    <row r="519" spans="1:48" x14ac:dyDescent="0.25">
      <c r="A519" s="7">
        <v>3.844250502545596</v>
      </c>
      <c r="B519"/>
      <c r="C519"/>
      <c r="D519"/>
      <c r="E519"/>
      <c r="AU519" s="27" t="s">
        <v>8</v>
      </c>
      <c r="AV519" s="27" t="s">
        <v>7</v>
      </c>
    </row>
    <row r="520" spans="1:48" x14ac:dyDescent="0.25">
      <c r="A520" s="7">
        <v>3.7688730417113687</v>
      </c>
      <c r="B520"/>
      <c r="C520"/>
      <c r="D520"/>
      <c r="E520"/>
      <c r="AU520" s="27" t="s">
        <v>8</v>
      </c>
      <c r="AV520" s="27" t="s">
        <v>7</v>
      </c>
    </row>
    <row r="521" spans="1:48" x14ac:dyDescent="0.25">
      <c r="A521" s="7">
        <v>3.6949735703052635</v>
      </c>
      <c r="B521"/>
      <c r="C521"/>
      <c r="D521"/>
      <c r="E521"/>
      <c r="AU521" s="27" t="s">
        <v>8</v>
      </c>
      <c r="AV521" s="27" t="s">
        <v>7</v>
      </c>
    </row>
    <row r="522" spans="1:48" x14ac:dyDescent="0.25">
      <c r="A522" s="7">
        <v>3.6225231081424152</v>
      </c>
      <c r="B522"/>
      <c r="C522"/>
      <c r="D522"/>
      <c r="E522"/>
      <c r="AU522" s="27" t="s">
        <v>8</v>
      </c>
      <c r="AV522" s="27" t="s">
        <v>7</v>
      </c>
    </row>
    <row r="523" spans="1:48" x14ac:dyDescent="0.25">
      <c r="A523" s="7">
        <v>3.5514932432768775</v>
      </c>
      <c r="B523"/>
      <c r="C523"/>
      <c r="D523"/>
      <c r="E523"/>
      <c r="AU523" s="27" t="s">
        <v>8</v>
      </c>
      <c r="AV523" s="27" t="s">
        <v>7</v>
      </c>
    </row>
    <row r="524" spans="1:48" x14ac:dyDescent="0.25">
      <c r="A524" s="7">
        <v>3.4818561208596837</v>
      </c>
      <c r="B524"/>
      <c r="C524"/>
      <c r="D524"/>
      <c r="E524"/>
      <c r="AU524" s="27" t="s">
        <v>8</v>
      </c>
      <c r="AV524" s="27" t="s">
        <v>7</v>
      </c>
    </row>
    <row r="525" spans="1:48" x14ac:dyDescent="0.25">
      <c r="A525" s="7">
        <v>3.4135844322153761</v>
      </c>
      <c r="B525"/>
      <c r="C525"/>
      <c r="D525"/>
      <c r="E525"/>
      <c r="AU525" s="27" t="s">
        <v>8</v>
      </c>
      <c r="AV525" s="27" t="s">
        <v>7</v>
      </c>
    </row>
    <row r="526" spans="1:48" x14ac:dyDescent="0.25">
      <c r="A526" s="7">
        <v>3.3466514041327216</v>
      </c>
      <c r="B526"/>
      <c r="C526"/>
      <c r="D526"/>
      <c r="E526"/>
      <c r="AU526" s="27" t="s">
        <v>8</v>
      </c>
      <c r="AV526" s="27" t="s">
        <v>7</v>
      </c>
    </row>
    <row r="527" spans="1:48" x14ac:dyDescent="0.25">
      <c r="A527" s="7">
        <v>3.2810307883654133</v>
      </c>
      <c r="B527"/>
      <c r="C527"/>
      <c r="D527"/>
      <c r="E527"/>
      <c r="AU527" s="27" t="s">
        <v>8</v>
      </c>
      <c r="AV527" s="27" t="s">
        <v>7</v>
      </c>
    </row>
    <row r="528" spans="1:48" x14ac:dyDescent="0.25">
      <c r="A528" s="7">
        <v>3.2166968513386403</v>
      </c>
      <c r="B528"/>
      <c r="C528"/>
      <c r="D528"/>
      <c r="E528"/>
      <c r="AU528" s="27" t="s">
        <v>8</v>
      </c>
      <c r="AV528" s="27" t="s">
        <v>7</v>
      </c>
    </row>
    <row r="529" spans="1:48" x14ac:dyDescent="0.25">
      <c r="A529" s="7">
        <v>3.1536243640574906</v>
      </c>
      <c r="B529"/>
      <c r="C529"/>
      <c r="D529"/>
      <c r="E529"/>
      <c r="AU529" s="27" t="s">
        <v>8</v>
      </c>
      <c r="AV529" s="27" t="s">
        <v>7</v>
      </c>
    </row>
    <row r="530" spans="1:48" x14ac:dyDescent="0.25">
      <c r="A530" s="7">
        <v>3.0917885922132262</v>
      </c>
      <c r="B530"/>
      <c r="C530"/>
      <c r="D530"/>
      <c r="E530"/>
      <c r="AU530" s="27" t="s">
        <v>8</v>
      </c>
      <c r="AV530" s="27" t="s">
        <v>7</v>
      </c>
    </row>
    <row r="531" spans="1:48" x14ac:dyDescent="0.25">
      <c r="A531" s="7">
        <v>3.0311652864835552</v>
      </c>
      <c r="B531"/>
      <c r="C531"/>
      <c r="D531"/>
      <c r="E531"/>
      <c r="AU531" s="27" t="s">
        <v>8</v>
      </c>
      <c r="AV531" s="27" t="s">
        <v>7</v>
      </c>
    </row>
    <row r="532" spans="1:48" x14ac:dyDescent="0.25">
      <c r="A532" s="7">
        <v>2.9717306730230932</v>
      </c>
      <c r="B532"/>
      <c r="C532"/>
      <c r="D532"/>
      <c r="E532"/>
      <c r="AU532" s="27" t="s">
        <v>8</v>
      </c>
      <c r="AV532" s="27" t="s">
        <v>7</v>
      </c>
    </row>
    <row r="533" spans="1:48" x14ac:dyDescent="0.25">
      <c r="A533" s="7">
        <v>2.9134614441402875</v>
      </c>
      <c r="B533"/>
      <c r="C533"/>
      <c r="D533"/>
      <c r="E533"/>
      <c r="AU533" s="27" t="s">
        <v>8</v>
      </c>
      <c r="AV533" s="27" t="s">
        <v>7</v>
      </c>
    </row>
    <row r="534" spans="1:48" x14ac:dyDescent="0.25">
      <c r="A534" s="7">
        <v>2.8563347491571447</v>
      </c>
      <c r="B534"/>
      <c r="C534"/>
      <c r="D534"/>
      <c r="E534"/>
      <c r="AU534" s="27" t="s">
        <v>8</v>
      </c>
      <c r="AV534" s="27" t="s">
        <v>7</v>
      </c>
    </row>
    <row r="535" spans="1:48" x14ac:dyDescent="0.25">
      <c r="A535" s="7">
        <v>2.8003281854481812</v>
      </c>
      <c r="B535"/>
      <c r="C535"/>
      <c r="D535"/>
      <c r="E535"/>
      <c r="AU535" s="27" t="s">
        <v>8</v>
      </c>
      <c r="AV535" s="27" t="s">
        <v>7</v>
      </c>
    </row>
    <row r="536" spans="1:48" x14ac:dyDescent="0.25">
      <c r="A536" s="7">
        <v>2.7454197896550796</v>
      </c>
      <c r="B536"/>
      <c r="C536"/>
      <c r="D536"/>
      <c r="E536"/>
      <c r="AU536" s="27" t="s">
        <v>8</v>
      </c>
      <c r="AV536" s="27" t="s">
        <v>7</v>
      </c>
    </row>
    <row r="537" spans="1:48" x14ac:dyDescent="0.25">
      <c r="A537" s="7">
        <v>2.6915880290736074</v>
      </c>
      <c r="B537"/>
      <c r="C537"/>
      <c r="D537"/>
      <c r="E537"/>
      <c r="AU537" s="27" t="s">
        <v>8</v>
      </c>
      <c r="AV537" s="27" t="s">
        <v>7</v>
      </c>
    </row>
    <row r="538" spans="1:48" x14ac:dyDescent="0.25">
      <c r="A538" s="7">
        <v>2.6388117932094191</v>
      </c>
      <c r="B538"/>
      <c r="C538"/>
      <c r="D538"/>
      <c r="E538"/>
      <c r="AU538" s="27" t="s">
        <v>8</v>
      </c>
      <c r="AV538" s="27" t="s">
        <v>7</v>
      </c>
    </row>
    <row r="539" spans="1:48" x14ac:dyDescent="0.25">
      <c r="A539" s="7">
        <v>2.5870703854994304</v>
      </c>
      <c r="B539"/>
      <c r="C539"/>
      <c r="D539"/>
      <c r="E539"/>
      <c r="AU539" s="27" t="s">
        <v>8</v>
      </c>
      <c r="AV539" s="27" t="s">
        <v>7</v>
      </c>
    </row>
    <row r="540" spans="1:48" x14ac:dyDescent="0.25">
      <c r="A540" s="7">
        <v>2.53634351519552</v>
      </c>
      <c r="B540"/>
      <c r="C540"/>
      <c r="D540"/>
      <c r="E540"/>
      <c r="AU540" s="27" t="s">
        <v>8</v>
      </c>
      <c r="AV540" s="27" t="s">
        <v>7</v>
      </c>
    </row>
    <row r="541" spans="1:48" x14ac:dyDescent="0.25">
      <c r="A541" s="7">
        <v>2.4866112894073726</v>
      </c>
      <c r="B541"/>
      <c r="C541"/>
      <c r="D541"/>
      <c r="E541"/>
      <c r="AU541" s="27" t="s">
        <v>8</v>
      </c>
      <c r="AV541" s="27" t="s">
        <v>7</v>
      </c>
    </row>
    <row r="542" spans="1:48" x14ac:dyDescent="0.25">
      <c r="A542" s="7">
        <v>2.4378542053013459</v>
      </c>
      <c r="B542"/>
      <c r="C542"/>
      <c r="D542"/>
      <c r="E542"/>
      <c r="AU542" s="27" t="s">
        <v>8</v>
      </c>
      <c r="AV542" s="27" t="s">
        <v>7</v>
      </c>
    </row>
    <row r="543" spans="1:48" x14ac:dyDescent="0.25">
      <c r="A543" s="7">
        <v>2.3900531424522997</v>
      </c>
      <c r="B543"/>
      <c r="C543"/>
      <c r="D543"/>
      <c r="E543"/>
      <c r="AU543" s="27" t="s">
        <v>8</v>
      </c>
      <c r="AV543" s="27" t="s">
        <v>7</v>
      </c>
    </row>
    <row r="544" spans="1:48" x14ac:dyDescent="0.25">
      <c r="A544" s="7">
        <v>2.343189355345392</v>
      </c>
      <c r="B544"/>
      <c r="C544"/>
      <c r="D544"/>
      <c r="E544"/>
      <c r="AU544" s="27" t="s">
        <v>8</v>
      </c>
      <c r="AV544" s="27" t="s">
        <v>7</v>
      </c>
    </row>
    <row r="545" spans="1:58" x14ac:dyDescent="0.25">
      <c r="A545" s="7">
        <v>2.2972444660248938</v>
      </c>
      <c r="B545"/>
      <c r="C545"/>
      <c r="D545"/>
      <c r="E545"/>
      <c r="AU545" s="27" t="s">
        <v>8</v>
      </c>
      <c r="AV545" s="27" t="s">
        <v>7</v>
      </c>
    </row>
    <row r="546" spans="1:58" x14ac:dyDescent="0.25">
      <c r="A546" s="7">
        <v>2.252200456887151</v>
      </c>
      <c r="B546"/>
      <c r="C546"/>
      <c r="D546"/>
      <c r="E546"/>
      <c r="AU546" s="27" t="s">
        <v>8</v>
      </c>
      <c r="AV546" s="27" t="s">
        <v>7</v>
      </c>
    </row>
    <row r="547" spans="1:58" x14ac:dyDescent="0.25">
      <c r="A547" s="7">
        <v>2.208039663614854</v>
      </c>
      <c r="B547"/>
      <c r="C547"/>
      <c r="D547"/>
      <c r="E547"/>
      <c r="AU547" s="27" t="s">
        <v>8</v>
      </c>
      <c r="AV547" s="27" t="s">
        <v>7</v>
      </c>
    </row>
    <row r="548" spans="1:58" x14ac:dyDescent="0.25">
      <c r="A548" s="7">
        <v>2.1647447682498568</v>
      </c>
      <c r="B548"/>
      <c r="C548"/>
      <c r="D548"/>
      <c r="E548"/>
      <c r="AU548" s="27" t="s">
        <v>8</v>
      </c>
      <c r="AV548" s="27" t="s">
        <v>7</v>
      </c>
    </row>
    <row r="549" spans="1:58" x14ac:dyDescent="0.25">
      <c r="A549" s="7">
        <v>2.1222987924018204</v>
      </c>
      <c r="B549"/>
      <c r="C549"/>
      <c r="D549"/>
      <c r="E549"/>
      <c r="AU549" s="27" t="s">
        <v>8</v>
      </c>
      <c r="AV549" s="27" t="s">
        <v>7</v>
      </c>
    </row>
    <row r="550" spans="1:58" x14ac:dyDescent="0.25">
      <c r="A550" s="7">
        <v>2.0806850905900198</v>
      </c>
      <c r="B550"/>
      <c r="C550"/>
      <c r="D550"/>
      <c r="E550"/>
      <c r="AU550" s="27" t="s">
        <v>8</v>
      </c>
      <c r="AV550" s="27" t="s">
        <v>7</v>
      </c>
    </row>
    <row r="551" spans="1:58" x14ac:dyDescent="0.25">
      <c r="A551" s="7">
        <v>2.0398873437157055</v>
      </c>
      <c r="B551"/>
      <c r="C551"/>
      <c r="D551"/>
      <c r="E551"/>
      <c r="AU551" s="27" t="s">
        <v>8</v>
      </c>
      <c r="AV551" s="27" t="s">
        <v>7</v>
      </c>
    </row>
    <row r="552" spans="1:58" x14ac:dyDescent="0.25">
      <c r="A552" s="7">
        <v>1.9998895526624565</v>
      </c>
      <c r="B552"/>
      <c r="C552"/>
      <c r="D552"/>
      <c r="E552"/>
      <c r="AU552" s="27" t="s">
        <v>8</v>
      </c>
      <c r="AV552" s="27" t="s">
        <v>7</v>
      </c>
    </row>
    <row r="553" spans="1:58" x14ac:dyDescent="0.25">
      <c r="A553" s="7">
        <v>1.9606760320220162</v>
      </c>
      <c r="B553"/>
      <c r="C553"/>
      <c r="D553"/>
      <c r="E553"/>
      <c r="AA553" s="27" t="s">
        <v>8</v>
      </c>
      <c r="AC553" s="27" t="s">
        <v>8</v>
      </c>
      <c r="AU553" s="27" t="s">
        <v>8</v>
      </c>
      <c r="AV553" s="27" t="s">
        <v>7</v>
      </c>
    </row>
    <row r="554" spans="1:58" x14ac:dyDescent="0.25">
      <c r="A554" s="7">
        <v>1.9222314039431532</v>
      </c>
      <c r="B554"/>
      <c r="C554"/>
      <c r="D554"/>
      <c r="E554"/>
      <c r="Y554" s="27" t="s">
        <v>8</v>
      </c>
      <c r="AA554" s="27" t="s">
        <v>8</v>
      </c>
      <c r="AB554" s="27" t="s">
        <v>7</v>
      </c>
      <c r="AC554" s="27" t="s">
        <v>8</v>
      </c>
      <c r="AD554" s="27" t="s">
        <v>7</v>
      </c>
      <c r="AU554" s="27" t="s">
        <v>8</v>
      </c>
      <c r="AV554" s="27" t="s">
        <v>7</v>
      </c>
    </row>
    <row r="555" spans="1:58" x14ac:dyDescent="0.25">
      <c r="A555" s="7">
        <v>1.8845405921011305</v>
      </c>
      <c r="B555"/>
      <c r="C555"/>
      <c r="D555"/>
      <c r="E555"/>
      <c r="Y555" s="27" t="s">
        <v>8</v>
      </c>
      <c r="Z555" s="27" t="s">
        <v>7</v>
      </c>
      <c r="AA555" s="27" t="s">
        <v>8</v>
      </c>
      <c r="AB555" s="27" t="s">
        <v>7</v>
      </c>
      <c r="AC555" s="27" t="s">
        <v>8</v>
      </c>
      <c r="AD555" s="27" t="s">
        <v>7</v>
      </c>
      <c r="AU555" s="27" t="s">
        <v>8</v>
      </c>
      <c r="AV555" s="27" t="s">
        <v>7</v>
      </c>
      <c r="BE555" s="27" t="s">
        <v>8</v>
      </c>
    </row>
    <row r="556" spans="1:58" x14ac:dyDescent="0.25">
      <c r="A556" s="7">
        <v>1.8475888157854219</v>
      </c>
      <c r="B556"/>
      <c r="C556"/>
      <c r="D556"/>
      <c r="E556"/>
      <c r="Y556" s="27" t="s">
        <v>8</v>
      </c>
      <c r="Z556" s="27" t="s">
        <v>7</v>
      </c>
      <c r="AA556" s="27" t="s">
        <v>8</v>
      </c>
      <c r="AB556" s="27" t="s">
        <v>7</v>
      </c>
      <c r="AC556" s="27" t="s">
        <v>8</v>
      </c>
      <c r="AD556" s="27" t="s">
        <v>7</v>
      </c>
      <c r="AU556" s="27" t="s">
        <v>8</v>
      </c>
      <c r="AV556" s="27" t="s">
        <v>7</v>
      </c>
      <c r="BE556" s="27" t="s">
        <v>8</v>
      </c>
      <c r="BF556" s="27" t="s">
        <v>7</v>
      </c>
    </row>
    <row r="557" spans="1:58" x14ac:dyDescent="0.25">
      <c r="A557" s="7">
        <v>1.8113615841033548</v>
      </c>
      <c r="B557"/>
      <c r="C557"/>
      <c r="D557"/>
      <c r="E557"/>
      <c r="Y557" s="27" t="s">
        <v>8</v>
      </c>
      <c r="Z557" s="27" t="s">
        <v>7</v>
      </c>
      <c r="AA557" s="27" t="s">
        <v>8</v>
      </c>
      <c r="AB557" s="27" t="s">
        <v>7</v>
      </c>
      <c r="AC557" s="27" t="s">
        <v>8</v>
      </c>
      <c r="AD557" s="27" t="s">
        <v>7</v>
      </c>
      <c r="AU557" s="27" t="s">
        <v>8</v>
      </c>
      <c r="AV557" s="27" t="s">
        <v>7</v>
      </c>
      <c r="BE557" s="27" t="s">
        <v>8</v>
      </c>
      <c r="BF557" s="27" t="s">
        <v>7</v>
      </c>
    </row>
    <row r="558" spans="1:58" x14ac:dyDescent="0.25">
      <c r="A558" s="7">
        <v>1.7758446902974065</v>
      </c>
      <c r="B558"/>
      <c r="C558"/>
      <c r="D558"/>
      <c r="E558"/>
      <c r="Y558" s="27" t="s">
        <v>8</v>
      </c>
      <c r="Z558" s="27" t="s">
        <v>7</v>
      </c>
      <c r="AA558" s="27" t="s">
        <v>8</v>
      </c>
      <c r="AB558" s="27" t="s">
        <v>7</v>
      </c>
      <c r="AC558" s="27" t="s">
        <v>8</v>
      </c>
      <c r="AD558" s="27" t="s">
        <v>7</v>
      </c>
      <c r="AU558" s="27" t="s">
        <v>8</v>
      </c>
      <c r="AV558" s="27" t="s">
        <v>7</v>
      </c>
      <c r="BE558" s="27" t="s">
        <v>8</v>
      </c>
      <c r="BF558" s="27" t="s">
        <v>7</v>
      </c>
    </row>
    <row r="559" spans="1:58" x14ac:dyDescent="0.25">
      <c r="A559" s="7">
        <v>1.7410242061739281</v>
      </c>
      <c r="B559"/>
      <c r="C559"/>
      <c r="D559"/>
      <c r="E559"/>
      <c r="Y559" s="27" t="s">
        <v>8</v>
      </c>
      <c r="Z559" s="27" t="s">
        <v>7</v>
      </c>
      <c r="AA559" s="27" t="s">
        <v>8</v>
      </c>
      <c r="AB559" s="27" t="s">
        <v>7</v>
      </c>
      <c r="AC559" s="27" t="s">
        <v>8</v>
      </c>
      <c r="AD559" s="27" t="s">
        <v>7</v>
      </c>
      <c r="AE559" s="27" t="s">
        <v>8</v>
      </c>
      <c r="AU559" s="27" t="s">
        <v>8</v>
      </c>
      <c r="AV559" s="27" t="s">
        <v>7</v>
      </c>
      <c r="BE559" s="27" t="s">
        <v>8</v>
      </c>
      <c r="BF559" s="27" t="s">
        <v>7</v>
      </c>
    </row>
    <row r="560" spans="1:58" x14ac:dyDescent="0.25">
      <c r="A560" s="7">
        <v>1.7068864766411058</v>
      </c>
      <c r="B560"/>
      <c r="C560"/>
      <c r="D560"/>
      <c r="E560"/>
      <c r="Y560" s="27" t="s">
        <v>8</v>
      </c>
      <c r="Z560" s="27" t="s">
        <v>7</v>
      </c>
      <c r="AA560" s="27" t="s">
        <v>8</v>
      </c>
      <c r="AB560" s="27" t="s">
        <v>7</v>
      </c>
      <c r="AC560" s="27" t="s">
        <v>8</v>
      </c>
      <c r="AD560" s="27" t="s">
        <v>7</v>
      </c>
      <c r="AE560" s="27" t="s">
        <v>8</v>
      </c>
      <c r="AF560" s="27" t="s">
        <v>7</v>
      </c>
      <c r="AU560" s="27" t="s">
        <v>8</v>
      </c>
      <c r="AV560" s="27" t="s">
        <v>7</v>
      </c>
      <c r="BA560" s="27" t="s">
        <v>8</v>
      </c>
      <c r="BE560" s="27" t="s">
        <v>8</v>
      </c>
      <c r="BF560" s="27" t="s">
        <v>7</v>
      </c>
    </row>
    <row r="561" spans="1:92" x14ac:dyDescent="0.25">
      <c r="A561" s="7">
        <v>1.6734181143540252</v>
      </c>
      <c r="B561"/>
      <c r="C561"/>
      <c r="D561"/>
      <c r="E561"/>
      <c r="Y561" s="27" t="s">
        <v>8</v>
      </c>
      <c r="Z561" s="27" t="s">
        <v>7</v>
      </c>
      <c r="AB561" s="27" t="s">
        <v>7</v>
      </c>
      <c r="AC561" s="27" t="s">
        <v>8</v>
      </c>
      <c r="AD561" s="27" t="s">
        <v>7</v>
      </c>
      <c r="AE561" s="27" t="s">
        <v>8</v>
      </c>
      <c r="AF561" s="27" t="s">
        <v>7</v>
      </c>
      <c r="AG561" s="27" t="s">
        <v>8</v>
      </c>
      <c r="AI561" s="27" t="s">
        <v>8</v>
      </c>
      <c r="AU561" s="27" t="s">
        <v>8</v>
      </c>
      <c r="AV561" s="27" t="s">
        <v>7</v>
      </c>
      <c r="AW561" s="27" t="s">
        <v>8</v>
      </c>
      <c r="AY561" s="27" t="s">
        <v>8</v>
      </c>
      <c r="BA561" s="27" t="s">
        <v>8</v>
      </c>
      <c r="BB561" s="27" t="s">
        <v>7</v>
      </c>
      <c r="BE561" s="27" t="s">
        <v>8</v>
      </c>
      <c r="BF561" s="27" t="s">
        <v>7</v>
      </c>
    </row>
    <row r="562" spans="1:92" x14ac:dyDescent="0.25">
      <c r="A562" s="7">
        <v>1.6406059944647307</v>
      </c>
      <c r="B562"/>
      <c r="C562"/>
      <c r="D562"/>
      <c r="E562"/>
      <c r="Y562" s="27" t="s">
        <v>8</v>
      </c>
      <c r="AB562" s="27" t="s">
        <v>7</v>
      </c>
      <c r="AC562" s="27" t="s">
        <v>8</v>
      </c>
      <c r="AD562" s="27" t="s">
        <v>7</v>
      </c>
      <c r="AE562" s="27" t="s">
        <v>8</v>
      </c>
      <c r="AF562" s="27" t="s">
        <v>7</v>
      </c>
      <c r="AG562" s="27" t="s">
        <v>8</v>
      </c>
      <c r="AH562" s="27" t="s">
        <v>7</v>
      </c>
      <c r="AI562" s="27" t="s">
        <v>8</v>
      </c>
      <c r="AJ562" s="27" t="s">
        <v>7</v>
      </c>
      <c r="AU562" s="27" t="s">
        <v>8</v>
      </c>
      <c r="AV562" s="27" t="s">
        <v>7</v>
      </c>
      <c r="AW562" s="27" t="s">
        <v>8</v>
      </c>
      <c r="AX562" s="27" t="s">
        <v>7</v>
      </c>
      <c r="AY562" s="27" t="s">
        <v>8</v>
      </c>
      <c r="AZ562" s="27" t="s">
        <v>7</v>
      </c>
      <c r="BA562" s="27" t="s">
        <v>8</v>
      </c>
      <c r="BB562" s="27" t="s">
        <v>7</v>
      </c>
      <c r="BC562" s="27" t="s">
        <v>8</v>
      </c>
      <c r="BE562" s="27" t="s">
        <v>8</v>
      </c>
      <c r="BF562" s="27" t="s">
        <v>7</v>
      </c>
      <c r="BO562" s="27" t="s">
        <v>8</v>
      </c>
    </row>
    <row r="563" spans="1:92" x14ac:dyDescent="0.25">
      <c r="A563" s="7">
        <v>1.6084372494752261</v>
      </c>
      <c r="B563"/>
      <c r="C563"/>
      <c r="D563"/>
      <c r="E563"/>
      <c r="Y563" s="27" t="s">
        <v>8</v>
      </c>
      <c r="AB563" s="27" t="s">
        <v>7</v>
      </c>
      <c r="AC563" s="27" t="s">
        <v>8</v>
      </c>
      <c r="AD563" s="27" t="s">
        <v>7</v>
      </c>
      <c r="AE563" s="27" t="s">
        <v>8</v>
      </c>
      <c r="AF563" s="27" t="s">
        <v>7</v>
      </c>
      <c r="AG563" s="27" t="s">
        <v>8</v>
      </c>
      <c r="AH563" s="27" t="s">
        <v>7</v>
      </c>
      <c r="AI563" s="27" t="s">
        <v>8</v>
      </c>
      <c r="AJ563" s="27" t="s">
        <v>7</v>
      </c>
      <c r="AU563" s="27" t="s">
        <v>8</v>
      </c>
      <c r="AV563" s="27" t="s">
        <v>7</v>
      </c>
      <c r="AW563" s="27" t="s">
        <v>8</v>
      </c>
      <c r="AX563" s="27" t="s">
        <v>7</v>
      </c>
      <c r="AY563" s="27" t="s">
        <v>8</v>
      </c>
      <c r="AZ563" s="27" t="s">
        <v>7</v>
      </c>
      <c r="BA563" s="27" t="s">
        <v>8</v>
      </c>
      <c r="BB563" s="27" t="s">
        <v>7</v>
      </c>
      <c r="BC563" s="27" t="s">
        <v>8</v>
      </c>
      <c r="BD563" s="27" t="s">
        <v>7</v>
      </c>
      <c r="BE563" s="27" t="s">
        <v>8</v>
      </c>
      <c r="BF563" s="27" t="s">
        <v>7</v>
      </c>
      <c r="BO563" s="27" t="s">
        <v>8</v>
      </c>
      <c r="BP563" s="27" t="s">
        <v>7</v>
      </c>
    </row>
    <row r="564" spans="1:92" x14ac:dyDescent="0.25">
      <c r="A564" s="7">
        <v>1.5768992641913981</v>
      </c>
      <c r="B564"/>
      <c r="C564"/>
      <c r="D564"/>
      <c r="E564"/>
      <c r="Y564" s="27" t="s">
        <v>8</v>
      </c>
      <c r="AB564" s="27" t="s">
        <v>7</v>
      </c>
      <c r="AD564" s="27" t="s">
        <v>7</v>
      </c>
      <c r="AF564" s="27" t="s">
        <v>7</v>
      </c>
      <c r="AG564" s="27" t="s">
        <v>8</v>
      </c>
      <c r="AH564" s="27" t="s">
        <v>7</v>
      </c>
      <c r="AJ564" s="27" t="s">
        <v>7</v>
      </c>
      <c r="AU564" s="27" t="s">
        <v>8</v>
      </c>
      <c r="AV564" s="27" t="s">
        <v>7</v>
      </c>
      <c r="AW564" s="27" t="s">
        <v>8</v>
      </c>
      <c r="AX564" s="27" t="s">
        <v>7</v>
      </c>
      <c r="AY564" s="27" t="s">
        <v>8</v>
      </c>
      <c r="AZ564" s="27" t="s">
        <v>7</v>
      </c>
      <c r="BB564" s="27" t="s">
        <v>7</v>
      </c>
      <c r="BC564" s="27" t="s">
        <v>8</v>
      </c>
      <c r="BD564" s="27" t="s">
        <v>7</v>
      </c>
      <c r="BE564" s="27" t="s">
        <v>8</v>
      </c>
      <c r="BF564" s="27" t="s">
        <v>7</v>
      </c>
      <c r="BG564" s="27" t="s">
        <v>8</v>
      </c>
      <c r="BI564" s="27" t="s">
        <v>8</v>
      </c>
      <c r="BO564" s="27" t="s">
        <v>8</v>
      </c>
      <c r="BP564" s="27" t="s">
        <v>7</v>
      </c>
      <c r="CC564" s="27" t="s">
        <v>8</v>
      </c>
    </row>
    <row r="565" spans="1:92" x14ac:dyDescent="0.25">
      <c r="A565" s="7">
        <v>1.5459796707758806</v>
      </c>
      <c r="B565"/>
      <c r="C565"/>
      <c r="D565"/>
      <c r="E565"/>
      <c r="Y565" s="27" t="s">
        <v>8</v>
      </c>
      <c r="AF565" s="27" t="s">
        <v>7</v>
      </c>
      <c r="AJ565" s="27" t="s">
        <v>7</v>
      </c>
      <c r="AU565" s="27" t="s">
        <v>8</v>
      </c>
      <c r="AV565" s="27" t="s">
        <v>7</v>
      </c>
      <c r="AW565" s="27" t="s">
        <v>8</v>
      </c>
      <c r="AX565" s="27" t="s">
        <v>7</v>
      </c>
      <c r="AY565" s="27" t="s">
        <v>8</v>
      </c>
      <c r="BB565" s="27" t="s">
        <v>7</v>
      </c>
      <c r="BD565" s="27" t="s">
        <v>7</v>
      </c>
      <c r="BE565" s="27" t="s">
        <v>8</v>
      </c>
      <c r="BF565" s="27" t="s">
        <v>7</v>
      </c>
      <c r="BG565" s="27" t="s">
        <v>8</v>
      </c>
      <c r="BH565" s="27" t="s">
        <v>7</v>
      </c>
      <c r="BI565" s="27" t="s">
        <v>8</v>
      </c>
      <c r="BJ565" s="27" t="s">
        <v>7</v>
      </c>
      <c r="BK565" s="27" t="s">
        <v>8</v>
      </c>
      <c r="BO565" s="27" t="s">
        <v>8</v>
      </c>
      <c r="BP565" s="27" t="s">
        <v>7</v>
      </c>
      <c r="CC565" s="27" t="s">
        <v>8</v>
      </c>
      <c r="CD565" s="27" t="s">
        <v>7</v>
      </c>
    </row>
    <row r="566" spans="1:92" x14ac:dyDescent="0.25">
      <c r="A566" s="7">
        <v>1.5156663438979221</v>
      </c>
      <c r="B566"/>
      <c r="C566"/>
      <c r="D566"/>
      <c r="E566"/>
      <c r="Y566" s="27" t="s">
        <v>8</v>
      </c>
      <c r="AJ566" s="27" t="s">
        <v>7</v>
      </c>
      <c r="AU566" s="27" t="s">
        <v>8</v>
      </c>
      <c r="AV566" s="27" t="s">
        <v>7</v>
      </c>
      <c r="AW566" s="27" t="s">
        <v>8</v>
      </c>
      <c r="AX566" s="27" t="s">
        <v>7</v>
      </c>
      <c r="BD566" s="27" t="s">
        <v>7</v>
      </c>
      <c r="BE566" s="27" t="s">
        <v>8</v>
      </c>
      <c r="BF566" s="27" t="s">
        <v>7</v>
      </c>
      <c r="BG566" s="27" t="s">
        <v>8</v>
      </c>
      <c r="BH566" s="27" t="s">
        <v>7</v>
      </c>
      <c r="BI566" s="27" t="s">
        <v>8</v>
      </c>
      <c r="BJ566" s="27" t="s">
        <v>7</v>
      </c>
      <c r="BK566" s="27" t="s">
        <v>8</v>
      </c>
      <c r="BL566" s="27" t="s">
        <v>7</v>
      </c>
      <c r="BO566" s="27" t="s">
        <v>8</v>
      </c>
      <c r="BP566" s="27" t="s">
        <v>7</v>
      </c>
      <c r="CC566" s="27" t="s">
        <v>8</v>
      </c>
      <c r="CD566" s="27" t="s">
        <v>7</v>
      </c>
    </row>
    <row r="567" spans="1:92" x14ac:dyDescent="0.25">
      <c r="A567" s="7">
        <v>1.4859473959783549</v>
      </c>
      <c r="B567"/>
      <c r="C567"/>
      <c r="D567"/>
      <c r="E567"/>
      <c r="Y567" s="27" t="s">
        <v>8</v>
      </c>
      <c r="AJ567" s="27" t="s">
        <v>7</v>
      </c>
      <c r="AU567" s="27" t="s">
        <v>8</v>
      </c>
      <c r="AV567" s="27" t="s">
        <v>7</v>
      </c>
      <c r="BD567" s="27" t="s">
        <v>7</v>
      </c>
      <c r="BE567" s="27" t="s">
        <v>8</v>
      </c>
      <c r="BF567" s="27" t="s">
        <v>7</v>
      </c>
      <c r="BG567" s="27" t="s">
        <v>8</v>
      </c>
      <c r="BH567" s="27" t="s">
        <v>7</v>
      </c>
      <c r="BI567" s="27" t="s">
        <v>8</v>
      </c>
      <c r="BJ567" s="27" t="s">
        <v>7</v>
      </c>
      <c r="BK567" s="27" t="s">
        <v>8</v>
      </c>
      <c r="BL567" s="27" t="s">
        <v>7</v>
      </c>
      <c r="BO567" s="27" t="s">
        <v>8</v>
      </c>
      <c r="BP567" s="27" t="s">
        <v>7</v>
      </c>
      <c r="CC567" s="27" t="s">
        <v>8</v>
      </c>
      <c r="CD567" s="27" t="s">
        <v>7</v>
      </c>
      <c r="CG567" s="27" t="s">
        <v>8</v>
      </c>
      <c r="CI567" s="27" t="s">
        <v>8</v>
      </c>
    </row>
    <row r="568" spans="1:92" x14ac:dyDescent="0.25">
      <c r="A568" s="7">
        <v>1.4568111725277988</v>
      </c>
      <c r="B568"/>
      <c r="C568"/>
      <c r="D568"/>
      <c r="E568"/>
      <c r="Y568" s="27" t="s">
        <v>8</v>
      </c>
      <c r="AJ568" s="27" t="s">
        <v>7</v>
      </c>
      <c r="AK568" s="27" t="s">
        <v>8</v>
      </c>
      <c r="AU568" s="27" t="s">
        <v>8</v>
      </c>
      <c r="BD568" s="27" t="s">
        <v>7</v>
      </c>
      <c r="BE568" s="27" t="s">
        <v>8</v>
      </c>
      <c r="BF568" s="27" t="s">
        <v>7</v>
      </c>
      <c r="BG568" s="27" t="s">
        <v>8</v>
      </c>
      <c r="BH568" s="27" t="s">
        <v>7</v>
      </c>
      <c r="BI568" s="27" t="s">
        <v>8</v>
      </c>
      <c r="BJ568" s="27" t="s">
        <v>7</v>
      </c>
      <c r="BL568" s="27" t="s">
        <v>7</v>
      </c>
      <c r="BO568" s="27" t="s">
        <v>8</v>
      </c>
      <c r="BP568" s="27" t="s">
        <v>7</v>
      </c>
      <c r="CC568" s="27" t="s">
        <v>8</v>
      </c>
      <c r="CD568" s="27" t="s">
        <v>7</v>
      </c>
      <c r="CG568" s="27" t="s">
        <v>8</v>
      </c>
      <c r="CH568" s="27" t="s">
        <v>7</v>
      </c>
      <c r="CI568" s="27" t="s">
        <v>8</v>
      </c>
      <c r="CJ568" s="27" t="s">
        <v>7</v>
      </c>
    </row>
    <row r="569" spans="1:92" x14ac:dyDescent="0.25">
      <c r="A569" s="7">
        <v>1.4282462475762734</v>
      </c>
      <c r="B569"/>
      <c r="C569"/>
      <c r="D569"/>
      <c r="E569"/>
      <c r="Y569" s="27" t="s">
        <v>8</v>
      </c>
      <c r="AJ569" s="27" t="s">
        <v>7</v>
      </c>
      <c r="AK569" s="27" t="s">
        <v>8</v>
      </c>
      <c r="AL569" s="27" t="s">
        <v>7</v>
      </c>
      <c r="AU569" s="27" t="s">
        <v>8</v>
      </c>
      <c r="BD569" s="27" t="s">
        <v>7</v>
      </c>
      <c r="BE569" s="27" t="s">
        <v>8</v>
      </c>
      <c r="BF569" s="27" t="s">
        <v>7</v>
      </c>
      <c r="BH569" s="27" t="s">
        <v>7</v>
      </c>
      <c r="BL569" s="27" t="s">
        <v>7</v>
      </c>
      <c r="BO569" s="27" t="s">
        <v>8</v>
      </c>
      <c r="BP569" s="27" t="s">
        <v>7</v>
      </c>
      <c r="BS569" s="27" t="s">
        <v>8</v>
      </c>
      <c r="CC569" s="27" t="s">
        <v>8</v>
      </c>
      <c r="CD569" s="27" t="s">
        <v>7</v>
      </c>
      <c r="CG569" s="27" t="s">
        <v>8</v>
      </c>
      <c r="CH569" s="27" t="s">
        <v>7</v>
      </c>
      <c r="CI569" s="27" t="s">
        <v>8</v>
      </c>
      <c r="CJ569" s="27" t="s">
        <v>7</v>
      </c>
    </row>
    <row r="570" spans="1:92" x14ac:dyDescent="0.25">
      <c r="A570" s="7">
        <v>1.4002414191924248</v>
      </c>
      <c r="B570"/>
      <c r="C570"/>
      <c r="D570"/>
      <c r="E570"/>
      <c r="Y570" s="27" t="s">
        <v>8</v>
      </c>
      <c r="AJ570" s="27" t="s">
        <v>7</v>
      </c>
      <c r="AK570" s="27" t="s">
        <v>8</v>
      </c>
      <c r="AL570" s="27" t="s">
        <v>7</v>
      </c>
      <c r="AM570" s="27" t="s">
        <v>8</v>
      </c>
      <c r="AU570" s="27" t="s">
        <v>8</v>
      </c>
      <c r="BD570" s="27" t="s">
        <v>7</v>
      </c>
      <c r="BE570" s="27" t="s">
        <v>8</v>
      </c>
      <c r="BL570" s="27" t="s">
        <v>7</v>
      </c>
      <c r="BM570" s="27" t="s">
        <v>8</v>
      </c>
      <c r="BO570" s="27" t="s">
        <v>8</v>
      </c>
      <c r="BP570" s="27" t="s">
        <v>7</v>
      </c>
      <c r="BS570" s="27" t="s">
        <v>8</v>
      </c>
      <c r="BT570" s="27" t="s">
        <v>7</v>
      </c>
      <c r="CA570" s="27" t="s">
        <v>8</v>
      </c>
      <c r="CC570" s="27" t="s">
        <v>8</v>
      </c>
      <c r="CD570" s="27" t="s">
        <v>7</v>
      </c>
      <c r="CG570" s="27" t="s">
        <v>8</v>
      </c>
      <c r="CH570" s="27" t="s">
        <v>7</v>
      </c>
      <c r="CI570" s="27" t="s">
        <v>8</v>
      </c>
      <c r="CJ570" s="27" t="s">
        <v>7</v>
      </c>
    </row>
    <row r="571" spans="1:92" x14ac:dyDescent="0.25">
      <c r="A571" s="7">
        <v>1.3727857050906125</v>
      </c>
      <c r="B571"/>
      <c r="C571"/>
      <c r="D571"/>
      <c r="E571"/>
      <c r="Y571" s="27" t="s">
        <v>8</v>
      </c>
      <c r="AJ571" s="27" t="s">
        <v>7</v>
      </c>
      <c r="AK571" s="27" t="s">
        <v>8</v>
      </c>
      <c r="AL571" s="27" t="s">
        <v>7</v>
      </c>
      <c r="AM571" s="27" t="s">
        <v>8</v>
      </c>
      <c r="AN571" s="27" t="s">
        <v>7</v>
      </c>
      <c r="AU571" s="27" t="s">
        <v>8</v>
      </c>
      <c r="BD571" s="27" t="s">
        <v>7</v>
      </c>
      <c r="BL571" s="27" t="s">
        <v>7</v>
      </c>
      <c r="BM571" s="27" t="s">
        <v>8</v>
      </c>
      <c r="BN571" s="27" t="s">
        <v>7</v>
      </c>
      <c r="BO571" s="27" t="s">
        <v>8</v>
      </c>
      <c r="BP571" s="27" t="s">
        <v>7</v>
      </c>
      <c r="BS571" s="27" t="s">
        <v>8</v>
      </c>
      <c r="BT571" s="27" t="s">
        <v>7</v>
      </c>
      <c r="BU571" s="27" t="s">
        <v>8</v>
      </c>
      <c r="CA571" s="27" t="s">
        <v>8</v>
      </c>
      <c r="CB571" s="27" t="s">
        <v>7</v>
      </c>
      <c r="CC571" s="27" t="s">
        <v>8</v>
      </c>
      <c r="CD571" s="27" t="s">
        <v>7</v>
      </c>
      <c r="CE571" s="27" t="s">
        <v>8</v>
      </c>
      <c r="CG571" s="27" t="s">
        <v>8</v>
      </c>
      <c r="CH571" s="27" t="s">
        <v>7</v>
      </c>
      <c r="CI571" s="27" t="s">
        <v>8</v>
      </c>
      <c r="CJ571" s="27" t="s">
        <v>7</v>
      </c>
    </row>
    <row r="572" spans="1:92" x14ac:dyDescent="0.25">
      <c r="A572" s="7">
        <v>1.3458683383241299</v>
      </c>
      <c r="B572"/>
      <c r="C572"/>
      <c r="D572"/>
      <c r="E572"/>
      <c r="Y572" s="27" t="s">
        <v>8</v>
      </c>
      <c r="AJ572" s="27" t="s">
        <v>7</v>
      </c>
      <c r="AK572" s="27" t="s">
        <v>8</v>
      </c>
      <c r="AL572" s="27" t="s">
        <v>7</v>
      </c>
      <c r="AM572" s="27" t="s">
        <v>8</v>
      </c>
      <c r="AN572" s="27" t="s">
        <v>7</v>
      </c>
      <c r="AU572" s="27" t="s">
        <v>8</v>
      </c>
      <c r="BL572" s="27" t="s">
        <v>7</v>
      </c>
      <c r="BM572" s="27" t="s">
        <v>8</v>
      </c>
      <c r="BN572" s="27" t="s">
        <v>7</v>
      </c>
      <c r="BO572" s="27" t="s">
        <v>8</v>
      </c>
      <c r="BP572" s="27" t="s">
        <v>7</v>
      </c>
      <c r="BQ572" s="27" t="s">
        <v>8</v>
      </c>
      <c r="BS572" s="27" t="s">
        <v>8</v>
      </c>
      <c r="BT572" s="27" t="s">
        <v>7</v>
      </c>
      <c r="BU572" s="27" t="s">
        <v>8</v>
      </c>
      <c r="BV572" s="27" t="s">
        <v>7</v>
      </c>
      <c r="CA572" s="27" t="s">
        <v>8</v>
      </c>
      <c r="CB572" s="27" t="s">
        <v>7</v>
      </c>
      <c r="CC572" s="27" t="s">
        <v>8</v>
      </c>
      <c r="CD572" s="27" t="s">
        <v>7</v>
      </c>
      <c r="CE572" s="27" t="s">
        <v>8</v>
      </c>
      <c r="CF572" s="27" t="s">
        <v>7</v>
      </c>
      <c r="CG572" s="27" t="s">
        <v>8</v>
      </c>
      <c r="CH572" s="27" t="s">
        <v>7</v>
      </c>
      <c r="CJ572" s="27" t="s">
        <v>7</v>
      </c>
      <c r="CM572" s="27" t="s">
        <v>8</v>
      </c>
    </row>
    <row r="573" spans="1:92" x14ac:dyDescent="0.25">
      <c r="A573" s="7">
        <v>1.3194787630628724</v>
      </c>
      <c r="B573"/>
      <c r="C573"/>
      <c r="D573"/>
      <c r="E573"/>
      <c r="Y573" s="27" t="s">
        <v>8</v>
      </c>
      <c r="AJ573" s="27" t="s">
        <v>7</v>
      </c>
      <c r="AK573" s="27" t="s">
        <v>8</v>
      </c>
      <c r="AL573" s="27" t="s">
        <v>7</v>
      </c>
      <c r="AN573" s="27" t="s">
        <v>7</v>
      </c>
      <c r="AU573" s="27" t="s">
        <v>8</v>
      </c>
      <c r="BL573" s="27" t="s">
        <v>7</v>
      </c>
      <c r="BM573" s="27" t="s">
        <v>8</v>
      </c>
      <c r="BN573" s="27" t="s">
        <v>7</v>
      </c>
      <c r="BO573" s="27" t="s">
        <v>8</v>
      </c>
      <c r="BP573" s="27" t="s">
        <v>7</v>
      </c>
      <c r="BQ573" s="27" t="s">
        <v>8</v>
      </c>
      <c r="BR573" s="27" t="s">
        <v>7</v>
      </c>
      <c r="BS573" s="27" t="s">
        <v>8</v>
      </c>
      <c r="BT573" s="27" t="s">
        <v>7</v>
      </c>
      <c r="BU573" s="27" t="s">
        <v>8</v>
      </c>
      <c r="BV573" s="27" t="s">
        <v>7</v>
      </c>
      <c r="CA573" s="27" t="s">
        <v>8</v>
      </c>
      <c r="CB573" s="27" t="s">
        <v>7</v>
      </c>
      <c r="CC573" s="27" t="s">
        <v>8</v>
      </c>
      <c r="CD573" s="27" t="s">
        <v>7</v>
      </c>
      <c r="CE573" s="27" t="s">
        <v>8</v>
      </c>
      <c r="CF573" s="27" t="s">
        <v>7</v>
      </c>
      <c r="CG573" s="27" t="s">
        <v>8</v>
      </c>
      <c r="CJ573" s="27" t="s">
        <v>7</v>
      </c>
      <c r="CM573" s="27" t="s">
        <v>8</v>
      </c>
      <c r="CN573" s="27" t="s">
        <v>7</v>
      </c>
    </row>
    <row r="574" spans="1:92" x14ac:dyDescent="0.25">
      <c r="A574" s="7">
        <v>1.2936066304537963</v>
      </c>
      <c r="B574"/>
      <c r="C574"/>
      <c r="D574"/>
      <c r="E574"/>
      <c r="W574" s="27" t="s">
        <v>8</v>
      </c>
      <c r="Y574" s="27" t="s">
        <v>8</v>
      </c>
      <c r="AJ574" s="27" t="s">
        <v>7</v>
      </c>
      <c r="AN574" s="27" t="s">
        <v>7</v>
      </c>
      <c r="AU574" s="27" t="s">
        <v>8</v>
      </c>
      <c r="BL574" s="27" t="s">
        <v>7</v>
      </c>
      <c r="BN574" s="27" t="s">
        <v>7</v>
      </c>
      <c r="BO574" s="27" t="s">
        <v>8</v>
      </c>
      <c r="BP574" s="27" t="s">
        <v>7</v>
      </c>
      <c r="BQ574" s="27" t="s">
        <v>8</v>
      </c>
      <c r="BR574" s="27" t="s">
        <v>7</v>
      </c>
      <c r="BS574" s="27" t="s">
        <v>8</v>
      </c>
      <c r="BT574" s="27" t="s">
        <v>7</v>
      </c>
      <c r="BV574" s="27" t="s">
        <v>7</v>
      </c>
      <c r="BW574" s="27" t="s">
        <v>8</v>
      </c>
      <c r="BY574" s="27" t="s">
        <v>8</v>
      </c>
      <c r="CA574" s="27" t="s">
        <v>8</v>
      </c>
      <c r="CB574" s="27" t="s">
        <v>7</v>
      </c>
      <c r="CC574" s="27" t="s">
        <v>8</v>
      </c>
      <c r="CD574" s="27" t="s">
        <v>7</v>
      </c>
      <c r="CE574" s="27" t="s">
        <v>8</v>
      </c>
      <c r="CF574" s="27" t="s">
        <v>7</v>
      </c>
      <c r="CJ574" s="27" t="s">
        <v>7</v>
      </c>
      <c r="CM574" s="27" t="s">
        <v>8</v>
      </c>
      <c r="CN574" s="27" t="s">
        <v>7</v>
      </c>
    </row>
    <row r="575" spans="1:92" x14ac:dyDescent="0.25">
      <c r="A575" s="7">
        <v>1.2682417945625455</v>
      </c>
      <c r="B575"/>
      <c r="C575"/>
      <c r="D575"/>
      <c r="E575"/>
      <c r="W575" s="27" t="s">
        <v>8</v>
      </c>
      <c r="X575" s="27" t="s">
        <v>7</v>
      </c>
      <c r="Y575" s="27" t="s">
        <v>8</v>
      </c>
      <c r="AN575" s="27" t="s">
        <v>7</v>
      </c>
      <c r="AU575" s="27" t="s">
        <v>8</v>
      </c>
      <c r="BN575" s="27" t="s">
        <v>7</v>
      </c>
      <c r="BP575" s="27" t="s">
        <v>7</v>
      </c>
      <c r="BQ575" s="27" t="s">
        <v>8</v>
      </c>
      <c r="BR575" s="27" t="s">
        <v>7</v>
      </c>
      <c r="BS575" s="27" t="s">
        <v>8</v>
      </c>
      <c r="BV575" s="27" t="s">
        <v>7</v>
      </c>
      <c r="BW575" s="27" t="s">
        <v>8</v>
      </c>
      <c r="BX575" s="27" t="s">
        <v>7</v>
      </c>
      <c r="BY575" s="27" t="s">
        <v>8</v>
      </c>
      <c r="BZ575" s="27" t="s">
        <v>7</v>
      </c>
      <c r="CA575" s="27" t="s">
        <v>8</v>
      </c>
      <c r="CB575" s="27" t="s">
        <v>7</v>
      </c>
      <c r="CC575" s="27" t="s">
        <v>8</v>
      </c>
      <c r="CD575" s="27" t="s">
        <v>7</v>
      </c>
      <c r="CJ575" s="27" t="s">
        <v>7</v>
      </c>
      <c r="CM575" s="27" t="s">
        <v>8</v>
      </c>
      <c r="CN575" s="27" t="s">
        <v>7</v>
      </c>
    </row>
    <row r="576" spans="1:92" x14ac:dyDescent="0.25">
      <c r="A576" s="7">
        <v>1.2433743083946525</v>
      </c>
      <c r="B576"/>
      <c r="C576"/>
      <c r="D576"/>
      <c r="E576"/>
      <c r="W576" s="27" t="s">
        <v>8</v>
      </c>
      <c r="X576" s="27" t="s">
        <v>7</v>
      </c>
      <c r="Y576" s="27" t="s">
        <v>8</v>
      </c>
      <c r="AN576" s="27" t="s">
        <v>7</v>
      </c>
      <c r="AU576" s="27" t="s">
        <v>8</v>
      </c>
      <c r="BP576" s="27" t="s">
        <v>7</v>
      </c>
      <c r="BQ576" s="27" t="s">
        <v>8</v>
      </c>
      <c r="BR576" s="27" t="s">
        <v>7</v>
      </c>
      <c r="BS576" s="27" t="s">
        <v>8</v>
      </c>
      <c r="BV576" s="27" t="s">
        <v>7</v>
      </c>
      <c r="BW576" s="27" t="s">
        <v>8</v>
      </c>
      <c r="BX576" s="27" t="s">
        <v>7</v>
      </c>
      <c r="BY576" s="27" t="s">
        <v>8</v>
      </c>
      <c r="BZ576" s="27" t="s">
        <v>7</v>
      </c>
      <c r="CA576" s="27" t="s">
        <v>8</v>
      </c>
      <c r="CB576" s="27" t="s">
        <v>7</v>
      </c>
      <c r="CJ576" s="27" t="s">
        <v>7</v>
      </c>
      <c r="CK576" s="27" t="s">
        <v>8</v>
      </c>
      <c r="CM576" s="27" t="s">
        <v>8</v>
      </c>
      <c r="CN576" s="27" t="s">
        <v>7</v>
      </c>
    </row>
    <row r="577" spans="1:92" x14ac:dyDescent="0.25">
      <c r="A577" s="7">
        <v>1.2189944199947573</v>
      </c>
      <c r="B577"/>
      <c r="C577"/>
      <c r="D577"/>
      <c r="E577"/>
      <c r="Q577" s="27" t="s">
        <v>8</v>
      </c>
      <c r="W577" s="27" t="s">
        <v>8</v>
      </c>
      <c r="X577" s="27" t="s">
        <v>7</v>
      </c>
      <c r="Y577" s="27" t="s">
        <v>8</v>
      </c>
      <c r="AN577" s="27" t="s">
        <v>7</v>
      </c>
      <c r="AU577" s="27" t="s">
        <v>8</v>
      </c>
      <c r="BP577" s="27" t="s">
        <v>7</v>
      </c>
      <c r="BQ577" s="27" t="s">
        <v>8</v>
      </c>
      <c r="BR577" s="27" t="s">
        <v>7</v>
      </c>
      <c r="BS577" s="27" t="s">
        <v>8</v>
      </c>
      <c r="BV577" s="27" t="s">
        <v>7</v>
      </c>
      <c r="BW577" s="27" t="s">
        <v>8</v>
      </c>
      <c r="BX577" s="27" t="s">
        <v>7</v>
      </c>
      <c r="BZ577" s="27" t="s">
        <v>7</v>
      </c>
      <c r="CA577" s="27" t="s">
        <v>8</v>
      </c>
      <c r="CJ577" s="27" t="s">
        <v>7</v>
      </c>
      <c r="CK577" s="27" t="s">
        <v>8</v>
      </c>
      <c r="CL577" s="27" t="s">
        <v>7</v>
      </c>
      <c r="CM577" s="27" t="s">
        <v>8</v>
      </c>
      <c r="CN577" s="27" t="s">
        <v>7</v>
      </c>
    </row>
    <row r="578" spans="1:92" x14ac:dyDescent="0.25">
      <c r="A578" s="7">
        <v>1.1950925686223111</v>
      </c>
      <c r="B578"/>
      <c r="C578"/>
      <c r="D578"/>
      <c r="E578"/>
      <c r="Q578" s="27" t="s">
        <v>8</v>
      </c>
      <c r="R578" s="27" t="s">
        <v>7</v>
      </c>
      <c r="W578" s="27" t="s">
        <v>8</v>
      </c>
      <c r="X578" s="27" t="s">
        <v>7</v>
      </c>
      <c r="Y578" s="27" t="s">
        <v>8</v>
      </c>
      <c r="AN578" s="27" t="s">
        <v>7</v>
      </c>
      <c r="AU578" s="27" t="s">
        <v>8</v>
      </c>
      <c r="BP578" s="27" t="s">
        <v>7</v>
      </c>
      <c r="BQ578" s="27" t="s">
        <v>8</v>
      </c>
      <c r="BR578" s="27" t="s">
        <v>7</v>
      </c>
      <c r="BS578" s="27" t="s">
        <v>8</v>
      </c>
      <c r="BV578" s="27" t="s">
        <v>7</v>
      </c>
      <c r="BW578" s="27" t="s">
        <v>8</v>
      </c>
      <c r="BZ578" s="27" t="s">
        <v>7</v>
      </c>
      <c r="CJ578" s="27" t="s">
        <v>7</v>
      </c>
      <c r="CK578" s="27" t="s">
        <v>8</v>
      </c>
      <c r="CL578" s="27" t="s">
        <v>7</v>
      </c>
      <c r="CM578" s="27" t="s">
        <v>8</v>
      </c>
      <c r="CN578" s="27" t="s">
        <v>7</v>
      </c>
    </row>
    <row r="579" spans="1:92" x14ac:dyDescent="0.25">
      <c r="A579" s="7">
        <v>1.1716593810022657</v>
      </c>
      <c r="B579"/>
      <c r="C579"/>
      <c r="D579"/>
      <c r="E579"/>
      <c r="Q579" s="27" t="s">
        <v>8</v>
      </c>
      <c r="R579" s="27" t="s">
        <v>7</v>
      </c>
      <c r="W579" s="27" t="s">
        <v>8</v>
      </c>
      <c r="X579" s="27" t="s">
        <v>7</v>
      </c>
      <c r="AN579" s="27" t="s">
        <v>7</v>
      </c>
      <c r="AO579" s="27" t="s">
        <v>8</v>
      </c>
      <c r="AU579" s="27" t="s">
        <v>8</v>
      </c>
      <c r="BP579" s="27" t="s">
        <v>7</v>
      </c>
      <c r="BQ579" s="27" t="s">
        <v>8</v>
      </c>
      <c r="BR579" s="27" t="s">
        <v>7</v>
      </c>
      <c r="BV579" s="27" t="s">
        <v>7</v>
      </c>
      <c r="BW579" s="27" t="s">
        <v>8</v>
      </c>
      <c r="CJ579" s="27" t="s">
        <v>7</v>
      </c>
      <c r="CK579" s="27" t="s">
        <v>8</v>
      </c>
      <c r="CL579" s="27" t="s">
        <v>7</v>
      </c>
      <c r="CM579" s="27" t="s">
        <v>8</v>
      </c>
    </row>
    <row r="580" spans="1:92" x14ac:dyDescent="0.25">
      <c r="A580" s="7">
        <v>1.14868566764928</v>
      </c>
      <c r="B580"/>
      <c r="C580"/>
      <c r="D580"/>
      <c r="E580"/>
      <c r="Q580" s="27" t="s">
        <v>8</v>
      </c>
      <c r="R580" s="27" t="s">
        <v>7</v>
      </c>
      <c r="W580" s="27" t="s">
        <v>8</v>
      </c>
      <c r="AN580" s="27" t="s">
        <v>7</v>
      </c>
      <c r="AO580" s="27" t="s">
        <v>8</v>
      </c>
      <c r="AP580" s="27" t="s">
        <v>7</v>
      </c>
      <c r="AU580" s="27" t="s">
        <v>8</v>
      </c>
      <c r="BP580" s="27" t="s">
        <v>7</v>
      </c>
      <c r="BQ580" s="27" t="s">
        <v>8</v>
      </c>
      <c r="BV580" s="27" t="s">
        <v>7</v>
      </c>
      <c r="CJ580" s="27" t="s">
        <v>7</v>
      </c>
      <c r="CK580" s="27" t="s">
        <v>8</v>
      </c>
      <c r="CL580" s="27" t="s">
        <v>7</v>
      </c>
      <c r="CM580" s="27" t="s">
        <v>8</v>
      </c>
    </row>
    <row r="581" spans="1:92" x14ac:dyDescent="0.25">
      <c r="A581" s="7">
        <v>1.1261624192640001</v>
      </c>
      <c r="B581"/>
      <c r="C581"/>
      <c r="D581"/>
      <c r="E581"/>
      <c r="Q581" s="27" t="s">
        <v>8</v>
      </c>
      <c r="R581" s="27" t="s">
        <v>7</v>
      </c>
      <c r="W581" s="27" t="s">
        <v>8</v>
      </c>
      <c r="AN581" s="27" t="s">
        <v>7</v>
      </c>
      <c r="AO581" s="27" t="s">
        <v>8</v>
      </c>
      <c r="AP581" s="27" t="s">
        <v>7</v>
      </c>
      <c r="AQ581" s="27" t="s">
        <v>8</v>
      </c>
      <c r="AU581" s="27" t="s">
        <v>8</v>
      </c>
      <c r="BP581" s="27" t="s">
        <v>7</v>
      </c>
      <c r="BQ581" s="27" t="s">
        <v>8</v>
      </c>
      <c r="CJ581" s="27" t="s">
        <v>7</v>
      </c>
      <c r="CK581" s="27" t="s">
        <v>8</v>
      </c>
      <c r="CL581" s="27" t="s">
        <v>7</v>
      </c>
      <c r="CM581" s="27" t="s">
        <v>8</v>
      </c>
    </row>
    <row r="582" spans="1:92" x14ac:dyDescent="0.25">
      <c r="A582" s="7">
        <v>1.1040808032</v>
      </c>
      <c r="B582"/>
      <c r="C582"/>
      <c r="D582"/>
      <c r="E582"/>
      <c r="Q582" s="27" t="s">
        <v>8</v>
      </c>
      <c r="R582" s="27" t="s">
        <v>7</v>
      </c>
      <c r="W582" s="27" t="s">
        <v>8</v>
      </c>
      <c r="AN582" s="27" t="s">
        <v>7</v>
      </c>
      <c r="AO582" s="27" t="s">
        <v>8</v>
      </c>
      <c r="AP582" s="27" t="s">
        <v>7</v>
      </c>
      <c r="AQ582" s="27" t="s">
        <v>8</v>
      </c>
      <c r="AR582" s="27" t="s">
        <v>7</v>
      </c>
      <c r="AS582" s="27" t="s">
        <v>8</v>
      </c>
      <c r="AU582" s="27" t="s">
        <v>8</v>
      </c>
      <c r="BP582" s="27" t="s">
        <v>7</v>
      </c>
      <c r="BQ582" s="27" t="s">
        <v>8</v>
      </c>
      <c r="CJ582" s="27" t="s">
        <v>7</v>
      </c>
      <c r="CK582" s="27" t="s">
        <v>8</v>
      </c>
      <c r="CL582" s="27" t="s">
        <v>7</v>
      </c>
    </row>
    <row r="583" spans="1:92" x14ac:dyDescent="0.25">
      <c r="A583" s="7">
        <v>1.08243216</v>
      </c>
      <c r="B583"/>
      <c r="C583"/>
      <c r="D583"/>
      <c r="E583"/>
      <c r="Q583" s="27" t="s">
        <v>8</v>
      </c>
      <c r="R583" s="27" t="s">
        <v>7</v>
      </c>
      <c r="S583" s="27" t="s">
        <v>8</v>
      </c>
      <c r="U583" s="27" t="s">
        <v>8</v>
      </c>
      <c r="W583" s="27" t="s">
        <v>8</v>
      </c>
      <c r="AN583" s="27" t="s">
        <v>7</v>
      </c>
      <c r="AO583" s="27" t="s">
        <v>8</v>
      </c>
      <c r="AP583" s="27" t="s">
        <v>7</v>
      </c>
      <c r="AQ583" s="27" t="s">
        <v>8</v>
      </c>
      <c r="AR583" s="27" t="s">
        <v>7</v>
      </c>
      <c r="AS583" s="27" t="s">
        <v>8</v>
      </c>
      <c r="AT583" s="27" t="s">
        <v>7</v>
      </c>
      <c r="AU583" s="27" t="s">
        <v>8</v>
      </c>
      <c r="BP583" s="27" t="s">
        <v>7</v>
      </c>
      <c r="BQ583" s="27" t="s">
        <v>8</v>
      </c>
      <c r="CJ583" s="27" t="s">
        <v>7</v>
      </c>
    </row>
    <row r="584" spans="1:92" x14ac:dyDescent="0.25">
      <c r="A584" s="7">
        <v>1.0612079999999999</v>
      </c>
      <c r="B584"/>
      <c r="C584"/>
      <c r="D584"/>
      <c r="E584" t="s">
        <v>8</v>
      </c>
      <c r="G584" s="27" t="s">
        <v>8</v>
      </c>
      <c r="K584" s="27" t="s">
        <v>8</v>
      </c>
      <c r="Q584" s="27" t="s">
        <v>8</v>
      </c>
      <c r="R584" s="27" t="s">
        <v>7</v>
      </c>
      <c r="S584" s="27" t="s">
        <v>8</v>
      </c>
      <c r="T584" s="27" t="s">
        <v>7</v>
      </c>
      <c r="U584" s="27" t="s">
        <v>8</v>
      </c>
      <c r="V584" s="27" t="s">
        <v>7</v>
      </c>
      <c r="W584" s="27" t="s">
        <v>8</v>
      </c>
      <c r="AN584" s="27" t="s">
        <v>7</v>
      </c>
      <c r="AO584" s="27" t="s">
        <v>8</v>
      </c>
      <c r="AP584" s="27" t="s">
        <v>7</v>
      </c>
      <c r="AQ584" s="27" t="s">
        <v>8</v>
      </c>
      <c r="AR584" s="27" t="s">
        <v>7</v>
      </c>
      <c r="AS584" s="27" t="s">
        <v>8</v>
      </c>
      <c r="AT584" s="27" t="s">
        <v>7</v>
      </c>
      <c r="AU584" s="27" t="s">
        <v>8</v>
      </c>
      <c r="BP584" s="27" t="s">
        <v>7</v>
      </c>
      <c r="BQ584" s="27" t="s">
        <v>8</v>
      </c>
    </row>
    <row r="585" spans="1:92" x14ac:dyDescent="0.25">
      <c r="A585" s="7">
        <v>1.0404</v>
      </c>
      <c r="B585"/>
      <c r="C585"/>
      <c r="D585"/>
      <c r="E585" t="s">
        <v>8</v>
      </c>
      <c r="F585" s="27" t="s">
        <v>7</v>
      </c>
      <c r="G585" s="27" t="s">
        <v>8</v>
      </c>
      <c r="H585" s="27" t="s">
        <v>7</v>
      </c>
      <c r="K585" s="27" t="s">
        <v>8</v>
      </c>
      <c r="L585" s="27" t="s">
        <v>7</v>
      </c>
      <c r="Q585" s="27" t="s">
        <v>8</v>
      </c>
      <c r="R585" s="27" t="s">
        <v>7</v>
      </c>
      <c r="S585" s="27" t="s">
        <v>8</v>
      </c>
      <c r="T585" s="27" t="s">
        <v>7</v>
      </c>
      <c r="U585" s="27" t="s">
        <v>8</v>
      </c>
      <c r="V585" s="27" t="s">
        <v>7</v>
      </c>
      <c r="W585" s="27" t="s">
        <v>8</v>
      </c>
      <c r="AN585" s="27" t="s">
        <v>7</v>
      </c>
      <c r="AO585" s="27" t="s">
        <v>8</v>
      </c>
      <c r="AP585" s="27" t="s">
        <v>7</v>
      </c>
      <c r="AQ585" s="27" t="s">
        <v>8</v>
      </c>
      <c r="AR585" s="27" t="s">
        <v>7</v>
      </c>
      <c r="AS585" s="27" t="s">
        <v>8</v>
      </c>
      <c r="AT585" s="27" t="s">
        <v>7</v>
      </c>
      <c r="AU585" s="27" t="s">
        <v>8</v>
      </c>
      <c r="BP585" s="27" t="s">
        <v>7</v>
      </c>
      <c r="BQ585" s="27" t="s">
        <v>8</v>
      </c>
    </row>
    <row r="586" spans="1:92" x14ac:dyDescent="0.25">
      <c r="A586" s="7">
        <v>1.02</v>
      </c>
      <c r="B586"/>
      <c r="C586"/>
      <c r="D586"/>
      <c r="E586" t="s">
        <v>8</v>
      </c>
      <c r="F586" s="27" t="s">
        <v>7</v>
      </c>
      <c r="G586" s="27" t="s">
        <v>8</v>
      </c>
      <c r="H586" s="27" t="s">
        <v>7</v>
      </c>
      <c r="I586" s="27" t="s">
        <v>8</v>
      </c>
      <c r="K586" s="27" t="s">
        <v>8</v>
      </c>
      <c r="L586" s="27" t="s">
        <v>7</v>
      </c>
      <c r="Q586" s="27" t="s">
        <v>8</v>
      </c>
      <c r="R586" s="27" t="s">
        <v>7</v>
      </c>
      <c r="S586" s="27" t="s">
        <v>8</v>
      </c>
      <c r="T586" s="27" t="s">
        <v>7</v>
      </c>
      <c r="U586" s="27" t="s">
        <v>8</v>
      </c>
      <c r="V586" s="27" t="s">
        <v>7</v>
      </c>
      <c r="W586" s="27" t="s">
        <v>8</v>
      </c>
      <c r="AN586" s="27" t="s">
        <v>7</v>
      </c>
      <c r="AO586" s="27" t="s">
        <v>8</v>
      </c>
      <c r="AP586" s="27" t="s">
        <v>7</v>
      </c>
      <c r="AR586" s="27" t="s">
        <v>7</v>
      </c>
      <c r="AT586" s="27" t="s">
        <v>7</v>
      </c>
      <c r="BP586" s="27" t="s">
        <v>7</v>
      </c>
    </row>
    <row r="587" spans="1:92" x14ac:dyDescent="0.25">
      <c r="A587" s="7">
        <v>1</v>
      </c>
      <c r="B587"/>
      <c r="C587"/>
      <c r="D587"/>
      <c r="E587" s="29" t="s">
        <v>8</v>
      </c>
      <c r="F587" s="27" t="s">
        <v>7</v>
      </c>
      <c r="G587" s="27" t="s">
        <v>8</v>
      </c>
      <c r="H587" s="27" t="s">
        <v>7</v>
      </c>
      <c r="I587" s="27" t="s">
        <v>8</v>
      </c>
      <c r="J587" s="27" t="s">
        <v>7</v>
      </c>
      <c r="K587" s="27" t="s">
        <v>8</v>
      </c>
      <c r="L587" s="27" t="s">
        <v>7</v>
      </c>
      <c r="Q587" s="27" t="s">
        <v>8</v>
      </c>
      <c r="R587" s="27" t="s">
        <v>7</v>
      </c>
      <c r="S587" s="27" t="s">
        <v>8</v>
      </c>
      <c r="T587" s="27" t="s">
        <v>7</v>
      </c>
      <c r="U587" s="27" t="s">
        <v>8</v>
      </c>
      <c r="V587" s="27" t="s">
        <v>7</v>
      </c>
      <c r="AN587" s="27" t="s">
        <v>7</v>
      </c>
    </row>
    <row r="588" spans="1:92" x14ac:dyDescent="0.25">
      <c r="A588" s="7">
        <v>0.98039215686274506</v>
      </c>
      <c r="B588"/>
      <c r="C588"/>
      <c r="D588"/>
      <c r="E588"/>
      <c r="F588" s="27" t="s">
        <v>7</v>
      </c>
      <c r="G588" s="27" t="s">
        <v>8</v>
      </c>
      <c r="H588" s="27" t="s">
        <v>7</v>
      </c>
      <c r="I588" s="27" t="s">
        <v>8</v>
      </c>
      <c r="J588" s="27" t="s">
        <v>7</v>
      </c>
      <c r="K588" s="27" t="s">
        <v>8</v>
      </c>
      <c r="L588" s="27" t="s">
        <v>7</v>
      </c>
      <c r="M588" s="27" t="s">
        <v>8</v>
      </c>
      <c r="Q588" s="27" t="s">
        <v>8</v>
      </c>
      <c r="R588" s="27" t="s">
        <v>7</v>
      </c>
      <c r="S588" s="27" t="s">
        <v>8</v>
      </c>
      <c r="T588" s="27" t="s">
        <v>7</v>
      </c>
      <c r="U588" s="27" t="s">
        <v>8</v>
      </c>
    </row>
    <row r="589" spans="1:92" x14ac:dyDescent="0.25">
      <c r="A589" s="7">
        <v>0.96116878123798544</v>
      </c>
      <c r="B589"/>
      <c r="C589"/>
      <c r="D589"/>
      <c r="E589"/>
      <c r="F589" s="27" t="s">
        <v>7</v>
      </c>
      <c r="G589" s="27" t="s">
        <v>8</v>
      </c>
      <c r="H589" s="27" t="s">
        <v>7</v>
      </c>
      <c r="J589" s="27" t="s">
        <v>7</v>
      </c>
      <c r="K589" s="27" t="s">
        <v>8</v>
      </c>
      <c r="L589" s="27" t="s">
        <v>7</v>
      </c>
      <c r="M589" s="27" t="s">
        <v>8</v>
      </c>
      <c r="N589" s="27" t="s">
        <v>7</v>
      </c>
      <c r="Q589" s="18" t="s">
        <v>8</v>
      </c>
      <c r="R589" s="27" t="s">
        <v>7</v>
      </c>
      <c r="S589" s="27" t="s">
        <v>8</v>
      </c>
      <c r="T589" s="27" t="s">
        <v>7</v>
      </c>
    </row>
    <row r="590" spans="1:92" x14ac:dyDescent="0.25">
      <c r="A590" s="7">
        <v>0.94232233454704462</v>
      </c>
      <c r="B590"/>
      <c r="C590"/>
      <c r="D590"/>
      <c r="E590"/>
      <c r="F590" s="27" t="s">
        <v>7</v>
      </c>
      <c r="G590" s="27" t="s">
        <v>8</v>
      </c>
      <c r="J590" s="27" t="s">
        <v>7</v>
      </c>
      <c r="L590" s="27" t="s">
        <v>7</v>
      </c>
      <c r="M590" s="27" t="s">
        <v>8</v>
      </c>
      <c r="N590" s="27" t="s">
        <v>7</v>
      </c>
      <c r="O590" s="27" t="s">
        <v>8</v>
      </c>
      <c r="Q590" s="27" t="s">
        <v>8</v>
      </c>
      <c r="R590" s="27" t="s">
        <v>7</v>
      </c>
      <c r="S590" s="27" t="s">
        <v>8</v>
      </c>
    </row>
    <row r="591" spans="1:92" x14ac:dyDescent="0.25">
      <c r="A591" s="7">
        <v>0.92384542602651432</v>
      </c>
      <c r="B591"/>
      <c r="C591"/>
      <c r="D591"/>
      <c r="E591"/>
      <c r="F591" s="27" t="s">
        <v>7</v>
      </c>
      <c r="G591" s="27" t="s">
        <v>8</v>
      </c>
      <c r="L591" s="27" t="s">
        <v>7</v>
      </c>
      <c r="M591" s="27" t="s">
        <v>8</v>
      </c>
      <c r="N591" s="27" t="s">
        <v>7</v>
      </c>
      <c r="O591" s="27" t="s">
        <v>8</v>
      </c>
      <c r="P591" s="27" t="s">
        <v>7</v>
      </c>
      <c r="Q591" s="27" t="s">
        <v>8</v>
      </c>
      <c r="R591" s="27" t="s">
        <v>7</v>
      </c>
      <c r="S591" s="27" t="s">
        <v>8</v>
      </c>
    </row>
    <row r="592" spans="1:92" x14ac:dyDescent="0.25">
      <c r="A592" s="7">
        <v>0.90573080982991594</v>
      </c>
      <c r="B592"/>
      <c r="C592"/>
      <c r="D592"/>
      <c r="E592"/>
      <c r="F592" s="27" t="s">
        <v>7</v>
      </c>
      <c r="G592" s="27" t="s">
        <v>8</v>
      </c>
      <c r="L592" s="27" t="s">
        <v>7</v>
      </c>
      <c r="N592" s="27" t="s">
        <v>7</v>
      </c>
      <c r="O592" s="27" t="s">
        <v>8</v>
      </c>
      <c r="P592" s="27" t="s">
        <v>7</v>
      </c>
      <c r="Q592" s="27" t="s">
        <v>8</v>
      </c>
      <c r="R592" s="27" t="s">
        <v>7</v>
      </c>
      <c r="S592" s="27" t="s">
        <v>8</v>
      </c>
    </row>
    <row r="593" spans="1:19" x14ac:dyDescent="0.25">
      <c r="A593" s="7">
        <v>0.8879713821861922</v>
      </c>
      <c r="B593"/>
      <c r="C593"/>
      <c r="D593"/>
      <c r="E593"/>
      <c r="F593" s="27" t="s">
        <v>7</v>
      </c>
      <c r="G593" s="27" t="s">
        <v>8</v>
      </c>
      <c r="N593" s="27" t="s">
        <v>7</v>
      </c>
      <c r="O593" s="27" t="s">
        <v>8</v>
      </c>
      <c r="P593" s="27" t="s">
        <v>7</v>
      </c>
      <c r="Q593" s="27" t="s">
        <v>8</v>
      </c>
      <c r="R593" s="27" t="s">
        <v>7</v>
      </c>
      <c r="S593" s="27" t="s">
        <v>8</v>
      </c>
    </row>
    <row r="594" spans="1:19" x14ac:dyDescent="0.25">
      <c r="A594" s="7">
        <v>0.87056017861391399</v>
      </c>
      <c r="B594"/>
      <c r="C594"/>
      <c r="D594"/>
      <c r="E594"/>
      <c r="F594" s="27" t="s">
        <v>7</v>
      </c>
      <c r="N594" s="27" t="s">
        <v>7</v>
      </c>
      <c r="P594" s="27" t="s">
        <v>7</v>
      </c>
      <c r="R594" s="27" t="s">
        <v>7</v>
      </c>
    </row>
    <row r="595" spans="1:19" x14ac:dyDescent="0.25">
      <c r="A595" s="7">
        <v>0.85349037119011173</v>
      </c>
      <c r="B595"/>
      <c r="C595"/>
      <c r="D595"/>
      <c r="E595"/>
    </row>
    <row r="596" spans="1:19" x14ac:dyDescent="0.25">
      <c r="A596" s="7">
        <v>0.83675526587265858</v>
      </c>
      <c r="B596"/>
      <c r="C596"/>
      <c r="D596"/>
      <c r="E596"/>
    </row>
    <row r="597" spans="1:19" x14ac:dyDescent="0.25">
      <c r="A597" s="7">
        <v>0.82034829987515545</v>
      </c>
      <c r="B597"/>
      <c r="C597"/>
      <c r="D597"/>
      <c r="E597"/>
    </row>
    <row r="598" spans="1:19" x14ac:dyDescent="0.25">
      <c r="A598" s="7">
        <v>0.80426303909328967</v>
      </c>
      <c r="B598"/>
      <c r="C598"/>
      <c r="D598"/>
      <c r="E598"/>
    </row>
    <row r="599" spans="1:19" x14ac:dyDescent="0.25">
      <c r="A599" s="7">
        <v>0.78849317558165644</v>
      </c>
      <c r="B599"/>
      <c r="C599"/>
      <c r="D599"/>
      <c r="E599"/>
    </row>
    <row r="600" spans="1:19" x14ac:dyDescent="0.25">
      <c r="A600" s="7">
        <v>0.77303252508005538</v>
      </c>
      <c r="B600"/>
      <c r="C600"/>
      <c r="D600"/>
      <c r="E600"/>
    </row>
    <row r="601" spans="1:19" x14ac:dyDescent="0.25">
      <c r="A601" s="7">
        <v>0.75787502458828959</v>
      </c>
      <c r="B601"/>
      <c r="C601"/>
      <c r="D601"/>
      <c r="E601"/>
    </row>
    <row r="602" spans="1:19" x14ac:dyDescent="0.25">
      <c r="A602" s="7">
        <v>0.74301472998851925</v>
      </c>
      <c r="B602"/>
      <c r="C602"/>
      <c r="D602"/>
      <c r="E602"/>
    </row>
    <row r="603" spans="1:19" x14ac:dyDescent="0.25">
      <c r="A603" s="7">
        <v>0.72844581371423456</v>
      </c>
      <c r="B603"/>
      <c r="C603"/>
      <c r="D603"/>
      <c r="E603"/>
    </row>
    <row r="604" spans="1:19" x14ac:dyDescent="0.25">
      <c r="A604" s="7">
        <v>0.71416256246493581</v>
      </c>
      <c r="B604"/>
      <c r="C604"/>
      <c r="D604"/>
      <c r="E604"/>
    </row>
    <row r="605" spans="1:19" x14ac:dyDescent="0.25">
      <c r="A605" s="7">
        <v>0.7001593749656233</v>
      </c>
      <c r="B605"/>
      <c r="C605"/>
      <c r="D605"/>
      <c r="E605"/>
    </row>
    <row r="606" spans="1:19" x14ac:dyDescent="0.25">
      <c r="A606" s="7">
        <v>0.68643075977021883</v>
      </c>
      <c r="B606"/>
      <c r="C606"/>
      <c r="D606"/>
      <c r="E606"/>
    </row>
    <row r="607" spans="1:19" x14ac:dyDescent="0.25">
      <c r="A607" s="7">
        <v>0.67297133310805768</v>
      </c>
      <c r="B607"/>
      <c r="C607"/>
      <c r="D607"/>
      <c r="E607"/>
    </row>
    <row r="608" spans="1:19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623" operator="equal">
      <formula>$U$1</formula>
    </cfRule>
    <cfRule type="cellIs" dxfId="89" priority="624" operator="equal">
      <formula>$S$1</formula>
    </cfRule>
  </conditionalFormatting>
  <conditionalFormatting sqref="D27">
    <cfRule type="cellIs" dxfId="88" priority="621" operator="equal">
      <formula>$S$1</formula>
    </cfRule>
    <cfRule type="cellIs" dxfId="87" priority="622" operator="equal">
      <formula>$U$1</formula>
    </cfRule>
  </conditionalFormatting>
  <conditionalFormatting sqref="C164">
    <cfRule type="cellIs" dxfId="86" priority="619" operator="equal">
      <formula>$U$1</formula>
    </cfRule>
    <cfRule type="cellIs" dxfId="85" priority="620" operator="equal">
      <formula>$S$1</formula>
    </cfRule>
  </conditionalFormatting>
  <conditionalFormatting sqref="D164">
    <cfRule type="cellIs" dxfId="84" priority="617" operator="equal">
      <formula>$S$1</formula>
    </cfRule>
    <cfRule type="cellIs" dxfId="83" priority="618" operator="equal">
      <formula>$U$1</formula>
    </cfRule>
  </conditionalFormatting>
  <conditionalFormatting sqref="C55">
    <cfRule type="cellIs" dxfId="82" priority="615" operator="equal">
      <formula>$U$1</formula>
    </cfRule>
    <cfRule type="cellIs" dxfId="81" priority="616" operator="equal">
      <formula>$S$1</formula>
    </cfRule>
  </conditionalFormatting>
  <conditionalFormatting sqref="D55">
    <cfRule type="cellIs" dxfId="80" priority="613" operator="equal">
      <formula>$S$1</formula>
    </cfRule>
    <cfRule type="cellIs" dxfId="79" priority="614" operator="equal">
      <formula>$U$1</formula>
    </cfRule>
  </conditionalFormatting>
  <conditionalFormatting sqref="C89">
    <cfRule type="cellIs" dxfId="78" priority="611" operator="equal">
      <formula>$U$1</formula>
    </cfRule>
    <cfRule type="cellIs" dxfId="77" priority="612" operator="equal">
      <formula>$S$1</formula>
    </cfRule>
  </conditionalFormatting>
  <conditionalFormatting sqref="D89">
    <cfRule type="cellIs" dxfId="76" priority="609" operator="equal">
      <formula>$S$1</formula>
    </cfRule>
    <cfRule type="cellIs" dxfId="75" priority="610" operator="equal">
      <formula>$U$1</formula>
    </cfRule>
  </conditionalFormatting>
  <conditionalFormatting sqref="C136">
    <cfRule type="cellIs" dxfId="74" priority="607" operator="equal">
      <formula>$U$1</formula>
    </cfRule>
    <cfRule type="cellIs" dxfId="73" priority="608" operator="equal">
      <formula>$S$1</formula>
    </cfRule>
  </conditionalFormatting>
  <conditionalFormatting sqref="D136">
    <cfRule type="cellIs" dxfId="72" priority="605" operator="equal">
      <formula>$S$1</formula>
    </cfRule>
    <cfRule type="cellIs" dxfId="71" priority="606" operator="equal">
      <formula>$U$1</formula>
    </cfRule>
  </conditionalFormatting>
  <conditionalFormatting sqref="C1">
    <cfRule type="cellIs" dxfId="70" priority="60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AC234" sqref="AC234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$A$233</v>
      </c>
      <c r="D111" s="1" t="str">
        <f>ADDRESS(C121-1,D121,1,1)</f>
        <v>$AC$233</v>
      </c>
      <c r="E111"/>
    </row>
    <row r="112" spans="1:5" x14ac:dyDescent="0.25">
      <c r="A112" s="30">
        <v>515.50191262726139</v>
      </c>
      <c r="C112" s="1" t="str">
        <f>ADDRESS(C121,1,1,1)</f>
        <v>$A$234</v>
      </c>
      <c r="D112" s="1" t="str">
        <f>ADDRESS(C121,D121-1,1,1)</f>
        <v>$AB$234</v>
      </c>
      <c r="E112"/>
    </row>
    <row r="113" spans="1:5" x14ac:dyDescent="0.25">
      <c r="A113" s="30">
        <v>490.95420250215363</v>
      </c>
      <c r="C113" s="1" t="str">
        <f>ADDRESS(C121+1,1,1,1)</f>
        <v>$A$235</v>
      </c>
      <c r="D113" s="1" t="str">
        <f>ADDRESS(C121-1,D121+1,1,1)</f>
        <v>$AD$233</v>
      </c>
    </row>
    <row r="114" spans="1:5" x14ac:dyDescent="0.25">
      <c r="A114" s="30">
        <v>467.57543095443202</v>
      </c>
      <c r="C114" s="1" t="str">
        <f>ADDRESS(C121,D121,1,1)</f>
        <v>$AC$234</v>
      </c>
      <c r="D114" s="1" t="str">
        <f>ADDRESS(C121+1,D121+1,1,1)</f>
        <v>$AD$235</v>
      </c>
    </row>
    <row r="115" spans="1:5" x14ac:dyDescent="0.25">
      <c r="A115" s="30">
        <v>445.30993424231622</v>
      </c>
      <c r="C115" s="1" t="str">
        <f>ADDRESS(C121+1,D121,1,1)</f>
        <v>$AC$235</v>
      </c>
    </row>
    <row r="116" spans="1:5" x14ac:dyDescent="0.25">
      <c r="A116" s="30">
        <v>424.10469927839637</v>
      </c>
      <c r="C116" s="1">
        <f>C117-1</f>
        <v>233</v>
      </c>
    </row>
    <row r="117" spans="1:5" x14ac:dyDescent="0.25">
      <c r="A117" s="30">
        <v>403.9092374079965</v>
      </c>
      <c r="C117" s="1">
        <f>C121</f>
        <v>234</v>
      </c>
      <c r="D117" s="1">
        <f>D121</f>
        <v>29</v>
      </c>
    </row>
    <row r="118" spans="1:5" x14ac:dyDescent="0.25">
      <c r="A118" s="30">
        <v>384.6754641980919</v>
      </c>
      <c r="C118" s="1">
        <f>C117+1</f>
        <v>235</v>
      </c>
      <c r="D118" s="1">
        <f>D117+1</f>
        <v>30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234</v>
      </c>
      <c r="D121" s="19">
        <v>29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R234</v>
      </c>
      <c r="D123" s="1" t="str">
        <f>"C"&amp;D121</f>
        <v>C29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1.3400956406250004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6" x14ac:dyDescent="0.25">
      <c r="A209" s="30">
        <v>4.5380394939082018</v>
      </c>
      <c r="E209"/>
    </row>
    <row r="210" spans="1:16" x14ac:dyDescent="0.25">
      <c r="A210" s="30">
        <v>4.3219423751506678</v>
      </c>
      <c r="C210"/>
      <c r="E210"/>
      <c r="O210" s="27" t="s">
        <v>8</v>
      </c>
    </row>
    <row r="211" spans="1:16" x14ac:dyDescent="0.25">
      <c r="A211" s="30">
        <v>4.1161355953815884</v>
      </c>
      <c r="E211"/>
      <c r="O211" s="27" t="s">
        <v>8</v>
      </c>
      <c r="P211" s="27" t="s">
        <v>7</v>
      </c>
    </row>
    <row r="212" spans="1:16" x14ac:dyDescent="0.25">
      <c r="A212" s="30">
        <v>3.9201291384586554</v>
      </c>
      <c r="E212"/>
      <c r="O212" s="27" t="s">
        <v>8</v>
      </c>
      <c r="P212" s="27" t="s">
        <v>7</v>
      </c>
    </row>
    <row r="213" spans="1:16" x14ac:dyDescent="0.25">
      <c r="A213" s="30">
        <v>3.7334563223415764</v>
      </c>
      <c r="E213"/>
      <c r="O213" s="27" t="s">
        <v>8</v>
      </c>
      <c r="P213" s="27" t="s">
        <v>7</v>
      </c>
    </row>
    <row r="214" spans="1:16" x14ac:dyDescent="0.25">
      <c r="A214" s="30">
        <v>3.5556726879443583</v>
      </c>
      <c r="E214"/>
      <c r="O214" s="27" t="s">
        <v>8</v>
      </c>
      <c r="P214" s="27" t="s">
        <v>7</v>
      </c>
    </row>
    <row r="215" spans="1:16" x14ac:dyDescent="0.25">
      <c r="A215" s="30">
        <v>3.3863549408993889</v>
      </c>
      <c r="E215"/>
      <c r="O215" s="27" t="s">
        <v>8</v>
      </c>
      <c r="P215" s="27" t="s">
        <v>7</v>
      </c>
    </row>
    <row r="216" spans="1:16" x14ac:dyDescent="0.25">
      <c r="A216" s="30">
        <v>3.2250999437137038</v>
      </c>
      <c r="E216"/>
      <c r="O216" s="27" t="s">
        <v>8</v>
      </c>
      <c r="P216" s="27" t="s">
        <v>7</v>
      </c>
    </row>
    <row r="217" spans="1:16" x14ac:dyDescent="0.25">
      <c r="A217" s="30">
        <v>3.0715237559178128</v>
      </c>
      <c r="E217"/>
      <c r="O217" s="27" t="s">
        <v>8</v>
      </c>
      <c r="P217" s="27" t="s">
        <v>7</v>
      </c>
    </row>
    <row r="218" spans="1:16" x14ac:dyDescent="0.25">
      <c r="A218" s="30">
        <v>2.9252607199217264</v>
      </c>
      <c r="E218"/>
      <c r="O218" s="27" t="s">
        <v>8</v>
      </c>
      <c r="P218" s="27" t="s">
        <v>7</v>
      </c>
    </row>
    <row r="219" spans="1:16" x14ac:dyDescent="0.25">
      <c r="A219" s="30">
        <v>2.7859625904016441</v>
      </c>
      <c r="E219"/>
      <c r="O219" s="27" t="s">
        <v>8</v>
      </c>
      <c r="P219" s="27" t="s">
        <v>7</v>
      </c>
    </row>
    <row r="220" spans="1:16" x14ac:dyDescent="0.25">
      <c r="A220" s="30">
        <v>2.6532977051444226</v>
      </c>
      <c r="E220"/>
      <c r="O220" s="27" t="s">
        <v>8</v>
      </c>
      <c r="P220" s="27" t="s">
        <v>7</v>
      </c>
    </row>
    <row r="221" spans="1:16" x14ac:dyDescent="0.25">
      <c r="A221" s="30">
        <v>2.5269501953756404</v>
      </c>
      <c r="E221"/>
      <c r="O221" s="27" t="s">
        <v>8</v>
      </c>
      <c r="P221" s="27" t="s">
        <v>7</v>
      </c>
    </row>
    <row r="222" spans="1:16" x14ac:dyDescent="0.25">
      <c r="A222" s="30">
        <v>2.4066192336910861</v>
      </c>
      <c r="E222"/>
      <c r="O222" s="27" t="s">
        <v>8</v>
      </c>
      <c r="P222" s="27" t="s">
        <v>7</v>
      </c>
    </row>
    <row r="223" spans="1:16" x14ac:dyDescent="0.25">
      <c r="A223" s="30">
        <v>2.2920183178010345</v>
      </c>
      <c r="E223"/>
      <c r="O223" s="27" t="s">
        <v>8</v>
      </c>
      <c r="P223" s="27" t="s">
        <v>7</v>
      </c>
    </row>
    <row r="224" spans="1:16" x14ac:dyDescent="0.25">
      <c r="A224" s="30">
        <v>2.1828745883819374</v>
      </c>
      <c r="E224"/>
      <c r="O224" s="27" t="s">
        <v>8</v>
      </c>
      <c r="P224" s="27" t="s">
        <v>7</v>
      </c>
    </row>
    <row r="225" spans="1:29" x14ac:dyDescent="0.25">
      <c r="A225" s="30">
        <v>2.0789281794113688</v>
      </c>
      <c r="E225"/>
      <c r="O225" s="27" t="s">
        <v>8</v>
      </c>
      <c r="P225" s="27" t="s">
        <v>7</v>
      </c>
    </row>
    <row r="226" spans="1:29" x14ac:dyDescent="0.25">
      <c r="A226" s="30">
        <v>1.9799315994393987</v>
      </c>
      <c r="E226"/>
      <c r="O226" s="27" t="s">
        <v>8</v>
      </c>
      <c r="P226" s="27" t="s">
        <v>7</v>
      </c>
    </row>
    <row r="227" spans="1:29" x14ac:dyDescent="0.25">
      <c r="A227" s="30">
        <v>1.8856491423232367</v>
      </c>
      <c r="E227"/>
      <c r="K227" s="27" t="s">
        <v>8</v>
      </c>
      <c r="M227" s="27" t="s">
        <v>8</v>
      </c>
      <c r="O227" s="27" t="s">
        <v>8</v>
      </c>
      <c r="P227" s="27" t="s">
        <v>7</v>
      </c>
      <c r="S227" s="27" t="s">
        <v>8</v>
      </c>
    </row>
    <row r="228" spans="1:29" x14ac:dyDescent="0.25">
      <c r="A228" s="30">
        <v>1.7958563260221301</v>
      </c>
      <c r="C228" s="7"/>
      <c r="D228"/>
      <c r="E228"/>
      <c r="K228" s="27" t="s">
        <v>8</v>
      </c>
      <c r="L228" s="27" t="s">
        <v>7</v>
      </c>
      <c r="M228" s="27" t="s">
        <v>8</v>
      </c>
      <c r="N228" s="27" t="s">
        <v>7</v>
      </c>
      <c r="O228" s="27" t="s">
        <v>8</v>
      </c>
      <c r="P228" s="27" t="s">
        <v>7</v>
      </c>
      <c r="S228" s="27" t="s">
        <v>8</v>
      </c>
      <c r="T228" s="27" t="s">
        <v>7</v>
      </c>
    </row>
    <row r="229" spans="1:29" x14ac:dyDescent="0.25">
      <c r="A229" s="30">
        <v>1.7103393581163142</v>
      </c>
      <c r="E229"/>
      <c r="K229" s="27" t="s">
        <v>8</v>
      </c>
      <c r="L229" s="27" t="s">
        <v>7</v>
      </c>
      <c r="M229" s="27" t="s">
        <v>8</v>
      </c>
      <c r="N229" s="27" t="s">
        <v>7</v>
      </c>
      <c r="O229" s="27" t="s">
        <v>8</v>
      </c>
      <c r="P229" s="27" t="s">
        <v>7</v>
      </c>
      <c r="Q229" s="27" t="s">
        <v>8</v>
      </c>
      <c r="S229" s="27" t="s">
        <v>8</v>
      </c>
      <c r="T229" s="27" t="s">
        <v>7</v>
      </c>
    </row>
    <row r="230" spans="1:29" x14ac:dyDescent="0.25">
      <c r="A230" s="30">
        <v>1.628894626777442</v>
      </c>
      <c r="E230"/>
      <c r="K230" s="27" t="s">
        <v>8</v>
      </c>
      <c r="L230" s="27" t="s">
        <v>7</v>
      </c>
      <c r="M230" s="27" t="s">
        <v>8</v>
      </c>
      <c r="N230" s="27" t="s">
        <v>7</v>
      </c>
      <c r="O230" s="27" t="s">
        <v>8</v>
      </c>
      <c r="P230" s="27" t="s">
        <v>7</v>
      </c>
      <c r="Q230" s="27" t="s">
        <v>8</v>
      </c>
      <c r="R230" s="27" t="s">
        <v>7</v>
      </c>
      <c r="S230" s="27" t="s">
        <v>8</v>
      </c>
      <c r="T230" s="27" t="s">
        <v>7</v>
      </c>
      <c r="U230" s="27" t="s">
        <v>8</v>
      </c>
    </row>
    <row r="231" spans="1:29" x14ac:dyDescent="0.25">
      <c r="A231" s="30">
        <v>1.5513282159785162</v>
      </c>
      <c r="C231"/>
      <c r="D231"/>
      <c r="E231"/>
      <c r="K231" s="27" t="s">
        <v>8</v>
      </c>
      <c r="L231" s="27" t="s">
        <v>7</v>
      </c>
      <c r="N231" s="27" t="s">
        <v>7</v>
      </c>
      <c r="O231" s="27" t="s">
        <v>8</v>
      </c>
      <c r="P231" s="27" t="s">
        <v>7</v>
      </c>
      <c r="Q231" s="27" t="s">
        <v>8</v>
      </c>
      <c r="R231" s="27" t="s">
        <v>7</v>
      </c>
      <c r="S231" s="27" t="s">
        <v>8</v>
      </c>
      <c r="T231" s="27" t="s">
        <v>7</v>
      </c>
      <c r="U231" s="27" t="s">
        <v>8</v>
      </c>
      <c r="V231" s="27" t="s">
        <v>7</v>
      </c>
      <c r="Y231" s="27" t="s">
        <v>8</v>
      </c>
    </row>
    <row r="232" spans="1:29" x14ac:dyDescent="0.25">
      <c r="A232" s="30">
        <v>1.477455443789063</v>
      </c>
      <c r="E232"/>
      <c r="K232" s="27" t="s">
        <v>8</v>
      </c>
      <c r="N232" s="27" t="s">
        <v>7</v>
      </c>
      <c r="O232" s="27" t="s">
        <v>8</v>
      </c>
      <c r="P232" s="27" t="s">
        <v>7</v>
      </c>
      <c r="R232" s="27" t="s">
        <v>7</v>
      </c>
      <c r="S232" s="27" t="s">
        <v>8</v>
      </c>
      <c r="T232" s="27" t="s">
        <v>7</v>
      </c>
      <c r="U232" s="27" t="s">
        <v>8</v>
      </c>
      <c r="V232" s="27" t="s">
        <v>7</v>
      </c>
      <c r="Y232" s="27" t="s">
        <v>8</v>
      </c>
      <c r="Z232" s="27" t="s">
        <v>7</v>
      </c>
      <c r="AA232" s="27" t="s">
        <v>8</v>
      </c>
    </row>
    <row r="233" spans="1:29" x14ac:dyDescent="0.25">
      <c r="A233" s="30">
        <v>1.4071004226562505</v>
      </c>
      <c r="E233"/>
      <c r="K233" s="27" t="s">
        <v>8</v>
      </c>
      <c r="N233" s="27" t="s">
        <v>7</v>
      </c>
      <c r="O233" s="27" t="s">
        <v>8</v>
      </c>
      <c r="R233" s="27" t="s">
        <v>7</v>
      </c>
      <c r="T233" s="27" t="s">
        <v>7</v>
      </c>
      <c r="U233" s="27" t="s">
        <v>8</v>
      </c>
      <c r="V233" s="27" t="s">
        <v>7</v>
      </c>
      <c r="W233" s="27" t="s">
        <v>8</v>
      </c>
      <c r="Y233" s="27" t="s">
        <v>8</v>
      </c>
      <c r="Z233" s="27" t="s">
        <v>7</v>
      </c>
      <c r="AA233" s="27" t="s">
        <v>8</v>
      </c>
      <c r="AB233" s="27" t="s">
        <v>7</v>
      </c>
    </row>
    <row r="234" spans="1:29" x14ac:dyDescent="0.25">
      <c r="A234" s="30">
        <v>1.3400956406250004</v>
      </c>
      <c r="E234"/>
      <c r="K234" s="27" t="s">
        <v>8</v>
      </c>
      <c r="N234" s="27" t="s">
        <v>7</v>
      </c>
      <c r="O234" s="27" t="s">
        <v>8</v>
      </c>
      <c r="T234" s="27" t="s">
        <v>7</v>
      </c>
      <c r="U234" s="27" t="s">
        <v>8</v>
      </c>
      <c r="V234" s="27" t="s">
        <v>7</v>
      </c>
      <c r="W234" s="27" t="s">
        <v>8</v>
      </c>
      <c r="X234" s="27" t="s">
        <v>7</v>
      </c>
      <c r="Y234" s="27" t="s">
        <v>8</v>
      </c>
      <c r="Z234" s="27" t="s">
        <v>7</v>
      </c>
      <c r="AA234" s="27" t="s">
        <v>8</v>
      </c>
      <c r="AB234" s="27" t="s">
        <v>7</v>
      </c>
      <c r="AC234" s="27" t="s">
        <v>8</v>
      </c>
    </row>
    <row r="235" spans="1:29" x14ac:dyDescent="0.25">
      <c r="A235" s="30">
        <v>1.2762815625000004</v>
      </c>
      <c r="C235"/>
      <c r="E235"/>
      <c r="K235" s="27" t="s">
        <v>8</v>
      </c>
      <c r="N235" s="27" t="s">
        <v>7</v>
      </c>
      <c r="O235" s="27" t="s">
        <v>8</v>
      </c>
      <c r="T235" s="27" t="s">
        <v>7</v>
      </c>
      <c r="V235" s="27" t="s">
        <v>7</v>
      </c>
      <c r="W235" s="27" t="s">
        <v>8</v>
      </c>
      <c r="X235" s="27" t="s">
        <v>7</v>
      </c>
      <c r="Y235" s="27" t="s">
        <v>8</v>
      </c>
      <c r="Z235" s="27" t="s">
        <v>7</v>
      </c>
      <c r="AA235" s="27" t="s">
        <v>8</v>
      </c>
      <c r="AB235" s="27" t="s">
        <v>7</v>
      </c>
      <c r="AC235" s="27" t="s">
        <v>8</v>
      </c>
    </row>
    <row r="236" spans="1:29" x14ac:dyDescent="0.25">
      <c r="A236" s="30">
        <v>1.2155062500000002</v>
      </c>
      <c r="E236"/>
      <c r="I236" s="27" t="s">
        <v>8</v>
      </c>
      <c r="K236" s="27" t="s">
        <v>8</v>
      </c>
      <c r="N236" s="27" t="s">
        <v>7</v>
      </c>
      <c r="O236" s="27" t="s">
        <v>8</v>
      </c>
      <c r="V236" s="27" t="s">
        <v>7</v>
      </c>
      <c r="W236" s="27" t="s">
        <v>8</v>
      </c>
      <c r="X236" s="27" t="s">
        <v>7</v>
      </c>
      <c r="Y236" s="27" t="s">
        <v>8</v>
      </c>
      <c r="Z236" s="27" t="s">
        <v>7</v>
      </c>
      <c r="AB236" s="27" t="s">
        <v>7</v>
      </c>
      <c r="AC236" s="27" t="s">
        <v>8</v>
      </c>
    </row>
    <row r="237" spans="1:29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I237" s="27" t="s">
        <v>8</v>
      </c>
      <c r="J237" s="27" t="s">
        <v>7</v>
      </c>
      <c r="K237" s="27" t="s">
        <v>8</v>
      </c>
      <c r="N237" s="27" t="s">
        <v>7</v>
      </c>
      <c r="O237" s="27" t="s">
        <v>8</v>
      </c>
      <c r="V237" s="27" t="s">
        <v>7</v>
      </c>
      <c r="W237" s="27" t="s">
        <v>8</v>
      </c>
      <c r="X237" s="27" t="s">
        <v>7</v>
      </c>
      <c r="AB237" s="27" t="s">
        <v>7</v>
      </c>
      <c r="AC237" s="27" t="s">
        <v>8</v>
      </c>
    </row>
    <row r="238" spans="1:29" x14ac:dyDescent="0.25">
      <c r="A238" s="30">
        <v>1.1025</v>
      </c>
      <c r="E238"/>
      <c r="I238" s="27" t="s">
        <v>8</v>
      </c>
      <c r="J238" s="27" t="s">
        <v>7</v>
      </c>
      <c r="K238" s="27" t="s">
        <v>8</v>
      </c>
      <c r="N238" s="27" t="s">
        <v>7</v>
      </c>
      <c r="O238" s="27" t="s">
        <v>8</v>
      </c>
      <c r="V238" s="27" t="s">
        <v>7</v>
      </c>
      <c r="W238" s="27" t="s">
        <v>8</v>
      </c>
      <c r="AB238" s="27" t="s">
        <v>7</v>
      </c>
    </row>
    <row r="239" spans="1:29" x14ac:dyDescent="0.25">
      <c r="A239" s="30">
        <v>1.05</v>
      </c>
      <c r="E239" t="s">
        <v>8</v>
      </c>
      <c r="G239" s="27" t="s">
        <v>8</v>
      </c>
      <c r="I239" s="27" t="s">
        <v>8</v>
      </c>
      <c r="J239" s="27" t="s">
        <v>7</v>
      </c>
      <c r="K239" s="27" t="s">
        <v>8</v>
      </c>
      <c r="N239" s="27" t="s">
        <v>7</v>
      </c>
      <c r="O239" s="27" t="s">
        <v>8</v>
      </c>
      <c r="V239" s="27" t="s">
        <v>7</v>
      </c>
    </row>
    <row r="240" spans="1:29" x14ac:dyDescent="0.25">
      <c r="A240" s="30">
        <v>1</v>
      </c>
      <c r="E240" s="29" t="s">
        <v>8</v>
      </c>
      <c r="F240" s="27" t="s">
        <v>7</v>
      </c>
      <c r="G240" s="27" t="s">
        <v>8</v>
      </c>
      <c r="H240" s="27" t="s">
        <v>7</v>
      </c>
      <c r="I240" s="27" t="s">
        <v>8</v>
      </c>
      <c r="J240" s="27" t="s">
        <v>7</v>
      </c>
      <c r="K240" s="27" t="s">
        <v>8</v>
      </c>
      <c r="N240" s="27" t="s">
        <v>7</v>
      </c>
    </row>
    <row r="241" spans="1:11" x14ac:dyDescent="0.25">
      <c r="A241" s="30">
        <v>0.952380952380952</v>
      </c>
      <c r="B241"/>
      <c r="C241"/>
      <c r="D241"/>
      <c r="E241"/>
      <c r="F241" s="27" t="s">
        <v>7</v>
      </c>
      <c r="G241" s="27" t="s">
        <v>8</v>
      </c>
      <c r="H241" s="27" t="s">
        <v>7</v>
      </c>
      <c r="I241" s="27" t="s">
        <v>8</v>
      </c>
      <c r="J241" s="27" t="s">
        <v>7</v>
      </c>
      <c r="K241" s="27" t="s">
        <v>8</v>
      </c>
    </row>
    <row r="242" spans="1:11" x14ac:dyDescent="0.25">
      <c r="A242" s="30">
        <v>0.90702947845804915</v>
      </c>
      <c r="B242"/>
      <c r="C242"/>
      <c r="D242"/>
      <c r="E242"/>
      <c r="F242" s="27" t="s">
        <v>7</v>
      </c>
      <c r="G242" s="27" t="s">
        <v>8</v>
      </c>
      <c r="H242" s="27" t="s">
        <v>7</v>
      </c>
      <c r="I242" s="27" t="s">
        <v>8</v>
      </c>
      <c r="J242" s="27" t="s">
        <v>7</v>
      </c>
    </row>
    <row r="243" spans="1:11" x14ac:dyDescent="0.25">
      <c r="A243" s="30">
        <v>0.86383759853147501</v>
      </c>
      <c r="B243"/>
      <c r="C243"/>
      <c r="D243"/>
      <c r="E243"/>
      <c r="F243" s="27" t="s">
        <v>7</v>
      </c>
      <c r="H243" s="18" t="s">
        <v>7</v>
      </c>
    </row>
    <row r="244" spans="1:11" x14ac:dyDescent="0.25">
      <c r="A244" s="30">
        <v>0.82270247479188063</v>
      </c>
      <c r="B244"/>
      <c r="C244"/>
      <c r="D244"/>
      <c r="E244"/>
    </row>
    <row r="245" spans="1:11" x14ac:dyDescent="0.25">
      <c r="A245" s="30">
        <v>0.78352616646845741</v>
      </c>
      <c r="B245"/>
      <c r="C245"/>
      <c r="D245"/>
      <c r="E245"/>
    </row>
    <row r="246" spans="1:11" x14ac:dyDescent="0.25">
      <c r="A246" s="30">
        <v>0.74621539663662584</v>
      </c>
      <c r="B246"/>
      <c r="C246"/>
      <c r="D246"/>
      <c r="E246"/>
    </row>
    <row r="247" spans="1:11" x14ac:dyDescent="0.25">
      <c r="A247" s="30">
        <v>0.71068133013011958</v>
      </c>
      <c r="B247"/>
      <c r="C247"/>
      <c r="D247"/>
      <c r="E247"/>
    </row>
    <row r="248" spans="1:11" x14ac:dyDescent="0.25">
      <c r="A248" s="30">
        <v>0.676839362028685</v>
      </c>
      <c r="B248"/>
      <c r="C248"/>
      <c r="D248"/>
      <c r="E248"/>
    </row>
    <row r="249" spans="1:11" x14ac:dyDescent="0.25">
      <c r="A249" s="30">
        <v>0.64460891621779492</v>
      </c>
      <c r="B249"/>
      <c r="C249"/>
      <c r="D249"/>
      <c r="E249"/>
    </row>
    <row r="250" spans="1:11" x14ac:dyDescent="0.25">
      <c r="A250" s="30">
        <v>0.61391325354075688</v>
      </c>
      <c r="B250"/>
      <c r="C250"/>
      <c r="D250"/>
      <c r="E250"/>
    </row>
    <row r="251" spans="1:11" x14ac:dyDescent="0.25">
      <c r="A251" s="30">
        <v>0.58467928908643485</v>
      </c>
      <c r="B251"/>
      <c r="C251"/>
      <c r="D251"/>
      <c r="E251"/>
    </row>
    <row r="252" spans="1:11" x14ac:dyDescent="0.25">
      <c r="A252" s="30">
        <v>0.55683741817755672</v>
      </c>
      <c r="B252"/>
      <c r="C252"/>
      <c r="D252"/>
      <c r="E252"/>
    </row>
    <row r="253" spans="1:11" x14ac:dyDescent="0.25">
      <c r="A253" s="30">
        <v>0.53032135064529184</v>
      </c>
      <c r="B253"/>
      <c r="C253"/>
      <c r="D253"/>
      <c r="E253"/>
    </row>
    <row r="254" spans="1:11" x14ac:dyDescent="0.25">
      <c r="A254" s="30">
        <v>0.50506795299551588</v>
      </c>
      <c r="B254"/>
      <c r="C254"/>
      <c r="D254"/>
      <c r="E254"/>
    </row>
    <row r="255" spans="1:11" x14ac:dyDescent="0.25">
      <c r="A255" s="30">
        <v>0.48101709809096732</v>
      </c>
      <c r="E255"/>
    </row>
    <row r="256" spans="1:11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638" operator="equal">
      <formula>$U$1</formula>
    </cfRule>
    <cfRule type="cellIs" dxfId="67" priority="639" operator="equal">
      <formula>$S$1</formula>
    </cfRule>
  </conditionalFormatting>
  <conditionalFormatting sqref="D136">
    <cfRule type="cellIs" dxfId="66" priority="636" operator="equal">
      <formula>$S$1</formula>
    </cfRule>
    <cfRule type="cellIs" dxfId="65" priority="637" operator="equal">
      <formula>$U$1</formula>
    </cfRule>
  </conditionalFormatting>
  <conditionalFormatting sqref="C162">
    <cfRule type="cellIs" dxfId="64" priority="634" operator="equal">
      <formula>$U$1</formula>
    </cfRule>
    <cfRule type="cellIs" dxfId="63" priority="635" operator="equal">
      <formula>$S$1</formula>
    </cfRule>
  </conditionalFormatting>
  <conditionalFormatting sqref="D162">
    <cfRule type="cellIs" dxfId="62" priority="632" operator="equal">
      <formula>$S$1</formula>
    </cfRule>
    <cfRule type="cellIs" dxfId="61" priority="633" operator="equal">
      <formula>$U$1</formula>
    </cfRule>
  </conditionalFormatting>
  <conditionalFormatting sqref="C187">
    <cfRule type="cellIs" dxfId="60" priority="630" operator="equal">
      <formula>$U$1</formula>
    </cfRule>
    <cfRule type="cellIs" dxfId="59" priority="631" operator="equal">
      <formula>$S$1</formula>
    </cfRule>
  </conditionalFormatting>
  <conditionalFormatting sqref="D187">
    <cfRule type="cellIs" dxfId="58" priority="628" operator="equal">
      <formula>$S$1</formula>
    </cfRule>
    <cfRule type="cellIs" dxfId="57" priority="629" operator="equal">
      <formula>$U$1</formula>
    </cfRule>
  </conditionalFormatting>
  <conditionalFormatting sqref="C212">
    <cfRule type="cellIs" dxfId="56" priority="626" operator="equal">
      <formula>$U$1</formula>
    </cfRule>
    <cfRule type="cellIs" dxfId="55" priority="627" operator="equal">
      <formula>$S$1</formula>
    </cfRule>
  </conditionalFormatting>
  <conditionalFormatting sqref="D212">
    <cfRule type="cellIs" dxfId="54" priority="624" operator="equal">
      <formula>$S$1</formula>
    </cfRule>
    <cfRule type="cellIs" dxfId="53" priority="625" operator="equal">
      <formula>$U$1</formula>
    </cfRule>
  </conditionalFormatting>
  <conditionalFormatting sqref="C237">
    <cfRule type="cellIs" dxfId="52" priority="622" operator="equal">
      <formula>$U$1</formula>
    </cfRule>
    <cfRule type="cellIs" dxfId="51" priority="623" operator="equal">
      <formula>$S$1</formula>
    </cfRule>
  </conditionalFormatting>
  <conditionalFormatting sqref="D237">
    <cfRule type="cellIs" dxfId="50" priority="620" operator="equal">
      <formula>$S$1</formula>
    </cfRule>
    <cfRule type="cellIs" dxfId="49" priority="621" operator="equal">
      <formula>$U$1</formula>
    </cfRule>
  </conditionalFormatting>
  <conditionalFormatting sqref="C106">
    <cfRule type="cellIs" dxfId="48" priority="618" operator="equal">
      <formula>$U$1</formula>
    </cfRule>
    <cfRule type="cellIs" dxfId="47" priority="619" operator="equal">
      <formula>$S$1</formula>
    </cfRule>
  </conditionalFormatting>
  <conditionalFormatting sqref="D106">
    <cfRule type="cellIs" dxfId="46" priority="616" operator="equal">
      <formula>$S$1</formula>
    </cfRule>
    <cfRule type="cellIs" dxfId="45" priority="617" operator="equal">
      <formula>$U$1</formula>
    </cfRule>
  </conditionalFormatting>
  <conditionalFormatting sqref="C81">
    <cfRule type="cellIs" dxfId="44" priority="614" operator="equal">
      <formula>$U$1</formula>
    </cfRule>
    <cfRule type="cellIs" dxfId="43" priority="615" operator="equal">
      <formula>$S$1</formula>
    </cfRule>
  </conditionalFormatting>
  <conditionalFormatting sqref="D81">
    <cfRule type="cellIs" dxfId="42" priority="612" operator="equal">
      <formula>$S$1</formula>
    </cfRule>
    <cfRule type="cellIs" dxfId="41" priority="613" operator="equal">
      <formula>$U$1</formula>
    </cfRule>
  </conditionalFormatting>
  <conditionalFormatting sqref="C56">
    <cfRule type="cellIs" dxfId="40" priority="610" operator="equal">
      <formula>$U$1</formula>
    </cfRule>
    <cfRule type="cellIs" dxfId="39" priority="611" operator="equal">
      <formula>$S$1</formula>
    </cfRule>
  </conditionalFormatting>
  <conditionalFormatting sqref="D56">
    <cfRule type="cellIs" dxfId="38" priority="608" operator="equal">
      <formula>$S$1</formula>
    </cfRule>
    <cfRule type="cellIs" dxfId="37" priority="609" operator="equal">
      <formula>$U$1</formula>
    </cfRule>
  </conditionalFormatting>
  <conditionalFormatting sqref="C31">
    <cfRule type="cellIs" dxfId="36" priority="606" operator="equal">
      <formula>$U$1</formula>
    </cfRule>
    <cfRule type="cellIs" dxfId="35" priority="607" operator="equal">
      <formula>$S$1</formula>
    </cfRule>
  </conditionalFormatting>
  <conditionalFormatting sqref="D31">
    <cfRule type="cellIs" dxfId="34" priority="604" operator="equal">
      <formula>$S$1</formula>
    </cfRule>
    <cfRule type="cellIs" dxfId="33" priority="60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L120" sqref="L12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10" x14ac:dyDescent="0.25">
      <c r="A97" s="30">
        <v>9.849732675807628</v>
      </c>
      <c r="E97"/>
    </row>
    <row r="98" spans="1:10" x14ac:dyDescent="0.25">
      <c r="A98" s="30">
        <v>8.9543024325523888</v>
      </c>
      <c r="C98" s="1" t="s">
        <v>13</v>
      </c>
      <c r="E98"/>
    </row>
    <row r="99" spans="1:10" x14ac:dyDescent="0.25">
      <c r="A99" s="30">
        <v>8.140274938683989</v>
      </c>
      <c r="C99" s="1">
        <f>C88</f>
        <v>0</v>
      </c>
      <c r="E99"/>
    </row>
    <row r="100" spans="1:10" x14ac:dyDescent="0.25">
      <c r="A100" s="30">
        <v>7.4002499442581717</v>
      </c>
      <c r="C100"/>
      <c r="D100"/>
      <c r="E100"/>
    </row>
    <row r="101" spans="1:10" x14ac:dyDescent="0.25">
      <c r="A101" s="30">
        <v>6.72749994932561</v>
      </c>
      <c r="C101" s="1" t="s">
        <v>14</v>
      </c>
      <c r="E101"/>
    </row>
    <row r="102" spans="1:1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10" x14ac:dyDescent="0.25">
      <c r="A103" s="30">
        <v>5.5599173134922388</v>
      </c>
      <c r="E103"/>
    </row>
    <row r="104" spans="1:10" x14ac:dyDescent="0.25">
      <c r="A104" s="30">
        <v>5.0544702849929442</v>
      </c>
      <c r="E104"/>
    </row>
    <row r="105" spans="1:10" x14ac:dyDescent="0.25">
      <c r="A105" s="30">
        <v>4.594972986357222</v>
      </c>
      <c r="E105"/>
    </row>
    <row r="106" spans="1:10" x14ac:dyDescent="0.25">
      <c r="A106" s="30">
        <v>4.1772481694156562</v>
      </c>
      <c r="E106"/>
      <c r="I106" s="27" t="s">
        <v>8</v>
      </c>
    </row>
    <row r="107" spans="1:10" x14ac:dyDescent="0.25">
      <c r="A107" s="30">
        <v>3.7974983358324148</v>
      </c>
      <c r="E107"/>
      <c r="I107" s="27" t="s">
        <v>8</v>
      </c>
      <c r="J107" s="27" t="s">
        <v>7</v>
      </c>
    </row>
    <row r="108" spans="1:10" x14ac:dyDescent="0.25">
      <c r="A108" s="30">
        <v>3.4522712143931042</v>
      </c>
      <c r="E108"/>
      <c r="I108" s="27" t="s">
        <v>8</v>
      </c>
      <c r="J108" s="27" t="s">
        <v>7</v>
      </c>
    </row>
    <row r="109" spans="1:10" x14ac:dyDescent="0.25">
      <c r="A109" s="30">
        <v>3.1384283767210035</v>
      </c>
      <c r="E109"/>
      <c r="I109" s="27" t="s">
        <v>8</v>
      </c>
      <c r="J109" s="27" t="s">
        <v>7</v>
      </c>
    </row>
    <row r="110" spans="1:10" x14ac:dyDescent="0.25">
      <c r="A110" s="30">
        <v>2.8531167061100029</v>
      </c>
      <c r="E110"/>
      <c r="I110" s="27" t="s">
        <v>8</v>
      </c>
      <c r="J110" s="27" t="s">
        <v>7</v>
      </c>
    </row>
    <row r="111" spans="1:10" x14ac:dyDescent="0.25">
      <c r="A111" s="30">
        <v>2.5937424601000023</v>
      </c>
      <c r="C111" s="1" t="str">
        <f>ADDRESS(C121-1,1,1,1)</f>
        <v>$A$119</v>
      </c>
      <c r="D111" s="1" t="str">
        <f>ADDRESS(C121-1,D121,1,1)</f>
        <v>$L$119</v>
      </c>
      <c r="E111"/>
      <c r="I111" s="27" t="s">
        <v>8</v>
      </c>
      <c r="J111" s="27" t="s">
        <v>7</v>
      </c>
    </row>
    <row r="112" spans="1:10" x14ac:dyDescent="0.25">
      <c r="A112" s="30">
        <v>2.3579476910000019</v>
      </c>
      <c r="C112" s="1" t="str">
        <f>ADDRESS(C121,1,1,1)</f>
        <v>$A$120</v>
      </c>
      <c r="D112" s="1" t="str">
        <f>ADDRESS(C121,D121-1,1,1)</f>
        <v>$K$120</v>
      </c>
      <c r="E112"/>
      <c r="I112" s="27" t="s">
        <v>8</v>
      </c>
      <c r="J112" s="27" t="s">
        <v>7</v>
      </c>
    </row>
    <row r="113" spans="1:12" x14ac:dyDescent="0.25">
      <c r="A113" s="30">
        <v>2.1435888100000016</v>
      </c>
      <c r="C113" s="1" t="str">
        <f>ADDRESS(C121+1,1,1,1)</f>
        <v>$A$121</v>
      </c>
      <c r="D113" s="1" t="str">
        <f>ADDRESS(C121-1,D121+1,1,1)</f>
        <v>$M$119</v>
      </c>
      <c r="I113" s="27" t="s">
        <v>8</v>
      </c>
      <c r="J113" s="27" t="s">
        <v>7</v>
      </c>
    </row>
    <row r="114" spans="1:12" x14ac:dyDescent="0.25">
      <c r="A114" s="30">
        <v>1.9487171000000014</v>
      </c>
      <c r="C114" s="1" t="str">
        <f>ADDRESS(C121,D121,1,1)</f>
        <v>$L$120</v>
      </c>
      <c r="D114" s="1" t="str">
        <f>ADDRESS(C121+1,D121+1,1,1)</f>
        <v>$M$121</v>
      </c>
      <c r="G114" s="27" t="s">
        <v>8</v>
      </c>
      <c r="I114" s="27" t="s">
        <v>8</v>
      </c>
      <c r="J114" s="27" t="s">
        <v>7</v>
      </c>
    </row>
    <row r="115" spans="1:12" x14ac:dyDescent="0.25">
      <c r="A115" s="30">
        <v>1.7715610000000011</v>
      </c>
      <c r="C115" s="1" t="str">
        <f>ADDRESS(C121+1,D121,1,1)</f>
        <v>$L$121</v>
      </c>
      <c r="G115" s="27" t="s">
        <v>8</v>
      </c>
      <c r="H115" s="27" t="s">
        <v>7</v>
      </c>
      <c r="I115" s="27" t="s">
        <v>8</v>
      </c>
      <c r="J115" s="27" t="s">
        <v>7</v>
      </c>
    </row>
    <row r="116" spans="1:12" x14ac:dyDescent="0.25">
      <c r="A116" s="30">
        <v>1.6105100000000008</v>
      </c>
      <c r="C116" s="1">
        <f>C117-1</f>
        <v>119</v>
      </c>
      <c r="G116" s="27" t="s">
        <v>8</v>
      </c>
      <c r="H116" s="27" t="s">
        <v>7</v>
      </c>
      <c r="I116" s="27" t="s">
        <v>8</v>
      </c>
      <c r="J116" s="27" t="s">
        <v>7</v>
      </c>
    </row>
    <row r="117" spans="1:12" x14ac:dyDescent="0.25">
      <c r="A117" s="30">
        <v>1.4641000000000006</v>
      </c>
      <c r="C117" s="1">
        <f>C121</f>
        <v>120</v>
      </c>
      <c r="D117" s="1">
        <f>D121</f>
        <v>12</v>
      </c>
      <c r="G117" s="27" t="s">
        <v>8</v>
      </c>
      <c r="H117" s="27" t="s">
        <v>7</v>
      </c>
      <c r="I117" s="27" t="s">
        <v>8</v>
      </c>
      <c r="J117" s="27" t="s">
        <v>7</v>
      </c>
      <c r="K117" s="27" t="s">
        <v>8</v>
      </c>
    </row>
    <row r="118" spans="1:12" x14ac:dyDescent="0.25">
      <c r="A118" s="30">
        <v>1.3310000000000004</v>
      </c>
      <c r="C118" s="1">
        <f>C117+1</f>
        <v>121</v>
      </c>
      <c r="D118" s="1">
        <f>D117+1</f>
        <v>13</v>
      </c>
      <c r="G118" s="27" t="s">
        <v>8</v>
      </c>
      <c r="H118" s="27" t="s">
        <v>7</v>
      </c>
      <c r="I118" s="27" t="s">
        <v>8</v>
      </c>
      <c r="J118" s="27" t="s">
        <v>7</v>
      </c>
      <c r="K118" s="27" t="s">
        <v>8</v>
      </c>
      <c r="L118" s="27" t="s">
        <v>7</v>
      </c>
    </row>
    <row r="119" spans="1:12" x14ac:dyDescent="0.25">
      <c r="A119" s="30">
        <v>1.2100000000000002</v>
      </c>
      <c r="E119" s="1" t="s">
        <v>8</v>
      </c>
      <c r="G119" s="27" t="s">
        <v>8</v>
      </c>
      <c r="H119" s="27" t="s">
        <v>7</v>
      </c>
      <c r="I119" s="27" t="s">
        <v>8</v>
      </c>
      <c r="J119" s="27" t="s">
        <v>7</v>
      </c>
      <c r="K119" s="27" t="s">
        <v>8</v>
      </c>
      <c r="L119" s="27" t="s">
        <v>7</v>
      </c>
    </row>
    <row r="120" spans="1:12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G120" s="27" t="s">
        <v>8</v>
      </c>
      <c r="H120" s="27" t="s">
        <v>7</v>
      </c>
      <c r="I120" s="27" t="s">
        <v>8</v>
      </c>
      <c r="J120" s="27" t="s">
        <v>7</v>
      </c>
      <c r="L120" s="27" t="s">
        <v>7</v>
      </c>
    </row>
    <row r="121" spans="1:12" x14ac:dyDescent="0.25">
      <c r="A121" s="30">
        <v>1</v>
      </c>
      <c r="C121" s="18">
        <v>120</v>
      </c>
      <c r="D121" s="19">
        <v>12</v>
      </c>
      <c r="E121" s="18" t="s">
        <v>8</v>
      </c>
      <c r="F121" s="27" t="s">
        <v>7</v>
      </c>
      <c r="G121" s="27" t="s">
        <v>8</v>
      </c>
      <c r="H121" s="27" t="s">
        <v>7</v>
      </c>
    </row>
    <row r="122" spans="1:12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12" x14ac:dyDescent="0.25">
      <c r="A123" s="30">
        <v>0.82644628099173523</v>
      </c>
      <c r="C123" s="1" t="str">
        <f>"R"&amp;C121</f>
        <v>R120</v>
      </c>
      <c r="D123" s="1" t="str">
        <f>"C"&amp;D121</f>
        <v>C12</v>
      </c>
    </row>
    <row r="124" spans="1:12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12" x14ac:dyDescent="0.25">
      <c r="A125" s="30">
        <v>0.68301345536507019</v>
      </c>
    </row>
    <row r="126" spans="1:12" x14ac:dyDescent="0.25">
      <c r="A126" s="30">
        <v>0.6209213230591546</v>
      </c>
      <c r="C126" s="1" t="s">
        <v>10</v>
      </c>
    </row>
    <row r="127" spans="1:12" x14ac:dyDescent="0.25">
      <c r="A127" s="30">
        <v>0.56447393005377677</v>
      </c>
      <c r="C127" s="30">
        <v>1.1000000000000001</v>
      </c>
      <c r="D127"/>
    </row>
    <row r="128" spans="1:12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622" operator="equal">
      <formula>$U$1</formula>
    </cfRule>
    <cfRule type="cellIs" dxfId="30" priority="623" operator="equal">
      <formula>$S$1</formula>
    </cfRule>
  </conditionalFormatting>
  <conditionalFormatting sqref="D136">
    <cfRule type="cellIs" dxfId="29" priority="620" operator="equal">
      <formula>$S$1</formula>
    </cfRule>
    <cfRule type="cellIs" dxfId="28" priority="621" operator="equal">
      <formula>$U$1</formula>
    </cfRule>
  </conditionalFormatting>
  <conditionalFormatting sqref="C102">
    <cfRule type="cellIs" dxfId="27" priority="618" operator="equal">
      <formula>$U$1</formula>
    </cfRule>
    <cfRule type="cellIs" dxfId="26" priority="619" operator="equal">
      <formula>$S$1</formula>
    </cfRule>
  </conditionalFormatting>
  <conditionalFormatting sqref="D102">
    <cfRule type="cellIs" dxfId="25" priority="616" operator="equal">
      <formula>$S$1</formula>
    </cfRule>
    <cfRule type="cellIs" dxfId="24" priority="617" operator="equal">
      <formula>$U$1</formula>
    </cfRule>
  </conditionalFormatting>
  <conditionalFormatting sqref="C77">
    <cfRule type="cellIs" dxfId="23" priority="614" operator="equal">
      <formula>$U$1</formula>
    </cfRule>
    <cfRule type="cellIs" dxfId="22" priority="615" operator="equal">
      <formula>$S$1</formula>
    </cfRule>
  </conditionalFormatting>
  <conditionalFormatting sqref="D77">
    <cfRule type="cellIs" dxfId="21" priority="612" operator="equal">
      <formula>$S$1</formula>
    </cfRule>
    <cfRule type="cellIs" dxfId="20" priority="613" operator="equal">
      <formula>$U$1</formula>
    </cfRule>
  </conditionalFormatting>
  <conditionalFormatting sqref="C52">
    <cfRule type="cellIs" dxfId="19" priority="610" operator="equal">
      <formula>$U$1</formula>
    </cfRule>
    <cfRule type="cellIs" dxfId="18" priority="611" operator="equal">
      <formula>$S$1</formula>
    </cfRule>
  </conditionalFormatting>
  <conditionalFormatting sqref="D52">
    <cfRule type="cellIs" dxfId="17" priority="608" operator="equal">
      <formula>$S$1</formula>
    </cfRule>
    <cfRule type="cellIs" dxfId="16" priority="609" operator="equal">
      <formula>$U$1</formula>
    </cfRule>
  </conditionalFormatting>
  <conditionalFormatting sqref="C26">
    <cfRule type="cellIs" dxfId="15" priority="606" operator="equal">
      <formula>$U$1</formula>
    </cfRule>
    <cfRule type="cellIs" dxfId="14" priority="607" operator="equal">
      <formula>$S$1</formula>
    </cfRule>
  </conditionalFormatting>
  <conditionalFormatting sqref="D26">
    <cfRule type="cellIs" dxfId="13" priority="604" operator="equal">
      <formula>$S$1</formula>
    </cfRule>
    <cfRule type="cellIs" dxfId="12" priority="60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2022-01-28T01:18:09Z</dcterms:modified>
</cp:coreProperties>
</file>