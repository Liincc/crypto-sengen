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374305E-D95A-4B41-9D18-C59025B250D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4"/>
  <c r="C116" i="5"/>
  <c r="C118" i="3"/>
  <c r="R765" i="1"/>
  <c r="C122" i="4"/>
  <c r="C133" i="4" s="1"/>
  <c r="C136" i="4" s="1"/>
  <c r="C122" i="3"/>
  <c r="C133" i="3" s="1"/>
  <c r="D136" i="3" s="1"/>
  <c r="C136" i="5" l="1"/>
  <c r="C138" i="5" s="1"/>
  <c r="R764" i="1"/>
  <c r="S765" i="1"/>
  <c r="T765" i="1" s="1"/>
  <c r="D136" i="4"/>
  <c r="C138" i="4" s="1"/>
  <c r="C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S571" i="1" l="1"/>
  <c r="T571" i="1" s="1"/>
  <c r="R570" i="1"/>
  <c r="S570" i="1" l="1"/>
  <c r="T570" i="1" s="1"/>
  <c r="R569" i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S492" i="1" l="1"/>
  <c r="T492" i="1" s="1"/>
  <c r="R491" i="1"/>
  <c r="R490" i="1" l="1"/>
  <c r="S491" i="1"/>
  <c r="T491" i="1" s="1"/>
  <c r="S490" i="1" l="1"/>
  <c r="T490" i="1" s="1"/>
  <c r="R489" i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S444" i="1" l="1"/>
  <c r="T444" i="1" s="1"/>
  <c r="R443" i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R357" i="1" l="1"/>
  <c r="S358" i="1"/>
  <c r="T358" i="1" s="1"/>
  <c r="S357" i="1" l="1"/>
  <c r="T357" i="1" s="1"/>
  <c r="R356" i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S282" i="1" l="1"/>
  <c r="T282" i="1" s="1"/>
  <c r="R281" i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R165" i="1" l="1"/>
  <c r="S166" i="1"/>
  <c r="T166" i="1" s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S135" i="1" l="1"/>
  <c r="T135" i="1" s="1"/>
  <c r="R134" i="1"/>
  <c r="S134" i="1" l="1"/>
  <c r="T134" i="1" s="1"/>
  <c r="R133" i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<sst xmlns="http://schemas.openxmlformats.org/spreadsheetml/2006/main" count="3855" uniqueCount="34">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</sst>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0.1578</c:v>
                </c:pt>
                <c:pt idx="1">
                  <c:v>0.16059999999999999</c:v>
                </c:pt>
                <c:pt idx="2">
                  <c:v>0.1638</c:v>
                </c:pt>
                <c:pt idx="3">
                  <c:v>0.16200000000000001</c:v>
                </c:pt>
                <c:pt idx="4">
                  <c:v>0.16800000000000001</c:v>
                </c:pt>
                <c:pt idx="5">
                  <c:v>0.16139999999999999</c:v>
                </c:pt>
                <c:pt idx="6">
                  <c:v>0.1729</c:v>
                </c:pt>
                <c:pt idx="7">
                  <c:v>0.20610000000000001</c:v>
                </c:pt>
                <c:pt idx="8">
                  <c:v>0.21</c:v>
                </c:pt>
                <c:pt idx="9">
                  <c:v>0.2135</c:v>
                </c:pt>
                <c:pt idx="10">
                  <c:v>0.2198</c:v>
                </c:pt>
                <c:pt idx="11">
                  <c:v>0.23830000000000001</c:v>
                </c:pt>
                <c:pt idx="12">
                  <c:v>0.23350000000000001</c:v>
                </c:pt>
                <c:pt idx="13">
                  <c:v>0.23169999999999999</c:v>
                </c:pt>
                <c:pt idx="14">
                  <c:v>0.23069999999999999</c:v>
                </c:pt>
                <c:pt idx="15">
                  <c:v>0.24160000000000001</c:v>
                </c:pt>
                <c:pt idx="16">
                  <c:v>0.2301</c:v>
                </c:pt>
                <c:pt idx="17">
                  <c:v>0.21229999999999999</c:v>
                </c:pt>
                <c:pt idx="18">
                  <c:v>0.2175</c:v>
                </c:pt>
                <c:pt idx="19">
                  <c:v>0.2165</c:v>
                </c:pt>
                <c:pt idx="20">
                  <c:v>0.22550000000000001</c:v>
                </c:pt>
                <c:pt idx="21">
                  <c:v>0.25030000000000002</c:v>
                </c:pt>
                <c:pt idx="22">
                  <c:v>0.26</c:v>
                </c:pt>
                <c:pt idx="23">
                  <c:v>0.2838</c:v>
                </c:pt>
                <c:pt idx="24">
                  <c:v>0.28310000000000002</c:v>
                </c:pt>
                <c:pt idx="25">
                  <c:v>0.27400000000000002</c:v>
                </c:pt>
                <c:pt idx="26">
                  <c:v>0.27150000000000002</c:v>
                </c:pt>
                <c:pt idx="27">
                  <c:v>0.26079999999999998</c:v>
                </c:pt>
                <c:pt idx="28">
                  <c:v>0.26590000000000003</c:v>
                </c:pt>
                <c:pt idx="29">
                  <c:v>0.26769999999999999</c:v>
                </c:pt>
                <c:pt idx="30">
                  <c:v>0.30499999999999999</c:v>
                </c:pt>
                <c:pt idx="31">
                  <c:v>0.29199999999999998</c:v>
                </c:pt>
                <c:pt idx="32">
                  <c:v>0.27129999999999999</c:v>
                </c:pt>
                <c:pt idx="33">
                  <c:v>0.27510000000000001</c:v>
                </c:pt>
                <c:pt idx="34">
                  <c:v>0.2676</c:v>
                </c:pt>
                <c:pt idx="35">
                  <c:v>0.27660000000000001</c:v>
                </c:pt>
                <c:pt idx="36">
                  <c:v>0.26869999999999999</c:v>
                </c:pt>
                <c:pt idx="37">
                  <c:v>0.25800000000000001</c:v>
                </c:pt>
                <c:pt idx="38">
                  <c:v>0.25030000000000002</c:v>
                </c:pt>
                <c:pt idx="39">
                  <c:v>0.26619999999999999</c:v>
                </c:pt>
                <c:pt idx="40">
                  <c:v>0.2772</c:v>
                </c:pt>
                <c:pt idx="41">
                  <c:v>0.2656</c:v>
                </c:pt>
                <c:pt idx="42">
                  <c:v>0.25790000000000002</c:v>
                </c:pt>
                <c:pt idx="43">
                  <c:v>0.27029999999999998</c:v>
                </c:pt>
                <c:pt idx="44">
                  <c:v>0.2591</c:v>
                </c:pt>
                <c:pt idx="45">
                  <c:v>0.26319999999999999</c:v>
                </c:pt>
                <c:pt idx="46">
                  <c:v>0.30649999999999999</c:v>
                </c:pt>
                <c:pt idx="47">
                  <c:v>0.29389999999999999</c:v>
                </c:pt>
                <c:pt idx="48">
                  <c:v>0.2898</c:v>
                </c:pt>
                <c:pt idx="49">
                  <c:v>0.314</c:v>
                </c:pt>
                <c:pt idx="50">
                  <c:v>0.34889999999999999</c:v>
                </c:pt>
                <c:pt idx="51">
                  <c:v>0.3382</c:v>
                </c:pt>
                <c:pt idx="52">
                  <c:v>0.34949999999999998</c:v>
                </c:pt>
                <c:pt idx="53">
                  <c:v>0.34250000000000003</c:v>
                </c:pt>
                <c:pt idx="54">
                  <c:v>0.35599999999999998</c:v>
                </c:pt>
                <c:pt idx="55">
                  <c:v>0.44479999999999997</c:v>
                </c:pt>
                <c:pt idx="56">
                  <c:v>0.434</c:v>
                </c:pt>
                <c:pt idx="57">
                  <c:v>0.44579999999999997</c:v>
                </c:pt>
                <c:pt idx="58">
                  <c:v>0.4476</c:v>
                </c:pt>
                <c:pt idx="59">
                  <c:v>0.46710000000000002</c:v>
                </c:pt>
                <c:pt idx="60">
                  <c:v>0.45540000000000003</c:v>
                </c:pt>
                <c:pt idx="61">
                  <c:v>0.45140000000000002</c:v>
                </c:pt>
                <c:pt idx="62">
                  <c:v>0.44090000000000001</c:v>
                </c:pt>
                <c:pt idx="63">
                  <c:v>0.49009999999999998</c:v>
                </c:pt>
                <c:pt idx="64">
                  <c:v>0.47549999999999998</c:v>
                </c:pt>
                <c:pt idx="65">
                  <c:v>0.49109999999999998</c:v>
                </c:pt>
                <c:pt idx="66">
                  <c:v>0.48149999999999998</c:v>
                </c:pt>
                <c:pt idx="67">
                  <c:v>0.50429999999999997</c:v>
                </c:pt>
                <c:pt idx="68">
                  <c:v>0.4884</c:v>
                </c:pt>
                <c:pt idx="69">
                  <c:v>0.47920000000000001</c:v>
                </c:pt>
                <c:pt idx="70">
                  <c:v>0.4486</c:v>
                </c:pt>
                <c:pt idx="71">
                  <c:v>0.49220000000000003</c:v>
                </c:pt>
                <c:pt idx="72">
                  <c:v>0.49940000000000001</c:v>
                </c:pt>
                <c:pt idx="73">
                  <c:v>0.5524</c:v>
                </c:pt>
                <c:pt idx="74">
                  <c:v>0.53900000000000003</c:v>
                </c:pt>
                <c:pt idx="75">
                  <c:v>0.54669999999999996</c:v>
                </c:pt>
                <c:pt idx="76">
                  <c:v>0.53439999999999999</c:v>
                </c:pt>
                <c:pt idx="77">
                  <c:v>0.56589999999999996</c:v>
                </c:pt>
                <c:pt idx="78">
                  <c:v>0.55940000000000001</c:v>
                </c:pt>
                <c:pt idx="79">
                  <c:v>0.59179999999999999</c:v>
                </c:pt>
                <c:pt idx="80">
                  <c:v>0.5907</c:v>
                </c:pt>
                <c:pt idx="81">
                  <c:v>0.5998</c:v>
                </c:pt>
                <c:pt idx="82">
                  <c:v>0.60060000000000002</c:v>
                </c:pt>
                <c:pt idx="83">
                  <c:v>0.59089999999999998</c:v>
                </c:pt>
                <c:pt idx="84">
                  <c:v>0.62980000000000003</c:v>
                </c:pt>
                <c:pt idx="85">
                  <c:v>0.58730000000000004</c:v>
                </c:pt>
                <c:pt idx="86">
                  <c:v>0.52790000000000004</c:v>
                </c:pt>
                <c:pt idx="87">
                  <c:v>0.50890000000000002</c:v>
                </c:pt>
                <c:pt idx="88">
                  <c:v>0.50739999999999996</c:v>
                </c:pt>
                <c:pt idx="89">
                  <c:v>0.52300000000000002</c:v>
                </c:pt>
                <c:pt idx="90">
                  <c:v>0.51790000000000003</c:v>
                </c:pt>
                <c:pt idx="91">
                  <c:v>0.49530000000000002</c:v>
                </c:pt>
                <c:pt idx="92">
                  <c:v>0.47889999999999999</c:v>
                </c:pt>
                <c:pt idx="93">
                  <c:v>0.53959999999999997</c:v>
                </c:pt>
                <c:pt idx="94">
                  <c:v>0.53620000000000001</c:v>
                </c:pt>
                <c:pt idx="95">
                  <c:v>0.52680000000000005</c:v>
                </c:pt>
                <c:pt idx="96">
                  <c:v>0.56620000000000004</c:v>
                </c:pt>
                <c:pt idx="97">
                  <c:v>0.57650000000000001</c:v>
                </c:pt>
                <c:pt idx="98">
                  <c:v>0.57299999999999995</c:v>
                </c:pt>
                <c:pt idx="99">
                  <c:v>0.59279999999999999</c:v>
                </c:pt>
                <c:pt idx="100">
                  <c:v>0.56620000000000004</c:v>
                </c:pt>
                <c:pt idx="101">
                  <c:v>0.57979999999999998</c:v>
                </c:pt>
                <c:pt idx="102">
                  <c:v>0.5837</c:v>
                </c:pt>
                <c:pt idx="103">
                  <c:v>0.60770000000000002</c:v>
                </c:pt>
                <c:pt idx="104">
                  <c:v>0.61899999999999999</c:v>
                </c:pt>
                <c:pt idx="105">
                  <c:v>0.56059999999999999</c:v>
                </c:pt>
                <c:pt idx="106">
                  <c:v>0.53959999999999997</c:v>
                </c:pt>
                <c:pt idx="107">
                  <c:v>0.51129999999999998</c:v>
                </c:pt>
                <c:pt idx="108">
                  <c:v>0.5141</c:v>
                </c:pt>
                <c:pt idx="109">
                  <c:v>0.53490000000000004</c:v>
                </c:pt>
                <c:pt idx="110">
                  <c:v>0.57279999999999998</c:v>
                </c:pt>
                <c:pt idx="111">
                  <c:v>0.57999999999999996</c:v>
                </c:pt>
                <c:pt idx="112">
                  <c:v>0.61129999999999995</c:v>
                </c:pt>
                <c:pt idx="113">
                  <c:v>0.54169999999999996</c:v>
                </c:pt>
                <c:pt idx="114">
                  <c:v>0.56840000000000002</c:v>
                </c:pt>
                <c:pt idx="115">
                  <c:v>0.56879999999999997</c:v>
                </c:pt>
                <c:pt idx="116">
                  <c:v>0.52929999999999999</c:v>
                </c:pt>
                <c:pt idx="117">
                  <c:v>0.51119999999999999</c:v>
                </c:pt>
                <c:pt idx="118">
                  <c:v>0.51729999999999998</c:v>
                </c:pt>
                <c:pt idx="119">
                  <c:v>0.47289999999999999</c:v>
                </c:pt>
                <c:pt idx="120">
                  <c:v>0.4667</c:v>
                </c:pt>
                <c:pt idx="121">
                  <c:v>0.46</c:v>
                </c:pt>
                <c:pt idx="122">
                  <c:v>0.46529999999999999</c:v>
                </c:pt>
                <c:pt idx="123">
                  <c:v>0.47499999999999998</c:v>
                </c:pt>
                <c:pt idx="124">
                  <c:v>0.46739999999999998</c:v>
                </c:pt>
                <c:pt idx="125">
                  <c:v>0.48159999999999997</c:v>
                </c:pt>
                <c:pt idx="126">
                  <c:v>0.53969999999999996</c:v>
                </c:pt>
                <c:pt idx="127">
                  <c:v>0.54100000000000004</c:v>
                </c:pt>
                <c:pt idx="128">
                  <c:v>0.47699999999999998</c:v>
                </c:pt>
                <c:pt idx="129">
                  <c:v>0.59189999999999998</c:v>
                </c:pt>
                <c:pt idx="130">
                  <c:v>0.62549999999999994</c:v>
                </c:pt>
                <c:pt idx="131">
                  <c:v>0.67720000000000002</c:v>
                </c:pt>
                <c:pt idx="132">
                  <c:v>0.62749999999999995</c:v>
                </c:pt>
                <c:pt idx="133">
                  <c:v>0.64710000000000001</c:v>
                </c:pt>
                <c:pt idx="134">
                  <c:v>0.68830000000000002</c:v>
                </c:pt>
                <c:pt idx="135">
                  <c:v>0.64480000000000004</c:v>
                </c:pt>
                <c:pt idx="136">
                  <c:v>0.62429999999999997</c:v>
                </c:pt>
                <c:pt idx="137">
                  <c:v>0.65800000000000003</c:v>
                </c:pt>
                <c:pt idx="138">
                  <c:v>0.6431</c:v>
                </c:pt>
                <c:pt idx="139">
                  <c:v>0.62219999999999998</c:v>
                </c:pt>
                <c:pt idx="140">
                  <c:v>0.67090000000000005</c:v>
                </c:pt>
                <c:pt idx="141">
                  <c:v>0.67</c:v>
                </c:pt>
                <c:pt idx="142">
                  <c:v>0.6855</c:v>
                </c:pt>
                <c:pt idx="143">
                  <c:v>0.91390000000000005</c:v>
                </c:pt>
                <c:pt idx="144">
                  <c:v>0.86099999999999999</c:v>
                </c:pt>
                <c:pt idx="145">
                  <c:v>0.86550000000000005</c:v>
                </c:pt>
                <c:pt idx="146">
                  <c:v>0.87480000000000002</c:v>
                </c:pt>
                <c:pt idx="147">
                  <c:v>0.84199999999999997</c:v>
                </c:pt>
                <c:pt idx="148">
                  <c:v>0.88839999999999997</c:v>
                </c:pt>
                <c:pt idx="149">
                  <c:v>0.84650000000000003</c:v>
                </c:pt>
                <c:pt idx="150">
                  <c:v>0.90149999999999997</c:v>
                </c:pt>
                <c:pt idx="151">
                  <c:v>0.9778</c:v>
                </c:pt>
                <c:pt idx="152">
                  <c:v>1.0198</c:v>
                </c:pt>
                <c:pt idx="153">
                  <c:v>0.89559999999999995</c:v>
                </c:pt>
                <c:pt idx="154">
                  <c:v>0.84709999999999996</c:v>
                </c:pt>
                <c:pt idx="155">
                  <c:v>0.79800000000000004</c:v>
                </c:pt>
                <c:pt idx="156">
                  <c:v>0.69699999999999995</c:v>
                </c:pt>
                <c:pt idx="157">
                  <c:v>0.78900000000000003</c:v>
                </c:pt>
                <c:pt idx="158">
                  <c:v>0.78600000000000003</c:v>
                </c:pt>
                <c:pt idx="159">
                  <c:v>0.79100000000000004</c:v>
                </c:pt>
                <c:pt idx="160">
                  <c:v>0.77600000000000002</c:v>
                </c:pt>
                <c:pt idx="161">
                  <c:v>0.75900000000000001</c:v>
                </c:pt>
                <c:pt idx="162">
                  <c:v>0.72799999999999998</c:v>
                </c:pt>
                <c:pt idx="163">
                  <c:v>0.71</c:v>
                </c:pt>
                <c:pt idx="164">
                  <c:v>0.76200000000000001</c:v>
                </c:pt>
                <c:pt idx="165">
                  <c:v>0.82599999999999996</c:v>
                </c:pt>
                <c:pt idx="166">
                  <c:v>0.71599999999999997</c:v>
                </c:pt>
                <c:pt idx="167">
                  <c:v>0.75</c:v>
                </c:pt>
                <c:pt idx="168">
                  <c:v>0.67100000000000004</c:v>
                </c:pt>
                <c:pt idx="169">
                  <c:v>0.70499999999999996</c:v>
                </c:pt>
                <c:pt idx="170">
                  <c:v>0.73799999999999999</c:v>
                </c:pt>
                <c:pt idx="171">
                  <c:v>0.66800000000000004</c:v>
                </c:pt>
                <c:pt idx="172">
                  <c:v>0.58799999999999997</c:v>
                </c:pt>
                <c:pt idx="173">
                  <c:v>0.64</c:v>
                </c:pt>
                <c:pt idx="174">
                  <c:v>0.66</c:v>
                </c:pt>
                <c:pt idx="175">
                  <c:v>0.64700000000000002</c:v>
                </c:pt>
                <c:pt idx="176">
                  <c:v>0.59299999999999997</c:v>
                </c:pt>
                <c:pt idx="177">
                  <c:v>0.57599999999999996</c:v>
                </c:pt>
                <c:pt idx="178">
                  <c:v>0.54</c:v>
                </c:pt>
                <c:pt idx="179">
                  <c:v>0.52800000000000002</c:v>
                </c:pt>
                <c:pt idx="180">
                  <c:v>0.56699999999999995</c:v>
                </c:pt>
                <c:pt idx="181">
                  <c:v>0.56599999999999995</c:v>
                </c:pt>
                <c:pt idx="182">
                  <c:v>0.54900000000000004</c:v>
                </c:pt>
                <c:pt idx="183">
                  <c:v>0.58099999999999996</c:v>
                </c:pt>
                <c:pt idx="184">
                  <c:v>0.53800000000000003</c:v>
                </c:pt>
                <c:pt idx="185">
                  <c:v>0.51400000000000001</c:v>
                </c:pt>
                <c:pt idx="186">
                  <c:v>0.627</c:v>
                </c:pt>
                <c:pt idx="187">
                  <c:v>0.49399999999999999</c:v>
                </c:pt>
                <c:pt idx="188">
                  <c:v>0.46500000000000002</c:v>
                </c:pt>
                <c:pt idx="189">
                  <c:v>0.41499999999999998</c:v>
                </c:pt>
                <c:pt idx="190">
                  <c:v>0.39500000000000002</c:v>
                </c:pt>
                <c:pt idx="191">
                  <c:v>0.36499999999999999</c:v>
                </c:pt>
                <c:pt idx="192">
                  <c:v>0.39300000000000002</c:v>
                </c:pt>
                <c:pt idx="193">
                  <c:v>0.443</c:v>
                </c:pt>
                <c:pt idx="194">
                  <c:v>0.46700000000000003</c:v>
                </c:pt>
                <c:pt idx="195">
                  <c:v>0.504</c:v>
                </c:pt>
                <c:pt idx="196">
                  <c:v>0.60699999999999998</c:v>
                </c:pt>
                <c:pt idx="197">
                  <c:v>0.63600000000000001</c:v>
                </c:pt>
                <c:pt idx="198">
                  <c:v>0.54200000000000004</c:v>
                </c:pt>
                <c:pt idx="199">
                  <c:v>0.46600000000000003</c:v>
                </c:pt>
                <c:pt idx="200">
                  <c:v>0.49099999999999999</c:v>
                </c:pt>
                <c:pt idx="201">
                  <c:v>0.434</c:v>
                </c:pt>
                <c:pt idx="202">
                  <c:v>0.45400000000000001</c:v>
                </c:pt>
                <c:pt idx="203">
                  <c:v>0.42299999999999999</c:v>
                </c:pt>
                <c:pt idx="204">
                  <c:v>0.48499999999999999</c:v>
                </c:pt>
                <c:pt idx="205">
                  <c:v>0.45500000000000002</c:v>
                </c:pt>
                <c:pt idx="206">
                  <c:v>0.41</c:v>
                </c:pt>
                <c:pt idx="207">
                  <c:v>0.42899999999999999</c:v>
                </c:pt>
                <c:pt idx="208">
                  <c:v>0.39900000000000002</c:v>
                </c:pt>
                <c:pt idx="209">
                  <c:v>0.38200000000000001</c:v>
                </c:pt>
                <c:pt idx="210">
                  <c:v>0.38300000000000001</c:v>
                </c:pt>
                <c:pt idx="211">
                  <c:v>0.42199999999999999</c:v>
                </c:pt>
                <c:pt idx="212">
                  <c:v>0.42899999999999999</c:v>
                </c:pt>
                <c:pt idx="213">
                  <c:v>0.40799999999999997</c:v>
                </c:pt>
                <c:pt idx="214">
                  <c:v>0.41399999999999998</c:v>
                </c:pt>
                <c:pt idx="215">
                  <c:v>0.36499999999999999</c:v>
                </c:pt>
                <c:pt idx="216">
                  <c:v>0.374</c:v>
                </c:pt>
                <c:pt idx="217">
                  <c:v>0.42399999999999999</c:v>
                </c:pt>
                <c:pt idx="218">
                  <c:v>0.42199999999999999</c:v>
                </c:pt>
                <c:pt idx="219">
                  <c:v>0.38900000000000001</c:v>
                </c:pt>
                <c:pt idx="220">
                  <c:v>0.42599999999999999</c:v>
                </c:pt>
                <c:pt idx="221">
                  <c:v>0.56799999999999995</c:v>
                </c:pt>
                <c:pt idx="222">
                  <c:v>0.58299999999999996</c:v>
                </c:pt>
                <c:pt idx="223">
                  <c:v>0.60899999999999999</c:v>
                </c:pt>
                <c:pt idx="224">
                  <c:v>0.63900000000000001</c:v>
                </c:pt>
                <c:pt idx="225">
                  <c:v>0.625</c:v>
                </c:pt>
                <c:pt idx="226">
                  <c:v>0.67300000000000004</c:v>
                </c:pt>
                <c:pt idx="227">
                  <c:v>0.68799999999999994</c:v>
                </c:pt>
                <c:pt idx="228">
                  <c:v>0.68</c:v>
                </c:pt>
                <c:pt idx="229">
                  <c:v>0.63200000000000001</c:v>
                </c:pt>
                <c:pt idx="230">
                  <c:v>0.67200000000000004</c:v>
                </c:pt>
                <c:pt idx="231">
                  <c:v>0.67100000000000004</c:v>
                </c:pt>
                <c:pt idx="232">
                  <c:v>0.73299999999999998</c:v>
                </c:pt>
                <c:pt idx="233">
                  <c:v>0.70099999999999996</c:v>
                </c:pt>
                <c:pt idx="234">
                  <c:v>0.70899999999999996</c:v>
                </c:pt>
                <c:pt idx="235">
                  <c:v>0.81</c:v>
                </c:pt>
                <c:pt idx="236">
                  <c:v>0.80900000000000005</c:v>
                </c:pt>
                <c:pt idx="237">
                  <c:v>0.85799999999999998</c:v>
                </c:pt>
                <c:pt idx="238">
                  <c:v>1.0209999999999999</c:v>
                </c:pt>
                <c:pt idx="239">
                  <c:v>0.97299999999999998</c:v>
                </c:pt>
                <c:pt idx="240">
                  <c:v>0.97</c:v>
                </c:pt>
                <c:pt idx="241">
                  <c:v>1.046</c:v>
                </c:pt>
                <c:pt idx="242">
                  <c:v>0.92900000000000005</c:v>
                </c:pt>
                <c:pt idx="243">
                  <c:v>0.63600000000000001</c:v>
                </c:pt>
                <c:pt idx="244">
                  <c:v>0.69099999999999995</c:v>
                </c:pt>
                <c:pt idx="245">
                  <c:v>0.80400000000000005</c:v>
                </c:pt>
                <c:pt idx="246">
                  <c:v>0.88700000000000001</c:v>
                </c:pt>
                <c:pt idx="247">
                  <c:v>0.81799999999999995</c:v>
                </c:pt>
                <c:pt idx="248">
                  <c:v>0.79300000000000004</c:v>
                </c:pt>
                <c:pt idx="249">
                  <c:v>0.63300000000000001</c:v>
                </c:pt>
                <c:pt idx="250">
                  <c:v>0.76600000000000001</c:v>
                </c:pt>
                <c:pt idx="251">
                  <c:v>0.84899999999999998</c:v>
                </c:pt>
                <c:pt idx="252">
                  <c:v>1.028</c:v>
                </c:pt>
                <c:pt idx="253">
                  <c:v>0.94799999999999995</c:v>
                </c:pt>
                <c:pt idx="254">
                  <c:v>1.514</c:v>
                </c:pt>
                <c:pt idx="255">
                  <c:v>1.5649999999999999</c:v>
                </c:pt>
                <c:pt idx="256">
                  <c:v>1.78</c:v>
                </c:pt>
                <c:pt idx="257">
                  <c:v>1.69</c:v>
                </c:pt>
                <c:pt idx="258">
                  <c:v>1.8169999999999999</c:v>
                </c:pt>
                <c:pt idx="259">
                  <c:v>1.6439999999999999</c:v>
                </c:pt>
                <c:pt idx="260">
                  <c:v>1.6479999999999999</c:v>
                </c:pt>
                <c:pt idx="261">
                  <c:v>2.0449999999999999</c:v>
                </c:pt>
                <c:pt idx="262">
                  <c:v>1.974</c:v>
                </c:pt>
                <c:pt idx="263">
                  <c:v>2.2799999999999998</c:v>
                </c:pt>
                <c:pt idx="264">
                  <c:v>2.4</c:v>
                </c:pt>
                <c:pt idx="265">
                  <c:v>2.2650000000000001</c:v>
                </c:pt>
                <c:pt idx="266">
                  <c:v>2.37</c:v>
                </c:pt>
                <c:pt idx="267">
                  <c:v>2.6360000000000001</c:v>
                </c:pt>
                <c:pt idx="268">
                  <c:v>2.552</c:v>
                </c:pt>
                <c:pt idx="269">
                  <c:v>3.1</c:v>
                </c:pt>
                <c:pt idx="270">
                  <c:v>3.0960000000000001</c:v>
                </c:pt>
                <c:pt idx="271">
                  <c:v>2.54</c:v>
                </c:pt>
                <c:pt idx="272">
                  <c:v>2.597</c:v>
                </c:pt>
                <c:pt idx="273">
                  <c:v>2.649</c:v>
                </c:pt>
                <c:pt idx="274">
                  <c:v>2.46</c:v>
                </c:pt>
                <c:pt idx="275">
                  <c:v>1.91</c:v>
                </c:pt>
                <c:pt idx="276">
                  <c:v>1.8720000000000001</c:v>
                </c:pt>
                <c:pt idx="277">
                  <c:v>1.5429999999999999</c:v>
                </c:pt>
                <c:pt idx="278">
                  <c:v>1.585</c:v>
                </c:pt>
                <c:pt idx="279">
                  <c:v>1.819</c:v>
                </c:pt>
                <c:pt idx="280">
                  <c:v>1.9330000000000001</c:v>
                </c:pt>
                <c:pt idx="281">
                  <c:v>2.2770000000000001</c:v>
                </c:pt>
                <c:pt idx="282">
                  <c:v>2.6989999999999998</c:v>
                </c:pt>
                <c:pt idx="283">
                  <c:v>2.4649999999999999</c:v>
                </c:pt>
                <c:pt idx="284">
                  <c:v>2.46</c:v>
                </c:pt>
                <c:pt idx="285">
                  <c:v>2.8170000000000002</c:v>
                </c:pt>
                <c:pt idx="286">
                  <c:v>2.9049999999999998</c:v>
                </c:pt>
                <c:pt idx="287">
                  <c:v>3.38</c:v>
                </c:pt>
                <c:pt idx="288">
                  <c:v>3.5379999999999998</c:v>
                </c:pt>
                <c:pt idx="289">
                  <c:v>3.9449999999999998</c:v>
                </c:pt>
                <c:pt idx="290">
                  <c:v>4.4189999999999996</c:v>
                </c:pt>
                <c:pt idx="291">
                  <c:v>4.3010000000000002</c:v>
                </c:pt>
                <c:pt idx="292">
                  <c:v>3.8420000000000001</c:v>
                </c:pt>
                <c:pt idx="293">
                  <c:v>4.3739999999999997</c:v>
                </c:pt>
                <c:pt idx="294">
                  <c:v>3.5150000000000001</c:v>
                </c:pt>
                <c:pt idx="295">
                  <c:v>3.5110000000000001</c:v>
                </c:pt>
                <c:pt idx="296">
                  <c:v>3.9359999999999999</c:v>
                </c:pt>
                <c:pt idx="297">
                  <c:v>4.9139999999999997</c:v>
                </c:pt>
                <c:pt idx="298">
                  <c:v>5.6740000000000004</c:v>
                </c:pt>
                <c:pt idx="299">
                  <c:v>5.6849999999999996</c:v>
                </c:pt>
                <c:pt idx="300">
                  <c:v>6.931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89-4CD7-8D73-0B865E8D57A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-9.0466518075364455</c:v>
                </c:pt>
                <c:pt idx="1">
                  <c:v>-9.0440325931364463</c:v>
                </c:pt>
                <c:pt idx="2">
                  <c:v>-8.9491269367728083</c:v>
                </c:pt>
                <c:pt idx="3">
                  <c:v>-8.9702032772490004</c:v>
                </c:pt>
                <c:pt idx="4">
                  <c:v>-9.0436637216091889</c:v>
                </c:pt>
                <c:pt idx="5">
                  <c:v>-9.0854028789744596</c:v>
                </c:pt>
                <c:pt idx="6">
                  <c:v>-8.9973174666763231</c:v>
                </c:pt>
                <c:pt idx="7">
                  <c:v>-8.7481550552477518</c:v>
                </c:pt>
                <c:pt idx="8">
                  <c:v>-8.5790413153689649</c:v>
                </c:pt>
                <c:pt idx="9">
                  <c:v>-8.5242905295011955</c:v>
                </c:pt>
                <c:pt idx="10">
                  <c:v>-8.483582502834528</c:v>
                </c:pt>
                <c:pt idx="11">
                  <c:v>-8.3962238312327973</c:v>
                </c:pt>
                <c:pt idx="12">
                  <c:v>-8.5207693478994617</c:v>
                </c:pt>
                <c:pt idx="13">
                  <c:v>-8.5216254672271941</c:v>
                </c:pt>
                <c:pt idx="14">
                  <c:v>-8.569327220084336</c:v>
                </c:pt>
                <c:pt idx="15">
                  <c:v>-8.4561650763065597</c:v>
                </c:pt>
                <c:pt idx="16">
                  <c:v>-8.5237577883639748</c:v>
                </c:pt>
                <c:pt idx="17">
                  <c:v>-8.6125495295104724</c:v>
                </c:pt>
                <c:pt idx="18">
                  <c:v>-8.6567544579720099</c:v>
                </c:pt>
                <c:pt idx="19">
                  <c:v>-8.6077561506992826</c:v>
                </c:pt>
                <c:pt idx="20">
                  <c:v>-8.5088787204872691</c:v>
                </c:pt>
                <c:pt idx="21">
                  <c:v>-8.3259291506759485</c:v>
                </c:pt>
                <c:pt idx="22">
                  <c:v>-8.3026170678933404</c:v>
                </c:pt>
                <c:pt idx="23">
                  <c:v>-8.1265457394150804</c:v>
                </c:pt>
                <c:pt idx="24">
                  <c:v>-7.6982355187557392</c:v>
                </c:pt>
                <c:pt idx="25">
                  <c:v>-7.7812537058268703</c:v>
                </c:pt>
                <c:pt idx="26">
                  <c:v>-7.7318032291602039</c:v>
                </c:pt>
                <c:pt idx="27">
                  <c:v>-7.843585085826871</c:v>
                </c:pt>
                <c:pt idx="28">
                  <c:v>-7.7943037448744912</c:v>
                </c:pt>
                <c:pt idx="29">
                  <c:v>-7.6849036319476616</c:v>
                </c:pt>
                <c:pt idx="30">
                  <c:v>-7.2796356510981051</c:v>
                </c:pt>
                <c:pt idx="31">
                  <c:v>-6.8269894673324139</c:v>
                </c:pt>
                <c:pt idx="32">
                  <c:v>-6.5339348921160134</c:v>
                </c:pt>
                <c:pt idx="33">
                  <c:v>-6.6059946735880946</c:v>
                </c:pt>
                <c:pt idx="34">
                  <c:v>-6.6596585826790049</c:v>
                </c:pt>
                <c:pt idx="35">
                  <c:v>-6.4945655057345606</c:v>
                </c:pt>
                <c:pt idx="36">
                  <c:v>-6.5682129162107517</c:v>
                </c:pt>
                <c:pt idx="37">
                  <c:v>-6.5924159485260221</c:v>
                </c:pt>
                <c:pt idx="38">
                  <c:v>-6.6395242492952535</c:v>
                </c:pt>
                <c:pt idx="39">
                  <c:v>-6.5686186848866521</c:v>
                </c:pt>
                <c:pt idx="40">
                  <c:v>-6.3673623262627999</c:v>
                </c:pt>
                <c:pt idx="41">
                  <c:v>-6.4534279194542901</c:v>
                </c:pt>
                <c:pt idx="42">
                  <c:v>-6.4953414126975328</c:v>
                </c:pt>
                <c:pt idx="43">
                  <c:v>-6.3621590382190059</c:v>
                </c:pt>
                <c:pt idx="44">
                  <c:v>-6.4778244683360091</c:v>
                </c:pt>
                <c:pt idx="45">
                  <c:v>-6.4631269400445506</c:v>
                </c:pt>
                <c:pt idx="46">
                  <c:v>-6.263536496930934</c:v>
                </c:pt>
                <c:pt idx="47">
                  <c:v>-6.309724764073791</c:v>
                </c:pt>
                <c:pt idx="48">
                  <c:v>-6.3169145297880771</c:v>
                </c:pt>
                <c:pt idx="49">
                  <c:v>-6.1372207863098156</c:v>
                </c:pt>
                <c:pt idx="50">
                  <c:v>-5.9815771632027666</c:v>
                </c:pt>
                <c:pt idx="51">
                  <c:v>-6.1385703001140808</c:v>
                </c:pt>
                <c:pt idx="52">
                  <c:v>-6.0005831832521563</c:v>
                </c:pt>
                <c:pt idx="53">
                  <c:v>-6.1831535325204481</c:v>
                </c:pt>
                <c:pt idx="54">
                  <c:v>-6.0349030548344977</c:v>
                </c:pt>
                <c:pt idx="55">
                  <c:v>-5.9204297368320766</c:v>
                </c:pt>
                <c:pt idx="56">
                  <c:v>-5.659243111089947</c:v>
                </c:pt>
                <c:pt idx="57">
                  <c:v>-5.6544094001164957</c:v>
                </c:pt>
                <c:pt idx="58">
                  <c:v>-5.552674706332712</c:v>
                </c:pt>
                <c:pt idx="59">
                  <c:v>-5.4836421729499234</c:v>
                </c:pt>
                <c:pt idx="60">
                  <c:v>-5.6077960851271396</c:v>
                </c:pt>
                <c:pt idx="61">
                  <c:v>-5.7607471752313053</c:v>
                </c:pt>
                <c:pt idx="62">
                  <c:v>-5.710454373377857</c:v>
                </c:pt>
                <c:pt idx="63">
                  <c:v>-5.5285963035770038</c:v>
                </c:pt>
                <c:pt idx="64">
                  <c:v>-5.5076246440911429</c:v>
                </c:pt>
                <c:pt idx="65">
                  <c:v>-5.484405482286264</c:v>
                </c:pt>
                <c:pt idx="66">
                  <c:v>-5.5487522070982935</c:v>
                </c:pt>
                <c:pt idx="67">
                  <c:v>-5.4241508974471309</c:v>
                </c:pt>
                <c:pt idx="68">
                  <c:v>-5.3333989621859361</c:v>
                </c:pt>
                <c:pt idx="69">
                  <c:v>-5.3967211321859363</c:v>
                </c:pt>
                <c:pt idx="70">
                  <c:v>-5.510133171168663</c:v>
                </c:pt>
                <c:pt idx="71">
                  <c:v>-5.3777692142936617</c:v>
                </c:pt>
                <c:pt idx="72">
                  <c:v>-5.4066756932754805</c:v>
                </c:pt>
                <c:pt idx="73">
                  <c:v>-5.2826062918247025</c:v>
                </c:pt>
                <c:pt idx="74">
                  <c:v>-5.2073154979471523</c:v>
                </c:pt>
                <c:pt idx="75">
                  <c:v>-5.2031774326530336</c:v>
                </c:pt>
                <c:pt idx="76">
                  <c:v>-5.2749966326838029</c:v>
                </c:pt>
                <c:pt idx="77">
                  <c:v>-5.1853865570053062</c:v>
                </c:pt>
                <c:pt idx="78">
                  <c:v>-5.2759075126416688</c:v>
                </c:pt>
                <c:pt idx="79">
                  <c:v>-5.1414945918140837</c:v>
                </c:pt>
                <c:pt idx="80">
                  <c:v>-5.0246032809569412</c:v>
                </c:pt>
                <c:pt idx="81">
                  <c:v>-5.0219937955487781</c:v>
                </c:pt>
                <c:pt idx="82">
                  <c:v>-4.7745998991582459</c:v>
                </c:pt>
                <c:pt idx="83">
                  <c:v>-4.9193705085360246</c:v>
                </c:pt>
                <c:pt idx="84">
                  <c:v>-4.2087781498145178</c:v>
                </c:pt>
                <c:pt idx="85">
                  <c:v>-4.6060113202230788</c:v>
                </c:pt>
                <c:pt idx="86">
                  <c:v>-5.0348241416038331</c:v>
                </c:pt>
                <c:pt idx="87">
                  <c:v>-5.1335549681175952</c:v>
                </c:pt>
                <c:pt idx="88">
                  <c:v>-5.2104992881851624</c:v>
                </c:pt>
                <c:pt idx="89">
                  <c:v>-5.0156645883892441</c:v>
                </c:pt>
                <c:pt idx="90">
                  <c:v>-5.1385995751105558</c:v>
                </c:pt>
                <c:pt idx="91">
                  <c:v>-5.2466022564935342</c:v>
                </c:pt>
                <c:pt idx="92">
                  <c:v>-5.3806260935885053</c:v>
                </c:pt>
                <c:pt idx="93">
                  <c:v>-5.086183123477805</c:v>
                </c:pt>
                <c:pt idx="94">
                  <c:v>-5.0408912509326029</c:v>
                </c:pt>
                <c:pt idx="95">
                  <c:v>-4.9719846564498438</c:v>
                </c:pt>
                <c:pt idx="96">
                  <c:v>-4.7647110376743349</c:v>
                </c:pt>
                <c:pt idx="97">
                  <c:v>-4.7108584992127973</c:v>
                </c:pt>
                <c:pt idx="98">
                  <c:v>-4.5474774042127963</c:v>
                </c:pt>
                <c:pt idx="99">
                  <c:v>-4.3632795850092556</c:v>
                </c:pt>
                <c:pt idx="100">
                  <c:v>-4.4329386980437384</c:v>
                </c:pt>
                <c:pt idx="101">
                  <c:v>-4.333207500224189</c:v>
                </c:pt>
                <c:pt idx="102">
                  <c:v>-4.2342707619525841</c:v>
                </c:pt>
                <c:pt idx="103">
                  <c:v>-4.1023163950560333</c:v>
                </c:pt>
                <c:pt idx="104">
                  <c:v>-3.7522415523594033</c:v>
                </c:pt>
                <c:pt idx="105">
                  <c:v>-4.0007717610436133</c:v>
                </c:pt>
                <c:pt idx="106">
                  <c:v>-3.9635279553547966</c:v>
                </c:pt>
                <c:pt idx="107">
                  <c:v>-4.1613269594615732</c:v>
                </c:pt>
                <c:pt idx="108">
                  <c:v>-4.373949809461573</c:v>
                </c:pt>
                <c:pt idx="109">
                  <c:v>-4.3185355275232471</c:v>
                </c:pt>
                <c:pt idx="110">
                  <c:v>-4.1237568856122095</c:v>
                </c:pt>
                <c:pt idx="111">
                  <c:v>-3.9167937030855193</c:v>
                </c:pt>
                <c:pt idx="112">
                  <c:v>-3.6193790267514121</c:v>
                </c:pt>
                <c:pt idx="113">
                  <c:v>-3.9391279171369735</c:v>
                </c:pt>
                <c:pt idx="114">
                  <c:v>-3.9111766291112904</c:v>
                </c:pt>
                <c:pt idx="115">
                  <c:v>-3.9157142409853063</c:v>
                </c:pt>
                <c:pt idx="116">
                  <c:v>-4.1010936154555386</c:v>
                </c:pt>
                <c:pt idx="117">
                  <c:v>-4.1314736386343469</c:v>
                </c:pt>
                <c:pt idx="118">
                  <c:v>-3.978378704868113</c:v>
                </c:pt>
                <c:pt idx="119">
                  <c:v>-4.1867597934787746</c:v>
                </c:pt>
                <c:pt idx="120">
                  <c:v>-4.1944332847017956</c:v>
                </c:pt>
                <c:pt idx="121">
                  <c:v>-4.1348972637092398</c:v>
                </c:pt>
                <c:pt idx="122">
                  <c:v>-4.0137300451378115</c:v>
                </c:pt>
                <c:pt idx="123">
                  <c:v>-3.8454886156223935</c:v>
                </c:pt>
                <c:pt idx="124">
                  <c:v>-4.0147007716223939</c:v>
                </c:pt>
                <c:pt idx="125">
                  <c:v>-3.9353682441657467</c:v>
                </c:pt>
                <c:pt idx="126">
                  <c:v>-3.8490231259853553</c:v>
                </c:pt>
                <c:pt idx="127">
                  <c:v>-4.0205878035312645</c:v>
                </c:pt>
                <c:pt idx="128">
                  <c:v>-4.284626868877579</c:v>
                </c:pt>
                <c:pt idx="129">
                  <c:v>-3.9294150039378981</c:v>
                </c:pt>
                <c:pt idx="130">
                  <c:v>-3.8639082532169682</c:v>
                </c:pt>
                <c:pt idx="131">
                  <c:v>-3.5633238334822188</c:v>
                </c:pt>
                <c:pt idx="132">
                  <c:v>-3.4422553432499985</c:v>
                </c:pt>
                <c:pt idx="133">
                  <c:v>-3.3539945080223115</c:v>
                </c:pt>
                <c:pt idx="134">
                  <c:v>-3.1881481193395156</c:v>
                </c:pt>
                <c:pt idx="135">
                  <c:v>-3.4506284006620964</c:v>
                </c:pt>
                <c:pt idx="136">
                  <c:v>-3.7544253949517894</c:v>
                </c:pt>
                <c:pt idx="137">
                  <c:v>-3.7132393808032615</c:v>
                </c:pt>
                <c:pt idx="138">
                  <c:v>-3.5707548121459851</c:v>
                </c:pt>
                <c:pt idx="139">
                  <c:v>-3.563457728563689</c:v>
                </c:pt>
                <c:pt idx="140">
                  <c:v>-3.2243731673315232</c:v>
                </c:pt>
                <c:pt idx="141">
                  <c:v>-3.3523924215885073</c:v>
                </c:pt>
                <c:pt idx="142">
                  <c:v>-3.5391622901912703</c:v>
                </c:pt>
                <c:pt idx="143">
                  <c:v>-3.319515425948957</c:v>
                </c:pt>
                <c:pt idx="144">
                  <c:v>-3.5275073146925733</c:v>
                </c:pt>
                <c:pt idx="145">
                  <c:v>-3.4983837599182266</c:v>
                </c:pt>
                <c:pt idx="146">
                  <c:v>-3.3020196714787371</c:v>
                </c:pt>
                <c:pt idx="147">
                  <c:v>-3.3579519204787376</c:v>
                </c:pt>
                <c:pt idx="148">
                  <c:v>-2.9840492343935177</c:v>
                </c:pt>
                <c:pt idx="149">
                  <c:v>-3.202709688635633</c:v>
                </c:pt>
                <c:pt idx="150">
                  <c:v>-2.7688108453022995</c:v>
                </c:pt>
                <c:pt idx="151">
                  <c:v>-2.0957893869108779</c:v>
                </c:pt>
                <c:pt idx="152">
                  <c:v>-0.71366941210293711</c:v>
                </c:pt>
                <c:pt idx="153">
                  <c:v>-1.2011092396600787</c:v>
                </c:pt>
                <c:pt idx="154">
                  <c:v>-1.9451622833149007</c:v>
                </c:pt>
                <c:pt idx="155">
                  <c:v>-1.9863081062597985</c:v>
                </c:pt>
                <c:pt idx="156">
                  <c:v>-2.4398591701928938</c:v>
                </c:pt>
                <c:pt idx="157">
                  <c:v>-2.1687269724521663</c:v>
                </c:pt>
                <c:pt idx="158">
                  <c:v>-2.1687269724521667</c:v>
                </c:pt>
                <c:pt idx="159">
                  <c:v>-2.1342793540007379</c:v>
                </c:pt>
                <c:pt idx="160">
                  <c:v>-2.0535419014826899</c:v>
                </c:pt>
                <c:pt idx="161">
                  <c:v>-2.2392757414509119</c:v>
                </c:pt>
                <c:pt idx="162">
                  <c:v>-2.5871192647100418</c:v>
                </c:pt>
                <c:pt idx="163">
                  <c:v>-2.660386089885904</c:v>
                </c:pt>
                <c:pt idx="164">
                  <c:v>-2.3014295569671646</c:v>
                </c:pt>
                <c:pt idx="165">
                  <c:v>-1.9231517449259559</c:v>
                </c:pt>
                <c:pt idx="166">
                  <c:v>-2.4096392588470823</c:v>
                </c:pt>
                <c:pt idx="167">
                  <c:v>-2.1743509343138641</c:v>
                </c:pt>
                <c:pt idx="168">
                  <c:v>-2.4200442367632387</c:v>
                </c:pt>
                <c:pt idx="169">
                  <c:v>-2.0995826865018929</c:v>
                </c:pt>
                <c:pt idx="170">
                  <c:v>-1.5010082254870667</c:v>
                </c:pt>
                <c:pt idx="171">
                  <c:v>-1.9907331829587489</c:v>
                </c:pt>
                <c:pt idx="172">
                  <c:v>-2.3744690135426594</c:v>
                </c:pt>
                <c:pt idx="173">
                  <c:v>-2.1234907788078106</c:v>
                </c:pt>
                <c:pt idx="174">
                  <c:v>-2.0287500791020614</c:v>
                </c:pt>
                <c:pt idx="175">
                  <c:v>-2.254502249076844</c:v>
                </c:pt>
                <c:pt idx="176">
                  <c:v>-2.4976094848500998</c:v>
                </c:pt>
                <c:pt idx="177">
                  <c:v>-2.3041187595234334</c:v>
                </c:pt>
                <c:pt idx="178">
                  <c:v>-2.5436594200329856</c:v>
                </c:pt>
                <c:pt idx="179">
                  <c:v>-2.5195255578074955</c:v>
                </c:pt>
                <c:pt idx="180">
                  <c:v>-2.2842312700816056</c:v>
                </c:pt>
                <c:pt idx="181">
                  <c:v>-2.3290186158605883</c:v>
                </c:pt>
                <c:pt idx="182">
                  <c:v>-2.5868137614451041</c:v>
                </c:pt>
                <c:pt idx="183">
                  <c:v>-2.2799079160801043</c:v>
                </c:pt>
                <c:pt idx="184">
                  <c:v>-2.4674878298224749</c:v>
                </c:pt>
                <c:pt idx="185">
                  <c:v>-2.4978135488758091</c:v>
                </c:pt>
                <c:pt idx="186">
                  <c:v>-1.7891338948522091</c:v>
                </c:pt>
                <c:pt idx="187">
                  <c:v>-2.77573740435033</c:v>
                </c:pt>
                <c:pt idx="188">
                  <c:v>-2.893959773042265</c:v>
                </c:pt>
                <c:pt idx="189">
                  <c:v>-3.1896727556889326</c:v>
                </c:pt>
                <c:pt idx="190">
                  <c:v>-3.2347871894640172</c:v>
                </c:pt>
                <c:pt idx="191">
                  <c:v>-3.3795699981224923</c:v>
                </c:pt>
                <c:pt idx="192">
                  <c:v>-3.3320393588382813</c:v>
                </c:pt>
                <c:pt idx="193">
                  <c:v>-3.0934735578147521</c:v>
                </c:pt>
                <c:pt idx="194">
                  <c:v>-2.7872113826699132</c:v>
                </c:pt>
                <c:pt idx="195">
                  <c:v>-2.6595223588202579</c:v>
                </c:pt>
                <c:pt idx="196">
                  <c:v>-2.1018145802421784</c:v>
                </c:pt>
                <c:pt idx="197">
                  <c:v>-1.2439546098983321</c:v>
                </c:pt>
                <c:pt idx="198">
                  <c:v>-1.52296191891738</c:v>
                </c:pt>
                <c:pt idx="199">
                  <c:v>-1.8041748509512507</c:v>
                </c:pt>
                <c:pt idx="200">
                  <c:v>-1.6628785144774414</c:v>
                </c:pt>
                <c:pt idx="201">
                  <c:v>-1.770006680259441</c:v>
                </c:pt>
                <c:pt idx="202">
                  <c:v>-1.6902100553653594</c:v>
                </c:pt>
                <c:pt idx="203">
                  <c:v>-1.7699070254673077</c:v>
                </c:pt>
                <c:pt idx="204">
                  <c:v>-1.6314432880267744</c:v>
                </c:pt>
                <c:pt idx="205">
                  <c:v>-1.5158833669906993</c:v>
                </c:pt>
                <c:pt idx="206">
                  <c:v>-1.6279691938362926</c:v>
                </c:pt>
                <c:pt idx="207">
                  <c:v>-1.6305211879875121</c:v>
                </c:pt>
                <c:pt idx="208">
                  <c:v>-1.6753977647915119</c:v>
                </c:pt>
                <c:pt idx="209">
                  <c:v>-1.7093292693315119</c:v>
                </c:pt>
                <c:pt idx="210">
                  <c:v>-1.7361542675530501</c:v>
                </c:pt>
                <c:pt idx="211">
                  <c:v>-1.7068692393228686</c:v>
                </c:pt>
                <c:pt idx="212">
                  <c:v>-1.7423828339184242</c:v>
                </c:pt>
                <c:pt idx="213">
                  <c:v>-1.726196263004578</c:v>
                </c:pt>
                <c:pt idx="214">
                  <c:v>-1.70000317527245</c:v>
                </c:pt>
                <c:pt idx="215">
                  <c:v>-1.744840969485133</c:v>
                </c:pt>
                <c:pt idx="216">
                  <c:v>-1.7520404526953768</c:v>
                </c:pt>
                <c:pt idx="217">
                  <c:v>-1.698980843964266</c:v>
                </c:pt>
                <c:pt idx="218">
                  <c:v>-1.7124829588604922</c:v>
                </c:pt>
                <c:pt idx="219">
                  <c:v>-1.7253388958173275</c:v>
                </c:pt>
                <c:pt idx="220">
                  <c:v>-1.7219221521362749</c:v>
                </c:pt>
                <c:pt idx="221">
                  <c:v>-1.6347561203546854</c:v>
                </c:pt>
                <c:pt idx="222">
                  <c:v>-1.6572760182580188</c:v>
                </c:pt>
                <c:pt idx="223">
                  <c:v>-1.6011713818108189</c:v>
                </c:pt>
                <c:pt idx="224">
                  <c:v>-1.5781748211858189</c:v>
                </c:pt>
                <c:pt idx="225">
                  <c:v>-1.5467036095387603</c:v>
                </c:pt>
                <c:pt idx="226">
                  <c:v>-1.4967261100205249</c:v>
                </c:pt>
                <c:pt idx="227">
                  <c:v>-1.4636687777028325</c:v>
                </c:pt>
                <c:pt idx="228">
                  <c:v>-1.4458892313547806</c:v>
                </c:pt>
                <c:pt idx="229">
                  <c:v>-1.4881145422495028</c:v>
                </c:pt>
                <c:pt idx="230">
                  <c:v>-1.4626648242930094</c:v>
                </c:pt>
                <c:pt idx="231">
                  <c:v>-1.4371141670107872</c:v>
                </c:pt>
                <c:pt idx="232">
                  <c:v>-1.3796185860177734</c:v>
                </c:pt>
                <c:pt idx="233">
                  <c:v>-1.4282747112756804</c:v>
                </c:pt>
                <c:pt idx="234">
                  <c:v>-1.4781908805855164</c:v>
                </c:pt>
                <c:pt idx="235">
                  <c:v>-1.408726901022227</c:v>
                </c:pt>
                <c:pt idx="236">
                  <c:v>-1.395535252062063</c:v>
                </c:pt>
                <c:pt idx="237">
                  <c:v>-1.34605030988374</c:v>
                </c:pt>
                <c:pt idx="238">
                  <c:v>-1.2826081856096327</c:v>
                </c:pt>
                <c:pt idx="239">
                  <c:v>-1.3499278836036774</c:v>
                </c:pt>
                <c:pt idx="240">
                  <c:v>-1.3340521822506006</c:v>
                </c:pt>
                <c:pt idx="241">
                  <c:v>-1.1802163260108123</c:v>
                </c:pt>
                <c:pt idx="242">
                  <c:v>-1.2344532429771513</c:v>
                </c:pt>
                <c:pt idx="243">
                  <c:v>-1.5436462905304673</c:v>
                </c:pt>
                <c:pt idx="244">
                  <c:v>-1.528705348847134</c:v>
                </c:pt>
                <c:pt idx="245">
                  <c:v>-1.4935933654999087</c:v>
                </c:pt>
                <c:pt idx="246">
                  <c:v>-1.4576384441794323</c:v>
                </c:pt>
                <c:pt idx="247">
                  <c:v>-1.4999998564592736</c:v>
                </c:pt>
                <c:pt idx="248">
                  <c:v>-1.5237898137466548</c:v>
                </c:pt>
                <c:pt idx="249">
                  <c:v>-1.5843613592404251</c:v>
                </c:pt>
                <c:pt idx="250">
                  <c:v>-1.5691371707032127</c:v>
                </c:pt>
                <c:pt idx="251">
                  <c:v>-1.5430059184082128</c:v>
                </c:pt>
                <c:pt idx="252">
                  <c:v>-1.5173114804653933</c:v>
                </c:pt>
                <c:pt idx="253">
                  <c:v>-1.5462812958314187</c:v>
                </c:pt>
                <c:pt idx="254">
                  <c:v>-1.4818254291000339</c:v>
                </c:pt>
                <c:pt idx="255">
                  <c:v>-1.4241472444273164</c:v>
                </c:pt>
                <c:pt idx="256">
                  <c:v>-1.3652750264723317</c:v>
                </c:pt>
                <c:pt idx="257">
                  <c:v>-1.2849531238571121</c:v>
                </c:pt>
                <c:pt idx="258">
                  <c:v>-1.2229169239407482</c:v>
                </c:pt>
                <c:pt idx="259">
                  <c:v>-1.2682807088891079</c:v>
                </c:pt>
                <c:pt idx="260">
                  <c:v>-1.2515836977273689</c:v>
                </c:pt>
                <c:pt idx="261">
                  <c:v>-1.1814258726205007</c:v>
                </c:pt>
                <c:pt idx="262">
                  <c:v>-1.1753669376234939</c:v>
                </c:pt>
                <c:pt idx="263">
                  <c:v>-1.0884461296853878</c:v>
                </c:pt>
                <c:pt idx="264">
                  <c:v>-1.058199903111223</c:v>
                </c:pt>
                <c:pt idx="265">
                  <c:v>-1.0306185714949938</c:v>
                </c:pt>
                <c:pt idx="266">
                  <c:v>-0.99338468033203542</c:v>
                </c:pt>
                <c:pt idx="267">
                  <c:v>-0.88977891748606774</c:v>
                </c:pt>
                <c:pt idx="268">
                  <c:v>-0.83546366849122999</c:v>
                </c:pt>
                <c:pt idx="269">
                  <c:v>-0.69814339688377047</c:v>
                </c:pt>
                <c:pt idx="270">
                  <c:v>-0.46431385193203162</c:v>
                </c:pt>
                <c:pt idx="271">
                  <c:v>-0.57461589520235334</c:v>
                </c:pt>
                <c:pt idx="272">
                  <c:v>-0.57820187954608837</c:v>
                </c:pt>
                <c:pt idx="273">
                  <c:v>-0.56621032991814169</c:v>
                </c:pt>
                <c:pt idx="274">
                  <c:v>-0.52032863089136616</c:v>
                </c:pt>
                <c:pt idx="275">
                  <c:v>-0.62150626538204012</c:v>
                </c:pt>
                <c:pt idx="276">
                  <c:v>-0.59928372967981791</c:v>
                </c:pt>
                <c:pt idx="277">
                  <c:v>-0.6644968870042115</c:v>
                </c:pt>
                <c:pt idx="278">
                  <c:v>-0.64190774067065315</c:v>
                </c:pt>
                <c:pt idx="279">
                  <c:v>-0.61884783853486369</c:v>
                </c:pt>
                <c:pt idx="280">
                  <c:v>-0.62387519581503714</c:v>
                </c:pt>
                <c:pt idx="281">
                  <c:v>-0.58311501503401053</c:v>
                </c:pt>
                <c:pt idx="282">
                  <c:v>-0.5399048749573242</c:v>
                </c:pt>
                <c:pt idx="283">
                  <c:v>-0.57825282324839056</c:v>
                </c:pt>
                <c:pt idx="284">
                  <c:v>-0.52027983351882756</c:v>
                </c:pt>
                <c:pt idx="285">
                  <c:v>-0.51185509373876914</c:v>
                </c:pt>
                <c:pt idx="286">
                  <c:v>-0.47610978324501918</c:v>
                </c:pt>
                <c:pt idx="287">
                  <c:v>-0.43502048370316665</c:v>
                </c:pt>
                <c:pt idx="288">
                  <c:v>-0.41510607803213218</c:v>
                </c:pt>
                <c:pt idx="289">
                  <c:v>-0.39383288433268954</c:v>
                </c:pt>
                <c:pt idx="290">
                  <c:v>-0.37268755475252829</c:v>
                </c:pt>
                <c:pt idx="291">
                  <c:v>-0.38115792882132821</c:v>
                </c:pt>
                <c:pt idx="292">
                  <c:v>-0.42687769623614302</c:v>
                </c:pt>
                <c:pt idx="293">
                  <c:v>-0.35941338584727739</c:v>
                </c:pt>
                <c:pt idx="294">
                  <c:v>-0.36711590285769247</c:v>
                </c:pt>
                <c:pt idx="295">
                  <c:v>-0.33508483700409114</c:v>
                </c:pt>
                <c:pt idx="296">
                  <c:v>-0.30057385455751073</c:v>
                </c:pt>
                <c:pt idx="297">
                  <c:v>-0.2608616592128532</c:v>
                </c:pt>
                <c:pt idx="298">
                  <c:v>-0.23252384171236898</c:v>
                </c:pt>
                <c:pt idx="299">
                  <c:v>-0.21218641422659293</c:v>
                </c:pt>
                <c:pt idx="300">
                  <c:v>-0.13180520693659292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89-4CD7-8D73-0B865E8D5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9750543"/>
        <c:axId val="980693343"/>
      </c:lineChart>
      <c:dateAx>
        <c:axId val="9797505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693343"/>
        <c:crosses val="autoZero"/>
        <c:auto val="1"/>
        <c:lblOffset val="100"/>
        <c:baseTimeUnit val="days"/>
      </c:dateAx>
      <c:valAx>
        <c:axId val="98069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7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55AB24-CD9C-413A-B94F-2A7871AB27B1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74563A-A99F-4046-A4C1-3A261833E26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22.5</v>
      </c>
      <c r="D2" s="4">
        <f>MIN(D3:D1912)</f>
        <v>0.14230000000000001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0.16039999999999999</v>
      </c>
      <c r="C5">
        <v>0.16250000000000001</v>
      </c>
      <c r="D5">
        <v>0.1575</v>
      </c>
      <c r="E5">
        <v>0.1578</v>
      </c>
      <c r="F5">
        <v>297638</v>
      </c>
      <c r="G5">
        <v>0.1578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-0.88000000000000222</v>
      </c>
      <c r="Q5">
        <f t="shared" ref="Q5" si="1">F5*P5</f>
        <v>-261921.44000000067</v>
      </c>
      <c r="R5">
        <f t="shared" ref="R5" si="2">R6+Q5</f>
        <v>-904665180.75364459</v>
      </c>
      <c r="S5">
        <f t="shared" ref="S5" si="3">R5/100000</f>
        <v>-9046.6518075364456</v>
      </c>
      <c r="T5">
        <f t="shared" ref="T5" si="4">S5/1000</f>
        <v>-9.0466518075364455</v>
      </c>
    </row>
    <row r="6" spans="1:20" x14ac:dyDescent="0.25">
      <c r="A6" s="5">
        <v>44587</v>
      </c>
      <c r="B6">
        <v>0.16400000000000001</v>
      </c>
      <c r="C6">
        <v>0.1759</v>
      </c>
      <c r="D6">
        <v>0.15720000000000001</v>
      </c>
      <c r="E6">
        <v>0.16059999999999999</v>
      </c>
      <c r="F6">
        <v>14913746</v>
      </c>
      <c r="G6">
        <v>0.16059999999999999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-0.63636363636363769</v>
      </c>
      <c r="Q6">
        <f t="shared" ref="Q6" si="6">F6*P6</f>
        <v>-9490565.6363636553</v>
      </c>
      <c r="R6">
        <f t="shared" ref="R6" si="7">R7+Q6</f>
        <v>-904403259.31364453</v>
      </c>
      <c r="S6">
        <f t="shared" ref="S6" si="8">R6/100000</f>
        <v>-9044.0325931364459</v>
      </c>
      <c r="T6">
        <f t="shared" ref="T6" si="9">S6/1000</f>
        <v>-9.0440325931364463</v>
      </c>
    </row>
    <row r="7" spans="1:20" x14ac:dyDescent="0.25">
      <c r="A7" s="5">
        <v>44586</v>
      </c>
      <c r="B7">
        <v>0.1623</v>
      </c>
      <c r="C7">
        <v>0.1678</v>
      </c>
      <c r="D7">
        <v>0.1573</v>
      </c>
      <c r="E7">
        <v>0.1638</v>
      </c>
      <c r="F7">
        <v>8852063</v>
      </c>
      <c r="G7">
        <v>0.1638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0.23809523809523808</v>
      </c>
      <c r="Q7">
        <f t="shared" ref="Q7" si="11">F7*P7</f>
        <v>2107634.0476190476</v>
      </c>
      <c r="R7">
        <f t="shared" ref="R7" si="12">R8+Q7</f>
        <v>-894912693.6772809</v>
      </c>
      <c r="S7">
        <f t="shared" ref="S7" si="13">R7/100000</f>
        <v>-8949.1269367728091</v>
      </c>
      <c r="T7">
        <f t="shared" ref="T7" si="14">S7/1000</f>
        <v>-8.9491269367728083</v>
      </c>
    </row>
    <row r="8" spans="1:20" x14ac:dyDescent="0.25">
      <c r="A8" s="5">
        <v>44585</v>
      </c>
      <c r="B8">
        <v>0.16800000000000001</v>
      </c>
      <c r="C8">
        <v>0.16800000000000001</v>
      </c>
      <c r="D8">
        <v>0.1469</v>
      </c>
      <c r="E8">
        <v>0.16200000000000001</v>
      </c>
      <c r="F8">
        <v>17033136</v>
      </c>
      <c r="G8">
        <v>0.16200000000000001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0.43127962085308025</v>
      </c>
      <c r="Q8">
        <f t="shared" ref="Q8" si="16">F8*P8</f>
        <v>7346044.4360189522</v>
      </c>
      <c r="R8">
        <f t="shared" ref="R8" si="17">R9+Q8</f>
        <v>-897020327.72490001</v>
      </c>
      <c r="S8">
        <f t="shared" ref="S8" si="18">R8/100000</f>
        <v>-8970.2032772490002</v>
      </c>
      <c r="T8">
        <f t="shared" ref="T8" si="19">S8/1000</f>
        <v>-8.9702032772490004</v>
      </c>
    </row>
    <row r="9" spans="1:20" x14ac:dyDescent="0.25">
      <c r="A9" s="5">
        <v>44584</v>
      </c>
      <c r="B9">
        <v>0.1608</v>
      </c>
      <c r="C9">
        <v>0.17380000000000001</v>
      </c>
      <c r="D9">
        <v>0.15709999999999999</v>
      </c>
      <c r="E9">
        <v>0.16800000000000001</v>
      </c>
      <c r="F9">
        <v>13667528</v>
      </c>
      <c r="G9">
        <v>0.16800000000000001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0.30538922155688714</v>
      </c>
      <c r="Q9">
        <f t="shared" ref="Q9" si="21">F9*P9</f>
        <v>4173915.7365269586</v>
      </c>
      <c r="R9">
        <f t="shared" ref="R9" si="22">R10+Q9</f>
        <v>-904366372.16091895</v>
      </c>
      <c r="S9">
        <f t="shared" ref="S9" si="23">R9/100000</f>
        <v>-9043.6637216091895</v>
      </c>
      <c r="T9">
        <f t="shared" ref="T9" si="24">S9/1000</f>
        <v>-9.0436637216091889</v>
      </c>
    </row>
    <row r="10" spans="1:20" x14ac:dyDescent="0.25">
      <c r="A10" s="5">
        <v>44583</v>
      </c>
      <c r="B10">
        <v>0.1726</v>
      </c>
      <c r="C10">
        <v>0.19059999999999999</v>
      </c>
      <c r="D10">
        <v>0.14230000000000001</v>
      </c>
      <c r="E10">
        <v>0.16139999999999999</v>
      </c>
      <c r="F10">
        <v>42124014</v>
      </c>
      <c r="G10">
        <v>0.16139999999999999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-0.20910973084886189</v>
      </c>
      <c r="Q10">
        <f t="shared" ref="Q10" si="26">F10*P10</f>
        <v>-8808541.2298136894</v>
      </c>
      <c r="R10">
        <f t="shared" ref="R10" si="27">R11+Q10</f>
        <v>-908540287.89744592</v>
      </c>
      <c r="S10">
        <f t="shared" ref="S10" si="28">R10/100000</f>
        <v>-9085.4028789744589</v>
      </c>
      <c r="T10">
        <f t="shared" ref="T10" si="29">S10/1000</f>
        <v>-9.0854028789744596</v>
      </c>
    </row>
    <row r="11" spans="1:20" x14ac:dyDescent="0.25">
      <c r="A11" s="5">
        <v>44582</v>
      </c>
      <c r="B11">
        <v>0.20530000000000001</v>
      </c>
      <c r="C11">
        <v>0.20799999999999999</v>
      </c>
      <c r="D11">
        <v>0.17019999999999999</v>
      </c>
      <c r="E11">
        <v>0.1729</v>
      </c>
      <c r="F11">
        <v>29068948</v>
      </c>
      <c r="G11">
        <v>0.1729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-0.85714285714285676</v>
      </c>
      <c r="Q11">
        <f t="shared" ref="Q11" si="31">F11*P11</f>
        <v>-24916241.142857131</v>
      </c>
      <c r="R11">
        <f t="shared" ref="R11" si="32">R12+Q11</f>
        <v>-899731746.66763222</v>
      </c>
      <c r="S11">
        <f t="shared" ref="S11" si="33">R11/100000</f>
        <v>-8997.3174666763225</v>
      </c>
      <c r="T11">
        <f t="shared" ref="T11" si="34">S11/1000</f>
        <v>-8.9973174666763231</v>
      </c>
    </row>
    <row r="12" spans="1:20" x14ac:dyDescent="0.25">
      <c r="A12" s="5">
        <v>44581</v>
      </c>
      <c r="B12">
        <v>0.2094</v>
      </c>
      <c r="C12">
        <v>0.221</v>
      </c>
      <c r="D12">
        <v>0.20449999999999999</v>
      </c>
      <c r="E12">
        <v>0.20610000000000001</v>
      </c>
      <c r="F12">
        <v>20980276</v>
      </c>
      <c r="G12">
        <v>0.20610000000000001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-0.80606060606060403</v>
      </c>
      <c r="Q12">
        <f t="shared" ref="Q12" si="36">F12*P12</f>
        <v>-16911373.987878744</v>
      </c>
      <c r="R12">
        <f t="shared" ref="R12" si="37">R13+Q12</f>
        <v>-874815505.52477515</v>
      </c>
      <c r="S12">
        <f t="shared" ref="S12" si="38">R12/100000</f>
        <v>-8748.1550552477511</v>
      </c>
      <c r="T12">
        <f t="shared" ref="T12" si="39">S12/1000</f>
        <v>-8.7481550552477518</v>
      </c>
    </row>
    <row r="13" spans="1:20" x14ac:dyDescent="0.25">
      <c r="A13" s="5">
        <v>44580</v>
      </c>
      <c r="B13">
        <v>0.2135</v>
      </c>
      <c r="C13">
        <v>0.219</v>
      </c>
      <c r="D13">
        <v>0.2069</v>
      </c>
      <c r="E13">
        <v>0.21</v>
      </c>
      <c r="F13">
        <v>11228551</v>
      </c>
      <c r="G13">
        <v>0.21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-0.48760330578512534</v>
      </c>
      <c r="Q13">
        <f t="shared" ref="Q13" si="41">F13*P13</f>
        <v>-5475078.586776875</v>
      </c>
      <c r="R13">
        <f t="shared" ref="R13" si="42">R14+Q13</f>
        <v>-857904131.53689635</v>
      </c>
      <c r="S13">
        <f t="shared" ref="S13" si="43">R13/100000</f>
        <v>-8579.0413153689642</v>
      </c>
      <c r="T13">
        <f t="shared" ref="T13" si="44">S13/1000</f>
        <v>-8.5790413153689649</v>
      </c>
    </row>
    <row r="14" spans="1:20" x14ac:dyDescent="0.25">
      <c r="A14" s="5">
        <v>44579</v>
      </c>
      <c r="B14">
        <v>0.22020000000000001</v>
      </c>
      <c r="C14">
        <v>0.22270000000000001</v>
      </c>
      <c r="D14">
        <v>0.2089</v>
      </c>
      <c r="E14">
        <v>0.2135</v>
      </c>
      <c r="F14">
        <v>12212408</v>
      </c>
      <c r="G14">
        <v>0.2135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-0.33333333333333465</v>
      </c>
      <c r="Q14">
        <f t="shared" ref="Q14" si="46">F14*P14</f>
        <v>-4070802.6666666828</v>
      </c>
      <c r="R14">
        <f t="shared" ref="R14" si="47">R15+Q14</f>
        <v>-852429052.9501195</v>
      </c>
      <c r="S14">
        <f t="shared" ref="S14" si="48">R14/100000</f>
        <v>-8524.2905295011951</v>
      </c>
      <c r="T14">
        <f t="shared" ref="T14" si="49">S14/1000</f>
        <v>-8.5242905295011955</v>
      </c>
    </row>
    <row r="15" spans="1:20" x14ac:dyDescent="0.25">
      <c r="A15" s="5">
        <v>44578</v>
      </c>
      <c r="B15">
        <v>0.23830000000000001</v>
      </c>
      <c r="C15">
        <v>0.23949999999999999</v>
      </c>
      <c r="D15">
        <v>0.21640000000000001</v>
      </c>
      <c r="E15">
        <v>0.2198</v>
      </c>
      <c r="F15">
        <v>12380278</v>
      </c>
      <c r="G15">
        <v>0.2198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-0.7056277056277066</v>
      </c>
      <c r="Q15">
        <f t="shared" ref="Q15" si="51">F15*P15</f>
        <v>-8735867.1601731721</v>
      </c>
      <c r="R15">
        <f t="shared" ref="R15" si="52">R16+Q15</f>
        <v>-848358250.28345287</v>
      </c>
      <c r="S15">
        <f t="shared" ref="S15" si="53">R15/100000</f>
        <v>-8483.582502834528</v>
      </c>
      <c r="T15">
        <f t="shared" ref="T15" si="54">S15/1000</f>
        <v>-8.483582502834528</v>
      </c>
    </row>
    <row r="16" spans="1:20" x14ac:dyDescent="0.25">
      <c r="A16" s="5">
        <v>44577</v>
      </c>
      <c r="B16">
        <v>0.2336</v>
      </c>
      <c r="C16">
        <v>0.23960000000000001</v>
      </c>
      <c r="D16">
        <v>0.22789999999999999</v>
      </c>
      <c r="E16">
        <v>0.23830000000000001</v>
      </c>
      <c r="F16">
        <v>16012995</v>
      </c>
      <c r="G16">
        <v>0.23830000000000001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0.77777777777777879</v>
      </c>
      <c r="Q16">
        <f t="shared" ref="Q16" si="56">F16*P16</f>
        <v>12454551.666666683</v>
      </c>
      <c r="R16">
        <f t="shared" ref="R16" si="57">R17+Q16</f>
        <v>-839622383.12327969</v>
      </c>
      <c r="S16">
        <f t="shared" ref="S16" si="58">R16/100000</f>
        <v>-8396.2238312327972</v>
      </c>
      <c r="T16">
        <f t="shared" ref="T16" si="59">S16/1000</f>
        <v>-8.3962238312327973</v>
      </c>
    </row>
    <row r="17" spans="1:20" x14ac:dyDescent="0.25">
      <c r="A17" s="5">
        <v>44576</v>
      </c>
      <c r="B17">
        <v>0.23180000000000001</v>
      </c>
      <c r="C17">
        <v>0.2394</v>
      </c>
      <c r="D17">
        <v>0.22750000000000001</v>
      </c>
      <c r="E17">
        <v>0.23350000000000001</v>
      </c>
      <c r="F17">
        <v>10187820</v>
      </c>
      <c r="G17">
        <v>0.23350000000000001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8.4033613445392268E-3</v>
      </c>
      <c r="Q17">
        <f t="shared" ref="Q17" si="61">F17*P17</f>
        <v>85611.932773123626</v>
      </c>
      <c r="R17">
        <f t="shared" ref="R17" si="62">R18+Q17</f>
        <v>-852076934.78994632</v>
      </c>
      <c r="S17">
        <f t="shared" ref="S17" si="63">R17/100000</f>
        <v>-8520.7693478994624</v>
      </c>
      <c r="T17">
        <f t="shared" ref="T17" si="64">S17/1000</f>
        <v>-8.5207693478994617</v>
      </c>
    </row>
    <row r="18" spans="1:20" x14ac:dyDescent="0.25">
      <c r="A18" s="5">
        <v>44575</v>
      </c>
      <c r="B18">
        <v>0.23089999999999999</v>
      </c>
      <c r="C18">
        <v>0.23830000000000001</v>
      </c>
      <c r="D18">
        <v>0.21940000000000001</v>
      </c>
      <c r="E18">
        <v>0.23169999999999999</v>
      </c>
      <c r="F18">
        <v>15816897</v>
      </c>
      <c r="G18">
        <v>0.23169999999999999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0.30158730158729918</v>
      </c>
      <c r="Q18">
        <f t="shared" ref="Q18" si="66">F18*P18</f>
        <v>4770175.2857142473</v>
      </c>
      <c r="R18">
        <f t="shared" ref="R18" si="67">R19+Q18</f>
        <v>-852162546.72271943</v>
      </c>
      <c r="S18">
        <f t="shared" ref="S18" si="68">R18/100000</f>
        <v>-8521.6254672271934</v>
      </c>
      <c r="T18">
        <f t="shared" ref="T18" si="69">S18/1000</f>
        <v>-8.5216254672271941</v>
      </c>
    </row>
    <row r="19" spans="1:20" x14ac:dyDescent="0.25">
      <c r="A19" s="5">
        <v>44574</v>
      </c>
      <c r="B19">
        <v>0.24149999999999999</v>
      </c>
      <c r="C19">
        <v>0.2492</v>
      </c>
      <c r="D19">
        <v>0.22670000000000001</v>
      </c>
      <c r="E19">
        <v>0.23069999999999999</v>
      </c>
      <c r="F19">
        <v>17559643</v>
      </c>
      <c r="G19">
        <v>0.23069999999999999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-0.64444444444444648</v>
      </c>
      <c r="Q19">
        <f t="shared" ref="Q19" si="71">F19*P19</f>
        <v>-11316214.377777813</v>
      </c>
      <c r="R19">
        <f t="shared" ref="R19" si="72">R20+Q19</f>
        <v>-856932722.0084337</v>
      </c>
      <c r="S19">
        <f t="shared" ref="S19" si="73">R19/100000</f>
        <v>-8569.3272200843367</v>
      </c>
      <c r="T19">
        <f t="shared" ref="T19" si="74">S19/1000</f>
        <v>-8.569327220084336</v>
      </c>
    </row>
    <row r="20" spans="1:20" x14ac:dyDescent="0.25">
      <c r="A20" s="5">
        <v>44573</v>
      </c>
      <c r="B20">
        <v>0.2301</v>
      </c>
      <c r="C20">
        <v>0.24890000000000001</v>
      </c>
      <c r="D20">
        <v>0.22800000000000001</v>
      </c>
      <c r="E20">
        <v>0.24160000000000001</v>
      </c>
      <c r="F20">
        <v>22423614</v>
      </c>
      <c r="G20">
        <v>0.24160000000000001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0.30143540669856456</v>
      </c>
      <c r="Q20">
        <f t="shared" ref="Q20" si="76">F20*P20</f>
        <v>6759271.2057416262</v>
      </c>
      <c r="R20">
        <f t="shared" ref="R20" si="77">R21+Q20</f>
        <v>-845616507.63065588</v>
      </c>
      <c r="S20">
        <f t="shared" ref="S20" si="78">R20/100000</f>
        <v>-8456.1650763065591</v>
      </c>
      <c r="T20">
        <f t="shared" ref="T20" si="79">S20/1000</f>
        <v>-8.4561650763065597</v>
      </c>
    </row>
    <row r="21" spans="1:20" x14ac:dyDescent="0.25">
      <c r="A21" s="5">
        <v>44572</v>
      </c>
      <c r="B21">
        <v>0.21229999999999999</v>
      </c>
      <c r="C21">
        <v>0.2394</v>
      </c>
      <c r="D21">
        <v>0.20799999999999999</v>
      </c>
      <c r="E21">
        <v>0.2301</v>
      </c>
      <c r="F21">
        <v>21781724</v>
      </c>
      <c r="G21">
        <v>0.2301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0.40764331210191085</v>
      </c>
      <c r="Q21">
        <f t="shared" ref="Q21" si="81">F21*P21</f>
        <v>8879174.1146496814</v>
      </c>
      <c r="R21">
        <f t="shared" ref="R21" si="82">R22+Q21</f>
        <v>-852375778.83639753</v>
      </c>
      <c r="S21">
        <f t="shared" ref="S21" si="83">R21/100000</f>
        <v>-8523.7577883639751</v>
      </c>
      <c r="T21">
        <f t="shared" ref="T21" si="84">S21/1000</f>
        <v>-8.5237577883639748</v>
      </c>
    </row>
    <row r="22" spans="1:20" x14ac:dyDescent="0.25">
      <c r="A22" s="5">
        <v>44571</v>
      </c>
      <c r="B22">
        <v>0.2177</v>
      </c>
      <c r="C22">
        <v>0.2228</v>
      </c>
      <c r="D22">
        <v>0.19550000000000001</v>
      </c>
      <c r="E22">
        <v>0.21229999999999999</v>
      </c>
      <c r="F22">
        <v>19155469</v>
      </c>
      <c r="G22">
        <v>0.21229999999999999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0.23076923076922984</v>
      </c>
      <c r="Q22">
        <f t="shared" ref="Q22" si="86">F22*P22</f>
        <v>4420492.8461538283</v>
      </c>
      <c r="R22">
        <f t="shared" ref="R22" si="87">R23+Q22</f>
        <v>-861254952.95104718</v>
      </c>
      <c r="S22">
        <f t="shared" ref="S22" si="88">R22/100000</f>
        <v>-8612.549529510472</v>
      </c>
      <c r="T22">
        <f t="shared" ref="T22" si="89">S22/1000</f>
        <v>-8.6125495295104724</v>
      </c>
    </row>
    <row r="23" spans="1:20" x14ac:dyDescent="0.25">
      <c r="A23" s="5">
        <v>44570</v>
      </c>
      <c r="B23">
        <v>0.21640000000000001</v>
      </c>
      <c r="C23">
        <v>0.22600000000000001</v>
      </c>
      <c r="D23">
        <v>0.21390000000000001</v>
      </c>
      <c r="E23">
        <v>0.2175</v>
      </c>
      <c r="F23">
        <v>12099582</v>
      </c>
      <c r="G23">
        <v>0.2175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-0.40495867768595173</v>
      </c>
      <c r="Q23">
        <f t="shared" ref="Q23" si="91">F23*P23</f>
        <v>-4899830.7272727434</v>
      </c>
      <c r="R23">
        <f t="shared" ref="R23" si="92">R24+Q23</f>
        <v>-865675445.79720104</v>
      </c>
      <c r="S23">
        <f t="shared" ref="S23" si="93">R23/100000</f>
        <v>-8656.7544579720106</v>
      </c>
      <c r="T23">
        <f t="shared" ref="T23" si="94">S23/1000</f>
        <v>-8.6567544579720099</v>
      </c>
    </row>
    <row r="24" spans="1:20" x14ac:dyDescent="0.25">
      <c r="A24" s="5">
        <v>44569</v>
      </c>
      <c r="B24">
        <v>0.22589999999999999</v>
      </c>
      <c r="C24">
        <v>0.2384</v>
      </c>
      <c r="D24">
        <v>0.21010000000000001</v>
      </c>
      <c r="E24">
        <v>0.2165</v>
      </c>
      <c r="F24">
        <v>18053105</v>
      </c>
      <c r="G24">
        <v>0.2165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-0.54770318021201481</v>
      </c>
      <c r="Q24">
        <f t="shared" ref="Q24" si="96">F24*P24</f>
        <v>-9887743.0212014262</v>
      </c>
      <c r="R24">
        <f t="shared" ref="R24" si="97">R25+Q24</f>
        <v>-860775615.06992829</v>
      </c>
      <c r="S24">
        <f t="shared" ref="S24" si="98">R24/100000</f>
        <v>-8607.7561506992824</v>
      </c>
      <c r="T24">
        <f t="shared" ref="T24" si="99">S24/1000</f>
        <v>-8.6077561506992826</v>
      </c>
    </row>
    <row r="25" spans="1:20" x14ac:dyDescent="0.25">
      <c r="A25" s="5">
        <v>44568</v>
      </c>
      <c r="B25">
        <v>0.25080000000000002</v>
      </c>
      <c r="C25">
        <v>0.25259999999999999</v>
      </c>
      <c r="D25">
        <v>0.2208</v>
      </c>
      <c r="E25">
        <v>0.22550000000000001</v>
      </c>
      <c r="F25">
        <v>25972305</v>
      </c>
      <c r="G25">
        <v>0.22550000000000001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-0.70440251572326973</v>
      </c>
      <c r="Q25">
        <f t="shared" ref="Q25" si="101">F25*P25</f>
        <v>-18294956.981132057</v>
      </c>
      <c r="R25">
        <f t="shared" ref="R25" si="102">R26+Q25</f>
        <v>-850887872.04872692</v>
      </c>
      <c r="S25">
        <f t="shared" ref="S25" si="103">R25/100000</f>
        <v>-8508.8787204872697</v>
      </c>
      <c r="T25">
        <f t="shared" ref="T25" si="104">S25/1000</f>
        <v>-8.5088787204872691</v>
      </c>
    </row>
    <row r="26" spans="1:20" x14ac:dyDescent="0.25">
      <c r="A26" s="5">
        <v>44567</v>
      </c>
      <c r="B26">
        <v>0.25969999999999999</v>
      </c>
      <c r="C26">
        <v>0.26300000000000001</v>
      </c>
      <c r="D26">
        <v>0.24</v>
      </c>
      <c r="E26">
        <v>0.25030000000000002</v>
      </c>
      <c r="F26">
        <v>22340746</v>
      </c>
      <c r="G26">
        <v>0.25030000000000002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-0.10434782608695459</v>
      </c>
      <c r="Q26">
        <f t="shared" ref="Q26" si="106">F26*P26</f>
        <v>-2331208.2782608261</v>
      </c>
      <c r="R26">
        <f t="shared" ref="R26" si="107">R27+Q26</f>
        <v>-832592915.06759489</v>
      </c>
      <c r="S26">
        <f t="shared" ref="S26" si="108">R26/100000</f>
        <v>-8325.9291506759491</v>
      </c>
      <c r="T26">
        <f t="shared" ref="T26" si="109">S26/1000</f>
        <v>-8.3259291506759485</v>
      </c>
    </row>
    <row r="27" spans="1:20" x14ac:dyDescent="0.25">
      <c r="A27" s="5">
        <v>44566</v>
      </c>
      <c r="B27">
        <v>0.28389999999999999</v>
      </c>
      <c r="C27">
        <v>0.29709999999999998</v>
      </c>
      <c r="D27">
        <v>0.25109999999999999</v>
      </c>
      <c r="E27">
        <v>0.26</v>
      </c>
      <c r="F27">
        <v>28720855</v>
      </c>
      <c r="G27">
        <v>0.26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-0.61304347826086858</v>
      </c>
      <c r="Q27">
        <f t="shared" ref="Q27" si="111">F27*P27</f>
        <v>-17607132.84782606</v>
      </c>
      <c r="R27">
        <f t="shared" ref="R27" si="112">R28+Q27</f>
        <v>-830261706.78933406</v>
      </c>
      <c r="S27">
        <f t="shared" ref="S27" si="113">R27/100000</f>
        <v>-8302.6170678933413</v>
      </c>
      <c r="T27">
        <f t="shared" ref="T27" si="114">S27/1000</f>
        <v>-8.3026170678933404</v>
      </c>
    </row>
    <row r="28" spans="1:20" x14ac:dyDescent="0.25">
      <c r="A28" s="5">
        <v>44565</v>
      </c>
      <c r="B28">
        <v>0.28289999999999998</v>
      </c>
      <c r="C28">
        <v>0.32479999999999998</v>
      </c>
      <c r="D28">
        <v>0.27929999999999999</v>
      </c>
      <c r="E28">
        <v>0.2838</v>
      </c>
      <c r="F28">
        <v>53392096</v>
      </c>
      <c r="G28">
        <v>0.2838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-0.8021978021978019</v>
      </c>
      <c r="Q28">
        <f t="shared" ref="Q28" si="116">F28*P28</f>
        <v>-42831022.065934047</v>
      </c>
      <c r="R28">
        <f t="shared" ref="R28" si="117">R29+Q28</f>
        <v>-812654573.94150805</v>
      </c>
      <c r="S28">
        <f t="shared" ref="S28" si="118">R28/100000</f>
        <v>-8126.5457394150808</v>
      </c>
      <c r="T28">
        <f t="shared" ref="T28" si="119">S28/1000</f>
        <v>-8.1265457394150804</v>
      </c>
    </row>
    <row r="29" spans="1:20" x14ac:dyDescent="0.25">
      <c r="A29" s="5">
        <v>44564</v>
      </c>
      <c r="B29">
        <v>0.27379999999999999</v>
      </c>
      <c r="C29">
        <v>0.29089999999999999</v>
      </c>
      <c r="D29">
        <v>0.26700000000000002</v>
      </c>
      <c r="E29">
        <v>0.28310000000000002</v>
      </c>
      <c r="F29">
        <v>23905237</v>
      </c>
      <c r="G29">
        <v>0.28310000000000002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0.34728033472803504</v>
      </c>
      <c r="Q29">
        <f t="shared" ref="Q29" si="121">F29*P29</f>
        <v>8301818.707113008</v>
      </c>
      <c r="R29">
        <f t="shared" ref="R29" si="122">R30+Q29</f>
        <v>-769823551.87557399</v>
      </c>
      <c r="S29">
        <f t="shared" ref="S29" si="123">R29/100000</f>
        <v>-7698.2355187557396</v>
      </c>
      <c r="T29">
        <f t="shared" ref="T29" si="124">S29/1000</f>
        <v>-7.6982355187557392</v>
      </c>
    </row>
    <row r="30" spans="1:20" x14ac:dyDescent="0.25">
      <c r="A30" s="5">
        <v>44563</v>
      </c>
      <c r="B30">
        <v>0.27150000000000002</v>
      </c>
      <c r="C30">
        <v>0.28899999999999998</v>
      </c>
      <c r="D30">
        <v>0.26469999999999999</v>
      </c>
      <c r="E30">
        <v>0.27400000000000002</v>
      </c>
      <c r="F30">
        <v>21081519</v>
      </c>
      <c r="G30">
        <v>0.27400000000000002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-0.23456790123456503</v>
      </c>
      <c r="Q30">
        <f t="shared" ref="Q30" si="126">F30*P30</f>
        <v>-4945047.6666666064</v>
      </c>
      <c r="R30">
        <f t="shared" ref="R30" si="127">R31+Q30</f>
        <v>-778125370.58268702</v>
      </c>
      <c r="S30">
        <f t="shared" ref="S30" si="128">R30/100000</f>
        <v>-7781.2537058268699</v>
      </c>
      <c r="T30">
        <f t="shared" ref="T30" si="129">S30/1000</f>
        <v>-7.7812537058268703</v>
      </c>
    </row>
    <row r="31" spans="1:20" x14ac:dyDescent="0.25">
      <c r="A31" s="5">
        <v>44562</v>
      </c>
      <c r="B31">
        <v>0.26069999999999999</v>
      </c>
      <c r="C31">
        <v>0.27289999999999998</v>
      </c>
      <c r="D31">
        <v>0.26029999999999998</v>
      </c>
      <c r="E31">
        <v>0.27150000000000002</v>
      </c>
      <c r="F31">
        <v>14371953</v>
      </c>
      <c r="G31">
        <v>0.27150000000000002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0.77777777777778467</v>
      </c>
      <c r="Q31">
        <f t="shared" ref="Q31" si="131">F31*P31</f>
        <v>11178185.666666767</v>
      </c>
      <c r="R31">
        <f t="shared" ref="R31" si="132">R32+Q31</f>
        <v>-773180322.91602039</v>
      </c>
      <c r="S31">
        <f t="shared" ref="S31" si="133">R31/100000</f>
        <v>-7731.803229160204</v>
      </c>
      <c r="T31">
        <f t="shared" ref="T31" si="134">S31/1000</f>
        <v>-7.7318032291602039</v>
      </c>
    </row>
    <row r="32" spans="1:20" x14ac:dyDescent="0.25">
      <c r="A32" s="5">
        <v>44561</v>
      </c>
      <c r="B32">
        <v>0.26590000000000003</v>
      </c>
      <c r="C32">
        <v>0.27450000000000002</v>
      </c>
      <c r="D32">
        <v>0.2535</v>
      </c>
      <c r="E32">
        <v>0.26079999999999998</v>
      </c>
      <c r="F32">
        <v>16170440</v>
      </c>
      <c r="G32">
        <v>0.26079999999999998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-0.30476190476190795</v>
      </c>
      <c r="Q32">
        <f t="shared" ref="Q32" si="136">F32*P32</f>
        <v>-4928134.0952381473</v>
      </c>
      <c r="R32">
        <f t="shared" ref="R32" si="137">R33+Q32</f>
        <v>-784358508.58268714</v>
      </c>
      <c r="S32">
        <f t="shared" ref="S32" si="138">R32/100000</f>
        <v>-7843.5850858268714</v>
      </c>
      <c r="T32">
        <f t="shared" ref="T32" si="139">S32/1000</f>
        <v>-7.843585085826871</v>
      </c>
    </row>
    <row r="33" spans="1:20" x14ac:dyDescent="0.25">
      <c r="A33" s="5">
        <v>44560</v>
      </c>
      <c r="B33">
        <v>0.26769999999999999</v>
      </c>
      <c r="C33">
        <v>0.27900000000000003</v>
      </c>
      <c r="D33">
        <v>0.2626</v>
      </c>
      <c r="E33">
        <v>0.26590000000000003</v>
      </c>
      <c r="F33">
        <v>18307774</v>
      </c>
      <c r="G33">
        <v>0.26590000000000003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-0.59756097560975363</v>
      </c>
      <c r="Q33">
        <f t="shared" ref="Q33" si="141">F33*P33</f>
        <v>-10940011.292682882</v>
      </c>
      <c r="R33">
        <f t="shared" ref="R33" si="142">R34+Q33</f>
        <v>-779430374.48744905</v>
      </c>
      <c r="S33">
        <f t="shared" ref="S33" si="143">R33/100000</f>
        <v>-7794.3037448744908</v>
      </c>
      <c r="T33">
        <f t="shared" ref="T33" si="144">S33/1000</f>
        <v>-7.7943037448744912</v>
      </c>
    </row>
    <row r="34" spans="1:20" x14ac:dyDescent="0.25">
      <c r="A34" s="5">
        <v>44559</v>
      </c>
      <c r="B34">
        <v>0.30499999999999999</v>
      </c>
      <c r="C34">
        <v>0.32229999999999998</v>
      </c>
      <c r="D34">
        <v>0.26579999999999998</v>
      </c>
      <c r="E34">
        <v>0.26769999999999999</v>
      </c>
      <c r="F34">
        <v>43449034</v>
      </c>
      <c r="G34">
        <v>0.26769999999999999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-0.93274336283185799</v>
      </c>
      <c r="Q34">
        <f t="shared" ref="Q34" si="146">F34*P34</f>
        <v>-40526798.084955737</v>
      </c>
      <c r="R34">
        <f t="shared" ref="R34" si="147">R35+Q34</f>
        <v>-768490363.19476616</v>
      </c>
      <c r="S34">
        <f t="shared" ref="S34" si="148">R34/100000</f>
        <v>-7684.9036319476618</v>
      </c>
      <c r="T34">
        <f t="shared" ref="T34" si="149">S34/1000</f>
        <v>-7.6849036319476616</v>
      </c>
    </row>
    <row r="35" spans="1:20" x14ac:dyDescent="0.25">
      <c r="A35" s="5">
        <v>44558</v>
      </c>
      <c r="B35">
        <v>0.29189999999999999</v>
      </c>
      <c r="C35">
        <v>0.35199999999999998</v>
      </c>
      <c r="D35">
        <v>0.28029999999999999</v>
      </c>
      <c r="E35">
        <v>0.30499999999999999</v>
      </c>
      <c r="F35">
        <v>145536912</v>
      </c>
      <c r="G35">
        <v>0.30499999999999999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-0.31101813110181298</v>
      </c>
      <c r="Q35">
        <f t="shared" ref="Q35" si="151">F35*P35</f>
        <v>-45264618.376569018</v>
      </c>
      <c r="R35">
        <f t="shared" ref="R35" si="152">R36+Q35</f>
        <v>-727963565.10981047</v>
      </c>
      <c r="S35">
        <f t="shared" ref="S35" si="153">R35/100000</f>
        <v>-7279.635651098105</v>
      </c>
      <c r="T35">
        <f t="shared" ref="T35" si="154">S35/1000</f>
        <v>-7.2796356510981051</v>
      </c>
    </row>
    <row r="36" spans="1:20" x14ac:dyDescent="0.25">
      <c r="A36" s="5">
        <v>44557</v>
      </c>
      <c r="B36">
        <v>0.27150000000000002</v>
      </c>
      <c r="C36">
        <v>0.35759999999999997</v>
      </c>
      <c r="D36">
        <v>0.26979999999999998</v>
      </c>
      <c r="E36">
        <v>0.29199999999999998</v>
      </c>
      <c r="F36">
        <v>59286156</v>
      </c>
      <c r="G36">
        <v>0.29199999999999998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-0.49430523917995445</v>
      </c>
      <c r="Q36">
        <f t="shared" ref="Q36" si="156">F36*P36</f>
        <v>-29305457.521640092</v>
      </c>
      <c r="R36">
        <f t="shared" ref="R36" si="157">R37+Q36</f>
        <v>-682698946.73324144</v>
      </c>
      <c r="S36">
        <f t="shared" ref="S36" si="158">R36/100000</f>
        <v>-6826.9894673324143</v>
      </c>
      <c r="T36">
        <f t="shared" ref="T36" si="159">S36/1000</f>
        <v>-6.8269894673324139</v>
      </c>
    </row>
    <row r="37" spans="1:20" x14ac:dyDescent="0.25">
      <c r="A37" s="5">
        <v>44556</v>
      </c>
      <c r="B37">
        <v>0.27479999999999999</v>
      </c>
      <c r="C37">
        <v>0.27679999999999999</v>
      </c>
      <c r="D37">
        <v>0.2571</v>
      </c>
      <c r="E37">
        <v>0.27129999999999999</v>
      </c>
      <c r="F37">
        <v>16316985</v>
      </c>
      <c r="G37">
        <v>0.27129999999999999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0.44162436548223288</v>
      </c>
      <c r="Q37">
        <f t="shared" ref="Q37" si="161">F37*P37</f>
        <v>7205978.1472081114</v>
      </c>
      <c r="R37">
        <f t="shared" ref="R37" si="162">R38+Q37</f>
        <v>-653393489.21160138</v>
      </c>
      <c r="S37">
        <f t="shared" ref="S37" si="163">R37/100000</f>
        <v>-6533.9348921160135</v>
      </c>
      <c r="T37">
        <f t="shared" ref="T37" si="164">S37/1000</f>
        <v>-6.5339348921160134</v>
      </c>
    </row>
    <row r="38" spans="1:20" x14ac:dyDescent="0.25">
      <c r="A38" s="5">
        <v>44555</v>
      </c>
      <c r="B38">
        <v>0.26750000000000002</v>
      </c>
      <c r="C38">
        <v>0.27889999999999998</v>
      </c>
      <c r="D38">
        <v>0.26569999999999999</v>
      </c>
      <c r="E38">
        <v>0.27510000000000001</v>
      </c>
      <c r="F38">
        <v>12649350</v>
      </c>
      <c r="G38">
        <v>0.27510000000000001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0.42424242424242831</v>
      </c>
      <c r="Q38">
        <f t="shared" ref="Q38" si="166">F38*P38</f>
        <v>5366390.9090909604</v>
      </c>
      <c r="R38">
        <f t="shared" ref="R38" si="167">R39+Q38</f>
        <v>-660599467.35880947</v>
      </c>
      <c r="S38">
        <f t="shared" ref="S38" si="168">R38/100000</f>
        <v>-6605.9946735880949</v>
      </c>
      <c r="T38">
        <f t="shared" ref="T38" si="169">S38/1000</f>
        <v>-6.6059946735880946</v>
      </c>
    </row>
    <row r="39" spans="1:20" x14ac:dyDescent="0.25">
      <c r="A39" s="5">
        <v>44554</v>
      </c>
      <c r="B39">
        <v>0.27689999999999998</v>
      </c>
      <c r="C39">
        <v>0.28710000000000002</v>
      </c>
      <c r="D39">
        <v>0.26550000000000001</v>
      </c>
      <c r="E39">
        <v>0.2676</v>
      </c>
      <c r="F39">
        <v>20494313</v>
      </c>
      <c r="G39">
        <v>0.2676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-0.80555555555555647</v>
      </c>
      <c r="Q39">
        <f t="shared" ref="Q39" si="171">F39*P39</f>
        <v>-16509307.694444463</v>
      </c>
      <c r="R39">
        <f t="shared" ref="R39" si="172">R40+Q39</f>
        <v>-665965858.26790047</v>
      </c>
      <c r="S39">
        <f t="shared" ref="S39" si="173">R39/100000</f>
        <v>-6659.6585826790051</v>
      </c>
      <c r="T39">
        <f t="shared" ref="T39" si="174">S39/1000</f>
        <v>-6.6596585826790049</v>
      </c>
    </row>
    <row r="40" spans="1:20" x14ac:dyDescent="0.25">
      <c r="A40" s="5">
        <v>44553</v>
      </c>
      <c r="B40">
        <v>0.26869999999999999</v>
      </c>
      <c r="C40">
        <v>0.28489999999999999</v>
      </c>
      <c r="D40">
        <v>0.25969999999999999</v>
      </c>
      <c r="E40">
        <v>0.27660000000000001</v>
      </c>
      <c r="F40">
        <v>21580404</v>
      </c>
      <c r="G40">
        <v>0.27660000000000001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0.34126984126984333</v>
      </c>
      <c r="Q40">
        <f t="shared" ref="Q40" si="176">F40*P40</f>
        <v>7364741.0476190923</v>
      </c>
      <c r="R40">
        <f t="shared" ref="R40" si="177">R41+Q40</f>
        <v>-649456550.57345605</v>
      </c>
      <c r="S40">
        <f t="shared" ref="S40" si="178">R40/100000</f>
        <v>-6494.5655057345602</v>
      </c>
      <c r="T40">
        <f t="shared" ref="T40" si="179">S40/1000</f>
        <v>-6.4945655057345606</v>
      </c>
    </row>
    <row r="41" spans="1:20" x14ac:dyDescent="0.25">
      <c r="A41" s="5">
        <v>44552</v>
      </c>
      <c r="B41">
        <v>0.25769999999999998</v>
      </c>
      <c r="C41">
        <v>0.27800000000000002</v>
      </c>
      <c r="D41">
        <v>0.25769999999999998</v>
      </c>
      <c r="E41">
        <v>0.26869999999999999</v>
      </c>
      <c r="F41">
        <v>28901268</v>
      </c>
      <c r="G41">
        <v>0.26869999999999999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8.3743842364530835E-2</v>
      </c>
      <c r="Q41">
        <f t="shared" ref="Q41" si="181">F41*P41</f>
        <v>2420303.2315270593</v>
      </c>
      <c r="R41">
        <f t="shared" ref="R41" si="182">R42+Q41</f>
        <v>-656821291.62107515</v>
      </c>
      <c r="S41">
        <f t="shared" ref="S41" si="183">R41/100000</f>
        <v>-6568.2129162107512</v>
      </c>
      <c r="T41">
        <f t="shared" ref="T41" si="184">S41/1000</f>
        <v>-6.5682129162107517</v>
      </c>
    </row>
    <row r="42" spans="1:20" x14ac:dyDescent="0.25">
      <c r="A42" s="5">
        <v>44551</v>
      </c>
      <c r="B42">
        <v>0.25059999999999999</v>
      </c>
      <c r="C42">
        <v>0.26500000000000001</v>
      </c>
      <c r="D42">
        <v>0.24679999999999999</v>
      </c>
      <c r="E42">
        <v>0.25800000000000001</v>
      </c>
      <c r="F42">
        <v>20413597</v>
      </c>
      <c r="G42">
        <v>0.25800000000000001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0.230769230769231</v>
      </c>
      <c r="Q42">
        <f t="shared" ref="Q42" si="186">F42*P42</f>
        <v>4710830.0769230817</v>
      </c>
      <c r="R42">
        <f t="shared" ref="R42" si="187">R43+Q42</f>
        <v>-659241594.85260224</v>
      </c>
      <c r="S42">
        <f t="shared" ref="S42" si="188">R42/100000</f>
        <v>-6592.4159485260225</v>
      </c>
      <c r="T42">
        <f t="shared" ref="T42" si="189">S42/1000</f>
        <v>-6.5924159485260221</v>
      </c>
    </row>
    <row r="43" spans="1:20" x14ac:dyDescent="0.25">
      <c r="A43" s="5">
        <v>44550</v>
      </c>
      <c r="B43">
        <v>0.26619999999999999</v>
      </c>
      <c r="C43">
        <v>0.26860000000000001</v>
      </c>
      <c r="D43">
        <v>0.2407</v>
      </c>
      <c r="E43">
        <v>0.25030000000000002</v>
      </c>
      <c r="F43">
        <v>22738681</v>
      </c>
      <c r="G43">
        <v>0.25030000000000002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-0.3118279569892457</v>
      </c>
      <c r="Q43">
        <f t="shared" ref="Q43" si="191">F43*P43</f>
        <v>-7090556.4408601783</v>
      </c>
      <c r="R43">
        <f t="shared" ref="R43" si="192">R44+Q43</f>
        <v>-663952424.92952538</v>
      </c>
      <c r="S43">
        <f t="shared" ref="S43" si="193">R43/100000</f>
        <v>-6639.5242492952539</v>
      </c>
      <c r="T43">
        <f t="shared" ref="T43" si="194">S43/1000</f>
        <v>-6.6395242492952535</v>
      </c>
    </row>
    <row r="44" spans="1:20" x14ac:dyDescent="0.25">
      <c r="A44" s="5">
        <v>44549</v>
      </c>
      <c r="B44">
        <v>0.27760000000000001</v>
      </c>
      <c r="C44">
        <v>0.29799999999999999</v>
      </c>
      <c r="D44">
        <v>0.26529999999999998</v>
      </c>
      <c r="E44">
        <v>0.26619999999999999</v>
      </c>
      <c r="F44">
        <v>21298003</v>
      </c>
      <c r="G44">
        <v>0.26619999999999999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-0.9449541284403663</v>
      </c>
      <c r="Q44">
        <f t="shared" ref="Q44" si="196">F44*P44</f>
        <v>-20125635.862385307</v>
      </c>
      <c r="R44">
        <f t="shared" ref="R44" si="197">R45+Q44</f>
        <v>-656861868.48866522</v>
      </c>
      <c r="S44">
        <f t="shared" ref="S44" si="198">R44/100000</f>
        <v>-6568.6186848866519</v>
      </c>
      <c r="T44">
        <f t="shared" ref="T44" si="199">S44/1000</f>
        <v>-6.5686186848866521</v>
      </c>
    </row>
    <row r="45" spans="1:20" x14ac:dyDescent="0.25">
      <c r="A45" s="5">
        <v>44548</v>
      </c>
      <c r="B45">
        <v>0.26540000000000002</v>
      </c>
      <c r="C45">
        <v>0.28649999999999998</v>
      </c>
      <c r="D45">
        <v>0.25829999999999997</v>
      </c>
      <c r="E45">
        <v>0.2772</v>
      </c>
      <c r="F45">
        <v>25281768</v>
      </c>
      <c r="G45">
        <v>0.2772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0.34042553191489544</v>
      </c>
      <c r="Q45">
        <f t="shared" ref="Q45" si="201">F45*P45</f>
        <v>8606559.3191489819</v>
      </c>
      <c r="R45">
        <f t="shared" ref="R45" si="202">R46+Q45</f>
        <v>-636736232.62627995</v>
      </c>
      <c r="S45">
        <f t="shared" ref="S45" si="203">R45/100000</f>
        <v>-6367.3623262627998</v>
      </c>
      <c r="T45">
        <f t="shared" ref="T45" si="204">S45/1000</f>
        <v>-6.3673623262627999</v>
      </c>
    </row>
    <row r="46" spans="1:20" x14ac:dyDescent="0.25">
      <c r="A46" s="5">
        <v>44547</v>
      </c>
      <c r="B46">
        <v>0.2581</v>
      </c>
      <c r="C46">
        <v>0.28320000000000001</v>
      </c>
      <c r="D46">
        <v>0.24249999999999999</v>
      </c>
      <c r="E46">
        <v>0.2656</v>
      </c>
      <c r="F46">
        <v>31015985</v>
      </c>
      <c r="G46">
        <v>0.2656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0.1351351351351352</v>
      </c>
      <c r="Q46">
        <f t="shared" ref="Q46" si="206">F46*P46</f>
        <v>4191349.3243243261</v>
      </c>
      <c r="R46">
        <f t="shared" ref="R46" si="207">R47+Q46</f>
        <v>-645342791.94542897</v>
      </c>
      <c r="S46">
        <f t="shared" ref="S46" si="208">R46/100000</f>
        <v>-6453.4279194542896</v>
      </c>
      <c r="T46">
        <f t="shared" ref="T46" si="209">S46/1000</f>
        <v>-6.4534279194542901</v>
      </c>
    </row>
    <row r="47" spans="1:20" x14ac:dyDescent="0.25">
      <c r="A47" s="5">
        <v>44546</v>
      </c>
      <c r="B47">
        <v>0.27029999999999998</v>
      </c>
      <c r="C47">
        <v>0.2732</v>
      </c>
      <c r="D47">
        <v>0.25690000000000002</v>
      </c>
      <c r="E47">
        <v>0.25790000000000002</v>
      </c>
      <c r="F47">
        <v>15180928</v>
      </c>
      <c r="G47">
        <v>0.25790000000000002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-0.87730061349693222</v>
      </c>
      <c r="Q47">
        <f t="shared" ref="Q47" si="211">F47*P47</f>
        <v>-13318237.447852757</v>
      </c>
      <c r="R47">
        <f t="shared" ref="R47" si="212">R48+Q47</f>
        <v>-649534141.26975334</v>
      </c>
      <c r="S47">
        <f t="shared" ref="S47" si="213">R47/100000</f>
        <v>-6495.3414126975331</v>
      </c>
      <c r="T47">
        <f t="shared" ref="T47" si="214">S47/1000</f>
        <v>-6.4953414126975328</v>
      </c>
    </row>
    <row r="48" spans="1:20" x14ac:dyDescent="0.25">
      <c r="A48" s="5">
        <v>44545</v>
      </c>
      <c r="B48">
        <v>0.25869999999999999</v>
      </c>
      <c r="C48">
        <v>0.27700000000000002</v>
      </c>
      <c r="D48">
        <v>0.24529999999999999</v>
      </c>
      <c r="E48">
        <v>0.27029999999999998</v>
      </c>
      <c r="F48">
        <v>20036033.522999998</v>
      </c>
      <c r="G48">
        <v>0.27029999999999998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0.57728706624605475</v>
      </c>
      <c r="Q48">
        <f t="shared" ref="Q48" si="216">F48*P48</f>
        <v>11566543.011700274</v>
      </c>
      <c r="R48">
        <f t="shared" ref="R48" si="217">R49+Q48</f>
        <v>-636215903.82190061</v>
      </c>
      <c r="S48">
        <f t="shared" ref="S48" si="218">R48/100000</f>
        <v>-6362.1590382190061</v>
      </c>
      <c r="T48">
        <f t="shared" ref="T48" si="219">S48/1000</f>
        <v>-6.3621590382190059</v>
      </c>
    </row>
    <row r="49" spans="1:20" x14ac:dyDescent="0.25">
      <c r="A49" s="5">
        <v>44544</v>
      </c>
      <c r="B49">
        <v>0.26269999999999999</v>
      </c>
      <c r="C49">
        <v>0.27</v>
      </c>
      <c r="D49">
        <v>0.25009999999999999</v>
      </c>
      <c r="E49">
        <v>0.2591</v>
      </c>
      <c r="F49">
        <v>15393727</v>
      </c>
      <c r="G49">
        <v>0.2591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-9.5477386934673877E-2</v>
      </c>
      <c r="Q49">
        <f t="shared" ref="Q49" si="221">F49*P49</f>
        <v>-1469752.8291457365</v>
      </c>
      <c r="R49">
        <f t="shared" ref="R49" si="222">R50+Q49</f>
        <v>-647782446.83360088</v>
      </c>
      <c r="S49">
        <f t="shared" ref="S49" si="223">R49/100000</f>
        <v>-6477.824468336009</v>
      </c>
      <c r="T49">
        <f t="shared" ref="T49" si="224">S49/1000</f>
        <v>-6.4778244683360091</v>
      </c>
    </row>
    <row r="50" spans="1:20" x14ac:dyDescent="0.25">
      <c r="A50" s="5">
        <v>44543</v>
      </c>
      <c r="B50">
        <v>0.30630000000000002</v>
      </c>
      <c r="C50">
        <v>0.31119999999999998</v>
      </c>
      <c r="D50">
        <v>0.25700000000000001</v>
      </c>
      <c r="E50">
        <v>0.26319999999999999</v>
      </c>
      <c r="F50">
        <v>25879909.131000001</v>
      </c>
      <c r="G50">
        <v>0.26319999999999999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-0.77121771217712232</v>
      </c>
      <c r="Q50">
        <f t="shared" ref="Q50" si="226">F50*P50</f>
        <v>-19959044.311361637</v>
      </c>
      <c r="R50">
        <f t="shared" ref="R50" si="227">R51+Q50</f>
        <v>-646312694.00445509</v>
      </c>
      <c r="S50">
        <f t="shared" ref="S50" si="228">R50/100000</f>
        <v>-6463.1269400445508</v>
      </c>
      <c r="T50">
        <f t="shared" ref="T50" si="229">S50/1000</f>
        <v>-6.4631269400445506</v>
      </c>
    </row>
    <row r="51" spans="1:20" x14ac:dyDescent="0.25">
      <c r="A51" s="5">
        <v>44542</v>
      </c>
      <c r="B51">
        <v>0.2959</v>
      </c>
      <c r="C51">
        <v>0.32</v>
      </c>
      <c r="D51">
        <v>0.28920000000000001</v>
      </c>
      <c r="E51">
        <v>0.30649999999999999</v>
      </c>
      <c r="F51">
        <v>37436806</v>
      </c>
      <c r="G51">
        <v>0.30649999999999999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0.12337662337662243</v>
      </c>
      <c r="Q51">
        <f t="shared" ref="Q51" si="231">F51*P51</f>
        <v>4618826.7142856792</v>
      </c>
      <c r="R51">
        <f t="shared" ref="R51" si="232">R52+Q51</f>
        <v>-626353649.69309342</v>
      </c>
      <c r="S51">
        <f t="shared" ref="S51" si="233">R51/100000</f>
        <v>-6263.5364969309339</v>
      </c>
      <c r="T51">
        <f t="shared" ref="T51" si="234">S51/1000</f>
        <v>-6.263536496930934</v>
      </c>
    </row>
    <row r="52" spans="1:20" x14ac:dyDescent="0.25">
      <c r="A52" s="5">
        <v>44541</v>
      </c>
      <c r="B52">
        <v>0.28989999999999999</v>
      </c>
      <c r="C52">
        <v>0.29659999999999997</v>
      </c>
      <c r="D52">
        <v>0.28399999999999997</v>
      </c>
      <c r="E52">
        <v>0.29389999999999999</v>
      </c>
      <c r="F52">
        <v>1258209</v>
      </c>
      <c r="G52">
        <v>0.29389999999999999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0.57142857142857462</v>
      </c>
      <c r="Q52">
        <f t="shared" ref="Q52" si="236">F52*P52</f>
        <v>718976.57142857544</v>
      </c>
      <c r="R52">
        <f t="shared" ref="R52" si="237">R53+Q52</f>
        <v>-630972476.40737915</v>
      </c>
      <c r="S52">
        <f t="shared" ref="S52" si="238">R52/100000</f>
        <v>-6309.7247640737914</v>
      </c>
      <c r="T52">
        <f t="shared" ref="T52" si="239">S52/1000</f>
        <v>-6.309724764073791</v>
      </c>
    </row>
    <row r="53" spans="1:20" x14ac:dyDescent="0.25">
      <c r="A53" s="5">
        <v>44540</v>
      </c>
      <c r="B53">
        <v>0.314</v>
      </c>
      <c r="C53">
        <v>0.32400000000000001</v>
      </c>
      <c r="D53">
        <v>0.28720000000000001</v>
      </c>
      <c r="E53">
        <v>0.2898</v>
      </c>
      <c r="F53">
        <v>20926360</v>
      </c>
      <c r="G53">
        <v>0.2898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-0.85869565217391353</v>
      </c>
      <c r="Q53">
        <f t="shared" ref="Q53" si="241">F53*P53</f>
        <v>-17969374.347826097</v>
      </c>
      <c r="R53">
        <f t="shared" ref="R53" si="242">R54+Q53</f>
        <v>-631691452.97880769</v>
      </c>
      <c r="S53">
        <f t="shared" ref="S53" si="243">R53/100000</f>
        <v>-6316.9145297880768</v>
      </c>
      <c r="T53">
        <f t="shared" ref="T53" si="244">S53/1000</f>
        <v>-6.3169145297880771</v>
      </c>
    </row>
    <row r="54" spans="1:20" x14ac:dyDescent="0.25">
      <c r="A54" s="5">
        <v>44539</v>
      </c>
      <c r="B54">
        <v>0.34960000000000002</v>
      </c>
      <c r="C54">
        <v>0.35220000000000001</v>
      </c>
      <c r="D54">
        <v>0.31390000000000001</v>
      </c>
      <c r="E54">
        <v>0.314</v>
      </c>
      <c r="F54">
        <v>15646065</v>
      </c>
      <c r="G54">
        <v>0.314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-0.99477806788511802</v>
      </c>
      <c r="Q54">
        <f t="shared" ref="Q54" si="246">F54*P54</f>
        <v>-15564362.310704969</v>
      </c>
      <c r="R54">
        <f t="shared" ref="R54" si="247">R55+Q54</f>
        <v>-613722078.63098156</v>
      </c>
      <c r="S54">
        <f t="shared" ref="S54" si="248">R54/100000</f>
        <v>-6137.2207863098156</v>
      </c>
      <c r="T54">
        <f t="shared" ref="T54" si="249">S54/1000</f>
        <v>-6.1372207863098156</v>
      </c>
    </row>
    <row r="55" spans="1:20" x14ac:dyDescent="0.25">
      <c r="A55" s="5">
        <v>44538</v>
      </c>
      <c r="B55">
        <v>0.33860000000000001</v>
      </c>
      <c r="C55">
        <v>0.35210000000000002</v>
      </c>
      <c r="D55">
        <v>0.31940000000000002</v>
      </c>
      <c r="E55">
        <v>0.34889999999999999</v>
      </c>
      <c r="F55">
        <v>19519679</v>
      </c>
      <c r="G55">
        <v>0.34889999999999999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0.80428134556574704</v>
      </c>
      <c r="Q55">
        <f t="shared" ref="Q55" si="251">F55*P55</f>
        <v>15699313.691131456</v>
      </c>
      <c r="R55">
        <f t="shared" ref="R55" si="252">R56+Q55</f>
        <v>-598157716.32027662</v>
      </c>
      <c r="S55">
        <f t="shared" ref="S55" si="253">R55/100000</f>
        <v>-5981.5771632027663</v>
      </c>
      <c r="T55">
        <f t="shared" ref="T55" si="254">S55/1000</f>
        <v>-5.9815771632027666</v>
      </c>
    </row>
    <row r="56" spans="1:20" x14ac:dyDescent="0.25">
      <c r="A56" s="5">
        <v>44537</v>
      </c>
      <c r="B56">
        <v>0.34939999999999999</v>
      </c>
      <c r="C56">
        <v>0.36</v>
      </c>
      <c r="D56">
        <v>0.33610000000000001</v>
      </c>
      <c r="E56">
        <v>0.3382</v>
      </c>
      <c r="F56">
        <v>16740569</v>
      </c>
      <c r="G56">
        <v>0.3382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-0.82426778242677889</v>
      </c>
      <c r="Q56">
        <f t="shared" ref="Q56" si="256">F56*P56</f>
        <v>-13798711.686192479</v>
      </c>
      <c r="R56">
        <f t="shared" ref="R56" si="257">R57+Q56</f>
        <v>-613857030.01140809</v>
      </c>
      <c r="S56">
        <f t="shared" ref="S56" si="258">R56/100000</f>
        <v>-6138.570300114081</v>
      </c>
      <c r="T56">
        <f t="shared" ref="T56" si="259">S56/1000</f>
        <v>-6.1385703001140808</v>
      </c>
    </row>
    <row r="57" spans="1:20" x14ac:dyDescent="0.25">
      <c r="A57" s="5">
        <v>44536</v>
      </c>
      <c r="B57">
        <v>0.34250000000000003</v>
      </c>
      <c r="C57">
        <v>0.35399999999999998</v>
      </c>
      <c r="D57">
        <v>0.313</v>
      </c>
      <c r="E57">
        <v>0.34949999999999998</v>
      </c>
      <c r="F57">
        <v>23391826</v>
      </c>
      <c r="G57">
        <v>0.34949999999999998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0.78048780487804847</v>
      </c>
      <c r="Q57">
        <f t="shared" ref="Q57" si="261">F57*P57</f>
        <v>18257034.92682926</v>
      </c>
      <c r="R57">
        <f t="shared" ref="R57" si="262">R58+Q57</f>
        <v>-600058318.32521558</v>
      </c>
      <c r="S57">
        <f t="shared" ref="S57" si="263">R57/100000</f>
        <v>-6000.5831832521562</v>
      </c>
      <c r="T57">
        <f t="shared" ref="T57" si="264">S57/1000</f>
        <v>-6.0005831832521563</v>
      </c>
    </row>
    <row r="58" spans="1:20" x14ac:dyDescent="0.25">
      <c r="A58" s="5">
        <v>44535</v>
      </c>
      <c r="B58">
        <v>0.35599999999999998</v>
      </c>
      <c r="C58">
        <v>0.38069999999999998</v>
      </c>
      <c r="D58">
        <v>0.33229999999999998</v>
      </c>
      <c r="E58">
        <v>0.34250000000000003</v>
      </c>
      <c r="F58">
        <v>25626154</v>
      </c>
      <c r="G58">
        <v>0.34250000000000003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-0.57851239669421306</v>
      </c>
      <c r="Q58">
        <f t="shared" ref="Q58" si="266">F58*P58</f>
        <v>-14825047.768594995</v>
      </c>
      <c r="R58">
        <f t="shared" ref="R58" si="267">R59+Q58</f>
        <v>-618315353.2520448</v>
      </c>
      <c r="S58">
        <f t="shared" ref="S58" si="268">R58/100000</f>
        <v>-6183.1535325204477</v>
      </c>
      <c r="T58">
        <f t="shared" ref="T58" si="269">S58/1000</f>
        <v>-6.1831535325204481</v>
      </c>
    </row>
    <row r="59" spans="1:20" x14ac:dyDescent="0.25">
      <c r="A59" s="5">
        <v>44534</v>
      </c>
      <c r="B59">
        <v>0.44479999999999997</v>
      </c>
      <c r="C59">
        <v>0.46</v>
      </c>
      <c r="D59">
        <v>0.29730000000000001</v>
      </c>
      <c r="E59">
        <v>0.35599999999999998</v>
      </c>
      <c r="F59">
        <v>41114368.298</v>
      </c>
      <c r="G59">
        <v>0.35599999999999998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-0.27842655193607901</v>
      </c>
      <c r="Q59">
        <f t="shared" ref="Q59" si="271">F59*P59</f>
        <v>-11447331.800242178</v>
      </c>
      <c r="R59">
        <f t="shared" ref="R59" si="272">R60+Q59</f>
        <v>-603490305.48344982</v>
      </c>
      <c r="S59">
        <f t="shared" ref="S59" si="273">R59/100000</f>
        <v>-6034.9030548344981</v>
      </c>
      <c r="T59">
        <f t="shared" ref="T59" si="274">S59/1000</f>
        <v>-6.0349030548344977</v>
      </c>
    </row>
    <row r="60" spans="1:20" x14ac:dyDescent="0.25">
      <c r="A60" s="5">
        <v>44533</v>
      </c>
      <c r="B60">
        <v>0.43390000000000001</v>
      </c>
      <c r="C60">
        <v>0.495</v>
      </c>
      <c r="D60">
        <v>0.42830000000000001</v>
      </c>
      <c r="E60">
        <v>0.44479999999999997</v>
      </c>
      <c r="F60">
        <v>51694801</v>
      </c>
      <c r="G60">
        <v>0.44479999999999997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-0.50524737631184513</v>
      </c>
      <c r="Q60">
        <f t="shared" ref="Q60" si="276">F60*P60</f>
        <v>-26118662.57421295</v>
      </c>
      <c r="R60">
        <f t="shared" ref="R60" si="277">R61+Q60</f>
        <v>-592042973.68320763</v>
      </c>
      <c r="S60">
        <f t="shared" ref="S60" si="278">R60/100000</f>
        <v>-5920.4297368320767</v>
      </c>
      <c r="T60">
        <f t="shared" ref="T60" si="279">S60/1000</f>
        <v>-5.9204297368320766</v>
      </c>
    </row>
    <row r="61" spans="1:20" x14ac:dyDescent="0.25">
      <c r="A61" s="5">
        <v>44532</v>
      </c>
      <c r="B61">
        <v>0.44540000000000002</v>
      </c>
      <c r="C61">
        <v>0.4456</v>
      </c>
      <c r="D61">
        <v>0.42299999999999999</v>
      </c>
      <c r="E61">
        <v>0.434</v>
      </c>
      <c r="F61">
        <v>18206978</v>
      </c>
      <c r="G61">
        <v>0.434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-2.6548672566371202E-2</v>
      </c>
      <c r="Q61">
        <f t="shared" ref="Q61" si="281">F61*P61</f>
        <v>-483371.097345124</v>
      </c>
      <c r="R61">
        <f t="shared" ref="R61" si="282">R62+Q61</f>
        <v>-565924311.10899472</v>
      </c>
      <c r="S61">
        <f t="shared" ref="S61" si="283">R61/100000</f>
        <v>-5659.243111089947</v>
      </c>
      <c r="T61">
        <f t="shared" ref="T61" si="284">S61/1000</f>
        <v>-5.659243111089947</v>
      </c>
    </row>
    <row r="62" spans="1:20" x14ac:dyDescent="0.25">
      <c r="A62" s="5">
        <v>44531</v>
      </c>
      <c r="B62">
        <v>0.4481</v>
      </c>
      <c r="C62">
        <v>0.46539999999999998</v>
      </c>
      <c r="D62">
        <v>0.4395</v>
      </c>
      <c r="E62">
        <v>0.44579999999999997</v>
      </c>
      <c r="F62">
        <v>19811493</v>
      </c>
      <c r="G62">
        <v>0.44579999999999997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-0.51351351351351526</v>
      </c>
      <c r="Q62">
        <f t="shared" ref="Q62" si="286">F62*P62</f>
        <v>-10173469.378378414</v>
      </c>
      <c r="R62">
        <f t="shared" ref="R62" si="287">R63+Q62</f>
        <v>-565440940.01164961</v>
      </c>
      <c r="S62">
        <f t="shared" ref="S62" si="288">R62/100000</f>
        <v>-5654.4094001164958</v>
      </c>
      <c r="T62">
        <f t="shared" ref="T62" si="289">S62/1000</f>
        <v>-5.6544094001164957</v>
      </c>
    </row>
    <row r="63" spans="1:20" x14ac:dyDescent="0.25">
      <c r="A63" s="5">
        <v>44530</v>
      </c>
      <c r="B63">
        <v>0.46710000000000002</v>
      </c>
      <c r="C63">
        <v>0.47070000000000001</v>
      </c>
      <c r="D63">
        <v>0.437</v>
      </c>
      <c r="E63">
        <v>0.4476</v>
      </c>
      <c r="F63">
        <v>18611171</v>
      </c>
      <c r="G63">
        <v>0.4476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-0.37091988130563824</v>
      </c>
      <c r="Q63">
        <f t="shared" ref="Q63" si="291">F63*P63</f>
        <v>-6903253.3382789362</v>
      </c>
      <c r="R63">
        <f t="shared" ref="R63" si="292">R64+Q63</f>
        <v>-555267470.63327122</v>
      </c>
      <c r="S63">
        <f t="shared" ref="S63" si="293">R63/100000</f>
        <v>-5552.674706332712</v>
      </c>
      <c r="T63">
        <f t="shared" ref="T63" si="294">S63/1000</f>
        <v>-5.552674706332712</v>
      </c>
    </row>
    <row r="64" spans="1:20" x14ac:dyDescent="0.25">
      <c r="A64" s="5">
        <v>44529</v>
      </c>
      <c r="B64">
        <v>0.45639999999999997</v>
      </c>
      <c r="C64">
        <v>0.47449999999999998</v>
      </c>
      <c r="D64">
        <v>0.435</v>
      </c>
      <c r="E64">
        <v>0.46710000000000002</v>
      </c>
      <c r="F64">
        <v>19854573</v>
      </c>
      <c r="G64">
        <v>0.46710000000000002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0.6253164556962042</v>
      </c>
      <c r="Q64">
        <f t="shared" ref="Q64" si="296">F64*P64</f>
        <v>12415391.217721552</v>
      </c>
      <c r="R64">
        <f t="shared" ref="R64" si="297">R65+Q64</f>
        <v>-548364217.29499233</v>
      </c>
      <c r="S64">
        <f t="shared" ref="S64" si="298">R64/100000</f>
        <v>-5483.6421729499234</v>
      </c>
      <c r="T64">
        <f t="shared" ref="T64" si="299">S64/1000</f>
        <v>-5.4836421729499234</v>
      </c>
    </row>
    <row r="65" spans="1:20" x14ac:dyDescent="0.25">
      <c r="A65" s="5">
        <v>44528</v>
      </c>
      <c r="B65">
        <v>0.45129999999999998</v>
      </c>
      <c r="C65">
        <v>0.45850000000000002</v>
      </c>
      <c r="D65">
        <v>0.42009999999999997</v>
      </c>
      <c r="E65">
        <v>0.45540000000000003</v>
      </c>
      <c r="F65">
        <v>18240130</v>
      </c>
      <c r="G65">
        <v>0.45540000000000003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0.8385416666666673</v>
      </c>
      <c r="Q65">
        <f t="shared" ref="Q65" si="301">F65*P65</f>
        <v>15295109.010416677</v>
      </c>
      <c r="R65">
        <f t="shared" ref="R65" si="302">R66+Q65</f>
        <v>-560779608.51271391</v>
      </c>
      <c r="S65">
        <f t="shared" ref="S65" si="303">R65/100000</f>
        <v>-5607.7960851271391</v>
      </c>
      <c r="T65">
        <f t="shared" ref="T65" si="304">S65/1000</f>
        <v>-5.6077960851271396</v>
      </c>
    </row>
    <row r="66" spans="1:20" x14ac:dyDescent="0.25">
      <c r="A66" s="5">
        <v>44527</v>
      </c>
      <c r="B66">
        <v>0.441</v>
      </c>
      <c r="C66">
        <v>0.47889999999999999</v>
      </c>
      <c r="D66">
        <v>0.4325</v>
      </c>
      <c r="E66">
        <v>0.45140000000000002</v>
      </c>
      <c r="F66">
        <v>27134721</v>
      </c>
      <c r="G66">
        <v>0.45140000000000002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-0.18534482758620563</v>
      </c>
      <c r="Q66">
        <f t="shared" ref="Q66" si="306">F66*P66</f>
        <v>-5029280.1853447929</v>
      </c>
      <c r="R66">
        <f t="shared" ref="R66" si="307">R67+Q66</f>
        <v>-576074717.52313054</v>
      </c>
      <c r="S66">
        <f t="shared" ref="S66" si="308">R66/100000</f>
        <v>-5760.7471752313049</v>
      </c>
      <c r="T66">
        <f t="shared" ref="T66" si="309">S66/1000</f>
        <v>-5.7607471752313053</v>
      </c>
    </row>
    <row r="67" spans="1:20" x14ac:dyDescent="0.25">
      <c r="A67" s="5">
        <v>44526</v>
      </c>
      <c r="B67">
        <v>0.49020000000000002</v>
      </c>
      <c r="C67">
        <v>0.49659999999999999</v>
      </c>
      <c r="D67">
        <v>0.42630000000000001</v>
      </c>
      <c r="E67">
        <v>0.44090000000000001</v>
      </c>
      <c r="F67">
        <v>31106137</v>
      </c>
      <c r="G67">
        <v>0.44090000000000001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-0.58463726884779499</v>
      </c>
      <c r="Q67">
        <f t="shared" ref="Q67" si="311">F67*P67</f>
        <v>-18185806.980085343</v>
      </c>
      <c r="R67">
        <f t="shared" ref="R67" si="312">R68+Q67</f>
        <v>-571045437.33778572</v>
      </c>
      <c r="S67">
        <f t="shared" ref="S67" si="313">R67/100000</f>
        <v>-5710.4543733778573</v>
      </c>
      <c r="T67">
        <f t="shared" ref="T67" si="314">S67/1000</f>
        <v>-5.710454373377857</v>
      </c>
    </row>
    <row r="68" spans="1:20" x14ac:dyDescent="0.25">
      <c r="A68" s="5">
        <v>44525</v>
      </c>
      <c r="B68">
        <v>0.47310000000000002</v>
      </c>
      <c r="C68">
        <v>0.51119999999999999</v>
      </c>
      <c r="D68">
        <v>0.4723</v>
      </c>
      <c r="E68">
        <v>0.49009999999999998</v>
      </c>
      <c r="F68">
        <v>24721138</v>
      </c>
      <c r="G68">
        <v>0.49009999999999998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-8.4832904884319438E-2</v>
      </c>
      <c r="Q68">
        <f t="shared" ref="Q68" si="316">F68*P68</f>
        <v>-2097165.9485861347</v>
      </c>
      <c r="R68">
        <f t="shared" ref="R68" si="317">R69+Q68</f>
        <v>-552859630.35770035</v>
      </c>
      <c r="S68">
        <f t="shared" ref="S68" si="318">R68/100000</f>
        <v>-5528.5963035770037</v>
      </c>
      <c r="T68">
        <f t="shared" ref="T68" si="319">S68/1000</f>
        <v>-5.5285963035770038</v>
      </c>
    </row>
    <row r="69" spans="1:20" x14ac:dyDescent="0.25">
      <c r="A69" s="5">
        <v>44524</v>
      </c>
      <c r="B69">
        <v>0.49080000000000001</v>
      </c>
      <c r="C69">
        <v>0.49109999999999998</v>
      </c>
      <c r="D69">
        <v>0.47060000000000002</v>
      </c>
      <c r="E69">
        <v>0.47549999999999998</v>
      </c>
      <c r="F69">
        <v>4448531</v>
      </c>
      <c r="G69">
        <v>0.47549999999999998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-0.52195121951219814</v>
      </c>
      <c r="Q69">
        <f t="shared" ref="Q69" si="321">F69*P69</f>
        <v>-2321916.1804878181</v>
      </c>
      <c r="R69">
        <f t="shared" ref="R69" si="322">R70+Q69</f>
        <v>-550762464.40911424</v>
      </c>
      <c r="S69">
        <f t="shared" ref="S69" si="323">R69/100000</f>
        <v>-5507.6246440911427</v>
      </c>
      <c r="T69">
        <f t="shared" ref="T69" si="324">S69/1000</f>
        <v>-5.5076246440911429</v>
      </c>
    </row>
    <row r="70" spans="1:20" x14ac:dyDescent="0.25">
      <c r="A70" s="5">
        <v>44523</v>
      </c>
      <c r="B70">
        <v>0.4819</v>
      </c>
      <c r="C70">
        <v>0.5</v>
      </c>
      <c r="D70">
        <v>0.47339999999999999</v>
      </c>
      <c r="E70">
        <v>0.49109999999999998</v>
      </c>
      <c r="F70">
        <v>19450260</v>
      </c>
      <c r="G70">
        <v>0.49109999999999998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0.3308270676691718</v>
      </c>
      <c r="Q70">
        <f t="shared" ref="Q70" si="326">F70*P70</f>
        <v>6434672.4812029852</v>
      </c>
      <c r="R70">
        <f t="shared" ref="R70" si="327">R71+Q70</f>
        <v>-548440548.22862637</v>
      </c>
      <c r="S70">
        <f t="shared" ref="S70" si="328">R70/100000</f>
        <v>-5484.4054822862636</v>
      </c>
      <c r="T70">
        <f t="shared" ref="T70" si="329">S70/1000</f>
        <v>-5.484405482286264</v>
      </c>
    </row>
    <row r="71" spans="1:20" x14ac:dyDescent="0.25">
      <c r="A71" s="5">
        <v>44522</v>
      </c>
      <c r="B71">
        <v>0.50429999999999997</v>
      </c>
      <c r="C71">
        <v>0.52</v>
      </c>
      <c r="D71">
        <v>0.46839999999999998</v>
      </c>
      <c r="E71">
        <v>0.48149999999999998</v>
      </c>
      <c r="F71">
        <v>25312707</v>
      </c>
      <c r="G71">
        <v>0.48149999999999998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-0.4922480620155042</v>
      </c>
      <c r="Q71">
        <f t="shared" ref="Q71" si="331">F71*P71</f>
        <v>-12460130.965116287</v>
      </c>
      <c r="R71">
        <f t="shared" ref="R71" si="332">R72+Q71</f>
        <v>-554875220.70982933</v>
      </c>
      <c r="S71">
        <f t="shared" ref="S71" si="333">R71/100000</f>
        <v>-5548.7522070982932</v>
      </c>
      <c r="T71">
        <f t="shared" ref="T71" si="334">S71/1000</f>
        <v>-5.5487522070982935</v>
      </c>
    </row>
    <row r="72" spans="1:20" x14ac:dyDescent="0.25">
      <c r="A72" s="5">
        <v>44521</v>
      </c>
      <c r="B72">
        <v>0.48859999999999998</v>
      </c>
      <c r="C72">
        <v>0.53659999999999997</v>
      </c>
      <c r="D72">
        <v>0.48299999999999998</v>
      </c>
      <c r="E72">
        <v>0.50429999999999997</v>
      </c>
      <c r="F72">
        <v>44220943</v>
      </c>
      <c r="G72">
        <v>0.50429999999999997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-0.20522388059701518</v>
      </c>
      <c r="Q72">
        <f t="shared" ref="Q72" si="336">F72*P72</f>
        <v>-9075193.5261194147</v>
      </c>
      <c r="R72">
        <f t="shared" ref="R72" si="337">R73+Q72</f>
        <v>-542415089.74471307</v>
      </c>
      <c r="S72">
        <f t="shared" ref="S72" si="338">R72/100000</f>
        <v>-5424.1508974471308</v>
      </c>
      <c r="T72">
        <f t="shared" ref="T72" si="339">S72/1000</f>
        <v>-5.4241508974471309</v>
      </c>
    </row>
    <row r="73" spans="1:20" x14ac:dyDescent="0.25">
      <c r="A73" s="5">
        <v>44520</v>
      </c>
      <c r="B73">
        <v>0.47920000000000001</v>
      </c>
      <c r="C73">
        <v>0.50270000000000004</v>
      </c>
      <c r="D73">
        <v>0.46629999999999999</v>
      </c>
      <c r="E73">
        <v>0.4884</v>
      </c>
      <c r="F73">
        <v>29550346</v>
      </c>
      <c r="G73">
        <v>0.4884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0.2142857142857133</v>
      </c>
      <c r="Q73">
        <f t="shared" ref="Q73" si="341">F73*P73</f>
        <v>6332216.9999999711</v>
      </c>
      <c r="R73">
        <f t="shared" ref="R73" si="342">R74+Q73</f>
        <v>-533339896.2185936</v>
      </c>
      <c r="S73">
        <f t="shared" ref="S73" si="343">R73/100000</f>
        <v>-5333.3989621859364</v>
      </c>
      <c r="T73">
        <f t="shared" ref="T73" si="344">S73/1000</f>
        <v>-5.3333989621859361</v>
      </c>
    </row>
    <row r="74" spans="1:20" x14ac:dyDescent="0.25">
      <c r="A74" s="5">
        <v>44519</v>
      </c>
      <c r="B74">
        <v>0.44869999999999999</v>
      </c>
      <c r="C74">
        <v>0.48909999999999998</v>
      </c>
      <c r="D74">
        <v>0.437</v>
      </c>
      <c r="E74">
        <v>0.47920000000000001</v>
      </c>
      <c r="F74">
        <v>18293397</v>
      </c>
      <c r="G74">
        <v>0.47920000000000001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0.61996161228407032</v>
      </c>
      <c r="Q74">
        <f t="shared" ref="Q74" si="346">F74*P74</f>
        <v>11341203.898272576</v>
      </c>
      <c r="R74">
        <f t="shared" ref="R74" si="347">R75+Q74</f>
        <v>-539672113.2185936</v>
      </c>
      <c r="S74">
        <f t="shared" ref="S74" si="348">R74/100000</f>
        <v>-5396.7211321859359</v>
      </c>
      <c r="T74">
        <f t="shared" ref="T74" si="349">S74/1000</f>
        <v>-5.3967211321859363</v>
      </c>
    </row>
    <row r="75" spans="1:20" x14ac:dyDescent="0.25">
      <c r="A75" s="5">
        <v>44518</v>
      </c>
      <c r="B75">
        <v>0.4924</v>
      </c>
      <c r="C75">
        <v>0.49640000000000001</v>
      </c>
      <c r="D75">
        <v>0.43240000000000001</v>
      </c>
      <c r="E75">
        <v>0.4486</v>
      </c>
      <c r="F75">
        <v>26807890</v>
      </c>
      <c r="G75">
        <v>0.4486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-0.49375000000000024</v>
      </c>
      <c r="Q75">
        <f t="shared" ref="Q75" si="351">F75*P75</f>
        <v>-13236395.687500007</v>
      </c>
      <c r="R75">
        <f t="shared" ref="R75" si="352">R76+Q75</f>
        <v>-551013317.11686623</v>
      </c>
      <c r="S75">
        <f t="shared" ref="S75" si="353">R75/100000</f>
        <v>-5510.1331711686626</v>
      </c>
      <c r="T75">
        <f t="shared" ref="T75" si="354">S75/1000</f>
        <v>-5.510133171168663</v>
      </c>
    </row>
    <row r="76" spans="1:20" x14ac:dyDescent="0.25">
      <c r="A76" s="5">
        <v>44517</v>
      </c>
      <c r="B76">
        <v>0.49940000000000001</v>
      </c>
      <c r="C76">
        <v>0.50390000000000001</v>
      </c>
      <c r="D76">
        <v>0.47639999999999999</v>
      </c>
      <c r="E76">
        <v>0.49220000000000003</v>
      </c>
      <c r="F76">
        <v>19388492</v>
      </c>
      <c r="G76">
        <v>0.49220000000000003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0.14909090909091072</v>
      </c>
      <c r="Q76">
        <f t="shared" ref="Q76" si="356">F76*P76</f>
        <v>2890647.8981818496</v>
      </c>
      <c r="R76">
        <f t="shared" ref="R76" si="357">R77+Q76</f>
        <v>-537776921.42936623</v>
      </c>
      <c r="S76">
        <f t="shared" ref="S76" si="358">R76/100000</f>
        <v>-5377.7692142936621</v>
      </c>
      <c r="T76">
        <f t="shared" ref="T76" si="359">S76/1000</f>
        <v>-5.3777692142936617</v>
      </c>
    </row>
    <row r="77" spans="1:20" x14ac:dyDescent="0.25">
      <c r="A77" s="5">
        <v>44516</v>
      </c>
      <c r="B77">
        <v>0.55310000000000004</v>
      </c>
      <c r="C77">
        <v>0.55320000000000003</v>
      </c>
      <c r="D77">
        <v>0.47599999999999998</v>
      </c>
      <c r="E77">
        <v>0.49940000000000001</v>
      </c>
      <c r="F77">
        <v>31507098</v>
      </c>
      <c r="G77">
        <v>0.49940000000000001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-0.39378238341968863</v>
      </c>
      <c r="Q77">
        <f t="shared" ref="Q77" si="361">F77*P77</f>
        <v>-12406940.145077705</v>
      </c>
      <c r="R77">
        <f t="shared" ref="R77" si="362">R78+Q77</f>
        <v>-540667569.32754803</v>
      </c>
      <c r="S77">
        <f t="shared" ref="S77" si="363">R77/100000</f>
        <v>-5406.6756932754806</v>
      </c>
      <c r="T77">
        <f t="shared" ref="T77" si="364">S77/1000</f>
        <v>-5.4066756932754805</v>
      </c>
    </row>
    <row r="78" spans="1:20" x14ac:dyDescent="0.25">
      <c r="A78" s="5">
        <v>44515</v>
      </c>
      <c r="B78">
        <v>0.53900000000000003</v>
      </c>
      <c r="C78">
        <v>0.58189999999999997</v>
      </c>
      <c r="D78">
        <v>0.53290000000000004</v>
      </c>
      <c r="E78">
        <v>0.5524</v>
      </c>
      <c r="F78">
        <v>36892489</v>
      </c>
      <c r="G78">
        <v>0.5524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-0.20408163265306167</v>
      </c>
      <c r="Q78">
        <f t="shared" ref="Q78" si="366">F78*P78</f>
        <v>-7529079.3877551183</v>
      </c>
      <c r="R78">
        <f t="shared" ref="R78" si="367">R79+Q78</f>
        <v>-528260629.18247026</v>
      </c>
      <c r="S78">
        <f t="shared" ref="S78" si="368">R78/100000</f>
        <v>-5282.6062918247026</v>
      </c>
      <c r="T78">
        <f t="shared" ref="T78" si="369">S78/1000</f>
        <v>-5.2826062918247025</v>
      </c>
    </row>
    <row r="79" spans="1:20" x14ac:dyDescent="0.25">
      <c r="A79" s="5">
        <v>44514</v>
      </c>
      <c r="B79">
        <v>0.54669999999999996</v>
      </c>
      <c r="C79">
        <v>0.55200000000000005</v>
      </c>
      <c r="D79">
        <v>0.52649999999999997</v>
      </c>
      <c r="E79">
        <v>0.53900000000000003</v>
      </c>
      <c r="F79">
        <v>21104133</v>
      </c>
      <c r="G79">
        <v>0.53900000000000003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-1.9607843137252681E-2</v>
      </c>
      <c r="Q79">
        <f t="shared" ref="Q79" si="371">F79*P79</f>
        <v>-413806.52941171784</v>
      </c>
      <c r="R79">
        <f t="shared" ref="R79" si="372">R80+Q79</f>
        <v>-520731549.79471517</v>
      </c>
      <c r="S79">
        <f t="shared" ref="S79" si="373">R79/100000</f>
        <v>-5207.3154979471519</v>
      </c>
      <c r="T79">
        <f t="shared" ref="T79" si="374">S79/1000</f>
        <v>-5.2073154979471523</v>
      </c>
    </row>
    <row r="80" spans="1:20" x14ac:dyDescent="0.25">
      <c r="A80" s="5">
        <v>44513</v>
      </c>
      <c r="B80">
        <v>0.53490000000000004</v>
      </c>
      <c r="C80">
        <v>0.55759999999999998</v>
      </c>
      <c r="D80">
        <v>0.52510000000000001</v>
      </c>
      <c r="E80">
        <v>0.54669999999999996</v>
      </c>
      <c r="F80">
        <v>21814243</v>
      </c>
      <c r="G80">
        <v>0.54669999999999996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0.32923076923076738</v>
      </c>
      <c r="Q80">
        <f t="shared" ref="Q80" si="376">F80*P80</f>
        <v>7181920.003076883</v>
      </c>
      <c r="R80">
        <f t="shared" ref="R80" si="377">R81+Q80</f>
        <v>-520317743.26530343</v>
      </c>
      <c r="S80">
        <f t="shared" ref="S80" si="378">R80/100000</f>
        <v>-5203.177432653034</v>
      </c>
      <c r="T80">
        <f t="shared" ref="T80" si="379">S80/1000</f>
        <v>-5.2031774326530336</v>
      </c>
    </row>
    <row r="81" spans="1:20" x14ac:dyDescent="0.25">
      <c r="A81" s="5">
        <v>44512</v>
      </c>
      <c r="B81">
        <v>0.56559999999999999</v>
      </c>
      <c r="C81">
        <v>0.56559999999999999</v>
      </c>
      <c r="D81">
        <v>0.51770000000000005</v>
      </c>
      <c r="E81">
        <v>0.53439999999999999</v>
      </c>
      <c r="F81">
        <v>29602225</v>
      </c>
      <c r="G81">
        <v>0.53439999999999999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-0.30271398747390577</v>
      </c>
      <c r="Q81">
        <f t="shared" ref="Q81" si="381">F81*P81</f>
        <v>-8961007.5678497404</v>
      </c>
      <c r="R81">
        <f t="shared" ref="R81" si="382">R82+Q81</f>
        <v>-527499663.26838034</v>
      </c>
      <c r="S81">
        <f t="shared" ref="S81" si="383">R81/100000</f>
        <v>-5274.996632683803</v>
      </c>
      <c r="T81">
        <f t="shared" ref="T81" si="384">S81/1000</f>
        <v>-5.2749966326838029</v>
      </c>
    </row>
    <row r="82" spans="1:20" x14ac:dyDescent="0.25">
      <c r="A82" s="5">
        <v>44511</v>
      </c>
      <c r="B82">
        <v>0.5585</v>
      </c>
      <c r="C82">
        <v>0.57509999999999994</v>
      </c>
      <c r="D82">
        <v>0.54210000000000003</v>
      </c>
      <c r="E82">
        <v>0.56589999999999996</v>
      </c>
      <c r="F82">
        <v>20460216</v>
      </c>
      <c r="G82">
        <v>0.56589999999999996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0.44242424242424189</v>
      </c>
      <c r="Q82">
        <f t="shared" ref="Q82" si="386">F82*P82</f>
        <v>9052095.5636363532</v>
      </c>
      <c r="R82">
        <f t="shared" ref="R82" si="387">R83+Q82</f>
        <v>-518538655.70053059</v>
      </c>
      <c r="S82">
        <f t="shared" ref="S82" si="388">R82/100000</f>
        <v>-5185.3865570053058</v>
      </c>
      <c r="T82">
        <f t="shared" ref="T82" si="389">S82/1000</f>
        <v>-5.1853865570053062</v>
      </c>
    </row>
    <row r="83" spans="1:20" x14ac:dyDescent="0.25">
      <c r="A83" s="5">
        <v>44510</v>
      </c>
      <c r="B83">
        <v>0.59179999999999999</v>
      </c>
      <c r="C83">
        <v>0.61699999999999999</v>
      </c>
      <c r="D83">
        <v>0.53</v>
      </c>
      <c r="E83">
        <v>0.55940000000000001</v>
      </c>
      <c r="F83">
        <v>41467816</v>
      </c>
      <c r="G83">
        <v>0.55940000000000001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-0.32413793103448291</v>
      </c>
      <c r="Q83">
        <f t="shared" ref="Q83" si="391">F83*P83</f>
        <v>-13441292.082758626</v>
      </c>
      <c r="R83">
        <f t="shared" ref="R83" si="392">R84+Q83</f>
        <v>-527590751.26416695</v>
      </c>
      <c r="S83">
        <f t="shared" ref="S83" si="393">R83/100000</f>
        <v>-5275.9075126416692</v>
      </c>
      <c r="T83">
        <f t="shared" ref="T83" si="394">S83/1000</f>
        <v>-5.2759075126416688</v>
      </c>
    </row>
    <row r="84" spans="1:20" x14ac:dyDescent="0.25">
      <c r="A84" s="5">
        <v>44509</v>
      </c>
      <c r="B84">
        <v>0.59060000000000001</v>
      </c>
      <c r="C84">
        <v>0.62</v>
      </c>
      <c r="D84">
        <v>0.57799999999999996</v>
      </c>
      <c r="E84">
        <v>0.59179999999999999</v>
      </c>
      <c r="F84">
        <v>34093299</v>
      </c>
      <c r="G84">
        <v>0.59179999999999999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-0.34285714285714181</v>
      </c>
      <c r="Q84">
        <f t="shared" ref="Q84" si="396">F84*P84</f>
        <v>-11689131.085714249</v>
      </c>
      <c r="R84">
        <f t="shared" ref="R84" si="397">R85+Q84</f>
        <v>-514149459.18140835</v>
      </c>
      <c r="S84">
        <f t="shared" ref="S84" si="398">R84/100000</f>
        <v>-5141.4945918140838</v>
      </c>
      <c r="T84">
        <f t="shared" ref="T84" si="399">S84/1000</f>
        <v>-5.1414945918140837</v>
      </c>
    </row>
    <row r="85" spans="1:20" x14ac:dyDescent="0.25">
      <c r="A85" s="5">
        <v>44508</v>
      </c>
      <c r="B85">
        <v>0.5998</v>
      </c>
      <c r="C85">
        <v>0.60060000000000002</v>
      </c>
      <c r="D85">
        <v>0.58099999999999996</v>
      </c>
      <c r="E85">
        <v>0.5907</v>
      </c>
      <c r="F85">
        <v>25572957</v>
      </c>
      <c r="G85">
        <v>0.5907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-1.0204081632651905E-2</v>
      </c>
      <c r="Q85">
        <f t="shared" ref="Q85" si="401">F85*P85</f>
        <v>-260948.54081629697</v>
      </c>
      <c r="R85">
        <f t="shared" ref="R85" si="402">R86+Q85</f>
        <v>-502460328.09569412</v>
      </c>
      <c r="S85">
        <f t="shared" ref="S85" si="403">R85/100000</f>
        <v>-5024.6032809569415</v>
      </c>
      <c r="T85">
        <f t="shared" ref="T85" si="404">S85/1000</f>
        <v>-5.0246032809569412</v>
      </c>
    </row>
    <row r="86" spans="1:20" x14ac:dyDescent="0.25">
      <c r="A86" s="5">
        <v>44507</v>
      </c>
      <c r="B86">
        <v>0.60050000000000003</v>
      </c>
      <c r="C86">
        <v>0.64249999999999996</v>
      </c>
      <c r="D86">
        <v>0.59179999999999999</v>
      </c>
      <c r="E86">
        <v>0.5998</v>
      </c>
      <c r="F86">
        <v>36146601</v>
      </c>
      <c r="G86">
        <v>0.5998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-0.68441814595660699</v>
      </c>
      <c r="Q86">
        <f t="shared" ref="Q86" si="406">F86*P86</f>
        <v>-24739389.639053237</v>
      </c>
      <c r="R86">
        <f t="shared" ref="R86" si="407">R87+Q86</f>
        <v>-502199379.55487782</v>
      </c>
      <c r="S86">
        <f t="shared" ref="S86" si="408">R86/100000</f>
        <v>-5021.9937955487785</v>
      </c>
      <c r="T86">
        <f t="shared" ref="T86" si="409">S86/1000</f>
        <v>-5.0219937955487781</v>
      </c>
    </row>
    <row r="87" spans="1:20" x14ac:dyDescent="0.25">
      <c r="A87" s="5">
        <v>44506</v>
      </c>
      <c r="B87">
        <v>0.59089999999999998</v>
      </c>
      <c r="C87">
        <v>0.61</v>
      </c>
      <c r="D87">
        <v>0.56499999999999995</v>
      </c>
      <c r="E87">
        <v>0.60060000000000002</v>
      </c>
      <c r="F87">
        <v>24865181</v>
      </c>
      <c r="G87">
        <v>0.60060000000000002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0.58222222222222419</v>
      </c>
      <c r="Q87">
        <f t="shared" ref="Q87" si="411">F87*P87</f>
        <v>14477060.937777827</v>
      </c>
      <c r="R87">
        <f t="shared" ref="R87" si="412">R88+Q87</f>
        <v>-477459989.91582459</v>
      </c>
      <c r="S87">
        <f t="shared" ref="S87" si="413">R87/100000</f>
        <v>-4774.5998991582455</v>
      </c>
      <c r="T87">
        <f t="shared" ref="T87" si="414">S87/1000</f>
        <v>-4.7745998991582459</v>
      </c>
    </row>
    <row r="88" spans="1:20" x14ac:dyDescent="0.25">
      <c r="A88" s="5">
        <v>44505</v>
      </c>
      <c r="B88">
        <v>0.63</v>
      </c>
      <c r="C88">
        <v>0.68569999999999998</v>
      </c>
      <c r="D88">
        <v>0.58479999999999999</v>
      </c>
      <c r="E88">
        <v>0.59089999999999998</v>
      </c>
      <c r="F88">
        <v>80832885</v>
      </c>
      <c r="G88">
        <v>0.59089999999999998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-0.87908820614469785</v>
      </c>
      <c r="Q88">
        <f t="shared" ref="Q88" si="416">F88*P88</f>
        <v>-71059235.87215066</v>
      </c>
      <c r="R88">
        <f t="shared" ref="R88" si="417">R89+Q88</f>
        <v>-491937050.85360241</v>
      </c>
      <c r="S88">
        <f t="shared" ref="S88" si="418">R88/100000</f>
        <v>-4919.3705085360243</v>
      </c>
      <c r="T88">
        <f t="shared" ref="T88" si="419">S88/1000</f>
        <v>-4.9193705085360246</v>
      </c>
    </row>
    <row r="89" spans="1:20" x14ac:dyDescent="0.25">
      <c r="A89" s="5">
        <v>44504</v>
      </c>
      <c r="B89">
        <v>0.58750000000000002</v>
      </c>
      <c r="C89">
        <v>0.65649999999999997</v>
      </c>
      <c r="D89">
        <v>0.55369999999999997</v>
      </c>
      <c r="E89">
        <v>0.62980000000000003</v>
      </c>
      <c r="F89">
        <v>82663097</v>
      </c>
      <c r="G89">
        <v>0.62980000000000003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0.48054474708171313</v>
      </c>
      <c r="Q89">
        <f t="shared" ref="Q89" si="421">F89*P89</f>
        <v>39723317.040856123</v>
      </c>
      <c r="R89">
        <f t="shared" ref="R89" si="422">R90+Q89</f>
        <v>-420877814.98145175</v>
      </c>
      <c r="S89">
        <f t="shared" ref="S89" si="423">R89/100000</f>
        <v>-4208.7781498145177</v>
      </c>
      <c r="T89">
        <f t="shared" ref="T89" si="424">S89/1000</f>
        <v>-4.2087781498145178</v>
      </c>
    </row>
    <row r="90" spans="1:20" x14ac:dyDescent="0.25">
      <c r="A90" s="5">
        <v>44503</v>
      </c>
      <c r="B90">
        <v>0.52849999999999997</v>
      </c>
      <c r="C90">
        <v>0.61</v>
      </c>
      <c r="D90">
        <v>0.51439999999999997</v>
      </c>
      <c r="E90">
        <v>0.58730000000000004</v>
      </c>
      <c r="F90">
        <v>81662362</v>
      </c>
      <c r="G90">
        <v>0.58730000000000004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0.52510460251046154</v>
      </c>
      <c r="Q90">
        <f t="shared" ref="Q90" si="426">F90*P90</f>
        <v>42881282.138075419</v>
      </c>
      <c r="R90">
        <f t="shared" ref="R90" si="427">R91+Q90</f>
        <v>-460601132.02230787</v>
      </c>
      <c r="S90">
        <f t="shared" ref="S90" si="428">R90/100000</f>
        <v>-4606.0113202230787</v>
      </c>
      <c r="T90">
        <f t="shared" ref="T90" si="429">S90/1000</f>
        <v>-4.6060113202230788</v>
      </c>
    </row>
    <row r="91" spans="1:20" x14ac:dyDescent="0.25">
      <c r="A91" s="5">
        <v>44502</v>
      </c>
      <c r="B91">
        <v>0.50919999999999999</v>
      </c>
      <c r="C91">
        <v>0.54949999999999999</v>
      </c>
      <c r="D91">
        <v>0.495</v>
      </c>
      <c r="E91">
        <v>0.52790000000000004</v>
      </c>
      <c r="F91">
        <v>47617965</v>
      </c>
      <c r="G91">
        <v>0.52790000000000004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0.20733944954128605</v>
      </c>
      <c r="Q91">
        <f t="shared" ref="Q91" si="431">F91*P91</f>
        <v>9873082.6513762251</v>
      </c>
      <c r="R91">
        <f t="shared" ref="R91" si="432">R92+Q91</f>
        <v>-503482414.16038328</v>
      </c>
      <c r="S91">
        <f t="shared" ref="S91" si="433">R91/100000</f>
        <v>-5034.8241416038327</v>
      </c>
      <c r="T91">
        <f t="shared" ref="T91" si="434">S91/1000</f>
        <v>-5.0348241416038331</v>
      </c>
    </row>
    <row r="92" spans="1:20" x14ac:dyDescent="0.25">
      <c r="A92" s="5">
        <v>44501</v>
      </c>
      <c r="B92">
        <v>0.50770000000000004</v>
      </c>
      <c r="C92">
        <v>0.51980000000000004</v>
      </c>
      <c r="D92">
        <v>0.49020000000000002</v>
      </c>
      <c r="E92">
        <v>0.50890000000000002</v>
      </c>
      <c r="F92">
        <v>29199383</v>
      </c>
      <c r="G92">
        <v>0.50890000000000002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0.26351351351351249</v>
      </c>
      <c r="Q92">
        <f t="shared" ref="Q92" si="436">F92*P92</f>
        <v>7694432.0067567267</v>
      </c>
      <c r="R92">
        <f t="shared" ref="R92" si="437">R93+Q92</f>
        <v>-513355496.81175953</v>
      </c>
      <c r="S92">
        <f t="shared" ref="S92" si="438">R92/100000</f>
        <v>-5133.5549681175953</v>
      </c>
      <c r="T92">
        <f t="shared" ref="T92" si="439">S92/1000</f>
        <v>-5.1335549681175952</v>
      </c>
    </row>
    <row r="93" spans="1:20" x14ac:dyDescent="0.25">
      <c r="A93" s="5">
        <v>44500</v>
      </c>
      <c r="B93">
        <v>0.52400000000000002</v>
      </c>
      <c r="C93">
        <v>0.54849999999999999</v>
      </c>
      <c r="D93">
        <v>0.49459999999999998</v>
      </c>
      <c r="E93">
        <v>0.50739999999999996</v>
      </c>
      <c r="F93">
        <v>37108093</v>
      </c>
      <c r="G93">
        <v>0.50739999999999996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-0.52504638218924016</v>
      </c>
      <c r="Q93">
        <f t="shared" ref="Q93" si="441">F93*P93</f>
        <v>-19483469.979591869</v>
      </c>
      <c r="R93">
        <f t="shared" ref="R93" si="442">R94+Q93</f>
        <v>-521049928.81851625</v>
      </c>
      <c r="S93">
        <f t="shared" ref="S93" si="443">R93/100000</f>
        <v>-5210.4992881851622</v>
      </c>
      <c r="T93">
        <f t="shared" ref="T93" si="444">S93/1000</f>
        <v>-5.2104992881851624</v>
      </c>
    </row>
    <row r="94" spans="1:20" x14ac:dyDescent="0.25">
      <c r="A94" s="5">
        <v>44499</v>
      </c>
      <c r="B94">
        <v>0.51829999999999998</v>
      </c>
      <c r="C94">
        <v>0.54190000000000005</v>
      </c>
      <c r="D94">
        <v>0.48699999999999999</v>
      </c>
      <c r="E94">
        <v>0.52300000000000002</v>
      </c>
      <c r="F94">
        <v>39468601</v>
      </c>
      <c r="G94">
        <v>0.52300000000000002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0.31147540983606531</v>
      </c>
      <c r="Q94">
        <f t="shared" ref="Q94" si="446">F94*P94</f>
        <v>12293498.672131138</v>
      </c>
      <c r="R94">
        <f t="shared" ref="R94" si="447">R95+Q94</f>
        <v>-501566458.83892441</v>
      </c>
      <c r="S94">
        <f t="shared" ref="S94" si="448">R94/100000</f>
        <v>-5015.6645883892443</v>
      </c>
      <c r="T94">
        <f t="shared" ref="T94" si="449">S94/1000</f>
        <v>-5.0156645883892441</v>
      </c>
    </row>
    <row r="95" spans="1:20" x14ac:dyDescent="0.25">
      <c r="A95" s="5">
        <v>44498</v>
      </c>
      <c r="B95">
        <v>0.49530000000000002</v>
      </c>
      <c r="C95">
        <v>0.53</v>
      </c>
      <c r="D95">
        <v>0.4924</v>
      </c>
      <c r="E95">
        <v>0.51790000000000003</v>
      </c>
      <c r="F95">
        <v>30305230</v>
      </c>
      <c r="G95">
        <v>0.51790000000000003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0.35638297872340463</v>
      </c>
      <c r="Q95">
        <f t="shared" ref="Q95" si="451">F95*P95</f>
        <v>10800268.138297884</v>
      </c>
      <c r="R95">
        <f t="shared" ref="R95" si="452">R96+Q95</f>
        <v>-513859957.51105553</v>
      </c>
      <c r="S95">
        <f t="shared" ref="S95" si="453">R95/100000</f>
        <v>-5138.5995751105556</v>
      </c>
      <c r="T95">
        <f t="shared" ref="T95" si="454">S95/1000</f>
        <v>-5.1385995751105558</v>
      </c>
    </row>
    <row r="96" spans="1:20" x14ac:dyDescent="0.25">
      <c r="A96" s="5">
        <v>44497</v>
      </c>
      <c r="B96">
        <v>0.47889999999999999</v>
      </c>
      <c r="C96">
        <v>0.504</v>
      </c>
      <c r="D96">
        <v>0.46820000000000001</v>
      </c>
      <c r="E96">
        <v>0.49530000000000002</v>
      </c>
      <c r="F96">
        <v>26076377</v>
      </c>
      <c r="G96">
        <v>0.49530000000000002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0.51396648044692816</v>
      </c>
      <c r="Q96">
        <f t="shared" ref="Q96" si="456">F96*P96</f>
        <v>13402383.709497226</v>
      </c>
      <c r="R96">
        <f t="shared" ref="R96" si="457">R97+Q96</f>
        <v>-524660225.64935338</v>
      </c>
      <c r="S96">
        <f t="shared" ref="S96" si="458">R96/100000</f>
        <v>-5246.6022564935338</v>
      </c>
      <c r="T96">
        <f t="shared" ref="T96" si="459">S96/1000</f>
        <v>-5.2466022564935342</v>
      </c>
    </row>
    <row r="97" spans="1:20" x14ac:dyDescent="0.25">
      <c r="A97" s="5">
        <v>44496</v>
      </c>
      <c r="B97">
        <v>0.53920000000000001</v>
      </c>
      <c r="C97">
        <v>0.5494</v>
      </c>
      <c r="D97">
        <v>0.46810000000000002</v>
      </c>
      <c r="E97">
        <v>0.47889999999999999</v>
      </c>
      <c r="F97">
        <v>40097510</v>
      </c>
      <c r="G97">
        <v>0.47889999999999999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-0.73431734317343222</v>
      </c>
      <c r="Q97">
        <f t="shared" ref="Q97" si="461">F97*P97</f>
        <v>-29444297.011070129</v>
      </c>
      <c r="R97">
        <f t="shared" ref="R97" si="462">R98+Q97</f>
        <v>-538062609.3588506</v>
      </c>
      <c r="S97">
        <f t="shared" ref="S97" si="463">R97/100000</f>
        <v>-5380.6260935885057</v>
      </c>
      <c r="T97">
        <f t="shared" ref="T97" si="464">S97/1000</f>
        <v>-5.3806260935885053</v>
      </c>
    </row>
    <row r="98" spans="1:20" x14ac:dyDescent="0.25">
      <c r="A98" s="5">
        <v>44495</v>
      </c>
      <c r="B98">
        <v>0.53620000000000001</v>
      </c>
      <c r="C98">
        <v>0.57899999999999996</v>
      </c>
      <c r="D98">
        <v>0.5071</v>
      </c>
      <c r="E98">
        <v>0.53959999999999997</v>
      </c>
      <c r="F98">
        <v>47195444</v>
      </c>
      <c r="G98">
        <v>0.53959999999999997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-9.5966620305980813E-2</v>
      </c>
      <c r="Q98">
        <f t="shared" ref="Q98" si="466">F98*P98</f>
        <v>-4529187.2545201806</v>
      </c>
      <c r="R98">
        <f t="shared" ref="R98" si="467">R99+Q98</f>
        <v>-508618312.34778047</v>
      </c>
      <c r="S98">
        <f t="shared" ref="S98" si="468">R98/100000</f>
        <v>-5086.1831234778047</v>
      </c>
      <c r="T98">
        <f t="shared" ref="T98" si="469">S98/1000</f>
        <v>-5.086183123477805</v>
      </c>
    </row>
    <row r="99" spans="1:20" x14ac:dyDescent="0.25">
      <c r="A99" s="5">
        <v>44494</v>
      </c>
      <c r="B99">
        <v>0.52729999999999999</v>
      </c>
      <c r="C99">
        <v>0.55430000000000001</v>
      </c>
      <c r="D99">
        <v>0.52529999999999999</v>
      </c>
      <c r="E99">
        <v>0.53620000000000001</v>
      </c>
      <c r="F99">
        <v>27754045</v>
      </c>
      <c r="G99">
        <v>0.53620000000000001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-0.24827586206896476</v>
      </c>
      <c r="Q99">
        <f t="shared" ref="Q99" si="471">F99*P99</f>
        <v>-6890659.4482758408</v>
      </c>
      <c r="R99">
        <f t="shared" ref="R99" si="472">R100+Q99</f>
        <v>-504089125.09326029</v>
      </c>
      <c r="S99">
        <f t="shared" ref="S99" si="473">R99/100000</f>
        <v>-5040.8912509326028</v>
      </c>
      <c r="T99">
        <f t="shared" ref="T99" si="474">S99/1000</f>
        <v>-5.0408912509326029</v>
      </c>
    </row>
    <row r="100" spans="1:20" x14ac:dyDescent="0.25">
      <c r="A100" s="5">
        <v>44493</v>
      </c>
      <c r="B100">
        <v>0.56620000000000004</v>
      </c>
      <c r="C100">
        <v>0.56940000000000002</v>
      </c>
      <c r="D100">
        <v>0.52529999999999999</v>
      </c>
      <c r="E100">
        <v>0.52680000000000005</v>
      </c>
      <c r="F100">
        <v>22240308</v>
      </c>
      <c r="G100">
        <v>0.52680000000000005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-0.93197278911564374</v>
      </c>
      <c r="Q100">
        <f t="shared" ref="Q100" si="476">F100*P100</f>
        <v>-20727361.877550963</v>
      </c>
      <c r="R100">
        <f t="shared" ref="R100" si="477">R101+Q100</f>
        <v>-497198465.64498442</v>
      </c>
      <c r="S100">
        <f t="shared" ref="S100" si="478">R100/100000</f>
        <v>-4971.9846564498439</v>
      </c>
      <c r="T100">
        <f t="shared" ref="T100" si="479">S100/1000</f>
        <v>-4.9719846564498438</v>
      </c>
    </row>
    <row r="101" spans="1:20" x14ac:dyDescent="0.25">
      <c r="A101" s="5">
        <v>44492</v>
      </c>
      <c r="B101">
        <v>0.57650000000000001</v>
      </c>
      <c r="C101">
        <v>0.57969999999999999</v>
      </c>
      <c r="D101">
        <v>0.56020000000000003</v>
      </c>
      <c r="E101">
        <v>0.56620000000000004</v>
      </c>
      <c r="F101">
        <v>14001660</v>
      </c>
      <c r="G101">
        <v>0.56620000000000004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-0.38461538461538286</v>
      </c>
      <c r="Q101">
        <f t="shared" ref="Q101" si="481">F101*P101</f>
        <v>-5385253.8461538218</v>
      </c>
      <c r="R101">
        <f t="shared" ref="R101" si="482">R102+Q101</f>
        <v>-476471103.76743346</v>
      </c>
      <c r="S101">
        <f t="shared" ref="S101" si="483">R101/100000</f>
        <v>-4764.7110376743349</v>
      </c>
      <c r="T101">
        <f t="shared" ref="T101" si="484">S101/1000</f>
        <v>-4.7647110376743349</v>
      </c>
    </row>
    <row r="102" spans="1:20" x14ac:dyDescent="0.25">
      <c r="A102" s="5">
        <v>44491</v>
      </c>
      <c r="B102">
        <v>0.57289999999999996</v>
      </c>
      <c r="C102">
        <v>0.60940000000000005</v>
      </c>
      <c r="D102">
        <v>0.57020000000000004</v>
      </c>
      <c r="E102">
        <v>0.57650000000000001</v>
      </c>
      <c r="F102">
        <v>24077214</v>
      </c>
      <c r="G102">
        <v>0.57650000000000001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-0.67857142857143005</v>
      </c>
      <c r="Q102">
        <f t="shared" ref="Q102" si="486">F102*P102</f>
        <v>-16338109.500000035</v>
      </c>
      <c r="R102">
        <f t="shared" ref="R102" si="487">R103+Q102</f>
        <v>-471085849.92127967</v>
      </c>
      <c r="S102">
        <f t="shared" ref="S102" si="488">R102/100000</f>
        <v>-4710.8584992127971</v>
      </c>
      <c r="T102">
        <f t="shared" ref="T102" si="489">S102/1000</f>
        <v>-4.7108584992127973</v>
      </c>
    </row>
    <row r="103" spans="1:20" x14ac:dyDescent="0.25">
      <c r="A103" s="5">
        <v>44490</v>
      </c>
      <c r="B103">
        <v>0.59340000000000004</v>
      </c>
      <c r="C103">
        <v>0.61140000000000005</v>
      </c>
      <c r="D103">
        <v>0.56620000000000004</v>
      </c>
      <c r="E103">
        <v>0.57299999999999995</v>
      </c>
      <c r="F103">
        <v>26347283</v>
      </c>
      <c r="G103">
        <v>0.57299999999999995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-0.69911504424779136</v>
      </c>
      <c r="Q103">
        <f t="shared" ref="Q103" si="491">F103*P103</f>
        <v>-18419781.920354079</v>
      </c>
      <c r="R103">
        <f t="shared" ref="R103" si="492">R104+Q103</f>
        <v>-454747740.42127961</v>
      </c>
      <c r="S103">
        <f t="shared" ref="S103" si="493">R103/100000</f>
        <v>-4547.4774042127965</v>
      </c>
      <c r="T103">
        <f t="shared" ref="T103" si="494">S103/1000</f>
        <v>-4.5474774042127963</v>
      </c>
    </row>
    <row r="104" spans="1:20" x14ac:dyDescent="0.25">
      <c r="A104" s="5">
        <v>44489</v>
      </c>
      <c r="B104">
        <v>0.5665</v>
      </c>
      <c r="C104">
        <v>0.61399999999999999</v>
      </c>
      <c r="D104">
        <v>0.55600000000000005</v>
      </c>
      <c r="E104">
        <v>0.59279999999999999</v>
      </c>
      <c r="F104">
        <v>25898901</v>
      </c>
      <c r="G104">
        <v>0.59279999999999999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0.26896551724137868</v>
      </c>
      <c r="Q104">
        <f t="shared" ref="Q104" si="496">F104*P104</f>
        <v>6965911.3034482598</v>
      </c>
      <c r="R104">
        <f t="shared" ref="R104" si="497">R105+Q104</f>
        <v>-436327958.50092554</v>
      </c>
      <c r="S104">
        <f t="shared" ref="S104" si="498">R104/100000</f>
        <v>-4363.2795850092552</v>
      </c>
      <c r="T104">
        <f t="shared" ref="T104" si="499">S104/1000</f>
        <v>-4.3632795850092556</v>
      </c>
    </row>
    <row r="105" spans="1:20" x14ac:dyDescent="0.25">
      <c r="A105" s="5">
        <v>44488</v>
      </c>
      <c r="B105">
        <v>0.57930000000000004</v>
      </c>
      <c r="C105">
        <v>0.59799999999999998</v>
      </c>
      <c r="D105">
        <v>0.55810000000000004</v>
      </c>
      <c r="E105">
        <v>0.56620000000000004</v>
      </c>
      <c r="F105">
        <v>16790189</v>
      </c>
      <c r="G105">
        <v>0.56620000000000004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-0.59398496240601462</v>
      </c>
      <c r="Q105">
        <f t="shared" ref="Q105" si="501">F105*P105</f>
        <v>-9973119.7819548808</v>
      </c>
      <c r="R105">
        <f t="shared" ref="R105" si="502">R106+Q105</f>
        <v>-443293869.8043738</v>
      </c>
      <c r="S105">
        <f t="shared" ref="S105" si="503">R105/100000</f>
        <v>-4432.9386980437384</v>
      </c>
      <c r="T105">
        <f t="shared" ref="T105" si="504">S105/1000</f>
        <v>-4.4329386980437384</v>
      </c>
    </row>
    <row r="106" spans="1:20" x14ac:dyDescent="0.25">
      <c r="A106" s="5">
        <v>44487</v>
      </c>
      <c r="B106">
        <v>0.58330000000000004</v>
      </c>
      <c r="C106">
        <v>0.61250000000000004</v>
      </c>
      <c r="D106">
        <v>0.56389999999999996</v>
      </c>
      <c r="E106">
        <v>0.57979999999999998</v>
      </c>
      <c r="F106">
        <v>28620985</v>
      </c>
      <c r="G106">
        <v>0.57979999999999998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-0.34567901234567916</v>
      </c>
      <c r="Q106">
        <f t="shared" ref="Q106" si="506">F106*P106</f>
        <v>-9893673.8271604981</v>
      </c>
      <c r="R106">
        <f t="shared" ref="R106" si="507">R107+Q106</f>
        <v>-433320750.02241892</v>
      </c>
      <c r="S106">
        <f t="shared" ref="S106" si="508">R106/100000</f>
        <v>-4333.2075002241891</v>
      </c>
      <c r="T106">
        <f t="shared" ref="T106" si="509">S106/1000</f>
        <v>-4.333207500224189</v>
      </c>
    </row>
    <row r="107" spans="1:20" x14ac:dyDescent="0.25">
      <c r="A107" s="5">
        <v>44486</v>
      </c>
      <c r="B107">
        <v>0.60829999999999995</v>
      </c>
      <c r="C107">
        <v>0.62470000000000003</v>
      </c>
      <c r="D107">
        <v>0.56669999999999998</v>
      </c>
      <c r="E107">
        <v>0.5837</v>
      </c>
      <c r="F107">
        <v>31888972</v>
      </c>
      <c r="G107">
        <v>0.5837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-0.41379310344827586</v>
      </c>
      <c r="Q107">
        <f t="shared" ref="Q107" si="511">F107*P107</f>
        <v>-13195436.689655172</v>
      </c>
      <c r="R107">
        <f t="shared" ref="R107" si="512">R108+Q107</f>
        <v>-423427076.19525844</v>
      </c>
      <c r="S107">
        <f t="shared" ref="S107" si="513">R107/100000</f>
        <v>-4234.2707619525845</v>
      </c>
      <c r="T107">
        <f t="shared" ref="T107" si="514">S107/1000</f>
        <v>-4.2342707619525841</v>
      </c>
    </row>
    <row r="108" spans="1:20" x14ac:dyDescent="0.25">
      <c r="A108" s="5">
        <v>44485</v>
      </c>
      <c r="B108">
        <v>0.61860000000000004</v>
      </c>
      <c r="C108">
        <v>0.66690000000000005</v>
      </c>
      <c r="D108">
        <v>0.59570000000000001</v>
      </c>
      <c r="E108">
        <v>0.60770000000000002</v>
      </c>
      <c r="F108">
        <v>52807900</v>
      </c>
      <c r="G108">
        <v>0.60770000000000002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-0.66292134831460658</v>
      </c>
      <c r="Q108">
        <f t="shared" ref="Q108" si="516">F108*P108</f>
        <v>-35007484.269662917</v>
      </c>
      <c r="R108">
        <f t="shared" ref="R108" si="517">R109+Q108</f>
        <v>-410231639.50560325</v>
      </c>
      <c r="S108">
        <f t="shared" ref="S108" si="518">R108/100000</f>
        <v>-4102.3163950560329</v>
      </c>
      <c r="T108">
        <f t="shared" ref="T108" si="519">S108/1000</f>
        <v>-4.1023163950560333</v>
      </c>
    </row>
    <row r="109" spans="1:20" x14ac:dyDescent="0.25">
      <c r="A109" s="5">
        <v>44484</v>
      </c>
      <c r="B109">
        <v>0.56059999999999999</v>
      </c>
      <c r="C109">
        <v>0.67400000000000004</v>
      </c>
      <c r="D109">
        <v>0.52200000000000002</v>
      </c>
      <c r="E109">
        <v>0.61899999999999999</v>
      </c>
      <c r="F109">
        <v>89944266</v>
      </c>
      <c r="G109">
        <v>0.61899999999999999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0.27631578947368368</v>
      </c>
      <c r="Q109">
        <f t="shared" ref="Q109" si="521">F109*P109</f>
        <v>24853020.868421003</v>
      </c>
      <c r="R109">
        <f t="shared" ref="R109" si="522">R110+Q109</f>
        <v>-375224155.23594034</v>
      </c>
      <c r="S109">
        <f t="shared" ref="S109" si="523">R109/100000</f>
        <v>-3752.2415523594032</v>
      </c>
      <c r="T109">
        <f t="shared" ref="T109" si="524">S109/1000</f>
        <v>-3.7522415523594033</v>
      </c>
    </row>
    <row r="110" spans="1:20" x14ac:dyDescent="0.25">
      <c r="A110" s="5">
        <v>44483</v>
      </c>
      <c r="B110">
        <v>0.53910000000000002</v>
      </c>
      <c r="C110">
        <v>0.59489999999999998</v>
      </c>
      <c r="D110">
        <v>0.53320000000000001</v>
      </c>
      <c r="E110">
        <v>0.56059999999999999</v>
      </c>
      <c r="F110">
        <v>33303519</v>
      </c>
      <c r="G110">
        <v>0.56059999999999999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-0.11183144246353355</v>
      </c>
      <c r="Q110">
        <f t="shared" ref="Q110" si="526">F110*P110</f>
        <v>-3724380.5688816966</v>
      </c>
      <c r="R110">
        <f t="shared" ref="R110" si="527">R111+Q110</f>
        <v>-400077176.10436136</v>
      </c>
      <c r="S110">
        <f t="shared" ref="S110" si="528">R110/100000</f>
        <v>-4000.7717610436134</v>
      </c>
      <c r="T110">
        <f t="shared" ref="T110" si="529">S110/1000</f>
        <v>-4.0007717610436133</v>
      </c>
    </row>
    <row r="111" spans="1:20" x14ac:dyDescent="0.25">
      <c r="A111" s="5">
        <v>44482</v>
      </c>
      <c r="B111">
        <v>0.5111</v>
      </c>
      <c r="C111">
        <v>0.54769999999999996</v>
      </c>
      <c r="D111">
        <v>0.499</v>
      </c>
      <c r="E111">
        <v>0.53959999999999997</v>
      </c>
      <c r="F111">
        <v>29639420</v>
      </c>
      <c r="G111">
        <v>0.53959999999999997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0.66735112936344965</v>
      </c>
      <c r="Q111">
        <f t="shared" ref="Q111" si="531">F111*P111</f>
        <v>19779900.410677616</v>
      </c>
      <c r="R111">
        <f t="shared" ref="R111" si="532">R112+Q111</f>
        <v>-396352795.53547966</v>
      </c>
      <c r="S111">
        <f t="shared" ref="S111" si="533">R111/100000</f>
        <v>-3963.5279553547966</v>
      </c>
      <c r="T111">
        <f t="shared" ref="T111" si="534">S111/1000</f>
        <v>-3.9635279553547966</v>
      </c>
    </row>
    <row r="112" spans="1:20" x14ac:dyDescent="0.25">
      <c r="A112" s="5">
        <v>44481</v>
      </c>
      <c r="B112">
        <v>0.51339999999999997</v>
      </c>
      <c r="C112">
        <v>0.5141</v>
      </c>
      <c r="D112">
        <v>0.47</v>
      </c>
      <c r="E112">
        <v>0.51129999999999998</v>
      </c>
      <c r="F112">
        <v>24354981</v>
      </c>
      <c r="G112">
        <v>0.51129999999999998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0.87301587301587202</v>
      </c>
      <c r="Q112">
        <f t="shared" ref="Q112" si="536">F112*P112</f>
        <v>21262284.999999978</v>
      </c>
      <c r="R112">
        <f t="shared" ref="R112" si="537">R113+Q112</f>
        <v>-416132695.94615728</v>
      </c>
      <c r="S112">
        <f t="shared" ref="S112" si="538">R112/100000</f>
        <v>-4161.3269594615731</v>
      </c>
      <c r="T112">
        <f t="shared" ref="T112" si="539">S112/1000</f>
        <v>-4.1613269594615732</v>
      </c>
    </row>
    <row r="113" spans="1:20" x14ac:dyDescent="0.25">
      <c r="A113" s="5">
        <v>44480</v>
      </c>
      <c r="B113">
        <v>0.53490000000000004</v>
      </c>
      <c r="C113">
        <v>0.55689999999999995</v>
      </c>
      <c r="D113">
        <v>0.48880000000000001</v>
      </c>
      <c r="E113">
        <v>0.5141</v>
      </c>
      <c r="F113">
        <v>21564072</v>
      </c>
      <c r="G113">
        <v>0.5141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-0.2569750367107192</v>
      </c>
      <c r="Q113">
        <f t="shared" ref="Q113" si="541">F113*P113</f>
        <v>-5541428.1938325921</v>
      </c>
      <c r="R113">
        <f t="shared" ref="R113" si="542">R114+Q113</f>
        <v>-437394980.94615728</v>
      </c>
      <c r="S113">
        <f t="shared" ref="S113" si="543">R113/100000</f>
        <v>-4373.9498094615728</v>
      </c>
      <c r="T113">
        <f t="shared" ref="T113" si="544">S113/1000</f>
        <v>-4.373949809461573</v>
      </c>
    </row>
    <row r="114" spans="1:20" x14ac:dyDescent="0.25">
      <c r="A114" s="5">
        <v>44479</v>
      </c>
      <c r="B114">
        <v>0.57230000000000003</v>
      </c>
      <c r="C114">
        <v>0.59189999999999998</v>
      </c>
      <c r="D114">
        <v>0.53120000000000001</v>
      </c>
      <c r="E114">
        <v>0.53490000000000004</v>
      </c>
      <c r="F114">
        <v>22182108</v>
      </c>
      <c r="G114">
        <v>0.53490000000000004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-0.87808896210873022</v>
      </c>
      <c r="Q114">
        <f t="shared" ref="Q114" si="546">F114*P114</f>
        <v>-19477864.19110376</v>
      </c>
      <c r="R114">
        <f t="shared" ref="R114" si="547">R115+Q114</f>
        <v>-431853552.7523247</v>
      </c>
      <c r="S114">
        <f t="shared" ref="S114" si="548">R114/100000</f>
        <v>-4318.5355275232469</v>
      </c>
      <c r="T114">
        <f t="shared" ref="T114" si="549">S114/1000</f>
        <v>-4.3185355275232471</v>
      </c>
    </row>
    <row r="115" spans="1:20" x14ac:dyDescent="0.25">
      <c r="A115" s="5">
        <v>44478</v>
      </c>
      <c r="B115">
        <v>0.58030000000000004</v>
      </c>
      <c r="C115">
        <v>0.61880000000000002</v>
      </c>
      <c r="D115">
        <v>0.56259999999999999</v>
      </c>
      <c r="E115">
        <v>0.57279999999999998</v>
      </c>
      <c r="F115">
        <v>32489751</v>
      </c>
      <c r="G115">
        <v>0.57279999999999998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-0.63701067615658424</v>
      </c>
      <c r="Q115">
        <f t="shared" ref="Q115" si="551">F115*P115</f>
        <v>-20696318.252669059</v>
      </c>
      <c r="R115">
        <f t="shared" ref="R115" si="552">R116+Q115</f>
        <v>-412375688.56122094</v>
      </c>
      <c r="S115">
        <f t="shared" ref="S115" si="553">R115/100000</f>
        <v>-4123.7568856122098</v>
      </c>
      <c r="T115">
        <f t="shared" ref="T115" si="554">S115/1000</f>
        <v>-4.1237568856122095</v>
      </c>
    </row>
    <row r="116" spans="1:20" x14ac:dyDescent="0.25">
      <c r="A116" s="5">
        <v>44477</v>
      </c>
      <c r="B116">
        <v>0.61209999999999998</v>
      </c>
      <c r="C116">
        <v>0.65810000000000002</v>
      </c>
      <c r="D116">
        <v>0.57189999999999996</v>
      </c>
      <c r="E116">
        <v>0.57999999999999996</v>
      </c>
      <c r="F116">
        <v>36624493</v>
      </c>
      <c r="G116">
        <v>0.57999999999999996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-0.81206496519721594</v>
      </c>
      <c r="Q116">
        <f t="shared" ref="Q116" si="556">F116*P116</f>
        <v>-29741467.633410677</v>
      </c>
      <c r="R116">
        <f t="shared" ref="R116" si="557">R117+Q116</f>
        <v>-391679370.30855191</v>
      </c>
      <c r="S116">
        <f t="shared" ref="S116" si="558">R116/100000</f>
        <v>-3916.7937030855192</v>
      </c>
      <c r="T116">
        <f t="shared" ref="T116" si="559">S116/1000</f>
        <v>-3.9167937030855193</v>
      </c>
    </row>
    <row r="117" spans="1:20" x14ac:dyDescent="0.25">
      <c r="A117" s="5">
        <v>44476</v>
      </c>
      <c r="B117">
        <v>0.54310000000000003</v>
      </c>
      <c r="C117">
        <v>0.64490000000000003</v>
      </c>
      <c r="D117">
        <v>0.52300000000000002</v>
      </c>
      <c r="E117">
        <v>0.61129999999999995</v>
      </c>
      <c r="F117">
        <v>71256654</v>
      </c>
      <c r="G117">
        <v>0.61129999999999995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0.44872846595570021</v>
      </c>
      <c r="Q117">
        <f t="shared" ref="Q117" si="561">F117*P117</f>
        <v>31974889.03855611</v>
      </c>
      <c r="R117">
        <f t="shared" ref="R117" si="562">R118+Q117</f>
        <v>-361937902.67514122</v>
      </c>
      <c r="S117">
        <f t="shared" ref="S117" si="563">R117/100000</f>
        <v>-3619.3790267514123</v>
      </c>
      <c r="T117">
        <f t="shared" ref="T117" si="564">S117/1000</f>
        <v>-3.6193790267514121</v>
      </c>
    </row>
    <row r="118" spans="1:20" x14ac:dyDescent="0.25">
      <c r="A118" s="5">
        <v>44475</v>
      </c>
      <c r="B118">
        <v>0.56840000000000002</v>
      </c>
      <c r="C118">
        <v>0.57550000000000001</v>
      </c>
      <c r="D118">
        <v>0.51319999999999999</v>
      </c>
      <c r="E118">
        <v>0.54169999999999996</v>
      </c>
      <c r="F118">
        <v>32855948</v>
      </c>
      <c r="G118">
        <v>0.54169999999999996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-8.5072231139648166E-2</v>
      </c>
      <c r="Q118">
        <f t="shared" ref="Q118" si="566">F118*P118</f>
        <v>-2795128.802568261</v>
      </c>
      <c r="R118">
        <f t="shared" ref="R118" si="567">R119+Q118</f>
        <v>-393912791.71369731</v>
      </c>
      <c r="S118">
        <f t="shared" ref="S118" si="568">R118/100000</f>
        <v>-3939.1279171369733</v>
      </c>
      <c r="T118">
        <f t="shared" ref="T118" si="569">S118/1000</f>
        <v>-3.9391279171369735</v>
      </c>
    </row>
    <row r="119" spans="1:20" x14ac:dyDescent="0.25">
      <c r="A119" s="5">
        <v>44474</v>
      </c>
      <c r="B119">
        <v>0.57379999999999998</v>
      </c>
      <c r="C119">
        <v>0.5998</v>
      </c>
      <c r="D119">
        <v>0.5363</v>
      </c>
      <c r="E119">
        <v>0.56840000000000002</v>
      </c>
      <c r="F119">
        <v>41162622</v>
      </c>
      <c r="G119">
        <v>0.56840000000000002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1.1023622047244629E-2</v>
      </c>
      <c r="Q119">
        <f t="shared" ref="Q119" si="571">F119*P119</f>
        <v>453761.18740159681</v>
      </c>
      <c r="R119">
        <f t="shared" ref="R119" si="572">R120+Q119</f>
        <v>-391117662.91112906</v>
      </c>
      <c r="S119">
        <f t="shared" ref="S119" si="573">R119/100000</f>
        <v>-3911.1766291112904</v>
      </c>
      <c r="T119">
        <f t="shared" ref="T119" si="574">S119/1000</f>
        <v>-3.9111766291112904</v>
      </c>
    </row>
    <row r="120" spans="1:20" x14ac:dyDescent="0.25">
      <c r="A120" s="5">
        <v>44473</v>
      </c>
      <c r="B120">
        <v>0.53069999999999995</v>
      </c>
      <c r="C120">
        <v>0.60409999999999997</v>
      </c>
      <c r="D120">
        <v>0.505</v>
      </c>
      <c r="E120">
        <v>0.56879999999999997</v>
      </c>
      <c r="F120">
        <v>64459986</v>
      </c>
      <c r="G120">
        <v>0.56879999999999997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0.28758829465186658</v>
      </c>
      <c r="Q120">
        <f t="shared" ref="Q120" si="576">F120*P120</f>
        <v>18537937.447023194</v>
      </c>
      <c r="R120">
        <f t="shared" ref="R120" si="577">R121+Q120</f>
        <v>-391571424.09853065</v>
      </c>
      <c r="S120">
        <f t="shared" ref="S120" si="578">R120/100000</f>
        <v>-3915.7142409853063</v>
      </c>
      <c r="T120">
        <f t="shared" ref="T120" si="579">S120/1000</f>
        <v>-3.9157142409853063</v>
      </c>
    </row>
    <row r="121" spans="1:20" x14ac:dyDescent="0.25">
      <c r="A121" s="5">
        <v>44472</v>
      </c>
      <c r="B121">
        <v>0.51180000000000003</v>
      </c>
      <c r="C121">
        <v>0.55700000000000005</v>
      </c>
      <c r="D121">
        <v>0.49659999999999999</v>
      </c>
      <c r="E121">
        <v>0.52929999999999999</v>
      </c>
      <c r="F121">
        <v>36699068</v>
      </c>
      <c r="G121">
        <v>0.52929999999999999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8.2781456953641447E-2</v>
      </c>
      <c r="Q121">
        <f t="shared" ref="Q121" si="581">F121*P121</f>
        <v>3038002.3178807604</v>
      </c>
      <c r="R121">
        <f t="shared" ref="R121" si="582">R122+Q121</f>
        <v>-410109361.54555386</v>
      </c>
      <c r="S121">
        <f t="shared" ref="S121" si="583">R121/100000</f>
        <v>-4101.0936154555384</v>
      </c>
      <c r="T121">
        <f t="shared" ref="T121" si="584">S121/1000</f>
        <v>-4.1010936154555386</v>
      </c>
    </row>
    <row r="122" spans="1:20" x14ac:dyDescent="0.25">
      <c r="A122" s="5">
        <v>44471</v>
      </c>
      <c r="B122">
        <v>0.51690000000000003</v>
      </c>
      <c r="C122">
        <v>0.54</v>
      </c>
      <c r="D122">
        <v>0.50149999999999995</v>
      </c>
      <c r="E122">
        <v>0.51119999999999999</v>
      </c>
      <c r="F122">
        <v>30859450</v>
      </c>
      <c r="G122">
        <v>0.51119999999999999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-0.4961038961038951</v>
      </c>
      <c r="Q122">
        <f t="shared" ref="Q122" si="586">F122*P122</f>
        <v>-15309493.376623346</v>
      </c>
      <c r="R122">
        <f t="shared" ref="R122" si="587">R123+Q122</f>
        <v>-413147363.86343461</v>
      </c>
      <c r="S122">
        <f t="shared" ref="S122" si="588">R122/100000</f>
        <v>-4131.4736386343466</v>
      </c>
      <c r="T122">
        <f t="shared" ref="T122" si="589">S122/1000</f>
        <v>-4.1314736386343469</v>
      </c>
    </row>
    <row r="123" spans="1:20" x14ac:dyDescent="0.25">
      <c r="A123" s="5">
        <v>44470</v>
      </c>
      <c r="B123">
        <v>0.47289999999999999</v>
      </c>
      <c r="C123">
        <v>0.53</v>
      </c>
      <c r="D123">
        <v>0.46810000000000002</v>
      </c>
      <c r="E123">
        <v>0.51729999999999998</v>
      </c>
      <c r="F123">
        <v>35339149</v>
      </c>
      <c r="G123">
        <v>0.51729999999999998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0.5896607431340859</v>
      </c>
      <c r="Q123">
        <f t="shared" ref="Q123" si="591">F123*P123</f>
        <v>20838108.861066189</v>
      </c>
      <c r="R123">
        <f t="shared" ref="R123" si="592">R124+Q123</f>
        <v>-397837870.48681128</v>
      </c>
      <c r="S123">
        <f t="shared" ref="S123" si="593">R123/100000</f>
        <v>-3978.3787048681129</v>
      </c>
      <c r="T123">
        <f t="shared" ref="T123" si="594">S123/1000</f>
        <v>-3.978378704868113</v>
      </c>
    </row>
    <row r="124" spans="1:20" x14ac:dyDescent="0.25">
      <c r="A124" s="5">
        <v>44469</v>
      </c>
      <c r="B124">
        <v>0.46600000000000003</v>
      </c>
      <c r="C124">
        <v>0.48599999999999999</v>
      </c>
      <c r="D124">
        <v>0.4582</v>
      </c>
      <c r="E124">
        <v>0.47289999999999999</v>
      </c>
      <c r="F124">
        <v>13332691</v>
      </c>
      <c r="G124">
        <v>0.47289999999999999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5.7553956834532044E-2</v>
      </c>
      <c r="Q124">
        <f t="shared" ref="Q124" si="596">F124*P124</f>
        <v>767349.12230215385</v>
      </c>
      <c r="R124">
        <f t="shared" ref="R124" si="597">R125+Q124</f>
        <v>-418675979.34787744</v>
      </c>
      <c r="S124">
        <f t="shared" ref="S124" si="598">R124/100000</f>
        <v>-4186.7597934787746</v>
      </c>
      <c r="T124">
        <f t="shared" ref="T124" si="599">S124/1000</f>
        <v>-4.1867597934787746</v>
      </c>
    </row>
    <row r="125" spans="1:20" x14ac:dyDescent="0.25">
      <c r="A125" s="5">
        <v>44468</v>
      </c>
      <c r="B125">
        <v>0.46050000000000002</v>
      </c>
      <c r="C125">
        <v>0.495</v>
      </c>
      <c r="D125">
        <v>0.45469999999999999</v>
      </c>
      <c r="E125">
        <v>0.4667</v>
      </c>
      <c r="F125">
        <v>14719642</v>
      </c>
      <c r="G125">
        <v>0.4667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-0.40446650124069428</v>
      </c>
      <c r="Q125">
        <f t="shared" ref="Q125" si="601">F125*P125</f>
        <v>-5953602.0992555758</v>
      </c>
      <c r="R125">
        <f t="shared" ref="R125" si="602">R126+Q125</f>
        <v>-419443328.47017962</v>
      </c>
      <c r="S125">
        <f t="shared" ref="S125" si="603">R125/100000</f>
        <v>-4194.4332847017959</v>
      </c>
      <c r="T125">
        <f t="shared" ref="T125" si="604">S125/1000</f>
        <v>-4.1944332847017956</v>
      </c>
    </row>
    <row r="126" spans="1:20" x14ac:dyDescent="0.25">
      <c r="A126" s="5">
        <v>44467</v>
      </c>
      <c r="B126">
        <v>0.46479999999999999</v>
      </c>
      <c r="C126">
        <v>0.50260000000000005</v>
      </c>
      <c r="D126">
        <v>0.44869999999999999</v>
      </c>
      <c r="E126">
        <v>0.46</v>
      </c>
      <c r="F126">
        <v>20865537</v>
      </c>
      <c r="G126">
        <v>0.46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-0.58070500927643709</v>
      </c>
      <c r="Q126">
        <f t="shared" ref="Q126" si="606">F126*P126</f>
        <v>-12116721.857142841</v>
      </c>
      <c r="R126">
        <f t="shared" ref="R126" si="607">R127+Q126</f>
        <v>-413489726.37092406</v>
      </c>
      <c r="S126">
        <f t="shared" ref="S126" si="608">R126/100000</f>
        <v>-4134.8972637092402</v>
      </c>
      <c r="T126">
        <f t="shared" ref="T126" si="609">S126/1000</f>
        <v>-4.1348972637092398</v>
      </c>
    </row>
    <row r="127" spans="1:20" x14ac:dyDescent="0.25">
      <c r="A127" s="5">
        <v>44466</v>
      </c>
      <c r="B127">
        <v>0.47420000000000001</v>
      </c>
      <c r="C127">
        <v>0.51919999999999999</v>
      </c>
      <c r="D127">
        <v>0.4511</v>
      </c>
      <c r="E127">
        <v>0.46529999999999999</v>
      </c>
      <c r="F127">
        <v>28859550</v>
      </c>
      <c r="G127">
        <v>0.46529999999999999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-0.58296622613803251</v>
      </c>
      <c r="Q127">
        <f t="shared" ref="Q127" si="611">F127*P127</f>
        <v>-16824142.951541856</v>
      </c>
      <c r="R127">
        <f t="shared" ref="R127" si="612">R128+Q127</f>
        <v>-401373004.51378119</v>
      </c>
      <c r="S127">
        <f t="shared" ref="S127" si="613">R127/100000</f>
        <v>-4013.7300451378119</v>
      </c>
      <c r="T127">
        <f t="shared" ref="T127" si="614">S127/1000</f>
        <v>-4.0137300451378115</v>
      </c>
    </row>
    <row r="128" spans="1:20" x14ac:dyDescent="0.25">
      <c r="A128" s="5">
        <v>44465</v>
      </c>
      <c r="B128">
        <v>0.4677</v>
      </c>
      <c r="C128">
        <v>0.48709999999999998</v>
      </c>
      <c r="D128">
        <v>0.41749999999999998</v>
      </c>
      <c r="E128">
        <v>0.47499999999999998</v>
      </c>
      <c r="F128">
        <v>25940894.399999999</v>
      </c>
      <c r="G128">
        <v>0.47499999999999998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0.6522988505747126</v>
      </c>
      <c r="Q128">
        <f t="shared" ref="Q128" si="616">F128*P128</f>
        <v>16921215.599999998</v>
      </c>
      <c r="R128">
        <f t="shared" ref="R128" si="617">R129+Q128</f>
        <v>-384548861.56223935</v>
      </c>
      <c r="S128">
        <f t="shared" ref="S128" si="618">R128/100000</f>
        <v>-3845.4886156223934</v>
      </c>
      <c r="T128">
        <f t="shared" ref="T128" si="619">S128/1000</f>
        <v>-3.8454886156223935</v>
      </c>
    </row>
    <row r="129" spans="1:20" x14ac:dyDescent="0.25">
      <c r="A129" s="5">
        <v>44464</v>
      </c>
      <c r="B129">
        <v>0.48159999999999997</v>
      </c>
      <c r="C129">
        <v>0.49299999999999999</v>
      </c>
      <c r="D129">
        <v>0.45839999999999997</v>
      </c>
      <c r="E129">
        <v>0.46739999999999998</v>
      </c>
      <c r="F129">
        <v>16535575</v>
      </c>
      <c r="G129">
        <v>0.46739999999999998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-0.47976878612716745</v>
      </c>
      <c r="Q129">
        <f t="shared" ref="Q129" si="621">F129*P129</f>
        <v>-7933252.7456647372</v>
      </c>
      <c r="R129">
        <f t="shared" ref="R129" si="622">R130+Q129</f>
        <v>-401470077.16223937</v>
      </c>
      <c r="S129">
        <f t="shared" ref="S129" si="623">R129/100000</f>
        <v>-4014.7007716223939</v>
      </c>
      <c r="T129">
        <f t="shared" ref="T129" si="624">S129/1000</f>
        <v>-4.0147007716223939</v>
      </c>
    </row>
    <row r="130" spans="1:20" x14ac:dyDescent="0.25">
      <c r="A130" s="5">
        <v>44463</v>
      </c>
      <c r="B130">
        <v>0.53959999999999997</v>
      </c>
      <c r="C130">
        <v>0.54020000000000001</v>
      </c>
      <c r="D130">
        <v>0.44819999999999999</v>
      </c>
      <c r="E130">
        <v>0.48159999999999997</v>
      </c>
      <c r="F130">
        <v>31522820.923</v>
      </c>
      <c r="G130">
        <v>0.48159999999999997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-0.2739130434782614</v>
      </c>
      <c r="Q130">
        <f t="shared" ref="Q130" si="626">F130*P130</f>
        <v>-8634511.8180391472</v>
      </c>
      <c r="R130">
        <f t="shared" ref="R130" si="627">R131+Q130</f>
        <v>-393536824.41657466</v>
      </c>
      <c r="S130">
        <f t="shared" ref="S130" si="628">R130/100000</f>
        <v>-3935.3682441657465</v>
      </c>
      <c r="T130">
        <f t="shared" ref="T130" si="629">S130/1000</f>
        <v>-3.9353682441657467</v>
      </c>
    </row>
    <row r="131" spans="1:20" x14ac:dyDescent="0.25">
      <c r="A131" s="5">
        <v>44462</v>
      </c>
      <c r="B131">
        <v>0.54049999999999998</v>
      </c>
      <c r="C131">
        <v>0.55740000000000001</v>
      </c>
      <c r="D131">
        <v>0.4975</v>
      </c>
      <c r="E131">
        <v>0.53969999999999996</v>
      </c>
      <c r="F131">
        <v>41945813</v>
      </c>
      <c r="G131">
        <v>0.53969999999999996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0.4090150250417347</v>
      </c>
      <c r="Q131">
        <f t="shared" ref="Q131" si="631">F131*P131</f>
        <v>17156467.754590921</v>
      </c>
      <c r="R131">
        <f t="shared" ref="R131" si="632">R132+Q131</f>
        <v>-384902312.59853554</v>
      </c>
      <c r="S131">
        <f t="shared" ref="S131" si="633">R131/100000</f>
        <v>-3849.0231259853554</v>
      </c>
      <c r="T131">
        <f t="shared" ref="T131" si="634">S131/1000</f>
        <v>-3.8490231259853553</v>
      </c>
    </row>
    <row r="132" spans="1:20" x14ac:dyDescent="0.25">
      <c r="A132" s="5">
        <v>44461</v>
      </c>
      <c r="B132">
        <v>0.47670000000000001</v>
      </c>
      <c r="C132">
        <v>0.55389999999999995</v>
      </c>
      <c r="D132">
        <v>0.46710000000000002</v>
      </c>
      <c r="E132">
        <v>0.54100000000000004</v>
      </c>
      <c r="F132">
        <v>37571460.446000002</v>
      </c>
      <c r="G132">
        <v>0.54100000000000004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0.70276497695852713</v>
      </c>
      <c r="Q132">
        <f t="shared" ref="Q132" si="636">F132*P132</f>
        <v>26403906.534631405</v>
      </c>
      <c r="R132">
        <f t="shared" ref="R132" si="637">R133+Q132</f>
        <v>-402058780.35312647</v>
      </c>
      <c r="S132">
        <f t="shared" ref="S132" si="638">R132/100000</f>
        <v>-4020.5878035312649</v>
      </c>
      <c r="T132">
        <f t="shared" ref="T132" si="639">S132/1000</f>
        <v>-4.0205878035312645</v>
      </c>
    </row>
    <row r="133" spans="1:20" x14ac:dyDescent="0.25">
      <c r="A133" s="5">
        <v>44460</v>
      </c>
      <c r="B133">
        <v>0.52769999999999995</v>
      </c>
      <c r="C133">
        <v>0.56799999999999995</v>
      </c>
      <c r="D133">
        <v>0.47110000000000002</v>
      </c>
      <c r="E133">
        <v>0.47699999999999998</v>
      </c>
      <c r="F133">
        <v>40446568.405000001</v>
      </c>
      <c r="G133">
        <v>0.47699999999999998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-0.87822497420020706</v>
      </c>
      <c r="Q133">
        <f t="shared" ref="Q133" si="641">F133*P133</f>
        <v>-35521186.49396804</v>
      </c>
      <c r="R133">
        <f t="shared" ref="R133" si="642">R134+Q133</f>
        <v>-428462686.8877579</v>
      </c>
      <c r="S133">
        <f t="shared" ref="S133" si="643">R133/100000</f>
        <v>-4284.626868877579</v>
      </c>
      <c r="T133">
        <f t="shared" ref="T133" si="644">S133/1000</f>
        <v>-4.284626868877579</v>
      </c>
    </row>
    <row r="134" spans="1:20" x14ac:dyDescent="0.25">
      <c r="A134" s="5">
        <v>44459</v>
      </c>
      <c r="B134">
        <v>0.626</v>
      </c>
      <c r="C134">
        <v>0.64859999999999995</v>
      </c>
      <c r="D134">
        <v>0.56259999999999999</v>
      </c>
      <c r="E134">
        <v>0.59189999999999998</v>
      </c>
      <c r="F134">
        <v>20560513</v>
      </c>
      <c r="G134">
        <v>0.59189999999999998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-0.31860465116279058</v>
      </c>
      <c r="Q134">
        <f t="shared" ref="Q134" si="646">F134*P134</f>
        <v>-6550675.0720930211</v>
      </c>
      <c r="R134">
        <f t="shared" ref="R134" si="647">R135+Q134</f>
        <v>-392941500.39378983</v>
      </c>
      <c r="S134">
        <f t="shared" ref="S134" si="648">R134/100000</f>
        <v>-3929.4150039378983</v>
      </c>
      <c r="T134">
        <f t="shared" ref="T134" si="649">S134/1000</f>
        <v>-3.9294150039378981</v>
      </c>
    </row>
    <row r="135" spans="1:20" x14ac:dyDescent="0.25">
      <c r="A135" s="5">
        <v>44458</v>
      </c>
      <c r="B135">
        <v>0.67689999999999995</v>
      </c>
      <c r="C135">
        <v>0.69289999999999996</v>
      </c>
      <c r="D135">
        <v>0.61750000000000005</v>
      </c>
      <c r="E135">
        <v>0.62549999999999994</v>
      </c>
      <c r="F135">
        <v>38154992</v>
      </c>
      <c r="G135">
        <v>0.62549999999999994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-0.78779840848806615</v>
      </c>
      <c r="Q135">
        <f t="shared" ref="Q135" si="651">F135*P135</f>
        <v>-30058441.973474897</v>
      </c>
      <c r="R135">
        <f t="shared" ref="R135" si="652">R136+Q135</f>
        <v>-386390825.32169682</v>
      </c>
      <c r="S135">
        <f t="shared" ref="S135" si="653">R135/100000</f>
        <v>-3863.9082532169682</v>
      </c>
      <c r="T135">
        <f t="shared" ref="T135" si="654">S135/1000</f>
        <v>-3.8639082532169682</v>
      </c>
    </row>
    <row r="136" spans="1:20" x14ac:dyDescent="0.25">
      <c r="A136" s="5">
        <v>44457</v>
      </c>
      <c r="B136">
        <v>0.62719999999999998</v>
      </c>
      <c r="C136">
        <v>0.75900000000000001</v>
      </c>
      <c r="D136">
        <v>0.62119999999999997</v>
      </c>
      <c r="E136">
        <v>0.67720000000000002</v>
      </c>
      <c r="F136">
        <v>64663713</v>
      </c>
      <c r="G136">
        <v>0.67720000000000002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-0.18722786647314896</v>
      </c>
      <c r="Q136">
        <f t="shared" ref="Q136" si="656">F136*P136</f>
        <v>-12106849.023222025</v>
      </c>
      <c r="R136">
        <f t="shared" ref="R136" si="657">R137+Q136</f>
        <v>-356332383.3482219</v>
      </c>
      <c r="S136">
        <f t="shared" ref="S136" si="658">R136/100000</f>
        <v>-3563.323833482219</v>
      </c>
      <c r="T136">
        <f t="shared" ref="T136" si="659">S136/1000</f>
        <v>-3.5633238334822188</v>
      </c>
    </row>
    <row r="137" spans="1:20" x14ac:dyDescent="0.25">
      <c r="A137" s="5">
        <v>44456</v>
      </c>
      <c r="B137">
        <v>0.64700000000000002</v>
      </c>
      <c r="C137">
        <v>0.66490000000000005</v>
      </c>
      <c r="D137">
        <v>0.61</v>
      </c>
      <c r="E137">
        <v>0.62749999999999995</v>
      </c>
      <c r="F137">
        <v>24349346</v>
      </c>
      <c r="G137">
        <v>0.62749999999999995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-0.36247723132969251</v>
      </c>
      <c r="Q137">
        <f t="shared" ref="Q137" si="661">F137*P137</f>
        <v>-8826083.5227687228</v>
      </c>
      <c r="R137">
        <f t="shared" ref="R137" si="662">R138+Q137</f>
        <v>-344225534.32499987</v>
      </c>
      <c r="S137">
        <f t="shared" ref="S137" si="663">R137/100000</f>
        <v>-3442.2553432499985</v>
      </c>
      <c r="T137">
        <f t="shared" ref="T137" si="664">S137/1000</f>
        <v>-3.4422553432499985</v>
      </c>
    </row>
    <row r="138" spans="1:20" x14ac:dyDescent="0.25">
      <c r="A138" s="5">
        <v>44455</v>
      </c>
      <c r="B138">
        <v>0.68840000000000001</v>
      </c>
      <c r="C138">
        <v>0.7</v>
      </c>
      <c r="D138">
        <v>0.62560000000000004</v>
      </c>
      <c r="E138">
        <v>0.64710000000000001</v>
      </c>
      <c r="F138">
        <v>39296087</v>
      </c>
      <c r="G138">
        <v>0.64710000000000001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-0.42204301075268846</v>
      </c>
      <c r="Q138">
        <f t="shared" ref="Q138" si="666">F138*P138</f>
        <v>-16584638.868279582</v>
      </c>
      <c r="R138">
        <f t="shared" ref="R138" si="667">R139+Q138</f>
        <v>-335399450.80223113</v>
      </c>
      <c r="S138">
        <f t="shared" ref="S138" si="668">R138/100000</f>
        <v>-3353.9945080223115</v>
      </c>
      <c r="T138">
        <f t="shared" ref="T138" si="669">S138/1000</f>
        <v>-3.3539945080223115</v>
      </c>
    </row>
    <row r="139" spans="1:20" x14ac:dyDescent="0.25">
      <c r="A139" s="5">
        <v>44454</v>
      </c>
      <c r="B139">
        <v>0.64439999999999997</v>
      </c>
      <c r="C139">
        <v>0.69720000000000004</v>
      </c>
      <c r="D139">
        <v>0.63519999999999999</v>
      </c>
      <c r="E139">
        <v>0.68830000000000002</v>
      </c>
      <c r="F139">
        <v>36818501</v>
      </c>
      <c r="G139">
        <v>0.68830000000000002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0.71290322580645127</v>
      </c>
      <c r="Q139">
        <f t="shared" ref="Q139" si="671">F139*P139</f>
        <v>26248028.13225805</v>
      </c>
      <c r="R139">
        <f t="shared" ref="R139" si="672">R140+Q139</f>
        <v>-318814811.93395156</v>
      </c>
      <c r="S139">
        <f t="shared" ref="S139" si="673">R139/100000</f>
        <v>-3188.1481193395157</v>
      </c>
      <c r="T139">
        <f t="shared" ref="T139" si="674">S139/1000</f>
        <v>-3.1881481193395156</v>
      </c>
    </row>
    <row r="140" spans="1:20" x14ac:dyDescent="0.25">
      <c r="A140" s="5">
        <v>44453</v>
      </c>
      <c r="B140">
        <v>0.62409999999999999</v>
      </c>
      <c r="C140">
        <v>0.64770000000000005</v>
      </c>
      <c r="D140">
        <v>0.61180000000000001</v>
      </c>
      <c r="E140">
        <v>0.64480000000000004</v>
      </c>
      <c r="F140">
        <v>36233595</v>
      </c>
      <c r="G140">
        <v>0.64480000000000004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0.83844011142061226</v>
      </c>
      <c r="Q140">
        <f t="shared" ref="Q140" si="676">F140*P140</f>
        <v>30379699.428969339</v>
      </c>
      <c r="R140">
        <f t="shared" ref="R140" si="677">R141+Q140</f>
        <v>-345062840.06620961</v>
      </c>
      <c r="S140">
        <f t="shared" ref="S140" si="678">R140/100000</f>
        <v>-3450.6284006620963</v>
      </c>
      <c r="T140">
        <f t="shared" ref="T140" si="679">S140/1000</f>
        <v>-3.4506284006620964</v>
      </c>
    </row>
    <row r="141" spans="1:20" x14ac:dyDescent="0.25">
      <c r="A141" s="5">
        <v>44452</v>
      </c>
      <c r="B141">
        <v>0.65720000000000001</v>
      </c>
      <c r="C141">
        <v>0.66810000000000003</v>
      </c>
      <c r="D141">
        <v>0.59</v>
      </c>
      <c r="E141">
        <v>0.62429999999999997</v>
      </c>
      <c r="F141">
        <v>33859239</v>
      </c>
      <c r="G141">
        <v>0.62429999999999997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-0.12163892445582659</v>
      </c>
      <c r="Q141">
        <f t="shared" ref="Q141" si="681">F141*P141</f>
        <v>-4118601.4148527775</v>
      </c>
      <c r="R141">
        <f t="shared" ref="R141" si="682">R142+Q141</f>
        <v>-375442539.49517894</v>
      </c>
      <c r="S141">
        <f t="shared" ref="S141" si="683">R141/100000</f>
        <v>-3754.4253949517893</v>
      </c>
      <c r="T141">
        <f t="shared" ref="T141" si="684">S141/1000</f>
        <v>-3.7544253949517894</v>
      </c>
    </row>
    <row r="142" spans="1:20" x14ac:dyDescent="0.25">
      <c r="A142" s="5">
        <v>44451</v>
      </c>
      <c r="B142">
        <v>0.64349999999999996</v>
      </c>
      <c r="C142">
        <v>0.72889999999999999</v>
      </c>
      <c r="D142">
        <v>0.62239999999999995</v>
      </c>
      <c r="E142">
        <v>0.65800000000000003</v>
      </c>
      <c r="F142">
        <v>42987554</v>
      </c>
      <c r="G142">
        <v>0.65800000000000003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-0.33145539906103166</v>
      </c>
      <c r="Q142">
        <f t="shared" ref="Q142" si="686">F142*P142</f>
        <v>-14248456.865727648</v>
      </c>
      <c r="R142">
        <f t="shared" ref="R142" si="687">R143+Q142</f>
        <v>-371323938.08032614</v>
      </c>
      <c r="S142">
        <f t="shared" ref="S142" si="688">R142/100000</f>
        <v>-3713.2393808032616</v>
      </c>
      <c r="T142">
        <f t="shared" ref="T142" si="689">S142/1000</f>
        <v>-3.7132393808032615</v>
      </c>
    </row>
    <row r="143" spans="1:20" x14ac:dyDescent="0.25">
      <c r="A143" s="5">
        <v>44450</v>
      </c>
      <c r="B143">
        <v>0.622</v>
      </c>
      <c r="C143">
        <v>0.67989999999999995</v>
      </c>
      <c r="D143">
        <v>0.60760000000000003</v>
      </c>
      <c r="E143">
        <v>0.6431</v>
      </c>
      <c r="F143">
        <v>40583011</v>
      </c>
      <c r="G143">
        <v>0.6431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-1.7980636237897224E-2</v>
      </c>
      <c r="Q143">
        <f t="shared" ref="Q143" si="691">F143*P143</f>
        <v>-729708.35822958162</v>
      </c>
      <c r="R143">
        <f t="shared" ref="R143" si="692">R144+Q143</f>
        <v>-357075481.21459848</v>
      </c>
      <c r="S143">
        <f t="shared" ref="S143" si="693">R143/100000</f>
        <v>-3570.7548121459849</v>
      </c>
      <c r="T143">
        <f t="shared" ref="T143" si="694">S143/1000</f>
        <v>-3.5707548121459851</v>
      </c>
    </row>
    <row r="144" spans="1:20" x14ac:dyDescent="0.25">
      <c r="A144" s="5">
        <v>44449</v>
      </c>
      <c r="B144">
        <v>0.67100000000000004</v>
      </c>
      <c r="C144">
        <v>0.74419999999999997</v>
      </c>
      <c r="D144">
        <v>0.59</v>
      </c>
      <c r="E144">
        <v>0.62219999999999998</v>
      </c>
      <c r="F144">
        <v>58225879</v>
      </c>
      <c r="G144">
        <v>0.62219999999999998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-0.58236057068741887</v>
      </c>
      <c r="Q144">
        <f t="shared" ref="Q144" si="696">F144*P144</f>
        <v>-33908456.123216599</v>
      </c>
      <c r="R144">
        <f t="shared" ref="R144" si="697">R145+Q144</f>
        <v>-356345772.8563689</v>
      </c>
      <c r="S144">
        <f t="shared" ref="S144" si="698">R144/100000</f>
        <v>-3563.4577285636892</v>
      </c>
      <c r="T144">
        <f t="shared" ref="T144" si="699">S144/1000</f>
        <v>-3.563457728563689</v>
      </c>
    </row>
    <row r="145" spans="1:20" x14ac:dyDescent="0.25">
      <c r="A145" s="5">
        <v>44448</v>
      </c>
      <c r="B145">
        <v>0.67</v>
      </c>
      <c r="C145">
        <v>0.70479999999999998</v>
      </c>
      <c r="D145">
        <v>0.61529999999999996</v>
      </c>
      <c r="E145">
        <v>0.67090000000000005</v>
      </c>
      <c r="F145">
        <v>52800568</v>
      </c>
      <c r="G145">
        <v>0.67090000000000005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0.24245810055866099</v>
      </c>
      <c r="Q145">
        <f t="shared" ref="Q145" si="701">F145*P145</f>
        <v>12801925.425698418</v>
      </c>
      <c r="R145">
        <f t="shared" ref="R145" si="702">R146+Q145</f>
        <v>-322437316.73315233</v>
      </c>
      <c r="S145">
        <f t="shared" ref="S145" si="703">R145/100000</f>
        <v>-3224.3731673315233</v>
      </c>
      <c r="T145">
        <f t="shared" ref="T145" si="704">S145/1000</f>
        <v>-3.2243731673315232</v>
      </c>
    </row>
    <row r="146" spans="1:20" x14ac:dyDescent="0.25">
      <c r="A146" s="5">
        <v>44447</v>
      </c>
      <c r="B146">
        <v>0.6825</v>
      </c>
      <c r="C146">
        <v>0.71099999999999997</v>
      </c>
      <c r="D146">
        <v>0.58789999999999998</v>
      </c>
      <c r="E146">
        <v>0.67</v>
      </c>
      <c r="F146">
        <v>55940075</v>
      </c>
      <c r="G146">
        <v>0.67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0.33387489845654056</v>
      </c>
      <c r="Q146">
        <f t="shared" ref="Q146" si="706">F146*P146</f>
        <v>18676986.860276263</v>
      </c>
      <c r="R146">
        <f t="shared" ref="R146" si="707">R147+Q146</f>
        <v>-335239242.15885073</v>
      </c>
      <c r="S146">
        <f t="shared" ref="S146" si="708">R146/100000</f>
        <v>-3352.3924215885072</v>
      </c>
      <c r="T146">
        <f t="shared" ref="T146" si="709">S146/1000</f>
        <v>-3.3523924215885073</v>
      </c>
    </row>
    <row r="147" spans="1:20" x14ac:dyDescent="0.25">
      <c r="A147" s="5">
        <v>44446</v>
      </c>
      <c r="B147">
        <v>0.91390000000000005</v>
      </c>
      <c r="C147">
        <v>0.95499999999999996</v>
      </c>
      <c r="D147">
        <v>0.54</v>
      </c>
      <c r="E147">
        <v>0.6855</v>
      </c>
      <c r="F147">
        <v>73510845.694000006</v>
      </c>
      <c r="G147">
        <v>0.6855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-0.29879518072289163</v>
      </c>
      <c r="Q147">
        <f t="shared" ref="Q147" si="711">F147*P147</f>
        <v>-21964686.424231332</v>
      </c>
      <c r="R147">
        <f t="shared" ref="R147" si="712">R148+Q147</f>
        <v>-353916229.01912701</v>
      </c>
      <c r="S147">
        <f t="shared" ref="S147" si="713">R147/100000</f>
        <v>-3539.1622901912701</v>
      </c>
      <c r="T147">
        <f t="shared" ref="T147" si="714">S147/1000</f>
        <v>-3.5391622901912703</v>
      </c>
    </row>
    <row r="148" spans="1:20" x14ac:dyDescent="0.25">
      <c r="A148" s="5">
        <v>44445</v>
      </c>
      <c r="B148">
        <v>0.86119999999999997</v>
      </c>
      <c r="C148">
        <v>0.94789999999999996</v>
      </c>
      <c r="D148">
        <v>0.85</v>
      </c>
      <c r="E148">
        <v>0.91390000000000005</v>
      </c>
      <c r="F148">
        <v>68101692</v>
      </c>
      <c r="G148">
        <v>0.91390000000000005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0.30541368743616093</v>
      </c>
      <c r="Q148">
        <f t="shared" ref="Q148" si="716">F148*P148</f>
        <v>20799188.874361701</v>
      </c>
      <c r="R148">
        <f t="shared" ref="R148" si="717">R149+Q148</f>
        <v>-331951542.59489566</v>
      </c>
      <c r="S148">
        <f t="shared" ref="S148" si="718">R148/100000</f>
        <v>-3319.5154259489568</v>
      </c>
      <c r="T148">
        <f t="shared" ref="T148" si="719">S148/1000</f>
        <v>-3.319515425948957</v>
      </c>
    </row>
    <row r="149" spans="1:20" x14ac:dyDescent="0.25">
      <c r="A149" s="5">
        <v>44444</v>
      </c>
      <c r="B149">
        <v>0.86619999999999997</v>
      </c>
      <c r="C149">
        <v>0.88400000000000001</v>
      </c>
      <c r="D149">
        <v>0.84189999999999998</v>
      </c>
      <c r="E149">
        <v>0.86099999999999999</v>
      </c>
      <c r="F149">
        <v>31438504</v>
      </c>
      <c r="G149">
        <v>0.86099999999999999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-9.263657957244685E-2</v>
      </c>
      <c r="Q149">
        <f t="shared" ref="Q149" si="721">F149*P149</f>
        <v>-2912355.4774346887</v>
      </c>
      <c r="R149">
        <f t="shared" ref="R149" si="722">R150+Q149</f>
        <v>-352750731.46925735</v>
      </c>
      <c r="S149">
        <f t="shared" ref="S149" si="723">R149/100000</f>
        <v>-3527.5073146925733</v>
      </c>
      <c r="T149">
        <f t="shared" ref="T149" si="724">S149/1000</f>
        <v>-3.5275073146925733</v>
      </c>
    </row>
    <row r="150" spans="1:20" x14ac:dyDescent="0.25">
      <c r="A150" s="5">
        <v>44443</v>
      </c>
      <c r="B150">
        <v>0.87470000000000003</v>
      </c>
      <c r="C150">
        <v>0.91200000000000003</v>
      </c>
      <c r="D150">
        <v>0.84919999999999995</v>
      </c>
      <c r="E150">
        <v>0.86550000000000005</v>
      </c>
      <c r="F150">
        <v>40833327</v>
      </c>
      <c r="G150">
        <v>0.86550000000000005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-0.48089171974522066</v>
      </c>
      <c r="Q150">
        <f t="shared" ref="Q150" si="726">F150*P150</f>
        <v>-19636408.843948953</v>
      </c>
      <c r="R150">
        <f t="shared" ref="R150" si="727">R151+Q150</f>
        <v>-349838375.99182266</v>
      </c>
      <c r="S150">
        <f t="shared" ref="S150" si="728">R150/100000</f>
        <v>-3498.3837599182266</v>
      </c>
      <c r="T150">
        <f t="shared" ref="T150" si="729">S150/1000</f>
        <v>-3.4983837599182266</v>
      </c>
    </row>
    <row r="151" spans="1:20" x14ac:dyDescent="0.25">
      <c r="A151" s="5">
        <v>44442</v>
      </c>
      <c r="B151">
        <v>0.84199999999999997</v>
      </c>
      <c r="C151">
        <v>0.91800000000000004</v>
      </c>
      <c r="D151">
        <v>0.82199999999999995</v>
      </c>
      <c r="E151">
        <v>0.87480000000000002</v>
      </c>
      <c r="F151">
        <v>55932249</v>
      </c>
      <c r="G151">
        <v>0.87480000000000002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0.10000000000000046</v>
      </c>
      <c r="Q151">
        <f t="shared" ref="Q151" si="731">F151*P151</f>
        <v>5593224.9000000255</v>
      </c>
      <c r="R151">
        <f t="shared" ref="R151" si="732">R152+Q151</f>
        <v>-330201967.1478737</v>
      </c>
      <c r="S151">
        <f t="shared" ref="S151" si="733">R151/100000</f>
        <v>-3302.0196714787371</v>
      </c>
      <c r="T151">
        <f t="shared" ref="T151" si="734">S151/1000</f>
        <v>-3.3020196714787371</v>
      </c>
    </row>
    <row r="152" spans="1:20" x14ac:dyDescent="0.25">
      <c r="A152" s="5">
        <v>44441</v>
      </c>
      <c r="B152">
        <v>0.8871</v>
      </c>
      <c r="C152">
        <v>0.91</v>
      </c>
      <c r="D152">
        <v>0.83489999999999998</v>
      </c>
      <c r="E152">
        <v>0.84199999999999997</v>
      </c>
      <c r="F152">
        <v>46108525</v>
      </c>
      <c r="G152">
        <v>0.84199999999999997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-0.81091877496671128</v>
      </c>
      <c r="Q152">
        <f t="shared" ref="Q152" si="736">F152*P152</f>
        <v>-37390268.608521983</v>
      </c>
      <c r="R152">
        <f t="shared" ref="R152" si="737">R153+Q152</f>
        <v>-335795192.04787374</v>
      </c>
      <c r="S152">
        <f t="shared" ref="S152" si="738">R152/100000</f>
        <v>-3357.9519204787375</v>
      </c>
      <c r="T152">
        <f t="shared" ref="T152" si="739">S152/1000</f>
        <v>-3.3579519204787376</v>
      </c>
    </row>
    <row r="153" spans="1:20" x14ac:dyDescent="0.25">
      <c r="A153" s="5">
        <v>44440</v>
      </c>
      <c r="B153">
        <v>0.84560000000000002</v>
      </c>
      <c r="C153">
        <v>0.91500000000000004</v>
      </c>
      <c r="D153">
        <v>0.81669999999999998</v>
      </c>
      <c r="E153">
        <v>0.88839999999999997</v>
      </c>
      <c r="F153">
        <v>47659252</v>
      </c>
      <c r="G153">
        <v>0.88839999999999997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0.4587995930823997</v>
      </c>
      <c r="Q153">
        <f t="shared" ref="Q153" si="741">F153*P153</f>
        <v>21866045.424211543</v>
      </c>
      <c r="R153">
        <f t="shared" ref="R153" si="742">R154+Q153</f>
        <v>-298404923.43935174</v>
      </c>
      <c r="S153">
        <f t="shared" ref="S153" si="743">R153/100000</f>
        <v>-2984.0492343935175</v>
      </c>
      <c r="T153">
        <f t="shared" ref="T153" si="744">S153/1000</f>
        <v>-2.9840492343935177</v>
      </c>
    </row>
    <row r="154" spans="1:20" x14ac:dyDescent="0.25">
      <c r="A154" s="5">
        <v>44439</v>
      </c>
      <c r="B154">
        <v>0.90080000000000005</v>
      </c>
      <c r="C154">
        <v>0.94</v>
      </c>
      <c r="D154">
        <v>0.83650000000000002</v>
      </c>
      <c r="E154">
        <v>0.84650000000000003</v>
      </c>
      <c r="F154">
        <v>53782671</v>
      </c>
      <c r="G154">
        <v>0.84650000000000003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-0.80676328502415429</v>
      </c>
      <c r="Q154">
        <f t="shared" ref="Q154" si="746">F154*P154</f>
        <v>-43389884.333333313</v>
      </c>
      <c r="R154">
        <f t="shared" ref="R154" si="747">R155+Q154</f>
        <v>-320270968.8635633</v>
      </c>
      <c r="S154">
        <f t="shared" ref="S154" si="748">R154/100000</f>
        <v>-3202.709688635633</v>
      </c>
      <c r="T154">
        <f t="shared" ref="T154" si="749">S154/1000</f>
        <v>-3.202709688635633</v>
      </c>
    </row>
    <row r="155" spans="1:20" x14ac:dyDescent="0.25">
      <c r="A155" s="5">
        <v>44438</v>
      </c>
      <c r="B155">
        <v>0.9778</v>
      </c>
      <c r="C155">
        <v>1.0025999999999999</v>
      </c>
      <c r="D155">
        <v>0.89070000000000005</v>
      </c>
      <c r="E155">
        <v>0.90149999999999997</v>
      </c>
      <c r="F155">
        <v>83400998</v>
      </c>
      <c r="G155">
        <v>0.90149999999999997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-0.80697050938337922</v>
      </c>
      <c r="Q155">
        <f t="shared" ref="Q155" si="751">F155*P155</f>
        <v>-67302145.839142188</v>
      </c>
      <c r="R155">
        <f t="shared" ref="R155" si="752">R156+Q155</f>
        <v>-276881084.53022999</v>
      </c>
      <c r="S155">
        <f t="shared" ref="S155" si="753">R155/100000</f>
        <v>-2768.8108453022996</v>
      </c>
      <c r="T155">
        <f t="shared" ref="T155" si="754">S155/1000</f>
        <v>-2.7688108453022995</v>
      </c>
    </row>
    <row r="156" spans="1:20" x14ac:dyDescent="0.25">
      <c r="A156" s="5">
        <v>44437</v>
      </c>
      <c r="B156">
        <v>1.0196000000000001</v>
      </c>
      <c r="C156">
        <v>1.1635</v>
      </c>
      <c r="D156">
        <v>0.97699999999999998</v>
      </c>
      <c r="E156">
        <v>0.9778</v>
      </c>
      <c r="F156">
        <v>139407990.96900001</v>
      </c>
      <c r="G156">
        <v>0.9778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-0.99142091152814993</v>
      </c>
      <c r="Q156">
        <f t="shared" ref="Q156" si="756">F156*P156</f>
        <v>-138211997.48079407</v>
      </c>
      <c r="R156">
        <f t="shared" ref="R156" si="757">R157+Q156</f>
        <v>-209578938.69108778</v>
      </c>
      <c r="S156">
        <f t="shared" ref="S156" si="758">R156/100000</f>
        <v>-2095.789386910878</v>
      </c>
      <c r="T156">
        <f t="shared" ref="T156" si="759">S156/1000</f>
        <v>-2.0957893869108779</v>
      </c>
    </row>
    <row r="157" spans="1:20" x14ac:dyDescent="0.25">
      <c r="A157" s="5">
        <v>44436</v>
      </c>
      <c r="B157">
        <v>0.8962</v>
      </c>
      <c r="C157">
        <v>1.125</v>
      </c>
      <c r="D157">
        <v>0.84550000000000003</v>
      </c>
      <c r="E157">
        <v>1.0198</v>
      </c>
      <c r="F157">
        <v>197162708.831</v>
      </c>
      <c r="G157">
        <v>1.0198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0.24722719141323812</v>
      </c>
      <c r="Q157">
        <f t="shared" ref="Q157" si="761">F157*P157</f>
        <v>48743982.755714171</v>
      </c>
      <c r="R157">
        <f t="shared" ref="R157" si="762">R158+Q157</f>
        <v>-71366941.21029371</v>
      </c>
      <c r="S157">
        <f t="shared" ref="S157" si="763">R157/100000</f>
        <v>-713.66941210293714</v>
      </c>
      <c r="T157">
        <f t="shared" ref="T157" si="764">S157/1000</f>
        <v>-0.71366941210293711</v>
      </c>
    </row>
    <row r="158" spans="1:20" x14ac:dyDescent="0.25">
      <c r="A158" s="5">
        <v>44435</v>
      </c>
      <c r="B158">
        <v>0.84709999999999996</v>
      </c>
      <c r="C158">
        <v>0.92159999999999997</v>
      </c>
      <c r="D158">
        <v>0.76400000000000001</v>
      </c>
      <c r="E158">
        <v>0.89559999999999995</v>
      </c>
      <c r="F158">
        <v>111044280</v>
      </c>
      <c r="G158">
        <v>0.89559999999999995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0.67005076142131947</v>
      </c>
      <c r="Q158">
        <f t="shared" ref="Q158" si="766">F158*P158</f>
        <v>74405304.365482196</v>
      </c>
      <c r="R158">
        <f t="shared" ref="R158" si="767">R159+Q158</f>
        <v>-120110923.96600787</v>
      </c>
      <c r="S158">
        <f t="shared" ref="S158" si="768">R158/100000</f>
        <v>-1201.1092396600786</v>
      </c>
      <c r="T158">
        <f t="shared" ref="T158" si="769">S158/1000</f>
        <v>-1.2011092396600787</v>
      </c>
    </row>
    <row r="159" spans="1:20" x14ac:dyDescent="0.25">
      <c r="A159" s="5">
        <v>44434</v>
      </c>
      <c r="B159">
        <v>0.8</v>
      </c>
      <c r="C159">
        <v>0.9839</v>
      </c>
      <c r="D159">
        <v>0.70499999999999996</v>
      </c>
      <c r="E159">
        <v>0.84709999999999996</v>
      </c>
      <c r="F159">
        <v>216520189.044</v>
      </c>
      <c r="G159">
        <v>0.84709999999999996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1.9003226963069095E-2</v>
      </c>
      <c r="Q159">
        <f t="shared" ref="Q159" si="771">F159*P159</f>
        <v>4114582.2944897586</v>
      </c>
      <c r="R159">
        <f t="shared" ref="R159" si="772">R160+Q159</f>
        <v>-194516228.33149007</v>
      </c>
      <c r="S159">
        <f t="shared" ref="S159" si="773">R159/100000</f>
        <v>-1945.1622833149006</v>
      </c>
      <c r="T159">
        <f t="shared" ref="T159" si="774">S159/1000</f>
        <v>-1.9451622833149007</v>
      </c>
    </row>
    <row r="160" spans="1:20" x14ac:dyDescent="0.25">
      <c r="A160" s="5">
        <v>44433</v>
      </c>
      <c r="B160">
        <v>0.69599999999999995</v>
      </c>
      <c r="C160">
        <v>0.82399999999999995</v>
      </c>
      <c r="D160">
        <v>0.65600000000000003</v>
      </c>
      <c r="E160">
        <v>0.79800000000000004</v>
      </c>
      <c r="F160">
        <v>65686705.810999997</v>
      </c>
      <c r="G160">
        <v>0.79800000000000004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0.69047619047619135</v>
      </c>
      <c r="Q160">
        <f t="shared" ref="Q160" si="776">F160*P160</f>
        <v>45355106.393309578</v>
      </c>
      <c r="R160">
        <f t="shared" ref="R160" si="777">R161+Q160</f>
        <v>-198630810.62597984</v>
      </c>
      <c r="S160">
        <f t="shared" ref="S160" si="778">R160/100000</f>
        <v>-1986.3081062597985</v>
      </c>
      <c r="T160">
        <f t="shared" ref="T160" si="779">S160/1000</f>
        <v>-1.9863081062597985</v>
      </c>
    </row>
    <row r="161" spans="1:20" x14ac:dyDescent="0.25">
      <c r="A161" s="5">
        <v>44432</v>
      </c>
      <c r="B161">
        <v>0.78900000000000003</v>
      </c>
      <c r="C161">
        <v>0.79400000000000004</v>
      </c>
      <c r="D161">
        <v>0.68400000000000005</v>
      </c>
      <c r="E161">
        <v>0.69699999999999995</v>
      </c>
      <c r="F161">
        <v>35505406.847000003</v>
      </c>
      <c r="G161">
        <v>0.69699999999999995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-0.76363636363636545</v>
      </c>
      <c r="Q161">
        <f t="shared" ref="Q161" si="781">F161*P161</f>
        <v>-27113219.774072792</v>
      </c>
      <c r="R161">
        <f t="shared" ref="R161" si="782">R162+Q161</f>
        <v>-243985917.0192894</v>
      </c>
      <c r="S161">
        <f t="shared" ref="S161" si="783">R161/100000</f>
        <v>-2439.859170192894</v>
      </c>
      <c r="T161">
        <f t="shared" ref="T161" si="784">S161/1000</f>
        <v>-2.4398591701928938</v>
      </c>
    </row>
    <row r="162" spans="1:20" x14ac:dyDescent="0.25">
      <c r="A162" s="5">
        <v>44431</v>
      </c>
      <c r="B162">
        <v>0.76400000000000001</v>
      </c>
      <c r="C162">
        <v>0.81899999999999995</v>
      </c>
      <c r="D162">
        <v>0.75900000000000001</v>
      </c>
      <c r="E162">
        <v>0.78900000000000003</v>
      </c>
      <c r="F162">
        <v>36458619.559</v>
      </c>
      <c r="G162">
        <v>0.78900000000000003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1.8503717077085959E-15</v>
      </c>
      <c r="Q162">
        <f t="shared" ref="Q162" si="786">F162*P162</f>
        <v>6.7461998134084844E-8</v>
      </c>
      <c r="R162">
        <f t="shared" ref="R162" si="787">R163+Q162</f>
        <v>-216872697.24521661</v>
      </c>
      <c r="S162">
        <f t="shared" ref="S162" si="788">R162/100000</f>
        <v>-2168.7269724521661</v>
      </c>
      <c r="T162">
        <f t="shared" ref="T162" si="789">S162/1000</f>
        <v>-2.1687269724521663</v>
      </c>
    </row>
    <row r="163" spans="1:20" x14ac:dyDescent="0.25">
      <c r="A163" s="5">
        <v>44430</v>
      </c>
      <c r="B163">
        <v>0.78900000000000003</v>
      </c>
      <c r="C163">
        <v>0.81200000000000006</v>
      </c>
      <c r="D163">
        <v>0.77700000000000002</v>
      </c>
      <c r="E163">
        <v>0.78600000000000003</v>
      </c>
      <c r="F163">
        <v>7092156.7400000002</v>
      </c>
      <c r="G163">
        <v>0.78600000000000003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-0.48571428571428571</v>
      </c>
      <c r="Q163">
        <f t="shared" ref="Q163" si="791">F163*P163</f>
        <v>-3444761.8451428572</v>
      </c>
      <c r="R163">
        <f t="shared" ref="R163" si="792">R164+Q163</f>
        <v>-216872697.24521667</v>
      </c>
      <c r="S163">
        <f t="shared" ref="S163" si="793">R163/100000</f>
        <v>-2168.7269724521666</v>
      </c>
      <c r="T163">
        <f t="shared" ref="T163" si="794">S163/1000</f>
        <v>-2.1687269724521667</v>
      </c>
    </row>
    <row r="164" spans="1:20" x14ac:dyDescent="0.25">
      <c r="A164" s="5">
        <v>44429</v>
      </c>
      <c r="B164">
        <v>0.77700000000000002</v>
      </c>
      <c r="C164">
        <v>0.83899999999999997</v>
      </c>
      <c r="D164">
        <v>0.75700000000000001</v>
      </c>
      <c r="E164">
        <v>0.79100000000000004</v>
      </c>
      <c r="F164">
        <v>47289079.332000002</v>
      </c>
      <c r="G164">
        <v>0.79100000000000004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-0.17073170731707205</v>
      </c>
      <c r="Q164">
        <f t="shared" ref="Q164" si="796">F164*P164</f>
        <v>-8073745.2518048249</v>
      </c>
      <c r="R164">
        <f t="shared" ref="R164" si="797">R165+Q164</f>
        <v>-213427935.4000738</v>
      </c>
      <c r="S164">
        <f t="shared" ref="S164" si="798">R164/100000</f>
        <v>-2134.2793540007378</v>
      </c>
      <c r="T164">
        <f t="shared" ref="T164" si="799">S164/1000</f>
        <v>-2.1342793540007379</v>
      </c>
    </row>
    <row r="165" spans="1:20" x14ac:dyDescent="0.25">
      <c r="A165" s="5">
        <v>44428</v>
      </c>
      <c r="B165">
        <v>0.75800000000000001</v>
      </c>
      <c r="C165">
        <v>0.78700000000000003</v>
      </c>
      <c r="D165">
        <v>0.74199999999999999</v>
      </c>
      <c r="E165">
        <v>0.77600000000000002</v>
      </c>
      <c r="F165">
        <v>36339229.559</v>
      </c>
      <c r="G165">
        <v>0.77600000000000002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0.51111111111111107</v>
      </c>
      <c r="Q165">
        <f t="shared" ref="Q165" si="801">F165*P165</f>
        <v>18573383.996822219</v>
      </c>
      <c r="R165">
        <f t="shared" ref="R165" si="802">R166+Q165</f>
        <v>-205354190.14826897</v>
      </c>
      <c r="S165">
        <f t="shared" ref="S165" si="803">R165/100000</f>
        <v>-2053.5419014826898</v>
      </c>
      <c r="T165">
        <f t="shared" ref="T165" si="804">S165/1000</f>
        <v>-2.0535419014826899</v>
      </c>
    </row>
    <row r="166" spans="1:20" x14ac:dyDescent="0.25">
      <c r="A166" s="5">
        <v>44427</v>
      </c>
      <c r="B166">
        <v>0.72799999999999998</v>
      </c>
      <c r="C166">
        <v>0.76400000000000001</v>
      </c>
      <c r="D166">
        <v>0.67200000000000004</v>
      </c>
      <c r="E166">
        <v>0.75900000000000001</v>
      </c>
      <c r="F166">
        <v>39026346.512000002</v>
      </c>
      <c r="G166">
        <v>0.75900000000000001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0.89130434782608681</v>
      </c>
      <c r="Q166">
        <f t="shared" ref="Q166" si="806">F166*P166</f>
        <v>34784352.325913042</v>
      </c>
      <c r="R166">
        <f t="shared" ref="R166" si="807">R167+Q166</f>
        <v>-223927574.14509118</v>
      </c>
      <c r="S166">
        <f t="shared" ref="S166" si="808">R166/100000</f>
        <v>-2239.2757414509119</v>
      </c>
      <c r="T166">
        <f t="shared" ref="T166" si="809">S166/1000</f>
        <v>-2.2392757414509119</v>
      </c>
    </row>
    <row r="167" spans="1:20" x14ac:dyDescent="0.25">
      <c r="A167" s="5">
        <v>44426</v>
      </c>
      <c r="B167">
        <v>0.71199999999999997</v>
      </c>
      <c r="C167">
        <v>0.76400000000000001</v>
      </c>
      <c r="D167">
        <v>0.67700000000000005</v>
      </c>
      <c r="E167">
        <v>0.72799999999999998</v>
      </c>
      <c r="F167">
        <v>42494758.601999998</v>
      </c>
      <c r="G167">
        <v>0.72799999999999998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0.17241379310344723</v>
      </c>
      <c r="Q167">
        <f t="shared" ref="Q167" si="811">F167*P167</f>
        <v>7326682.5175861623</v>
      </c>
      <c r="R167">
        <f t="shared" ref="R167" si="812">R168+Q167</f>
        <v>-258711926.47100422</v>
      </c>
      <c r="S167">
        <f t="shared" ref="S167" si="813">R167/100000</f>
        <v>-2587.119264710042</v>
      </c>
      <c r="T167">
        <f t="shared" ref="T167" si="814">S167/1000</f>
        <v>-2.5871192647100418</v>
      </c>
    </row>
    <row r="168" spans="1:20" x14ac:dyDescent="0.25">
      <c r="A168" s="5">
        <v>44425</v>
      </c>
      <c r="B168">
        <v>0.76200000000000001</v>
      </c>
      <c r="C168">
        <v>0.82</v>
      </c>
      <c r="D168">
        <v>0.70099999999999996</v>
      </c>
      <c r="E168">
        <v>0.71</v>
      </c>
      <c r="F168">
        <v>42292898.432999998</v>
      </c>
      <c r="G168">
        <v>0.71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-0.8487394957983192</v>
      </c>
      <c r="Q168">
        <f t="shared" ref="Q168" si="816">F168*P168</f>
        <v>-35895653.291873939</v>
      </c>
      <c r="R168">
        <f t="shared" ref="R168" si="817">R169+Q168</f>
        <v>-266038608.98859039</v>
      </c>
      <c r="S168">
        <f t="shared" ref="S168" si="818">R168/100000</f>
        <v>-2660.3860898859039</v>
      </c>
      <c r="T168">
        <f t="shared" ref="T168" si="819">S168/1000</f>
        <v>-2.660386089885904</v>
      </c>
    </row>
    <row r="169" spans="1:20" x14ac:dyDescent="0.25">
      <c r="A169" s="5">
        <v>44424</v>
      </c>
      <c r="B169">
        <v>0.82599999999999996</v>
      </c>
      <c r="C169">
        <v>0.84499999999999997</v>
      </c>
      <c r="D169">
        <v>0.754</v>
      </c>
      <c r="E169">
        <v>0.76200000000000001</v>
      </c>
      <c r="F169">
        <v>45897707.861000001</v>
      </c>
      <c r="G169">
        <v>0.76200000000000001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-0.82417582417582391</v>
      </c>
      <c r="Q169">
        <f t="shared" ref="Q169" si="821">F169*P169</f>
        <v>-37827781.204120867</v>
      </c>
      <c r="R169">
        <f t="shared" ref="R169" si="822">R170+Q169</f>
        <v>-230142955.69671646</v>
      </c>
      <c r="S169">
        <f t="shared" ref="S169" si="823">R169/100000</f>
        <v>-2301.4295569671644</v>
      </c>
      <c r="T169">
        <f t="shared" ref="T169" si="824">S169/1000</f>
        <v>-2.3014295569671646</v>
      </c>
    </row>
    <row r="170" spans="1:20" x14ac:dyDescent="0.25">
      <c r="A170" s="5">
        <v>44423</v>
      </c>
      <c r="B170">
        <v>0.71799999999999997</v>
      </c>
      <c r="C170">
        <v>0.85699999999999998</v>
      </c>
      <c r="D170">
        <v>0.71499999999999997</v>
      </c>
      <c r="E170">
        <v>0.82599999999999996</v>
      </c>
      <c r="F170">
        <v>86351533.721000001</v>
      </c>
      <c r="G170">
        <v>0.82599999999999996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0.56338028169014054</v>
      </c>
      <c r="Q170">
        <f t="shared" ref="Q170" si="826">F170*P170</f>
        <v>48648751.39211265</v>
      </c>
      <c r="R170">
        <f t="shared" ref="R170" si="827">R171+Q170</f>
        <v>-192315174.49259558</v>
      </c>
      <c r="S170">
        <f t="shared" ref="S170" si="828">R170/100000</f>
        <v>-1923.1517449259559</v>
      </c>
      <c r="T170">
        <f t="shared" ref="T170" si="829">S170/1000</f>
        <v>-1.9231517449259559</v>
      </c>
    </row>
    <row r="171" spans="1:20" x14ac:dyDescent="0.25">
      <c r="A171" s="5">
        <v>44422</v>
      </c>
      <c r="B171">
        <v>0.75</v>
      </c>
      <c r="C171">
        <v>0.78400000000000003</v>
      </c>
      <c r="D171">
        <v>0.69699999999999995</v>
      </c>
      <c r="E171">
        <v>0.71599999999999997</v>
      </c>
      <c r="F171">
        <v>41775682.111000001</v>
      </c>
      <c r="G171">
        <v>0.71599999999999997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-0.56321839080459768</v>
      </c>
      <c r="Q171">
        <f t="shared" ref="Q171" si="831">F171*P171</f>
        <v>-23528832.453321841</v>
      </c>
      <c r="R171">
        <f t="shared" ref="R171" si="832">R172+Q171</f>
        <v>-240963925.88470823</v>
      </c>
      <c r="S171">
        <f t="shared" ref="S171" si="833">R171/100000</f>
        <v>-2409.6392588470821</v>
      </c>
      <c r="T171">
        <f t="shared" ref="T171" si="834">S171/1000</f>
        <v>-2.4096392588470823</v>
      </c>
    </row>
    <row r="172" spans="1:20" x14ac:dyDescent="0.25">
      <c r="A172" s="5">
        <v>44421</v>
      </c>
      <c r="B172">
        <v>0.67100000000000004</v>
      </c>
      <c r="C172">
        <v>0.76500000000000001</v>
      </c>
      <c r="D172">
        <v>0.66900000000000004</v>
      </c>
      <c r="E172">
        <v>0.75</v>
      </c>
      <c r="F172">
        <v>35737207.629000001</v>
      </c>
      <c r="G172">
        <v>0.75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0.68749999999999967</v>
      </c>
      <c r="Q172">
        <f t="shared" ref="Q172" si="836">F172*P172</f>
        <v>24569330.244937487</v>
      </c>
      <c r="R172">
        <f t="shared" ref="R172" si="837">R173+Q172</f>
        <v>-217435093.43138638</v>
      </c>
      <c r="S172">
        <f t="shared" ref="S172" si="838">R172/100000</f>
        <v>-2174.3509343138639</v>
      </c>
      <c r="T172">
        <f t="shared" ref="T172" si="839">S172/1000</f>
        <v>-2.1743509343138641</v>
      </c>
    </row>
    <row r="173" spans="1:20" x14ac:dyDescent="0.25">
      <c r="A173" s="5">
        <v>44420</v>
      </c>
      <c r="B173">
        <v>0.70499999999999996</v>
      </c>
      <c r="C173">
        <v>0.754</v>
      </c>
      <c r="D173">
        <v>0.65</v>
      </c>
      <c r="E173">
        <v>0.67100000000000004</v>
      </c>
      <c r="F173">
        <v>53754840.689000003</v>
      </c>
      <c r="G173">
        <v>0.67100000000000004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-0.5961538461538457</v>
      </c>
      <c r="Q173">
        <f t="shared" ref="Q173" si="841">F173*P173</f>
        <v>-32046155.026134592</v>
      </c>
      <c r="R173">
        <f t="shared" ref="R173" si="842">R174+Q173</f>
        <v>-242004423.67632386</v>
      </c>
      <c r="S173">
        <f t="shared" ref="S173" si="843">R173/100000</f>
        <v>-2420.0442367632386</v>
      </c>
      <c r="T173">
        <f t="shared" ref="T173" si="844">S173/1000</f>
        <v>-2.4200442367632387</v>
      </c>
    </row>
    <row r="174" spans="1:20" x14ac:dyDescent="0.25">
      <c r="A174" s="5">
        <v>44419</v>
      </c>
      <c r="B174">
        <v>0.73899999999999999</v>
      </c>
      <c r="C174">
        <v>0.82699999999999996</v>
      </c>
      <c r="D174">
        <v>0.68400000000000005</v>
      </c>
      <c r="E174">
        <v>0.70499999999999996</v>
      </c>
      <c r="F174">
        <v>84748661.312000006</v>
      </c>
      <c r="G174">
        <v>0.70499999999999996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-0.70629370629370736</v>
      </c>
      <c r="Q174">
        <f t="shared" ref="Q174" si="846">F174*P174</f>
        <v>-59857446.101482615</v>
      </c>
      <c r="R174">
        <f t="shared" ref="R174" si="847">R175+Q174</f>
        <v>-209958268.65018928</v>
      </c>
      <c r="S174">
        <f t="shared" ref="S174" si="848">R174/100000</f>
        <v>-2099.582686501893</v>
      </c>
      <c r="T174">
        <f t="shared" ref="T174" si="849">S174/1000</f>
        <v>-2.0995826865018929</v>
      </c>
    </row>
    <row r="175" spans="1:20" x14ac:dyDescent="0.25">
      <c r="A175" s="5">
        <v>44418</v>
      </c>
      <c r="B175">
        <v>0.66800000000000004</v>
      </c>
      <c r="C175">
        <v>0.75</v>
      </c>
      <c r="D175">
        <v>0.64300000000000002</v>
      </c>
      <c r="E175">
        <v>0.73799999999999999</v>
      </c>
      <c r="F175">
        <v>63133217.409000002</v>
      </c>
      <c r="G175">
        <v>0.73799999999999999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0.77570093457943901</v>
      </c>
      <c r="Q175">
        <f t="shared" ref="Q175" si="851">F175*P175</f>
        <v>48972495.747168213</v>
      </c>
      <c r="R175">
        <f t="shared" ref="R175" si="852">R176+Q175</f>
        <v>-150100822.54870668</v>
      </c>
      <c r="S175">
        <f t="shared" ref="S175" si="853">R175/100000</f>
        <v>-1501.0082254870667</v>
      </c>
      <c r="T175">
        <f t="shared" ref="T175" si="854">S175/1000</f>
        <v>-1.5010082254870667</v>
      </c>
    </row>
    <row r="176" spans="1:20" x14ac:dyDescent="0.25">
      <c r="A176" s="5">
        <v>44417</v>
      </c>
      <c r="B176">
        <v>0.58799999999999997</v>
      </c>
      <c r="C176">
        <v>0.69399999999999995</v>
      </c>
      <c r="D176">
        <v>0.56100000000000005</v>
      </c>
      <c r="E176">
        <v>0.66800000000000004</v>
      </c>
      <c r="F176">
        <v>63008475.886</v>
      </c>
      <c r="G176">
        <v>0.66800000000000004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0.60902255639097846</v>
      </c>
      <c r="Q176">
        <f t="shared" ref="Q176" si="856">F176*P176</f>
        <v>38373583.058391042</v>
      </c>
      <c r="R176">
        <f t="shared" ref="R176" si="857">R177+Q176</f>
        <v>-199073318.29587489</v>
      </c>
      <c r="S176">
        <f t="shared" ref="S176" si="858">R176/100000</f>
        <v>-1990.733182958749</v>
      </c>
      <c r="T176">
        <f t="shared" ref="T176" si="859">S176/1000</f>
        <v>-1.9907331829587489</v>
      </c>
    </row>
    <row r="177" spans="1:20" x14ac:dyDescent="0.25">
      <c r="A177" s="5">
        <v>44416</v>
      </c>
      <c r="B177">
        <v>0.64</v>
      </c>
      <c r="C177">
        <v>0.64600000000000002</v>
      </c>
      <c r="D177">
        <v>0.57999999999999996</v>
      </c>
      <c r="E177">
        <v>0.58799999999999997</v>
      </c>
      <c r="F177">
        <v>33129126.984999999</v>
      </c>
      <c r="G177">
        <v>0.58799999999999997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-0.75757575757575757</v>
      </c>
      <c r="Q177">
        <f t="shared" ref="Q177" si="861">F177*P177</f>
        <v>-25097823.473484848</v>
      </c>
      <c r="R177">
        <f t="shared" ref="R177" si="862">R178+Q177</f>
        <v>-237446901.35426593</v>
      </c>
      <c r="S177">
        <f t="shared" ref="S177" si="863">R177/100000</f>
        <v>-2374.4690135426595</v>
      </c>
      <c r="T177">
        <f t="shared" ref="T177" si="864">S177/1000</f>
        <v>-2.3744690135426594</v>
      </c>
    </row>
    <row r="178" spans="1:20" x14ac:dyDescent="0.25">
      <c r="A178" s="5">
        <v>44415</v>
      </c>
      <c r="B178">
        <v>0.66</v>
      </c>
      <c r="C178">
        <v>0.68899999999999995</v>
      </c>
      <c r="D178">
        <v>0.60899999999999999</v>
      </c>
      <c r="E178">
        <v>0.64</v>
      </c>
      <c r="F178">
        <v>42106977.647</v>
      </c>
      <c r="G178">
        <v>0.64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-0.22499999999999892</v>
      </c>
      <c r="Q178">
        <f t="shared" ref="Q178" si="866">F178*P178</f>
        <v>-9474069.9705749545</v>
      </c>
      <c r="R178">
        <f t="shared" ref="R178" si="867">R179+Q178</f>
        <v>-212349077.88078108</v>
      </c>
      <c r="S178">
        <f t="shared" ref="S178" si="868">R178/100000</f>
        <v>-2123.4907788078108</v>
      </c>
      <c r="T178">
        <f t="shared" ref="T178" si="869">S178/1000</f>
        <v>-2.1234907788078106</v>
      </c>
    </row>
    <row r="179" spans="1:20" x14ac:dyDescent="0.25">
      <c r="A179" s="5">
        <v>44414</v>
      </c>
      <c r="B179">
        <v>0.64700000000000002</v>
      </c>
      <c r="C179">
        <v>0.67500000000000004</v>
      </c>
      <c r="D179">
        <v>0.60599999999999998</v>
      </c>
      <c r="E179">
        <v>0.66</v>
      </c>
      <c r="F179">
        <v>39940768.534000002</v>
      </c>
      <c r="G179">
        <v>0.66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0.56521739130434778</v>
      </c>
      <c r="Q179">
        <f t="shared" ref="Q179" si="871">F179*P179</f>
        <v>22575216.997478262</v>
      </c>
      <c r="R179">
        <f t="shared" ref="R179" si="872">R180+Q179</f>
        <v>-202875007.91020614</v>
      </c>
      <c r="S179">
        <f t="shared" ref="S179" si="873">R179/100000</f>
        <v>-2028.7500791020614</v>
      </c>
      <c r="T179">
        <f t="shared" ref="T179" si="874">S179/1000</f>
        <v>-2.0287500791020614</v>
      </c>
    </row>
    <row r="180" spans="1:20" x14ac:dyDescent="0.25">
      <c r="A180" s="5">
        <v>44413</v>
      </c>
      <c r="B180">
        <v>0.59099999999999997</v>
      </c>
      <c r="C180">
        <v>0.66500000000000004</v>
      </c>
      <c r="D180">
        <v>0.57899999999999996</v>
      </c>
      <c r="E180">
        <v>0.64700000000000002</v>
      </c>
      <c r="F180">
        <v>41814444.553000003</v>
      </c>
      <c r="G180">
        <v>0.64700000000000002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0.58139534883720934</v>
      </c>
      <c r="Q180">
        <f t="shared" ref="Q180" si="876">F180*P180</f>
        <v>24310723.577325586</v>
      </c>
      <c r="R180">
        <f t="shared" ref="R180" si="877">R181+Q180</f>
        <v>-225450224.90768442</v>
      </c>
      <c r="S180">
        <f t="shared" ref="S180" si="878">R180/100000</f>
        <v>-2254.5022490768442</v>
      </c>
      <c r="T180">
        <f t="shared" ref="T180" si="879">S180/1000</f>
        <v>-2.254502249076844</v>
      </c>
    </row>
    <row r="181" spans="1:20" x14ac:dyDescent="0.25">
      <c r="A181" s="5">
        <v>44412</v>
      </c>
      <c r="B181">
        <v>0.57699999999999996</v>
      </c>
      <c r="C181">
        <v>0.64500000000000002</v>
      </c>
      <c r="D181">
        <v>0.56699999999999995</v>
      </c>
      <c r="E181">
        <v>0.59299999999999997</v>
      </c>
      <c r="F181">
        <v>58047217.597999997</v>
      </c>
      <c r="G181">
        <v>0.59299999999999997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-0.33333333333333331</v>
      </c>
      <c r="Q181">
        <f t="shared" ref="Q181" si="881">F181*P181</f>
        <v>-19349072.532666665</v>
      </c>
      <c r="R181">
        <f t="shared" ref="R181" si="882">R182+Q181</f>
        <v>-249760948.48501</v>
      </c>
      <c r="S181">
        <f t="shared" ref="S181" si="883">R181/100000</f>
        <v>-2497.6094848500998</v>
      </c>
      <c r="T181">
        <f t="shared" ref="T181" si="884">S181/1000</f>
        <v>-2.4976094848500998</v>
      </c>
    </row>
    <row r="182" spans="1:20" x14ac:dyDescent="0.25">
      <c r="A182" s="5">
        <v>44411</v>
      </c>
      <c r="B182">
        <v>0.54100000000000004</v>
      </c>
      <c r="C182">
        <v>0.58499999999999996</v>
      </c>
      <c r="D182">
        <v>0.51800000000000002</v>
      </c>
      <c r="E182">
        <v>0.57599999999999996</v>
      </c>
      <c r="F182">
        <v>32753518.886</v>
      </c>
      <c r="G182">
        <v>0.57599999999999996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0.73134328358208911</v>
      </c>
      <c r="Q182">
        <f t="shared" ref="Q182" si="886">F182*P182</f>
        <v>23954066.05095521</v>
      </c>
      <c r="R182">
        <f t="shared" ref="R182" si="887">R183+Q182</f>
        <v>-230411875.95234334</v>
      </c>
      <c r="S182">
        <f t="shared" ref="S182" si="888">R182/100000</f>
        <v>-2304.1187595234333</v>
      </c>
      <c r="T182">
        <f t="shared" ref="T182" si="889">S182/1000</f>
        <v>-2.3041187595234334</v>
      </c>
    </row>
    <row r="183" spans="1:20" x14ac:dyDescent="0.25">
      <c r="A183" s="5">
        <v>44410</v>
      </c>
      <c r="B183">
        <v>0.52800000000000002</v>
      </c>
      <c r="C183">
        <v>0.56799999999999995</v>
      </c>
      <c r="D183">
        <v>0.51700000000000002</v>
      </c>
      <c r="E183">
        <v>0.54</v>
      </c>
      <c r="F183">
        <v>24616539.469999999</v>
      </c>
      <c r="G183">
        <v>0.54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-9.8039215686272552E-2</v>
      </c>
      <c r="Q183">
        <f t="shared" ref="Q183" si="891">F183*P183</f>
        <v>-2413386.2225489714</v>
      </c>
      <c r="R183">
        <f t="shared" ref="R183" si="892">R184+Q183</f>
        <v>-254365942.00329855</v>
      </c>
      <c r="S183">
        <f t="shared" ref="S183" si="893">R183/100000</f>
        <v>-2543.6594200329855</v>
      </c>
      <c r="T183">
        <f t="shared" ref="T183" si="894">S183/1000</f>
        <v>-2.5436594200329856</v>
      </c>
    </row>
    <row r="184" spans="1:20" x14ac:dyDescent="0.25">
      <c r="A184" s="5">
        <v>44409</v>
      </c>
      <c r="B184">
        <v>0.56699999999999995</v>
      </c>
      <c r="C184">
        <v>0.59499999999999997</v>
      </c>
      <c r="D184">
        <v>0.52200000000000002</v>
      </c>
      <c r="E184">
        <v>0.52800000000000002</v>
      </c>
      <c r="F184">
        <v>28158168.859000001</v>
      </c>
      <c r="G184">
        <v>0.52800000000000002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-0.83561643835616417</v>
      </c>
      <c r="Q184">
        <f t="shared" ref="Q184" si="896">F184*P184</f>
        <v>-23529428.772589035</v>
      </c>
      <c r="R184">
        <f t="shared" ref="R184" si="897">R185+Q184</f>
        <v>-251952555.78074959</v>
      </c>
      <c r="S184">
        <f t="shared" ref="S184" si="898">R184/100000</f>
        <v>-2519.5255578074957</v>
      </c>
      <c r="T184">
        <f t="shared" ref="T184" si="899">S184/1000</f>
        <v>-2.5195255578074955</v>
      </c>
    </row>
    <row r="185" spans="1:20" x14ac:dyDescent="0.25">
      <c r="A185" s="5">
        <v>44408</v>
      </c>
      <c r="B185">
        <v>0.56699999999999995</v>
      </c>
      <c r="C185">
        <v>0.59199999999999997</v>
      </c>
      <c r="D185">
        <v>0.53300000000000003</v>
      </c>
      <c r="E185">
        <v>0.56699999999999995</v>
      </c>
      <c r="F185">
        <v>29360593.344000001</v>
      </c>
      <c r="G185">
        <v>0.56699999999999995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0.15254237288135433</v>
      </c>
      <c r="Q185">
        <f t="shared" ref="Q185" si="901">F185*P185</f>
        <v>4478734.5778982583</v>
      </c>
      <c r="R185">
        <f t="shared" ref="R185" si="902">R186+Q185</f>
        <v>-228423127.00816056</v>
      </c>
      <c r="S185">
        <f t="shared" ref="S185" si="903">R185/100000</f>
        <v>-2284.2312700816055</v>
      </c>
      <c r="T185">
        <f t="shared" ref="T185" si="904">S185/1000</f>
        <v>-2.2842312700816056</v>
      </c>
    </row>
    <row r="186" spans="1:20" x14ac:dyDescent="0.25">
      <c r="A186" s="5">
        <v>44407</v>
      </c>
      <c r="B186">
        <v>0.54900000000000004</v>
      </c>
      <c r="C186">
        <v>0.57099999999999995</v>
      </c>
      <c r="D186">
        <v>0.50900000000000001</v>
      </c>
      <c r="E186">
        <v>0.56599999999999995</v>
      </c>
      <c r="F186">
        <v>30737113.511999998</v>
      </c>
      <c r="G186">
        <v>0.56599999999999995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0.83870967741935454</v>
      </c>
      <c r="Q186">
        <f t="shared" ref="Q186" si="906">F186*P186</f>
        <v>25779514.5584516</v>
      </c>
      <c r="R186">
        <f t="shared" ref="R186" si="907">R187+Q186</f>
        <v>-232901861.58605883</v>
      </c>
      <c r="S186">
        <f t="shared" ref="S186" si="908">R186/100000</f>
        <v>-2329.0186158605884</v>
      </c>
      <c r="T186">
        <f t="shared" ref="T186" si="909">S186/1000</f>
        <v>-2.3290186158605883</v>
      </c>
    </row>
    <row r="187" spans="1:20" x14ac:dyDescent="0.25">
      <c r="A187" s="5">
        <v>44406</v>
      </c>
      <c r="B187">
        <v>0.58099999999999996</v>
      </c>
      <c r="C187">
        <v>0.61699999999999999</v>
      </c>
      <c r="D187">
        <v>0.53700000000000003</v>
      </c>
      <c r="E187">
        <v>0.54900000000000004</v>
      </c>
      <c r="F187">
        <v>43843692.195</v>
      </c>
      <c r="G187">
        <v>0.54900000000000004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-0.69999999999999962</v>
      </c>
      <c r="Q187">
        <f t="shared" ref="Q187" si="911">F187*P187</f>
        <v>-30690584.536499985</v>
      </c>
      <c r="R187">
        <f t="shared" ref="R187" si="912">R188+Q187</f>
        <v>-258681376.14451042</v>
      </c>
      <c r="S187">
        <f t="shared" ref="S187" si="913">R187/100000</f>
        <v>-2586.8137614451043</v>
      </c>
      <c r="T187">
        <f t="shared" ref="T187" si="914">S187/1000</f>
        <v>-2.5868137614451041</v>
      </c>
    </row>
    <row r="188" spans="1:20" x14ac:dyDescent="0.25">
      <c r="A188" s="5">
        <v>44405</v>
      </c>
      <c r="B188">
        <v>0.53800000000000003</v>
      </c>
      <c r="C188">
        <v>0.61599999999999999</v>
      </c>
      <c r="D188">
        <v>0.51900000000000002</v>
      </c>
      <c r="E188">
        <v>0.58099999999999996</v>
      </c>
      <c r="F188">
        <v>67389820.863000005</v>
      </c>
      <c r="G188">
        <v>0.58099999999999996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0.2783505154639167</v>
      </c>
      <c r="Q188">
        <f t="shared" ref="Q188" si="916">F188*P188</f>
        <v>18757991.374237061</v>
      </c>
      <c r="R188">
        <f t="shared" ref="R188" si="917">R189+Q188</f>
        <v>-227990791.60801044</v>
      </c>
      <c r="S188">
        <f t="shared" ref="S188" si="918">R188/100000</f>
        <v>-2279.9079160801043</v>
      </c>
      <c r="T188">
        <f t="shared" ref="T188" si="919">S188/1000</f>
        <v>-2.2799079160801043</v>
      </c>
    </row>
    <row r="189" spans="1:20" x14ac:dyDescent="0.25">
      <c r="A189" s="5">
        <v>44404</v>
      </c>
      <c r="B189">
        <v>0.51400000000000001</v>
      </c>
      <c r="C189">
        <v>0.58799999999999997</v>
      </c>
      <c r="D189">
        <v>0.48299999999999998</v>
      </c>
      <c r="E189">
        <v>0.53800000000000003</v>
      </c>
      <c r="F189">
        <v>63684010.012000002</v>
      </c>
      <c r="G189">
        <v>0.53800000000000003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4.7619047619048727E-2</v>
      </c>
      <c r="Q189">
        <f t="shared" ref="Q189" si="921">F189*P189</f>
        <v>3032571.905333404</v>
      </c>
      <c r="R189">
        <f t="shared" ref="R189" si="922">R190+Q189</f>
        <v>-246748782.9822475</v>
      </c>
      <c r="S189">
        <f t="shared" ref="S189" si="923">R189/100000</f>
        <v>-2467.4878298224749</v>
      </c>
      <c r="T189">
        <f t="shared" ref="T189" si="924">S189/1000</f>
        <v>-2.4674878298224749</v>
      </c>
    </row>
    <row r="190" spans="1:20" x14ac:dyDescent="0.25">
      <c r="A190" s="5">
        <v>44403</v>
      </c>
      <c r="B190">
        <v>0.628</v>
      </c>
      <c r="C190">
        <v>0.67500000000000004</v>
      </c>
      <c r="D190">
        <v>0.5</v>
      </c>
      <c r="E190">
        <v>0.51400000000000001</v>
      </c>
      <c r="F190">
        <v>84366625.479000002</v>
      </c>
      <c r="G190">
        <v>0.51400000000000001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-0.83999999999999986</v>
      </c>
      <c r="Q190">
        <f t="shared" ref="Q190" si="926">F190*P190</f>
        <v>-70867965.402359992</v>
      </c>
      <c r="R190">
        <f t="shared" ref="R190" si="927">R191+Q190</f>
        <v>-249781354.8875809</v>
      </c>
      <c r="S190">
        <f t="shared" ref="S190" si="928">R190/100000</f>
        <v>-2497.8135488758089</v>
      </c>
      <c r="T190">
        <f t="shared" ref="T190" si="929">S190/1000</f>
        <v>-2.4978135488758091</v>
      </c>
    </row>
    <row r="191" spans="1:20" x14ac:dyDescent="0.25">
      <c r="A191" s="5">
        <v>44402</v>
      </c>
      <c r="B191">
        <v>0.49399999999999999</v>
      </c>
      <c r="C191">
        <v>0.64800000000000002</v>
      </c>
      <c r="D191">
        <v>0.46700000000000003</v>
      </c>
      <c r="E191">
        <v>0.627</v>
      </c>
      <c r="F191">
        <v>128471392.244</v>
      </c>
      <c r="G191">
        <v>0.627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0.76795580110497219</v>
      </c>
      <c r="Q191">
        <f t="shared" ref="Q191" si="931">F191*P191</f>
        <v>98660350.949812129</v>
      </c>
      <c r="R191">
        <f t="shared" ref="R191" si="932">R192+Q191</f>
        <v>-178913389.48522091</v>
      </c>
      <c r="S191">
        <f t="shared" ref="S191" si="933">R191/100000</f>
        <v>-1789.1338948522091</v>
      </c>
      <c r="T191">
        <f t="shared" ref="T191:T197" si="934">S191/1000</f>
        <v>-1.7891338948522091</v>
      </c>
    </row>
    <row r="192" spans="1:20" x14ac:dyDescent="0.25">
      <c r="A192" s="5">
        <v>44401</v>
      </c>
      <c r="B192">
        <v>0.46500000000000002</v>
      </c>
      <c r="C192">
        <v>0.53300000000000003</v>
      </c>
      <c r="D192">
        <v>0.44</v>
      </c>
      <c r="E192">
        <v>0.49399999999999999</v>
      </c>
      <c r="F192">
        <v>73297868.589000002</v>
      </c>
      <c r="G192">
        <v>0.49399999999999999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0.16129032258064466</v>
      </c>
      <c r="Q192">
        <f t="shared" ref="Q192" si="936">F192*P192</f>
        <v>11822236.869193511</v>
      </c>
      <c r="R192">
        <f t="shared" ref="R192" si="937">R193+Q192</f>
        <v>-277573740.43503302</v>
      </c>
      <c r="S192">
        <f t="shared" ref="S192" si="938">R192/100000</f>
        <v>-2775.7374043503301</v>
      </c>
      <c r="T192">
        <f t="shared" si="934"/>
        <v>-2.77573740435033</v>
      </c>
    </row>
    <row r="193" spans="1:20" x14ac:dyDescent="0.25">
      <c r="A193" s="5">
        <v>44400</v>
      </c>
      <c r="B193">
        <v>0.41499999999999998</v>
      </c>
      <c r="C193">
        <v>0.47499999999999998</v>
      </c>
      <c r="D193">
        <v>0.38500000000000001</v>
      </c>
      <c r="E193">
        <v>0.46500000000000002</v>
      </c>
      <c r="F193">
        <v>38020240.626000002</v>
      </c>
      <c r="G193">
        <v>0.46500000000000002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0.77777777777777879</v>
      </c>
      <c r="Q193">
        <f t="shared" ref="Q193" si="940">F193*P193</f>
        <v>29571298.264666706</v>
      </c>
      <c r="R193">
        <f t="shared" ref="R193" si="941">R194+Q193</f>
        <v>-289395977.30422652</v>
      </c>
      <c r="S193">
        <f t="shared" ref="S193" si="942">R193/100000</f>
        <v>-2893.9597730422652</v>
      </c>
      <c r="T193">
        <f t="shared" si="934"/>
        <v>-2.893959773042265</v>
      </c>
    </row>
    <row r="194" spans="1:20" x14ac:dyDescent="0.25">
      <c r="A194" s="5">
        <v>44399</v>
      </c>
      <c r="B194">
        <v>0.39500000000000002</v>
      </c>
      <c r="C194">
        <v>0.44</v>
      </c>
      <c r="D194">
        <v>0.38100000000000001</v>
      </c>
      <c r="E194">
        <v>0.41499999999999998</v>
      </c>
      <c r="F194">
        <v>29575017.697000001</v>
      </c>
      <c r="G194">
        <v>0.41499999999999998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0.15254237288135514</v>
      </c>
      <c r="Q194">
        <f t="shared" ref="Q194" si="944">F194*P194</f>
        <v>4511443.3775084512</v>
      </c>
      <c r="R194">
        <f t="shared" ref="R194" si="945">R195+Q194</f>
        <v>-318967275.56889325</v>
      </c>
      <c r="S194">
        <f t="shared" ref="S194" si="946">R194/100000</f>
        <v>-3189.6727556889327</v>
      </c>
      <c r="T194">
        <f t="shared" si="934"/>
        <v>-3.1896727556889326</v>
      </c>
    </row>
    <row r="195" spans="1:20" x14ac:dyDescent="0.25">
      <c r="A195" s="5">
        <v>44398</v>
      </c>
      <c r="B195">
        <v>0.36499999999999999</v>
      </c>
      <c r="C195">
        <v>0.40799999999999997</v>
      </c>
      <c r="D195">
        <v>0.34899999999999998</v>
      </c>
      <c r="E195">
        <v>0.39500000000000002</v>
      </c>
      <c r="F195">
        <v>25885411.245000001</v>
      </c>
      <c r="G195">
        <v>0.39500000000000002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0.55932203389830659</v>
      </c>
      <c r="Q195">
        <f t="shared" ref="Q195" si="948">F195*P195</f>
        <v>14478280.865847496</v>
      </c>
      <c r="R195">
        <f t="shared" ref="R195" si="949">R196+Q195</f>
        <v>-323478718.94640172</v>
      </c>
      <c r="S195">
        <f t="shared" ref="S195" si="950">R195/100000</f>
        <v>-3234.787189464017</v>
      </c>
      <c r="T195">
        <f t="shared" si="934"/>
        <v>-3.2347871894640172</v>
      </c>
    </row>
    <row r="196" spans="1:20" x14ac:dyDescent="0.25">
      <c r="A196" s="5">
        <v>44397</v>
      </c>
      <c r="B196">
        <v>0.39400000000000002</v>
      </c>
      <c r="C196">
        <v>0.40100000000000002</v>
      </c>
      <c r="D196">
        <v>0.34399999999999997</v>
      </c>
      <c r="E196">
        <v>0.36499999999999999</v>
      </c>
      <c r="F196">
        <v>18061642.927999999</v>
      </c>
      <c r="G196">
        <v>0.36499999999999999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-0.26315789473684209</v>
      </c>
      <c r="Q196">
        <f t="shared" ref="Q196" si="952">F196*P196</f>
        <v>-4753063.9284210522</v>
      </c>
      <c r="R196">
        <f t="shared" ref="R196" si="953">R197+Q196</f>
        <v>-337956999.81224918</v>
      </c>
      <c r="S196">
        <f t="shared" ref="S196" si="954">R196/100000</f>
        <v>-3379.5699981224921</v>
      </c>
      <c r="T196">
        <f t="shared" si="934"/>
        <v>-3.3795699981224923</v>
      </c>
    </row>
    <row r="197" spans="1:20" x14ac:dyDescent="0.25">
      <c r="A197" s="5">
        <v>44396</v>
      </c>
      <c r="B197">
        <v>0.44400000000000001</v>
      </c>
      <c r="C197">
        <v>0.45500000000000002</v>
      </c>
      <c r="D197">
        <v>0.38700000000000001</v>
      </c>
      <c r="E197">
        <v>0.39300000000000002</v>
      </c>
      <c r="F197">
        <v>28968704.41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-0.82352941176470573</v>
      </c>
      <c r="Q197">
        <f t="shared" ref="Q197" si="956">F197*P197</f>
        <v>-23856580.102352936</v>
      </c>
      <c r="R197">
        <f t="shared" ref="R197" si="957">R198+Q197</f>
        <v>-333203935.8838281</v>
      </c>
      <c r="S197">
        <f t="shared" ref="S197" si="958">R197/100000</f>
        <v>-3332.0393588382813</v>
      </c>
      <c r="T197">
        <f t="shared" si="934"/>
        <v>-3.3320393588382813</v>
      </c>
    </row>
    <row r="198" spans="1:20" x14ac:dyDescent="0.25">
      <c r="A198" s="5">
        <v>44395</v>
      </c>
      <c r="B198">
        <v>0.46899999999999997</v>
      </c>
      <c r="C198">
        <v>0.52600000000000002</v>
      </c>
      <c r="D198">
        <v>0.433</v>
      </c>
      <c r="E198">
        <v>0.443</v>
      </c>
      <c r="F198">
        <v>39016962.038999997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-0.78494623655913964</v>
      </c>
      <c r="Q198">
        <f t="shared" ref="Q198:Q261" si="960">F198*P198</f>
        <v>-30626217.514483862</v>
      </c>
      <c r="R198">
        <f t="shared" ref="R198:R261" si="961">R199+Q198</f>
        <v>-309347355.78147519</v>
      </c>
      <c r="S198">
        <f t="shared" ref="S198:S261" si="962">R198/100000</f>
        <v>-3093.473557814752</v>
      </c>
      <c r="T198">
        <f t="shared" ref="T198:T261" si="963">S198/1000</f>
        <v>-3.0934735578147521</v>
      </c>
    </row>
    <row r="199" spans="1:20" x14ac:dyDescent="0.25">
      <c r="A199" s="5">
        <v>44394</v>
      </c>
      <c r="B199">
        <v>0.504</v>
      </c>
      <c r="C199">
        <v>0.51</v>
      </c>
      <c r="D199">
        <v>0.45200000000000001</v>
      </c>
      <c r="E199">
        <v>0.46700000000000003</v>
      </c>
      <c r="F199">
        <v>26449869.226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-0.48275862068965469</v>
      </c>
      <c r="Q199">
        <f t="shared" si="960"/>
        <v>-12768902.384965504</v>
      </c>
      <c r="R199">
        <f t="shared" si="961"/>
        <v>-278721138.26699132</v>
      </c>
      <c r="S199">
        <f t="shared" si="962"/>
        <v>-2787.2113826699133</v>
      </c>
      <c r="T199">
        <f t="shared" si="963"/>
        <v>-2.7872113826699132</v>
      </c>
    </row>
    <row r="200" spans="1:20" x14ac:dyDescent="0.25">
      <c r="A200" s="5">
        <v>44393</v>
      </c>
      <c r="B200">
        <v>0.60699999999999998</v>
      </c>
      <c r="C200">
        <v>0.625</v>
      </c>
      <c r="D200">
        <v>0.5</v>
      </c>
      <c r="E200">
        <v>0.504</v>
      </c>
      <c r="F200">
        <v>59584164.377999999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-0.93599999999999994</v>
      </c>
      <c r="Q200">
        <f t="shared" si="960"/>
        <v>-55770777.857807994</v>
      </c>
      <c r="R200">
        <f t="shared" si="961"/>
        <v>-265952235.88202581</v>
      </c>
      <c r="S200">
        <f t="shared" si="962"/>
        <v>-2659.522358820258</v>
      </c>
      <c r="T200">
        <f t="shared" si="963"/>
        <v>-2.6595223588202579</v>
      </c>
    </row>
    <row r="201" spans="1:20" x14ac:dyDescent="0.25">
      <c r="A201" s="5">
        <v>44392</v>
      </c>
      <c r="B201">
        <v>0.63700000000000001</v>
      </c>
      <c r="C201">
        <v>0.79700000000000004</v>
      </c>
      <c r="D201">
        <v>0.58899999999999997</v>
      </c>
      <c r="E201">
        <v>0.60699999999999998</v>
      </c>
      <c r="F201">
        <v>103741205.71600001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-0.82692307692307687</v>
      </c>
      <c r="Q201">
        <f t="shared" si="960"/>
        <v>-85785997.034384608</v>
      </c>
      <c r="R201">
        <f t="shared" si="961"/>
        <v>-210181458.02421781</v>
      </c>
      <c r="S201">
        <f t="shared" si="962"/>
        <v>-2101.8145802421782</v>
      </c>
      <c r="T201">
        <f t="shared" si="963"/>
        <v>-2.1018145802421784</v>
      </c>
    </row>
    <row r="202" spans="1:20" x14ac:dyDescent="0.25">
      <c r="A202" s="5">
        <v>44391</v>
      </c>
      <c r="B202">
        <v>0.54200000000000004</v>
      </c>
      <c r="C202">
        <v>0.69399999999999995</v>
      </c>
      <c r="D202">
        <v>0.48399999999999999</v>
      </c>
      <c r="E202">
        <v>0.63600000000000001</v>
      </c>
      <c r="F202">
        <v>62331420.100000001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0.44761904761904808</v>
      </c>
      <c r="Q202">
        <f t="shared" si="960"/>
        <v>27900730.901904792</v>
      </c>
      <c r="R202">
        <f t="shared" si="961"/>
        <v>-124395460.98983321</v>
      </c>
      <c r="S202">
        <f t="shared" si="962"/>
        <v>-1243.9546098983321</v>
      </c>
      <c r="T202">
        <f t="shared" si="963"/>
        <v>-1.2439546098983321</v>
      </c>
    </row>
    <row r="203" spans="1:20" x14ac:dyDescent="0.25">
      <c r="A203" s="5">
        <v>44390</v>
      </c>
      <c r="B203">
        <v>0.46600000000000003</v>
      </c>
      <c r="C203">
        <v>0.54800000000000004</v>
      </c>
      <c r="D203">
        <v>0.45500000000000002</v>
      </c>
      <c r="E203">
        <v>0.54200000000000004</v>
      </c>
      <c r="F203">
        <v>32287410.715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0.87096774193548376</v>
      </c>
      <c r="Q203">
        <f t="shared" si="960"/>
        <v>28121293.203387093</v>
      </c>
      <c r="R203">
        <f t="shared" si="961"/>
        <v>-152296191.891738</v>
      </c>
      <c r="S203">
        <f t="shared" si="962"/>
        <v>-1522.96191891738</v>
      </c>
      <c r="T203">
        <f t="shared" si="963"/>
        <v>-1.52296191891738</v>
      </c>
    </row>
    <row r="204" spans="1:20" x14ac:dyDescent="0.25">
      <c r="A204" s="5">
        <v>44389</v>
      </c>
      <c r="B204">
        <v>0.49099999999999999</v>
      </c>
      <c r="C204">
        <v>0.53400000000000003</v>
      </c>
      <c r="D204">
        <v>0.45</v>
      </c>
      <c r="E204">
        <v>0.46600000000000003</v>
      </c>
      <c r="F204">
        <v>22824792.815000001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-0.61904761904761885</v>
      </c>
      <c r="Q204">
        <f t="shared" si="960"/>
        <v>-14129633.647380948</v>
      </c>
      <c r="R204">
        <f t="shared" si="961"/>
        <v>-180417485.09512508</v>
      </c>
      <c r="S204">
        <f t="shared" si="962"/>
        <v>-1804.1748509512508</v>
      </c>
      <c r="T204">
        <f t="shared" si="963"/>
        <v>-1.8041748509512507</v>
      </c>
    </row>
    <row r="205" spans="1:20" x14ac:dyDescent="0.25">
      <c r="A205" s="5">
        <v>44388</v>
      </c>
      <c r="B205">
        <v>0.435</v>
      </c>
      <c r="C205">
        <v>0.50600000000000001</v>
      </c>
      <c r="D205">
        <v>0.43099999999999999</v>
      </c>
      <c r="E205">
        <v>0.49099999999999999</v>
      </c>
      <c r="F205">
        <v>17854694.296999998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0.59999999999999976</v>
      </c>
      <c r="Q205">
        <f t="shared" si="960"/>
        <v>10712816.578199994</v>
      </c>
      <c r="R205">
        <f t="shared" si="961"/>
        <v>-166287851.44774413</v>
      </c>
      <c r="S205">
        <f t="shared" si="962"/>
        <v>-1662.8785144774413</v>
      </c>
      <c r="T205">
        <f t="shared" si="963"/>
        <v>-1.6628785144774414</v>
      </c>
    </row>
    <row r="206" spans="1:20" x14ac:dyDescent="0.25">
      <c r="A206" s="5">
        <v>44387</v>
      </c>
      <c r="B206">
        <v>0.45400000000000001</v>
      </c>
      <c r="C206">
        <v>0.47499999999999998</v>
      </c>
      <c r="D206">
        <v>0.42599999999999999</v>
      </c>
      <c r="E206">
        <v>0.434</v>
      </c>
      <c r="F206">
        <v>11848589.756999999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-0.67346938775510168</v>
      </c>
      <c r="Q206">
        <f t="shared" si="960"/>
        <v>-7979662.4894081587</v>
      </c>
      <c r="R206">
        <f t="shared" si="961"/>
        <v>-177000668.02594411</v>
      </c>
      <c r="S206">
        <f t="shared" si="962"/>
        <v>-1770.0066802594411</v>
      </c>
      <c r="T206">
        <f t="shared" si="963"/>
        <v>-1.770006680259441</v>
      </c>
    </row>
    <row r="207" spans="1:20" x14ac:dyDescent="0.25">
      <c r="A207" s="5">
        <v>44386</v>
      </c>
      <c r="B207">
        <v>0.42299999999999999</v>
      </c>
      <c r="C207">
        <v>0.47299999999999998</v>
      </c>
      <c r="D207">
        <v>0.39600000000000002</v>
      </c>
      <c r="E207">
        <v>0.45400000000000001</v>
      </c>
      <c r="F207">
        <v>15735042.814999999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0.50649350649350722</v>
      </c>
      <c r="Q207">
        <f t="shared" si="960"/>
        <v>7969697.0101948166</v>
      </c>
      <c r="R207">
        <f t="shared" si="961"/>
        <v>-169021005.53653595</v>
      </c>
      <c r="S207">
        <f t="shared" si="962"/>
        <v>-1690.2100553653595</v>
      </c>
      <c r="T207">
        <f t="shared" si="963"/>
        <v>-1.6902100553653594</v>
      </c>
    </row>
    <row r="208" spans="1:20" x14ac:dyDescent="0.25">
      <c r="A208" s="5">
        <v>44385</v>
      </c>
      <c r="B208">
        <v>0.48599999999999999</v>
      </c>
      <c r="C208">
        <v>0.49</v>
      </c>
      <c r="D208">
        <v>0.41499999999999998</v>
      </c>
      <c r="E208">
        <v>0.42299999999999999</v>
      </c>
      <c r="F208">
        <v>17601322.556000002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-0.78666666666666651</v>
      </c>
      <c r="Q208">
        <f t="shared" si="960"/>
        <v>-13846373.744053332</v>
      </c>
      <c r="R208">
        <f t="shared" si="961"/>
        <v>-176990702.54673076</v>
      </c>
      <c r="S208">
        <f t="shared" si="962"/>
        <v>-1769.9070254673077</v>
      </c>
      <c r="T208">
        <f t="shared" si="963"/>
        <v>-1.7699070254673077</v>
      </c>
    </row>
    <row r="209" spans="1:20" x14ac:dyDescent="0.25">
      <c r="A209" s="5">
        <v>44384</v>
      </c>
      <c r="B209">
        <v>0.45500000000000002</v>
      </c>
      <c r="C209">
        <v>0.55500000000000005</v>
      </c>
      <c r="D209">
        <v>0.44800000000000001</v>
      </c>
      <c r="E209">
        <v>0.48499999999999999</v>
      </c>
      <c r="F209">
        <v>37469428.942000002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-0.30841121495327173</v>
      </c>
      <c r="Q209">
        <f t="shared" si="960"/>
        <v>-11555992.103607504</v>
      </c>
      <c r="R209">
        <f t="shared" si="961"/>
        <v>-163144328.80267742</v>
      </c>
      <c r="S209">
        <f t="shared" si="962"/>
        <v>-1631.4432880267743</v>
      </c>
      <c r="T209">
        <f t="shared" si="963"/>
        <v>-1.6314432880267744</v>
      </c>
    </row>
    <row r="210" spans="1:20" x14ac:dyDescent="0.25">
      <c r="A210" s="5">
        <v>44383</v>
      </c>
      <c r="B210">
        <v>0.41</v>
      </c>
      <c r="C210">
        <v>0.46899999999999997</v>
      </c>
      <c r="D210">
        <v>0.41</v>
      </c>
      <c r="E210">
        <v>0.45500000000000002</v>
      </c>
      <c r="F210">
        <v>21332463.818999998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0.52542372881356081</v>
      </c>
      <c r="Q210">
        <f t="shared" si="960"/>
        <v>11208582.684559353</v>
      </c>
      <c r="R210">
        <f t="shared" si="961"/>
        <v>-151588336.69906992</v>
      </c>
      <c r="S210">
        <f t="shared" si="962"/>
        <v>-1515.8833669906992</v>
      </c>
      <c r="T210">
        <f t="shared" si="963"/>
        <v>-1.5158833669906993</v>
      </c>
    </row>
    <row r="211" spans="1:20" x14ac:dyDescent="0.25">
      <c r="A211" s="5">
        <v>44382</v>
      </c>
      <c r="B211">
        <v>0.42899999999999999</v>
      </c>
      <c r="C211">
        <v>0.43</v>
      </c>
      <c r="D211">
        <v>0.38900000000000001</v>
      </c>
      <c r="E211">
        <v>0.41</v>
      </c>
      <c r="F211">
        <v>10463176.02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2.4390243902437703E-2</v>
      </c>
      <c r="Q211">
        <f t="shared" si="960"/>
        <v>255199.41512193737</v>
      </c>
      <c r="R211">
        <f t="shared" si="961"/>
        <v>-162796919.38362926</v>
      </c>
      <c r="S211">
        <f t="shared" si="962"/>
        <v>-1627.9691938362926</v>
      </c>
      <c r="T211">
        <f t="shared" si="963"/>
        <v>-1.6279691938362926</v>
      </c>
    </row>
    <row r="212" spans="1:20" x14ac:dyDescent="0.25">
      <c r="A212" s="5">
        <v>44381</v>
      </c>
      <c r="B212">
        <v>0.39900000000000002</v>
      </c>
      <c r="C212">
        <v>0.44700000000000001</v>
      </c>
      <c r="D212">
        <v>0.38700000000000001</v>
      </c>
      <c r="E212">
        <v>0.42899999999999999</v>
      </c>
      <c r="F212">
        <v>11219144.200999999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0.39999999999999947</v>
      </c>
      <c r="Q212">
        <f t="shared" si="960"/>
        <v>4487657.6803999934</v>
      </c>
      <c r="R212">
        <f t="shared" si="961"/>
        <v>-163052118.79875121</v>
      </c>
      <c r="S212">
        <f t="shared" si="962"/>
        <v>-1630.5211879875121</v>
      </c>
      <c r="T212">
        <f t="shared" si="963"/>
        <v>-1.6305211879875121</v>
      </c>
    </row>
    <row r="213" spans="1:20" x14ac:dyDescent="0.25">
      <c r="A213" s="5">
        <v>44380</v>
      </c>
      <c r="B213">
        <v>0.38200000000000001</v>
      </c>
      <c r="C213">
        <v>0.40600000000000003</v>
      </c>
      <c r="D213">
        <v>0.373</v>
      </c>
      <c r="E213">
        <v>0.39900000000000002</v>
      </c>
      <c r="F213">
        <v>5893366.5779999997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0.5757575757575758</v>
      </c>
      <c r="Q213">
        <f t="shared" si="960"/>
        <v>3393150.4539999999</v>
      </c>
      <c r="R213">
        <f t="shared" si="961"/>
        <v>-167539776.47915119</v>
      </c>
      <c r="S213">
        <f t="shared" si="962"/>
        <v>-1675.3977647915119</v>
      </c>
      <c r="T213">
        <f t="shared" si="963"/>
        <v>-1.6753977647915119</v>
      </c>
    </row>
    <row r="214" spans="1:20" x14ac:dyDescent="0.25">
      <c r="A214" s="5">
        <v>44379</v>
      </c>
      <c r="B214">
        <v>0.38300000000000001</v>
      </c>
      <c r="C214">
        <v>0.38800000000000001</v>
      </c>
      <c r="D214">
        <v>0.36199999999999999</v>
      </c>
      <c r="E214">
        <v>0.38200000000000001</v>
      </c>
      <c r="F214">
        <v>4981785.3839999996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0.53846153846153844</v>
      </c>
      <c r="Q214">
        <f t="shared" si="960"/>
        <v>2682499.8221538458</v>
      </c>
      <c r="R214">
        <f t="shared" si="961"/>
        <v>-170932926.93315119</v>
      </c>
      <c r="S214">
        <f t="shared" si="962"/>
        <v>-1709.3292693315118</v>
      </c>
      <c r="T214">
        <f t="shared" si="963"/>
        <v>-1.7093292693315119</v>
      </c>
    </row>
    <row r="215" spans="1:20" x14ac:dyDescent="0.25">
      <c r="A215" s="5">
        <v>44378</v>
      </c>
      <c r="B215">
        <v>0.42099999999999999</v>
      </c>
      <c r="C215">
        <v>0.42099999999999999</v>
      </c>
      <c r="D215">
        <v>0.36599999999999999</v>
      </c>
      <c r="E215">
        <v>0.38300000000000001</v>
      </c>
      <c r="F215">
        <v>7669888.3459999999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-0.38181818181818117</v>
      </c>
      <c r="Q215">
        <f t="shared" si="960"/>
        <v>-2928502.8230181769</v>
      </c>
      <c r="R215">
        <f t="shared" si="961"/>
        <v>-173615426.75530502</v>
      </c>
      <c r="S215">
        <f t="shared" si="962"/>
        <v>-1736.1542675530502</v>
      </c>
      <c r="T215">
        <f t="shared" si="963"/>
        <v>-1.7361542675530501</v>
      </c>
    </row>
    <row r="216" spans="1:20" x14ac:dyDescent="0.25">
      <c r="A216" s="5">
        <v>44377</v>
      </c>
      <c r="B216">
        <v>0.43</v>
      </c>
      <c r="C216">
        <v>0.436</v>
      </c>
      <c r="D216">
        <v>0.38200000000000001</v>
      </c>
      <c r="E216">
        <v>0.42199999999999999</v>
      </c>
      <c r="F216">
        <v>7375900.4160000002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0.48148148148148096</v>
      </c>
      <c r="Q216">
        <f t="shared" si="960"/>
        <v>3551359.4595555519</v>
      </c>
      <c r="R216">
        <f t="shared" si="961"/>
        <v>-170686923.93228686</v>
      </c>
      <c r="S216">
        <f t="shared" si="962"/>
        <v>-1706.8692393228687</v>
      </c>
      <c r="T216">
        <f t="shared" si="963"/>
        <v>-1.7068692393228686</v>
      </c>
    </row>
    <row r="217" spans="1:20" x14ac:dyDescent="0.25">
      <c r="A217" s="5">
        <v>44376</v>
      </c>
      <c r="B217">
        <v>0.40799999999999997</v>
      </c>
      <c r="C217">
        <v>0.45900000000000002</v>
      </c>
      <c r="D217">
        <v>0.40699999999999997</v>
      </c>
      <c r="E217">
        <v>0.42899999999999999</v>
      </c>
      <c r="F217">
        <v>10521271.094000001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-0.15384615384615385</v>
      </c>
      <c r="Q217">
        <f t="shared" si="960"/>
        <v>-1618657.0913846155</v>
      </c>
      <c r="R217">
        <f t="shared" si="961"/>
        <v>-174238283.39184242</v>
      </c>
      <c r="S217">
        <f t="shared" si="962"/>
        <v>-1742.3828339184242</v>
      </c>
      <c r="T217">
        <f t="shared" si="963"/>
        <v>-1.7423828339184242</v>
      </c>
    </row>
    <row r="218" spans="1:20" x14ac:dyDescent="0.25">
      <c r="A218" s="5">
        <v>44375</v>
      </c>
      <c r="B218">
        <v>0.41399999999999998</v>
      </c>
      <c r="C218">
        <v>0.44</v>
      </c>
      <c r="D218">
        <v>0.39300000000000002</v>
      </c>
      <c r="E218">
        <v>0.40799999999999997</v>
      </c>
      <c r="F218">
        <v>7241618.3729999997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-0.3617021276595761</v>
      </c>
      <c r="Q218">
        <f t="shared" si="960"/>
        <v>-2619308.7732127775</v>
      </c>
      <c r="R218">
        <f t="shared" si="961"/>
        <v>-172619626.30045781</v>
      </c>
      <c r="S218">
        <f t="shared" si="962"/>
        <v>-1726.196263004578</v>
      </c>
      <c r="T218">
        <f t="shared" si="963"/>
        <v>-1.726196263004578</v>
      </c>
    </row>
    <row r="219" spans="1:20" x14ac:dyDescent="0.25">
      <c r="A219" s="5">
        <v>44374</v>
      </c>
      <c r="B219">
        <v>0.36499999999999999</v>
      </c>
      <c r="C219">
        <v>0.44400000000000001</v>
      </c>
      <c r="D219">
        <v>0.36199999999999999</v>
      </c>
      <c r="E219">
        <v>0.41399999999999998</v>
      </c>
      <c r="F219">
        <v>16712268.752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0.26829268292682878</v>
      </c>
      <c r="Q219">
        <f t="shared" si="960"/>
        <v>4483779.4212682843</v>
      </c>
      <c r="R219">
        <f t="shared" si="961"/>
        <v>-170000317.52724501</v>
      </c>
      <c r="S219">
        <f t="shared" si="962"/>
        <v>-1700.0031752724501</v>
      </c>
      <c r="T219">
        <f t="shared" si="963"/>
        <v>-1.70000317527245</v>
      </c>
    </row>
    <row r="220" spans="1:20" x14ac:dyDescent="0.25">
      <c r="A220" s="5">
        <v>44373</v>
      </c>
      <c r="B220">
        <v>0.375</v>
      </c>
      <c r="C220">
        <v>0.38200000000000001</v>
      </c>
      <c r="D220">
        <v>0.34100000000000003</v>
      </c>
      <c r="E220">
        <v>0.36499999999999999</v>
      </c>
      <c r="F220">
        <v>4216840.1660000002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0.17073170731707205</v>
      </c>
      <c r="Q220">
        <f t="shared" si="960"/>
        <v>719948.32102438551</v>
      </c>
      <c r="R220">
        <f t="shared" si="961"/>
        <v>-174484096.9485133</v>
      </c>
      <c r="S220">
        <f t="shared" si="962"/>
        <v>-1744.840969485133</v>
      </c>
      <c r="T220">
        <f t="shared" si="963"/>
        <v>-1.744840969485133</v>
      </c>
    </row>
    <row r="221" spans="1:20" x14ac:dyDescent="0.25">
      <c r="A221" s="5">
        <v>44372</v>
      </c>
      <c r="B221">
        <v>0.42299999999999999</v>
      </c>
      <c r="C221">
        <v>0.438</v>
      </c>
      <c r="D221">
        <v>0.36599999999999999</v>
      </c>
      <c r="E221">
        <v>0.374</v>
      </c>
      <c r="F221">
        <v>6821949.6940000001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-0.77777777777777757</v>
      </c>
      <c r="Q221">
        <f t="shared" si="960"/>
        <v>-5305960.8731111102</v>
      </c>
      <c r="R221">
        <f t="shared" si="961"/>
        <v>-175204045.26953769</v>
      </c>
      <c r="S221">
        <f t="shared" si="962"/>
        <v>-1752.0404526953769</v>
      </c>
      <c r="T221">
        <f t="shared" si="963"/>
        <v>-1.7520404526953768</v>
      </c>
    </row>
    <row r="222" spans="1:20" x14ac:dyDescent="0.25">
      <c r="A222" s="5">
        <v>44371</v>
      </c>
      <c r="B222">
        <v>0.42199999999999999</v>
      </c>
      <c r="C222">
        <v>0.44500000000000001</v>
      </c>
      <c r="D222">
        <v>0.39200000000000002</v>
      </c>
      <c r="E222">
        <v>0.42399999999999999</v>
      </c>
      <c r="F222">
        <v>6505564.4500000002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0.20754716981131993</v>
      </c>
      <c r="Q222">
        <f t="shared" si="960"/>
        <v>1350211.4896226362</v>
      </c>
      <c r="R222">
        <f t="shared" si="961"/>
        <v>-169898084.39642659</v>
      </c>
      <c r="S222">
        <f t="shared" si="962"/>
        <v>-1698.9808439642659</v>
      </c>
      <c r="T222">
        <f t="shared" si="963"/>
        <v>-1.698980843964266</v>
      </c>
    </row>
    <row r="223" spans="1:20" x14ac:dyDescent="0.25">
      <c r="A223" s="5">
        <v>44370</v>
      </c>
      <c r="B223">
        <v>0.38900000000000001</v>
      </c>
      <c r="C223">
        <v>0.45200000000000001</v>
      </c>
      <c r="D223">
        <v>0.373</v>
      </c>
      <c r="E223">
        <v>0.42199999999999999</v>
      </c>
      <c r="F223">
        <v>5345363.2609999999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0.24050632911392353</v>
      </c>
      <c r="Q223">
        <f t="shared" si="960"/>
        <v>1285593.6956835415</v>
      </c>
      <c r="R223">
        <f t="shared" si="961"/>
        <v>-171248295.88604921</v>
      </c>
      <c r="S223">
        <f t="shared" si="962"/>
        <v>-1712.4829588604921</v>
      </c>
      <c r="T223">
        <f t="shared" si="963"/>
        <v>-1.7124829588604922</v>
      </c>
    </row>
    <row r="224" spans="1:20" x14ac:dyDescent="0.25">
      <c r="A224" s="5">
        <v>44369</v>
      </c>
      <c r="B224">
        <v>0.42499999999999999</v>
      </c>
      <c r="C224">
        <v>0.44800000000000001</v>
      </c>
      <c r="D224">
        <v>0.33400000000000002</v>
      </c>
      <c r="E224">
        <v>0.38900000000000001</v>
      </c>
      <c r="F224">
        <v>9737719.4910000004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-3.5087719298245647E-2</v>
      </c>
      <c r="Q224">
        <f t="shared" si="960"/>
        <v>-341674.36810526351</v>
      </c>
      <c r="R224">
        <f t="shared" si="961"/>
        <v>-172533889.58173275</v>
      </c>
      <c r="S224">
        <f t="shared" si="962"/>
        <v>-1725.3388958173275</v>
      </c>
      <c r="T224">
        <f t="shared" si="963"/>
        <v>-1.7253388958173275</v>
      </c>
    </row>
    <row r="225" spans="1:20" x14ac:dyDescent="0.25">
      <c r="A225" s="5">
        <v>44368</v>
      </c>
      <c r="B225">
        <v>0.56899999999999995</v>
      </c>
      <c r="C225">
        <v>0.57299999999999995</v>
      </c>
      <c r="D225">
        <v>0.42199999999999999</v>
      </c>
      <c r="E225">
        <v>0.42599999999999999</v>
      </c>
      <c r="F225">
        <v>9204245.3139999993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-0.94701986754966883</v>
      </c>
      <c r="Q225">
        <f t="shared" si="960"/>
        <v>-8716603.1781589389</v>
      </c>
      <c r="R225">
        <f t="shared" si="961"/>
        <v>-172192215.21362749</v>
      </c>
      <c r="S225">
        <f t="shared" si="962"/>
        <v>-1721.9221521362749</v>
      </c>
      <c r="T225">
        <f t="shared" si="963"/>
        <v>-1.7219221521362749</v>
      </c>
    </row>
    <row r="226" spans="1:20" x14ac:dyDescent="0.25">
      <c r="A226" s="5">
        <v>44367</v>
      </c>
      <c r="B226">
        <v>0.58099999999999996</v>
      </c>
      <c r="C226">
        <v>0.58699999999999997</v>
      </c>
      <c r="D226">
        <v>0.53</v>
      </c>
      <c r="E226">
        <v>0.56799999999999995</v>
      </c>
      <c r="F226">
        <v>6755969.3710000003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0.33333333333333204</v>
      </c>
      <c r="Q226">
        <f t="shared" si="960"/>
        <v>2251989.7903333246</v>
      </c>
      <c r="R226">
        <f t="shared" si="961"/>
        <v>-163475612.03546855</v>
      </c>
      <c r="S226">
        <f t="shared" si="962"/>
        <v>-1634.7561203546854</v>
      </c>
      <c r="T226">
        <f t="shared" si="963"/>
        <v>-1.6347561203546854</v>
      </c>
    </row>
    <row r="227" spans="1:20" x14ac:dyDescent="0.25">
      <c r="A227" s="5">
        <v>44366</v>
      </c>
      <c r="B227">
        <v>0.60899999999999999</v>
      </c>
      <c r="C227">
        <v>0.63</v>
      </c>
      <c r="D227">
        <v>0.57999999999999996</v>
      </c>
      <c r="E227">
        <v>0.58299999999999996</v>
      </c>
      <c r="F227">
        <v>6375526.8689999999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-0.88</v>
      </c>
      <c r="Q227">
        <f t="shared" si="960"/>
        <v>-5610463.6447200002</v>
      </c>
      <c r="R227">
        <f t="shared" si="961"/>
        <v>-165727601.82580188</v>
      </c>
      <c r="S227">
        <f t="shared" si="962"/>
        <v>-1657.2760182580189</v>
      </c>
      <c r="T227">
        <f t="shared" si="963"/>
        <v>-1.6572760182580188</v>
      </c>
    </row>
    <row r="228" spans="1:20" x14ac:dyDescent="0.25">
      <c r="A228" s="5">
        <v>44365</v>
      </c>
      <c r="B228">
        <v>0.63900000000000001</v>
      </c>
      <c r="C228">
        <v>0.65100000000000002</v>
      </c>
      <c r="D228">
        <v>0.58699999999999997</v>
      </c>
      <c r="E228">
        <v>0.60899999999999999</v>
      </c>
      <c r="F228">
        <v>7358899.4000000004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-0.3125</v>
      </c>
      <c r="Q228">
        <f t="shared" si="960"/>
        <v>-2299656.0625</v>
      </c>
      <c r="R228">
        <f t="shared" si="961"/>
        <v>-160117138.18108189</v>
      </c>
      <c r="S228">
        <f t="shared" si="962"/>
        <v>-1601.171381810819</v>
      </c>
      <c r="T228">
        <f t="shared" si="963"/>
        <v>-1.6011713818108189</v>
      </c>
    </row>
    <row r="229" spans="1:20" x14ac:dyDescent="0.25">
      <c r="A229" s="5">
        <v>44364</v>
      </c>
      <c r="B229">
        <v>0.625</v>
      </c>
      <c r="C229">
        <v>0.68799999999999994</v>
      </c>
      <c r="D229">
        <v>0.62</v>
      </c>
      <c r="E229">
        <v>0.63900000000000001</v>
      </c>
      <c r="F229">
        <v>7133474.6399999997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-0.44117647058823439</v>
      </c>
      <c r="Q229">
        <f t="shared" si="960"/>
        <v>-3147121.1647058758</v>
      </c>
      <c r="R229">
        <f t="shared" si="961"/>
        <v>-157817482.11858189</v>
      </c>
      <c r="S229">
        <f t="shared" si="962"/>
        <v>-1578.1748211858189</v>
      </c>
      <c r="T229">
        <f t="shared" si="963"/>
        <v>-1.5781748211858189</v>
      </c>
    </row>
    <row r="230" spans="1:20" x14ac:dyDescent="0.25">
      <c r="A230" s="5">
        <v>44363</v>
      </c>
      <c r="B230">
        <v>0.67400000000000004</v>
      </c>
      <c r="C230">
        <v>0.68799999999999994</v>
      </c>
      <c r="D230">
        <v>0.62</v>
      </c>
      <c r="E230">
        <v>0.625</v>
      </c>
      <c r="F230">
        <v>5859430.9780000001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-0.85294117647058798</v>
      </c>
      <c r="Q230">
        <f t="shared" si="960"/>
        <v>-4997749.9518235279</v>
      </c>
      <c r="R230">
        <f t="shared" si="961"/>
        <v>-154670360.95387602</v>
      </c>
      <c r="S230">
        <f t="shared" si="962"/>
        <v>-1546.7036095387602</v>
      </c>
      <c r="T230">
        <f t="shared" si="963"/>
        <v>-1.5467036095387603</v>
      </c>
    </row>
    <row r="231" spans="1:20" x14ac:dyDescent="0.25">
      <c r="A231" s="5">
        <v>44362</v>
      </c>
      <c r="B231">
        <v>0.68899999999999995</v>
      </c>
      <c r="C231">
        <v>0.71299999999999997</v>
      </c>
      <c r="D231">
        <v>0.66100000000000003</v>
      </c>
      <c r="E231">
        <v>0.67300000000000004</v>
      </c>
      <c r="F231">
        <v>6139218.8590000002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-0.53846153846153744</v>
      </c>
      <c r="Q231">
        <f t="shared" si="960"/>
        <v>-3305733.2317692246</v>
      </c>
      <c r="R231">
        <f t="shared" si="961"/>
        <v>-149672611.00205249</v>
      </c>
      <c r="S231">
        <f t="shared" si="962"/>
        <v>-1496.7261100205249</v>
      </c>
      <c r="T231">
        <f t="shared" si="963"/>
        <v>-1.4967261100205249</v>
      </c>
    </row>
    <row r="232" spans="1:20" x14ac:dyDescent="0.25">
      <c r="A232" s="5">
        <v>44361</v>
      </c>
      <c r="B232">
        <v>0.68</v>
      </c>
      <c r="C232">
        <v>0.73499999999999999</v>
      </c>
      <c r="D232">
        <v>0.65800000000000003</v>
      </c>
      <c r="E232">
        <v>0.68799999999999994</v>
      </c>
      <c r="F232">
        <v>8053088.6399999997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-0.22077922077922255</v>
      </c>
      <c r="Q232">
        <f t="shared" si="960"/>
        <v>-1777954.634805209</v>
      </c>
      <c r="R232">
        <f t="shared" si="961"/>
        <v>-146366877.77028325</v>
      </c>
      <c r="S232">
        <f t="shared" si="962"/>
        <v>-1463.6687777028326</v>
      </c>
      <c r="T232">
        <f t="shared" si="963"/>
        <v>-1.4636687777028325</v>
      </c>
    </row>
    <row r="233" spans="1:20" x14ac:dyDescent="0.25">
      <c r="A233" s="5">
        <v>44360</v>
      </c>
      <c r="B233">
        <v>0.63100000000000001</v>
      </c>
      <c r="C233">
        <v>0.68500000000000005</v>
      </c>
      <c r="D233">
        <v>0.61299999999999999</v>
      </c>
      <c r="E233">
        <v>0.68</v>
      </c>
      <c r="F233">
        <v>4903584.4910000004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0.86111111111111116</v>
      </c>
      <c r="Q233">
        <f t="shared" si="960"/>
        <v>4222531.0894722231</v>
      </c>
      <c r="R233">
        <f t="shared" si="961"/>
        <v>-144588923.13547805</v>
      </c>
      <c r="S233">
        <f t="shared" si="962"/>
        <v>-1445.8892313547806</v>
      </c>
      <c r="T233">
        <f t="shared" si="963"/>
        <v>-1.4458892313547806</v>
      </c>
    </row>
    <row r="234" spans="1:20" x14ac:dyDescent="0.25">
      <c r="A234" s="5">
        <v>44359</v>
      </c>
      <c r="B234">
        <v>0.67300000000000004</v>
      </c>
      <c r="C234">
        <v>0.69299999999999995</v>
      </c>
      <c r="D234">
        <v>0.61599999999999999</v>
      </c>
      <c r="E234">
        <v>0.63200000000000001</v>
      </c>
      <c r="F234">
        <v>4354729.517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-0.58441558441558383</v>
      </c>
      <c r="Q234">
        <f t="shared" si="960"/>
        <v>-2544971.7956493483</v>
      </c>
      <c r="R234">
        <f t="shared" si="961"/>
        <v>-148811454.22495028</v>
      </c>
      <c r="S234">
        <f t="shared" si="962"/>
        <v>-1488.1145422495028</v>
      </c>
      <c r="T234">
        <f t="shared" si="963"/>
        <v>-1.4881145422495028</v>
      </c>
    </row>
    <row r="235" spans="1:20" x14ac:dyDescent="0.25">
      <c r="A235" s="5">
        <v>44358</v>
      </c>
      <c r="B235">
        <v>0.67100000000000004</v>
      </c>
      <c r="C235">
        <v>0.72099999999999997</v>
      </c>
      <c r="D235">
        <v>0.64900000000000002</v>
      </c>
      <c r="E235">
        <v>0.67200000000000004</v>
      </c>
      <c r="F235">
        <v>7075566.6320000002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-0.36111111111111011</v>
      </c>
      <c r="Q235">
        <f t="shared" si="960"/>
        <v>-2555065.7282222151</v>
      </c>
      <c r="R235">
        <f t="shared" si="961"/>
        <v>-146266482.42930093</v>
      </c>
      <c r="S235">
        <f t="shared" si="962"/>
        <v>-1462.6648242930094</v>
      </c>
      <c r="T235">
        <f t="shared" si="963"/>
        <v>-1.4626648242930094</v>
      </c>
    </row>
    <row r="236" spans="1:20" x14ac:dyDescent="0.25">
      <c r="A236" s="5">
        <v>44357</v>
      </c>
      <c r="B236">
        <v>0.73399999999999999</v>
      </c>
      <c r="C236">
        <v>0.73799999999999999</v>
      </c>
      <c r="D236">
        <v>0.66500000000000004</v>
      </c>
      <c r="E236">
        <v>0.67100000000000004</v>
      </c>
      <c r="F236">
        <v>6880618.7089999998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-0.83561643835616417</v>
      </c>
      <c r="Q236">
        <f t="shared" si="960"/>
        <v>-5749558.099301368</v>
      </c>
      <c r="R236">
        <f t="shared" si="961"/>
        <v>-143711416.70107871</v>
      </c>
      <c r="S236">
        <f t="shared" si="962"/>
        <v>-1437.1141670107872</v>
      </c>
      <c r="T236">
        <f t="shared" si="963"/>
        <v>-1.4371141670107872</v>
      </c>
    </row>
    <row r="237" spans="1:20" x14ac:dyDescent="0.25">
      <c r="A237" s="5">
        <v>44356</v>
      </c>
      <c r="B237">
        <v>0.70199999999999996</v>
      </c>
      <c r="C237">
        <v>0.749</v>
      </c>
      <c r="D237">
        <v>0.66300000000000003</v>
      </c>
      <c r="E237">
        <v>0.73299999999999998</v>
      </c>
      <c r="F237">
        <v>7748938.4670000002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0.62790697674418561</v>
      </c>
      <c r="Q237">
        <f t="shared" si="960"/>
        <v>4865612.5257906942</v>
      </c>
      <c r="R237">
        <f t="shared" si="961"/>
        <v>-137961858.60177734</v>
      </c>
      <c r="S237">
        <f t="shared" si="962"/>
        <v>-1379.6185860177734</v>
      </c>
      <c r="T237">
        <f t="shared" si="963"/>
        <v>-1.3796185860177734</v>
      </c>
    </row>
    <row r="238" spans="1:20" x14ac:dyDescent="0.25">
      <c r="A238" s="5">
        <v>44355</v>
      </c>
      <c r="B238">
        <v>0.70699999999999996</v>
      </c>
      <c r="C238">
        <v>0.73199999999999998</v>
      </c>
      <c r="D238">
        <v>0.61</v>
      </c>
      <c r="E238">
        <v>0.70099999999999996</v>
      </c>
      <c r="F238">
        <v>10149621.093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0.49180327868852414</v>
      </c>
      <c r="Q238">
        <f t="shared" si="960"/>
        <v>4991616.9309836021</v>
      </c>
      <c r="R238">
        <f t="shared" si="961"/>
        <v>-142827471.12756804</v>
      </c>
      <c r="S238">
        <f t="shared" si="962"/>
        <v>-1428.2747112756804</v>
      </c>
      <c r="T238">
        <f t="shared" si="963"/>
        <v>-1.4282747112756804</v>
      </c>
    </row>
    <row r="239" spans="1:20" x14ac:dyDescent="0.25">
      <c r="A239" s="5">
        <v>44354</v>
      </c>
      <c r="B239">
        <v>0.81</v>
      </c>
      <c r="C239">
        <v>0.85599999999999998</v>
      </c>
      <c r="D239">
        <v>0.70399999999999996</v>
      </c>
      <c r="E239">
        <v>0.70899999999999996</v>
      </c>
      <c r="F239">
        <v>7435580.9110000003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-0.93421052631578938</v>
      </c>
      <c r="Q239">
        <f t="shared" si="960"/>
        <v>-6946397.9563289471</v>
      </c>
      <c r="R239">
        <f t="shared" si="961"/>
        <v>-147819088.05855164</v>
      </c>
      <c r="S239">
        <f t="shared" si="962"/>
        <v>-1478.1908805855164</v>
      </c>
      <c r="T239">
        <f t="shared" si="963"/>
        <v>-1.4781908805855164</v>
      </c>
    </row>
    <row r="240" spans="1:20" x14ac:dyDescent="0.25">
      <c r="A240" s="5">
        <v>44353</v>
      </c>
      <c r="B240">
        <v>0.80900000000000005</v>
      </c>
      <c r="C240">
        <v>0.84699999999999998</v>
      </c>
      <c r="D240">
        <v>0.78600000000000003</v>
      </c>
      <c r="E240">
        <v>0.81</v>
      </c>
      <c r="F240">
        <v>6189927.5889999997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-0.21311475409835923</v>
      </c>
      <c r="Q240">
        <f t="shared" si="960"/>
        <v>-1319164.8960163845</v>
      </c>
      <c r="R240">
        <f t="shared" si="961"/>
        <v>-140872690.10222268</v>
      </c>
      <c r="S240">
        <f t="shared" si="962"/>
        <v>-1408.7269010222269</v>
      </c>
      <c r="T240">
        <f t="shared" si="963"/>
        <v>-1.408726901022227</v>
      </c>
    </row>
    <row r="241" spans="1:20" x14ac:dyDescent="0.25">
      <c r="A241" s="5">
        <v>44352</v>
      </c>
      <c r="B241">
        <v>0.85799999999999998</v>
      </c>
      <c r="C241">
        <v>0.93400000000000005</v>
      </c>
      <c r="D241">
        <v>0.77300000000000002</v>
      </c>
      <c r="E241">
        <v>0.80900000000000005</v>
      </c>
      <c r="F241">
        <v>8951770.4389999993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-0.55279503105590033</v>
      </c>
      <c r="Q241">
        <f t="shared" si="960"/>
        <v>-4948494.2178322952</v>
      </c>
      <c r="R241">
        <f t="shared" si="961"/>
        <v>-139553525.20620629</v>
      </c>
      <c r="S241">
        <f t="shared" si="962"/>
        <v>-1395.5352520620629</v>
      </c>
      <c r="T241">
        <f t="shared" si="963"/>
        <v>-1.395535252062063</v>
      </c>
    </row>
    <row r="242" spans="1:20" x14ac:dyDescent="0.25">
      <c r="A242" s="5">
        <v>44351</v>
      </c>
      <c r="B242">
        <v>1.0209999999999999</v>
      </c>
      <c r="C242">
        <v>1.0269999999999999</v>
      </c>
      <c r="D242">
        <v>0.80300000000000005</v>
      </c>
      <c r="E242">
        <v>0.85799999999999998</v>
      </c>
      <c r="F242">
        <v>12465820.91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-0.50892857142857173</v>
      </c>
      <c r="Q242">
        <f t="shared" si="960"/>
        <v>-6344212.4274107181</v>
      </c>
      <c r="R242">
        <f t="shared" si="961"/>
        <v>-134605030.98837399</v>
      </c>
      <c r="S242">
        <f t="shared" si="962"/>
        <v>-1346.0503098837401</v>
      </c>
      <c r="T242">
        <f t="shared" si="963"/>
        <v>-1.34605030988374</v>
      </c>
    </row>
    <row r="243" spans="1:20" x14ac:dyDescent="0.25">
      <c r="A243" s="5">
        <v>44350</v>
      </c>
      <c r="B243">
        <v>0.97299999999999998</v>
      </c>
      <c r="C243">
        <v>1.04</v>
      </c>
      <c r="D243">
        <v>0.95099999999999996</v>
      </c>
      <c r="E243">
        <v>1.0209999999999999</v>
      </c>
      <c r="F243">
        <v>11747947.297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0.57303370786516605</v>
      </c>
      <c r="Q243">
        <f t="shared" si="960"/>
        <v>6731969.7994044656</v>
      </c>
      <c r="R243">
        <f t="shared" si="961"/>
        <v>-128260818.56096327</v>
      </c>
      <c r="S243">
        <f t="shared" si="962"/>
        <v>-1282.6081856096328</v>
      </c>
      <c r="T243">
        <f t="shared" si="963"/>
        <v>-1.2826081856096327</v>
      </c>
    </row>
    <row r="244" spans="1:20" x14ac:dyDescent="0.25">
      <c r="A244" s="5">
        <v>44349</v>
      </c>
      <c r="B244">
        <v>0.97099999999999997</v>
      </c>
      <c r="C244">
        <v>1.0449999999999999</v>
      </c>
      <c r="D244">
        <v>0.91500000000000004</v>
      </c>
      <c r="E244">
        <v>0.97299999999999998</v>
      </c>
      <c r="F244">
        <v>14741722.685000001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-0.10769230769230788</v>
      </c>
      <c r="Q244">
        <f t="shared" si="960"/>
        <v>-1587570.135307695</v>
      </c>
      <c r="R244">
        <f t="shared" si="961"/>
        <v>-134992788.36036775</v>
      </c>
      <c r="S244">
        <f t="shared" si="962"/>
        <v>-1349.9278836036774</v>
      </c>
      <c r="T244">
        <f t="shared" si="963"/>
        <v>-1.3499278836036774</v>
      </c>
    </row>
    <row r="245" spans="1:20" x14ac:dyDescent="0.25">
      <c r="A245" s="5">
        <v>44348</v>
      </c>
      <c r="B245">
        <v>1.0469999999999999</v>
      </c>
      <c r="C245">
        <v>1.139</v>
      </c>
      <c r="D245">
        <v>0.95</v>
      </c>
      <c r="E245">
        <v>0.97</v>
      </c>
      <c r="F245">
        <v>19513407.267999999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-0.78835978835978826</v>
      </c>
      <c r="Q245">
        <f t="shared" si="960"/>
        <v>-15383585.623978833</v>
      </c>
      <c r="R245">
        <f t="shared" si="961"/>
        <v>-133405218.22506006</v>
      </c>
      <c r="S245">
        <f t="shared" si="962"/>
        <v>-1334.0521822506007</v>
      </c>
      <c r="T245">
        <f t="shared" si="963"/>
        <v>-1.3340521822506006</v>
      </c>
    </row>
    <row r="246" spans="1:20" x14ac:dyDescent="0.25">
      <c r="A246" s="5">
        <v>44347</v>
      </c>
      <c r="B246">
        <v>0.93</v>
      </c>
      <c r="C246">
        <v>1.23</v>
      </c>
      <c r="D246">
        <v>0.82299999999999995</v>
      </c>
      <c r="E246">
        <v>1.046</v>
      </c>
      <c r="F246">
        <v>56601090.270000003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9.5823095823096172E-2</v>
      </c>
      <c r="Q246">
        <f t="shared" si="960"/>
        <v>5423691.6966339266</v>
      </c>
      <c r="R246">
        <f t="shared" si="961"/>
        <v>-118021632.60108122</v>
      </c>
      <c r="S246">
        <f t="shared" si="962"/>
        <v>-1180.2163260108123</v>
      </c>
      <c r="T246">
        <f t="shared" si="963"/>
        <v>-1.1802163260108123</v>
      </c>
    </row>
    <row r="247" spans="1:20" x14ac:dyDescent="0.25">
      <c r="A247" s="5">
        <v>44346</v>
      </c>
      <c r="B247">
        <v>0.63700000000000001</v>
      </c>
      <c r="C247">
        <v>0.98</v>
      </c>
      <c r="D247">
        <v>0.6</v>
      </c>
      <c r="E247">
        <v>0.92900000000000005</v>
      </c>
      <c r="F247">
        <v>42263797.866999999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0.73157894736842144</v>
      </c>
      <c r="Q247">
        <f t="shared" si="960"/>
        <v>30919304.755331594</v>
      </c>
      <c r="R247">
        <f t="shared" si="961"/>
        <v>-123445324.29771514</v>
      </c>
      <c r="S247">
        <f t="shared" si="962"/>
        <v>-1234.4532429771514</v>
      </c>
      <c r="T247">
        <f t="shared" si="963"/>
        <v>-1.2344532429771513</v>
      </c>
    </row>
    <row r="248" spans="1:20" x14ac:dyDescent="0.25">
      <c r="A248" s="5">
        <v>44345</v>
      </c>
      <c r="B248">
        <v>0.69099999999999995</v>
      </c>
      <c r="C248">
        <v>0.72799999999999998</v>
      </c>
      <c r="D248">
        <v>0.59</v>
      </c>
      <c r="E248">
        <v>0.63600000000000001</v>
      </c>
      <c r="F248">
        <v>4482282.5049999999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-0.33333333333333282</v>
      </c>
      <c r="Q248">
        <f t="shared" si="960"/>
        <v>-1494094.1683333309</v>
      </c>
      <c r="R248">
        <f t="shared" si="961"/>
        <v>-154364629.05304673</v>
      </c>
      <c r="S248">
        <f t="shared" si="962"/>
        <v>-1543.6462905304672</v>
      </c>
      <c r="T248">
        <f t="shared" si="963"/>
        <v>-1.5436462905304673</v>
      </c>
    </row>
    <row r="249" spans="1:20" x14ac:dyDescent="0.25">
      <c r="A249" s="5">
        <v>44344</v>
      </c>
      <c r="B249">
        <v>0.80400000000000005</v>
      </c>
      <c r="C249">
        <v>0.82399999999999995</v>
      </c>
      <c r="D249">
        <v>0.65100000000000002</v>
      </c>
      <c r="E249">
        <v>0.69099999999999995</v>
      </c>
      <c r="F249">
        <v>6531583.9989999998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-0.53757225433526079</v>
      </c>
      <c r="Q249">
        <f t="shared" si="960"/>
        <v>-3511198.3347225478</v>
      </c>
      <c r="R249">
        <f t="shared" si="961"/>
        <v>-152870534.88471341</v>
      </c>
      <c r="S249">
        <f t="shared" si="962"/>
        <v>-1528.705348847134</v>
      </c>
      <c r="T249">
        <f t="shared" si="963"/>
        <v>-1.528705348847134</v>
      </c>
    </row>
    <row r="250" spans="1:20" x14ac:dyDescent="0.25">
      <c r="A250" s="5">
        <v>44343</v>
      </c>
      <c r="B250">
        <v>0.88700000000000001</v>
      </c>
      <c r="C250">
        <v>0.9</v>
      </c>
      <c r="D250">
        <v>0.77400000000000002</v>
      </c>
      <c r="E250">
        <v>0.80400000000000005</v>
      </c>
      <c r="F250">
        <v>6864121.3430000003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-0.52380952380952339</v>
      </c>
      <c r="Q250">
        <f t="shared" si="960"/>
        <v>-3595492.1320476164</v>
      </c>
      <c r="R250">
        <f t="shared" si="961"/>
        <v>-149359336.54999086</v>
      </c>
      <c r="S250">
        <f t="shared" si="962"/>
        <v>-1493.5933654999087</v>
      </c>
      <c r="T250">
        <f t="shared" si="963"/>
        <v>-1.4935933654999087</v>
      </c>
    </row>
    <row r="251" spans="1:20" x14ac:dyDescent="0.25">
      <c r="A251" s="5">
        <v>44342</v>
      </c>
      <c r="B251">
        <v>0.81799999999999995</v>
      </c>
      <c r="C251">
        <v>0.91900000000000004</v>
      </c>
      <c r="D251">
        <v>0.79300000000000004</v>
      </c>
      <c r="E251">
        <v>0.88700000000000001</v>
      </c>
      <c r="F251">
        <v>8608932.1730000004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0.49206349206349159</v>
      </c>
      <c r="Q251">
        <f t="shared" si="960"/>
        <v>4236141.2279841229</v>
      </c>
      <c r="R251">
        <f t="shared" si="961"/>
        <v>-145763844.41794324</v>
      </c>
      <c r="S251">
        <f t="shared" si="962"/>
        <v>-1457.6384441794323</v>
      </c>
      <c r="T251">
        <f t="shared" si="963"/>
        <v>-1.4576384441794323</v>
      </c>
    </row>
    <row r="252" spans="1:20" x14ac:dyDescent="0.25">
      <c r="A252" s="5">
        <v>44341</v>
      </c>
      <c r="B252">
        <v>0.79400000000000004</v>
      </c>
      <c r="C252">
        <v>0.88</v>
      </c>
      <c r="D252">
        <v>0.71199999999999997</v>
      </c>
      <c r="E252">
        <v>0.81799999999999995</v>
      </c>
      <c r="F252">
        <v>9083438.2369999997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0.26190476190476142</v>
      </c>
      <c r="Q252">
        <f t="shared" si="960"/>
        <v>2378995.728738091</v>
      </c>
      <c r="R252">
        <f t="shared" si="961"/>
        <v>-149999985.64592737</v>
      </c>
      <c r="S252">
        <f t="shared" si="962"/>
        <v>-1499.9998564592736</v>
      </c>
      <c r="T252">
        <f t="shared" si="963"/>
        <v>-1.4999998564592736</v>
      </c>
    </row>
    <row r="253" spans="1:20" x14ac:dyDescent="0.25">
      <c r="A253" s="5">
        <v>44340</v>
      </c>
      <c r="B253">
        <v>0.63400000000000001</v>
      </c>
      <c r="C253">
        <v>0.80800000000000005</v>
      </c>
      <c r="D253">
        <v>0.625</v>
      </c>
      <c r="E253">
        <v>0.79300000000000004</v>
      </c>
      <c r="F253">
        <v>7244831.9119999995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0.83606557377049173</v>
      </c>
      <c r="Q253">
        <f t="shared" si="960"/>
        <v>6057154.5493770484</v>
      </c>
      <c r="R253">
        <f t="shared" si="961"/>
        <v>-152378981.37466547</v>
      </c>
      <c r="S253">
        <f t="shared" si="962"/>
        <v>-1523.7898137466548</v>
      </c>
      <c r="T253">
        <f t="shared" si="963"/>
        <v>-1.5237898137466548</v>
      </c>
    </row>
    <row r="254" spans="1:20" x14ac:dyDescent="0.25">
      <c r="A254" s="5">
        <v>44339</v>
      </c>
      <c r="B254">
        <v>0.76700000000000002</v>
      </c>
      <c r="C254">
        <v>0.80500000000000005</v>
      </c>
      <c r="D254">
        <v>0.51800000000000002</v>
      </c>
      <c r="E254">
        <v>0.63300000000000001</v>
      </c>
      <c r="F254">
        <v>7665512.4740000004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-0.19860627177700363</v>
      </c>
      <c r="Q254">
        <f t="shared" si="960"/>
        <v>-1522418.8537212554</v>
      </c>
      <c r="R254">
        <f t="shared" si="961"/>
        <v>-158436135.92404252</v>
      </c>
      <c r="S254">
        <f t="shared" si="962"/>
        <v>-1584.3613592404251</v>
      </c>
      <c r="T254">
        <f t="shared" si="963"/>
        <v>-1.5843613592404251</v>
      </c>
    </row>
    <row r="255" spans="1:20" x14ac:dyDescent="0.25">
      <c r="A255" s="5">
        <v>44338</v>
      </c>
      <c r="B255">
        <v>0.84899999999999998</v>
      </c>
      <c r="C255">
        <v>0.86799999999999999</v>
      </c>
      <c r="D255">
        <v>0.73199999999999998</v>
      </c>
      <c r="E255">
        <v>0.76600000000000001</v>
      </c>
      <c r="F255">
        <v>5226250.4589999998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-0.49999999999999961</v>
      </c>
      <c r="Q255">
        <f t="shared" si="960"/>
        <v>-2613125.229499998</v>
      </c>
      <c r="R255">
        <f t="shared" si="961"/>
        <v>-156913717.07032126</v>
      </c>
      <c r="S255">
        <f t="shared" si="962"/>
        <v>-1569.1371707032126</v>
      </c>
      <c r="T255">
        <f t="shared" si="963"/>
        <v>-1.5691371707032127</v>
      </c>
    </row>
    <row r="256" spans="1:20" x14ac:dyDescent="0.25">
      <c r="A256" s="5">
        <v>44337</v>
      </c>
      <c r="B256">
        <v>1.028</v>
      </c>
      <c r="C256">
        <v>1.0940000000000001</v>
      </c>
      <c r="D256">
        <v>0.71799999999999997</v>
      </c>
      <c r="E256">
        <v>0.84899999999999998</v>
      </c>
      <c r="F256">
        <v>8474656.7249999996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-0.30319148936170232</v>
      </c>
      <c r="Q256">
        <f t="shared" si="960"/>
        <v>-2569443.7942819162</v>
      </c>
      <c r="R256">
        <f t="shared" si="961"/>
        <v>-154300591.84082127</v>
      </c>
      <c r="S256">
        <f t="shared" si="962"/>
        <v>-1543.0059184082127</v>
      </c>
      <c r="T256">
        <f t="shared" si="963"/>
        <v>-1.5430059184082128</v>
      </c>
    </row>
    <row r="257" spans="1:20" x14ac:dyDescent="0.25">
      <c r="A257" s="5">
        <v>44336</v>
      </c>
      <c r="B257">
        <v>0.94799999999999995</v>
      </c>
      <c r="C257">
        <v>1.1419999999999999</v>
      </c>
      <c r="D257">
        <v>0.82499999999999996</v>
      </c>
      <c r="E257">
        <v>1.028</v>
      </c>
      <c r="F257">
        <v>10318462.327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0.28075709779179875</v>
      </c>
      <c r="Q257">
        <f t="shared" si="960"/>
        <v>2896981.5366025302</v>
      </c>
      <c r="R257">
        <f t="shared" si="961"/>
        <v>-151731148.04653934</v>
      </c>
      <c r="S257">
        <f t="shared" si="962"/>
        <v>-1517.3114804653933</v>
      </c>
      <c r="T257">
        <f t="shared" si="963"/>
        <v>-1.5173114804653933</v>
      </c>
    </row>
    <row r="258" spans="1:20" x14ac:dyDescent="0.25">
      <c r="A258" s="5">
        <v>44335</v>
      </c>
      <c r="B258">
        <v>1.514</v>
      </c>
      <c r="C258">
        <v>1.546</v>
      </c>
      <c r="D258">
        <v>0.70099999999999996</v>
      </c>
      <c r="E258">
        <v>0.94799999999999995</v>
      </c>
      <c r="F258">
        <v>15517153.102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-0.41538461538461546</v>
      </c>
      <c r="Q258">
        <f t="shared" si="960"/>
        <v>-6445586.6731384629</v>
      </c>
      <c r="R258">
        <f t="shared" si="961"/>
        <v>-154628129.58314186</v>
      </c>
      <c r="S258">
        <f t="shared" si="962"/>
        <v>-1546.2812958314187</v>
      </c>
      <c r="T258">
        <f t="shared" si="963"/>
        <v>-1.5462812958314187</v>
      </c>
    </row>
    <row r="259" spans="1:20" x14ac:dyDescent="0.25">
      <c r="A259" s="5">
        <v>44334</v>
      </c>
      <c r="B259">
        <v>1.5649999999999999</v>
      </c>
      <c r="C259">
        <v>1.679</v>
      </c>
      <c r="D259">
        <v>1.4950000000000001</v>
      </c>
      <c r="E259">
        <v>1.514</v>
      </c>
      <c r="F259">
        <v>7269031.4929999998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-0.79347826086956619</v>
      </c>
      <c r="Q259">
        <f t="shared" si="960"/>
        <v>-5767818.4672717461</v>
      </c>
      <c r="R259">
        <f t="shared" si="961"/>
        <v>-148182542.91000339</v>
      </c>
      <c r="S259">
        <f t="shared" si="962"/>
        <v>-1481.8254291000339</v>
      </c>
      <c r="T259">
        <f t="shared" si="963"/>
        <v>-1.4818254291000339</v>
      </c>
    </row>
    <row r="260" spans="1:20" x14ac:dyDescent="0.25">
      <c r="A260" s="5">
        <v>44333</v>
      </c>
      <c r="B260">
        <v>1.778</v>
      </c>
      <c r="C260">
        <v>1.8069999999999999</v>
      </c>
      <c r="D260">
        <v>1.484</v>
      </c>
      <c r="E260">
        <v>1.5649999999999999</v>
      </c>
      <c r="F260">
        <v>11811010.186000001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-0.49845201238390108</v>
      </c>
      <c r="Q260">
        <f t="shared" si="960"/>
        <v>-5887221.795498454</v>
      </c>
      <c r="R260">
        <f t="shared" si="961"/>
        <v>-142414724.44273165</v>
      </c>
      <c r="S260">
        <f t="shared" si="962"/>
        <v>-1424.1472444273165</v>
      </c>
      <c r="T260">
        <f t="shared" si="963"/>
        <v>-1.4241472444273164</v>
      </c>
    </row>
    <row r="261" spans="1:20" x14ac:dyDescent="0.25">
      <c r="A261" s="5">
        <v>44332</v>
      </c>
      <c r="B261">
        <v>1.69</v>
      </c>
      <c r="C261">
        <v>2.0489999999999999</v>
      </c>
      <c r="D261">
        <v>1.6850000000000001</v>
      </c>
      <c r="E261">
        <v>1.78</v>
      </c>
      <c r="F261">
        <v>16802972.730999999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-0.47802197802197799</v>
      </c>
      <c r="Q261">
        <f t="shared" si="960"/>
        <v>-8032190.2615219764</v>
      </c>
      <c r="R261">
        <f t="shared" si="961"/>
        <v>-136527502.64723319</v>
      </c>
      <c r="S261">
        <f t="shared" si="962"/>
        <v>-1365.2750264723318</v>
      </c>
      <c r="T261">
        <f t="shared" si="963"/>
        <v>-1.3652750264723317</v>
      </c>
    </row>
    <row r="262" spans="1:20" x14ac:dyDescent="0.25">
      <c r="A262" s="5">
        <v>44331</v>
      </c>
      <c r="B262">
        <v>1.8169999999999999</v>
      </c>
      <c r="C262">
        <v>1.9</v>
      </c>
      <c r="D262">
        <v>1.6359999999999999</v>
      </c>
      <c r="E262">
        <v>1.69</v>
      </c>
      <c r="F262">
        <v>10498433.832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-0.59090909090909061</v>
      </c>
      <c r="Q262">
        <f t="shared" ref="Q262:Q325" si="965">F262*P262</f>
        <v>-6203619.991636361</v>
      </c>
      <c r="R262">
        <f t="shared" ref="R262:R325" si="966">R263+Q262</f>
        <v>-128495312.38571121</v>
      </c>
      <c r="S262">
        <f t="shared" ref="S262:S325" si="967">R262/100000</f>
        <v>-1284.9531238571121</v>
      </c>
      <c r="T262">
        <f t="shared" ref="T262:T325" si="968">S262/1000</f>
        <v>-1.2849531238571121</v>
      </c>
    </row>
    <row r="263" spans="1:20" x14ac:dyDescent="0.25">
      <c r="A263" s="5">
        <v>44330</v>
      </c>
      <c r="B263">
        <v>1.6439999999999999</v>
      </c>
      <c r="C263">
        <v>1.9159999999999999</v>
      </c>
      <c r="D263">
        <v>1.599</v>
      </c>
      <c r="E263">
        <v>1.8169999999999999</v>
      </c>
      <c r="F263">
        <v>12084302.377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0.37539432176656157</v>
      </c>
      <c r="Q263">
        <f t="shared" si="965"/>
        <v>4536378.4948359625</v>
      </c>
      <c r="R263">
        <f t="shared" si="966"/>
        <v>-122291692.39407484</v>
      </c>
      <c r="S263">
        <f t="shared" si="967"/>
        <v>-1222.9169239407483</v>
      </c>
      <c r="T263">
        <f t="shared" si="968"/>
        <v>-1.2229169239407482</v>
      </c>
    </row>
    <row r="264" spans="1:20" x14ac:dyDescent="0.25">
      <c r="A264" s="5">
        <v>44329</v>
      </c>
      <c r="B264">
        <v>1.64</v>
      </c>
      <c r="C264">
        <v>1.806</v>
      </c>
      <c r="D264">
        <v>1.53</v>
      </c>
      <c r="E264">
        <v>1.6439999999999999</v>
      </c>
      <c r="F264">
        <v>9600781.4179999996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-0.17391304347826181</v>
      </c>
      <c r="Q264">
        <f t="shared" si="965"/>
        <v>-1669701.1161739221</v>
      </c>
      <c r="R264">
        <f t="shared" si="966"/>
        <v>-126828070.8889108</v>
      </c>
      <c r="S264">
        <f t="shared" si="967"/>
        <v>-1268.2807088891079</v>
      </c>
      <c r="T264">
        <f t="shared" si="968"/>
        <v>-1.2682807088891079</v>
      </c>
    </row>
    <row r="265" spans="1:20" x14ac:dyDescent="0.25">
      <c r="A265" s="5">
        <v>44328</v>
      </c>
      <c r="B265">
        <v>2.0449999999999999</v>
      </c>
      <c r="C265">
        <v>2.1309999999999998</v>
      </c>
      <c r="D265">
        <v>1.601</v>
      </c>
      <c r="E265">
        <v>1.6479999999999999</v>
      </c>
      <c r="F265">
        <v>8528359.4739999995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-0.82264150943396241</v>
      </c>
      <c r="Q265">
        <f t="shared" si="965"/>
        <v>-7015782.5106867934</v>
      </c>
      <c r="R265">
        <f t="shared" si="966"/>
        <v>-125158369.77273688</v>
      </c>
      <c r="S265">
        <f t="shared" si="967"/>
        <v>-1251.5836977273689</v>
      </c>
      <c r="T265">
        <f t="shared" si="968"/>
        <v>-1.2515836977273689</v>
      </c>
    </row>
    <row r="266" spans="1:20" x14ac:dyDescent="0.25">
      <c r="A266" s="5">
        <v>44327</v>
      </c>
      <c r="B266">
        <v>1.9710000000000001</v>
      </c>
      <c r="C266">
        <v>2.2000000000000002</v>
      </c>
      <c r="D266">
        <v>1.9059999999999999</v>
      </c>
      <c r="E266">
        <v>2.0449999999999999</v>
      </c>
      <c r="F266">
        <v>11133293.057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-5.4421768707483748E-2</v>
      </c>
      <c r="Q266">
        <f t="shared" si="965"/>
        <v>-605893.49970068864</v>
      </c>
      <c r="R266">
        <f t="shared" si="966"/>
        <v>-118142587.26205008</v>
      </c>
      <c r="S266">
        <f t="shared" si="967"/>
        <v>-1181.4258726205007</v>
      </c>
      <c r="T266">
        <f t="shared" si="968"/>
        <v>-1.1814258726205007</v>
      </c>
    </row>
    <row r="267" spans="1:20" x14ac:dyDescent="0.25">
      <c r="A267" s="5">
        <v>44326</v>
      </c>
      <c r="B267">
        <v>2.2799999999999998</v>
      </c>
      <c r="C267">
        <v>2.4159999999999999</v>
      </c>
      <c r="D267">
        <v>1.8879999999999999</v>
      </c>
      <c r="E267">
        <v>1.974</v>
      </c>
      <c r="F267">
        <v>12891625.447000001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-0.67424242424242398</v>
      </c>
      <c r="Q267">
        <f t="shared" si="965"/>
        <v>-8692080.7938106023</v>
      </c>
      <c r="R267">
        <f t="shared" si="966"/>
        <v>-117536693.76234938</v>
      </c>
      <c r="S267">
        <f t="shared" si="967"/>
        <v>-1175.3669376234939</v>
      </c>
      <c r="T267">
        <f t="shared" si="968"/>
        <v>-1.1753669376234939</v>
      </c>
    </row>
    <row r="268" spans="1:20" x14ac:dyDescent="0.25">
      <c r="A268" s="5">
        <v>44325</v>
      </c>
      <c r="B268">
        <v>2.4</v>
      </c>
      <c r="C268">
        <v>2.5369999999999999</v>
      </c>
      <c r="D268">
        <v>2.1360000000000001</v>
      </c>
      <c r="E268">
        <v>2.2799999999999998</v>
      </c>
      <c r="F268">
        <v>10733395.448000001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-0.28179551122194635</v>
      </c>
      <c r="Q268">
        <f t="shared" si="965"/>
        <v>-3024622.6574164722</v>
      </c>
      <c r="R268">
        <f t="shared" si="966"/>
        <v>-108844612.96853878</v>
      </c>
      <c r="S268">
        <f t="shared" si="967"/>
        <v>-1088.4461296853879</v>
      </c>
      <c r="T268">
        <f t="shared" si="968"/>
        <v>-1.0884461296853878</v>
      </c>
    </row>
    <row r="269" spans="1:20" x14ac:dyDescent="0.25">
      <c r="A269" s="5">
        <v>44324</v>
      </c>
      <c r="B269">
        <v>2.2650000000000001</v>
      </c>
      <c r="C269">
        <v>2.649</v>
      </c>
      <c r="D269">
        <v>2.23</v>
      </c>
      <c r="E269">
        <v>2.4</v>
      </c>
      <c r="F269">
        <v>14628579.68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-0.18854415274463049</v>
      </c>
      <c r="Q269">
        <f t="shared" si="965"/>
        <v>-2758133.1616229177</v>
      </c>
      <c r="R269">
        <f t="shared" si="966"/>
        <v>-105819990.3111223</v>
      </c>
      <c r="S269">
        <f t="shared" si="967"/>
        <v>-1058.199903111223</v>
      </c>
      <c r="T269">
        <f t="shared" si="968"/>
        <v>-1.058199903111223</v>
      </c>
    </row>
    <row r="270" spans="1:20" x14ac:dyDescent="0.25">
      <c r="A270" s="5">
        <v>44323</v>
      </c>
      <c r="B270">
        <v>2.371</v>
      </c>
      <c r="C270">
        <v>2.488</v>
      </c>
      <c r="D270">
        <v>2.15</v>
      </c>
      <c r="E270">
        <v>2.2650000000000001</v>
      </c>
      <c r="F270">
        <v>11652828.901000001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-0.31952662721893382</v>
      </c>
      <c r="Q270">
        <f t="shared" si="965"/>
        <v>-3723389.1162958452</v>
      </c>
      <c r="R270">
        <f t="shared" si="966"/>
        <v>-103061857.14949939</v>
      </c>
      <c r="S270">
        <f t="shared" si="967"/>
        <v>-1030.6185714949938</v>
      </c>
      <c r="T270">
        <f t="shared" si="968"/>
        <v>-1.0306185714949938</v>
      </c>
    </row>
    <row r="271" spans="1:20" x14ac:dyDescent="0.25">
      <c r="A271" s="5">
        <v>44322</v>
      </c>
      <c r="B271">
        <v>2.6360000000000001</v>
      </c>
      <c r="C271">
        <v>2.7029999999999998</v>
      </c>
      <c r="D271">
        <v>2.331</v>
      </c>
      <c r="E271">
        <v>2.37</v>
      </c>
      <c r="F271">
        <v>13109300.605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-0.79032258064516048</v>
      </c>
      <c r="Q271">
        <f t="shared" si="965"/>
        <v>-10360576.284596764</v>
      </c>
      <c r="R271">
        <f t="shared" si="966"/>
        <v>-99338468.033203542</v>
      </c>
      <c r="S271">
        <f t="shared" si="967"/>
        <v>-993.38468033203537</v>
      </c>
      <c r="T271">
        <f t="shared" si="968"/>
        <v>-0.99338468033203542</v>
      </c>
    </row>
    <row r="272" spans="1:20" x14ac:dyDescent="0.25">
      <c r="A272" s="5">
        <v>44321</v>
      </c>
      <c r="B272">
        <v>2.5510000000000002</v>
      </c>
      <c r="C272">
        <v>2.9009999999999998</v>
      </c>
      <c r="D272">
        <v>2.5</v>
      </c>
      <c r="E272">
        <v>2.6360000000000001</v>
      </c>
      <c r="F272">
        <v>16884042.517000001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-0.3216957605985028</v>
      </c>
      <c r="Q272">
        <f t="shared" si="965"/>
        <v>-5431524.8994837748</v>
      </c>
      <c r="R272">
        <f t="shared" si="966"/>
        <v>-88977891.748606771</v>
      </c>
      <c r="S272">
        <f t="shared" si="967"/>
        <v>-889.77891748606771</v>
      </c>
      <c r="T272">
        <f t="shared" si="968"/>
        <v>-0.88977891748606774</v>
      </c>
    </row>
    <row r="273" spans="1:20" x14ac:dyDescent="0.25">
      <c r="A273" s="5">
        <v>44320</v>
      </c>
      <c r="B273">
        <v>3.101</v>
      </c>
      <c r="C273">
        <v>3.19</v>
      </c>
      <c r="D273">
        <v>2.4500000000000002</v>
      </c>
      <c r="E273">
        <v>2.552</v>
      </c>
      <c r="F273">
        <v>18958395.706999999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-0.72432432432432459</v>
      </c>
      <c r="Q273">
        <f t="shared" si="965"/>
        <v>-13732027.16074595</v>
      </c>
      <c r="R273">
        <f t="shared" si="966"/>
        <v>-83546366.849123001</v>
      </c>
      <c r="S273">
        <f t="shared" si="967"/>
        <v>-835.46366849123001</v>
      </c>
      <c r="T273">
        <f t="shared" si="968"/>
        <v>-0.83546366849122999</v>
      </c>
    </row>
    <row r="274" spans="1:20" x14ac:dyDescent="0.25">
      <c r="A274" s="5">
        <v>44319</v>
      </c>
      <c r="B274">
        <v>3.0960000000000001</v>
      </c>
      <c r="C274">
        <v>3.7959999999999998</v>
      </c>
      <c r="D274">
        <v>2.9449999999999998</v>
      </c>
      <c r="E274">
        <v>3.1</v>
      </c>
      <c r="F274">
        <v>36781689.972999997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-0.6357226792009395</v>
      </c>
      <c r="Q274">
        <f t="shared" si="965"/>
        <v>-23382954.49517389</v>
      </c>
      <c r="R274">
        <f t="shared" si="966"/>
        <v>-69814339.688377053</v>
      </c>
      <c r="S274">
        <f t="shared" si="967"/>
        <v>-698.14339688377049</v>
      </c>
      <c r="T274">
        <f t="shared" si="968"/>
        <v>-0.69814339688377047</v>
      </c>
    </row>
    <row r="275" spans="1:20" x14ac:dyDescent="0.25">
      <c r="A275" s="5">
        <v>44318</v>
      </c>
      <c r="B275">
        <v>2.5409999999999999</v>
      </c>
      <c r="C275">
        <v>3.49</v>
      </c>
      <c r="D275">
        <v>2.371</v>
      </c>
      <c r="E275">
        <v>3.0960000000000001</v>
      </c>
      <c r="F275">
        <v>37289421.879000001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0.29579982126899007</v>
      </c>
      <c r="Q275">
        <f t="shared" si="965"/>
        <v>11030204.327032167</v>
      </c>
      <c r="R275">
        <f t="shared" si="966"/>
        <v>-46431385.193203166</v>
      </c>
      <c r="S275">
        <f t="shared" si="967"/>
        <v>-464.31385193203164</v>
      </c>
      <c r="T275">
        <f t="shared" si="968"/>
        <v>-0.46431385193203162</v>
      </c>
    </row>
    <row r="276" spans="1:20" x14ac:dyDescent="0.25">
      <c r="A276" s="5">
        <v>44317</v>
      </c>
      <c r="B276">
        <v>2.6</v>
      </c>
      <c r="C276">
        <v>2.7</v>
      </c>
      <c r="D276">
        <v>2.3679999999999999</v>
      </c>
      <c r="E276">
        <v>2.54</v>
      </c>
      <c r="F276">
        <v>9921223.3509999998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3.614457831325301E-2</v>
      </c>
      <c r="Q276">
        <f t="shared" si="965"/>
        <v>358598.43437349395</v>
      </c>
      <c r="R276">
        <f t="shared" si="966"/>
        <v>-57461589.520235337</v>
      </c>
      <c r="S276">
        <f t="shared" si="967"/>
        <v>-574.61589520235339</v>
      </c>
      <c r="T276">
        <f t="shared" si="968"/>
        <v>-0.57461589520235334</v>
      </c>
    </row>
    <row r="277" spans="1:20" x14ac:dyDescent="0.25">
      <c r="A277" s="5">
        <v>44316</v>
      </c>
      <c r="B277">
        <v>2.649</v>
      </c>
      <c r="C277">
        <v>2.8</v>
      </c>
      <c r="D277">
        <v>2.4249999999999998</v>
      </c>
      <c r="E277">
        <v>2.597</v>
      </c>
      <c r="F277">
        <v>14505906.808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-8.2666666666665847E-2</v>
      </c>
      <c r="Q277">
        <f t="shared" si="965"/>
        <v>-1199154.9627946548</v>
      </c>
      <c r="R277">
        <f t="shared" si="966"/>
        <v>-57820187.954608828</v>
      </c>
      <c r="S277">
        <f t="shared" si="967"/>
        <v>-578.20187954608832</v>
      </c>
      <c r="T277">
        <f t="shared" si="968"/>
        <v>-0.57820187954608837</v>
      </c>
    </row>
    <row r="278" spans="1:20" x14ac:dyDescent="0.25">
      <c r="A278" s="5">
        <v>44315</v>
      </c>
      <c r="B278">
        <v>2.4620000000000002</v>
      </c>
      <c r="C278">
        <v>3.15</v>
      </c>
      <c r="D278">
        <v>2.2629999999999999</v>
      </c>
      <c r="E278">
        <v>2.649</v>
      </c>
      <c r="F278">
        <v>35388753.945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-0.1296505073280719</v>
      </c>
      <c r="Q278">
        <f t="shared" si="965"/>
        <v>-4588169.9026775556</v>
      </c>
      <c r="R278">
        <f t="shared" si="966"/>
        <v>-56621032.991814174</v>
      </c>
      <c r="S278">
        <f t="shared" si="967"/>
        <v>-566.21032991814172</v>
      </c>
      <c r="T278">
        <f t="shared" si="968"/>
        <v>-0.56621032991814169</v>
      </c>
    </row>
    <row r="279" spans="1:20" x14ac:dyDescent="0.25">
      <c r="A279" s="5">
        <v>44314</v>
      </c>
      <c r="B279">
        <v>1.91</v>
      </c>
      <c r="C279">
        <v>2.66</v>
      </c>
      <c r="D279">
        <v>1.77</v>
      </c>
      <c r="E279">
        <v>2.46</v>
      </c>
      <c r="F279">
        <v>18377162.182999998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0.55056179775280867</v>
      </c>
      <c r="Q279">
        <f t="shared" si="965"/>
        <v>10117763.449067408</v>
      </c>
      <c r="R279">
        <f t="shared" si="966"/>
        <v>-52032863.089136615</v>
      </c>
      <c r="S279">
        <f t="shared" si="967"/>
        <v>-520.32863089136617</v>
      </c>
      <c r="T279">
        <f t="shared" si="968"/>
        <v>-0.52032863089136616</v>
      </c>
    </row>
    <row r="280" spans="1:20" x14ac:dyDescent="0.25">
      <c r="A280" s="5">
        <v>44313</v>
      </c>
      <c r="B280">
        <v>1.871</v>
      </c>
      <c r="C280">
        <v>2.0830000000000002</v>
      </c>
      <c r="D280">
        <v>1.8129999999999999</v>
      </c>
      <c r="E280">
        <v>1.91</v>
      </c>
      <c r="F280">
        <v>7894848.21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-0.28148148148148228</v>
      </c>
      <c r="Q280">
        <f t="shared" si="965"/>
        <v>-2222253.5702222283</v>
      </c>
      <c r="R280">
        <f t="shared" si="966"/>
        <v>-62150626.538204022</v>
      </c>
      <c r="S280">
        <f t="shared" si="967"/>
        <v>-621.50626538204017</v>
      </c>
      <c r="T280">
        <f t="shared" si="968"/>
        <v>-0.62150626538204012</v>
      </c>
    </row>
    <row r="281" spans="1:20" x14ac:dyDescent="0.25">
      <c r="A281" s="5">
        <v>44312</v>
      </c>
      <c r="B281">
        <v>1.5449999999999999</v>
      </c>
      <c r="C281">
        <v>1.89</v>
      </c>
      <c r="D281">
        <v>1.5189999999999999</v>
      </c>
      <c r="E281">
        <v>1.8720000000000001</v>
      </c>
      <c r="F281">
        <v>7222113.841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0.90296495956873424</v>
      </c>
      <c r="Q281">
        <f t="shared" si="965"/>
        <v>6521315.7324393606</v>
      </c>
      <c r="R281">
        <f t="shared" si="966"/>
        <v>-59928372.967981793</v>
      </c>
      <c r="S281">
        <f t="shared" si="967"/>
        <v>-599.28372967981795</v>
      </c>
      <c r="T281">
        <f t="shared" si="968"/>
        <v>-0.59928372967981791</v>
      </c>
    </row>
    <row r="282" spans="1:20" x14ac:dyDescent="0.25">
      <c r="A282" s="5">
        <v>44311</v>
      </c>
      <c r="B282">
        <v>1.585</v>
      </c>
      <c r="C282">
        <v>1.7769999999999999</v>
      </c>
      <c r="D282">
        <v>1.4510000000000001</v>
      </c>
      <c r="E282">
        <v>1.5429999999999999</v>
      </c>
      <c r="F282">
        <v>5185958.9469999997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-0.43558282208589016</v>
      </c>
      <c r="Q282">
        <f t="shared" si="965"/>
        <v>-2258914.6333558313</v>
      </c>
      <c r="R282">
        <f t="shared" si="966"/>
        <v>-66449688.700421154</v>
      </c>
      <c r="S282">
        <f t="shared" si="967"/>
        <v>-664.49688700421154</v>
      </c>
      <c r="T282">
        <f t="shared" si="968"/>
        <v>-0.6644968870042115</v>
      </c>
    </row>
    <row r="283" spans="1:20" x14ac:dyDescent="0.25">
      <c r="A283" s="5">
        <v>44310</v>
      </c>
      <c r="B283">
        <v>1.8180000000000001</v>
      </c>
      <c r="C283">
        <v>1.821</v>
      </c>
      <c r="D283">
        <v>1.5169999999999999</v>
      </c>
      <c r="E283">
        <v>1.585</v>
      </c>
      <c r="F283">
        <v>4172744.196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-0.55263157894736814</v>
      </c>
      <c r="Q283">
        <f t="shared" si="965"/>
        <v>-2305990.2135789464</v>
      </c>
      <c r="R283">
        <f t="shared" si="966"/>
        <v>-64190774.067065321</v>
      </c>
      <c r="S283">
        <f t="shared" si="967"/>
        <v>-641.9077406706532</v>
      </c>
      <c r="T283">
        <f t="shared" si="968"/>
        <v>-0.64190774067065315</v>
      </c>
    </row>
    <row r="284" spans="1:20" x14ac:dyDescent="0.25">
      <c r="A284" s="5">
        <v>44309</v>
      </c>
      <c r="B284">
        <v>1.9350000000000001</v>
      </c>
      <c r="C284">
        <v>1.9710000000000001</v>
      </c>
      <c r="D284">
        <v>1.625</v>
      </c>
      <c r="E284">
        <v>1.819</v>
      </c>
      <c r="F284">
        <v>4141584.807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0.12138728323699366</v>
      </c>
      <c r="Q284">
        <f t="shared" si="965"/>
        <v>502735.72801733873</v>
      </c>
      <c r="R284">
        <f t="shared" si="966"/>
        <v>-61884783.853486374</v>
      </c>
      <c r="S284">
        <f t="shared" si="967"/>
        <v>-618.84783853486374</v>
      </c>
      <c r="T284">
        <f t="shared" si="968"/>
        <v>-0.61884783853486369</v>
      </c>
    </row>
    <row r="285" spans="1:20" x14ac:dyDescent="0.25">
      <c r="A285" s="5">
        <v>44308</v>
      </c>
      <c r="B285">
        <v>2.278</v>
      </c>
      <c r="C285">
        <v>2.4239999999999999</v>
      </c>
      <c r="D285">
        <v>1.859</v>
      </c>
      <c r="E285">
        <v>1.9330000000000001</v>
      </c>
      <c r="F285">
        <v>5522662.3839999996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-0.73805309734513247</v>
      </c>
      <c r="Q285">
        <f t="shared" si="965"/>
        <v>-4076018.0781026529</v>
      </c>
      <c r="R285">
        <f t="shared" si="966"/>
        <v>-62387519.581503712</v>
      </c>
      <c r="S285">
        <f t="shared" si="967"/>
        <v>-623.87519581503716</v>
      </c>
      <c r="T285">
        <f t="shared" si="968"/>
        <v>-0.62387519581503714</v>
      </c>
    </row>
    <row r="286" spans="1:20" x14ac:dyDescent="0.25">
      <c r="A286" s="5">
        <v>44307</v>
      </c>
      <c r="B286">
        <v>2.6989999999999998</v>
      </c>
      <c r="C286">
        <v>2.9260000000000002</v>
      </c>
      <c r="D286">
        <v>2.25</v>
      </c>
      <c r="E286">
        <v>2.2770000000000001</v>
      </c>
      <c r="F286">
        <v>4696150.2719999999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-0.92011834319526586</v>
      </c>
      <c r="Q286">
        <f t="shared" si="965"/>
        <v>-4321014.0076686367</v>
      </c>
      <c r="R286">
        <f t="shared" si="966"/>
        <v>-58311501.503401056</v>
      </c>
      <c r="S286">
        <f t="shared" si="967"/>
        <v>-583.11501503401053</v>
      </c>
      <c r="T286">
        <f t="shared" si="968"/>
        <v>-0.58311501503401053</v>
      </c>
    </row>
    <row r="287" spans="1:20" x14ac:dyDescent="0.25">
      <c r="A287" s="5">
        <v>44306</v>
      </c>
      <c r="B287">
        <v>2.4649999999999999</v>
      </c>
      <c r="C287">
        <v>2.7080000000000002</v>
      </c>
      <c r="D287">
        <v>2.2109999999999999</v>
      </c>
      <c r="E287">
        <v>2.6989999999999998</v>
      </c>
      <c r="F287">
        <v>3978899.8539999998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0.96378269617706103</v>
      </c>
      <c r="Q287">
        <f t="shared" si="965"/>
        <v>3834794.8291066345</v>
      </c>
      <c r="R287">
        <f t="shared" si="966"/>
        <v>-53990487.495732419</v>
      </c>
      <c r="S287">
        <f t="shared" si="967"/>
        <v>-539.90487495732418</v>
      </c>
      <c r="T287">
        <f t="shared" si="968"/>
        <v>-0.5399048749573242</v>
      </c>
    </row>
    <row r="288" spans="1:20" x14ac:dyDescent="0.25">
      <c r="A288" s="5">
        <v>44305</v>
      </c>
      <c r="B288">
        <v>2.46</v>
      </c>
      <c r="C288">
        <v>3.11</v>
      </c>
      <c r="D288">
        <v>2.3319999999999999</v>
      </c>
      <c r="E288">
        <v>2.4649999999999999</v>
      </c>
      <c r="F288">
        <v>8809176.9550000001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-0.65809768637532129</v>
      </c>
      <c r="Q288">
        <f t="shared" si="965"/>
        <v>-5797298.9729562979</v>
      </c>
      <c r="R288">
        <f t="shared" si="966"/>
        <v>-57825282.324839056</v>
      </c>
      <c r="S288">
        <f t="shared" si="967"/>
        <v>-578.25282324839054</v>
      </c>
      <c r="T288">
        <f t="shared" si="968"/>
        <v>-0.57825282324839056</v>
      </c>
    </row>
    <row r="289" spans="1:20" x14ac:dyDescent="0.25">
      <c r="A289" s="5">
        <v>44304</v>
      </c>
      <c r="B289">
        <v>2.8170000000000002</v>
      </c>
      <c r="C289">
        <v>2.8639999999999999</v>
      </c>
      <c r="D289">
        <v>2.1800000000000002</v>
      </c>
      <c r="E289">
        <v>2.46</v>
      </c>
      <c r="F289">
        <v>4647195.1689999998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-0.18128654970760258</v>
      </c>
      <c r="Q289">
        <f t="shared" si="965"/>
        <v>-842473.97800584906</v>
      </c>
      <c r="R289">
        <f t="shared" si="966"/>
        <v>-52027983.351882756</v>
      </c>
      <c r="S289">
        <f t="shared" si="967"/>
        <v>-520.27983351882756</v>
      </c>
      <c r="T289">
        <f t="shared" si="968"/>
        <v>-0.52027983351882756</v>
      </c>
    </row>
    <row r="290" spans="1:20" x14ac:dyDescent="0.25">
      <c r="A290" s="5">
        <v>44303</v>
      </c>
      <c r="B290">
        <v>2.9060000000000001</v>
      </c>
      <c r="C290">
        <v>3.12</v>
      </c>
      <c r="D290">
        <v>2.8</v>
      </c>
      <c r="E290">
        <v>2.8170000000000002</v>
      </c>
      <c r="F290">
        <v>3999475.3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-0.89374999999999793</v>
      </c>
      <c r="Q290">
        <f t="shared" si="965"/>
        <v>-3574531.0493749916</v>
      </c>
      <c r="R290">
        <f t="shared" si="966"/>
        <v>-51185509.373876907</v>
      </c>
      <c r="S290">
        <f t="shared" si="967"/>
        <v>-511.85509373876909</v>
      </c>
      <c r="T290">
        <f t="shared" si="968"/>
        <v>-0.51185509373876914</v>
      </c>
    </row>
    <row r="291" spans="1:20" x14ac:dyDescent="0.25">
      <c r="A291" s="5">
        <v>44302</v>
      </c>
      <c r="B291">
        <v>3.38</v>
      </c>
      <c r="C291">
        <v>3.3929999999999998</v>
      </c>
      <c r="D291">
        <v>2.81</v>
      </c>
      <c r="E291">
        <v>2.9049999999999998</v>
      </c>
      <c r="F291">
        <v>6095435.5300000003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-0.6740994854202409</v>
      </c>
      <c r="Q291">
        <f t="shared" si="965"/>
        <v>-4108929.9541852535</v>
      </c>
      <c r="R291">
        <f t="shared" si="966"/>
        <v>-47610978.324501917</v>
      </c>
      <c r="S291">
        <f t="shared" si="967"/>
        <v>-476.10978324501917</v>
      </c>
      <c r="T291">
        <f t="shared" si="968"/>
        <v>-0.47610978324501918</v>
      </c>
    </row>
    <row r="292" spans="1:20" x14ac:dyDescent="0.25">
      <c r="A292" s="5">
        <v>44301</v>
      </c>
      <c r="B292">
        <v>3.5379999999999998</v>
      </c>
      <c r="C292">
        <v>3.59</v>
      </c>
      <c r="D292">
        <v>3.3</v>
      </c>
      <c r="E292">
        <v>3.38</v>
      </c>
      <c r="F292">
        <v>4442444.3420000002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-0.44827586206896508</v>
      </c>
      <c r="Q292">
        <f t="shared" si="965"/>
        <v>-1991440.5671034465</v>
      </c>
      <c r="R292">
        <f t="shared" si="966"/>
        <v>-43502048.370316662</v>
      </c>
      <c r="S292">
        <f t="shared" si="967"/>
        <v>-435.02048370316663</v>
      </c>
      <c r="T292">
        <f t="shared" si="968"/>
        <v>-0.43502048370316665</v>
      </c>
    </row>
    <row r="293" spans="1:20" x14ac:dyDescent="0.25">
      <c r="A293" s="5">
        <v>44300</v>
      </c>
      <c r="B293">
        <v>3.9279999999999999</v>
      </c>
      <c r="C293">
        <v>4.01</v>
      </c>
      <c r="D293">
        <v>3.4</v>
      </c>
      <c r="E293">
        <v>3.5379999999999998</v>
      </c>
      <c r="F293">
        <v>3885223.9989999998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-0.54754098360655756</v>
      </c>
      <c r="Q293">
        <f t="shared" si="965"/>
        <v>-2127319.3699442628</v>
      </c>
      <c r="R293">
        <f t="shared" si="966"/>
        <v>-41510607.803213216</v>
      </c>
      <c r="S293">
        <f t="shared" si="967"/>
        <v>-415.10607803213219</v>
      </c>
      <c r="T293">
        <f t="shared" si="968"/>
        <v>-0.41510607803213218</v>
      </c>
    </row>
    <row r="294" spans="1:20" x14ac:dyDescent="0.25">
      <c r="A294" s="5">
        <v>44299</v>
      </c>
      <c r="B294">
        <v>4.4189999999999996</v>
      </c>
      <c r="C294">
        <v>4.4939999999999998</v>
      </c>
      <c r="D294">
        <v>3.75</v>
      </c>
      <c r="E294">
        <v>3.9449999999999998</v>
      </c>
      <c r="F294">
        <v>4444103.1660000002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-0.47580645161290347</v>
      </c>
      <c r="Q294">
        <f t="shared" si="965"/>
        <v>-2114532.9580161301</v>
      </c>
      <c r="R294">
        <f t="shared" si="966"/>
        <v>-39383288.433268957</v>
      </c>
      <c r="S294">
        <f t="shared" si="967"/>
        <v>-393.83288433268956</v>
      </c>
      <c r="T294">
        <f t="shared" si="968"/>
        <v>-0.39383288433268954</v>
      </c>
    </row>
    <row r="295" spans="1:20" x14ac:dyDescent="0.25">
      <c r="A295" s="5">
        <v>44298</v>
      </c>
      <c r="B295">
        <v>4.3019999999999996</v>
      </c>
      <c r="C295">
        <v>4.6500000000000004</v>
      </c>
      <c r="D295">
        <v>4.0999999999999996</v>
      </c>
      <c r="E295">
        <v>4.4189999999999996</v>
      </c>
      <c r="F295">
        <v>5293983.7929999996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0.15999999999999831</v>
      </c>
      <c r="Q295">
        <f t="shared" si="965"/>
        <v>847037.40687999094</v>
      </c>
      <c r="R295">
        <f t="shared" si="966"/>
        <v>-37268755.475252829</v>
      </c>
      <c r="S295">
        <f t="shared" si="967"/>
        <v>-372.68755475252829</v>
      </c>
      <c r="T295">
        <f t="shared" si="968"/>
        <v>-0.37268755475252829</v>
      </c>
    </row>
    <row r="296" spans="1:20" x14ac:dyDescent="0.25">
      <c r="A296" s="5">
        <v>44297</v>
      </c>
      <c r="B296">
        <v>3.859</v>
      </c>
      <c r="C296">
        <v>4.399</v>
      </c>
      <c r="D296">
        <v>3.6429999999999998</v>
      </c>
      <c r="E296">
        <v>4.3010000000000002</v>
      </c>
      <c r="F296">
        <v>6172168.6009999998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0.74074074074074114</v>
      </c>
      <c r="Q296">
        <f t="shared" si="965"/>
        <v>4571976.7414814839</v>
      </c>
      <c r="R296">
        <f t="shared" si="966"/>
        <v>-38115792.882132821</v>
      </c>
      <c r="S296">
        <f t="shared" si="967"/>
        <v>-381.1579288213282</v>
      </c>
      <c r="T296">
        <f t="shared" si="968"/>
        <v>-0.38115792882132821</v>
      </c>
    </row>
    <row r="297" spans="1:20" x14ac:dyDescent="0.25">
      <c r="A297" s="5">
        <v>44296</v>
      </c>
      <c r="B297">
        <v>4.3739999999999997</v>
      </c>
      <c r="C297">
        <v>4.9489999999999998</v>
      </c>
      <c r="D297">
        <v>3.75</v>
      </c>
      <c r="E297">
        <v>3.8420000000000001</v>
      </c>
      <c r="F297">
        <v>7969429.375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-0.84653878231859869</v>
      </c>
      <c r="Q297">
        <f t="shared" si="965"/>
        <v>-6746431.0388865713</v>
      </c>
      <c r="R297">
        <f t="shared" si="966"/>
        <v>-42687769.623614304</v>
      </c>
      <c r="S297">
        <f t="shared" si="967"/>
        <v>-426.87769623614304</v>
      </c>
      <c r="T297">
        <f t="shared" si="968"/>
        <v>-0.42687769623614302</v>
      </c>
    </row>
    <row r="298" spans="1:20" x14ac:dyDescent="0.25">
      <c r="A298" s="5">
        <v>44295</v>
      </c>
      <c r="B298">
        <v>3.5169999999999999</v>
      </c>
      <c r="C298">
        <v>5.2</v>
      </c>
      <c r="D298">
        <v>3.4660000000000002</v>
      </c>
      <c r="E298">
        <v>4.3739999999999997</v>
      </c>
      <c r="F298">
        <v>16288005.482999999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4.7289504036908285E-2</v>
      </c>
      <c r="Q298">
        <f t="shared" si="965"/>
        <v>770251.70104151277</v>
      </c>
      <c r="R298">
        <f t="shared" si="966"/>
        <v>-35941338.584727734</v>
      </c>
      <c r="S298">
        <f t="shared" si="967"/>
        <v>-359.41338584727737</v>
      </c>
      <c r="T298">
        <f t="shared" si="968"/>
        <v>-0.35941338584727739</v>
      </c>
    </row>
    <row r="299" spans="1:20" x14ac:dyDescent="0.25">
      <c r="A299" s="5">
        <v>44294</v>
      </c>
      <c r="B299">
        <v>3.5110000000000001</v>
      </c>
      <c r="C299">
        <v>4</v>
      </c>
      <c r="D299">
        <v>3.403</v>
      </c>
      <c r="E299">
        <v>3.5150000000000001</v>
      </c>
      <c r="F299">
        <v>5126688.0199999996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-0.62479061976549377</v>
      </c>
      <c r="Q299">
        <f t="shared" si="965"/>
        <v>-3203106.5853601317</v>
      </c>
      <c r="R299">
        <f t="shared" si="966"/>
        <v>-36711590.285769247</v>
      </c>
      <c r="S299">
        <f t="shared" si="967"/>
        <v>-367.11590285769245</v>
      </c>
      <c r="T299">
        <f t="shared" si="968"/>
        <v>-0.36711590285769247</v>
      </c>
    </row>
    <row r="300" spans="1:20" x14ac:dyDescent="0.25">
      <c r="A300" s="5">
        <v>44293</v>
      </c>
      <c r="B300">
        <v>3.9289999999999998</v>
      </c>
      <c r="C300">
        <v>4.37</v>
      </c>
      <c r="D300">
        <v>3.2879999999999998</v>
      </c>
      <c r="E300">
        <v>3.5110000000000001</v>
      </c>
      <c r="F300">
        <v>5871208.0199999996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-0.58780036968576665</v>
      </c>
      <c r="Q300">
        <f t="shared" si="965"/>
        <v>-3451098.244658038</v>
      </c>
      <c r="R300">
        <f t="shared" si="966"/>
        <v>-33508483.700409114</v>
      </c>
      <c r="S300">
        <f t="shared" si="967"/>
        <v>-335.08483700409113</v>
      </c>
      <c r="T300">
        <f t="shared" si="968"/>
        <v>-0.33508483700409114</v>
      </c>
    </row>
    <row r="301" spans="1:20" x14ac:dyDescent="0.25">
      <c r="A301" s="5">
        <v>44292</v>
      </c>
      <c r="B301">
        <v>4.92</v>
      </c>
      <c r="C301">
        <v>5.0090000000000003</v>
      </c>
      <c r="D301">
        <v>3.8410000000000002</v>
      </c>
      <c r="E301">
        <v>3.9359999999999999</v>
      </c>
      <c r="F301">
        <v>4742724.352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-0.83732876712328808</v>
      </c>
      <c r="Q301">
        <f t="shared" si="965"/>
        <v>-3971219.5344657553</v>
      </c>
      <c r="R301">
        <f t="shared" si="966"/>
        <v>-30057385.455751076</v>
      </c>
      <c r="S301">
        <f t="shared" si="967"/>
        <v>-300.57385455751074</v>
      </c>
      <c r="T301">
        <f t="shared" si="968"/>
        <v>-0.30057385455751073</v>
      </c>
    </row>
    <row r="302" spans="1:20" x14ac:dyDescent="0.25">
      <c r="A302" s="5">
        <v>44291</v>
      </c>
      <c r="B302">
        <v>5.6710000000000003</v>
      </c>
      <c r="C302">
        <v>5.6989999999999998</v>
      </c>
      <c r="D302">
        <v>4.625</v>
      </c>
      <c r="E302">
        <v>4.9139999999999997</v>
      </c>
      <c r="F302">
        <v>6136051.6119999997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-0.46182495344506563</v>
      </c>
      <c r="Q302">
        <f t="shared" si="965"/>
        <v>-2833781.7500484199</v>
      </c>
      <c r="R302">
        <f t="shared" si="966"/>
        <v>-26086165.92128532</v>
      </c>
      <c r="S302">
        <f t="shared" si="967"/>
        <v>-260.86165921285323</v>
      </c>
      <c r="T302">
        <f t="shared" si="968"/>
        <v>-0.2608616592128532</v>
      </c>
    </row>
    <row r="303" spans="1:20" x14ac:dyDescent="0.25">
      <c r="A303" s="5">
        <v>44290</v>
      </c>
      <c r="B303">
        <v>5.6849999999999996</v>
      </c>
      <c r="C303">
        <v>6.2359999999999998</v>
      </c>
      <c r="D303">
        <v>5.45</v>
      </c>
      <c r="E303">
        <v>5.6740000000000004</v>
      </c>
      <c r="F303">
        <v>4729354.4390000002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-0.43002544529262005</v>
      </c>
      <c r="Q303">
        <f t="shared" si="965"/>
        <v>-2033742.7485776043</v>
      </c>
      <c r="R303">
        <f t="shared" si="966"/>
        <v>-23252384.171236899</v>
      </c>
      <c r="S303">
        <f t="shared" si="967"/>
        <v>-232.52384171236898</v>
      </c>
      <c r="T303">
        <f t="shared" si="968"/>
        <v>-0.23252384171236898</v>
      </c>
    </row>
    <row r="304" spans="1:20" x14ac:dyDescent="0.25">
      <c r="A304" s="5">
        <v>44289</v>
      </c>
      <c r="B304">
        <v>6.931</v>
      </c>
      <c r="C304">
        <v>8.4689999999999994</v>
      </c>
      <c r="D304">
        <v>5.6849999999999996</v>
      </c>
      <c r="E304">
        <v>5.6849999999999996</v>
      </c>
      <c r="F304">
        <v>8038120.7290000003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-1</v>
      </c>
      <c r="Q304">
        <f t="shared" si="965"/>
        <v>-8038120.7290000003</v>
      </c>
      <c r="R304">
        <f t="shared" si="966"/>
        <v>-21218641.422659293</v>
      </c>
      <c r="S304">
        <f t="shared" si="967"/>
        <v>-212.18641422659292</v>
      </c>
      <c r="T304">
        <f t="shared" si="968"/>
        <v>-0.21218641422659293</v>
      </c>
    </row>
    <row r="305" spans="1:20" x14ac:dyDescent="0.25">
      <c r="A305" s="5">
        <v>44288</v>
      </c>
      <c r="B305">
        <v>4.5019999999999998</v>
      </c>
      <c r="C305">
        <v>22.5</v>
      </c>
      <c r="D305">
        <v>4.5019999999999998</v>
      </c>
      <c r="E305">
        <v>6.931</v>
      </c>
      <c r="F305">
        <v>18053501.631999999</v>
      </c>
      <c r="G305">
        <v>0</v>
      </c>
      <c r="P305">
        <f t="shared" si="964"/>
        <v>-0.73008112012445814</v>
      </c>
      <c r="Q305">
        <f t="shared" si="965"/>
        <v>-13180520.693659293</v>
      </c>
      <c r="R305">
        <f t="shared" si="966"/>
        <v>-13180520.693659293</v>
      </c>
      <c r="S305">
        <f t="shared" si="967"/>
        <v>-131.80520693659292</v>
      </c>
      <c r="T305">
        <f t="shared" si="968"/>
        <v>-0.13180520693659292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Z680" sqref="EZ68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$A$679</v>
      </c>
      <c r="D111" s="1" t="str">
        <f>ADDRESS(C121-1,D121,1,1)</f>
        <v>$EZ$679</v>
      </c>
      <c r="E111"/>
    </row>
    <row r="112" spans="1:5" x14ac:dyDescent="0.25">
      <c r="A112" s="7">
        <v>12164.144957890772</v>
      </c>
      <c r="C112" s="1" t="str">
        <f>ADDRESS(C121,1,1,1)</f>
        <v>$A$680</v>
      </c>
      <c r="D112" s="1" t="str">
        <f>ADDRESS(C121,D121-1,1,1)</f>
        <v>$EY$680</v>
      </c>
      <c r="E112"/>
    </row>
    <row r="113" spans="1:5" x14ac:dyDescent="0.25">
      <c r="A113" s="7">
        <v>11925.63231165762</v>
      </c>
      <c r="C113" s="1" t="str">
        <f>ADDRESS(C121+1,1,1,1)</f>
        <v>$A$681</v>
      </c>
      <c r="D113" s="1" t="str">
        <f>ADDRESS(C121-1,D121+1,1,1)</f>
        <v>$FA$679</v>
      </c>
    </row>
    <row r="114" spans="1:5" x14ac:dyDescent="0.25">
      <c r="A114" s="7">
        <v>11691.796383978059</v>
      </c>
      <c r="C114" s="1" t="str">
        <f>ADDRESS(C121,D121,1,1)</f>
        <v>$EZ$680</v>
      </c>
      <c r="D114" s="1" t="str">
        <f>ADDRESS(C121+1,D121+1,1,1)</f>
        <v>$FA$681</v>
      </c>
    </row>
    <row r="115" spans="1:5" x14ac:dyDescent="0.25">
      <c r="A115" s="7">
        <v>11462.545474488292</v>
      </c>
      <c r="C115" s="1" t="str">
        <f>ADDRESS(C121+1,D121,1,1)</f>
        <v>$EZ$681</v>
      </c>
    </row>
    <row r="116" spans="1:5" x14ac:dyDescent="0.25">
      <c r="A116" s="7">
        <v>11237.789680870874</v>
      </c>
      <c r="C116" s="1">
        <f>C117-1</f>
        <v>679</v>
      </c>
    </row>
    <row r="117" spans="1:5" x14ac:dyDescent="0.25">
      <c r="A117" s="7">
        <v>11017.440863598895</v>
      </c>
      <c r="C117" s="1">
        <f>C121</f>
        <v>680</v>
      </c>
      <c r="D117" s="1">
        <f>D121</f>
        <v>156</v>
      </c>
    </row>
    <row r="118" spans="1:5" x14ac:dyDescent="0.25">
      <c r="A118" s="7">
        <v>10801.412611371465</v>
      </c>
      <c r="C118" s="1">
        <f>C117+1</f>
        <v>681</v>
      </c>
      <c r="D118" s="1">
        <f>D117+1</f>
        <v>157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680</v>
      </c>
      <c r="D121" s="19">
        <v>156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R680</v>
      </c>
      <c r="D123" s="1" t="str">
        <f>"C"&amp;D121</f>
        <v>C156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0.15855649108315376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6" x14ac:dyDescent="0.25">
      <c r="A481" s="7">
        <v>8.1586481992426112</v>
      </c>
      <c r="B481"/>
      <c r="C481"/>
      <c r="D481"/>
      <c r="E481" t="s">
        <v>8</v>
      </c>
      <c r="F481" s="27" t="s">
        <v>7</v>
      </c>
    </row>
    <row r="482" spans="1:6" x14ac:dyDescent="0.25">
      <c r="A482" s="7">
        <v>7.9986747051398144</v>
      </c>
      <c r="B482"/>
      <c r="C482"/>
      <c r="D482"/>
      <c r="E482" t="s">
        <v>8</v>
      </c>
      <c r="F482" s="27" t="s">
        <v>7</v>
      </c>
    </row>
    <row r="483" spans="1:6" x14ac:dyDescent="0.25">
      <c r="A483" s="7">
        <v>7.8418379462155041</v>
      </c>
      <c r="B483"/>
      <c r="C483"/>
      <c r="D483"/>
      <c r="E483" t="s">
        <v>8</v>
      </c>
      <c r="F483" s="27" t="s">
        <v>7</v>
      </c>
    </row>
    <row r="484" spans="1:6" x14ac:dyDescent="0.25">
      <c r="A484" s="7">
        <v>7.688076417858337</v>
      </c>
      <c r="B484"/>
      <c r="C484"/>
      <c r="D484"/>
      <c r="E484" t="s">
        <v>8</v>
      </c>
      <c r="F484" s="27" t="s">
        <v>7</v>
      </c>
    </row>
    <row r="485" spans="1:6" x14ac:dyDescent="0.25">
      <c r="A485" s="7">
        <v>7.5373298214297417</v>
      </c>
      <c r="B485"/>
      <c r="C485"/>
      <c r="D485"/>
      <c r="E485" t="s">
        <v>8</v>
      </c>
      <c r="F485" s="27" t="s">
        <v>7</v>
      </c>
    </row>
    <row r="486" spans="1:6" x14ac:dyDescent="0.25">
      <c r="A486" s="7">
        <v>7.389539040617394</v>
      </c>
      <c r="B486"/>
      <c r="C486"/>
      <c r="D486"/>
      <c r="E486" t="s">
        <v>8</v>
      </c>
      <c r="F486" s="27" t="s">
        <v>7</v>
      </c>
    </row>
    <row r="487" spans="1:6" x14ac:dyDescent="0.25">
      <c r="A487" s="7">
        <v>7.2446461182523469</v>
      </c>
      <c r="B487"/>
      <c r="C487"/>
      <c r="D487"/>
      <c r="E487" t="s">
        <v>8</v>
      </c>
      <c r="F487" s="27" t="s">
        <v>7</v>
      </c>
    </row>
    <row r="488" spans="1:6" x14ac:dyDescent="0.25">
      <c r="A488" s="7">
        <v>7.1025942335807324</v>
      </c>
      <c r="B488"/>
      <c r="C488"/>
      <c r="D488"/>
      <c r="E488" t="s">
        <v>8</v>
      </c>
      <c r="F488" s="27" t="s">
        <v>7</v>
      </c>
    </row>
    <row r="489" spans="1:6" x14ac:dyDescent="0.25">
      <c r="A489" s="7">
        <v>6.9633276799811101</v>
      </c>
      <c r="B489"/>
      <c r="C489"/>
      <c r="D489"/>
      <c r="E489" t="s">
        <v>8</v>
      </c>
      <c r="F489" s="27" t="s">
        <v>7</v>
      </c>
    </row>
    <row r="490" spans="1:6" x14ac:dyDescent="0.25">
      <c r="A490" s="7">
        <v>6.8267918431187349</v>
      </c>
      <c r="B490"/>
      <c r="C490"/>
      <c r="D490"/>
      <c r="E490" t="s">
        <v>8</v>
      </c>
      <c r="F490" s="27" t="s">
        <v>7</v>
      </c>
    </row>
    <row r="491" spans="1:6" x14ac:dyDescent="0.25">
      <c r="A491" s="7">
        <v>6.692933179528171</v>
      </c>
      <c r="B491"/>
      <c r="C491"/>
      <c r="D491"/>
      <c r="E491" t="s">
        <v>8</v>
      </c>
      <c r="F491" s="27" t="s">
        <v>7</v>
      </c>
    </row>
    <row r="492" spans="1:6" x14ac:dyDescent="0.25">
      <c r="A492" s="7">
        <v>6.5616991956158541</v>
      </c>
      <c r="B492"/>
      <c r="C492"/>
      <c r="D492"/>
      <c r="E492" t="s">
        <v>8</v>
      </c>
      <c r="F492" s="27" t="s">
        <v>7</v>
      </c>
    </row>
    <row r="493" spans="1:6" x14ac:dyDescent="0.25">
      <c r="A493" s="7">
        <v>6.4330384270743668</v>
      </c>
      <c r="B493"/>
      <c r="C493"/>
      <c r="D493"/>
      <c r="E493" t="s">
        <v>8</v>
      </c>
      <c r="F493" s="27" t="s">
        <v>7</v>
      </c>
    </row>
    <row r="494" spans="1:6" x14ac:dyDescent="0.25">
      <c r="A494" s="7">
        <v>6.3069004187003594</v>
      </c>
      <c r="B494"/>
      <c r="C494"/>
      <c r="D494"/>
      <c r="E494" t="s">
        <v>8</v>
      </c>
      <c r="F494" s="27" t="s">
        <v>7</v>
      </c>
    </row>
    <row r="495" spans="1:6" x14ac:dyDescent="0.25">
      <c r="A495" s="7">
        <v>6.1832357046081956</v>
      </c>
      <c r="B495"/>
      <c r="C495"/>
      <c r="D495"/>
      <c r="E495" t="s">
        <v>8</v>
      </c>
      <c r="F495" s="27" t="s">
        <v>7</v>
      </c>
    </row>
    <row r="496" spans="1:6" x14ac:dyDescent="0.25">
      <c r="A496" s="7">
        <v>6.0619957888315641</v>
      </c>
      <c r="B496"/>
      <c r="C496"/>
      <c r="D496"/>
      <c r="E496" t="s">
        <v>8</v>
      </c>
      <c r="F496" s="27" t="s">
        <v>7</v>
      </c>
    </row>
    <row r="497" spans="1:10" x14ac:dyDescent="0.25">
      <c r="A497" s="7">
        <v>5.9431331263054545</v>
      </c>
      <c r="B497"/>
      <c r="C497"/>
      <c r="D497"/>
      <c r="E497" t="s">
        <v>8</v>
      </c>
      <c r="F497" s="27" t="s">
        <v>7</v>
      </c>
    </row>
    <row r="498" spans="1:10" x14ac:dyDescent="0.25">
      <c r="A498" s="7">
        <v>5.8266011042210337</v>
      </c>
      <c r="B498"/>
      <c r="C498"/>
      <c r="D498"/>
      <c r="E498" t="s">
        <v>8</v>
      </c>
      <c r="F498" s="27" t="s">
        <v>7</v>
      </c>
    </row>
    <row r="499" spans="1:10" x14ac:dyDescent="0.25">
      <c r="A499" s="7">
        <v>5.7123540237461112</v>
      </c>
      <c r="B499"/>
      <c r="C499"/>
      <c r="D499"/>
      <c r="E499" t="s">
        <v>8</v>
      </c>
      <c r="F499" s="27" t="s">
        <v>7</v>
      </c>
    </row>
    <row r="500" spans="1:10" x14ac:dyDescent="0.25">
      <c r="A500" s="7">
        <v>5.6003470821040304</v>
      </c>
      <c r="B500"/>
      <c r="C500"/>
      <c r="D500"/>
      <c r="E500" t="s">
        <v>8</v>
      </c>
      <c r="F500" s="27" t="s">
        <v>7</v>
      </c>
    </row>
    <row r="501" spans="1:10" x14ac:dyDescent="0.25">
      <c r="A501" s="7">
        <v>5.4905363550039512</v>
      </c>
      <c r="B501"/>
      <c r="C501"/>
      <c r="D501"/>
      <c r="E501" t="s">
        <v>8</v>
      </c>
      <c r="F501" s="27" t="s">
        <v>7</v>
      </c>
    </row>
    <row r="502" spans="1:10" x14ac:dyDescent="0.25">
      <c r="A502" s="7">
        <v>5.3828787794156385</v>
      </c>
      <c r="B502"/>
      <c r="C502"/>
      <c r="D502"/>
      <c r="E502" t="s">
        <v>8</v>
      </c>
      <c r="F502" s="27" t="s">
        <v>7</v>
      </c>
    </row>
    <row r="503" spans="1:10" x14ac:dyDescent="0.25">
      <c r="A503" s="7">
        <v>5.2773321366819985</v>
      </c>
      <c r="B503"/>
      <c r="C503"/>
      <c r="D503"/>
      <c r="E503" t="s">
        <v>8</v>
      </c>
      <c r="F503" s="27" t="s">
        <v>7</v>
      </c>
    </row>
    <row r="504" spans="1:10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G504" s="27" t="s">
        <v>8</v>
      </c>
    </row>
    <row r="505" spans="1:10" x14ac:dyDescent="0.25">
      <c r="A505" s="7">
        <v>5.07240689800269</v>
      </c>
      <c r="B505"/>
      <c r="C505"/>
      <c r="D505"/>
      <c r="E505" t="s">
        <v>8</v>
      </c>
      <c r="F505" s="27" t="s">
        <v>7</v>
      </c>
      <c r="G505" s="27" t="s">
        <v>8</v>
      </c>
      <c r="H505" s="27" t="s">
        <v>7</v>
      </c>
    </row>
    <row r="506" spans="1:10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H506" s="27" t="s">
        <v>7</v>
      </c>
    </row>
    <row r="507" spans="1:10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</row>
    <row r="508" spans="1:10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</row>
    <row r="509" spans="1:10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</row>
    <row r="510" spans="1:10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I510" s="27" t="s">
        <v>8</v>
      </c>
    </row>
    <row r="511" spans="1:10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I511" s="27" t="s">
        <v>8</v>
      </c>
      <c r="J511" s="27" t="s">
        <v>7</v>
      </c>
    </row>
    <row r="512" spans="1:10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I512" s="27" t="s">
        <v>8</v>
      </c>
      <c r="J512" s="27" t="s">
        <v>7</v>
      </c>
    </row>
    <row r="513" spans="1:18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I513" s="27" t="s">
        <v>8</v>
      </c>
      <c r="J513" s="27" t="s">
        <v>7</v>
      </c>
    </row>
    <row r="514" spans="1:18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I514" s="27" t="s">
        <v>8</v>
      </c>
      <c r="J514" s="27" t="s">
        <v>7</v>
      </c>
    </row>
    <row r="515" spans="1:18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I515" s="27" t="s">
        <v>8</v>
      </c>
      <c r="J515" s="27" t="s">
        <v>7</v>
      </c>
    </row>
    <row r="516" spans="1:18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I516" s="27" t="s">
        <v>8</v>
      </c>
      <c r="J516" s="27" t="s">
        <v>7</v>
      </c>
    </row>
    <row r="517" spans="1:18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I517" s="27" t="s">
        <v>8</v>
      </c>
      <c r="J517" s="27" t="s">
        <v>7</v>
      </c>
    </row>
    <row r="518" spans="1:18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  <c r="I518" s="27" t="s">
        <v>8</v>
      </c>
      <c r="J518" s="27" t="s">
        <v>7</v>
      </c>
    </row>
    <row r="519" spans="1:18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I519" s="27" t="s">
        <v>8</v>
      </c>
      <c r="J519" s="27" t="s">
        <v>7</v>
      </c>
    </row>
    <row r="520" spans="1:18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I520" s="27" t="s">
        <v>8</v>
      </c>
      <c r="J520" s="27" t="s">
        <v>7</v>
      </c>
      <c r="Q520" s="27" t="s">
        <v>8</v>
      </c>
    </row>
    <row r="521" spans="1:18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  <c r="J521" s="27" t="s">
        <v>7</v>
      </c>
      <c r="Q521" s="27" t="s">
        <v>8</v>
      </c>
      <c r="R521" s="27" t="s">
        <v>7</v>
      </c>
    </row>
    <row r="522" spans="1:18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J522" s="27" t="s">
        <v>7</v>
      </c>
      <c r="Q522" s="27" t="s">
        <v>8</v>
      </c>
      <c r="R522" s="27" t="s">
        <v>7</v>
      </c>
    </row>
    <row r="523" spans="1:18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J523" s="27" t="s">
        <v>7</v>
      </c>
      <c r="Q523" s="27" t="s">
        <v>8</v>
      </c>
      <c r="R523" s="27" t="s">
        <v>7</v>
      </c>
    </row>
    <row r="524" spans="1:18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J524" s="27" t="s">
        <v>7</v>
      </c>
      <c r="Q524" s="27" t="s">
        <v>8</v>
      </c>
      <c r="R524" s="27" t="s">
        <v>7</v>
      </c>
    </row>
    <row r="525" spans="1:18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J525" s="27" t="s">
        <v>7</v>
      </c>
      <c r="Q525" s="27" t="s">
        <v>8</v>
      </c>
      <c r="R525" s="27" t="s">
        <v>7</v>
      </c>
    </row>
    <row r="526" spans="1:18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J526" s="27" t="s">
        <v>7</v>
      </c>
      <c r="Q526" s="27" t="s">
        <v>8</v>
      </c>
      <c r="R526" s="27" t="s">
        <v>7</v>
      </c>
    </row>
    <row r="527" spans="1:18" x14ac:dyDescent="0.25">
      <c r="A527" s="7">
        <v>3.2810307883654133</v>
      </c>
      <c r="B527"/>
      <c r="C527"/>
      <c r="D527"/>
      <c r="E527" t="s">
        <v>8</v>
      </c>
      <c r="J527" s="27" t="s">
        <v>7</v>
      </c>
      <c r="Q527" s="27" t="s">
        <v>8</v>
      </c>
      <c r="R527" s="27" t="s">
        <v>7</v>
      </c>
    </row>
    <row r="528" spans="1:18" x14ac:dyDescent="0.25">
      <c r="A528" s="7">
        <v>3.2166968513386403</v>
      </c>
      <c r="B528"/>
      <c r="C528"/>
      <c r="D528"/>
      <c r="E528" t="s">
        <v>8</v>
      </c>
      <c r="J528" s="27" t="s">
        <v>7</v>
      </c>
      <c r="Q528" s="27" t="s">
        <v>8</v>
      </c>
      <c r="R528" s="27" t="s">
        <v>7</v>
      </c>
    </row>
    <row r="529" spans="1:22" x14ac:dyDescent="0.25">
      <c r="A529" s="7">
        <v>3.1536243640574906</v>
      </c>
      <c r="B529"/>
      <c r="C529"/>
      <c r="D529"/>
      <c r="E529" t="s">
        <v>8</v>
      </c>
      <c r="J529" s="27" t="s">
        <v>7</v>
      </c>
      <c r="Q529" s="27" t="s">
        <v>8</v>
      </c>
      <c r="R529" s="27" t="s">
        <v>7</v>
      </c>
    </row>
    <row r="530" spans="1:22" x14ac:dyDescent="0.25">
      <c r="A530" s="7">
        <v>3.0917885922132262</v>
      </c>
      <c r="B530"/>
      <c r="C530"/>
      <c r="D530"/>
      <c r="E530" t="s">
        <v>8</v>
      </c>
      <c r="J530" s="27" t="s">
        <v>7</v>
      </c>
      <c r="K530" s="27" t="s">
        <v>8</v>
      </c>
      <c r="O530" s="27" t="s">
        <v>8</v>
      </c>
      <c r="Q530" s="27" t="s">
        <v>8</v>
      </c>
      <c r="R530" s="27" t="s">
        <v>7</v>
      </c>
    </row>
    <row r="531" spans="1:22" x14ac:dyDescent="0.25">
      <c r="A531" s="7">
        <v>3.0311652864835552</v>
      </c>
      <c r="B531"/>
      <c r="C531"/>
      <c r="D531"/>
      <c r="E531" t="s">
        <v>8</v>
      </c>
      <c r="J531" s="27" t="s">
        <v>7</v>
      </c>
      <c r="K531" s="27" t="s">
        <v>8</v>
      </c>
      <c r="L531" s="27" t="s">
        <v>7</v>
      </c>
      <c r="O531" s="27" t="s">
        <v>8</v>
      </c>
      <c r="P531" s="27" t="s">
        <v>7</v>
      </c>
      <c r="Q531" s="27" t="s">
        <v>8</v>
      </c>
      <c r="R531" s="27" t="s">
        <v>7</v>
      </c>
    </row>
    <row r="532" spans="1:22" x14ac:dyDescent="0.25">
      <c r="A532" s="7">
        <v>2.9717306730230932</v>
      </c>
      <c r="B532"/>
      <c r="C532"/>
      <c r="D532"/>
      <c r="E532" t="s">
        <v>8</v>
      </c>
      <c r="J532" s="27" t="s">
        <v>7</v>
      </c>
      <c r="K532" s="27" t="s">
        <v>8</v>
      </c>
      <c r="L532" s="27" t="s">
        <v>7</v>
      </c>
      <c r="O532" s="27" t="s">
        <v>8</v>
      </c>
      <c r="P532" s="27" t="s">
        <v>7</v>
      </c>
      <c r="Q532" s="27" t="s">
        <v>8</v>
      </c>
      <c r="R532" s="27" t="s">
        <v>7</v>
      </c>
    </row>
    <row r="533" spans="1:22" x14ac:dyDescent="0.25">
      <c r="A533" s="7">
        <v>2.9134614441402875</v>
      </c>
      <c r="B533"/>
      <c r="C533"/>
      <c r="D533"/>
      <c r="E533" t="s">
        <v>8</v>
      </c>
      <c r="J533" s="27" t="s">
        <v>7</v>
      </c>
      <c r="K533" s="27" t="s">
        <v>8</v>
      </c>
      <c r="L533" s="27" t="s">
        <v>7</v>
      </c>
      <c r="M533" s="27" t="s">
        <v>8</v>
      </c>
      <c r="O533" s="27" t="s">
        <v>8</v>
      </c>
      <c r="P533" s="27" t="s">
        <v>7</v>
      </c>
      <c r="Q533" s="27" t="s">
        <v>8</v>
      </c>
      <c r="R533" s="27" t="s">
        <v>7</v>
      </c>
    </row>
    <row r="534" spans="1:22" x14ac:dyDescent="0.25">
      <c r="A534" s="7">
        <v>2.8563347491571447</v>
      </c>
      <c r="B534"/>
      <c r="C534"/>
      <c r="D534"/>
      <c r="E534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O534" s="27" t="s">
        <v>8</v>
      </c>
      <c r="P534" s="27" t="s">
        <v>7</v>
      </c>
      <c r="Q534" s="27" t="s">
        <v>8</v>
      </c>
      <c r="R534" s="27" t="s">
        <v>7</v>
      </c>
      <c r="S534" s="27" t="s">
        <v>8</v>
      </c>
    </row>
    <row r="535" spans="1:22" x14ac:dyDescent="0.25">
      <c r="A535" s="7">
        <v>2.8003281854481812</v>
      </c>
      <c r="B535"/>
      <c r="C535"/>
      <c r="D535"/>
      <c r="E535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P535" s="27" t="s">
        <v>7</v>
      </c>
      <c r="Q535" s="27" t="s">
        <v>8</v>
      </c>
      <c r="R535" s="27" t="s">
        <v>7</v>
      </c>
      <c r="S535" s="27" t="s">
        <v>8</v>
      </c>
      <c r="T535" s="27" t="s">
        <v>7</v>
      </c>
    </row>
    <row r="536" spans="1:22" x14ac:dyDescent="0.25">
      <c r="A536" s="7">
        <v>2.7454197896550796</v>
      </c>
      <c r="B536"/>
      <c r="C536"/>
      <c r="D536"/>
      <c r="E536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O536" s="27" t="s">
        <v>8</v>
      </c>
      <c r="P536" s="27" t="s">
        <v>7</v>
      </c>
      <c r="Q536" s="27" t="s">
        <v>8</v>
      </c>
      <c r="R536" s="27" t="s">
        <v>7</v>
      </c>
      <c r="S536" s="27" t="s">
        <v>8</v>
      </c>
      <c r="T536" s="27" t="s">
        <v>7</v>
      </c>
    </row>
    <row r="537" spans="1:22" x14ac:dyDescent="0.25">
      <c r="A537" s="7">
        <v>2.6915880290736074</v>
      </c>
      <c r="B537"/>
      <c r="C537"/>
      <c r="D537"/>
      <c r="E537" t="s">
        <v>8</v>
      </c>
      <c r="J537" s="27" t="s">
        <v>7</v>
      </c>
      <c r="K537" s="27" t="s">
        <v>8</v>
      </c>
      <c r="L537" s="27" t="s">
        <v>7</v>
      </c>
      <c r="M537" s="27" t="s">
        <v>8</v>
      </c>
      <c r="N537" s="27" t="s">
        <v>7</v>
      </c>
      <c r="O537" s="27" t="s">
        <v>8</v>
      </c>
      <c r="P537" s="27" t="s">
        <v>7</v>
      </c>
      <c r="Q537" s="27" t="s">
        <v>8</v>
      </c>
      <c r="R537" s="27" t="s">
        <v>7</v>
      </c>
      <c r="S537" s="27" t="s">
        <v>8</v>
      </c>
      <c r="T537" s="27" t="s">
        <v>7</v>
      </c>
    </row>
    <row r="538" spans="1:22" x14ac:dyDescent="0.25">
      <c r="A538" s="7">
        <v>2.6388117932094191</v>
      </c>
      <c r="B538"/>
      <c r="C538"/>
      <c r="D538"/>
      <c r="E538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N538" s="27" t="s">
        <v>7</v>
      </c>
      <c r="O538" s="27" t="s">
        <v>8</v>
      </c>
      <c r="P538" s="27" t="s">
        <v>7</v>
      </c>
      <c r="Q538" s="27" t="s">
        <v>8</v>
      </c>
      <c r="R538" s="27" t="s">
        <v>7</v>
      </c>
      <c r="S538" s="27" t="s">
        <v>8</v>
      </c>
      <c r="T538" s="27" t="s">
        <v>7</v>
      </c>
      <c r="U538" s="27" t="s">
        <v>8</v>
      </c>
    </row>
    <row r="539" spans="1:22" x14ac:dyDescent="0.25">
      <c r="A539" s="7">
        <v>2.5870703854994304</v>
      </c>
      <c r="B539"/>
      <c r="C539"/>
      <c r="D539"/>
      <c r="E539" t="s">
        <v>8</v>
      </c>
      <c r="J539" s="27" t="s">
        <v>7</v>
      </c>
      <c r="K539" s="27" t="s">
        <v>8</v>
      </c>
      <c r="L539" s="27" t="s">
        <v>7</v>
      </c>
      <c r="M539" s="27" t="s">
        <v>8</v>
      </c>
      <c r="N539" s="27" t="s">
        <v>7</v>
      </c>
      <c r="O539" s="27" t="s">
        <v>8</v>
      </c>
      <c r="P539" s="27" t="s">
        <v>7</v>
      </c>
      <c r="Q539" s="27" t="s">
        <v>8</v>
      </c>
      <c r="R539" s="27" t="s">
        <v>7</v>
      </c>
      <c r="S539" s="27" t="s">
        <v>8</v>
      </c>
      <c r="T539" s="27" t="s">
        <v>7</v>
      </c>
      <c r="U539" s="27" t="s">
        <v>8</v>
      </c>
      <c r="V539" s="27" t="s">
        <v>7</v>
      </c>
    </row>
    <row r="540" spans="1:22" x14ac:dyDescent="0.25">
      <c r="A540" s="7">
        <v>2.53634351519552</v>
      </c>
      <c r="B540"/>
      <c r="C540"/>
      <c r="D540"/>
      <c r="E540" t="s">
        <v>8</v>
      </c>
      <c r="J540" s="27" t="s">
        <v>7</v>
      </c>
      <c r="K540" s="27" t="s">
        <v>8</v>
      </c>
      <c r="L540" s="27" t="s">
        <v>7</v>
      </c>
      <c r="M540" s="27" t="s">
        <v>8</v>
      </c>
      <c r="N540" s="27" t="s">
        <v>7</v>
      </c>
      <c r="O540" s="27" t="s">
        <v>8</v>
      </c>
      <c r="P540" s="27" t="s">
        <v>7</v>
      </c>
      <c r="Q540" s="27" t="s">
        <v>8</v>
      </c>
      <c r="R540" s="27" t="s">
        <v>7</v>
      </c>
      <c r="S540" s="27" t="s">
        <v>8</v>
      </c>
      <c r="T540" s="27" t="s">
        <v>7</v>
      </c>
      <c r="U540" s="27" t="s">
        <v>8</v>
      </c>
      <c r="V540" s="27" t="s">
        <v>7</v>
      </c>
    </row>
    <row r="541" spans="1:22" x14ac:dyDescent="0.25">
      <c r="A541" s="7">
        <v>2.4866112894073726</v>
      </c>
      <c r="B541"/>
      <c r="C541"/>
      <c r="D541"/>
      <c r="E541" t="s">
        <v>8</v>
      </c>
      <c r="J541" s="27" t="s">
        <v>7</v>
      </c>
      <c r="K541" s="27" t="s">
        <v>8</v>
      </c>
      <c r="L541" s="27" t="s">
        <v>7</v>
      </c>
      <c r="M541" s="27" t="s">
        <v>8</v>
      </c>
      <c r="N541" s="27" t="s">
        <v>7</v>
      </c>
      <c r="O541" s="27" t="s">
        <v>8</v>
      </c>
      <c r="P541" s="27" t="s">
        <v>7</v>
      </c>
      <c r="Q541" s="27" t="s">
        <v>8</v>
      </c>
      <c r="R541" s="27" t="s">
        <v>7</v>
      </c>
      <c r="T541" s="27" t="s">
        <v>7</v>
      </c>
      <c r="U541" s="27" t="s">
        <v>8</v>
      </c>
      <c r="V541" s="27" t="s">
        <v>7</v>
      </c>
    </row>
    <row r="542" spans="1:22" x14ac:dyDescent="0.25">
      <c r="A542" s="7">
        <v>2.4378542053013459</v>
      </c>
      <c r="B542"/>
      <c r="C542"/>
      <c r="D542"/>
      <c r="E542" t="s">
        <v>8</v>
      </c>
      <c r="J542" s="27" t="s">
        <v>7</v>
      </c>
      <c r="K542" s="27" t="s">
        <v>8</v>
      </c>
      <c r="L542" s="27" t="s">
        <v>7</v>
      </c>
      <c r="M542" s="27" t="s">
        <v>8</v>
      </c>
      <c r="N542" s="27" t="s">
        <v>7</v>
      </c>
      <c r="O542" s="27" t="s">
        <v>8</v>
      </c>
      <c r="P542" s="27" t="s">
        <v>7</v>
      </c>
      <c r="Q542" s="27" t="s">
        <v>8</v>
      </c>
      <c r="T542" s="27" t="s">
        <v>7</v>
      </c>
      <c r="U542" s="27" t="s">
        <v>8</v>
      </c>
      <c r="V542" s="27" t="s">
        <v>7</v>
      </c>
    </row>
    <row r="543" spans="1:22" x14ac:dyDescent="0.25">
      <c r="A543" s="7">
        <v>2.3900531424522997</v>
      </c>
      <c r="B543"/>
      <c r="C543"/>
      <c r="D543"/>
      <c r="E543" t="s">
        <v>8</v>
      </c>
      <c r="J543" s="27" t="s">
        <v>7</v>
      </c>
      <c r="K543" s="27" t="s">
        <v>8</v>
      </c>
      <c r="L543" s="27" t="s">
        <v>7</v>
      </c>
      <c r="M543" s="27" t="s">
        <v>8</v>
      </c>
      <c r="N543" s="27" t="s">
        <v>7</v>
      </c>
      <c r="O543" s="27" t="s">
        <v>8</v>
      </c>
      <c r="P543" s="27" t="s">
        <v>7</v>
      </c>
      <c r="T543" s="27" t="s">
        <v>7</v>
      </c>
      <c r="U543" s="27" t="s">
        <v>8</v>
      </c>
      <c r="V543" s="27" t="s">
        <v>7</v>
      </c>
    </row>
    <row r="544" spans="1:22" x14ac:dyDescent="0.25">
      <c r="A544" s="7">
        <v>2.343189355345392</v>
      </c>
      <c r="B544"/>
      <c r="C544"/>
      <c r="D544"/>
      <c r="E544" t="s">
        <v>8</v>
      </c>
      <c r="J544" s="27" t="s">
        <v>7</v>
      </c>
      <c r="K544" s="27" t="s">
        <v>8</v>
      </c>
      <c r="L544" s="27" t="s">
        <v>7</v>
      </c>
      <c r="M544" s="27" t="s">
        <v>8</v>
      </c>
      <c r="N544" s="27" t="s">
        <v>7</v>
      </c>
      <c r="O544" s="27" t="s">
        <v>8</v>
      </c>
      <c r="T544" s="27" t="s">
        <v>7</v>
      </c>
      <c r="U544" s="27" t="s">
        <v>8</v>
      </c>
      <c r="V544" s="27" t="s">
        <v>7</v>
      </c>
    </row>
    <row r="545" spans="1:28" x14ac:dyDescent="0.25">
      <c r="A545" s="7">
        <v>2.2972444660248938</v>
      </c>
      <c r="B545"/>
      <c r="C545"/>
      <c r="D545"/>
      <c r="E545" t="s">
        <v>8</v>
      </c>
      <c r="J545" s="27" t="s">
        <v>7</v>
      </c>
      <c r="K545" s="27" t="s">
        <v>8</v>
      </c>
      <c r="L545" s="27" t="s">
        <v>7</v>
      </c>
      <c r="M545" s="27" t="s">
        <v>8</v>
      </c>
      <c r="N545" s="27" t="s">
        <v>7</v>
      </c>
      <c r="O545" s="27" t="s">
        <v>8</v>
      </c>
      <c r="T545" s="27" t="s">
        <v>7</v>
      </c>
      <c r="U545" s="27" t="s">
        <v>8</v>
      </c>
      <c r="V545" s="27" t="s">
        <v>7</v>
      </c>
    </row>
    <row r="546" spans="1:28" x14ac:dyDescent="0.25">
      <c r="A546" s="7">
        <v>2.252200456887151</v>
      </c>
      <c r="B546"/>
      <c r="C546"/>
      <c r="D546"/>
      <c r="E546" t="s">
        <v>8</v>
      </c>
      <c r="J546" s="27" t="s">
        <v>7</v>
      </c>
      <c r="K546" s="27" t="s">
        <v>8</v>
      </c>
      <c r="L546" s="27" t="s">
        <v>7</v>
      </c>
      <c r="N546" s="27" t="s">
        <v>7</v>
      </c>
      <c r="O546" s="27" t="s">
        <v>8</v>
      </c>
      <c r="T546" s="27" t="s">
        <v>7</v>
      </c>
      <c r="U546" s="27" t="s">
        <v>8</v>
      </c>
      <c r="V546" s="27" t="s">
        <v>7</v>
      </c>
    </row>
    <row r="547" spans="1:28" x14ac:dyDescent="0.25">
      <c r="A547" s="7">
        <v>2.208039663614854</v>
      </c>
      <c r="B547"/>
      <c r="C547"/>
      <c r="D547"/>
      <c r="E547" t="s">
        <v>8</v>
      </c>
      <c r="J547" s="27" t="s">
        <v>7</v>
      </c>
      <c r="N547" s="27" t="s">
        <v>7</v>
      </c>
      <c r="O547" s="27" t="s">
        <v>8</v>
      </c>
      <c r="T547" s="27" t="s">
        <v>7</v>
      </c>
      <c r="U547" s="27" t="s">
        <v>8</v>
      </c>
      <c r="V547" s="27" t="s">
        <v>7</v>
      </c>
    </row>
    <row r="548" spans="1:28" x14ac:dyDescent="0.25">
      <c r="A548" s="7">
        <v>2.1647447682498568</v>
      </c>
      <c r="B548"/>
      <c r="C548"/>
      <c r="D548"/>
      <c r="E548" t="s">
        <v>8</v>
      </c>
      <c r="N548" s="27" t="s">
        <v>7</v>
      </c>
      <c r="O548" s="27" t="s">
        <v>8</v>
      </c>
      <c r="T548" s="27" t="s">
        <v>7</v>
      </c>
      <c r="V548" s="27" t="s">
        <v>7</v>
      </c>
      <c r="W548" s="27" t="s">
        <v>8</v>
      </c>
    </row>
    <row r="549" spans="1:28" x14ac:dyDescent="0.25">
      <c r="A549" s="7">
        <v>2.1222987924018204</v>
      </c>
      <c r="B549"/>
      <c r="C549"/>
      <c r="D549"/>
      <c r="E549" t="s">
        <v>8</v>
      </c>
      <c r="N549" s="27" t="s">
        <v>7</v>
      </c>
      <c r="O549" s="27" t="s">
        <v>8</v>
      </c>
      <c r="V549" s="27" t="s">
        <v>7</v>
      </c>
      <c r="W549" s="27" t="s">
        <v>8</v>
      </c>
      <c r="X549" s="27" t="s">
        <v>7</v>
      </c>
    </row>
    <row r="550" spans="1:28" x14ac:dyDescent="0.25">
      <c r="A550" s="7">
        <v>2.0806850905900198</v>
      </c>
      <c r="B550"/>
      <c r="C550"/>
      <c r="D550"/>
      <c r="E550" t="s">
        <v>8</v>
      </c>
      <c r="N550" s="27" t="s">
        <v>7</v>
      </c>
      <c r="O550" s="27" t="s">
        <v>8</v>
      </c>
      <c r="V550" s="27" t="s">
        <v>7</v>
      </c>
      <c r="W550" s="27" t="s">
        <v>8</v>
      </c>
      <c r="X550" s="27" t="s">
        <v>7</v>
      </c>
    </row>
    <row r="551" spans="1:28" x14ac:dyDescent="0.25">
      <c r="A551" s="7">
        <v>2.0398873437157055</v>
      </c>
      <c r="B551"/>
      <c r="C551"/>
      <c r="D551"/>
      <c r="E551" t="s">
        <v>8</v>
      </c>
      <c r="N551" s="27" t="s">
        <v>7</v>
      </c>
      <c r="O551" s="27" t="s">
        <v>8</v>
      </c>
      <c r="V551" s="27" t="s">
        <v>7</v>
      </c>
      <c r="W551" s="27" t="s">
        <v>8</v>
      </c>
      <c r="X551" s="27" t="s">
        <v>7</v>
      </c>
      <c r="AA551" s="27" t="s">
        <v>8</v>
      </c>
    </row>
    <row r="552" spans="1:28" x14ac:dyDescent="0.25">
      <c r="A552" s="7">
        <v>1.9998895526624565</v>
      </c>
      <c r="B552"/>
      <c r="C552"/>
      <c r="D552"/>
      <c r="E552" t="s">
        <v>8</v>
      </c>
      <c r="N552" s="27" t="s">
        <v>7</v>
      </c>
      <c r="O552" s="27" t="s">
        <v>8</v>
      </c>
      <c r="V552" s="27" t="s">
        <v>7</v>
      </c>
      <c r="W552" s="27" t="s">
        <v>8</v>
      </c>
      <c r="X552" s="27" t="s">
        <v>7</v>
      </c>
      <c r="AA552" s="27" t="s">
        <v>8</v>
      </c>
      <c r="AB552" s="27" t="s">
        <v>7</v>
      </c>
    </row>
    <row r="553" spans="1:28" x14ac:dyDescent="0.25">
      <c r="A553" s="7">
        <v>1.9606760320220162</v>
      </c>
      <c r="B553"/>
      <c r="C553"/>
      <c r="D553"/>
      <c r="E553" t="s">
        <v>8</v>
      </c>
      <c r="N553" s="27" t="s">
        <v>7</v>
      </c>
      <c r="O553" s="27" t="s">
        <v>8</v>
      </c>
      <c r="V553" s="27" t="s">
        <v>7</v>
      </c>
      <c r="W553" s="27" t="s">
        <v>8</v>
      </c>
      <c r="X553" s="27" t="s">
        <v>7</v>
      </c>
      <c r="AA553" s="27" t="s">
        <v>8</v>
      </c>
      <c r="AB553" s="27" t="s">
        <v>7</v>
      </c>
    </row>
    <row r="554" spans="1:28" x14ac:dyDescent="0.25">
      <c r="A554" s="7">
        <v>1.9222314039431532</v>
      </c>
      <c r="B554"/>
      <c r="C554"/>
      <c r="D554"/>
      <c r="E554" t="s">
        <v>8</v>
      </c>
      <c r="N554" s="27" t="s">
        <v>7</v>
      </c>
      <c r="O554" s="27" t="s">
        <v>8</v>
      </c>
      <c r="V554" s="27" t="s">
        <v>7</v>
      </c>
      <c r="X554" s="27" t="s">
        <v>7</v>
      </c>
      <c r="AA554" s="27" t="s">
        <v>8</v>
      </c>
      <c r="AB554" s="27" t="s">
        <v>7</v>
      </c>
    </row>
    <row r="555" spans="1:28" x14ac:dyDescent="0.25">
      <c r="A555" s="7">
        <v>1.8845405921011305</v>
      </c>
      <c r="B555"/>
      <c r="C555"/>
      <c r="D555"/>
      <c r="E555" t="s">
        <v>8</v>
      </c>
      <c r="N555" s="27" t="s">
        <v>7</v>
      </c>
      <c r="O555" s="27" t="s">
        <v>8</v>
      </c>
      <c r="X555" s="27" t="s">
        <v>7</v>
      </c>
      <c r="Y555" s="27" t="s">
        <v>8</v>
      </c>
      <c r="AA555" s="27" t="s">
        <v>8</v>
      </c>
      <c r="AB555" s="27" t="s">
        <v>7</v>
      </c>
    </row>
    <row r="556" spans="1:28" x14ac:dyDescent="0.25">
      <c r="A556" s="7">
        <v>1.8475888157854219</v>
      </c>
      <c r="B556"/>
      <c r="C556"/>
      <c r="D556"/>
      <c r="E556" t="s">
        <v>8</v>
      </c>
      <c r="N556" s="27" t="s">
        <v>7</v>
      </c>
      <c r="O556" s="27" t="s">
        <v>8</v>
      </c>
      <c r="X556" s="27" t="s">
        <v>7</v>
      </c>
      <c r="Y556" s="27" t="s">
        <v>8</v>
      </c>
      <c r="Z556" s="27" t="s">
        <v>7</v>
      </c>
      <c r="AA556" s="27" t="s">
        <v>8</v>
      </c>
      <c r="AB556" s="27" t="s">
        <v>7</v>
      </c>
    </row>
    <row r="557" spans="1:28" x14ac:dyDescent="0.25">
      <c r="A557" s="7">
        <v>1.8113615841033548</v>
      </c>
      <c r="B557"/>
      <c r="C557"/>
      <c r="D557"/>
      <c r="E557" t="s">
        <v>8</v>
      </c>
      <c r="N557" s="27" t="s">
        <v>7</v>
      </c>
      <c r="O557" s="27" t="s">
        <v>8</v>
      </c>
      <c r="X557" s="27" t="s">
        <v>7</v>
      </c>
      <c r="Y557" s="27" t="s">
        <v>8</v>
      </c>
      <c r="Z557" s="27" t="s">
        <v>7</v>
      </c>
      <c r="AA557" s="27" t="s">
        <v>8</v>
      </c>
      <c r="AB557" s="27" t="s">
        <v>7</v>
      </c>
    </row>
    <row r="558" spans="1:28" x14ac:dyDescent="0.25">
      <c r="A558" s="7">
        <v>1.7758446902974065</v>
      </c>
      <c r="B558"/>
      <c r="C558"/>
      <c r="D558"/>
      <c r="E558" t="s">
        <v>8</v>
      </c>
      <c r="N558" s="27" t="s">
        <v>7</v>
      </c>
      <c r="O558" s="27" t="s">
        <v>8</v>
      </c>
      <c r="X558" s="27" t="s">
        <v>7</v>
      </c>
      <c r="Y558" s="27" t="s">
        <v>8</v>
      </c>
      <c r="Z558" s="27" t="s">
        <v>7</v>
      </c>
      <c r="AA558" s="27" t="s">
        <v>8</v>
      </c>
      <c r="AB558" s="27" t="s">
        <v>7</v>
      </c>
    </row>
    <row r="559" spans="1:28" x14ac:dyDescent="0.25">
      <c r="A559" s="7">
        <v>1.7410242061739281</v>
      </c>
      <c r="B559"/>
      <c r="C559"/>
      <c r="D559"/>
      <c r="E559" t="s">
        <v>8</v>
      </c>
      <c r="N559" s="27" t="s">
        <v>7</v>
      </c>
      <c r="O559" s="27" t="s">
        <v>8</v>
      </c>
      <c r="X559" s="27" t="s">
        <v>7</v>
      </c>
      <c r="Y559" s="27" t="s">
        <v>8</v>
      </c>
      <c r="Z559" s="27" t="s">
        <v>7</v>
      </c>
      <c r="AA559" s="27" t="s">
        <v>8</v>
      </c>
      <c r="AB559" s="27" t="s">
        <v>7</v>
      </c>
    </row>
    <row r="560" spans="1:28" x14ac:dyDescent="0.25">
      <c r="A560" s="7">
        <v>1.7068864766411058</v>
      </c>
      <c r="B560"/>
      <c r="C560"/>
      <c r="D560"/>
      <c r="E560" t="s">
        <v>8</v>
      </c>
      <c r="N560" s="27" t="s">
        <v>7</v>
      </c>
      <c r="O560" s="27" t="s">
        <v>8</v>
      </c>
      <c r="X560" s="27" t="s">
        <v>7</v>
      </c>
      <c r="Y560" s="27" t="s">
        <v>8</v>
      </c>
      <c r="Z560" s="27" t="s">
        <v>7</v>
      </c>
      <c r="AA560" s="27" t="s">
        <v>8</v>
      </c>
      <c r="AB560" s="27" t="s">
        <v>7</v>
      </c>
    </row>
    <row r="561" spans="1:30" x14ac:dyDescent="0.25">
      <c r="A561" s="7">
        <v>1.6734181143540252</v>
      </c>
      <c r="B561"/>
      <c r="C561"/>
      <c r="D561"/>
      <c r="E561" t="s">
        <v>8</v>
      </c>
      <c r="N561" s="27" t="s">
        <v>7</v>
      </c>
      <c r="O561" s="27" t="s">
        <v>8</v>
      </c>
      <c r="X561" s="27" t="s">
        <v>7</v>
      </c>
      <c r="Y561" s="27" t="s">
        <v>8</v>
      </c>
      <c r="Z561" s="27" t="s">
        <v>7</v>
      </c>
      <c r="AA561" s="27" t="s">
        <v>8</v>
      </c>
      <c r="AB561" s="27" t="s">
        <v>7</v>
      </c>
      <c r="AC561" s="27" t="s">
        <v>8</v>
      </c>
    </row>
    <row r="562" spans="1:30" x14ac:dyDescent="0.25">
      <c r="A562" s="7">
        <v>1.6406059944647307</v>
      </c>
      <c r="B562"/>
      <c r="C562"/>
      <c r="D562"/>
      <c r="E562" t="s">
        <v>8</v>
      </c>
      <c r="N562" s="27" t="s">
        <v>7</v>
      </c>
      <c r="O562" s="27" t="s">
        <v>8</v>
      </c>
      <c r="X562" s="27" t="s">
        <v>7</v>
      </c>
      <c r="Y562" s="27" t="s">
        <v>8</v>
      </c>
      <c r="Z562" s="27" t="s">
        <v>7</v>
      </c>
      <c r="AB562" s="27" t="s">
        <v>7</v>
      </c>
      <c r="AC562" s="27" t="s">
        <v>8</v>
      </c>
      <c r="AD562" s="27" t="s">
        <v>7</v>
      </c>
    </row>
    <row r="563" spans="1:30" x14ac:dyDescent="0.25">
      <c r="A563" s="7">
        <v>1.6084372494752261</v>
      </c>
      <c r="B563"/>
      <c r="C563"/>
      <c r="D563"/>
      <c r="E563" t="s">
        <v>8</v>
      </c>
      <c r="N563" s="27" t="s">
        <v>7</v>
      </c>
      <c r="O563" s="27" t="s">
        <v>8</v>
      </c>
      <c r="X563" s="27" t="s">
        <v>7</v>
      </c>
      <c r="Y563" s="27" t="s">
        <v>8</v>
      </c>
      <c r="AB563" s="27" t="s">
        <v>7</v>
      </c>
      <c r="AC563" s="27" t="s">
        <v>8</v>
      </c>
      <c r="AD563" s="27" t="s">
        <v>7</v>
      </c>
    </row>
    <row r="564" spans="1:30" x14ac:dyDescent="0.25">
      <c r="A564" s="7">
        <v>1.5768992641913981</v>
      </c>
      <c r="B564"/>
      <c r="C564"/>
      <c r="D564"/>
      <c r="E564" t="s">
        <v>8</v>
      </c>
      <c r="N564" s="27" t="s">
        <v>7</v>
      </c>
      <c r="O564" s="27" t="s">
        <v>8</v>
      </c>
      <c r="X564" s="27" t="s">
        <v>7</v>
      </c>
      <c r="Y564" s="27" t="s">
        <v>8</v>
      </c>
      <c r="AB564" s="27" t="s">
        <v>7</v>
      </c>
      <c r="AC564" s="27" t="s">
        <v>8</v>
      </c>
      <c r="AD564" s="27" t="s">
        <v>7</v>
      </c>
    </row>
    <row r="565" spans="1:30" x14ac:dyDescent="0.25">
      <c r="A565" s="7">
        <v>1.5459796707758806</v>
      </c>
      <c r="B565"/>
      <c r="C565"/>
      <c r="D565"/>
      <c r="E565" t="s">
        <v>8</v>
      </c>
      <c r="N565" s="27" t="s">
        <v>7</v>
      </c>
      <c r="O565" s="27" t="s">
        <v>8</v>
      </c>
      <c r="X565" s="27" t="s">
        <v>7</v>
      </c>
      <c r="AB565" s="27" t="s">
        <v>7</v>
      </c>
      <c r="AC565" s="27" t="s">
        <v>8</v>
      </c>
      <c r="AD565" s="27" t="s">
        <v>7</v>
      </c>
    </row>
    <row r="566" spans="1:30" x14ac:dyDescent="0.25">
      <c r="A566" s="7">
        <v>1.5156663438979221</v>
      </c>
      <c r="B566"/>
      <c r="C566"/>
      <c r="D566"/>
      <c r="E566" t="s">
        <v>8</v>
      </c>
      <c r="N566" s="27" t="s">
        <v>7</v>
      </c>
      <c r="O566" s="27" t="s">
        <v>8</v>
      </c>
      <c r="AB566" s="27" t="s">
        <v>7</v>
      </c>
      <c r="AC566" s="27" t="s">
        <v>8</v>
      </c>
      <c r="AD566" s="27" t="s">
        <v>7</v>
      </c>
    </row>
    <row r="567" spans="1:30" x14ac:dyDescent="0.25">
      <c r="A567" s="7">
        <v>1.4859473959783549</v>
      </c>
      <c r="B567"/>
      <c r="C567"/>
      <c r="D567"/>
      <c r="E567" t="s">
        <v>8</v>
      </c>
      <c r="N567" s="27" t="s">
        <v>7</v>
      </c>
      <c r="O567" s="27" t="s">
        <v>8</v>
      </c>
      <c r="AB567" s="27" t="s">
        <v>7</v>
      </c>
      <c r="AD567" s="27" t="s">
        <v>7</v>
      </c>
    </row>
    <row r="568" spans="1:30" x14ac:dyDescent="0.25">
      <c r="A568" s="7">
        <v>1.4568111725277988</v>
      </c>
      <c r="B568"/>
      <c r="C568"/>
      <c r="D568"/>
      <c r="E568" t="s">
        <v>8</v>
      </c>
      <c r="N568" s="27" t="s">
        <v>7</v>
      </c>
      <c r="AD568" s="27" t="s">
        <v>7</v>
      </c>
    </row>
    <row r="569" spans="1:30" x14ac:dyDescent="0.25">
      <c r="A569" s="7">
        <v>1.4282462475762734</v>
      </c>
      <c r="B569"/>
      <c r="C569"/>
      <c r="D569"/>
      <c r="E569" t="s">
        <v>8</v>
      </c>
      <c r="AD569" s="27" t="s">
        <v>7</v>
      </c>
    </row>
    <row r="570" spans="1:30" x14ac:dyDescent="0.25">
      <c r="A570" s="7">
        <v>1.4002414191924248</v>
      </c>
      <c r="B570"/>
      <c r="C570"/>
      <c r="D570"/>
      <c r="E570" t="s">
        <v>8</v>
      </c>
      <c r="AD570" s="27" t="s">
        <v>7</v>
      </c>
    </row>
    <row r="571" spans="1:30" x14ac:dyDescent="0.25">
      <c r="A571" s="7">
        <v>1.3727857050906125</v>
      </c>
      <c r="B571"/>
      <c r="C571"/>
      <c r="D571"/>
      <c r="E571" t="s">
        <v>8</v>
      </c>
      <c r="AD571" s="27" t="s">
        <v>7</v>
      </c>
    </row>
    <row r="572" spans="1:30" x14ac:dyDescent="0.25">
      <c r="A572" s="7">
        <v>1.3458683383241299</v>
      </c>
      <c r="B572"/>
      <c r="C572"/>
      <c r="D572"/>
      <c r="E572" t="s">
        <v>8</v>
      </c>
      <c r="AD572" s="27" t="s">
        <v>7</v>
      </c>
    </row>
    <row r="573" spans="1:30" x14ac:dyDescent="0.25">
      <c r="A573" s="7">
        <v>1.3194787630628724</v>
      </c>
      <c r="B573"/>
      <c r="C573"/>
      <c r="D573"/>
      <c r="E573" t="s">
        <v>8</v>
      </c>
      <c r="AD573" s="27" t="s">
        <v>7</v>
      </c>
    </row>
    <row r="574" spans="1:30" x14ac:dyDescent="0.25">
      <c r="A574" s="7">
        <v>1.2936066304537963</v>
      </c>
      <c r="B574"/>
      <c r="C574"/>
      <c r="D574"/>
      <c r="E574" t="s">
        <v>8</v>
      </c>
      <c r="AD574" s="27" t="s">
        <v>7</v>
      </c>
    </row>
    <row r="575" spans="1:30" x14ac:dyDescent="0.25">
      <c r="A575" s="7">
        <v>1.2682417945625455</v>
      </c>
      <c r="B575"/>
      <c r="C575"/>
      <c r="D575"/>
      <c r="E575" t="s">
        <v>8</v>
      </c>
      <c r="AD575" s="27" t="s">
        <v>7</v>
      </c>
    </row>
    <row r="576" spans="1:30" x14ac:dyDescent="0.25">
      <c r="A576" s="7">
        <v>1.2433743083946525</v>
      </c>
      <c r="B576"/>
      <c r="C576"/>
      <c r="D576"/>
      <c r="E576" t="s">
        <v>8</v>
      </c>
      <c r="AD576" s="27" t="s">
        <v>7</v>
      </c>
    </row>
    <row r="577" spans="1:84" x14ac:dyDescent="0.25">
      <c r="A577" s="7">
        <v>1.2189944199947573</v>
      </c>
      <c r="B577"/>
      <c r="C577"/>
      <c r="D577"/>
      <c r="E577" t="s">
        <v>8</v>
      </c>
      <c r="AD577" s="27" t="s">
        <v>7</v>
      </c>
      <c r="AK577" s="27" t="s">
        <v>8</v>
      </c>
    </row>
    <row r="578" spans="1:84" x14ac:dyDescent="0.25">
      <c r="A578" s="7">
        <v>1.1950925686223111</v>
      </c>
      <c r="B578"/>
      <c r="C578"/>
      <c r="D578"/>
      <c r="E578" t="s">
        <v>8</v>
      </c>
      <c r="AD578" s="27" t="s">
        <v>7</v>
      </c>
      <c r="AK578" s="27" t="s">
        <v>8</v>
      </c>
      <c r="AL578" s="27" t="s">
        <v>7</v>
      </c>
    </row>
    <row r="579" spans="1:84" x14ac:dyDescent="0.25">
      <c r="A579" s="7">
        <v>1.1716593810022657</v>
      </c>
      <c r="B579"/>
      <c r="C579"/>
      <c r="D579"/>
      <c r="E579" t="s">
        <v>8</v>
      </c>
      <c r="AD579" s="27" t="s">
        <v>7</v>
      </c>
      <c r="AK579" s="27" t="s">
        <v>8</v>
      </c>
      <c r="AL579" s="27" t="s">
        <v>7</v>
      </c>
    </row>
    <row r="580" spans="1:84" x14ac:dyDescent="0.25">
      <c r="A580" s="7">
        <v>1.14868566764928</v>
      </c>
      <c r="B580"/>
      <c r="C580"/>
      <c r="D580"/>
      <c r="E580" t="s">
        <v>8</v>
      </c>
      <c r="AD580" s="27" t="s">
        <v>7</v>
      </c>
      <c r="AK580" s="27" t="s">
        <v>8</v>
      </c>
      <c r="AL580" s="27" t="s">
        <v>7</v>
      </c>
      <c r="BY580" s="27" t="s">
        <v>8</v>
      </c>
    </row>
    <row r="581" spans="1:84" x14ac:dyDescent="0.25">
      <c r="A581" s="7">
        <v>1.1261624192640001</v>
      </c>
      <c r="B581"/>
      <c r="C581"/>
      <c r="D581"/>
      <c r="E581" t="s">
        <v>8</v>
      </c>
      <c r="AD581" s="27" t="s">
        <v>7</v>
      </c>
      <c r="AE581" s="27" t="s">
        <v>8</v>
      </c>
      <c r="AK581" s="27" t="s">
        <v>8</v>
      </c>
      <c r="AL581" s="27" t="s">
        <v>7</v>
      </c>
      <c r="BY581" s="27" t="s">
        <v>8</v>
      </c>
      <c r="BZ581" s="27" t="s">
        <v>7</v>
      </c>
    </row>
    <row r="582" spans="1:84" x14ac:dyDescent="0.25">
      <c r="A582" s="7">
        <v>1.1040808032</v>
      </c>
      <c r="B582"/>
      <c r="C582"/>
      <c r="D582"/>
      <c r="E582" t="s">
        <v>8</v>
      </c>
      <c r="AD582" s="27" t="s">
        <v>7</v>
      </c>
      <c r="AE582" s="27" t="s">
        <v>8</v>
      </c>
      <c r="AF582" s="27" t="s">
        <v>7</v>
      </c>
      <c r="AK582" s="27" t="s">
        <v>8</v>
      </c>
      <c r="AL582" s="27" t="s">
        <v>7</v>
      </c>
      <c r="BY582" s="27" t="s">
        <v>8</v>
      </c>
      <c r="BZ582" s="27" t="s">
        <v>7</v>
      </c>
    </row>
    <row r="583" spans="1:84" x14ac:dyDescent="0.25">
      <c r="A583" s="7">
        <v>1.08243216</v>
      </c>
      <c r="B583"/>
      <c r="C583"/>
      <c r="D583"/>
      <c r="E583" t="s">
        <v>8</v>
      </c>
      <c r="AD583" s="27" t="s">
        <v>7</v>
      </c>
      <c r="AE583" s="27" t="s">
        <v>8</v>
      </c>
      <c r="AF583" s="27" t="s">
        <v>7</v>
      </c>
      <c r="AK583" s="27" t="s">
        <v>8</v>
      </c>
      <c r="AL583" s="27" t="s">
        <v>7</v>
      </c>
      <c r="BY583" s="27" t="s">
        <v>8</v>
      </c>
      <c r="BZ583" s="27" t="s">
        <v>7</v>
      </c>
    </row>
    <row r="584" spans="1:84" x14ac:dyDescent="0.25">
      <c r="A584" s="7">
        <v>1.0612079999999999</v>
      </c>
      <c r="B584"/>
      <c r="C584"/>
      <c r="D584"/>
      <c r="E584" t="s">
        <v>8</v>
      </c>
      <c r="AD584" s="27" t="s">
        <v>7</v>
      </c>
      <c r="AE584" s="27" t="s">
        <v>8</v>
      </c>
      <c r="AF584" s="27" t="s">
        <v>7</v>
      </c>
      <c r="AK584" s="27" t="s">
        <v>8</v>
      </c>
      <c r="AL584" s="27" t="s">
        <v>7</v>
      </c>
      <c r="BY584" s="27" t="s">
        <v>8</v>
      </c>
      <c r="BZ584" s="27" t="s">
        <v>7</v>
      </c>
    </row>
    <row r="585" spans="1:84" x14ac:dyDescent="0.25">
      <c r="A585" s="7">
        <v>1.0404</v>
      </c>
      <c r="B585"/>
      <c r="C585"/>
      <c r="D585"/>
      <c r="E585" t="s">
        <v>8</v>
      </c>
      <c r="AD585" s="27" t="s">
        <v>7</v>
      </c>
      <c r="AE585" s="27" t="s">
        <v>8</v>
      </c>
      <c r="AF585" s="27" t="s">
        <v>7</v>
      </c>
      <c r="AK585" s="27" t="s">
        <v>8</v>
      </c>
      <c r="AL585" s="27" t="s">
        <v>7</v>
      </c>
      <c r="BY585" s="27" t="s">
        <v>8</v>
      </c>
      <c r="BZ585" s="27" t="s">
        <v>7</v>
      </c>
    </row>
    <row r="586" spans="1:84" x14ac:dyDescent="0.25">
      <c r="A586" s="7">
        <v>1.02</v>
      </c>
      <c r="B586"/>
      <c r="C586"/>
      <c r="D586"/>
      <c r="E586" t="s">
        <v>8</v>
      </c>
      <c r="AD586" s="27" t="s">
        <v>7</v>
      </c>
      <c r="AE586" s="27" t="s">
        <v>8</v>
      </c>
      <c r="AF586" s="27" t="s">
        <v>7</v>
      </c>
      <c r="AK586" s="27" t="s">
        <v>8</v>
      </c>
      <c r="AL586" s="27" t="s">
        <v>7</v>
      </c>
      <c r="AM586" s="27" t="s">
        <v>8</v>
      </c>
      <c r="BY586" s="27" t="s">
        <v>8</v>
      </c>
      <c r="BZ586" s="27" t="s">
        <v>7</v>
      </c>
    </row>
    <row r="587" spans="1:84" x14ac:dyDescent="0.25">
      <c r="A587" s="7">
        <v>1</v>
      </c>
      <c r="B587"/>
      <c r="C587"/>
      <c r="D587"/>
      <c r="E587" s="29" t="s">
        <v>8</v>
      </c>
      <c r="AD587" s="27" t="s">
        <v>7</v>
      </c>
      <c r="AE587" s="27" t="s">
        <v>8</v>
      </c>
      <c r="AF587" s="27" t="s">
        <v>7</v>
      </c>
      <c r="AK587" s="27" t="s">
        <v>8</v>
      </c>
      <c r="AL587" s="27" t="s">
        <v>7</v>
      </c>
      <c r="AM587" s="27" t="s">
        <v>8</v>
      </c>
      <c r="AN587" s="27" t="s">
        <v>7</v>
      </c>
      <c r="BY587" s="27" t="s">
        <v>8</v>
      </c>
      <c r="BZ587" s="27" t="s">
        <v>7</v>
      </c>
    </row>
    <row r="588" spans="1:84" x14ac:dyDescent="0.25">
      <c r="A588" s="7">
        <v>0.98039215686274506</v>
      </c>
      <c r="B588"/>
      <c r="C588"/>
      <c r="D588"/>
      <c r="E588"/>
      <c r="AD588" s="27" t="s">
        <v>7</v>
      </c>
      <c r="AE588" s="27" t="s">
        <v>8</v>
      </c>
      <c r="AF588" s="27" t="s">
        <v>7</v>
      </c>
      <c r="AK588" s="27" t="s">
        <v>8</v>
      </c>
      <c r="AL588" s="27" t="s">
        <v>7</v>
      </c>
      <c r="AM588" s="27" t="s">
        <v>8</v>
      </c>
      <c r="AN588" s="27" t="s">
        <v>7</v>
      </c>
      <c r="BW588" s="27" t="s">
        <v>8</v>
      </c>
      <c r="BY588" s="27" t="s">
        <v>8</v>
      </c>
      <c r="BZ588" s="27" t="s">
        <v>7</v>
      </c>
    </row>
    <row r="589" spans="1:84" x14ac:dyDescent="0.25">
      <c r="A589" s="7">
        <v>0.96116878123798544</v>
      </c>
      <c r="B589"/>
      <c r="C589"/>
      <c r="D589"/>
      <c r="E589"/>
      <c r="AD589" s="27" t="s">
        <v>7</v>
      </c>
      <c r="AE589" s="27" t="s">
        <v>8</v>
      </c>
      <c r="AF589" s="27" t="s">
        <v>7</v>
      </c>
      <c r="AK589" s="27" t="s">
        <v>8</v>
      </c>
      <c r="AL589" s="27" t="s">
        <v>7</v>
      </c>
      <c r="AM589" s="27" t="s">
        <v>8</v>
      </c>
      <c r="AN589" s="27" t="s">
        <v>7</v>
      </c>
      <c r="BW589" s="27" t="s">
        <v>8</v>
      </c>
      <c r="BX589" s="27" t="s">
        <v>7</v>
      </c>
      <c r="BY589" s="27" t="s">
        <v>8</v>
      </c>
      <c r="BZ589" s="27" t="s">
        <v>7</v>
      </c>
    </row>
    <row r="590" spans="1:84" x14ac:dyDescent="0.25">
      <c r="A590" s="7">
        <v>0.94232233454704462</v>
      </c>
      <c r="B590"/>
      <c r="C590"/>
      <c r="D590"/>
      <c r="E590"/>
      <c r="AD590" s="27" t="s">
        <v>7</v>
      </c>
      <c r="AE590" s="27" t="s">
        <v>8</v>
      </c>
      <c r="AF590" s="27" t="s">
        <v>7</v>
      </c>
      <c r="AK590" s="27" t="s">
        <v>8</v>
      </c>
      <c r="AL590" s="27" t="s">
        <v>7</v>
      </c>
      <c r="AM590" s="27" t="s">
        <v>8</v>
      </c>
      <c r="AN590" s="27" t="s">
        <v>7</v>
      </c>
      <c r="BW590" s="27" t="s">
        <v>8</v>
      </c>
      <c r="BX590" s="27" t="s">
        <v>7</v>
      </c>
      <c r="BY590" s="27" t="s">
        <v>8</v>
      </c>
      <c r="BZ590" s="27" t="s">
        <v>7</v>
      </c>
      <c r="CE590" s="27" t="s">
        <v>8</v>
      </c>
    </row>
    <row r="591" spans="1:84" x14ac:dyDescent="0.25">
      <c r="A591" s="7">
        <v>0.92384542602651432</v>
      </c>
      <c r="B591"/>
      <c r="C591"/>
      <c r="D591"/>
      <c r="E591"/>
      <c r="AD591" s="27" t="s">
        <v>7</v>
      </c>
      <c r="AE591" s="27" t="s">
        <v>8</v>
      </c>
      <c r="AF591" s="27" t="s">
        <v>7</v>
      </c>
      <c r="AK591" s="27" t="s">
        <v>8</v>
      </c>
      <c r="AL591" s="27" t="s">
        <v>7</v>
      </c>
      <c r="AN591" s="27" t="s">
        <v>7</v>
      </c>
      <c r="BW591" s="27" t="s">
        <v>8</v>
      </c>
      <c r="BX591" s="27" t="s">
        <v>7</v>
      </c>
      <c r="BY591" s="27" t="s">
        <v>8</v>
      </c>
      <c r="BZ591" s="27" t="s">
        <v>7</v>
      </c>
      <c r="CE591" s="27" t="s">
        <v>8</v>
      </c>
      <c r="CF591" s="27" t="s">
        <v>7</v>
      </c>
    </row>
    <row r="592" spans="1:84" x14ac:dyDescent="0.25">
      <c r="A592" s="7">
        <v>0.90573080982991594</v>
      </c>
      <c r="B592"/>
      <c r="C592"/>
      <c r="D592"/>
      <c r="E592"/>
      <c r="AD592" s="27" t="s">
        <v>7</v>
      </c>
      <c r="AE592" s="27" t="s">
        <v>8</v>
      </c>
      <c r="AF592" s="27" t="s">
        <v>7</v>
      </c>
      <c r="AI592" s="27" t="s">
        <v>8</v>
      </c>
      <c r="AK592" s="27" t="s">
        <v>8</v>
      </c>
      <c r="AN592" s="27" t="s">
        <v>7</v>
      </c>
      <c r="BW592" s="27" t="s">
        <v>8</v>
      </c>
      <c r="BX592" s="27" t="s">
        <v>7</v>
      </c>
      <c r="BY592" s="27" t="s">
        <v>8</v>
      </c>
      <c r="BZ592" s="27" t="s">
        <v>7</v>
      </c>
      <c r="CA592" s="27" t="s">
        <v>8</v>
      </c>
      <c r="CC592" s="27" t="s">
        <v>8</v>
      </c>
      <c r="CE592" s="27" t="s">
        <v>8</v>
      </c>
      <c r="CF592" s="27" t="s">
        <v>7</v>
      </c>
    </row>
    <row r="593" spans="1:114" x14ac:dyDescent="0.25">
      <c r="A593" s="7">
        <v>0.8879713821861922</v>
      </c>
      <c r="B593"/>
      <c r="C593"/>
      <c r="D593"/>
      <c r="E593"/>
      <c r="AD593" s="27" t="s">
        <v>7</v>
      </c>
      <c r="AE593" s="27" t="s">
        <v>8</v>
      </c>
      <c r="AF593" s="27" t="s">
        <v>7</v>
      </c>
      <c r="AI593" s="27" t="s">
        <v>8</v>
      </c>
      <c r="AJ593" s="27" t="s">
        <v>7</v>
      </c>
      <c r="AK593" s="27" t="s">
        <v>8</v>
      </c>
      <c r="AN593" s="27" t="s">
        <v>7</v>
      </c>
      <c r="BW593" s="27" t="s">
        <v>8</v>
      </c>
      <c r="BX593" s="27" t="s">
        <v>7</v>
      </c>
      <c r="BY593" s="27" t="s">
        <v>8</v>
      </c>
      <c r="BZ593" s="27" t="s">
        <v>7</v>
      </c>
      <c r="CA593" s="27" t="s">
        <v>8</v>
      </c>
      <c r="CB593" s="27" t="s">
        <v>7</v>
      </c>
      <c r="CC593" s="27" t="s">
        <v>8</v>
      </c>
      <c r="CD593" s="27" t="s">
        <v>7</v>
      </c>
      <c r="CE593" s="27" t="s">
        <v>8</v>
      </c>
      <c r="CF593" s="27" t="s">
        <v>7</v>
      </c>
    </row>
    <row r="594" spans="1:114" x14ac:dyDescent="0.25">
      <c r="A594" s="7">
        <v>0.87056017861391399</v>
      </c>
      <c r="B594"/>
      <c r="C594"/>
      <c r="D594"/>
      <c r="E594"/>
      <c r="AD594" s="27" t="s">
        <v>7</v>
      </c>
      <c r="AE594" s="27" t="s">
        <v>8</v>
      </c>
      <c r="AF594" s="27" t="s">
        <v>7</v>
      </c>
      <c r="AI594" s="27" t="s">
        <v>8</v>
      </c>
      <c r="AJ594" s="27" t="s">
        <v>7</v>
      </c>
      <c r="AK594" s="27" t="s">
        <v>8</v>
      </c>
      <c r="AN594" s="27" t="s">
        <v>7</v>
      </c>
      <c r="BW594" s="27" t="s">
        <v>8</v>
      </c>
      <c r="BX594" s="27" t="s">
        <v>7</v>
      </c>
      <c r="BY594" s="27" t="s">
        <v>8</v>
      </c>
      <c r="BZ594" s="27" t="s">
        <v>7</v>
      </c>
      <c r="CA594" s="27" t="s">
        <v>8</v>
      </c>
      <c r="CB594" s="27" t="s">
        <v>7</v>
      </c>
      <c r="CC594" s="27" t="s">
        <v>8</v>
      </c>
      <c r="CD594" s="27" t="s">
        <v>7</v>
      </c>
      <c r="CE594" s="27" t="s">
        <v>8</v>
      </c>
      <c r="CF594" s="27" t="s">
        <v>7</v>
      </c>
    </row>
    <row r="595" spans="1:114" x14ac:dyDescent="0.25">
      <c r="A595" s="7">
        <v>0.85349037119011173</v>
      </c>
      <c r="B595"/>
      <c r="C595"/>
      <c r="D595"/>
      <c r="E595"/>
      <c r="AD595" s="27" t="s">
        <v>7</v>
      </c>
      <c r="AE595" s="27" t="s">
        <v>8</v>
      </c>
      <c r="AF595" s="27" t="s">
        <v>7</v>
      </c>
      <c r="AG595" s="27" t="s">
        <v>8</v>
      </c>
      <c r="AI595" s="27" t="s">
        <v>8</v>
      </c>
      <c r="AJ595" s="27" t="s">
        <v>7</v>
      </c>
      <c r="AK595" s="27" t="s">
        <v>8</v>
      </c>
      <c r="AN595" s="27" t="s">
        <v>7</v>
      </c>
      <c r="AO595" s="27" t="s">
        <v>8</v>
      </c>
      <c r="BS595" s="27" t="s">
        <v>8</v>
      </c>
      <c r="BW595" s="27" t="s">
        <v>8</v>
      </c>
      <c r="BX595" s="27" t="s">
        <v>7</v>
      </c>
      <c r="BY595" s="27" t="s">
        <v>8</v>
      </c>
      <c r="BZ595" s="27" t="s">
        <v>7</v>
      </c>
      <c r="CA595" s="27" t="s">
        <v>8</v>
      </c>
      <c r="CB595" s="27" t="s">
        <v>7</v>
      </c>
      <c r="CC595" s="27" t="s">
        <v>8</v>
      </c>
      <c r="CD595" s="27" t="s">
        <v>7</v>
      </c>
      <c r="CF595" s="27" t="s">
        <v>7</v>
      </c>
    </row>
    <row r="596" spans="1:114" x14ac:dyDescent="0.25">
      <c r="A596" s="7">
        <v>0.83675526587265858</v>
      </c>
      <c r="B596"/>
      <c r="C596"/>
      <c r="D596"/>
      <c r="E596"/>
      <c r="AD596" s="27" t="s">
        <v>7</v>
      </c>
      <c r="AE596" s="27" t="s">
        <v>8</v>
      </c>
      <c r="AF596" s="27" t="s">
        <v>7</v>
      </c>
      <c r="AG596" s="27" t="s">
        <v>8</v>
      </c>
      <c r="AH596" s="27" t="s">
        <v>7</v>
      </c>
      <c r="AI596" s="27" t="s">
        <v>8</v>
      </c>
      <c r="AJ596" s="27" t="s">
        <v>7</v>
      </c>
      <c r="AK596" s="27" t="s">
        <v>8</v>
      </c>
      <c r="AN596" s="27" t="s">
        <v>7</v>
      </c>
      <c r="AO596" s="27" t="s">
        <v>8</v>
      </c>
      <c r="AP596" s="27" t="s">
        <v>7</v>
      </c>
      <c r="BS596" s="27" t="s">
        <v>8</v>
      </c>
      <c r="BT596" s="27" t="s">
        <v>7</v>
      </c>
      <c r="BU596" s="27" t="s">
        <v>8</v>
      </c>
      <c r="BW596" s="27" t="s">
        <v>8</v>
      </c>
      <c r="BX596" s="27" t="s">
        <v>7</v>
      </c>
      <c r="BY596" s="27" t="s">
        <v>8</v>
      </c>
      <c r="BZ596" s="27" t="s">
        <v>7</v>
      </c>
      <c r="CA596" s="27" t="s">
        <v>8</v>
      </c>
      <c r="CB596" s="27" t="s">
        <v>7</v>
      </c>
      <c r="CF596" s="27" t="s">
        <v>7</v>
      </c>
    </row>
    <row r="597" spans="1:114" x14ac:dyDescent="0.25">
      <c r="A597" s="7">
        <v>0.82034829987515545</v>
      </c>
      <c r="B597"/>
      <c r="C597"/>
      <c r="D597"/>
      <c r="E597"/>
      <c r="AD597" s="27" t="s">
        <v>7</v>
      </c>
      <c r="AE597" s="27" t="s">
        <v>8</v>
      </c>
      <c r="AF597" s="27" t="s">
        <v>7</v>
      </c>
      <c r="AG597" s="27" t="s">
        <v>8</v>
      </c>
      <c r="AH597" s="27" t="s">
        <v>7</v>
      </c>
      <c r="AI597" s="27" t="s">
        <v>8</v>
      </c>
      <c r="AJ597" s="27" t="s">
        <v>7</v>
      </c>
      <c r="AK597" s="27" t="s">
        <v>8</v>
      </c>
      <c r="AN597" s="27" t="s">
        <v>7</v>
      </c>
      <c r="AO597" s="27" t="s">
        <v>8</v>
      </c>
      <c r="AP597" s="27" t="s">
        <v>7</v>
      </c>
      <c r="BQ597" s="27" t="s">
        <v>8</v>
      </c>
      <c r="BS597" s="27" t="s">
        <v>8</v>
      </c>
      <c r="BT597" s="27" t="s">
        <v>7</v>
      </c>
      <c r="BU597" s="27" t="s">
        <v>8</v>
      </c>
      <c r="BV597" s="27" t="s">
        <v>7</v>
      </c>
      <c r="BW597" s="27" t="s">
        <v>8</v>
      </c>
      <c r="BX597" s="27" t="s">
        <v>7</v>
      </c>
      <c r="BY597" s="27" t="s">
        <v>8</v>
      </c>
      <c r="BZ597" s="27" t="s">
        <v>7</v>
      </c>
      <c r="CF597" s="27" t="s">
        <v>7</v>
      </c>
    </row>
    <row r="598" spans="1:114" x14ac:dyDescent="0.25">
      <c r="A598" s="7">
        <v>0.80426303909328967</v>
      </c>
      <c r="B598"/>
      <c r="C598"/>
      <c r="D598"/>
      <c r="E598"/>
      <c r="AD598" s="27" t="s">
        <v>7</v>
      </c>
      <c r="AE598" s="27" t="s">
        <v>8</v>
      </c>
      <c r="AF598" s="27" t="s">
        <v>7</v>
      </c>
      <c r="AG598" s="27" t="s">
        <v>8</v>
      </c>
      <c r="AH598" s="27" t="s">
        <v>7</v>
      </c>
      <c r="AI598" s="27" t="s">
        <v>8</v>
      </c>
      <c r="AJ598" s="27" t="s">
        <v>7</v>
      </c>
      <c r="AK598" s="27" t="s">
        <v>8</v>
      </c>
      <c r="AN598" s="27" t="s">
        <v>7</v>
      </c>
      <c r="AO598" s="27" t="s">
        <v>8</v>
      </c>
      <c r="AP598" s="27" t="s">
        <v>7</v>
      </c>
      <c r="BQ598" s="27" t="s">
        <v>8</v>
      </c>
      <c r="BR598" s="27" t="s">
        <v>7</v>
      </c>
      <c r="BS598" s="27" t="s">
        <v>8</v>
      </c>
      <c r="BT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BY598" s="27" t="s">
        <v>8</v>
      </c>
      <c r="CF598" s="27" t="s">
        <v>7</v>
      </c>
    </row>
    <row r="599" spans="1:114" x14ac:dyDescent="0.25">
      <c r="A599" s="7">
        <v>0.78849317558165644</v>
      </c>
      <c r="B599"/>
      <c r="C599"/>
      <c r="D599"/>
      <c r="E599"/>
      <c r="AD599" s="27" t="s">
        <v>7</v>
      </c>
      <c r="AE599" s="27" t="s">
        <v>8</v>
      </c>
      <c r="AF599" s="27" t="s">
        <v>7</v>
      </c>
      <c r="AG599" s="27" t="s">
        <v>8</v>
      </c>
      <c r="AH599" s="27" t="s">
        <v>7</v>
      </c>
      <c r="AI599" s="27" t="s">
        <v>8</v>
      </c>
      <c r="AJ599" s="27" t="s">
        <v>7</v>
      </c>
      <c r="AK599" s="27" t="s">
        <v>8</v>
      </c>
      <c r="AN599" s="27" t="s">
        <v>7</v>
      </c>
      <c r="AO599" s="27" t="s">
        <v>8</v>
      </c>
      <c r="AP599" s="27" t="s">
        <v>7</v>
      </c>
      <c r="BG599" s="27" t="s">
        <v>8</v>
      </c>
      <c r="BQ599" s="27" t="s">
        <v>8</v>
      </c>
      <c r="BR599" s="27" t="s">
        <v>7</v>
      </c>
      <c r="BS599" s="27" t="s">
        <v>8</v>
      </c>
      <c r="BT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BY599" s="27" t="s">
        <v>8</v>
      </c>
      <c r="CF599" s="27" t="s">
        <v>7</v>
      </c>
    </row>
    <row r="600" spans="1:114" x14ac:dyDescent="0.25">
      <c r="A600" s="7">
        <v>0.77303252508005538</v>
      </c>
      <c r="B600"/>
      <c r="C600"/>
      <c r="D600"/>
      <c r="E600"/>
      <c r="AD600" s="27" t="s">
        <v>7</v>
      </c>
      <c r="AE600" s="27" t="s">
        <v>8</v>
      </c>
      <c r="AF600" s="27" t="s">
        <v>7</v>
      </c>
      <c r="AG600" s="27" t="s">
        <v>8</v>
      </c>
      <c r="AH600" s="27" t="s">
        <v>7</v>
      </c>
      <c r="AI600" s="27" t="s">
        <v>8</v>
      </c>
      <c r="AJ600" s="27" t="s">
        <v>7</v>
      </c>
      <c r="AK600" s="27" t="s">
        <v>8</v>
      </c>
      <c r="AN600" s="27" t="s">
        <v>7</v>
      </c>
      <c r="AP600" s="27" t="s">
        <v>7</v>
      </c>
      <c r="BG600" s="27" t="s">
        <v>8</v>
      </c>
      <c r="BH600" s="27" t="s">
        <v>7</v>
      </c>
      <c r="BQ600" s="27" t="s">
        <v>8</v>
      </c>
      <c r="BR600" s="27" t="s">
        <v>7</v>
      </c>
      <c r="BS600" s="27" t="s">
        <v>8</v>
      </c>
      <c r="BT600" s="27" t="s">
        <v>7</v>
      </c>
      <c r="BU600" s="27" t="s">
        <v>8</v>
      </c>
      <c r="BV600" s="27" t="s">
        <v>7</v>
      </c>
      <c r="BW600" s="27" t="s">
        <v>8</v>
      </c>
      <c r="BX600" s="27" t="s">
        <v>7</v>
      </c>
      <c r="CF600" s="27" t="s">
        <v>7</v>
      </c>
    </row>
    <row r="601" spans="1:114" x14ac:dyDescent="0.25">
      <c r="A601" s="7">
        <v>0.75787502458828959</v>
      </c>
      <c r="B601"/>
      <c r="C601"/>
      <c r="D601"/>
      <c r="E601"/>
      <c r="AD601" s="27" t="s">
        <v>7</v>
      </c>
      <c r="AE601" s="27" t="s">
        <v>8</v>
      </c>
      <c r="AF601" s="27" t="s">
        <v>7</v>
      </c>
      <c r="AG601" s="27" t="s">
        <v>8</v>
      </c>
      <c r="AH601" s="27" t="s">
        <v>7</v>
      </c>
      <c r="AI601" s="27" t="s">
        <v>8</v>
      </c>
      <c r="AJ601" s="27" t="s">
        <v>7</v>
      </c>
      <c r="AK601" s="27" t="s">
        <v>8</v>
      </c>
      <c r="AP601" s="27" t="s">
        <v>7</v>
      </c>
      <c r="BG601" s="27" t="s">
        <v>8</v>
      </c>
      <c r="BH601" s="27" t="s">
        <v>7</v>
      </c>
      <c r="BQ601" s="27" t="s">
        <v>8</v>
      </c>
      <c r="BR601" s="27" t="s">
        <v>7</v>
      </c>
      <c r="BS601" s="27" t="s">
        <v>8</v>
      </c>
      <c r="BT601" s="27" t="s">
        <v>7</v>
      </c>
      <c r="BU601" s="27" t="s">
        <v>8</v>
      </c>
      <c r="BV601" s="27" t="s">
        <v>7</v>
      </c>
      <c r="BW601" s="27" t="s">
        <v>8</v>
      </c>
      <c r="CF601" s="27" t="s">
        <v>7</v>
      </c>
      <c r="CM601" s="27" t="s">
        <v>8</v>
      </c>
    </row>
    <row r="602" spans="1:114" x14ac:dyDescent="0.25">
      <c r="A602" s="7">
        <v>0.74301472998851925</v>
      </c>
      <c r="B602"/>
      <c r="C602"/>
      <c r="D602"/>
      <c r="E602"/>
      <c r="AD602" s="27" t="s">
        <v>7</v>
      </c>
      <c r="AE602" s="27" t="s">
        <v>8</v>
      </c>
      <c r="AF602" s="27" t="s">
        <v>7</v>
      </c>
      <c r="AG602" s="27" t="s">
        <v>8</v>
      </c>
      <c r="AH602" s="27" t="s">
        <v>7</v>
      </c>
      <c r="AI602" s="27" t="s">
        <v>8</v>
      </c>
      <c r="AJ602" s="27" t="s">
        <v>7</v>
      </c>
      <c r="AK602" s="27" t="s">
        <v>8</v>
      </c>
      <c r="AP602" s="27" t="s">
        <v>7</v>
      </c>
      <c r="AQ602" s="27" t="s">
        <v>8</v>
      </c>
      <c r="BG602" s="27" t="s">
        <v>8</v>
      </c>
      <c r="BH602" s="27" t="s">
        <v>7</v>
      </c>
      <c r="BQ602" s="27" t="s">
        <v>8</v>
      </c>
      <c r="BR602" s="27" t="s">
        <v>7</v>
      </c>
      <c r="BS602" s="27" t="s">
        <v>8</v>
      </c>
      <c r="BT602" s="27" t="s">
        <v>7</v>
      </c>
      <c r="BU602" s="27" t="s">
        <v>8</v>
      </c>
      <c r="BV602" s="27" t="s">
        <v>7</v>
      </c>
      <c r="BW602" s="27" t="s">
        <v>8</v>
      </c>
      <c r="CF602" s="27" t="s">
        <v>7</v>
      </c>
      <c r="CM602" s="27" t="s">
        <v>8</v>
      </c>
      <c r="CN602" s="27" t="s">
        <v>7</v>
      </c>
    </row>
    <row r="603" spans="1:114" x14ac:dyDescent="0.25">
      <c r="A603" s="7">
        <v>0.72844581371423456</v>
      </c>
      <c r="B603"/>
      <c r="C603"/>
      <c r="D603"/>
      <c r="E603"/>
      <c r="AD603" s="27" t="s">
        <v>7</v>
      </c>
      <c r="AE603" s="27" t="s">
        <v>8</v>
      </c>
      <c r="AF603" s="27" t="s">
        <v>7</v>
      </c>
      <c r="AH603" s="27" t="s">
        <v>7</v>
      </c>
      <c r="AI603" s="27" t="s">
        <v>8</v>
      </c>
      <c r="AJ603" s="27" t="s">
        <v>7</v>
      </c>
      <c r="AK603" s="27" t="s">
        <v>8</v>
      </c>
      <c r="AP603" s="27" t="s">
        <v>7</v>
      </c>
      <c r="AQ603" s="27" t="s">
        <v>8</v>
      </c>
      <c r="AR603" s="27" t="s">
        <v>7</v>
      </c>
      <c r="AS603" s="27" t="s">
        <v>8</v>
      </c>
      <c r="BG603" s="27" t="s">
        <v>8</v>
      </c>
      <c r="BH603" s="27" t="s">
        <v>7</v>
      </c>
      <c r="BQ603" s="27" t="s">
        <v>8</v>
      </c>
      <c r="BR603" s="27" t="s">
        <v>7</v>
      </c>
      <c r="BS603" s="27" t="s">
        <v>8</v>
      </c>
      <c r="BT603" s="27" t="s">
        <v>7</v>
      </c>
      <c r="BU603" s="27" t="s">
        <v>8</v>
      </c>
      <c r="BV603" s="27" t="s">
        <v>7</v>
      </c>
      <c r="BW603" s="27" t="s">
        <v>8</v>
      </c>
      <c r="CF603" s="27" t="s">
        <v>7</v>
      </c>
      <c r="CI603" s="27" t="s">
        <v>8</v>
      </c>
      <c r="CM603" s="27" t="s">
        <v>8</v>
      </c>
      <c r="CN603" s="27" t="s">
        <v>7</v>
      </c>
    </row>
    <row r="604" spans="1:114" x14ac:dyDescent="0.25">
      <c r="A604" s="7">
        <v>0.71416256246493581</v>
      </c>
      <c r="B604"/>
      <c r="C604"/>
      <c r="D604"/>
      <c r="E604"/>
      <c r="AD604" s="27" t="s">
        <v>7</v>
      </c>
      <c r="AH604" s="27" t="s">
        <v>7</v>
      </c>
      <c r="AI604" s="27" t="s">
        <v>8</v>
      </c>
      <c r="AJ604" s="27" t="s">
        <v>7</v>
      </c>
      <c r="AK604" s="27" t="s">
        <v>8</v>
      </c>
      <c r="AP604" s="27" t="s">
        <v>7</v>
      </c>
      <c r="AQ604" s="27" t="s">
        <v>8</v>
      </c>
      <c r="AR604" s="27" t="s">
        <v>7</v>
      </c>
      <c r="AS604" s="27" t="s">
        <v>8</v>
      </c>
      <c r="AT604" s="27" t="s">
        <v>7</v>
      </c>
      <c r="BG604" s="27" t="s">
        <v>8</v>
      </c>
      <c r="BH604" s="27" t="s">
        <v>7</v>
      </c>
      <c r="BQ604" s="27" t="s">
        <v>8</v>
      </c>
      <c r="BR604" s="27" t="s">
        <v>7</v>
      </c>
      <c r="BS604" s="27" t="s">
        <v>8</v>
      </c>
      <c r="BT604" s="27" t="s">
        <v>7</v>
      </c>
      <c r="BU604" s="27" t="s">
        <v>8</v>
      </c>
      <c r="BV604" s="27" t="s">
        <v>7</v>
      </c>
      <c r="BW604" s="27" t="s">
        <v>8</v>
      </c>
      <c r="CF604" s="27" t="s">
        <v>7</v>
      </c>
      <c r="CI604" s="27" t="s">
        <v>8</v>
      </c>
      <c r="CJ604" s="27" t="s">
        <v>7</v>
      </c>
      <c r="CM604" s="27" t="s">
        <v>8</v>
      </c>
      <c r="CN604" s="27" t="s">
        <v>7</v>
      </c>
    </row>
    <row r="605" spans="1:114" x14ac:dyDescent="0.25">
      <c r="A605" s="7">
        <v>0.7001593749656233</v>
      </c>
      <c r="B605"/>
      <c r="C605"/>
      <c r="D605"/>
      <c r="E605"/>
      <c r="AH605" s="27" t="s">
        <v>7</v>
      </c>
      <c r="AI605" s="27" t="s">
        <v>8</v>
      </c>
      <c r="AJ605" s="27" t="s">
        <v>7</v>
      </c>
      <c r="AK605" s="27" t="s">
        <v>8</v>
      </c>
      <c r="AP605" s="27" t="s">
        <v>7</v>
      </c>
      <c r="AQ605" s="27" t="s">
        <v>8</v>
      </c>
      <c r="AR605" s="27" t="s">
        <v>7</v>
      </c>
      <c r="AS605" s="27" t="s">
        <v>8</v>
      </c>
      <c r="AT605" s="27" t="s">
        <v>7</v>
      </c>
      <c r="BG605" s="27" t="s">
        <v>8</v>
      </c>
      <c r="BH605" s="27" t="s">
        <v>7</v>
      </c>
      <c r="BQ605" s="27" t="s">
        <v>8</v>
      </c>
      <c r="BR605" s="27" t="s">
        <v>7</v>
      </c>
      <c r="BS605" s="27" t="s">
        <v>8</v>
      </c>
      <c r="BT605" s="27" t="s">
        <v>7</v>
      </c>
      <c r="BU605" s="27" t="s">
        <v>8</v>
      </c>
      <c r="BV605" s="27" t="s">
        <v>7</v>
      </c>
      <c r="BW605" s="27" t="s">
        <v>8</v>
      </c>
      <c r="CF605" s="27" t="s">
        <v>7</v>
      </c>
      <c r="CG605" s="27" t="s">
        <v>8</v>
      </c>
      <c r="CI605" s="27" t="s">
        <v>8</v>
      </c>
      <c r="CJ605" s="27" t="s">
        <v>7</v>
      </c>
      <c r="CM605" s="27" t="s">
        <v>8</v>
      </c>
      <c r="CN605" s="27" t="s">
        <v>7</v>
      </c>
    </row>
    <row r="606" spans="1:114" x14ac:dyDescent="0.25">
      <c r="A606" s="7">
        <v>0.68643075977021883</v>
      </c>
      <c r="B606"/>
      <c r="C606"/>
      <c r="D606"/>
      <c r="E606"/>
      <c r="AH606" s="27" t="s">
        <v>7</v>
      </c>
      <c r="AI606" s="27" t="s">
        <v>8</v>
      </c>
      <c r="AJ606" s="27" t="s">
        <v>7</v>
      </c>
      <c r="AK606" s="27" t="s">
        <v>8</v>
      </c>
      <c r="AP606" s="27" t="s">
        <v>7</v>
      </c>
      <c r="AQ606" s="27" t="s">
        <v>8</v>
      </c>
      <c r="AR606" s="27" t="s">
        <v>7</v>
      </c>
      <c r="AS606" s="27" t="s">
        <v>8</v>
      </c>
      <c r="AT606" s="27" t="s">
        <v>7</v>
      </c>
      <c r="AU606" s="27" t="s">
        <v>8</v>
      </c>
      <c r="BG606" s="27" t="s">
        <v>8</v>
      </c>
      <c r="BH606" s="27" t="s">
        <v>7</v>
      </c>
      <c r="BO606" s="27" t="s">
        <v>8</v>
      </c>
      <c r="BQ606" s="27" t="s">
        <v>8</v>
      </c>
      <c r="BR606" s="27" t="s">
        <v>7</v>
      </c>
      <c r="BS606" s="27" t="s">
        <v>8</v>
      </c>
      <c r="BT606" s="27" t="s">
        <v>7</v>
      </c>
      <c r="BU606" s="27" t="s">
        <v>8</v>
      </c>
      <c r="BV606" s="27" t="s">
        <v>7</v>
      </c>
      <c r="BW606" s="27" t="s">
        <v>8</v>
      </c>
      <c r="CF606" s="27" t="s">
        <v>7</v>
      </c>
      <c r="CG606" s="27" t="s">
        <v>8</v>
      </c>
      <c r="CH606" s="27" t="s">
        <v>7</v>
      </c>
      <c r="CI606" s="27" t="s">
        <v>8</v>
      </c>
      <c r="CJ606" s="27" t="s">
        <v>7</v>
      </c>
      <c r="CK606" s="27" t="s">
        <v>8</v>
      </c>
      <c r="CM606" s="27" t="s">
        <v>8</v>
      </c>
      <c r="CN606" s="27" t="s">
        <v>7</v>
      </c>
    </row>
    <row r="607" spans="1:114" x14ac:dyDescent="0.25">
      <c r="A607" s="7">
        <v>0.67297133310805768</v>
      </c>
      <c r="B607"/>
      <c r="C607"/>
      <c r="D607"/>
      <c r="E607"/>
      <c r="AH607" s="27" t="s">
        <v>7</v>
      </c>
      <c r="AI607" s="27" t="s">
        <v>8</v>
      </c>
      <c r="AJ607" s="27" t="s">
        <v>7</v>
      </c>
      <c r="AK607" s="27" t="s">
        <v>8</v>
      </c>
      <c r="AP607" s="27" t="s">
        <v>7</v>
      </c>
      <c r="AQ607" s="27" t="s">
        <v>8</v>
      </c>
      <c r="AR607" s="27" t="s">
        <v>7</v>
      </c>
      <c r="AS607" s="27" t="s">
        <v>8</v>
      </c>
      <c r="AT607" s="27" t="s">
        <v>7</v>
      </c>
      <c r="AU607" s="27" t="s">
        <v>8</v>
      </c>
      <c r="AV607" s="27" t="s">
        <v>7</v>
      </c>
      <c r="BG607" s="27" t="s">
        <v>8</v>
      </c>
      <c r="BH607" s="27" t="s">
        <v>7</v>
      </c>
      <c r="BI607" s="27" t="s">
        <v>8</v>
      </c>
      <c r="BO607" s="27" t="s">
        <v>8</v>
      </c>
      <c r="BP607" s="27" t="s">
        <v>7</v>
      </c>
      <c r="BQ607" s="27" t="s">
        <v>8</v>
      </c>
      <c r="BR607" s="27" t="s">
        <v>7</v>
      </c>
      <c r="BS607" s="27" t="s">
        <v>8</v>
      </c>
      <c r="BT607" s="27" t="s">
        <v>7</v>
      </c>
      <c r="BV607" s="27" t="s">
        <v>7</v>
      </c>
      <c r="BW607" s="27" t="s">
        <v>8</v>
      </c>
      <c r="CF607" s="27" t="s">
        <v>7</v>
      </c>
      <c r="CG607" s="27" t="s">
        <v>8</v>
      </c>
      <c r="CH607" s="27" t="s">
        <v>7</v>
      </c>
      <c r="CI607" s="27" t="s">
        <v>8</v>
      </c>
      <c r="CJ607" s="27" t="s">
        <v>7</v>
      </c>
      <c r="CK607" s="27" t="s">
        <v>8</v>
      </c>
      <c r="CL607" s="27" t="s">
        <v>7</v>
      </c>
      <c r="CM607" s="27" t="s">
        <v>8</v>
      </c>
      <c r="CN607" s="27" t="s">
        <v>7</v>
      </c>
      <c r="DA607" s="27" t="s">
        <v>8</v>
      </c>
      <c r="DI607" s="27" t="s">
        <v>8</v>
      </c>
    </row>
    <row r="608" spans="1:114" x14ac:dyDescent="0.25">
      <c r="A608" s="7">
        <v>0.65977581677260566</v>
      </c>
      <c r="B608"/>
      <c r="C608"/>
      <c r="D608"/>
      <c r="E608"/>
      <c r="AH608" s="27" t="s">
        <v>7</v>
      </c>
      <c r="AI608" s="27" t="s">
        <v>8</v>
      </c>
      <c r="AJ608" s="27" t="s">
        <v>7</v>
      </c>
      <c r="AK608" s="27" t="s">
        <v>8</v>
      </c>
      <c r="AP608" s="27" t="s">
        <v>7</v>
      </c>
      <c r="AQ608" s="27" t="s">
        <v>8</v>
      </c>
      <c r="AR608" s="27" t="s">
        <v>7</v>
      </c>
      <c r="AS608" s="27" t="s">
        <v>8</v>
      </c>
      <c r="AT608" s="27" t="s">
        <v>7</v>
      </c>
      <c r="AU608" s="27" t="s">
        <v>8</v>
      </c>
      <c r="AV608" s="27" t="s">
        <v>7</v>
      </c>
      <c r="BG608" s="27" t="s">
        <v>8</v>
      </c>
      <c r="BH608" s="27" t="s">
        <v>7</v>
      </c>
      <c r="BI608" s="27" t="s">
        <v>8</v>
      </c>
      <c r="BJ608" s="27" t="s">
        <v>7</v>
      </c>
      <c r="BO608" s="27" t="s">
        <v>8</v>
      </c>
      <c r="BP608" s="27" t="s">
        <v>7</v>
      </c>
      <c r="BQ608" s="27" t="s">
        <v>8</v>
      </c>
      <c r="BR608" s="27" t="s">
        <v>7</v>
      </c>
      <c r="BV608" s="27" t="s">
        <v>7</v>
      </c>
      <c r="CF608" s="27" t="s">
        <v>7</v>
      </c>
      <c r="CG608" s="27" t="s">
        <v>8</v>
      </c>
      <c r="CH608" s="27" t="s">
        <v>7</v>
      </c>
      <c r="CI608" s="27" t="s">
        <v>8</v>
      </c>
      <c r="CJ608" s="27" t="s">
        <v>7</v>
      </c>
      <c r="CK608" s="27" t="s">
        <v>8</v>
      </c>
      <c r="CL608" s="27" t="s">
        <v>7</v>
      </c>
      <c r="CM608" s="27" t="s">
        <v>8</v>
      </c>
      <c r="CN608" s="27" t="s">
        <v>7</v>
      </c>
      <c r="DA608" s="27" t="s">
        <v>8</v>
      </c>
      <c r="DB608" s="27" t="s">
        <v>7</v>
      </c>
      <c r="DI608" s="27" t="s">
        <v>8</v>
      </c>
      <c r="DJ608" s="27" t="s">
        <v>7</v>
      </c>
    </row>
    <row r="609" spans="1:130" x14ac:dyDescent="0.25">
      <c r="A609" s="7">
        <v>0.64683903605157422</v>
      </c>
      <c r="B609"/>
      <c r="C609"/>
      <c r="D609"/>
      <c r="E609"/>
      <c r="AH609" s="27" t="s">
        <v>7</v>
      </c>
      <c r="AI609" s="27" t="s">
        <v>8</v>
      </c>
      <c r="AJ609" s="27" t="s">
        <v>7</v>
      </c>
      <c r="AK609" s="27" t="s">
        <v>8</v>
      </c>
      <c r="AP609" s="27" t="s">
        <v>7</v>
      </c>
      <c r="AQ609" s="27" t="s">
        <v>8</v>
      </c>
      <c r="AR609" s="27" t="s">
        <v>7</v>
      </c>
      <c r="AS609" s="27" t="s">
        <v>8</v>
      </c>
      <c r="AT609" s="27" t="s">
        <v>7</v>
      </c>
      <c r="AU609" s="27" t="s">
        <v>8</v>
      </c>
      <c r="AV609" s="27" t="s">
        <v>7</v>
      </c>
      <c r="BG609" s="27" t="s">
        <v>8</v>
      </c>
      <c r="BH609" s="27" t="s">
        <v>7</v>
      </c>
      <c r="BI609" s="27" t="s">
        <v>8</v>
      </c>
      <c r="BJ609" s="27" t="s">
        <v>7</v>
      </c>
      <c r="BO609" s="27" t="s">
        <v>8</v>
      </c>
      <c r="BP609" s="27" t="s">
        <v>7</v>
      </c>
      <c r="BQ609" s="27" t="s">
        <v>8</v>
      </c>
      <c r="CF609" s="27" t="s">
        <v>7</v>
      </c>
      <c r="CG609" s="27" t="s">
        <v>8</v>
      </c>
      <c r="CH609" s="27" t="s">
        <v>7</v>
      </c>
      <c r="CI609" s="27" t="s">
        <v>8</v>
      </c>
      <c r="CJ609" s="27" t="s">
        <v>7</v>
      </c>
      <c r="CK609" s="27" t="s">
        <v>8</v>
      </c>
      <c r="CL609" s="27" t="s">
        <v>7</v>
      </c>
      <c r="CM609" s="27" t="s">
        <v>8</v>
      </c>
      <c r="CN609" s="27" t="s">
        <v>7</v>
      </c>
      <c r="CY609" s="27" t="s">
        <v>8</v>
      </c>
      <c r="DA609" s="27" t="s">
        <v>8</v>
      </c>
      <c r="DB609" s="27" t="s">
        <v>7</v>
      </c>
      <c r="DI609" s="27" t="s">
        <v>8</v>
      </c>
      <c r="DJ609" s="27" t="s">
        <v>7</v>
      </c>
    </row>
    <row r="610" spans="1:130" x14ac:dyDescent="0.25">
      <c r="A610" s="7">
        <v>0.63415591769762181</v>
      </c>
      <c r="B610"/>
      <c r="C610"/>
      <c r="D610"/>
      <c r="E610"/>
      <c r="AH610" s="27" t="s">
        <v>7</v>
      </c>
      <c r="AI610" s="27" t="s">
        <v>8</v>
      </c>
      <c r="AJ610" s="27" t="s">
        <v>7</v>
      </c>
      <c r="AK610" s="27" t="s">
        <v>8</v>
      </c>
      <c r="AP610" s="27" t="s">
        <v>7</v>
      </c>
      <c r="AQ610" s="27" t="s">
        <v>8</v>
      </c>
      <c r="AR610" s="27" t="s">
        <v>7</v>
      </c>
      <c r="AS610" s="27" t="s">
        <v>8</v>
      </c>
      <c r="AT610" s="27" t="s">
        <v>7</v>
      </c>
      <c r="AU610" s="27" t="s">
        <v>8</v>
      </c>
      <c r="AV610" s="27" t="s">
        <v>7</v>
      </c>
      <c r="BG610" s="27" t="s">
        <v>8</v>
      </c>
      <c r="BH610" s="27" t="s">
        <v>7</v>
      </c>
      <c r="BI610" s="27" t="s">
        <v>8</v>
      </c>
      <c r="BJ610" s="27" t="s">
        <v>7</v>
      </c>
      <c r="BO610" s="27" t="s">
        <v>8</v>
      </c>
      <c r="BP610" s="27" t="s">
        <v>7</v>
      </c>
      <c r="BQ610" s="27" t="s">
        <v>8</v>
      </c>
      <c r="CF610" s="27" t="s">
        <v>7</v>
      </c>
      <c r="CG610" s="27" t="s">
        <v>8</v>
      </c>
      <c r="CH610" s="27" t="s">
        <v>7</v>
      </c>
      <c r="CI610" s="27" t="s">
        <v>8</v>
      </c>
      <c r="CJ610" s="27" t="s">
        <v>7</v>
      </c>
      <c r="CK610" s="27" t="s">
        <v>8</v>
      </c>
      <c r="CL610" s="27" t="s">
        <v>7</v>
      </c>
      <c r="CM610" s="27" t="s">
        <v>8</v>
      </c>
      <c r="CN610" s="27" t="s">
        <v>7</v>
      </c>
      <c r="CY610" s="27" t="s">
        <v>8</v>
      </c>
      <c r="CZ610" s="27" t="s">
        <v>7</v>
      </c>
      <c r="DA610" s="27" t="s">
        <v>8</v>
      </c>
      <c r="DB610" s="27" t="s">
        <v>7</v>
      </c>
      <c r="DI610" s="27" t="s">
        <v>8</v>
      </c>
      <c r="DJ610" s="27" t="s">
        <v>7</v>
      </c>
      <c r="DK610" s="27" t="s">
        <v>8</v>
      </c>
    </row>
    <row r="611" spans="1:130" x14ac:dyDescent="0.25">
      <c r="A611" s="7">
        <v>0.62172148793884496</v>
      </c>
      <c r="B611"/>
      <c r="C611"/>
      <c r="D611"/>
      <c r="E611"/>
      <c r="AH611" s="27" t="s">
        <v>7</v>
      </c>
      <c r="AI611" s="27" t="s">
        <v>8</v>
      </c>
      <c r="AJ611" s="27" t="s">
        <v>7</v>
      </c>
      <c r="AK611" s="27" t="s">
        <v>8</v>
      </c>
      <c r="AP611" s="27" t="s">
        <v>7</v>
      </c>
      <c r="AR611" s="27" t="s">
        <v>7</v>
      </c>
      <c r="AT611" s="27" t="s">
        <v>7</v>
      </c>
      <c r="AV611" s="27" t="s">
        <v>7</v>
      </c>
      <c r="BG611" s="27" t="s">
        <v>8</v>
      </c>
      <c r="BH611" s="27" t="s">
        <v>7</v>
      </c>
      <c r="BI611" s="27" t="s">
        <v>8</v>
      </c>
      <c r="BJ611" s="27" t="s">
        <v>7</v>
      </c>
      <c r="BO611" s="27" t="s">
        <v>8</v>
      </c>
      <c r="BP611" s="27" t="s">
        <v>7</v>
      </c>
      <c r="BQ611" s="27" t="s">
        <v>8</v>
      </c>
      <c r="CF611" s="27" t="s">
        <v>7</v>
      </c>
      <c r="CG611" s="27" t="s">
        <v>8</v>
      </c>
      <c r="CH611" s="27" t="s">
        <v>7</v>
      </c>
      <c r="CI611" s="27" t="s">
        <v>8</v>
      </c>
      <c r="CJ611" s="27" t="s">
        <v>7</v>
      </c>
      <c r="CK611" s="27" t="s">
        <v>8</v>
      </c>
      <c r="CL611" s="27" t="s">
        <v>7</v>
      </c>
      <c r="CN611" s="27" t="s">
        <v>7</v>
      </c>
      <c r="CY611" s="27" t="s">
        <v>8</v>
      </c>
      <c r="CZ611" s="27" t="s">
        <v>7</v>
      </c>
      <c r="DA611" s="27" t="s">
        <v>8</v>
      </c>
      <c r="DB611" s="27" t="s">
        <v>7</v>
      </c>
      <c r="DI611" s="27" t="s">
        <v>8</v>
      </c>
      <c r="DJ611" s="27" t="s">
        <v>7</v>
      </c>
      <c r="DK611" s="27" t="s">
        <v>8</v>
      </c>
      <c r="DL611" s="27" t="s">
        <v>7</v>
      </c>
    </row>
    <row r="612" spans="1:130" x14ac:dyDescent="0.25">
      <c r="A612" s="7">
        <v>0.60953087052827937</v>
      </c>
      <c r="B612"/>
      <c r="C612"/>
      <c r="D612"/>
      <c r="E612"/>
      <c r="AH612" s="27" t="s">
        <v>7</v>
      </c>
      <c r="AI612" s="27" t="s">
        <v>8</v>
      </c>
      <c r="AJ612" s="27" t="s">
        <v>7</v>
      </c>
      <c r="AK612" s="27" t="s">
        <v>8</v>
      </c>
      <c r="AV612" s="27" t="s">
        <v>7</v>
      </c>
      <c r="BG612" s="27" t="s">
        <v>8</v>
      </c>
      <c r="BH612" s="27" t="s">
        <v>7</v>
      </c>
      <c r="BI612" s="27" t="s">
        <v>8</v>
      </c>
      <c r="BJ612" s="27" t="s">
        <v>7</v>
      </c>
      <c r="BK612" s="27" t="s">
        <v>8</v>
      </c>
      <c r="BO612" s="27" t="s">
        <v>8</v>
      </c>
      <c r="BP612" s="27" t="s">
        <v>7</v>
      </c>
      <c r="BQ612" s="27" t="s">
        <v>8</v>
      </c>
      <c r="CF612" s="27" t="s">
        <v>7</v>
      </c>
      <c r="CG612" s="27" t="s">
        <v>8</v>
      </c>
      <c r="CH612" s="27" t="s">
        <v>7</v>
      </c>
      <c r="CI612" s="27" t="s">
        <v>8</v>
      </c>
      <c r="CJ612" s="27" t="s">
        <v>7</v>
      </c>
      <c r="CK612" s="27" t="s">
        <v>8</v>
      </c>
      <c r="CN612" s="27" t="s">
        <v>7</v>
      </c>
      <c r="CY612" s="27" t="s">
        <v>8</v>
      </c>
      <c r="CZ612" s="27" t="s">
        <v>7</v>
      </c>
      <c r="DA612" s="27" t="s">
        <v>8</v>
      </c>
      <c r="DB612" s="27" t="s">
        <v>7</v>
      </c>
      <c r="DC612" s="27" t="s">
        <v>8</v>
      </c>
      <c r="DE612" s="27" t="s">
        <v>8</v>
      </c>
      <c r="DI612" s="27" t="s">
        <v>8</v>
      </c>
      <c r="DJ612" s="27" t="s">
        <v>7</v>
      </c>
      <c r="DK612" s="27" t="s">
        <v>8</v>
      </c>
      <c r="DL612" s="27" t="s">
        <v>7</v>
      </c>
    </row>
    <row r="613" spans="1:130" x14ac:dyDescent="0.25">
      <c r="A613" s="7">
        <v>0.59757928483164646</v>
      </c>
      <c r="B613"/>
      <c r="C613"/>
      <c r="D613"/>
      <c r="E613"/>
      <c r="AH613" s="27" t="s">
        <v>7</v>
      </c>
      <c r="AI613" s="27" t="s">
        <v>8</v>
      </c>
      <c r="AJ613" s="27" t="s">
        <v>7</v>
      </c>
      <c r="AV613" s="27" t="s">
        <v>7</v>
      </c>
      <c r="BG613" s="27" t="s">
        <v>8</v>
      </c>
      <c r="BH613" s="27" t="s">
        <v>7</v>
      </c>
      <c r="BI613" s="27" t="s">
        <v>8</v>
      </c>
      <c r="BJ613" s="27" t="s">
        <v>7</v>
      </c>
      <c r="BK613" s="27" t="s">
        <v>8</v>
      </c>
      <c r="BL613" s="27" t="s">
        <v>7</v>
      </c>
      <c r="BO613" s="27" t="s">
        <v>8</v>
      </c>
      <c r="BP613" s="27" t="s">
        <v>7</v>
      </c>
      <c r="BQ613" s="27" t="s">
        <v>8</v>
      </c>
      <c r="CF613" s="27" t="s">
        <v>7</v>
      </c>
      <c r="CG613" s="27" t="s">
        <v>8</v>
      </c>
      <c r="CH613" s="27" t="s">
        <v>7</v>
      </c>
      <c r="CJ613" s="27" t="s">
        <v>7</v>
      </c>
      <c r="CN613" s="27" t="s">
        <v>7</v>
      </c>
      <c r="CW613" s="27" t="s">
        <v>8</v>
      </c>
      <c r="CY613" s="27" t="s">
        <v>8</v>
      </c>
      <c r="CZ613" s="27" t="s">
        <v>7</v>
      </c>
      <c r="DA613" s="27" t="s">
        <v>8</v>
      </c>
      <c r="DB613" s="27" t="s">
        <v>7</v>
      </c>
      <c r="DC613" s="27" t="s">
        <v>8</v>
      </c>
      <c r="DD613" s="27" t="s">
        <v>7</v>
      </c>
      <c r="DE613" s="27" t="s">
        <v>8</v>
      </c>
      <c r="DF613" s="27" t="s">
        <v>7</v>
      </c>
      <c r="DI613" s="27" t="s">
        <v>8</v>
      </c>
      <c r="DJ613" s="27" t="s">
        <v>7</v>
      </c>
      <c r="DK613" s="27" t="s">
        <v>8</v>
      </c>
      <c r="DL613" s="27" t="s">
        <v>7</v>
      </c>
    </row>
    <row r="614" spans="1:130" x14ac:dyDescent="0.25">
      <c r="A614" s="7">
        <v>0.58586204395259456</v>
      </c>
      <c r="B614"/>
      <c r="C614"/>
      <c r="D614"/>
      <c r="E614"/>
      <c r="AH614" s="27" t="s">
        <v>7</v>
      </c>
      <c r="AI614" s="27" t="s">
        <v>8</v>
      </c>
      <c r="AV614" s="27" t="s">
        <v>7</v>
      </c>
      <c r="BG614" s="27" t="s">
        <v>8</v>
      </c>
      <c r="BH614" s="27" t="s">
        <v>7</v>
      </c>
      <c r="BI614" s="27" t="s">
        <v>8</v>
      </c>
      <c r="BJ614" s="27" t="s">
        <v>7</v>
      </c>
      <c r="BK614" s="27" t="s">
        <v>8</v>
      </c>
      <c r="BL614" s="27" t="s">
        <v>7</v>
      </c>
      <c r="BM614" s="27" t="s">
        <v>8</v>
      </c>
      <c r="BO614" s="27" t="s">
        <v>8</v>
      </c>
      <c r="BP614" s="27" t="s">
        <v>7</v>
      </c>
      <c r="BQ614" s="27" t="s">
        <v>8</v>
      </c>
      <c r="CF614" s="27" t="s">
        <v>7</v>
      </c>
      <c r="CG614" s="27" t="s">
        <v>8</v>
      </c>
      <c r="CN614" s="27" t="s">
        <v>7</v>
      </c>
      <c r="CW614" s="27" t="s">
        <v>8</v>
      </c>
      <c r="CX614" s="27" t="s">
        <v>7</v>
      </c>
      <c r="CY614" s="27" t="s">
        <v>8</v>
      </c>
      <c r="CZ614" s="27" t="s">
        <v>7</v>
      </c>
      <c r="DA614" s="27" t="s">
        <v>8</v>
      </c>
      <c r="DB614" s="27" t="s">
        <v>7</v>
      </c>
      <c r="DC614" s="27" t="s">
        <v>8</v>
      </c>
      <c r="DD614" s="27" t="s">
        <v>7</v>
      </c>
      <c r="DE614" s="27" t="s">
        <v>8</v>
      </c>
      <c r="DF614" s="27" t="s">
        <v>7</v>
      </c>
      <c r="DI614" s="27" t="s">
        <v>8</v>
      </c>
      <c r="DJ614" s="27" t="s">
        <v>7</v>
      </c>
      <c r="DK614" s="27" t="s">
        <v>8</v>
      </c>
      <c r="DL614" s="27" t="s">
        <v>7</v>
      </c>
    </row>
    <row r="615" spans="1:130" x14ac:dyDescent="0.25">
      <c r="A615" s="7">
        <v>0.57437455289470052</v>
      </c>
      <c r="B615"/>
      <c r="C615"/>
      <c r="D615"/>
      <c r="E615"/>
      <c r="AH615" s="27" t="s">
        <v>7</v>
      </c>
      <c r="AI615" s="27" t="s">
        <v>8</v>
      </c>
      <c r="AV615" s="27" t="s">
        <v>7</v>
      </c>
      <c r="BG615" s="27" t="s">
        <v>8</v>
      </c>
      <c r="BH615" s="27" t="s">
        <v>7</v>
      </c>
      <c r="BI615" s="27" t="s">
        <v>8</v>
      </c>
      <c r="BJ615" s="27" t="s">
        <v>7</v>
      </c>
      <c r="BK615" s="27" t="s">
        <v>8</v>
      </c>
      <c r="BL615" s="27" t="s">
        <v>7</v>
      </c>
      <c r="BM615" s="27" t="s">
        <v>8</v>
      </c>
      <c r="BN615" s="27" t="s">
        <v>7</v>
      </c>
      <c r="BO615" s="27" t="s">
        <v>8</v>
      </c>
      <c r="BP615" s="27" t="s">
        <v>7</v>
      </c>
      <c r="BQ615" s="27" t="s">
        <v>8</v>
      </c>
      <c r="CF615" s="27" t="s">
        <v>7</v>
      </c>
      <c r="CG615" s="27" t="s">
        <v>8</v>
      </c>
      <c r="CN615" s="27" t="s">
        <v>7</v>
      </c>
      <c r="CW615" s="27" t="s">
        <v>8</v>
      </c>
      <c r="CX615" s="27" t="s">
        <v>7</v>
      </c>
      <c r="CY615" s="27" t="s">
        <v>8</v>
      </c>
      <c r="CZ615" s="27" t="s">
        <v>7</v>
      </c>
      <c r="DA615" s="27" t="s">
        <v>8</v>
      </c>
      <c r="DB615" s="27" t="s">
        <v>7</v>
      </c>
      <c r="DD615" s="27" t="s">
        <v>7</v>
      </c>
      <c r="DE615" s="27" t="s">
        <v>8</v>
      </c>
      <c r="DF615" s="27" t="s">
        <v>7</v>
      </c>
      <c r="DI615" s="27" t="s">
        <v>8</v>
      </c>
      <c r="DJ615" s="27" t="s">
        <v>7</v>
      </c>
      <c r="DL615" s="27" t="s">
        <v>7</v>
      </c>
      <c r="DM615" s="27" t="s">
        <v>8</v>
      </c>
      <c r="DO615" s="27" t="s">
        <v>8</v>
      </c>
    </row>
    <row r="616" spans="1:130" x14ac:dyDescent="0.25">
      <c r="A616" s="7">
        <v>0.56311230675951029</v>
      </c>
      <c r="B616"/>
      <c r="C616"/>
      <c r="D616"/>
      <c r="E616"/>
      <c r="AH616" s="27" t="s">
        <v>7</v>
      </c>
      <c r="AI616" s="27" t="s">
        <v>8</v>
      </c>
      <c r="AV616" s="27" t="s">
        <v>7</v>
      </c>
      <c r="BG616" s="27" t="s">
        <v>8</v>
      </c>
      <c r="BH616" s="27" t="s">
        <v>7</v>
      </c>
      <c r="BI616" s="27" t="s">
        <v>8</v>
      </c>
      <c r="BJ616" s="27" t="s">
        <v>7</v>
      </c>
      <c r="BK616" s="27" t="s">
        <v>8</v>
      </c>
      <c r="BL616" s="27" t="s">
        <v>7</v>
      </c>
      <c r="BM616" s="27" t="s">
        <v>8</v>
      </c>
      <c r="BN616" s="27" t="s">
        <v>7</v>
      </c>
      <c r="BO616" s="27" t="s">
        <v>8</v>
      </c>
      <c r="BP616" s="27" t="s">
        <v>7</v>
      </c>
      <c r="CF616" s="27" t="s">
        <v>7</v>
      </c>
      <c r="CG616" s="27" t="s">
        <v>8</v>
      </c>
      <c r="CN616" s="27" t="s">
        <v>7</v>
      </c>
      <c r="CW616" s="27" t="s">
        <v>8</v>
      </c>
      <c r="CX616" s="27" t="s">
        <v>7</v>
      </c>
      <c r="CY616" s="27" t="s">
        <v>8</v>
      </c>
      <c r="CZ616" s="27" t="s">
        <v>7</v>
      </c>
      <c r="DA616" s="27" t="s">
        <v>8</v>
      </c>
      <c r="DD616" s="27" t="s">
        <v>7</v>
      </c>
      <c r="DF616" s="27" t="s">
        <v>7</v>
      </c>
      <c r="DI616" s="27" t="s">
        <v>8</v>
      </c>
      <c r="DL616" s="27" t="s">
        <v>7</v>
      </c>
      <c r="DM616" s="27" t="s">
        <v>8</v>
      </c>
      <c r="DN616" s="27" t="s">
        <v>7</v>
      </c>
      <c r="DO616" s="27" t="s">
        <v>8</v>
      </c>
      <c r="DP616" s="27" t="s">
        <v>7</v>
      </c>
    </row>
    <row r="617" spans="1:130" x14ac:dyDescent="0.25">
      <c r="A617" s="7">
        <v>0.55207088897991208</v>
      </c>
      <c r="B617"/>
      <c r="C617"/>
      <c r="D617"/>
      <c r="E617"/>
      <c r="AH617" s="27" t="s">
        <v>7</v>
      </c>
      <c r="AI617" s="27" t="s">
        <v>8</v>
      </c>
      <c r="AV617" s="27" t="s">
        <v>7</v>
      </c>
      <c r="BE617" s="27" t="s">
        <v>8</v>
      </c>
      <c r="BG617" s="27" t="s">
        <v>8</v>
      </c>
      <c r="BH617" s="27" t="s">
        <v>7</v>
      </c>
      <c r="BI617" s="27" t="s">
        <v>8</v>
      </c>
      <c r="BJ617" s="27" t="s">
        <v>7</v>
      </c>
      <c r="BK617" s="27" t="s">
        <v>8</v>
      </c>
      <c r="BL617" s="27" t="s">
        <v>7</v>
      </c>
      <c r="BM617" s="27" t="s">
        <v>8</v>
      </c>
      <c r="BN617" s="27" t="s">
        <v>7</v>
      </c>
      <c r="BO617" s="27" t="s">
        <v>8</v>
      </c>
      <c r="CF617" s="27" t="s">
        <v>7</v>
      </c>
      <c r="CG617" s="27" t="s">
        <v>8</v>
      </c>
      <c r="CN617" s="27" t="s">
        <v>7</v>
      </c>
      <c r="CO617" s="27" t="s">
        <v>8</v>
      </c>
      <c r="CW617" s="27" t="s">
        <v>8</v>
      </c>
      <c r="CX617" s="27" t="s">
        <v>7</v>
      </c>
      <c r="CY617" s="27" t="s">
        <v>8</v>
      </c>
      <c r="CZ617" s="27" t="s">
        <v>7</v>
      </c>
      <c r="DA617" s="27" t="s">
        <v>8</v>
      </c>
      <c r="DF617" s="27" t="s">
        <v>7</v>
      </c>
      <c r="DI617" s="27" t="s">
        <v>8</v>
      </c>
      <c r="DL617" s="27" t="s">
        <v>7</v>
      </c>
      <c r="DM617" s="27" t="s">
        <v>8</v>
      </c>
      <c r="DN617" s="27" t="s">
        <v>7</v>
      </c>
      <c r="DO617" s="27" t="s">
        <v>8</v>
      </c>
      <c r="DP617" s="27" t="s">
        <v>7</v>
      </c>
    </row>
    <row r="618" spans="1:130" x14ac:dyDescent="0.25">
      <c r="A618" s="7">
        <v>0.54124596958814908</v>
      </c>
      <c r="B618"/>
      <c r="C618"/>
      <c r="D618"/>
      <c r="E618"/>
      <c r="AH618" s="27" t="s">
        <v>7</v>
      </c>
      <c r="AI618" s="27" t="s">
        <v>8</v>
      </c>
      <c r="AV618" s="27" t="s">
        <v>7</v>
      </c>
      <c r="BE618" s="27" t="s">
        <v>8</v>
      </c>
      <c r="BF618" s="27" t="s">
        <v>7</v>
      </c>
      <c r="BG618" s="27" t="s">
        <v>8</v>
      </c>
      <c r="BH618" s="27" t="s">
        <v>7</v>
      </c>
      <c r="BI618" s="27" t="s">
        <v>8</v>
      </c>
      <c r="BJ618" s="27" t="s">
        <v>7</v>
      </c>
      <c r="BK618" s="27" t="s">
        <v>8</v>
      </c>
      <c r="BL618" s="27" t="s">
        <v>7</v>
      </c>
      <c r="BM618" s="27" t="s">
        <v>8</v>
      </c>
      <c r="BN618" s="27" t="s">
        <v>7</v>
      </c>
      <c r="BO618" s="27" t="s">
        <v>8</v>
      </c>
      <c r="CF618" s="27" t="s">
        <v>7</v>
      </c>
      <c r="CN618" s="27" t="s">
        <v>7</v>
      </c>
      <c r="CO618" s="27" t="s">
        <v>8</v>
      </c>
      <c r="CP618" s="27" t="s">
        <v>7</v>
      </c>
      <c r="CW618" s="27" t="s">
        <v>8</v>
      </c>
      <c r="CX618" s="27" t="s">
        <v>7</v>
      </c>
      <c r="CY618" s="27" t="s">
        <v>8</v>
      </c>
      <c r="CZ618" s="27" t="s">
        <v>7</v>
      </c>
      <c r="DA618" s="27" t="s">
        <v>8</v>
      </c>
      <c r="DF618" s="27" t="s">
        <v>7</v>
      </c>
      <c r="DG618" s="27" t="s">
        <v>8</v>
      </c>
      <c r="DI618" s="27" t="s">
        <v>8</v>
      </c>
      <c r="DL618" s="27" t="s">
        <v>7</v>
      </c>
      <c r="DM618" s="27" t="s">
        <v>8</v>
      </c>
      <c r="DN618" s="27" t="s">
        <v>7</v>
      </c>
      <c r="DO618" s="27" t="s">
        <v>8</v>
      </c>
      <c r="DP618" s="27" t="s">
        <v>7</v>
      </c>
    </row>
    <row r="619" spans="1:130" x14ac:dyDescent="0.25">
      <c r="A619" s="7">
        <v>0.53063330351779314</v>
      </c>
      <c r="B619"/>
      <c r="C619"/>
      <c r="D619"/>
      <c r="E619"/>
      <c r="AH619" s="27" t="s">
        <v>7</v>
      </c>
      <c r="AI619" s="27" t="s">
        <v>8</v>
      </c>
      <c r="AV619" s="27" t="s">
        <v>7</v>
      </c>
      <c r="BE619" s="27" t="s">
        <v>8</v>
      </c>
      <c r="BF619" s="27" t="s">
        <v>7</v>
      </c>
      <c r="BG619" s="27" t="s">
        <v>8</v>
      </c>
      <c r="BH619" s="27" t="s">
        <v>7</v>
      </c>
      <c r="BI619" s="27" t="s">
        <v>8</v>
      </c>
      <c r="BJ619" s="27" t="s">
        <v>7</v>
      </c>
      <c r="BK619" s="27" t="s">
        <v>8</v>
      </c>
      <c r="BL619" s="27" t="s">
        <v>7</v>
      </c>
      <c r="BM619" s="27" t="s">
        <v>8</v>
      </c>
      <c r="BN619" s="27" t="s">
        <v>7</v>
      </c>
      <c r="BO619" s="27" t="s">
        <v>8</v>
      </c>
      <c r="CN619" s="27" t="s">
        <v>7</v>
      </c>
      <c r="CO619" s="27" t="s">
        <v>8</v>
      </c>
      <c r="CP619" s="27" t="s">
        <v>7</v>
      </c>
      <c r="CW619" s="27" t="s">
        <v>8</v>
      </c>
      <c r="CX619" s="27" t="s">
        <v>7</v>
      </c>
      <c r="CY619" s="27" t="s">
        <v>8</v>
      </c>
      <c r="CZ619" s="27" t="s">
        <v>7</v>
      </c>
      <c r="DA619" s="27" t="s">
        <v>8</v>
      </c>
      <c r="DF619" s="27" t="s">
        <v>7</v>
      </c>
      <c r="DG619" s="27" t="s">
        <v>8</v>
      </c>
      <c r="DH619" s="27" t="s">
        <v>7</v>
      </c>
      <c r="DI619" s="27" t="s">
        <v>8</v>
      </c>
      <c r="DL619" s="27" t="s">
        <v>7</v>
      </c>
      <c r="DN619" s="27" t="s">
        <v>7</v>
      </c>
      <c r="DO619" s="27" t="s">
        <v>8</v>
      </c>
      <c r="DP619" s="27" t="s">
        <v>7</v>
      </c>
      <c r="DQ619" s="27" t="s">
        <v>8</v>
      </c>
    </row>
    <row r="620" spans="1:130" x14ac:dyDescent="0.25">
      <c r="A620" s="7">
        <v>0.52022872893901284</v>
      </c>
      <c r="B620"/>
      <c r="C620"/>
      <c r="D620"/>
      <c r="E620"/>
      <c r="AH620" s="27" t="s">
        <v>7</v>
      </c>
      <c r="AV620" s="27" t="s">
        <v>7</v>
      </c>
      <c r="BE620" s="27" t="s">
        <v>8</v>
      </c>
      <c r="BF620" s="27" t="s">
        <v>7</v>
      </c>
      <c r="BG620" s="27" t="s">
        <v>8</v>
      </c>
      <c r="BH620" s="27" t="s">
        <v>7</v>
      </c>
      <c r="BI620" s="27" t="s">
        <v>8</v>
      </c>
      <c r="BJ620" s="27" t="s">
        <v>7</v>
      </c>
      <c r="BK620" s="27" t="s">
        <v>8</v>
      </c>
      <c r="BL620" s="27" t="s">
        <v>7</v>
      </c>
      <c r="BM620" s="27" t="s">
        <v>8</v>
      </c>
      <c r="BN620" s="27" t="s">
        <v>7</v>
      </c>
      <c r="CN620" s="27" t="s">
        <v>7</v>
      </c>
      <c r="CO620" s="27" t="s">
        <v>8</v>
      </c>
      <c r="CP620" s="27" t="s">
        <v>7</v>
      </c>
      <c r="CW620" s="27" t="s">
        <v>8</v>
      </c>
      <c r="CX620" s="27" t="s">
        <v>7</v>
      </c>
      <c r="CZ620" s="27" t="s">
        <v>7</v>
      </c>
      <c r="DA620" s="27" t="s">
        <v>8</v>
      </c>
      <c r="DF620" s="27" t="s">
        <v>7</v>
      </c>
      <c r="DG620" s="27" t="s">
        <v>8</v>
      </c>
      <c r="DH620" s="27" t="s">
        <v>7</v>
      </c>
      <c r="DI620" s="27" t="s">
        <v>8</v>
      </c>
      <c r="DN620" s="27" t="s">
        <v>7</v>
      </c>
      <c r="DP620" s="27" t="s">
        <v>7</v>
      </c>
      <c r="DQ620" s="27" t="s">
        <v>8</v>
      </c>
      <c r="DR620" s="27" t="s">
        <v>7</v>
      </c>
    </row>
    <row r="621" spans="1:130" x14ac:dyDescent="0.25">
      <c r="A621" s="7">
        <v>0.51002816562648323</v>
      </c>
      <c r="B621"/>
      <c r="C621"/>
      <c r="D621"/>
      <c r="E621"/>
      <c r="AV621" s="27" t="s">
        <v>7</v>
      </c>
      <c r="BE621" s="27" t="s">
        <v>8</v>
      </c>
      <c r="BF621" s="27" t="s">
        <v>7</v>
      </c>
      <c r="BG621" s="27" t="s">
        <v>8</v>
      </c>
      <c r="BH621" s="27" t="s">
        <v>7</v>
      </c>
      <c r="BI621" s="27" t="s">
        <v>8</v>
      </c>
      <c r="BJ621" s="27" t="s">
        <v>7</v>
      </c>
      <c r="BK621" s="27" t="s">
        <v>8</v>
      </c>
      <c r="BL621" s="27" t="s">
        <v>7</v>
      </c>
      <c r="CN621" s="27" t="s">
        <v>7</v>
      </c>
      <c r="CO621" s="27" t="s">
        <v>8</v>
      </c>
      <c r="CP621" s="27" t="s">
        <v>7</v>
      </c>
      <c r="CS621" s="27" t="s">
        <v>8</v>
      </c>
      <c r="CW621" s="27" t="s">
        <v>8</v>
      </c>
      <c r="CZ621" s="27" t="s">
        <v>7</v>
      </c>
      <c r="DA621" s="27" t="s">
        <v>8</v>
      </c>
      <c r="DF621" s="27" t="s">
        <v>7</v>
      </c>
      <c r="DG621" s="27" t="s">
        <v>8</v>
      </c>
      <c r="DH621" s="27" t="s">
        <v>7</v>
      </c>
      <c r="DI621" s="27" t="s">
        <v>8</v>
      </c>
      <c r="DP621" s="27" t="s">
        <v>7</v>
      </c>
      <c r="DQ621" s="27" t="s">
        <v>8</v>
      </c>
      <c r="DR621" s="27" t="s">
        <v>7</v>
      </c>
      <c r="DS621" s="27" t="s">
        <v>8</v>
      </c>
    </row>
    <row r="622" spans="1:130" x14ac:dyDescent="0.25">
      <c r="A622" s="7">
        <v>0.50002761335929735</v>
      </c>
      <c r="B622"/>
      <c r="C622"/>
      <c r="D622"/>
      <c r="E622"/>
      <c r="AV622" s="27" t="s">
        <v>7</v>
      </c>
      <c r="BE622" s="27" t="s">
        <v>8</v>
      </c>
      <c r="BF622" s="27" t="s">
        <v>7</v>
      </c>
      <c r="BG622" s="27" t="s">
        <v>8</v>
      </c>
      <c r="BH622" s="27" t="s">
        <v>7</v>
      </c>
      <c r="BI622" s="27" t="s">
        <v>8</v>
      </c>
      <c r="BJ622" s="27" t="s">
        <v>7</v>
      </c>
      <c r="BK622" s="27" t="s">
        <v>8</v>
      </c>
      <c r="CN622" s="27" t="s">
        <v>7</v>
      </c>
      <c r="CO622" s="27" t="s">
        <v>8</v>
      </c>
      <c r="CP622" s="27" t="s">
        <v>7</v>
      </c>
      <c r="CS622" s="27" t="s">
        <v>8</v>
      </c>
      <c r="CT622" s="27" t="s">
        <v>7</v>
      </c>
      <c r="CW622" s="27" t="s">
        <v>8</v>
      </c>
      <c r="CZ622" s="27" t="s">
        <v>7</v>
      </c>
      <c r="DA622" s="27" t="s">
        <v>8</v>
      </c>
      <c r="DF622" s="27" t="s">
        <v>7</v>
      </c>
      <c r="DG622" s="27" t="s">
        <v>8</v>
      </c>
      <c r="DH622" s="27" t="s">
        <v>7</v>
      </c>
      <c r="DI622" s="27" t="s">
        <v>8</v>
      </c>
      <c r="DP622" s="27" t="s">
        <v>7</v>
      </c>
      <c r="DQ622" s="27" t="s">
        <v>8</v>
      </c>
      <c r="DR622" s="27" t="s">
        <v>7</v>
      </c>
      <c r="DS622" s="27" t="s">
        <v>8</v>
      </c>
      <c r="DT622" s="27" t="s">
        <v>7</v>
      </c>
    </row>
    <row r="623" spans="1:130" x14ac:dyDescent="0.25">
      <c r="A623" s="7">
        <v>0.49022315035225228</v>
      </c>
      <c r="B623"/>
      <c r="C623"/>
      <c r="D623"/>
      <c r="E623"/>
      <c r="AV623" s="27" t="s">
        <v>7</v>
      </c>
      <c r="BE623" s="27" t="s">
        <v>8</v>
      </c>
      <c r="BF623" s="27" t="s">
        <v>7</v>
      </c>
      <c r="BG623" s="27" t="s">
        <v>8</v>
      </c>
      <c r="BH623" s="27" t="s">
        <v>7</v>
      </c>
      <c r="BI623" s="27" t="s">
        <v>8</v>
      </c>
      <c r="BJ623" s="27" t="s">
        <v>7</v>
      </c>
      <c r="CN623" s="27" t="s">
        <v>7</v>
      </c>
      <c r="CO623" s="27" t="s">
        <v>8</v>
      </c>
      <c r="CP623" s="27" t="s">
        <v>7</v>
      </c>
      <c r="CQ623" s="27" t="s">
        <v>8</v>
      </c>
      <c r="CS623" s="27" t="s">
        <v>8</v>
      </c>
      <c r="CT623" s="27" t="s">
        <v>7</v>
      </c>
      <c r="CU623" s="27" t="s">
        <v>8</v>
      </c>
      <c r="CW623" s="27" t="s">
        <v>8</v>
      </c>
      <c r="CZ623" s="27" t="s">
        <v>7</v>
      </c>
      <c r="DA623" s="27" t="s">
        <v>8</v>
      </c>
      <c r="DF623" s="27" t="s">
        <v>7</v>
      </c>
      <c r="DG623" s="27" t="s">
        <v>8</v>
      </c>
      <c r="DH623" s="27" t="s">
        <v>7</v>
      </c>
      <c r="DP623" s="27" t="s">
        <v>7</v>
      </c>
      <c r="DQ623" s="27" t="s">
        <v>8</v>
      </c>
      <c r="DR623" s="27" t="s">
        <v>7</v>
      </c>
      <c r="DS623" s="27" t="s">
        <v>8</v>
      </c>
      <c r="DT623" s="27" t="s">
        <v>7</v>
      </c>
      <c r="DY623" s="27" t="s">
        <v>8</v>
      </c>
    </row>
    <row r="624" spans="1:130" x14ac:dyDescent="0.25">
      <c r="A624" s="7">
        <v>0.48061093171789437</v>
      </c>
      <c r="B624"/>
      <c r="C624"/>
      <c r="D624"/>
      <c r="E624"/>
      <c r="AV624" s="27" t="s">
        <v>7</v>
      </c>
      <c r="BE624" s="27" t="s">
        <v>8</v>
      </c>
      <c r="BF624" s="27" t="s">
        <v>7</v>
      </c>
      <c r="BG624" s="27" t="s">
        <v>8</v>
      </c>
      <c r="BH624" s="27" t="s">
        <v>7</v>
      </c>
      <c r="BI624" s="27" t="s">
        <v>8</v>
      </c>
      <c r="CN624" s="27" t="s">
        <v>7</v>
      </c>
      <c r="CO624" s="27" t="s">
        <v>8</v>
      </c>
      <c r="CP624" s="27" t="s">
        <v>7</v>
      </c>
      <c r="CQ624" s="27" t="s">
        <v>8</v>
      </c>
      <c r="CR624" s="27" t="s">
        <v>7</v>
      </c>
      <c r="CS624" s="27" t="s">
        <v>8</v>
      </c>
      <c r="CT624" s="27" t="s">
        <v>7</v>
      </c>
      <c r="CU624" s="27" t="s">
        <v>8</v>
      </c>
      <c r="CV624" s="27" t="s">
        <v>7</v>
      </c>
      <c r="CW624" s="27" t="s">
        <v>8</v>
      </c>
      <c r="CZ624" s="27" t="s">
        <v>7</v>
      </c>
      <c r="DA624" s="27" t="s">
        <v>8</v>
      </c>
      <c r="DF624" s="27" t="s">
        <v>7</v>
      </c>
      <c r="DG624" s="27" t="s">
        <v>8</v>
      </c>
      <c r="DP624" s="27" t="s">
        <v>7</v>
      </c>
      <c r="DQ624" s="27" t="s">
        <v>8</v>
      </c>
      <c r="DR624" s="27" t="s">
        <v>7</v>
      </c>
      <c r="DS624" s="27" t="s">
        <v>8</v>
      </c>
      <c r="DT624" s="27" t="s">
        <v>7</v>
      </c>
      <c r="DY624" s="27" t="s">
        <v>8</v>
      </c>
      <c r="DZ624" s="27" t="s">
        <v>7</v>
      </c>
    </row>
    <row r="625" spans="1:144" x14ac:dyDescent="0.25">
      <c r="A625" s="7">
        <v>0.47118718795871994</v>
      </c>
      <c r="B625"/>
      <c r="C625"/>
      <c r="D625"/>
      <c r="E625"/>
      <c r="AV625" s="27" t="s">
        <v>7</v>
      </c>
      <c r="BE625" s="27" t="s">
        <v>8</v>
      </c>
      <c r="BF625" s="27" t="s">
        <v>7</v>
      </c>
      <c r="BG625" s="27" t="s">
        <v>8</v>
      </c>
      <c r="BH625" s="27" t="s">
        <v>7</v>
      </c>
      <c r="BI625" s="27" t="s">
        <v>8</v>
      </c>
      <c r="CN625" s="27" t="s">
        <v>7</v>
      </c>
      <c r="CP625" s="27" t="s">
        <v>7</v>
      </c>
      <c r="CQ625" s="27" t="s">
        <v>8</v>
      </c>
      <c r="CR625" s="27" t="s">
        <v>7</v>
      </c>
      <c r="CS625" s="27" t="s">
        <v>8</v>
      </c>
      <c r="CT625" s="27" t="s">
        <v>7</v>
      </c>
      <c r="CU625" s="27" t="s">
        <v>8</v>
      </c>
      <c r="CV625" s="27" t="s">
        <v>7</v>
      </c>
      <c r="CW625" s="27" t="s">
        <v>8</v>
      </c>
      <c r="CZ625" s="27" t="s">
        <v>7</v>
      </c>
      <c r="DF625" s="27" t="s">
        <v>7</v>
      </c>
      <c r="DP625" s="27" t="s">
        <v>7</v>
      </c>
      <c r="DQ625" s="27" t="s">
        <v>8</v>
      </c>
      <c r="DR625" s="27" t="s">
        <v>7</v>
      </c>
      <c r="DT625" s="27" t="s">
        <v>7</v>
      </c>
      <c r="DU625" s="27" t="s">
        <v>8</v>
      </c>
      <c r="DW625" s="27" t="s">
        <v>8</v>
      </c>
      <c r="DY625" s="27" t="s">
        <v>8</v>
      </c>
      <c r="DZ625" s="27" t="s">
        <v>7</v>
      </c>
    </row>
    <row r="626" spans="1:144" x14ac:dyDescent="0.25">
      <c r="A626" s="7">
        <v>0.46194822348894116</v>
      </c>
      <c r="B626"/>
      <c r="C626"/>
      <c r="D626"/>
      <c r="E626"/>
      <c r="AV626" s="27" t="s">
        <v>7</v>
      </c>
      <c r="BE626" s="27" t="s">
        <v>8</v>
      </c>
      <c r="BF626" s="27" t="s">
        <v>7</v>
      </c>
      <c r="BG626" s="27" t="s">
        <v>8</v>
      </c>
      <c r="BH626" s="27" t="s">
        <v>7</v>
      </c>
      <c r="BI626" s="27" t="s">
        <v>8</v>
      </c>
      <c r="CP626" s="27" t="s">
        <v>7</v>
      </c>
      <c r="CQ626" s="27" t="s">
        <v>8</v>
      </c>
      <c r="CR626" s="27" t="s">
        <v>7</v>
      </c>
      <c r="CS626" s="27" t="s">
        <v>8</v>
      </c>
      <c r="CT626" s="27" t="s">
        <v>7</v>
      </c>
      <c r="CU626" s="27" t="s">
        <v>8</v>
      </c>
      <c r="CV626" s="27" t="s">
        <v>7</v>
      </c>
      <c r="DP626" s="27" t="s">
        <v>7</v>
      </c>
      <c r="DQ626" s="27" t="s">
        <v>8</v>
      </c>
      <c r="DT626" s="27" t="s">
        <v>7</v>
      </c>
      <c r="DU626" s="27" t="s">
        <v>8</v>
      </c>
      <c r="DV626" s="27" t="s">
        <v>7</v>
      </c>
      <c r="DW626" s="27" t="s">
        <v>8</v>
      </c>
      <c r="DX626" s="27" t="s">
        <v>7</v>
      </c>
      <c r="DY626" s="27" t="s">
        <v>8</v>
      </c>
      <c r="DZ626" s="27" t="s">
        <v>7</v>
      </c>
    </row>
    <row r="627" spans="1:144" x14ac:dyDescent="0.25">
      <c r="A627" s="7">
        <v>0.45289041518523643</v>
      </c>
      <c r="B627"/>
      <c r="C627"/>
      <c r="D627"/>
      <c r="E627"/>
      <c r="AV627" s="27" t="s">
        <v>7</v>
      </c>
      <c r="BA627" s="27" t="s">
        <v>8</v>
      </c>
      <c r="BE627" s="27" t="s">
        <v>8</v>
      </c>
      <c r="BF627" s="27" t="s">
        <v>7</v>
      </c>
      <c r="BG627" s="27" t="s">
        <v>8</v>
      </c>
      <c r="BH627" s="27" t="s">
        <v>7</v>
      </c>
      <c r="BI627" s="27" t="s">
        <v>8</v>
      </c>
      <c r="CP627" s="27" t="s">
        <v>7</v>
      </c>
      <c r="CR627" s="27" t="s">
        <v>7</v>
      </c>
      <c r="CS627" s="27" t="s">
        <v>8</v>
      </c>
      <c r="CT627" s="27" t="s">
        <v>7</v>
      </c>
      <c r="DP627" s="27" t="s">
        <v>7</v>
      </c>
      <c r="DQ627" s="27" t="s">
        <v>8</v>
      </c>
      <c r="DT627" s="27" t="s">
        <v>7</v>
      </c>
      <c r="DU627" s="27" t="s">
        <v>8</v>
      </c>
      <c r="DV627" s="27" t="s">
        <v>7</v>
      </c>
      <c r="DW627" s="27" t="s">
        <v>8</v>
      </c>
      <c r="DX627" s="27" t="s">
        <v>7</v>
      </c>
      <c r="DY627" s="27" t="s">
        <v>8</v>
      </c>
      <c r="DZ627" s="27" t="s">
        <v>7</v>
      </c>
    </row>
    <row r="628" spans="1:144" x14ac:dyDescent="0.25">
      <c r="A628" s="7">
        <v>0.44401021096591808</v>
      </c>
      <c r="B628"/>
      <c r="C628"/>
      <c r="D628"/>
      <c r="E628"/>
      <c r="AV628" s="27" t="s">
        <v>7</v>
      </c>
      <c r="AW628" s="27" t="s">
        <v>8</v>
      </c>
      <c r="BA628" s="27" t="s">
        <v>8</v>
      </c>
      <c r="BB628" s="27" t="s">
        <v>7</v>
      </c>
      <c r="BC628" s="27" t="s">
        <v>8</v>
      </c>
      <c r="BE628" s="27" t="s">
        <v>8</v>
      </c>
      <c r="BF628" s="27" t="s">
        <v>7</v>
      </c>
      <c r="BG628" s="27" t="s">
        <v>8</v>
      </c>
      <c r="BH628" s="27" t="s">
        <v>7</v>
      </c>
      <c r="BI628" s="27" t="s">
        <v>8</v>
      </c>
      <c r="CR628" s="27" t="s">
        <v>7</v>
      </c>
      <c r="CS628" s="27" t="s">
        <v>8</v>
      </c>
      <c r="DP628" s="27" t="s">
        <v>7</v>
      </c>
      <c r="DQ628" s="27" t="s">
        <v>8</v>
      </c>
      <c r="DT628" s="27" t="s">
        <v>7</v>
      </c>
      <c r="DU628" s="27" t="s">
        <v>8</v>
      </c>
      <c r="DV628" s="27" t="s">
        <v>7</v>
      </c>
      <c r="DW628" s="27" t="s">
        <v>8</v>
      </c>
      <c r="DX628" s="27" t="s">
        <v>7</v>
      </c>
      <c r="DY628" s="27" t="s">
        <v>8</v>
      </c>
      <c r="DZ628" s="27" t="s">
        <v>7</v>
      </c>
    </row>
    <row r="629" spans="1:144" x14ac:dyDescent="0.25">
      <c r="A629" s="7">
        <v>0.4353041283979589</v>
      </c>
      <c r="B629"/>
      <c r="C629"/>
      <c r="D629"/>
      <c r="E629"/>
      <c r="AV629" s="27" t="s">
        <v>7</v>
      </c>
      <c r="AW629" s="27" t="s">
        <v>8</v>
      </c>
      <c r="AX629" s="27" t="s">
        <v>7</v>
      </c>
      <c r="AY629" s="27" t="s">
        <v>8</v>
      </c>
      <c r="BA629" s="27" t="s">
        <v>8</v>
      </c>
      <c r="BB629" s="27" t="s">
        <v>7</v>
      </c>
      <c r="BC629" s="27" t="s">
        <v>8</v>
      </c>
      <c r="BD629" s="27" t="s">
        <v>7</v>
      </c>
      <c r="BE629" s="27" t="s">
        <v>8</v>
      </c>
      <c r="BF629" s="27" t="s">
        <v>7</v>
      </c>
      <c r="BG629" s="27" t="s">
        <v>8</v>
      </c>
      <c r="BH629" s="27" t="s">
        <v>7</v>
      </c>
      <c r="BI629" s="27" t="s">
        <v>8</v>
      </c>
      <c r="CR629" s="27" t="s">
        <v>7</v>
      </c>
      <c r="CS629" s="27" t="s">
        <v>8</v>
      </c>
      <c r="DP629" s="27" t="s">
        <v>7</v>
      </c>
      <c r="DT629" s="27" t="s">
        <v>7</v>
      </c>
      <c r="DU629" s="27" t="s">
        <v>8</v>
      </c>
      <c r="DV629" s="27" t="s">
        <v>7</v>
      </c>
      <c r="DW629" s="27" t="s">
        <v>8</v>
      </c>
      <c r="DX629" s="27" t="s">
        <v>7</v>
      </c>
      <c r="DY629" s="27" t="s">
        <v>8</v>
      </c>
      <c r="DZ629" s="27" t="s">
        <v>7</v>
      </c>
    </row>
    <row r="630" spans="1:144" x14ac:dyDescent="0.25">
      <c r="A630" s="7">
        <v>0.4267687533313323</v>
      </c>
      <c r="B630"/>
      <c r="C630"/>
      <c r="D630"/>
      <c r="E630"/>
      <c r="AV630" s="27" t="s">
        <v>7</v>
      </c>
      <c r="AW630" s="27" t="s">
        <v>8</v>
      </c>
      <c r="AX630" s="27" t="s">
        <v>7</v>
      </c>
      <c r="AY630" s="27" t="s">
        <v>8</v>
      </c>
      <c r="AZ630" s="27" t="s">
        <v>7</v>
      </c>
      <c r="BA630" s="27" t="s">
        <v>8</v>
      </c>
      <c r="BB630" s="27" t="s">
        <v>7</v>
      </c>
      <c r="BC630" s="27" t="s">
        <v>8</v>
      </c>
      <c r="BD630" s="27" t="s">
        <v>7</v>
      </c>
      <c r="BE630" s="27" t="s">
        <v>8</v>
      </c>
      <c r="BF630" s="27" t="s">
        <v>7</v>
      </c>
      <c r="BG630" s="27" t="s">
        <v>8</v>
      </c>
      <c r="BH630" s="27" t="s">
        <v>7</v>
      </c>
      <c r="BI630" s="27" t="s">
        <v>8</v>
      </c>
      <c r="CR630" s="27" t="s">
        <v>7</v>
      </c>
      <c r="CS630" s="27" t="s">
        <v>8</v>
      </c>
      <c r="DT630" s="27" t="s">
        <v>7</v>
      </c>
      <c r="DV630" s="27" t="s">
        <v>7</v>
      </c>
      <c r="DX630" s="27" t="s">
        <v>7</v>
      </c>
      <c r="DZ630" s="27" t="s">
        <v>7</v>
      </c>
    </row>
    <row r="631" spans="1:144" x14ac:dyDescent="0.25">
      <c r="A631" s="7">
        <v>0.41840073856012971</v>
      </c>
      <c r="B631"/>
      <c r="C631"/>
      <c r="D631"/>
      <c r="E631"/>
      <c r="AV631" s="27" t="s">
        <v>7</v>
      </c>
      <c r="AW631" s="27" t="s">
        <v>8</v>
      </c>
      <c r="AX631" s="27" t="s">
        <v>7</v>
      </c>
      <c r="AY631" s="27" t="s">
        <v>8</v>
      </c>
      <c r="AZ631" s="27" t="s">
        <v>7</v>
      </c>
      <c r="BA631" s="27" t="s">
        <v>8</v>
      </c>
      <c r="BB631" s="27" t="s">
        <v>7</v>
      </c>
      <c r="BC631" s="27" t="s">
        <v>8</v>
      </c>
      <c r="BD631" s="27" t="s">
        <v>7</v>
      </c>
      <c r="BE631" s="27" t="s">
        <v>8</v>
      </c>
      <c r="BF631" s="27" t="s">
        <v>7</v>
      </c>
      <c r="BG631" s="27" t="s">
        <v>8</v>
      </c>
      <c r="BH631" s="27" t="s">
        <v>7</v>
      </c>
      <c r="BI631" s="27" t="s">
        <v>8</v>
      </c>
      <c r="CR631" s="27" t="s">
        <v>7</v>
      </c>
      <c r="DZ631" s="27" t="s">
        <v>7</v>
      </c>
    </row>
    <row r="632" spans="1:144" x14ac:dyDescent="0.25">
      <c r="A632" s="7">
        <v>0.41019680250993112</v>
      </c>
      <c r="B632"/>
      <c r="C632"/>
      <c r="D632"/>
      <c r="E632"/>
      <c r="AV632" s="27" t="s">
        <v>7</v>
      </c>
      <c r="AW632" s="27" t="s">
        <v>8</v>
      </c>
      <c r="AX632" s="27" t="s">
        <v>7</v>
      </c>
      <c r="AY632" s="27" t="s">
        <v>8</v>
      </c>
      <c r="AZ632" s="27" t="s">
        <v>7</v>
      </c>
      <c r="BA632" s="27" t="s">
        <v>8</v>
      </c>
      <c r="BB632" s="27" t="s">
        <v>7</v>
      </c>
      <c r="BC632" s="27" t="s">
        <v>8</v>
      </c>
      <c r="BD632" s="27" t="s">
        <v>7</v>
      </c>
      <c r="BE632" s="27" t="s">
        <v>8</v>
      </c>
      <c r="BF632" s="27" t="s">
        <v>7</v>
      </c>
      <c r="BG632" s="27" t="s">
        <v>8</v>
      </c>
      <c r="BH632" s="27" t="s">
        <v>7</v>
      </c>
      <c r="BI632" s="27" t="s">
        <v>8</v>
      </c>
      <c r="DZ632" s="27" t="s">
        <v>7</v>
      </c>
    </row>
    <row r="633" spans="1:144" x14ac:dyDescent="0.25">
      <c r="A633" s="7">
        <v>0.40215372795091286</v>
      </c>
      <c r="B633"/>
      <c r="C633"/>
      <c r="D633"/>
      <c r="E633"/>
      <c r="AV633" s="27" t="s">
        <v>7</v>
      </c>
      <c r="AW633" s="27" t="s">
        <v>8</v>
      </c>
      <c r="AX633" s="27" t="s">
        <v>7</v>
      </c>
      <c r="AY633" s="27" t="s">
        <v>8</v>
      </c>
      <c r="AZ633" s="27" t="s">
        <v>7</v>
      </c>
      <c r="BA633" s="27" t="s">
        <v>8</v>
      </c>
      <c r="BB633" s="27" t="s">
        <v>7</v>
      </c>
      <c r="BC633" s="27" t="s">
        <v>8</v>
      </c>
      <c r="BD633" s="27" t="s">
        <v>7</v>
      </c>
      <c r="BE633" s="27" t="s">
        <v>8</v>
      </c>
      <c r="BF633" s="27" t="s">
        <v>7</v>
      </c>
      <c r="BH633" s="27" t="s">
        <v>7</v>
      </c>
      <c r="BI633" s="27" t="s">
        <v>8</v>
      </c>
      <c r="DZ633" s="27" t="s">
        <v>7</v>
      </c>
    </row>
    <row r="634" spans="1:144" x14ac:dyDescent="0.25">
      <c r="A634" s="7">
        <v>0.39426836073618904</v>
      </c>
      <c r="B634"/>
      <c r="C634"/>
      <c r="D634"/>
      <c r="E634"/>
      <c r="AV634" s="27" t="s">
        <v>7</v>
      </c>
      <c r="AW634" s="27" t="s">
        <v>8</v>
      </c>
      <c r="AX634" s="27" t="s">
        <v>7</v>
      </c>
      <c r="AY634" s="27" t="s">
        <v>8</v>
      </c>
      <c r="AZ634" s="27" t="s">
        <v>7</v>
      </c>
      <c r="BB634" s="27" t="s">
        <v>7</v>
      </c>
      <c r="BC634" s="27" t="s">
        <v>8</v>
      </c>
      <c r="BD634" s="27" t="s">
        <v>7</v>
      </c>
      <c r="BH634" s="18" t="s">
        <v>7</v>
      </c>
      <c r="BI634" s="27" t="s">
        <v>8</v>
      </c>
      <c r="DZ634" s="27" t="s">
        <v>7</v>
      </c>
    </row>
    <row r="635" spans="1:144" x14ac:dyDescent="0.25">
      <c r="A635" s="7">
        <v>0.38653760856489122</v>
      </c>
      <c r="B635"/>
      <c r="C635"/>
      <c r="D635"/>
      <c r="E635"/>
      <c r="AV635" s="27" t="s">
        <v>7</v>
      </c>
      <c r="AW635" s="27" t="s">
        <v>8</v>
      </c>
      <c r="AX635" s="27" t="s">
        <v>7</v>
      </c>
      <c r="AY635" s="27" t="s">
        <v>8</v>
      </c>
      <c r="BB635" s="27" t="s">
        <v>7</v>
      </c>
      <c r="BC635" s="27" t="s">
        <v>8</v>
      </c>
      <c r="BH635" s="27" t="s">
        <v>7</v>
      </c>
      <c r="BI635" s="27" t="s">
        <v>8</v>
      </c>
      <c r="DZ635" s="27" t="s">
        <v>7</v>
      </c>
    </row>
    <row r="636" spans="1:144" x14ac:dyDescent="0.25">
      <c r="A636" s="7">
        <v>0.37895843976950117</v>
      </c>
      <c r="B636"/>
      <c r="C636"/>
      <c r="D636"/>
      <c r="E636"/>
      <c r="AV636" s="27" t="s">
        <v>7</v>
      </c>
      <c r="AW636" s="27" t="s">
        <v>8</v>
      </c>
      <c r="AX636" s="27" t="s">
        <v>7</v>
      </c>
      <c r="AY636" s="27" t="s">
        <v>8</v>
      </c>
      <c r="BB636" s="27" t="s">
        <v>7</v>
      </c>
      <c r="BC636" s="27" t="s">
        <v>8</v>
      </c>
      <c r="BH636" s="27" t="s">
        <v>7</v>
      </c>
      <c r="BI636" s="27" t="s">
        <v>8</v>
      </c>
      <c r="DZ636" s="27" t="s">
        <v>7</v>
      </c>
      <c r="EA636" s="27" t="s">
        <v>8</v>
      </c>
    </row>
    <row r="637" spans="1:144" x14ac:dyDescent="0.25">
      <c r="A637" s="7">
        <v>0.37152788212696197</v>
      </c>
      <c r="B637"/>
      <c r="C637"/>
      <c r="D637"/>
      <c r="E637"/>
      <c r="AV637" s="27" t="s">
        <v>7</v>
      </c>
      <c r="AW637" s="27" t="s">
        <v>8</v>
      </c>
      <c r="AX637" s="27" t="s">
        <v>7</v>
      </c>
      <c r="AY637" s="27" t="s">
        <v>8</v>
      </c>
      <c r="BB637" s="27" t="s">
        <v>7</v>
      </c>
      <c r="BC637" s="27" t="s">
        <v>8</v>
      </c>
      <c r="BH637" s="27" t="s">
        <v>7</v>
      </c>
      <c r="BI637" s="27" t="s">
        <v>8</v>
      </c>
      <c r="DZ637" s="27" t="s">
        <v>7</v>
      </c>
      <c r="EA637" s="27" t="s">
        <v>8</v>
      </c>
      <c r="EB637" s="27" t="s">
        <v>7</v>
      </c>
    </row>
    <row r="638" spans="1:144" x14ac:dyDescent="0.25">
      <c r="A638" s="7">
        <v>0.36424302169310002</v>
      </c>
      <c r="B638"/>
      <c r="C638"/>
      <c r="D638"/>
      <c r="E638"/>
      <c r="AV638" s="27" t="s">
        <v>7</v>
      </c>
      <c r="AW638" s="27" t="s">
        <v>8</v>
      </c>
      <c r="AX638" s="27" t="s">
        <v>7</v>
      </c>
      <c r="AY638" s="27" t="s">
        <v>8</v>
      </c>
      <c r="BB638" s="27" t="s">
        <v>7</v>
      </c>
      <c r="BH638" s="27" t="s">
        <v>7</v>
      </c>
      <c r="BI638" s="27" t="s">
        <v>8</v>
      </c>
      <c r="DZ638" s="27" t="s">
        <v>7</v>
      </c>
      <c r="EA638" s="27" t="s">
        <v>8</v>
      </c>
      <c r="EB638" s="27" t="s">
        <v>7</v>
      </c>
    </row>
    <row r="639" spans="1:144" x14ac:dyDescent="0.25">
      <c r="A639" s="7">
        <v>0.35710100165990194</v>
      </c>
      <c r="B639"/>
      <c r="C639"/>
      <c r="D639"/>
      <c r="E639"/>
      <c r="AV639" s="27" t="s">
        <v>7</v>
      </c>
      <c r="AW639" s="27" t="s">
        <v>8</v>
      </c>
      <c r="AX639" s="27" t="s">
        <v>7</v>
      </c>
      <c r="AY639" s="27" t="s">
        <v>8</v>
      </c>
      <c r="BH639" s="27" t="s">
        <v>7</v>
      </c>
      <c r="BI639" s="27" t="s">
        <v>8</v>
      </c>
      <c r="DZ639" s="27" t="s">
        <v>7</v>
      </c>
      <c r="EA639" s="27" t="s">
        <v>8</v>
      </c>
      <c r="EB639" s="27" t="s">
        <v>7</v>
      </c>
      <c r="EC639" s="27" t="s">
        <v>8</v>
      </c>
      <c r="EM639" s="27" t="s">
        <v>8</v>
      </c>
    </row>
    <row r="640" spans="1:144" x14ac:dyDescent="0.25">
      <c r="A640" s="7">
        <v>0.35009902123519804</v>
      </c>
      <c r="B640"/>
      <c r="C640"/>
      <c r="D640"/>
      <c r="E640"/>
      <c r="AV640" s="27" t="s">
        <v>7</v>
      </c>
      <c r="AW640" s="27" t="s">
        <v>8</v>
      </c>
      <c r="AX640" s="27" t="s">
        <v>7</v>
      </c>
      <c r="AY640" s="27" t="s">
        <v>8</v>
      </c>
      <c r="BH640" s="27" t="s">
        <v>7</v>
      </c>
      <c r="DZ640" s="27" t="s">
        <v>7</v>
      </c>
      <c r="EA640" s="27" t="s">
        <v>8</v>
      </c>
      <c r="EB640" s="27" t="s">
        <v>7</v>
      </c>
      <c r="EC640" s="27" t="s">
        <v>8</v>
      </c>
      <c r="ED640" s="27" t="s">
        <v>7</v>
      </c>
      <c r="EM640" s="27" t="s">
        <v>8</v>
      </c>
      <c r="EN640" s="27" t="s">
        <v>7</v>
      </c>
    </row>
    <row r="641" spans="1:148" x14ac:dyDescent="0.25">
      <c r="A641" s="7">
        <v>0.34323433454431179</v>
      </c>
      <c r="B641"/>
      <c r="C641"/>
      <c r="D641"/>
      <c r="E641"/>
      <c r="AV641" s="27" t="s">
        <v>7</v>
      </c>
      <c r="AW641" s="27" t="s">
        <v>8</v>
      </c>
      <c r="AX641" s="27" t="s">
        <v>7</v>
      </c>
      <c r="DZ641" s="27" t="s">
        <v>7</v>
      </c>
      <c r="EA641" s="27" t="s">
        <v>8</v>
      </c>
      <c r="EB641" s="27" t="s">
        <v>7</v>
      </c>
      <c r="EC641" s="27" t="s">
        <v>8</v>
      </c>
      <c r="ED641" s="27" t="s">
        <v>7</v>
      </c>
      <c r="EM641" s="27" t="s">
        <v>8</v>
      </c>
      <c r="EN641" s="27" t="s">
        <v>7</v>
      </c>
    </row>
    <row r="642" spans="1:148" x14ac:dyDescent="0.25">
      <c r="A642" s="7">
        <v>0.33650424955324681</v>
      </c>
      <c r="B642"/>
      <c r="C642"/>
      <c r="D642"/>
      <c r="E642"/>
      <c r="AV642" s="27" t="s">
        <v>7</v>
      </c>
      <c r="DZ642" s="27" t="s">
        <v>7</v>
      </c>
      <c r="EA642" s="27" t="s">
        <v>8</v>
      </c>
      <c r="EB642" s="27" t="s">
        <v>7</v>
      </c>
      <c r="EC642" s="27" t="s">
        <v>8</v>
      </c>
      <c r="ED642" s="27" t="s">
        <v>7</v>
      </c>
      <c r="EM642" s="27" t="s">
        <v>8</v>
      </c>
      <c r="EN642" s="27" t="s">
        <v>7</v>
      </c>
    </row>
    <row r="643" spans="1:148" x14ac:dyDescent="0.25">
      <c r="A643" s="7">
        <v>0.3299061270129871</v>
      </c>
      <c r="B643"/>
      <c r="C643"/>
      <c r="D643"/>
      <c r="E643"/>
      <c r="DZ643" s="27" t="s">
        <v>7</v>
      </c>
      <c r="EA643" s="27" t="s">
        <v>8</v>
      </c>
      <c r="EB643" s="27" t="s">
        <v>7</v>
      </c>
      <c r="EC643" s="27" t="s">
        <v>8</v>
      </c>
      <c r="ED643" s="27" t="s">
        <v>7</v>
      </c>
      <c r="EM643" s="27" t="s">
        <v>8</v>
      </c>
      <c r="EN643" s="27" t="s">
        <v>7</v>
      </c>
    </row>
    <row r="644" spans="1:148" x14ac:dyDescent="0.25">
      <c r="A644" s="7">
        <v>0.32343737942449713</v>
      </c>
      <c r="B644"/>
      <c r="C644"/>
      <c r="D644"/>
      <c r="E644"/>
      <c r="DZ644" s="27" t="s">
        <v>7</v>
      </c>
      <c r="EA644" s="27" t="s">
        <v>8</v>
      </c>
      <c r="EB644" s="27" t="s">
        <v>7</v>
      </c>
      <c r="EC644" s="27" t="s">
        <v>8</v>
      </c>
      <c r="ED644" s="27" t="s">
        <v>7</v>
      </c>
      <c r="EM644" s="27" t="s">
        <v>8</v>
      </c>
      <c r="EN644" s="27" t="s">
        <v>7</v>
      </c>
      <c r="EQ644" s="27" t="s">
        <v>8</v>
      </c>
    </row>
    <row r="645" spans="1:148" x14ac:dyDescent="0.25">
      <c r="A645" s="7">
        <v>0.31709547002401678</v>
      </c>
      <c r="B645"/>
      <c r="C645"/>
      <c r="D645"/>
      <c r="E645"/>
      <c r="DZ645" s="27" t="s">
        <v>7</v>
      </c>
      <c r="EA645" s="27" t="s">
        <v>8</v>
      </c>
      <c r="EB645" s="27" t="s">
        <v>7</v>
      </c>
      <c r="ED645" s="27" t="s">
        <v>7</v>
      </c>
      <c r="EE645" s="27" t="s">
        <v>8</v>
      </c>
      <c r="EM645" s="27" t="s">
        <v>8</v>
      </c>
      <c r="EN645" s="27" t="s">
        <v>7</v>
      </c>
      <c r="EQ645" s="27" t="s">
        <v>8</v>
      </c>
      <c r="ER645" s="27" t="s">
        <v>7</v>
      </c>
    </row>
    <row r="646" spans="1:148" x14ac:dyDescent="0.25">
      <c r="A646" s="7">
        <v>0.31087791178825175</v>
      </c>
      <c r="B646"/>
      <c r="C646"/>
      <c r="D646"/>
      <c r="E646"/>
      <c r="DZ646" s="27" t="s">
        <v>7</v>
      </c>
      <c r="EA646" s="27" t="s">
        <v>8</v>
      </c>
      <c r="ED646" s="27" t="s">
        <v>7</v>
      </c>
      <c r="EE646" s="27" t="s">
        <v>8</v>
      </c>
      <c r="EF646" s="27" t="s">
        <v>7</v>
      </c>
      <c r="EM646" s="27" t="s">
        <v>8</v>
      </c>
      <c r="EN646" s="27" t="s">
        <v>7</v>
      </c>
      <c r="EQ646" s="27" t="s">
        <v>8</v>
      </c>
      <c r="ER646" s="27" t="s">
        <v>7</v>
      </c>
    </row>
    <row r="647" spans="1:148" x14ac:dyDescent="0.25">
      <c r="A647" s="7">
        <v>0.30478226645907036</v>
      </c>
      <c r="B647"/>
      <c r="C647"/>
      <c r="D647"/>
      <c r="E647"/>
      <c r="DZ647" s="27" t="s">
        <v>7</v>
      </c>
      <c r="EA647" s="27" t="s">
        <v>8</v>
      </c>
      <c r="ED647" s="27" t="s">
        <v>7</v>
      </c>
      <c r="EE647" s="27" t="s">
        <v>8</v>
      </c>
      <c r="EF647" s="27" t="s">
        <v>7</v>
      </c>
      <c r="EM647" s="27" t="s">
        <v>8</v>
      </c>
      <c r="EN647" s="27" t="s">
        <v>7</v>
      </c>
      <c r="EQ647" s="27" t="s">
        <v>8</v>
      </c>
      <c r="ER647" s="27" t="s">
        <v>7</v>
      </c>
    </row>
    <row r="648" spans="1:148" x14ac:dyDescent="0.25">
      <c r="A648" s="7">
        <v>0.29880614358732388</v>
      </c>
      <c r="B648"/>
      <c r="C648"/>
      <c r="D648"/>
      <c r="E648"/>
      <c r="DZ648" s="27" t="s">
        <v>7</v>
      </c>
      <c r="ED648" s="27" t="s">
        <v>7</v>
      </c>
      <c r="EE648" s="27" t="s">
        <v>8</v>
      </c>
      <c r="EF648" s="27" t="s">
        <v>7</v>
      </c>
      <c r="EM648" s="27" t="s">
        <v>8</v>
      </c>
      <c r="EN648" s="27" t="s">
        <v>7</v>
      </c>
      <c r="EQ648" s="27" t="s">
        <v>8</v>
      </c>
      <c r="ER648" s="27" t="s">
        <v>7</v>
      </c>
    </row>
    <row r="649" spans="1:148" x14ac:dyDescent="0.25">
      <c r="A649" s="7">
        <v>0.2929471995954156</v>
      </c>
      <c r="B649"/>
      <c r="C649"/>
      <c r="D649"/>
      <c r="E649"/>
      <c r="ED649" s="27" t="s">
        <v>7</v>
      </c>
      <c r="EE649" s="27" t="s">
        <v>8</v>
      </c>
      <c r="EF649" s="27" t="s">
        <v>7</v>
      </c>
      <c r="EI649" s="27" t="s">
        <v>8</v>
      </c>
      <c r="EM649" s="27" t="s">
        <v>8</v>
      </c>
      <c r="EN649" s="27" t="s">
        <v>7</v>
      </c>
      <c r="EQ649" s="27" t="s">
        <v>8</v>
      </c>
      <c r="ER649" s="27" t="s">
        <v>7</v>
      </c>
    </row>
    <row r="650" spans="1:148" x14ac:dyDescent="0.25">
      <c r="A650" s="7">
        <v>0.28720313685825055</v>
      </c>
      <c r="B650"/>
      <c r="C650"/>
      <c r="D650"/>
      <c r="E650"/>
      <c r="ED650" s="27" t="s">
        <v>7</v>
      </c>
      <c r="EF650" s="27" t="s">
        <v>7</v>
      </c>
      <c r="EI650" s="27" t="s">
        <v>8</v>
      </c>
      <c r="EJ650" s="27" t="s">
        <v>7</v>
      </c>
      <c r="EM650" s="27" t="s">
        <v>8</v>
      </c>
      <c r="EN650" s="27" t="s">
        <v>7</v>
      </c>
      <c r="EO650" s="27" t="s">
        <v>8</v>
      </c>
      <c r="EQ650" s="27" t="s">
        <v>8</v>
      </c>
      <c r="ER650" s="27" t="s">
        <v>7</v>
      </c>
    </row>
    <row r="651" spans="1:148" x14ac:dyDescent="0.25">
      <c r="A651" s="7">
        <v>0.28157170280220645</v>
      </c>
      <c r="B651"/>
      <c r="C651"/>
      <c r="D651"/>
      <c r="E651"/>
      <c r="EF651" s="27" t="s">
        <v>7</v>
      </c>
      <c r="EG651" s="27" t="s">
        <v>8</v>
      </c>
      <c r="EI651" s="27" t="s">
        <v>8</v>
      </c>
      <c r="EJ651" s="27" t="s">
        <v>7</v>
      </c>
      <c r="EK651" s="27" t="s">
        <v>8</v>
      </c>
      <c r="EM651" s="27" t="s">
        <v>8</v>
      </c>
      <c r="EN651" s="27" t="s">
        <v>7</v>
      </c>
      <c r="EO651" s="27" t="s">
        <v>8</v>
      </c>
      <c r="EP651" s="27" t="s">
        <v>7</v>
      </c>
      <c r="EQ651" s="27" t="s">
        <v>8</v>
      </c>
      <c r="ER651" s="27" t="s">
        <v>7</v>
      </c>
    </row>
    <row r="652" spans="1:148" x14ac:dyDescent="0.25">
      <c r="A652" s="7">
        <v>0.27605068902177105</v>
      </c>
      <c r="B652"/>
      <c r="C652"/>
      <c r="D652"/>
      <c r="E652"/>
      <c r="EF652" s="27" t="s">
        <v>7</v>
      </c>
      <c r="EG652" s="27" t="s">
        <v>8</v>
      </c>
      <c r="EH652" s="27" t="s">
        <v>7</v>
      </c>
      <c r="EI652" s="27" t="s">
        <v>8</v>
      </c>
      <c r="EJ652" s="27" t="s">
        <v>7</v>
      </c>
      <c r="EK652" s="27" t="s">
        <v>8</v>
      </c>
      <c r="EL652" s="27" t="s">
        <v>7</v>
      </c>
      <c r="EM652" s="27" t="s">
        <v>8</v>
      </c>
      <c r="EN652" s="27" t="s">
        <v>7</v>
      </c>
      <c r="EO652" s="27" t="s">
        <v>8</v>
      </c>
      <c r="EP652" s="27" t="s">
        <v>7</v>
      </c>
      <c r="EQ652" s="27" t="s">
        <v>8</v>
      </c>
      <c r="ER652" s="27" t="s">
        <v>7</v>
      </c>
    </row>
    <row r="653" spans="1:148" x14ac:dyDescent="0.25">
      <c r="A653" s="7">
        <v>0.27063793041350104</v>
      </c>
      <c r="B653"/>
      <c r="C653"/>
      <c r="D653"/>
      <c r="E653"/>
      <c r="EF653" s="27" t="s">
        <v>7</v>
      </c>
      <c r="EG653" s="27" t="s">
        <v>8</v>
      </c>
      <c r="EH653" s="27" t="s">
        <v>7</v>
      </c>
      <c r="EI653" s="27" t="s">
        <v>8</v>
      </c>
      <c r="EJ653" s="27" t="s">
        <v>7</v>
      </c>
      <c r="EK653" s="27" t="s">
        <v>8</v>
      </c>
      <c r="EL653" s="27" t="s">
        <v>7</v>
      </c>
      <c r="EM653" s="27" t="s">
        <v>8</v>
      </c>
      <c r="EN653" s="27" t="s">
        <v>7</v>
      </c>
      <c r="EO653" s="27" t="s">
        <v>8</v>
      </c>
      <c r="EP653" s="27" t="s">
        <v>7</v>
      </c>
      <c r="ER653" s="27" t="s">
        <v>7</v>
      </c>
    </row>
    <row r="654" spans="1:148" x14ac:dyDescent="0.25">
      <c r="A654" s="7">
        <v>0.26533130432696184</v>
      </c>
      <c r="B654"/>
      <c r="C654"/>
      <c r="D654"/>
      <c r="E654"/>
      <c r="EF654" s="27" t="s">
        <v>7</v>
      </c>
      <c r="EG654" s="27" t="s">
        <v>8</v>
      </c>
      <c r="EH654" s="27" t="s">
        <v>7</v>
      </c>
      <c r="EI654" s="27" t="s">
        <v>8</v>
      </c>
      <c r="EJ654" s="27" t="s">
        <v>7</v>
      </c>
      <c r="EK654" s="27" t="s">
        <v>8</v>
      </c>
      <c r="EL654" s="27" t="s">
        <v>7</v>
      </c>
      <c r="EM654" s="27" t="s">
        <v>8</v>
      </c>
      <c r="EN654" s="27" t="s">
        <v>7</v>
      </c>
      <c r="EO654" s="27" t="s">
        <v>8</v>
      </c>
      <c r="ER654" s="27" t="s">
        <v>7</v>
      </c>
    </row>
    <row r="655" spans="1:148" x14ac:dyDescent="0.25">
      <c r="A655" s="7">
        <v>0.26012872973231554</v>
      </c>
      <c r="B655"/>
      <c r="C655"/>
      <c r="D655"/>
      <c r="E655"/>
      <c r="EF655" s="27" t="s">
        <v>7</v>
      </c>
      <c r="EG655" s="27" t="s">
        <v>8</v>
      </c>
      <c r="EH655" s="27" t="s">
        <v>7</v>
      </c>
      <c r="EJ655" s="27" t="s">
        <v>7</v>
      </c>
      <c r="EK655" s="27" t="s">
        <v>8</v>
      </c>
      <c r="EL655" s="27" t="s">
        <v>7</v>
      </c>
      <c r="EN655" s="27" t="s">
        <v>7</v>
      </c>
      <c r="EO655" s="27" t="s">
        <v>8</v>
      </c>
      <c r="ER655" s="27" t="s">
        <v>7</v>
      </c>
    </row>
    <row r="656" spans="1:148" x14ac:dyDescent="0.25">
      <c r="A656" s="7">
        <v>0.25502816640423093</v>
      </c>
      <c r="B656"/>
      <c r="C656"/>
      <c r="D656"/>
      <c r="E656"/>
      <c r="EF656" s="27" t="s">
        <v>7</v>
      </c>
      <c r="EG656" s="27" t="s">
        <v>8</v>
      </c>
      <c r="EJ656" s="27" t="s">
        <v>7</v>
      </c>
      <c r="EK656" s="27" t="s">
        <v>8</v>
      </c>
      <c r="EN656" s="27" t="s">
        <v>7</v>
      </c>
      <c r="ER656" s="27" t="s">
        <v>7</v>
      </c>
    </row>
    <row r="657" spans="1:152" x14ac:dyDescent="0.25">
      <c r="A657" s="7">
        <v>0.25002761412179503</v>
      </c>
      <c r="B657"/>
      <c r="C657"/>
      <c r="D657"/>
      <c r="E657"/>
      <c r="EF657" s="27" t="s">
        <v>7</v>
      </c>
      <c r="EJ657" s="27" t="s">
        <v>7</v>
      </c>
      <c r="EK657" s="27" t="s">
        <v>8</v>
      </c>
      <c r="ER657" s="27" t="s">
        <v>7</v>
      </c>
    </row>
    <row r="658" spans="1:152" x14ac:dyDescent="0.25">
      <c r="A658" s="7">
        <v>0.24512511188411276</v>
      </c>
      <c r="B658"/>
      <c r="C658"/>
      <c r="D658"/>
      <c r="E658"/>
      <c r="EJ658" s="27" t="s">
        <v>7</v>
      </c>
      <c r="ER658" s="27" t="s">
        <v>7</v>
      </c>
      <c r="ES658" s="27" t="s">
        <v>8</v>
      </c>
    </row>
    <row r="659" spans="1:152" x14ac:dyDescent="0.25">
      <c r="A659" s="7">
        <v>0.24031873714128701</v>
      </c>
      <c r="B659"/>
      <c r="C659"/>
      <c r="D659"/>
      <c r="E659"/>
      <c r="ER659" s="27" t="s">
        <v>7</v>
      </c>
      <c r="ES659" s="27" t="s">
        <v>8</v>
      </c>
      <c r="ET659" s="27" t="s">
        <v>7</v>
      </c>
    </row>
    <row r="660" spans="1:152" x14ac:dyDescent="0.25">
      <c r="A660" s="7">
        <v>0.23560660504047748</v>
      </c>
      <c r="B660"/>
      <c r="C660"/>
      <c r="D660"/>
      <c r="E660"/>
      <c r="ER660" s="27" t="s">
        <v>7</v>
      </c>
      <c r="ES660" s="27" t="s">
        <v>8</v>
      </c>
      <c r="ET660" s="27" t="s">
        <v>7</v>
      </c>
      <c r="EU660" s="27" t="s">
        <v>8</v>
      </c>
    </row>
    <row r="661" spans="1:152" x14ac:dyDescent="0.25">
      <c r="A661" s="7">
        <v>0.23098686768674265</v>
      </c>
      <c r="B661"/>
      <c r="C661"/>
      <c r="D661"/>
      <c r="E661"/>
      <c r="ER661" s="27" t="s">
        <v>7</v>
      </c>
      <c r="ES661" s="27" t="s">
        <v>8</v>
      </c>
      <c r="ET661" s="27" t="s">
        <v>7</v>
      </c>
      <c r="EU661" s="27" t="s">
        <v>8</v>
      </c>
      <c r="EV661" s="27" t="s">
        <v>7</v>
      </c>
    </row>
    <row r="662" spans="1:152" x14ac:dyDescent="0.25">
      <c r="A662" s="7">
        <v>0.22645771341837515</v>
      </c>
      <c r="B662"/>
      <c r="C662"/>
      <c r="D662"/>
      <c r="E662"/>
      <c r="ER662" s="27" t="s">
        <v>7</v>
      </c>
      <c r="ES662" s="27" t="s">
        <v>8</v>
      </c>
      <c r="ET662" s="27" t="s">
        <v>7</v>
      </c>
      <c r="EU662" s="27" t="s">
        <v>8</v>
      </c>
      <c r="EV662" s="27" t="s">
        <v>7</v>
      </c>
    </row>
    <row r="663" spans="1:152" x14ac:dyDescent="0.25">
      <c r="A663" s="7">
        <v>0.22201736609644623</v>
      </c>
      <c r="B663"/>
      <c r="C663"/>
      <c r="D663"/>
      <c r="E663"/>
      <c r="ER663" s="27" t="s">
        <v>7</v>
      </c>
      <c r="ES663" s="27" t="s">
        <v>8</v>
      </c>
      <c r="ET663" s="27" t="s">
        <v>7</v>
      </c>
      <c r="EV663" s="27" t="s">
        <v>7</v>
      </c>
    </row>
    <row r="664" spans="1:152" x14ac:dyDescent="0.25">
      <c r="A664" s="7">
        <v>0.21766408440828061</v>
      </c>
      <c r="B664"/>
      <c r="C664"/>
      <c r="D664"/>
      <c r="E664"/>
      <c r="ER664" s="27" t="s">
        <v>7</v>
      </c>
      <c r="ES664" s="27" t="s">
        <v>8</v>
      </c>
      <c r="EV664" s="27" t="s">
        <v>7</v>
      </c>
    </row>
    <row r="665" spans="1:152" x14ac:dyDescent="0.25">
      <c r="A665" s="7">
        <v>0.21339616118458882</v>
      </c>
      <c r="B665"/>
      <c r="C665"/>
      <c r="D665"/>
      <c r="E665"/>
      <c r="ER665" s="27" t="s">
        <v>7</v>
      </c>
      <c r="ES665" s="27" t="s">
        <v>8</v>
      </c>
      <c r="EV665" s="27" t="s">
        <v>7</v>
      </c>
    </row>
    <row r="666" spans="1:152" x14ac:dyDescent="0.25">
      <c r="A666" s="7">
        <v>0.20921192272998904</v>
      </c>
      <c r="B666"/>
      <c r="C666"/>
      <c r="D666"/>
      <c r="E666"/>
      <c r="ER666" s="27" t="s">
        <v>7</v>
      </c>
      <c r="ES666" s="27" t="s">
        <v>8</v>
      </c>
      <c r="EV666" s="27" t="s">
        <v>7</v>
      </c>
    </row>
    <row r="667" spans="1:152" x14ac:dyDescent="0.25">
      <c r="A667" s="7">
        <v>0.20510972816665593</v>
      </c>
      <c r="B667"/>
      <c r="C667"/>
      <c r="D667"/>
      <c r="E667"/>
      <c r="ER667" s="27" t="s">
        <v>7</v>
      </c>
      <c r="ES667" s="27" t="s">
        <v>8</v>
      </c>
      <c r="EV667" s="27" t="s">
        <v>7</v>
      </c>
    </row>
    <row r="668" spans="1:152" x14ac:dyDescent="0.25">
      <c r="A668" s="7">
        <v>0.20108796879083912</v>
      </c>
      <c r="B668"/>
      <c r="C668"/>
      <c r="D668"/>
      <c r="E668"/>
      <c r="ER668" s="27" t="s">
        <v>7</v>
      </c>
      <c r="ES668" s="27" t="s">
        <v>8</v>
      </c>
      <c r="EV668" s="27" t="s">
        <v>7</v>
      </c>
    </row>
    <row r="669" spans="1:152" x14ac:dyDescent="0.25">
      <c r="A669" s="7">
        <v>0.19714506744199917</v>
      </c>
      <c r="B669"/>
      <c r="C669"/>
      <c r="D669"/>
      <c r="E669"/>
      <c r="ER669" s="27" t="s">
        <v>7</v>
      </c>
      <c r="EV669" s="27" t="s">
        <v>7</v>
      </c>
    </row>
    <row r="670" spans="1:152" x14ac:dyDescent="0.25">
      <c r="A670" s="7">
        <v>0.19327947788431293</v>
      </c>
      <c r="B670"/>
      <c r="C670"/>
      <c r="D670"/>
      <c r="E670"/>
      <c r="EV670" s="27" t="s">
        <v>7</v>
      </c>
    </row>
    <row r="671" spans="1:152" x14ac:dyDescent="0.25">
      <c r="A671" s="7">
        <v>0.18948968420030682</v>
      </c>
      <c r="B671"/>
      <c r="C671"/>
      <c r="D671"/>
      <c r="E671"/>
      <c r="EV671" s="27" t="s">
        <v>7</v>
      </c>
    </row>
    <row r="672" spans="1:152" x14ac:dyDescent="0.25">
      <c r="A672" s="7">
        <v>0.18577420019637925</v>
      </c>
      <c r="B672"/>
      <c r="C672"/>
      <c r="D672"/>
      <c r="E672"/>
      <c r="EV672" s="27" t="s">
        <v>7</v>
      </c>
    </row>
    <row r="673" spans="1:156" x14ac:dyDescent="0.25">
      <c r="A673" s="7">
        <v>0.18213156881997963</v>
      </c>
      <c r="B673"/>
      <c r="C673"/>
      <c r="D673"/>
      <c r="E673"/>
      <c r="EV673" s="27" t="s">
        <v>7</v>
      </c>
    </row>
    <row r="674" spans="1:156" x14ac:dyDescent="0.25">
      <c r="A674" s="7">
        <v>0.17856036158821534</v>
      </c>
      <c r="B674"/>
      <c r="C674"/>
      <c r="D674"/>
      <c r="E674"/>
      <c r="EV674" s="27" t="s">
        <v>7</v>
      </c>
    </row>
    <row r="675" spans="1:156" x14ac:dyDescent="0.25">
      <c r="A675" s="7">
        <v>0.17505917802766208</v>
      </c>
      <c r="B675"/>
      <c r="C675"/>
      <c r="D675"/>
      <c r="E675"/>
      <c r="EV675" s="27" t="s">
        <v>7</v>
      </c>
      <c r="EY675" s="27" t="s">
        <v>8</v>
      </c>
    </row>
    <row r="676" spans="1:156" x14ac:dyDescent="0.25">
      <c r="A676" s="7">
        <v>0.17162664512515888</v>
      </c>
      <c r="B676"/>
      <c r="C676"/>
      <c r="D676"/>
      <c r="E676"/>
      <c r="EV676" s="27" t="s">
        <v>7</v>
      </c>
      <c r="EW676" s="27" t="s">
        <v>8</v>
      </c>
      <c r="EY676" s="27" t="s">
        <v>8</v>
      </c>
      <c r="EZ676" s="27" t="s">
        <v>7</v>
      </c>
    </row>
    <row r="677" spans="1:156" x14ac:dyDescent="0.25">
      <c r="A677" s="7">
        <v>0.16826141678937145</v>
      </c>
      <c r="B677"/>
      <c r="C677"/>
      <c r="D677"/>
      <c r="E677"/>
      <c r="EV677" s="27" t="s">
        <v>7</v>
      </c>
      <c r="EW677" s="27" t="s">
        <v>8</v>
      </c>
      <c r="EX677" s="27" t="s">
        <v>7</v>
      </c>
      <c r="EY677" s="27" t="s">
        <v>8</v>
      </c>
      <c r="EZ677" s="27" t="s">
        <v>7</v>
      </c>
    </row>
    <row r="678" spans="1:156" x14ac:dyDescent="0.25">
      <c r="A678" s="7">
        <v>0.16496217332291319</v>
      </c>
      <c r="B678"/>
      <c r="C678"/>
      <c r="D678"/>
      <c r="E678"/>
      <c r="EV678" s="27" t="s">
        <v>7</v>
      </c>
      <c r="EW678" s="27" t="s">
        <v>8</v>
      </c>
      <c r="EX678" s="27" t="s">
        <v>7</v>
      </c>
      <c r="EY678" s="27" t="s">
        <v>8</v>
      </c>
      <c r="EZ678" s="27" t="s">
        <v>7</v>
      </c>
    </row>
    <row r="679" spans="1:156" x14ac:dyDescent="0.25">
      <c r="A679" s="7">
        <v>0.16172762090481685</v>
      </c>
      <c r="B679"/>
      <c r="C679"/>
      <c r="D679"/>
      <c r="E679"/>
      <c r="EV679" s="27" t="s">
        <v>7</v>
      </c>
      <c r="EW679" s="27" t="s">
        <v>8</v>
      </c>
      <c r="EX679" s="27" t="s">
        <v>7</v>
      </c>
      <c r="EY679" s="27" t="s">
        <v>8</v>
      </c>
      <c r="EZ679" s="27" t="s">
        <v>7</v>
      </c>
    </row>
    <row r="680" spans="1:156" x14ac:dyDescent="0.25">
      <c r="A680" s="7">
        <v>0.15855649108315376</v>
      </c>
      <c r="B680"/>
      <c r="C680"/>
      <c r="D680"/>
      <c r="E680"/>
      <c r="EV680" s="27" t="s">
        <v>7</v>
      </c>
      <c r="EW680" s="27" t="s">
        <v>8</v>
      </c>
      <c r="EX680" s="27" t="s">
        <v>7</v>
      </c>
      <c r="EY680" s="27" t="s">
        <v>8</v>
      </c>
      <c r="EZ680" s="27" t="s">
        <v>7</v>
      </c>
    </row>
    <row r="681" spans="1:156" x14ac:dyDescent="0.25">
      <c r="A681" s="7">
        <v>0.15544754027760171</v>
      </c>
      <c r="B681"/>
      <c r="C681"/>
      <c r="D681"/>
      <c r="E681"/>
      <c r="EV681" s="27" t="s">
        <v>7</v>
      </c>
      <c r="EW681" s="27" t="s">
        <v>8</v>
      </c>
      <c r="EX681" s="27" t="s">
        <v>7</v>
      </c>
      <c r="EY681" s="27" t="s">
        <v>8</v>
      </c>
    </row>
    <row r="682" spans="1:156" x14ac:dyDescent="0.25">
      <c r="A682" s="7">
        <v>0.15239954929176638</v>
      </c>
      <c r="B682"/>
      <c r="C682"/>
      <c r="D682"/>
      <c r="E682"/>
      <c r="EV682" s="27" t="s">
        <v>7</v>
      </c>
      <c r="EW682" s="27" t="s">
        <v>8</v>
      </c>
      <c r="EX682" s="27" t="s">
        <v>7</v>
      </c>
      <c r="EY682" s="27" t="s">
        <v>8</v>
      </c>
    </row>
    <row r="683" spans="1:156" x14ac:dyDescent="0.25">
      <c r="A683" s="7">
        <v>0.14941132283506509</v>
      </c>
      <c r="B683"/>
      <c r="C683"/>
      <c r="D683"/>
      <c r="E683"/>
      <c r="EV683" s="27" t="s">
        <v>7</v>
      </c>
      <c r="EW683" s="27" t="s">
        <v>8</v>
      </c>
      <c r="EX683" s="27" t="s">
        <v>7</v>
      </c>
    </row>
    <row r="684" spans="1:156" x14ac:dyDescent="0.25">
      <c r="A684" s="7">
        <v>0.14648168905398537</v>
      </c>
      <c r="B684"/>
      <c r="C684"/>
      <c r="D684"/>
      <c r="E684"/>
      <c r="EV684" s="27" t="s">
        <v>7</v>
      </c>
      <c r="EW684" s="27" t="s">
        <v>8</v>
      </c>
    </row>
    <row r="685" spans="1:156" x14ac:dyDescent="0.25">
      <c r="A685" s="7">
        <v>0.14360949907253467</v>
      </c>
      <c r="B685"/>
      <c r="C685"/>
      <c r="D685"/>
      <c r="E685"/>
      <c r="EV685" s="27" t="s">
        <v>7</v>
      </c>
    </row>
    <row r="686" spans="1:156" x14ac:dyDescent="0.25">
      <c r="A686" s="7">
        <v>0.14079362654170066</v>
      </c>
      <c r="B686"/>
      <c r="C686"/>
      <c r="D686"/>
      <c r="E686"/>
    </row>
    <row r="687" spans="1:156" x14ac:dyDescent="0.25">
      <c r="A687" s="7">
        <v>0.13803296719774574</v>
      </c>
      <c r="B687"/>
      <c r="C687"/>
      <c r="D687"/>
      <c r="E687"/>
    </row>
    <row r="688" spans="1:156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06" operator="equal">
      <formula>$U$1</formula>
    </cfRule>
    <cfRule type="cellIs" dxfId="89" priority="707" operator="equal">
      <formula>$S$1</formula>
    </cfRule>
  </conditionalFormatting>
  <conditionalFormatting sqref="D27">
    <cfRule type="cellIs" dxfId="88" priority="704" operator="equal">
      <formula>$S$1</formula>
    </cfRule>
    <cfRule type="cellIs" dxfId="87" priority="705" operator="equal">
      <formula>$U$1</formula>
    </cfRule>
  </conditionalFormatting>
  <conditionalFormatting sqref="C164">
    <cfRule type="cellIs" dxfId="86" priority="702" operator="equal">
      <formula>$U$1</formula>
    </cfRule>
    <cfRule type="cellIs" dxfId="85" priority="703" operator="equal">
      <formula>$S$1</formula>
    </cfRule>
  </conditionalFormatting>
  <conditionalFormatting sqref="D164">
    <cfRule type="cellIs" dxfId="84" priority="700" operator="equal">
      <formula>$S$1</formula>
    </cfRule>
    <cfRule type="cellIs" dxfId="83" priority="701" operator="equal">
      <formula>$U$1</formula>
    </cfRule>
  </conditionalFormatting>
  <conditionalFormatting sqref="C55">
    <cfRule type="cellIs" dxfId="82" priority="698" operator="equal">
      <formula>$U$1</formula>
    </cfRule>
    <cfRule type="cellIs" dxfId="81" priority="699" operator="equal">
      <formula>$S$1</formula>
    </cfRule>
  </conditionalFormatting>
  <conditionalFormatting sqref="D55">
    <cfRule type="cellIs" dxfId="80" priority="696" operator="equal">
      <formula>$S$1</formula>
    </cfRule>
    <cfRule type="cellIs" dxfId="79" priority="697" operator="equal">
      <formula>$U$1</formula>
    </cfRule>
  </conditionalFormatting>
  <conditionalFormatting sqref="C89">
    <cfRule type="cellIs" dxfId="78" priority="694" operator="equal">
      <formula>$U$1</formula>
    </cfRule>
    <cfRule type="cellIs" dxfId="77" priority="695" operator="equal">
      <formula>$S$1</formula>
    </cfRule>
  </conditionalFormatting>
  <conditionalFormatting sqref="D89">
    <cfRule type="cellIs" dxfId="76" priority="692" operator="equal">
      <formula>$S$1</formula>
    </cfRule>
    <cfRule type="cellIs" dxfId="75" priority="693" operator="equal">
      <formula>$U$1</formula>
    </cfRule>
  </conditionalFormatting>
  <conditionalFormatting sqref="C136">
    <cfRule type="cellIs" dxfId="74" priority="690" operator="equal">
      <formula>$U$1</formula>
    </cfRule>
    <cfRule type="cellIs" dxfId="73" priority="691" operator="equal">
      <formula>$S$1</formula>
    </cfRule>
  </conditionalFormatting>
  <conditionalFormatting sqref="D136">
    <cfRule type="cellIs" dxfId="72" priority="688" operator="equal">
      <formula>$S$1</formula>
    </cfRule>
    <cfRule type="cellIs" dxfId="71" priority="689" operator="equal">
      <formula>$U$1</formula>
    </cfRule>
  </conditionalFormatting>
  <conditionalFormatting sqref="C1">
    <cfRule type="cellIs" dxfId="70" priority="68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K276" sqref="CK27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$A$275</v>
      </c>
      <c r="D111" s="1" t="str">
        <f>ADDRESS(C121-1,D121,1,1)</f>
        <v>$CK$275</v>
      </c>
      <c r="E111"/>
    </row>
    <row r="112" spans="1:5" x14ac:dyDescent="0.25">
      <c r="A112" s="30">
        <v>515.50191262726139</v>
      </c>
      <c r="C112" s="1" t="str">
        <f>ADDRESS(C121,1,1,1)</f>
        <v>$A$276</v>
      </c>
      <c r="D112" s="1" t="str">
        <f>ADDRESS(C121,D121-1,1,1)</f>
        <v>$CJ$276</v>
      </c>
      <c r="E112"/>
    </row>
    <row r="113" spans="1:5" x14ac:dyDescent="0.25">
      <c r="A113" s="30">
        <v>490.95420250215363</v>
      </c>
      <c r="C113" s="1" t="str">
        <f>ADDRESS(C121+1,1,1,1)</f>
        <v>$A$277</v>
      </c>
      <c r="D113" s="1" t="str">
        <f>ADDRESS(C121-1,D121+1,1,1)</f>
        <v>$CL$275</v>
      </c>
    </row>
    <row r="114" spans="1:5" x14ac:dyDescent="0.25">
      <c r="A114" s="30">
        <v>467.57543095443202</v>
      </c>
      <c r="C114" s="1" t="str">
        <f>ADDRESS(C121,D121,1,1)</f>
        <v>$CK$276</v>
      </c>
      <c r="D114" s="1" t="str">
        <f>ADDRESS(C121+1,D121+1,1,1)</f>
        <v>$CL$277</v>
      </c>
    </row>
    <row r="115" spans="1:5" x14ac:dyDescent="0.25">
      <c r="A115" s="30">
        <v>445.30993424231622</v>
      </c>
      <c r="C115" s="1" t="str">
        <f>ADDRESS(C121+1,D121,1,1)</f>
        <v>$CK$277</v>
      </c>
    </row>
    <row r="116" spans="1:5" x14ac:dyDescent="0.25">
      <c r="A116" s="30">
        <v>424.10469927839637</v>
      </c>
      <c r="C116" s="1">
        <f>C117-1</f>
        <v>275</v>
      </c>
    </row>
    <row r="117" spans="1:5" x14ac:dyDescent="0.25">
      <c r="A117" s="30">
        <v>403.9092374079965</v>
      </c>
      <c r="C117" s="1">
        <f>C121</f>
        <v>276</v>
      </c>
      <c r="D117" s="1">
        <f>D121</f>
        <v>89</v>
      </c>
    </row>
    <row r="118" spans="1:5" x14ac:dyDescent="0.25">
      <c r="A118" s="30">
        <v>384.6754641980919</v>
      </c>
      <c r="C118" s="1">
        <f>C117+1</f>
        <v>277</v>
      </c>
      <c r="D118" s="1">
        <f>D117+1</f>
        <v>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276</v>
      </c>
      <c r="D121" s="19">
        <v>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R276</v>
      </c>
      <c r="D123" s="1" t="str">
        <f>"C"&amp;D121</f>
        <v>C89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0.17265741462149967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8" x14ac:dyDescent="0.25">
      <c r="A193" s="30">
        <v>9.9059710923258422</v>
      </c>
      <c r="E193"/>
    </row>
    <row r="194" spans="1:8" x14ac:dyDescent="0.25">
      <c r="A194" s="30">
        <v>9.4342581831674686</v>
      </c>
      <c r="E194"/>
    </row>
    <row r="195" spans="1:8" x14ac:dyDescent="0.25">
      <c r="A195" s="30">
        <v>8.9850077934928265</v>
      </c>
      <c r="E195"/>
    </row>
    <row r="196" spans="1:8" x14ac:dyDescent="0.25">
      <c r="A196" s="30">
        <v>8.5571502795169767</v>
      </c>
      <c r="E196"/>
    </row>
    <row r="197" spans="1:8" x14ac:dyDescent="0.25">
      <c r="A197" s="30">
        <v>8.1496669328733109</v>
      </c>
      <c r="E197" t="s">
        <v>8</v>
      </c>
    </row>
    <row r="198" spans="1:8" x14ac:dyDescent="0.25">
      <c r="A198" s="30">
        <v>7.7615875551174378</v>
      </c>
      <c r="E198" t="s">
        <v>8</v>
      </c>
      <c r="F198" s="27" t="s">
        <v>7</v>
      </c>
    </row>
    <row r="199" spans="1:8" x14ac:dyDescent="0.25">
      <c r="A199" s="30">
        <v>7.3919881477308929</v>
      </c>
      <c r="E199" t="s">
        <v>8</v>
      </c>
      <c r="F199" s="27" t="s">
        <v>7</v>
      </c>
    </row>
    <row r="200" spans="1:8" x14ac:dyDescent="0.25">
      <c r="A200" s="30">
        <v>7.0399887121246598</v>
      </c>
      <c r="E200" t="s">
        <v>8</v>
      </c>
      <c r="F200" s="27" t="s">
        <v>7</v>
      </c>
    </row>
    <row r="201" spans="1:8" x14ac:dyDescent="0.25">
      <c r="A201" s="30">
        <v>6.7047511544044376</v>
      </c>
      <c r="E201" t="s">
        <v>8</v>
      </c>
      <c r="F201" s="27" t="s">
        <v>7</v>
      </c>
    </row>
    <row r="202" spans="1:8" x14ac:dyDescent="0.25">
      <c r="A202" s="30">
        <v>6.3854772899089882</v>
      </c>
      <c r="E202" t="s">
        <v>8</v>
      </c>
      <c r="F202" s="27" t="s">
        <v>7</v>
      </c>
    </row>
    <row r="203" spans="1:8" x14ac:dyDescent="0.25">
      <c r="A203" s="30">
        <v>6.0814069427704647</v>
      </c>
      <c r="C203" s="7"/>
      <c r="D203"/>
      <c r="E203" t="s">
        <v>8</v>
      </c>
      <c r="F203" s="27" t="s">
        <v>7</v>
      </c>
    </row>
    <row r="204" spans="1:8" x14ac:dyDescent="0.25">
      <c r="A204" s="30">
        <v>5.7918161359718709</v>
      </c>
      <c r="E204" t="s">
        <v>8</v>
      </c>
      <c r="F204" s="27" t="s">
        <v>7</v>
      </c>
    </row>
    <row r="205" spans="1:8" x14ac:dyDescent="0.25">
      <c r="A205" s="30">
        <v>5.5160153675922574</v>
      </c>
      <c r="E205" t="s">
        <v>8</v>
      </c>
      <c r="F205" s="27" t="s">
        <v>7</v>
      </c>
    </row>
    <row r="206" spans="1:8" x14ac:dyDescent="0.25">
      <c r="A206" s="30">
        <v>5.2533479691354827</v>
      </c>
      <c r="C206"/>
      <c r="D206"/>
      <c r="E206" t="s">
        <v>8</v>
      </c>
      <c r="F206" s="27" t="s">
        <v>7</v>
      </c>
    </row>
    <row r="207" spans="1:8" x14ac:dyDescent="0.25">
      <c r="A207" s="30">
        <v>5.0031885420337927</v>
      </c>
      <c r="E207" t="s">
        <v>8</v>
      </c>
      <c r="F207" s="27" t="s">
        <v>7</v>
      </c>
      <c r="G207" s="27" t="s">
        <v>8</v>
      </c>
    </row>
    <row r="208" spans="1:8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</row>
    <row r="209" spans="1:20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</row>
    <row r="210" spans="1:20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J210" s="27" t="s">
        <v>7</v>
      </c>
    </row>
    <row r="211" spans="1:20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I211" s="27" t="s">
        <v>8</v>
      </c>
      <c r="J211" s="27" t="s">
        <v>7</v>
      </c>
    </row>
    <row r="212" spans="1:20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  <c r="I212" s="27" t="s">
        <v>8</v>
      </c>
      <c r="J212" s="27" t="s">
        <v>7</v>
      </c>
    </row>
    <row r="213" spans="1:20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J213" s="27" t="s">
        <v>7</v>
      </c>
      <c r="Q213" s="27" t="s">
        <v>8</v>
      </c>
    </row>
    <row r="214" spans="1:20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J214" s="27" t="s">
        <v>7</v>
      </c>
      <c r="Q214" s="27" t="s">
        <v>8</v>
      </c>
      <c r="R214" s="27" t="s">
        <v>7</v>
      </c>
    </row>
    <row r="215" spans="1:20" x14ac:dyDescent="0.25">
      <c r="A215" s="30">
        <v>3.3863549408993889</v>
      </c>
      <c r="E215" t="s">
        <v>8</v>
      </c>
      <c r="F215" s="27" t="s">
        <v>7</v>
      </c>
      <c r="J215" s="27" t="s">
        <v>7</v>
      </c>
      <c r="Q215" s="27" t="s">
        <v>8</v>
      </c>
      <c r="R215" s="27" t="s">
        <v>7</v>
      </c>
    </row>
    <row r="216" spans="1:20" x14ac:dyDescent="0.25">
      <c r="A216" s="30">
        <v>3.2250999437137038</v>
      </c>
      <c r="E216" t="s">
        <v>8</v>
      </c>
      <c r="J216" s="27" t="s">
        <v>7</v>
      </c>
      <c r="Q216" s="27" t="s">
        <v>8</v>
      </c>
      <c r="R216" s="27" t="s">
        <v>7</v>
      </c>
    </row>
    <row r="217" spans="1:20" x14ac:dyDescent="0.25">
      <c r="A217" s="30">
        <v>3.0715237559178128</v>
      </c>
      <c r="E217" t="s">
        <v>8</v>
      </c>
      <c r="J217" s="27" t="s">
        <v>7</v>
      </c>
      <c r="K217" s="27" t="s">
        <v>8</v>
      </c>
      <c r="O217" s="27" t="s">
        <v>8</v>
      </c>
      <c r="Q217" s="27" t="s">
        <v>8</v>
      </c>
      <c r="R217" s="27" t="s">
        <v>7</v>
      </c>
    </row>
    <row r="218" spans="1:20" x14ac:dyDescent="0.25">
      <c r="A218" s="30">
        <v>2.9252607199217264</v>
      </c>
      <c r="E218" t="s">
        <v>8</v>
      </c>
      <c r="J218" s="27" t="s">
        <v>7</v>
      </c>
      <c r="K218" s="27" t="s">
        <v>8</v>
      </c>
      <c r="L218" s="27" t="s">
        <v>7</v>
      </c>
      <c r="M218" s="27" t="s">
        <v>8</v>
      </c>
      <c r="O218" s="27" t="s">
        <v>8</v>
      </c>
      <c r="P218" s="27" t="s">
        <v>7</v>
      </c>
      <c r="Q218" s="27" t="s">
        <v>8</v>
      </c>
      <c r="R218" s="27" t="s">
        <v>7</v>
      </c>
    </row>
    <row r="219" spans="1:20" x14ac:dyDescent="0.25">
      <c r="A219" s="30">
        <v>2.7859625904016441</v>
      </c>
      <c r="E219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N219" s="27" t="s">
        <v>7</v>
      </c>
      <c r="O219" s="27" t="s">
        <v>8</v>
      </c>
      <c r="P219" s="27" t="s">
        <v>7</v>
      </c>
      <c r="Q219" s="27" t="s">
        <v>8</v>
      </c>
      <c r="R219" s="27" t="s">
        <v>7</v>
      </c>
    </row>
    <row r="220" spans="1:20" x14ac:dyDescent="0.25">
      <c r="A220" s="30">
        <v>2.6532977051444226</v>
      </c>
      <c r="E220" t="s">
        <v>8</v>
      </c>
      <c r="J220" s="27" t="s">
        <v>7</v>
      </c>
      <c r="K220" s="27" t="s">
        <v>8</v>
      </c>
      <c r="L220" s="27" t="s">
        <v>7</v>
      </c>
      <c r="M220" s="27" t="s">
        <v>8</v>
      </c>
      <c r="N220" s="27" t="s">
        <v>7</v>
      </c>
      <c r="O220" s="27" t="s">
        <v>8</v>
      </c>
      <c r="P220" s="27" t="s">
        <v>7</v>
      </c>
      <c r="Q220" s="27" t="s">
        <v>8</v>
      </c>
      <c r="R220" s="27" t="s">
        <v>7</v>
      </c>
    </row>
    <row r="221" spans="1:20" x14ac:dyDescent="0.25">
      <c r="A221" s="30">
        <v>2.5269501953756404</v>
      </c>
      <c r="E221" t="s">
        <v>8</v>
      </c>
      <c r="J221" s="27" t="s">
        <v>7</v>
      </c>
      <c r="K221" s="27" t="s">
        <v>8</v>
      </c>
      <c r="L221" s="27" t="s">
        <v>7</v>
      </c>
      <c r="M221" s="27" t="s">
        <v>8</v>
      </c>
      <c r="N221" s="27" t="s">
        <v>7</v>
      </c>
      <c r="O221" s="27" t="s">
        <v>8</v>
      </c>
      <c r="P221" s="27" t="s">
        <v>7</v>
      </c>
      <c r="Q221" s="27" t="s">
        <v>8</v>
      </c>
      <c r="R221" s="27" t="s">
        <v>7</v>
      </c>
      <c r="S221" s="27" t="s">
        <v>8</v>
      </c>
    </row>
    <row r="222" spans="1:20" x14ac:dyDescent="0.25">
      <c r="A222" s="30">
        <v>2.4066192336910861</v>
      </c>
      <c r="E222" t="s">
        <v>8</v>
      </c>
      <c r="J222" s="27" t="s">
        <v>7</v>
      </c>
      <c r="K222" s="27" t="s">
        <v>8</v>
      </c>
      <c r="L222" s="27" t="s">
        <v>7</v>
      </c>
      <c r="M222" s="27" t="s">
        <v>8</v>
      </c>
      <c r="N222" s="27" t="s">
        <v>7</v>
      </c>
      <c r="O222" s="27" t="s">
        <v>8</v>
      </c>
      <c r="P222" s="27" t="s">
        <v>7</v>
      </c>
      <c r="R222" s="27" t="s">
        <v>7</v>
      </c>
      <c r="S222" s="27" t="s">
        <v>8</v>
      </c>
      <c r="T222" s="27" t="s">
        <v>7</v>
      </c>
    </row>
    <row r="223" spans="1:20" x14ac:dyDescent="0.25">
      <c r="A223" s="30">
        <v>2.2920183178010345</v>
      </c>
      <c r="E223" t="s">
        <v>8</v>
      </c>
      <c r="J223" s="27" t="s">
        <v>7</v>
      </c>
      <c r="K223" s="27" t="s">
        <v>8</v>
      </c>
      <c r="L223" s="27" t="s">
        <v>7</v>
      </c>
      <c r="N223" s="27" t="s">
        <v>7</v>
      </c>
      <c r="O223" s="27" t="s">
        <v>8</v>
      </c>
      <c r="R223" s="27" t="s">
        <v>7</v>
      </c>
      <c r="S223" s="27" t="s">
        <v>8</v>
      </c>
      <c r="T223" s="27" t="s">
        <v>7</v>
      </c>
    </row>
    <row r="224" spans="1:20" x14ac:dyDescent="0.25">
      <c r="A224" s="30">
        <v>2.1828745883819374</v>
      </c>
      <c r="E224" t="s">
        <v>8</v>
      </c>
      <c r="J224" s="27" t="s">
        <v>7</v>
      </c>
      <c r="N224" s="27" t="s">
        <v>7</v>
      </c>
      <c r="O224" s="27" t="s">
        <v>8</v>
      </c>
      <c r="R224" s="27" t="s">
        <v>7</v>
      </c>
      <c r="T224" s="27" t="s">
        <v>7</v>
      </c>
    </row>
    <row r="225" spans="1:60" x14ac:dyDescent="0.25">
      <c r="A225" s="30">
        <v>2.0789281794113688</v>
      </c>
      <c r="E225" t="s">
        <v>8</v>
      </c>
      <c r="N225" s="27" t="s">
        <v>7</v>
      </c>
      <c r="O225" s="27" t="s">
        <v>8</v>
      </c>
      <c r="T225" s="27" t="s">
        <v>7</v>
      </c>
    </row>
    <row r="226" spans="1:60" x14ac:dyDescent="0.25">
      <c r="A226" s="30">
        <v>1.9799315994393987</v>
      </c>
      <c r="E226" t="s">
        <v>8</v>
      </c>
      <c r="N226" s="27" t="s">
        <v>7</v>
      </c>
      <c r="O226" s="27" t="s">
        <v>8</v>
      </c>
      <c r="T226" s="27" t="s">
        <v>7</v>
      </c>
      <c r="U226" s="27" t="s">
        <v>8</v>
      </c>
    </row>
    <row r="227" spans="1:60" x14ac:dyDescent="0.25">
      <c r="A227" s="30">
        <v>1.8856491423232367</v>
      </c>
      <c r="E227" t="s">
        <v>8</v>
      </c>
      <c r="N227" s="27" t="s">
        <v>7</v>
      </c>
      <c r="O227" s="27" t="s">
        <v>8</v>
      </c>
      <c r="T227" s="27" t="s">
        <v>7</v>
      </c>
      <c r="U227" s="27" t="s">
        <v>8</v>
      </c>
      <c r="V227" s="27" t="s">
        <v>7</v>
      </c>
    </row>
    <row r="228" spans="1:60" x14ac:dyDescent="0.25">
      <c r="A228" s="30">
        <v>1.7958563260221301</v>
      </c>
      <c r="C228" s="7"/>
      <c r="D228"/>
      <c r="E228" t="s">
        <v>8</v>
      </c>
      <c r="N228" s="27" t="s">
        <v>7</v>
      </c>
      <c r="O228" s="27" t="s">
        <v>8</v>
      </c>
      <c r="T228" s="27" t="s">
        <v>7</v>
      </c>
      <c r="U228" s="27" t="s">
        <v>8</v>
      </c>
      <c r="V228" s="27" t="s">
        <v>7</v>
      </c>
    </row>
    <row r="229" spans="1:60" x14ac:dyDescent="0.25">
      <c r="A229" s="30">
        <v>1.7103393581163142</v>
      </c>
      <c r="E229" t="s">
        <v>8</v>
      </c>
      <c r="N229" s="27" t="s">
        <v>7</v>
      </c>
      <c r="O229" s="27" t="s">
        <v>8</v>
      </c>
      <c r="T229" s="27" t="s">
        <v>7</v>
      </c>
      <c r="U229" s="27" t="s">
        <v>8</v>
      </c>
      <c r="V229" s="27" t="s">
        <v>7</v>
      </c>
    </row>
    <row r="230" spans="1:60" x14ac:dyDescent="0.25">
      <c r="A230" s="30">
        <v>1.628894626777442</v>
      </c>
      <c r="E230" t="s">
        <v>8</v>
      </c>
      <c r="N230" s="27" t="s">
        <v>7</v>
      </c>
      <c r="O230" s="27" t="s">
        <v>8</v>
      </c>
      <c r="T230" s="27" t="s">
        <v>7</v>
      </c>
      <c r="U230" s="27" t="s">
        <v>8</v>
      </c>
      <c r="V230" s="27" t="s">
        <v>7</v>
      </c>
    </row>
    <row r="231" spans="1:60" x14ac:dyDescent="0.25">
      <c r="A231" s="30">
        <v>1.5513282159785162</v>
      </c>
      <c r="C231"/>
      <c r="D231"/>
      <c r="E231" t="s">
        <v>8</v>
      </c>
      <c r="N231" s="27" t="s">
        <v>7</v>
      </c>
      <c r="O231" s="27" t="s">
        <v>8</v>
      </c>
      <c r="T231" s="27" t="s">
        <v>7</v>
      </c>
      <c r="V231" s="27" t="s">
        <v>7</v>
      </c>
    </row>
    <row r="232" spans="1:60" x14ac:dyDescent="0.25">
      <c r="A232" s="30">
        <v>1.477455443789063</v>
      </c>
      <c r="E232" t="s">
        <v>8</v>
      </c>
      <c r="N232" s="27" t="s">
        <v>7</v>
      </c>
      <c r="V232" s="27" t="s">
        <v>7</v>
      </c>
    </row>
    <row r="233" spans="1:60" x14ac:dyDescent="0.25">
      <c r="A233" s="30">
        <v>1.4071004226562505</v>
      </c>
      <c r="E233" t="s">
        <v>8</v>
      </c>
      <c r="V233" s="27" t="s">
        <v>7</v>
      </c>
    </row>
    <row r="234" spans="1:60" x14ac:dyDescent="0.25">
      <c r="A234" s="30">
        <v>1.3400956406250004</v>
      </c>
      <c r="E234" t="s">
        <v>8</v>
      </c>
      <c r="V234" s="27" t="s">
        <v>7</v>
      </c>
    </row>
    <row r="235" spans="1:60" x14ac:dyDescent="0.25">
      <c r="A235" s="30">
        <v>1.2762815625000004</v>
      </c>
      <c r="C235"/>
      <c r="E235" t="s">
        <v>8</v>
      </c>
      <c r="V235" s="27" t="s">
        <v>7</v>
      </c>
    </row>
    <row r="236" spans="1:60" x14ac:dyDescent="0.25">
      <c r="A236" s="30">
        <v>1.2155062500000002</v>
      </c>
      <c r="E236" t="s">
        <v>8</v>
      </c>
      <c r="V236" s="27" t="s">
        <v>7</v>
      </c>
      <c r="AC236" s="27" t="s">
        <v>8</v>
      </c>
    </row>
    <row r="237" spans="1:6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V237" s="27" t="s">
        <v>7</v>
      </c>
      <c r="AC237" s="27" t="s">
        <v>8</v>
      </c>
      <c r="AD237" s="27" t="s">
        <v>7</v>
      </c>
      <c r="BG237" s="27" t="s">
        <v>8</v>
      </c>
    </row>
    <row r="238" spans="1:60" x14ac:dyDescent="0.25">
      <c r="A238" s="30">
        <v>1.1025</v>
      </c>
      <c r="E238" t="s">
        <v>8</v>
      </c>
      <c r="V238" s="27" t="s">
        <v>7</v>
      </c>
      <c r="W238" s="27" t="s">
        <v>8</v>
      </c>
      <c r="AC238" s="27" t="s">
        <v>8</v>
      </c>
      <c r="AD238" s="27" t="s">
        <v>7</v>
      </c>
      <c r="BG238" s="27" t="s">
        <v>8</v>
      </c>
      <c r="BH238" s="27" t="s">
        <v>7</v>
      </c>
    </row>
    <row r="239" spans="1:60" x14ac:dyDescent="0.25">
      <c r="A239" s="30">
        <v>1.05</v>
      </c>
      <c r="E239" t="s">
        <v>8</v>
      </c>
      <c r="V239" s="27" t="s">
        <v>7</v>
      </c>
      <c r="W239" s="27" t="s">
        <v>8</v>
      </c>
      <c r="X239" s="27" t="s">
        <v>7</v>
      </c>
      <c r="AC239" s="27" t="s">
        <v>8</v>
      </c>
      <c r="AD239" s="27" t="s">
        <v>7</v>
      </c>
      <c r="BG239" s="27" t="s">
        <v>8</v>
      </c>
      <c r="BH239" s="27" t="s">
        <v>7</v>
      </c>
    </row>
    <row r="240" spans="1:60" x14ac:dyDescent="0.25">
      <c r="A240" s="30">
        <v>1</v>
      </c>
      <c r="E240" s="29" t="s">
        <v>8</v>
      </c>
      <c r="V240" s="27" t="s">
        <v>7</v>
      </c>
      <c r="W240" s="27" t="s">
        <v>8</v>
      </c>
      <c r="X240" s="27" t="s">
        <v>7</v>
      </c>
      <c r="AC240" s="27" t="s">
        <v>8</v>
      </c>
      <c r="AD240" s="27" t="s">
        <v>7</v>
      </c>
      <c r="BG240" s="27" t="s">
        <v>8</v>
      </c>
      <c r="BH240" s="27" t="s">
        <v>7</v>
      </c>
    </row>
    <row r="241" spans="1:76" x14ac:dyDescent="0.25">
      <c r="A241" s="30">
        <v>0.952380952380952</v>
      </c>
      <c r="B241"/>
      <c r="C241"/>
      <c r="D241"/>
      <c r="E241"/>
      <c r="V241" s="27" t="s">
        <v>7</v>
      </c>
      <c r="W241" s="27" t="s">
        <v>8</v>
      </c>
      <c r="X241" s="27" t="s">
        <v>7</v>
      </c>
      <c r="AC241" s="27" t="s">
        <v>8</v>
      </c>
      <c r="AD241" s="27" t="s">
        <v>7</v>
      </c>
      <c r="BE241" s="27" t="s">
        <v>8</v>
      </c>
      <c r="BG241" s="27" t="s">
        <v>8</v>
      </c>
      <c r="BH241" s="27" t="s">
        <v>7</v>
      </c>
    </row>
    <row r="242" spans="1:76" x14ac:dyDescent="0.25">
      <c r="A242" s="30">
        <v>0.90702947845804915</v>
      </c>
      <c r="B242"/>
      <c r="C242"/>
      <c r="D242"/>
      <c r="E242"/>
      <c r="V242" s="27" t="s">
        <v>7</v>
      </c>
      <c r="W242" s="27" t="s">
        <v>8</v>
      </c>
      <c r="X242" s="27" t="s">
        <v>7</v>
      </c>
      <c r="AA242" s="27" t="s">
        <v>8</v>
      </c>
      <c r="AC242" s="27" t="s">
        <v>8</v>
      </c>
      <c r="AD242" s="27" t="s">
        <v>7</v>
      </c>
      <c r="BE242" s="27" t="s">
        <v>8</v>
      </c>
      <c r="BF242" s="27" t="s">
        <v>7</v>
      </c>
      <c r="BG242" s="27" t="s">
        <v>8</v>
      </c>
      <c r="BH242" s="27" t="s">
        <v>7</v>
      </c>
    </row>
    <row r="243" spans="1:76" x14ac:dyDescent="0.25">
      <c r="A243" s="30">
        <v>0.86383759853147501</v>
      </c>
      <c r="B243"/>
      <c r="C243"/>
      <c r="D243"/>
      <c r="E243"/>
      <c r="V243" s="27" t="s">
        <v>7</v>
      </c>
      <c r="W243" s="27" t="s">
        <v>8</v>
      </c>
      <c r="X243" s="27" t="s">
        <v>7</v>
      </c>
      <c r="Y243" s="27" t="s">
        <v>8</v>
      </c>
      <c r="AA243" s="27" t="s">
        <v>8</v>
      </c>
      <c r="AB243" s="27" t="s">
        <v>7</v>
      </c>
      <c r="AC243" s="27" t="s">
        <v>8</v>
      </c>
      <c r="AD243" s="27" t="s">
        <v>7</v>
      </c>
      <c r="BE243" s="27" t="s">
        <v>8</v>
      </c>
      <c r="BF243" s="27" t="s">
        <v>7</v>
      </c>
      <c r="BG243" s="27" t="s">
        <v>8</v>
      </c>
      <c r="BH243" s="27" t="s">
        <v>7</v>
      </c>
    </row>
    <row r="244" spans="1:76" x14ac:dyDescent="0.25">
      <c r="A244" s="30">
        <v>0.82270247479188063</v>
      </c>
      <c r="B244"/>
      <c r="C244"/>
      <c r="D244"/>
      <c r="E244"/>
      <c r="V244" s="27" t="s">
        <v>7</v>
      </c>
      <c r="W244" s="27" t="s">
        <v>8</v>
      </c>
      <c r="X244" s="27" t="s">
        <v>7</v>
      </c>
      <c r="Y244" s="27" t="s">
        <v>8</v>
      </c>
      <c r="Z244" s="27" t="s">
        <v>7</v>
      </c>
      <c r="AA244" s="27" t="s">
        <v>8</v>
      </c>
      <c r="AB244" s="27" t="s">
        <v>7</v>
      </c>
      <c r="AC244" s="27" t="s">
        <v>8</v>
      </c>
      <c r="AD244" s="27" t="s">
        <v>7</v>
      </c>
      <c r="AY244" s="27" t="s">
        <v>8</v>
      </c>
      <c r="BA244" s="27" t="s">
        <v>8</v>
      </c>
      <c r="BC244" s="27" t="s">
        <v>8</v>
      </c>
      <c r="BE244" s="27" t="s">
        <v>8</v>
      </c>
      <c r="BF244" s="27" t="s">
        <v>7</v>
      </c>
      <c r="BG244" s="27" t="s">
        <v>8</v>
      </c>
      <c r="BH244" s="27" t="s">
        <v>7</v>
      </c>
    </row>
    <row r="245" spans="1:76" x14ac:dyDescent="0.25">
      <c r="A245" s="30">
        <v>0.78352616646845741</v>
      </c>
      <c r="B245"/>
      <c r="C245"/>
      <c r="D245"/>
      <c r="E245"/>
      <c r="V245" s="27" t="s">
        <v>7</v>
      </c>
      <c r="W245" s="27" t="s">
        <v>8</v>
      </c>
      <c r="X245" s="27" t="s">
        <v>7</v>
      </c>
      <c r="Y245" s="27" t="s">
        <v>8</v>
      </c>
      <c r="Z245" s="27" t="s">
        <v>7</v>
      </c>
      <c r="AA245" s="27" t="s">
        <v>8</v>
      </c>
      <c r="AB245" s="27" t="s">
        <v>7</v>
      </c>
      <c r="AC245" s="27" t="s">
        <v>8</v>
      </c>
      <c r="AD245" s="27" t="s">
        <v>7</v>
      </c>
      <c r="AQ245" s="27" t="s">
        <v>8</v>
      </c>
      <c r="AY245" s="27" t="s">
        <v>8</v>
      </c>
      <c r="AZ245" s="27" t="s">
        <v>7</v>
      </c>
      <c r="BA245" s="27" t="s">
        <v>8</v>
      </c>
      <c r="BB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H245" s="27" t="s">
        <v>7</v>
      </c>
    </row>
    <row r="246" spans="1:76" x14ac:dyDescent="0.25">
      <c r="A246" s="30">
        <v>0.74621539663662584</v>
      </c>
      <c r="B246"/>
      <c r="C246"/>
      <c r="D246"/>
      <c r="E246"/>
      <c r="V246" s="27" t="s">
        <v>7</v>
      </c>
      <c r="W246" s="27" t="s">
        <v>8</v>
      </c>
      <c r="X246" s="27" t="s">
        <v>7</v>
      </c>
      <c r="Z246" s="27" t="s">
        <v>7</v>
      </c>
      <c r="AA246" s="27" t="s">
        <v>8</v>
      </c>
      <c r="AB246" s="27" t="s">
        <v>7</v>
      </c>
      <c r="AC246" s="27" t="s">
        <v>8</v>
      </c>
      <c r="AD246" s="27" t="s">
        <v>7</v>
      </c>
      <c r="AE246" s="27" t="s">
        <v>8</v>
      </c>
      <c r="AQ246" s="27" t="s">
        <v>8</v>
      </c>
      <c r="AR246" s="27" t="s">
        <v>7</v>
      </c>
      <c r="AY246" s="27" t="s">
        <v>8</v>
      </c>
      <c r="AZ246" s="27" t="s">
        <v>7</v>
      </c>
      <c r="BA246" s="27" t="s">
        <v>8</v>
      </c>
      <c r="BB246" s="27" t="s">
        <v>7</v>
      </c>
      <c r="BC246" s="27" t="s">
        <v>8</v>
      </c>
      <c r="BD246" s="27" t="s">
        <v>7</v>
      </c>
      <c r="BE246" s="27" t="s">
        <v>8</v>
      </c>
      <c r="BH246" s="27" t="s">
        <v>7</v>
      </c>
      <c r="BM246" s="27" t="s">
        <v>8</v>
      </c>
    </row>
    <row r="247" spans="1:76" x14ac:dyDescent="0.25">
      <c r="A247" s="30">
        <v>0.71068133013011958</v>
      </c>
      <c r="B247"/>
      <c r="C247"/>
      <c r="D247"/>
      <c r="E247"/>
      <c r="V247" s="27" t="s">
        <v>7</v>
      </c>
      <c r="Z247" s="27" t="s">
        <v>7</v>
      </c>
      <c r="AA247" s="27" t="s">
        <v>8</v>
      </c>
      <c r="AB247" s="27" t="s">
        <v>7</v>
      </c>
      <c r="AC247" s="27" t="s">
        <v>8</v>
      </c>
      <c r="AD247" s="27" t="s">
        <v>7</v>
      </c>
      <c r="AE247" s="27" t="s">
        <v>8</v>
      </c>
      <c r="AF247" s="27" t="s">
        <v>7</v>
      </c>
      <c r="AG247" s="27" t="s">
        <v>8</v>
      </c>
      <c r="AQ247" s="27" t="s">
        <v>8</v>
      </c>
      <c r="AR247" s="27" t="s">
        <v>7</v>
      </c>
      <c r="AY247" s="27" t="s">
        <v>8</v>
      </c>
      <c r="AZ247" s="27" t="s">
        <v>7</v>
      </c>
      <c r="BA247" s="27" t="s">
        <v>8</v>
      </c>
      <c r="BB247" s="27" t="s">
        <v>7</v>
      </c>
      <c r="BC247" s="27" t="s">
        <v>8</v>
      </c>
      <c r="BD247" s="27" t="s">
        <v>7</v>
      </c>
      <c r="BE247" s="27" t="s">
        <v>8</v>
      </c>
      <c r="BH247" s="27" t="s">
        <v>7</v>
      </c>
      <c r="BI247" s="27" t="s">
        <v>8</v>
      </c>
      <c r="BK247" s="27" t="s">
        <v>8</v>
      </c>
      <c r="BM247" s="27" t="s">
        <v>8</v>
      </c>
      <c r="BN247" s="27" t="s">
        <v>7</v>
      </c>
    </row>
    <row r="248" spans="1:76" x14ac:dyDescent="0.25">
      <c r="A248" s="30">
        <v>0.676839362028685</v>
      </c>
      <c r="B248"/>
      <c r="C248"/>
      <c r="D248"/>
      <c r="E248"/>
      <c r="Z248" s="27" t="s">
        <v>7</v>
      </c>
      <c r="AA248" s="27" t="s">
        <v>8</v>
      </c>
      <c r="AB248" s="27" t="s">
        <v>7</v>
      </c>
      <c r="AC248" s="27" t="s">
        <v>8</v>
      </c>
      <c r="AD248" s="27" t="s">
        <v>7</v>
      </c>
      <c r="AE248" s="27" t="s">
        <v>8</v>
      </c>
      <c r="AF248" s="27" t="s">
        <v>7</v>
      </c>
      <c r="AG248" s="27" t="s">
        <v>8</v>
      </c>
      <c r="AH248" s="27" t="s">
        <v>7</v>
      </c>
      <c r="AQ248" s="27" t="s">
        <v>8</v>
      </c>
      <c r="AR248" s="27" t="s">
        <v>7</v>
      </c>
      <c r="AW248" s="27" t="s">
        <v>8</v>
      </c>
      <c r="AY248" s="27" t="s">
        <v>8</v>
      </c>
      <c r="AZ248" s="27" t="s">
        <v>7</v>
      </c>
      <c r="BB248" s="27" t="s">
        <v>7</v>
      </c>
      <c r="BD248" s="27" t="s">
        <v>7</v>
      </c>
      <c r="BH248" s="27" t="s">
        <v>7</v>
      </c>
      <c r="BI248" s="27" t="s">
        <v>8</v>
      </c>
      <c r="BJ248" s="27" t="s">
        <v>7</v>
      </c>
      <c r="BK248" s="27" t="s">
        <v>8</v>
      </c>
      <c r="BL248" s="27" t="s">
        <v>7</v>
      </c>
      <c r="BM248" s="27" t="s">
        <v>8</v>
      </c>
      <c r="BN248" s="27" t="s">
        <v>7</v>
      </c>
      <c r="BU248" s="27" t="s">
        <v>8</v>
      </c>
    </row>
    <row r="249" spans="1:76" x14ac:dyDescent="0.25">
      <c r="A249" s="30">
        <v>0.64460891621779492</v>
      </c>
      <c r="B249"/>
      <c r="C249"/>
      <c r="D249"/>
      <c r="E249"/>
      <c r="Z249" s="27" t="s">
        <v>7</v>
      </c>
      <c r="AA249" s="27" t="s">
        <v>8</v>
      </c>
      <c r="AB249" s="27" t="s">
        <v>7</v>
      </c>
      <c r="AC249" s="27" t="s">
        <v>8</v>
      </c>
      <c r="AD249" s="27" t="s">
        <v>7</v>
      </c>
      <c r="AE249" s="27" t="s">
        <v>8</v>
      </c>
      <c r="AF249" s="27" t="s">
        <v>7</v>
      </c>
      <c r="AG249" s="27" t="s">
        <v>8</v>
      </c>
      <c r="AH249" s="27" t="s">
        <v>7</v>
      </c>
      <c r="AQ249" s="27" t="s">
        <v>8</v>
      </c>
      <c r="AR249" s="27" t="s">
        <v>7</v>
      </c>
      <c r="AS249" s="27" t="s">
        <v>8</v>
      </c>
      <c r="AW249" s="27" t="s">
        <v>8</v>
      </c>
      <c r="AX249" s="27" t="s">
        <v>7</v>
      </c>
      <c r="AY249" s="27" t="s">
        <v>8</v>
      </c>
      <c r="BH249" s="27" t="s">
        <v>7</v>
      </c>
      <c r="BI249" s="27" t="s">
        <v>8</v>
      </c>
      <c r="BJ249" s="27" t="s">
        <v>7</v>
      </c>
      <c r="BK249" s="27" t="s">
        <v>8</v>
      </c>
      <c r="BL249" s="27" t="s">
        <v>7</v>
      </c>
      <c r="BM249" s="27" t="s">
        <v>8</v>
      </c>
      <c r="BN249" s="27" t="s">
        <v>7</v>
      </c>
      <c r="BQ249" s="27" t="s">
        <v>8</v>
      </c>
      <c r="BS249" s="27" t="s">
        <v>8</v>
      </c>
      <c r="BU249" s="27" t="s">
        <v>8</v>
      </c>
      <c r="BV249" s="27" t="s">
        <v>7</v>
      </c>
    </row>
    <row r="250" spans="1:76" x14ac:dyDescent="0.25">
      <c r="A250" s="30">
        <v>0.61391325354075688</v>
      </c>
      <c r="B250"/>
      <c r="C250"/>
      <c r="D250"/>
      <c r="E250"/>
      <c r="Z250" s="27" t="s">
        <v>7</v>
      </c>
      <c r="AA250" s="27" t="s">
        <v>8</v>
      </c>
      <c r="AB250" s="27" t="s">
        <v>7</v>
      </c>
      <c r="AD250" s="27" t="s">
        <v>7</v>
      </c>
      <c r="AF250" s="27" t="s">
        <v>7</v>
      </c>
      <c r="AH250" s="27" t="s">
        <v>7</v>
      </c>
      <c r="AQ250" s="27" t="s">
        <v>8</v>
      </c>
      <c r="AR250" s="27" t="s">
        <v>7</v>
      </c>
      <c r="AS250" s="27" t="s">
        <v>8</v>
      </c>
      <c r="AT250" s="27" t="s">
        <v>7</v>
      </c>
      <c r="AU250" s="27" t="s">
        <v>8</v>
      </c>
      <c r="AW250" s="27" t="s">
        <v>8</v>
      </c>
      <c r="AX250" s="27" t="s">
        <v>7</v>
      </c>
      <c r="AY250" s="27" t="s">
        <v>8</v>
      </c>
      <c r="BH250" s="27" t="s">
        <v>7</v>
      </c>
      <c r="BI250" s="27" t="s">
        <v>8</v>
      </c>
      <c r="BJ250" s="27" t="s">
        <v>7</v>
      </c>
      <c r="BL250" s="27" t="s">
        <v>7</v>
      </c>
      <c r="BN250" s="27" t="s">
        <v>7</v>
      </c>
      <c r="BQ250" s="27" t="s">
        <v>8</v>
      </c>
      <c r="BR250" s="27" t="s">
        <v>7</v>
      </c>
      <c r="BS250" s="27" t="s">
        <v>8</v>
      </c>
      <c r="BT250" s="27" t="s">
        <v>7</v>
      </c>
      <c r="BU250" s="27" t="s">
        <v>8</v>
      </c>
      <c r="BV250" s="27" t="s">
        <v>7</v>
      </c>
    </row>
    <row r="251" spans="1:76" x14ac:dyDescent="0.25">
      <c r="A251" s="30">
        <v>0.58467928908643485</v>
      </c>
      <c r="B251"/>
      <c r="C251"/>
      <c r="D251"/>
      <c r="E251"/>
      <c r="Z251" s="27" t="s">
        <v>7</v>
      </c>
      <c r="AA251" s="27" t="s">
        <v>8</v>
      </c>
      <c r="AH251" s="27" t="s">
        <v>7</v>
      </c>
      <c r="AQ251" s="27" t="s">
        <v>8</v>
      </c>
      <c r="AR251" s="27" t="s">
        <v>7</v>
      </c>
      <c r="AS251" s="27" t="s">
        <v>8</v>
      </c>
      <c r="AT251" s="27" t="s">
        <v>7</v>
      </c>
      <c r="AU251" s="27" t="s">
        <v>8</v>
      </c>
      <c r="AV251" s="27" t="s">
        <v>7</v>
      </c>
      <c r="AW251" s="27" t="s">
        <v>8</v>
      </c>
      <c r="AX251" s="27" t="s">
        <v>7</v>
      </c>
      <c r="BH251" s="27" t="s">
        <v>7</v>
      </c>
      <c r="BI251" s="27" t="s">
        <v>8</v>
      </c>
      <c r="BN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BU251" s="27" t="s">
        <v>8</v>
      </c>
      <c r="BV251" s="27" t="s">
        <v>7</v>
      </c>
    </row>
    <row r="252" spans="1:76" x14ac:dyDescent="0.25">
      <c r="A252" s="30">
        <v>0.55683741817755672</v>
      </c>
      <c r="B252"/>
      <c r="C252"/>
      <c r="D252"/>
      <c r="E252"/>
      <c r="Z252" s="27" t="s">
        <v>7</v>
      </c>
      <c r="AA252" s="27" t="s">
        <v>8</v>
      </c>
      <c r="AH252" s="27" t="s">
        <v>7</v>
      </c>
      <c r="AQ252" s="27" t="s">
        <v>8</v>
      </c>
      <c r="AR252" s="27" t="s">
        <v>7</v>
      </c>
      <c r="AS252" s="27" t="s">
        <v>8</v>
      </c>
      <c r="AT252" s="27" t="s">
        <v>7</v>
      </c>
      <c r="AU252" s="27" t="s">
        <v>8</v>
      </c>
      <c r="AV252" s="27" t="s">
        <v>7</v>
      </c>
      <c r="AW252" s="27" t="s">
        <v>8</v>
      </c>
      <c r="BH252" s="27" t="s">
        <v>7</v>
      </c>
      <c r="BN252" s="27" t="s">
        <v>7</v>
      </c>
      <c r="BO252" s="27" t="s">
        <v>8</v>
      </c>
      <c r="BQ252" s="27" t="s">
        <v>8</v>
      </c>
      <c r="BR252" s="27" t="s">
        <v>7</v>
      </c>
      <c r="BS252" s="27" t="s">
        <v>8</v>
      </c>
      <c r="BT252" s="27" t="s">
        <v>7</v>
      </c>
      <c r="BU252" s="27" t="s">
        <v>8</v>
      </c>
      <c r="BV252" s="27" t="s">
        <v>7</v>
      </c>
    </row>
    <row r="253" spans="1:76" x14ac:dyDescent="0.25">
      <c r="A253" s="30">
        <v>0.53032135064529184</v>
      </c>
      <c r="B253"/>
      <c r="C253"/>
      <c r="D253"/>
      <c r="E253"/>
      <c r="Z253" s="27" t="s">
        <v>7</v>
      </c>
      <c r="AH253" s="27" t="s">
        <v>7</v>
      </c>
      <c r="AM253" s="27" t="s">
        <v>8</v>
      </c>
      <c r="AO253" s="27" t="s">
        <v>8</v>
      </c>
      <c r="AQ253" s="27" t="s">
        <v>8</v>
      </c>
      <c r="AR253" s="27" t="s">
        <v>7</v>
      </c>
      <c r="AS253" s="27" t="s">
        <v>8</v>
      </c>
      <c r="AT253" s="27" t="s">
        <v>7</v>
      </c>
      <c r="AU253" s="27" t="s">
        <v>8</v>
      </c>
      <c r="AV253" s="27" t="s">
        <v>7</v>
      </c>
      <c r="BN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U253" s="27" t="s">
        <v>8</v>
      </c>
      <c r="BV253" s="27" t="s">
        <v>7</v>
      </c>
      <c r="BW253" s="27" t="s">
        <v>8</v>
      </c>
    </row>
    <row r="254" spans="1:76" x14ac:dyDescent="0.25">
      <c r="A254" s="30">
        <v>0.50506795299551588</v>
      </c>
      <c r="B254"/>
      <c r="C254"/>
      <c r="D254"/>
      <c r="E254"/>
      <c r="AH254" s="27" t="s">
        <v>7</v>
      </c>
      <c r="AM254" s="27" t="s">
        <v>8</v>
      </c>
      <c r="AN254" s="27" t="s">
        <v>7</v>
      </c>
      <c r="AO254" s="27" t="s">
        <v>8</v>
      </c>
      <c r="AP254" s="27" t="s">
        <v>7</v>
      </c>
      <c r="AQ254" s="27" t="s">
        <v>8</v>
      </c>
      <c r="AR254" s="27" t="s">
        <v>7</v>
      </c>
      <c r="AS254" s="27" t="s">
        <v>8</v>
      </c>
      <c r="AT254" s="27" t="s">
        <v>7</v>
      </c>
      <c r="BN254" s="27" t="s">
        <v>7</v>
      </c>
      <c r="BO254" s="27" t="s">
        <v>8</v>
      </c>
      <c r="BP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  <c r="BU254" s="27" t="s">
        <v>8</v>
      </c>
      <c r="BV254" s="27" t="s">
        <v>7</v>
      </c>
      <c r="BW254" s="27" t="s">
        <v>8</v>
      </c>
      <c r="BX254" s="27" t="s">
        <v>7</v>
      </c>
    </row>
    <row r="255" spans="1:76" x14ac:dyDescent="0.25">
      <c r="A255" s="30">
        <v>0.48101709809096732</v>
      </c>
      <c r="E255"/>
      <c r="AH255" s="27" t="s">
        <v>7</v>
      </c>
      <c r="AM255" s="27" t="s">
        <v>8</v>
      </c>
      <c r="AN255" s="27" t="s">
        <v>7</v>
      </c>
      <c r="AO255" s="27" t="s">
        <v>8</v>
      </c>
      <c r="AP255" s="27" t="s">
        <v>7</v>
      </c>
      <c r="AQ255" s="27" t="s">
        <v>8</v>
      </c>
      <c r="AR255" s="27" t="s">
        <v>7</v>
      </c>
      <c r="AS255" s="27" t="s">
        <v>8</v>
      </c>
      <c r="BN255" s="27" t="s">
        <v>7</v>
      </c>
      <c r="BP255" s="27" t="s">
        <v>7</v>
      </c>
      <c r="BQ255" s="27" t="s">
        <v>8</v>
      </c>
      <c r="BR255" s="27" t="s">
        <v>7</v>
      </c>
      <c r="BT255" s="27" t="s">
        <v>7</v>
      </c>
      <c r="BV255" s="27" t="s">
        <v>7</v>
      </c>
      <c r="BW255" s="27" t="s">
        <v>8</v>
      </c>
      <c r="BX255" s="27" t="s">
        <v>7</v>
      </c>
    </row>
    <row r="256" spans="1:76" x14ac:dyDescent="0.25">
      <c r="A256" s="30">
        <v>0.45811152199139726</v>
      </c>
      <c r="E256"/>
      <c r="AH256" s="27" t="s">
        <v>7</v>
      </c>
      <c r="AK256" s="27" t="s">
        <v>8</v>
      </c>
      <c r="AM256" s="27" t="s">
        <v>8</v>
      </c>
      <c r="AN256" s="27" t="s">
        <v>7</v>
      </c>
      <c r="AO256" s="27" t="s">
        <v>8</v>
      </c>
      <c r="AP256" s="27" t="s">
        <v>7</v>
      </c>
      <c r="AR256" s="27" t="s">
        <v>7</v>
      </c>
      <c r="AS256" s="27" t="s">
        <v>8</v>
      </c>
      <c r="BP256" s="27" t="s">
        <v>7</v>
      </c>
      <c r="BQ256" s="27" t="s">
        <v>8</v>
      </c>
      <c r="BV256" s="27" t="s">
        <v>7</v>
      </c>
      <c r="BW256" s="27" t="s">
        <v>8</v>
      </c>
      <c r="BX256" s="27" t="s">
        <v>7</v>
      </c>
    </row>
    <row r="257" spans="1:86" x14ac:dyDescent="0.25">
      <c r="A257" s="30">
        <v>0.43629668761085438</v>
      </c>
      <c r="B257"/>
      <c r="C257"/>
      <c r="D257"/>
      <c r="E257"/>
      <c r="AH257" s="27" t="s">
        <v>7</v>
      </c>
      <c r="AI257" s="27" t="s">
        <v>8</v>
      </c>
      <c r="AK257" s="27" t="s">
        <v>8</v>
      </c>
      <c r="AL257" s="27" t="s">
        <v>7</v>
      </c>
      <c r="AM257" s="27" t="s">
        <v>8</v>
      </c>
      <c r="AN257" s="27" t="s">
        <v>7</v>
      </c>
      <c r="AO257" s="27" t="s">
        <v>8</v>
      </c>
      <c r="AR257" s="27" t="s">
        <v>7</v>
      </c>
      <c r="AS257" s="27" t="s">
        <v>8</v>
      </c>
      <c r="BP257" s="27" t="s">
        <v>7</v>
      </c>
      <c r="BV257" s="27" t="s">
        <v>7</v>
      </c>
      <c r="BX257" s="27" t="s">
        <v>7</v>
      </c>
    </row>
    <row r="258" spans="1:86" x14ac:dyDescent="0.25">
      <c r="A258" s="30">
        <v>0.41552065486748019</v>
      </c>
      <c r="B258"/>
      <c r="C258"/>
      <c r="D258"/>
      <c r="E258"/>
      <c r="AH258" s="27" t="s">
        <v>7</v>
      </c>
      <c r="AI258" s="27" t="s">
        <v>8</v>
      </c>
      <c r="AJ258" s="27" t="s">
        <v>7</v>
      </c>
      <c r="AK258" s="27" t="s">
        <v>8</v>
      </c>
      <c r="AL258" s="27" t="s">
        <v>7</v>
      </c>
      <c r="AM258" s="27" t="s">
        <v>8</v>
      </c>
      <c r="AN258" s="27" t="s">
        <v>7</v>
      </c>
      <c r="AR258" s="27" t="s">
        <v>7</v>
      </c>
      <c r="AS258" s="27" t="s">
        <v>8</v>
      </c>
      <c r="BX258" s="27" t="s">
        <v>7</v>
      </c>
    </row>
    <row r="259" spans="1:86" x14ac:dyDescent="0.25">
      <c r="A259" s="30">
        <v>0.39573395701664765</v>
      </c>
      <c r="B259"/>
      <c r="C259"/>
      <c r="D259"/>
      <c r="E259"/>
      <c r="AH259" s="27" t="s">
        <v>7</v>
      </c>
      <c r="AI259" s="27" t="s">
        <v>8</v>
      </c>
      <c r="AJ259" s="27" t="s">
        <v>7</v>
      </c>
      <c r="AK259" s="27" t="s">
        <v>8</v>
      </c>
      <c r="AL259" s="27" t="s">
        <v>7</v>
      </c>
      <c r="AM259" s="27" t="s">
        <v>8</v>
      </c>
      <c r="AR259" s="18" t="s">
        <v>7</v>
      </c>
      <c r="AS259" s="27" t="s">
        <v>8</v>
      </c>
      <c r="BX259" s="27" t="s">
        <v>7</v>
      </c>
    </row>
    <row r="260" spans="1:86" x14ac:dyDescent="0.25">
      <c r="A260" s="30">
        <v>0.37688948287299762</v>
      </c>
      <c r="B260"/>
      <c r="C260"/>
      <c r="D260"/>
      <c r="E260"/>
      <c r="AH260" s="27" t="s">
        <v>7</v>
      </c>
      <c r="AI260" s="27" t="s">
        <v>8</v>
      </c>
      <c r="AJ260" s="27" t="s">
        <v>7</v>
      </c>
      <c r="AK260" s="27" t="s">
        <v>8</v>
      </c>
      <c r="AL260" s="27" t="s">
        <v>7</v>
      </c>
      <c r="AR260" s="27" t="s">
        <v>7</v>
      </c>
      <c r="AS260" s="27" t="s">
        <v>8</v>
      </c>
      <c r="BX260" s="27" t="s">
        <v>7</v>
      </c>
      <c r="BY260" s="27" t="s">
        <v>8</v>
      </c>
    </row>
    <row r="261" spans="1:86" x14ac:dyDescent="0.25">
      <c r="A261" s="30">
        <v>0.35894236464094997</v>
      </c>
      <c r="B261"/>
      <c r="C261"/>
      <c r="D261"/>
      <c r="E261"/>
      <c r="AH261" s="27" t="s">
        <v>7</v>
      </c>
      <c r="AI261" s="27" t="s">
        <v>8</v>
      </c>
      <c r="AJ261" s="27" t="s">
        <v>7</v>
      </c>
      <c r="AK261" s="27" t="s">
        <v>8</v>
      </c>
      <c r="AR261" s="27" t="s">
        <v>7</v>
      </c>
      <c r="BX261" s="27" t="s">
        <v>7</v>
      </c>
      <c r="BY261" s="27" t="s">
        <v>8</v>
      </c>
      <c r="BZ261" s="27" t="s">
        <v>7</v>
      </c>
    </row>
    <row r="262" spans="1:86" x14ac:dyDescent="0.25">
      <c r="A262" s="30">
        <v>0.34184987108661891</v>
      </c>
      <c r="B262"/>
      <c r="C262"/>
      <c r="D262"/>
      <c r="E262"/>
      <c r="AH262" s="27" t="s">
        <v>7</v>
      </c>
      <c r="AJ262" s="27" t="s">
        <v>7</v>
      </c>
      <c r="BX262" s="27" t="s">
        <v>7</v>
      </c>
      <c r="BY262" s="27" t="s">
        <v>8</v>
      </c>
      <c r="BZ262" s="27" t="s">
        <v>7</v>
      </c>
      <c r="CC262" s="27" t="s">
        <v>8</v>
      </c>
    </row>
    <row r="263" spans="1:86" x14ac:dyDescent="0.25">
      <c r="A263" s="30">
        <v>0.32557130579677979</v>
      </c>
      <c r="B263"/>
      <c r="C263"/>
      <c r="D263"/>
      <c r="E263"/>
      <c r="BX263" s="27" t="s">
        <v>7</v>
      </c>
      <c r="BY263" s="27" t="s">
        <v>8</v>
      </c>
      <c r="BZ263" s="27" t="s">
        <v>7</v>
      </c>
      <c r="CC263" s="27" t="s">
        <v>8</v>
      </c>
      <c r="CD263" s="27" t="s">
        <v>7</v>
      </c>
    </row>
    <row r="264" spans="1:86" x14ac:dyDescent="0.25">
      <c r="A264" s="30">
        <v>0.3100679102826473</v>
      </c>
      <c r="B264"/>
      <c r="C264"/>
      <c r="D264"/>
      <c r="E264"/>
      <c r="BX264" s="27" t="s">
        <v>7</v>
      </c>
      <c r="BZ264" s="27" t="s">
        <v>7</v>
      </c>
      <c r="CC264" s="27" t="s">
        <v>8</v>
      </c>
      <c r="CD264" s="27" t="s">
        <v>7</v>
      </c>
      <c r="CE264" s="27" t="s">
        <v>8</v>
      </c>
    </row>
    <row r="265" spans="1:86" x14ac:dyDescent="0.25">
      <c r="A265" s="30">
        <v>0.2953027716977592</v>
      </c>
      <c r="B265"/>
      <c r="C265"/>
      <c r="D265"/>
      <c r="E265"/>
      <c r="BZ265" s="27" t="s">
        <v>7</v>
      </c>
      <c r="CA265" s="27" t="s">
        <v>8</v>
      </c>
      <c r="CC265" s="27" t="s">
        <v>8</v>
      </c>
      <c r="CD265" s="27" t="s">
        <v>7</v>
      </c>
      <c r="CE265" s="27" t="s">
        <v>8</v>
      </c>
      <c r="CF265" s="27" t="s">
        <v>7</v>
      </c>
    </row>
    <row r="266" spans="1:86" x14ac:dyDescent="0.25">
      <c r="A266" s="30">
        <v>0.28124073495024676</v>
      </c>
      <c r="B266"/>
      <c r="C266"/>
      <c r="D266"/>
      <c r="E266"/>
      <c r="BZ266" s="27" t="s">
        <v>7</v>
      </c>
      <c r="CA266" s="27" t="s">
        <v>8</v>
      </c>
      <c r="CB266" s="27" t="s">
        <v>7</v>
      </c>
      <c r="CC266" s="27" t="s">
        <v>8</v>
      </c>
      <c r="CD266" s="27" t="s">
        <v>7</v>
      </c>
      <c r="CE266" s="27" t="s">
        <v>8</v>
      </c>
      <c r="CF266" s="27" t="s">
        <v>7</v>
      </c>
    </row>
    <row r="267" spans="1:86" x14ac:dyDescent="0.25">
      <c r="A267" s="30">
        <v>0.26784831900023492</v>
      </c>
      <c r="B267"/>
      <c r="C267"/>
      <c r="D267"/>
      <c r="E267"/>
      <c r="BZ267" s="27" t="s">
        <v>7</v>
      </c>
      <c r="CA267" s="27" t="s">
        <v>8</v>
      </c>
      <c r="CB267" s="27" t="s">
        <v>7</v>
      </c>
      <c r="CC267" s="27" t="s">
        <v>8</v>
      </c>
      <c r="CD267" s="27" t="s">
        <v>7</v>
      </c>
      <c r="CE267" s="27" t="s">
        <v>8</v>
      </c>
      <c r="CF267" s="27" t="s">
        <v>7</v>
      </c>
    </row>
    <row r="268" spans="1:86" x14ac:dyDescent="0.25">
      <c r="A268" s="30">
        <v>0.25509363714308075</v>
      </c>
      <c r="B268"/>
      <c r="C268"/>
      <c r="D268"/>
      <c r="E268"/>
      <c r="BZ268" s="27" t="s">
        <v>7</v>
      </c>
      <c r="CA268" s="27" t="s">
        <v>8</v>
      </c>
      <c r="CB268" s="27" t="s">
        <v>7</v>
      </c>
      <c r="CC268" s="27" t="s">
        <v>8</v>
      </c>
      <c r="CD268" s="27" t="s">
        <v>7</v>
      </c>
      <c r="CF268" s="27" t="s">
        <v>7</v>
      </c>
    </row>
    <row r="269" spans="1:86" x14ac:dyDescent="0.25">
      <c r="A269" s="30">
        <v>0.24294632108864825</v>
      </c>
      <c r="B269"/>
      <c r="C269"/>
      <c r="D269"/>
      <c r="E269"/>
      <c r="BZ269" s="27" t="s">
        <v>7</v>
      </c>
      <c r="CB269" s="27" t="s">
        <v>7</v>
      </c>
      <c r="CF269" s="27" t="s">
        <v>7</v>
      </c>
      <c r="CG269" s="27" t="s">
        <v>8</v>
      </c>
    </row>
    <row r="270" spans="1:86" x14ac:dyDescent="0.25">
      <c r="A270" s="30">
        <v>0.23137744865585538</v>
      </c>
      <c r="B270"/>
      <c r="C270"/>
      <c r="D270"/>
      <c r="E270"/>
      <c r="CF270" s="27" t="s">
        <v>7</v>
      </c>
      <c r="CG270" s="27" t="s">
        <v>8</v>
      </c>
      <c r="CH270" s="27" t="s">
        <v>7</v>
      </c>
    </row>
    <row r="271" spans="1:86" x14ac:dyDescent="0.25">
      <c r="A271" s="30">
        <v>0.22035947491033836</v>
      </c>
      <c r="B271"/>
      <c r="C271"/>
      <c r="D271"/>
      <c r="E271"/>
      <c r="CF271" s="27" t="s">
        <v>7</v>
      </c>
      <c r="CG271" s="27" t="s">
        <v>8</v>
      </c>
      <c r="CH271" s="27" t="s">
        <v>7</v>
      </c>
    </row>
    <row r="272" spans="1:86" x14ac:dyDescent="0.25">
      <c r="A272" s="30">
        <v>0.20986616658127455</v>
      </c>
      <c r="B272"/>
      <c r="C272"/>
      <c r="D272"/>
      <c r="E272"/>
      <c r="CF272" s="27" t="s">
        <v>7</v>
      </c>
      <c r="CG272" s="27" t="s">
        <v>8</v>
      </c>
      <c r="CH272" s="27" t="s">
        <v>7</v>
      </c>
    </row>
    <row r="273" spans="1:89" x14ac:dyDescent="0.25">
      <c r="A273" s="30">
        <v>0.19987253960121379</v>
      </c>
      <c r="B273"/>
      <c r="C273"/>
      <c r="D273"/>
      <c r="E273"/>
      <c r="CF273" s="27" t="s">
        <v>7</v>
      </c>
      <c r="CH273" s="27" t="s">
        <v>7</v>
      </c>
    </row>
    <row r="274" spans="1:89" x14ac:dyDescent="0.25">
      <c r="A274" s="30">
        <v>0.19035479962020352</v>
      </c>
      <c r="B274"/>
      <c r="C274"/>
      <c r="D274"/>
      <c r="E274"/>
      <c r="CH274" s="27" t="s">
        <v>7</v>
      </c>
    </row>
    <row r="275" spans="1:89" x14ac:dyDescent="0.25">
      <c r="A275" s="30">
        <v>0.18129028535257471</v>
      </c>
      <c r="B275"/>
      <c r="C275"/>
      <c r="D275"/>
      <c r="E275"/>
      <c r="CH275" s="27" t="s">
        <v>7</v>
      </c>
    </row>
    <row r="276" spans="1:89" x14ac:dyDescent="0.25">
      <c r="A276" s="30">
        <v>0.17265741462149967</v>
      </c>
      <c r="B276"/>
      <c r="C276"/>
      <c r="D276"/>
      <c r="E276"/>
      <c r="CH276" s="27" t="s">
        <v>7</v>
      </c>
      <c r="CI276" s="27" t="s">
        <v>8</v>
      </c>
      <c r="CK276" s="27" t="s">
        <v>8</v>
      </c>
    </row>
    <row r="277" spans="1:89" x14ac:dyDescent="0.25">
      <c r="A277" s="30">
        <v>0.16443563297285677</v>
      </c>
      <c r="B277"/>
      <c r="C277"/>
      <c r="D277"/>
      <c r="E277"/>
      <c r="CH277" s="27" t="s">
        <v>7</v>
      </c>
      <c r="CI277" s="27" t="s">
        <v>8</v>
      </c>
      <c r="CJ277" s="27" t="s">
        <v>7</v>
      </c>
      <c r="CK277" s="27" t="s">
        <v>8</v>
      </c>
    </row>
    <row r="278" spans="1:89" x14ac:dyDescent="0.25">
      <c r="A278" s="30">
        <v>0.15660536473605399</v>
      </c>
      <c r="B278"/>
      <c r="C278"/>
      <c r="D278"/>
      <c r="E278"/>
      <c r="CH278" s="27" t="s">
        <v>7</v>
      </c>
      <c r="CI278" s="27" t="s">
        <v>8</v>
      </c>
      <c r="CJ278" s="27" t="s">
        <v>7</v>
      </c>
      <c r="CK278" s="27" t="s">
        <v>8</v>
      </c>
    </row>
    <row r="279" spans="1:89" x14ac:dyDescent="0.25">
      <c r="A279" s="30">
        <v>0.14914796641528946</v>
      </c>
      <c r="B279"/>
      <c r="C279"/>
      <c r="D279"/>
      <c r="E279"/>
      <c r="CH279" s="27" t="s">
        <v>7</v>
      </c>
      <c r="CJ279" s="27" t="s">
        <v>7</v>
      </c>
    </row>
    <row r="280" spans="1:89" x14ac:dyDescent="0.25">
      <c r="A280" s="30">
        <v>0.14204568230027562</v>
      </c>
      <c r="B280"/>
      <c r="C280"/>
      <c r="D280"/>
      <c r="E280"/>
    </row>
    <row r="281" spans="1:89" x14ac:dyDescent="0.25">
      <c r="A281" s="30">
        <v>0.13528160219073862</v>
      </c>
      <c r="B281"/>
      <c r="C281"/>
      <c r="D281"/>
      <c r="E281"/>
    </row>
    <row r="282" spans="1:89" x14ac:dyDescent="0.25">
      <c r="A282" s="30">
        <v>0.12883962113403674</v>
      </c>
      <c r="B282"/>
      <c r="C282"/>
      <c r="D282"/>
      <c r="E282"/>
    </row>
    <row r="283" spans="1:89" x14ac:dyDescent="0.25">
      <c r="A283" s="30">
        <v>0.12270440108003494</v>
      </c>
      <c r="B283"/>
      <c r="C283"/>
      <c r="D283"/>
      <c r="E283"/>
    </row>
    <row r="284" spans="1:89" x14ac:dyDescent="0.25">
      <c r="A284" s="30">
        <v>0.11686133436193799</v>
      </c>
      <c r="B284"/>
      <c r="C284"/>
      <c r="D284"/>
      <c r="E284"/>
    </row>
    <row r="285" spans="1:89" x14ac:dyDescent="0.25">
      <c r="A285" s="30">
        <v>0.11129650891613138</v>
      </c>
      <c r="B285"/>
      <c r="C285"/>
      <c r="D285"/>
      <c r="E285"/>
    </row>
    <row r="286" spans="1:89" x14ac:dyDescent="0.25">
      <c r="A286" s="30">
        <v>0.10599667515822032</v>
      </c>
      <c r="B286"/>
      <c r="C286"/>
      <c r="D286"/>
      <c r="E286"/>
    </row>
    <row r="287" spans="1:89" x14ac:dyDescent="0.25">
      <c r="A287" s="30">
        <v>0.10094921443640027</v>
      </c>
      <c r="B287"/>
      <c r="C287"/>
      <c r="D287"/>
      <c r="E287"/>
    </row>
    <row r="288" spans="1:89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21" operator="equal">
      <formula>$U$1</formula>
    </cfRule>
    <cfRule type="cellIs" dxfId="67" priority="722" operator="equal">
      <formula>$S$1</formula>
    </cfRule>
  </conditionalFormatting>
  <conditionalFormatting sqref="D136">
    <cfRule type="cellIs" dxfId="66" priority="719" operator="equal">
      <formula>$S$1</formula>
    </cfRule>
    <cfRule type="cellIs" dxfId="65" priority="720" operator="equal">
      <formula>$U$1</formula>
    </cfRule>
  </conditionalFormatting>
  <conditionalFormatting sqref="C162">
    <cfRule type="cellIs" dxfId="64" priority="717" operator="equal">
      <formula>$U$1</formula>
    </cfRule>
    <cfRule type="cellIs" dxfId="63" priority="718" operator="equal">
      <formula>$S$1</formula>
    </cfRule>
  </conditionalFormatting>
  <conditionalFormatting sqref="D162">
    <cfRule type="cellIs" dxfId="62" priority="715" operator="equal">
      <formula>$S$1</formula>
    </cfRule>
    <cfRule type="cellIs" dxfId="61" priority="716" operator="equal">
      <formula>$U$1</formula>
    </cfRule>
  </conditionalFormatting>
  <conditionalFormatting sqref="C187">
    <cfRule type="cellIs" dxfId="60" priority="713" operator="equal">
      <formula>$U$1</formula>
    </cfRule>
    <cfRule type="cellIs" dxfId="59" priority="714" operator="equal">
      <formula>$S$1</formula>
    </cfRule>
  </conditionalFormatting>
  <conditionalFormatting sqref="D187">
    <cfRule type="cellIs" dxfId="58" priority="711" operator="equal">
      <formula>$S$1</formula>
    </cfRule>
    <cfRule type="cellIs" dxfId="57" priority="712" operator="equal">
      <formula>$U$1</formula>
    </cfRule>
  </conditionalFormatting>
  <conditionalFormatting sqref="C212">
    <cfRule type="cellIs" dxfId="56" priority="709" operator="equal">
      <formula>$U$1</formula>
    </cfRule>
    <cfRule type="cellIs" dxfId="55" priority="710" operator="equal">
      <formula>$S$1</formula>
    </cfRule>
  </conditionalFormatting>
  <conditionalFormatting sqref="D212">
    <cfRule type="cellIs" dxfId="54" priority="707" operator="equal">
      <formula>$S$1</formula>
    </cfRule>
    <cfRule type="cellIs" dxfId="53" priority="708" operator="equal">
      <formula>$U$1</formula>
    </cfRule>
  </conditionalFormatting>
  <conditionalFormatting sqref="C237">
    <cfRule type="cellIs" dxfId="52" priority="705" operator="equal">
      <formula>$U$1</formula>
    </cfRule>
    <cfRule type="cellIs" dxfId="51" priority="706" operator="equal">
      <formula>$S$1</formula>
    </cfRule>
  </conditionalFormatting>
  <conditionalFormatting sqref="D237">
    <cfRule type="cellIs" dxfId="50" priority="703" operator="equal">
      <formula>$S$1</formula>
    </cfRule>
    <cfRule type="cellIs" dxfId="49" priority="704" operator="equal">
      <formula>$U$1</formula>
    </cfRule>
  </conditionalFormatting>
  <conditionalFormatting sqref="C106">
    <cfRule type="cellIs" dxfId="48" priority="701" operator="equal">
      <formula>$U$1</formula>
    </cfRule>
    <cfRule type="cellIs" dxfId="47" priority="702" operator="equal">
      <formula>$S$1</formula>
    </cfRule>
  </conditionalFormatting>
  <conditionalFormatting sqref="D106">
    <cfRule type="cellIs" dxfId="46" priority="699" operator="equal">
      <formula>$S$1</formula>
    </cfRule>
    <cfRule type="cellIs" dxfId="45" priority="700" operator="equal">
      <formula>$U$1</formula>
    </cfRule>
  </conditionalFormatting>
  <conditionalFormatting sqref="C81">
    <cfRule type="cellIs" dxfId="44" priority="697" operator="equal">
      <formula>$U$1</formula>
    </cfRule>
    <cfRule type="cellIs" dxfId="43" priority="698" operator="equal">
      <formula>$S$1</formula>
    </cfRule>
  </conditionalFormatting>
  <conditionalFormatting sqref="D81">
    <cfRule type="cellIs" dxfId="42" priority="695" operator="equal">
      <formula>$S$1</formula>
    </cfRule>
    <cfRule type="cellIs" dxfId="41" priority="696" operator="equal">
      <formula>$U$1</formula>
    </cfRule>
  </conditionalFormatting>
  <conditionalFormatting sqref="C56">
    <cfRule type="cellIs" dxfId="40" priority="693" operator="equal">
      <formula>$U$1</formula>
    </cfRule>
    <cfRule type="cellIs" dxfId="39" priority="694" operator="equal">
      <formula>$S$1</formula>
    </cfRule>
  </conditionalFormatting>
  <conditionalFormatting sqref="D56">
    <cfRule type="cellIs" dxfId="38" priority="691" operator="equal">
      <formula>$S$1</formula>
    </cfRule>
    <cfRule type="cellIs" dxfId="37" priority="692" operator="equal">
      <formula>$U$1</formula>
    </cfRule>
  </conditionalFormatting>
  <conditionalFormatting sqref="C31">
    <cfRule type="cellIs" dxfId="36" priority="689" operator="equal">
      <formula>$U$1</formula>
    </cfRule>
    <cfRule type="cellIs" dxfId="35" priority="690" operator="equal">
      <formula>$S$1</formula>
    </cfRule>
  </conditionalFormatting>
  <conditionalFormatting sqref="D31">
    <cfRule type="cellIs" dxfId="34" priority="687" operator="equal">
      <formula>$S$1</formula>
    </cfRule>
    <cfRule type="cellIs" dxfId="33" priority="68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Z141" sqref="Z14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0" x14ac:dyDescent="0.25">
      <c r="A97" s="30">
        <v>9.849732675807628</v>
      </c>
      <c r="E97"/>
    </row>
    <row r="98" spans="1:10" x14ac:dyDescent="0.25">
      <c r="A98" s="30">
        <v>8.9543024325523888</v>
      </c>
      <c r="C98" s="1" t="s">
        <v>13</v>
      </c>
      <c r="E98"/>
    </row>
    <row r="99" spans="1:10" x14ac:dyDescent="0.25">
      <c r="A99" s="30">
        <v>8.140274938683989</v>
      </c>
      <c r="C99" s="1">
        <f>C88</f>
        <v>0</v>
      </c>
      <c r="E99" t="s">
        <v>8</v>
      </c>
    </row>
    <row r="100" spans="1:10" x14ac:dyDescent="0.25">
      <c r="A100" s="30">
        <v>7.4002499442581717</v>
      </c>
      <c r="C100"/>
      <c r="D100"/>
      <c r="E100" t="s">
        <v>8</v>
      </c>
      <c r="F100" s="27" t="s">
        <v>7</v>
      </c>
    </row>
    <row r="101" spans="1:10" x14ac:dyDescent="0.25">
      <c r="A101" s="30">
        <v>6.72749994932561</v>
      </c>
      <c r="C101" s="1" t="s">
        <v>14</v>
      </c>
      <c r="E101" t="s">
        <v>8</v>
      </c>
      <c r="F101" s="27" t="s">
        <v>7</v>
      </c>
    </row>
    <row r="102" spans="1:1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</row>
    <row r="103" spans="1:10" x14ac:dyDescent="0.25">
      <c r="A103" s="30">
        <v>5.5599173134922388</v>
      </c>
      <c r="E103" t="s">
        <v>8</v>
      </c>
      <c r="F103" s="27" t="s">
        <v>7</v>
      </c>
    </row>
    <row r="104" spans="1:10" x14ac:dyDescent="0.25">
      <c r="A104" s="30">
        <v>5.0544702849929442</v>
      </c>
      <c r="E104" t="s">
        <v>8</v>
      </c>
      <c r="F104" s="27" t="s">
        <v>7</v>
      </c>
      <c r="G104" s="27" t="s">
        <v>8</v>
      </c>
    </row>
    <row r="105" spans="1:10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</row>
    <row r="106" spans="1:10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</row>
    <row r="107" spans="1:10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</row>
    <row r="108" spans="1:10" x14ac:dyDescent="0.25">
      <c r="A108" s="30">
        <v>3.4522712143931042</v>
      </c>
      <c r="E108" t="s">
        <v>8</v>
      </c>
      <c r="F108" s="27" t="s">
        <v>7</v>
      </c>
      <c r="H108" s="27" t="s">
        <v>7</v>
      </c>
      <c r="I108" s="27" t="s">
        <v>8</v>
      </c>
    </row>
    <row r="109" spans="1:10" x14ac:dyDescent="0.25">
      <c r="A109" s="30">
        <v>3.1384283767210035</v>
      </c>
      <c r="E109" t="s">
        <v>8</v>
      </c>
      <c r="H109" s="27" t="s">
        <v>7</v>
      </c>
      <c r="I109" s="27" t="s">
        <v>8</v>
      </c>
      <c r="J109" s="27" t="s">
        <v>7</v>
      </c>
    </row>
    <row r="110" spans="1:10" x14ac:dyDescent="0.25">
      <c r="A110" s="30">
        <v>2.8531167061100029</v>
      </c>
      <c r="E110" t="s">
        <v>8</v>
      </c>
      <c r="H110" s="27" t="s">
        <v>7</v>
      </c>
      <c r="I110" s="27" t="s">
        <v>8</v>
      </c>
      <c r="J110" s="27" t="s">
        <v>7</v>
      </c>
    </row>
    <row r="111" spans="1:10" x14ac:dyDescent="0.25">
      <c r="A111" s="30">
        <v>2.5937424601000023</v>
      </c>
      <c r="C111" s="1" t="str">
        <f>ADDRESS(C121-1,1,1,1)</f>
        <v>$A$140</v>
      </c>
      <c r="D111" s="1" t="str">
        <f>ADDRESS(C121-1,D121,1,1)</f>
        <v>$Z$140</v>
      </c>
      <c r="E111" t="s">
        <v>8</v>
      </c>
      <c r="H111" s="27" t="s">
        <v>7</v>
      </c>
      <c r="I111" s="27" t="s">
        <v>8</v>
      </c>
      <c r="J111" s="27" t="s">
        <v>7</v>
      </c>
    </row>
    <row r="112" spans="1:10" x14ac:dyDescent="0.25">
      <c r="A112" s="30">
        <v>2.3579476910000019</v>
      </c>
      <c r="C112" s="1" t="str">
        <f>ADDRESS(C121,1,1,1)</f>
        <v>$A$141</v>
      </c>
      <c r="D112" s="1" t="str">
        <f>ADDRESS(C121,D121-1,1,1)</f>
        <v>$Y$141</v>
      </c>
      <c r="E112" t="s">
        <v>8</v>
      </c>
      <c r="H112" s="27" t="s">
        <v>7</v>
      </c>
      <c r="I112" s="27" t="s">
        <v>8</v>
      </c>
      <c r="J112" s="27" t="s">
        <v>7</v>
      </c>
    </row>
    <row r="113" spans="1:24" x14ac:dyDescent="0.25">
      <c r="A113" s="30">
        <v>2.1435888100000016</v>
      </c>
      <c r="C113" s="1" t="str">
        <f>ADDRESS(C121+1,1,1,1)</f>
        <v>$A$142</v>
      </c>
      <c r="D113" s="1" t="str">
        <f>ADDRESS(C121-1,D121+1,1,1)</f>
        <v>$AA$140</v>
      </c>
      <c r="E113" s="1" t="s">
        <v>8</v>
      </c>
      <c r="H113" s="27" t="s">
        <v>7</v>
      </c>
      <c r="I113" s="27" t="s">
        <v>8</v>
      </c>
      <c r="J113" s="27" t="s">
        <v>7</v>
      </c>
    </row>
    <row r="114" spans="1:24" x14ac:dyDescent="0.25">
      <c r="A114" s="30">
        <v>1.9487171000000014</v>
      </c>
      <c r="C114" s="1" t="str">
        <f>ADDRESS(C121,D121,1,1)</f>
        <v>$Z$141</v>
      </c>
      <c r="D114" s="1" t="str">
        <f>ADDRESS(C121+1,D121+1,1,1)</f>
        <v>$AA$142</v>
      </c>
      <c r="E114" s="1" t="s">
        <v>8</v>
      </c>
      <c r="H114" s="27" t="s">
        <v>7</v>
      </c>
      <c r="I114" s="27" t="s">
        <v>8</v>
      </c>
      <c r="J114" s="27" t="s">
        <v>7</v>
      </c>
    </row>
    <row r="115" spans="1:24" x14ac:dyDescent="0.25">
      <c r="A115" s="30">
        <v>1.7715610000000011</v>
      </c>
      <c r="C115" s="1" t="str">
        <f>ADDRESS(C121+1,D121,1,1)</f>
        <v>$Z$142</v>
      </c>
      <c r="E115" s="1" t="s">
        <v>8</v>
      </c>
      <c r="H115" s="27" t="s">
        <v>7</v>
      </c>
      <c r="I115" s="27" t="s">
        <v>8</v>
      </c>
      <c r="J115" s="27" t="s">
        <v>7</v>
      </c>
    </row>
    <row r="116" spans="1:24" x14ac:dyDescent="0.25">
      <c r="A116" s="30">
        <v>1.6105100000000008</v>
      </c>
      <c r="C116" s="1">
        <f>C117-1</f>
        <v>140</v>
      </c>
      <c r="E116" s="1" t="s">
        <v>8</v>
      </c>
      <c r="H116" s="27" t="s">
        <v>7</v>
      </c>
      <c r="I116" s="27" t="s">
        <v>8</v>
      </c>
      <c r="J116" s="27" t="s">
        <v>7</v>
      </c>
    </row>
    <row r="117" spans="1:24" x14ac:dyDescent="0.25">
      <c r="A117" s="30">
        <v>1.4641000000000006</v>
      </c>
      <c r="C117" s="1">
        <f>C121</f>
        <v>141</v>
      </c>
      <c r="D117" s="1">
        <f>D121</f>
        <v>26</v>
      </c>
      <c r="E117" s="1" t="s">
        <v>8</v>
      </c>
      <c r="H117" s="27" t="s">
        <v>7</v>
      </c>
      <c r="J117" s="27" t="s">
        <v>7</v>
      </c>
    </row>
    <row r="118" spans="1:24" x14ac:dyDescent="0.25">
      <c r="A118" s="30">
        <v>1.3310000000000004</v>
      </c>
      <c r="C118" s="1">
        <f>C117+1</f>
        <v>142</v>
      </c>
      <c r="D118" s="1">
        <f>D117+1</f>
        <v>27</v>
      </c>
      <c r="E118" s="1" t="s">
        <v>8</v>
      </c>
      <c r="J118" s="27" t="s">
        <v>7</v>
      </c>
    </row>
    <row r="119" spans="1:24" x14ac:dyDescent="0.25">
      <c r="A119" s="30">
        <v>1.2100000000000002</v>
      </c>
      <c r="E119" s="1" t="s">
        <v>8</v>
      </c>
      <c r="J119" s="27" t="s">
        <v>7</v>
      </c>
      <c r="O119" s="27" t="s">
        <v>8</v>
      </c>
    </row>
    <row r="120" spans="1:24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K120" s="27" t="s">
        <v>8</v>
      </c>
      <c r="O120" s="27" t="s">
        <v>8</v>
      </c>
      <c r="P120" s="27" t="s">
        <v>7</v>
      </c>
      <c r="S120" s="27" t="s">
        <v>8</v>
      </c>
    </row>
    <row r="121" spans="1:24" x14ac:dyDescent="0.25">
      <c r="A121" s="30">
        <v>1</v>
      </c>
      <c r="C121" s="18">
        <v>141</v>
      </c>
      <c r="D121" s="19">
        <v>26</v>
      </c>
      <c r="E121" s="18" t="s">
        <v>8</v>
      </c>
      <c r="J121" s="27" t="s">
        <v>7</v>
      </c>
      <c r="K121" s="27" t="s">
        <v>8</v>
      </c>
      <c r="L121" s="27" t="s">
        <v>7</v>
      </c>
      <c r="O121" s="27" t="s">
        <v>8</v>
      </c>
      <c r="P121" s="27" t="s">
        <v>7</v>
      </c>
      <c r="S121" s="27" t="s">
        <v>8</v>
      </c>
      <c r="T121" s="27" t="s">
        <v>7</v>
      </c>
    </row>
    <row r="122" spans="1:24" x14ac:dyDescent="0.25">
      <c r="A122" s="30">
        <v>0.90909090909090895</v>
      </c>
      <c r="C122" s="1" t="str">
        <f>INDEX(1:1048576,C117,D117)</f>
        <v>O</v>
      </c>
      <c r="J122" s="27" t="s">
        <v>7</v>
      </c>
      <c r="K122" s="27" t="s">
        <v>8</v>
      </c>
      <c r="L122" s="27" t="s">
        <v>7</v>
      </c>
      <c r="M122" s="27" t="s">
        <v>8</v>
      </c>
      <c r="O122" s="27" t="s">
        <v>8</v>
      </c>
      <c r="P122" s="27" t="s">
        <v>7</v>
      </c>
      <c r="S122" s="27" t="s">
        <v>8</v>
      </c>
      <c r="T122" s="27" t="s">
        <v>7</v>
      </c>
    </row>
    <row r="123" spans="1:24" x14ac:dyDescent="0.25">
      <c r="A123" s="30">
        <v>0.82644628099173523</v>
      </c>
      <c r="C123" s="1" t="str">
        <f>"R"&amp;C121</f>
        <v>R141</v>
      </c>
      <c r="D123" s="1" t="str">
        <f>"C"&amp;D121</f>
        <v>C26</v>
      </c>
      <c r="J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  <c r="O123" s="27" t="s">
        <v>8</v>
      </c>
      <c r="P123" s="27" t="s">
        <v>7</v>
      </c>
      <c r="S123" s="27" t="s">
        <v>8</v>
      </c>
      <c r="T123" s="27" t="s">
        <v>7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L124" s="27" t="s">
        <v>7</v>
      </c>
      <c r="M124" s="27" t="s">
        <v>8</v>
      </c>
      <c r="N124" s="27" t="s">
        <v>7</v>
      </c>
      <c r="O124" s="27" t="s">
        <v>8</v>
      </c>
      <c r="P124" s="27" t="s">
        <v>7</v>
      </c>
      <c r="Q124" s="27" t="s">
        <v>8</v>
      </c>
      <c r="S124" s="27" t="s">
        <v>8</v>
      </c>
      <c r="T124" s="27" t="s">
        <v>7</v>
      </c>
      <c r="U124" s="27" t="s">
        <v>8</v>
      </c>
    </row>
    <row r="125" spans="1:24" x14ac:dyDescent="0.25">
      <c r="A125" s="30">
        <v>0.68301345536507019</v>
      </c>
      <c r="L125" s="27" t="s">
        <v>7</v>
      </c>
      <c r="M125" s="27" t="s">
        <v>8</v>
      </c>
      <c r="N125" s="27" t="s">
        <v>7</v>
      </c>
      <c r="O125" s="27" t="s">
        <v>8</v>
      </c>
      <c r="P125" s="27" t="s">
        <v>7</v>
      </c>
      <c r="Q125" s="27" t="s">
        <v>8</v>
      </c>
      <c r="R125" s="27" t="s">
        <v>7</v>
      </c>
      <c r="S125" s="27" t="s">
        <v>8</v>
      </c>
      <c r="T125" s="27" t="s">
        <v>7</v>
      </c>
      <c r="U125" s="27" t="s">
        <v>8</v>
      </c>
      <c r="V125" s="27" t="s">
        <v>7</v>
      </c>
      <c r="W125" s="27" t="s">
        <v>8</v>
      </c>
    </row>
    <row r="126" spans="1:24" x14ac:dyDescent="0.25">
      <c r="A126" s="30">
        <v>0.6209213230591546</v>
      </c>
      <c r="C126" s="1" t="s">
        <v>10</v>
      </c>
      <c r="L126" s="27" t="s">
        <v>7</v>
      </c>
      <c r="M126" s="27" t="s">
        <v>8</v>
      </c>
      <c r="N126" s="27" t="s">
        <v>7</v>
      </c>
      <c r="P126" s="27" t="s">
        <v>7</v>
      </c>
      <c r="Q126" s="27" t="s">
        <v>8</v>
      </c>
      <c r="R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W126" s="27" t="s">
        <v>8</v>
      </c>
      <c r="X126" s="27" t="s">
        <v>7</v>
      </c>
    </row>
    <row r="127" spans="1:24" x14ac:dyDescent="0.25">
      <c r="A127" s="30">
        <v>0.56447393005377677</v>
      </c>
      <c r="C127" s="30">
        <v>0.14864362802414322</v>
      </c>
      <c r="D127"/>
      <c r="L127" s="27" t="s">
        <v>7</v>
      </c>
      <c r="P127" s="27" t="s">
        <v>7</v>
      </c>
      <c r="Q127" s="27" t="s">
        <v>8</v>
      </c>
      <c r="R127" s="27" t="s">
        <v>7</v>
      </c>
      <c r="S127" s="27" t="s">
        <v>8</v>
      </c>
      <c r="T127" s="27" t="s">
        <v>7</v>
      </c>
      <c r="V127" s="27" t="s">
        <v>7</v>
      </c>
      <c r="W127" s="27" t="s">
        <v>8</v>
      </c>
      <c r="X127" s="27" t="s">
        <v>7</v>
      </c>
    </row>
    <row r="128" spans="1:24" x14ac:dyDescent="0.25">
      <c r="A128" s="30">
        <v>0.51315811823070612</v>
      </c>
      <c r="P128" s="27" t="s">
        <v>7</v>
      </c>
      <c r="Q128" s="27" t="s">
        <v>8</v>
      </c>
      <c r="R128" s="27" t="s">
        <v>7</v>
      </c>
      <c r="S128" s="27" t="s">
        <v>8</v>
      </c>
      <c r="V128" s="27" t="s">
        <v>7</v>
      </c>
      <c r="W128" s="27" t="s">
        <v>8</v>
      </c>
      <c r="X128" s="27" t="s">
        <v>7</v>
      </c>
    </row>
    <row r="129" spans="1:26" x14ac:dyDescent="0.25">
      <c r="A129" s="30">
        <v>0.46650738020973276</v>
      </c>
      <c r="C129" s="1" t="s">
        <v>11</v>
      </c>
      <c r="D129" s="1" t="s">
        <v>12</v>
      </c>
      <c r="E129"/>
      <c r="P129" s="27" t="s">
        <v>7</v>
      </c>
      <c r="Q129" s="27" t="s">
        <v>8</v>
      </c>
      <c r="R129" s="27" t="s">
        <v>7</v>
      </c>
      <c r="S129" s="27" t="s">
        <v>8</v>
      </c>
      <c r="V129" s="27" t="s">
        <v>7</v>
      </c>
      <c r="W129" s="27" t="s">
        <v>8</v>
      </c>
      <c r="X129" s="27" t="s">
        <v>7</v>
      </c>
    </row>
    <row r="130" spans="1:26" x14ac:dyDescent="0.25">
      <c r="A130" s="30">
        <v>0.42409761837248428</v>
      </c>
      <c r="C130" s="6"/>
      <c r="D130" s="6"/>
      <c r="E130"/>
      <c r="P130" s="27" t="s">
        <v>7</v>
      </c>
      <c r="Q130" s="27" t="s">
        <v>8</v>
      </c>
      <c r="R130" s="18" t="s">
        <v>7</v>
      </c>
      <c r="S130" s="27" t="s">
        <v>8</v>
      </c>
      <c r="V130" s="27" t="s">
        <v>7</v>
      </c>
      <c r="X130" s="27" t="s">
        <v>7</v>
      </c>
    </row>
    <row r="131" spans="1:26" x14ac:dyDescent="0.25">
      <c r="A131" s="30">
        <v>0.38554328942953109</v>
      </c>
      <c r="E131"/>
      <c r="P131" s="27" t="s">
        <v>7</v>
      </c>
      <c r="Q131" s="27" t="s">
        <v>8</v>
      </c>
      <c r="R131" s="27" t="s">
        <v>7</v>
      </c>
      <c r="S131" s="27" t="s">
        <v>8</v>
      </c>
      <c r="X131" s="27" t="s">
        <v>7</v>
      </c>
    </row>
    <row r="132" spans="1:26" x14ac:dyDescent="0.25">
      <c r="A132" s="30">
        <v>0.35049389948139187</v>
      </c>
      <c r="C132" s="1" t="s">
        <v>13</v>
      </c>
      <c r="E132"/>
      <c r="P132" s="27" t="s">
        <v>7</v>
      </c>
      <c r="R132" s="27" t="s">
        <v>7</v>
      </c>
      <c r="X132" s="27" t="s">
        <v>7</v>
      </c>
      <c r="Y132" s="27" t="s">
        <v>8</v>
      </c>
    </row>
    <row r="133" spans="1:26" x14ac:dyDescent="0.25">
      <c r="A133" s="30">
        <v>0.31863081771035617</v>
      </c>
      <c r="C133" s="1" t="str">
        <f>C122</f>
        <v>O</v>
      </c>
      <c r="E133"/>
      <c r="X133" s="27" t="s">
        <v>7</v>
      </c>
      <c r="Y133" s="27" t="s">
        <v>8</v>
      </c>
      <c r="Z133" s="27" t="s">
        <v>7</v>
      </c>
    </row>
    <row r="134" spans="1:26" x14ac:dyDescent="0.25">
      <c r="A134" s="30">
        <v>0.28966437973668741</v>
      </c>
      <c r="C134"/>
      <c r="D134"/>
      <c r="E134"/>
      <c r="X134" s="27" t="s">
        <v>7</v>
      </c>
      <c r="Y134" s="27" t="s">
        <v>8</v>
      </c>
      <c r="Z134" s="27" t="s">
        <v>7</v>
      </c>
    </row>
    <row r="135" spans="1:26" x14ac:dyDescent="0.25">
      <c r="A135" s="30">
        <v>0.2633312543060794</v>
      </c>
      <c r="C135" s="1" t="s">
        <v>14</v>
      </c>
      <c r="E135"/>
      <c r="X135" s="27" t="s">
        <v>7</v>
      </c>
      <c r="Z135" s="27" t="s">
        <v>7</v>
      </c>
    </row>
    <row r="136" spans="1:2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Z136" s="27" t="s">
        <v>7</v>
      </c>
    </row>
    <row r="137" spans="1:26" x14ac:dyDescent="0.25">
      <c r="A137" s="30">
        <v>0.2176291357901482</v>
      </c>
      <c r="E137"/>
      <c r="Z137" s="27" t="s">
        <v>7</v>
      </c>
    </row>
    <row r="138" spans="1:2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Z138" s="27" t="s">
        <v>7</v>
      </c>
    </row>
    <row r="139" spans="1:26" x14ac:dyDescent="0.25">
      <c r="A139" s="30">
        <v>0.17985878990921333</v>
      </c>
      <c r="E139"/>
      <c r="Z139" s="27" t="s">
        <v>7</v>
      </c>
    </row>
    <row r="140" spans="1:26" x14ac:dyDescent="0.25">
      <c r="A140" s="30">
        <v>0.16350799082655756</v>
      </c>
      <c r="C140" s="1">
        <v>0</v>
      </c>
      <c r="E140"/>
      <c r="Z140" s="27" t="s">
        <v>7</v>
      </c>
    </row>
    <row r="141" spans="1:26" x14ac:dyDescent="0.25">
      <c r="A141" s="30">
        <v>0.14864362802414322</v>
      </c>
      <c r="C141" s="1">
        <v>1</v>
      </c>
      <c r="E141"/>
      <c r="Z141" s="27" t="s">
        <v>7</v>
      </c>
    </row>
    <row r="142" spans="1:26" x14ac:dyDescent="0.25">
      <c r="A142" s="30">
        <v>0.13513057093103928</v>
      </c>
      <c r="C142" s="1">
        <v>2</v>
      </c>
      <c r="E142"/>
    </row>
    <row r="143" spans="1:26" x14ac:dyDescent="0.25">
      <c r="A143" s="30">
        <v>0.12284597357367205</v>
      </c>
      <c r="C143" s="1">
        <v>3</v>
      </c>
      <c r="E143"/>
    </row>
    <row r="144" spans="1:26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05" operator="equal">
      <formula>$U$1</formula>
    </cfRule>
    <cfRule type="cellIs" dxfId="30" priority="706" operator="equal">
      <formula>$S$1</formula>
    </cfRule>
  </conditionalFormatting>
  <conditionalFormatting sqref="D136">
    <cfRule type="cellIs" dxfId="29" priority="703" operator="equal">
      <formula>$S$1</formula>
    </cfRule>
    <cfRule type="cellIs" dxfId="28" priority="704" operator="equal">
      <formula>$U$1</formula>
    </cfRule>
  </conditionalFormatting>
  <conditionalFormatting sqref="C102">
    <cfRule type="cellIs" dxfId="27" priority="701" operator="equal">
      <formula>$U$1</formula>
    </cfRule>
    <cfRule type="cellIs" dxfId="26" priority="702" operator="equal">
      <formula>$S$1</formula>
    </cfRule>
  </conditionalFormatting>
  <conditionalFormatting sqref="D102">
    <cfRule type="cellIs" dxfId="25" priority="699" operator="equal">
      <formula>$S$1</formula>
    </cfRule>
    <cfRule type="cellIs" dxfId="24" priority="700" operator="equal">
      <formula>$U$1</formula>
    </cfRule>
  </conditionalFormatting>
  <conditionalFormatting sqref="C77">
    <cfRule type="cellIs" dxfId="23" priority="697" operator="equal">
      <formula>$U$1</formula>
    </cfRule>
    <cfRule type="cellIs" dxfId="22" priority="698" operator="equal">
      <formula>$S$1</formula>
    </cfRule>
  </conditionalFormatting>
  <conditionalFormatting sqref="D77">
    <cfRule type="cellIs" dxfId="21" priority="695" operator="equal">
      <formula>$S$1</formula>
    </cfRule>
    <cfRule type="cellIs" dxfId="20" priority="696" operator="equal">
      <formula>$U$1</formula>
    </cfRule>
  </conditionalFormatting>
  <conditionalFormatting sqref="C52">
    <cfRule type="cellIs" dxfId="19" priority="693" operator="equal">
      <formula>$U$1</formula>
    </cfRule>
    <cfRule type="cellIs" dxfId="18" priority="694" operator="equal">
      <formula>$S$1</formula>
    </cfRule>
  </conditionalFormatting>
  <conditionalFormatting sqref="D52">
    <cfRule type="cellIs" dxfId="17" priority="691" operator="equal">
      <formula>$S$1</formula>
    </cfRule>
    <cfRule type="cellIs" dxfId="16" priority="692" operator="equal">
      <formula>$U$1</formula>
    </cfRule>
  </conditionalFormatting>
  <conditionalFormatting sqref="C26">
    <cfRule type="cellIs" dxfId="15" priority="689" operator="equal">
      <formula>$U$1</formula>
    </cfRule>
    <cfRule type="cellIs" dxfId="14" priority="690" operator="equal">
      <formula>$S$1</formula>
    </cfRule>
  </conditionalFormatting>
  <conditionalFormatting sqref="D26">
    <cfRule type="cellIs" dxfId="13" priority="687" operator="equal">
      <formula>$S$1</formula>
    </cfRule>
    <cfRule type="cellIs" dxfId="12" priority="68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2022-01-28T01:16:22Z</dcterms:modified>
</cp:coreProperties>
</file>