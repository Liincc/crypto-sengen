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E313604-A1F6-4C9A-858F-6943D27B744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8" i="5"/>
  <c r="C2" i="1" l="1"/>
  <c r="D2" i="1"/>
  <c r="C116" i="5"/>
  <c r="R765" i="1"/>
  <c r="D136" i="5"/>
  <c r="C136" i="5"/>
  <c r="C122" i="4"/>
  <c r="C133" i="4" s="1"/>
  <c r="D136" i="4" s="1"/>
  <c r="C118" i="4"/>
  <c r="C116" i="3"/>
  <c r="C122" i="3"/>
  <c r="C133" i="3" s="1"/>
  <c r="D136" i="3" s="1"/>
  <c r="C138" i="5" l="1"/>
  <c r="R764" i="1"/>
  <c r="S765" i="1"/>
  <c r="T765" i="1" s="1"/>
  <c r="C136" i="4"/>
  <c r="C138" i="4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S746" i="1" l="1"/>
  <c r="T746" i="1" s="1"/>
  <c r="R745" i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R723" i="1" l="1"/>
  <c r="S724" i="1"/>
  <c r="T724" i="1" s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S709" i="1" l="1"/>
  <c r="T709" i="1" s="1"/>
  <c r="R708" i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S689" i="1" l="1"/>
  <c r="T689" i="1" s="1"/>
  <c r="R688" i="1"/>
  <c r="R687" i="1" l="1"/>
  <c r="S688" i="1"/>
  <c r="T688" i="1" s="1"/>
  <c r="S687" i="1" l="1"/>
  <c r="T687" i="1" s="1"/>
  <c r="R686" i="1"/>
  <c r="S686" i="1" l="1"/>
  <c r="T686" i="1" s="1"/>
  <c r="R685" i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S642" i="1" l="1"/>
  <c r="T642" i="1" s="1"/>
  <c r="R641" i="1"/>
  <c r="S641" i="1" l="1"/>
  <c r="T641" i="1" s="1"/>
  <c r="R640" i="1"/>
  <c r="R639" i="1" l="1"/>
  <c r="S640" i="1"/>
  <c r="T640" i="1" s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R623" i="1" l="1"/>
  <c r="S624" i="1"/>
  <c r="T624" i="1" s="1"/>
  <c r="S623" i="1" l="1"/>
  <c r="T623" i="1" s="1"/>
  <c r="R622" i="1"/>
  <c r="S622" i="1" l="1"/>
  <c r="T622" i="1" s="1"/>
  <c r="R621" i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S608" i="1" l="1"/>
  <c r="T608" i="1" s="1"/>
  <c r="R607" i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S593" i="1" l="1"/>
  <c r="T593" i="1" s="1"/>
  <c r="R592" i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R584" i="1" l="1"/>
  <c r="S585" i="1"/>
  <c r="T585" i="1" s="1"/>
  <c r="S584" i="1" l="1"/>
  <c r="T584" i="1" s="1"/>
  <c r="R583" i="1"/>
  <c r="R582" i="1" l="1"/>
  <c r="S583" i="1"/>
  <c r="T583" i="1" s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S560" i="1" l="1"/>
  <c r="T560" i="1" s="1"/>
  <c r="R559" i="1"/>
  <c r="S559" i="1" l="1"/>
  <c r="T559" i="1" s="1"/>
  <c r="R558" i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R476" i="1" l="1"/>
  <c r="S477" i="1"/>
  <c r="T477" i="1" s="1"/>
  <c r="R475" i="1" l="1"/>
  <c r="S476" i="1"/>
  <c r="T476" i="1" s="1"/>
  <c r="R474" i="1" l="1"/>
  <c r="S475" i="1"/>
  <c r="T475" i="1" s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S458" i="1" l="1"/>
  <c r="T458" i="1" s="1"/>
  <c r="R457" i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R437" i="1" l="1"/>
  <c r="S438" i="1"/>
  <c r="T438" i="1" s="1"/>
  <c r="S437" i="1" l="1"/>
  <c r="T437" i="1" s="1"/>
  <c r="R436" i="1"/>
  <c r="R435" i="1" l="1"/>
  <c r="S436" i="1"/>
  <c r="T436" i="1" s="1"/>
  <c r="S435" i="1" l="1"/>
  <c r="T435" i="1" s="1"/>
  <c r="R434" i="1"/>
  <c r="S434" i="1" l="1"/>
  <c r="T434" i="1" s="1"/>
  <c r="R433" i="1"/>
  <c r="S433" i="1" l="1"/>
  <c r="T433" i="1" s="1"/>
  <c r="R432" i="1"/>
  <c r="S432" i="1" l="1"/>
  <c r="T432" i="1" s="1"/>
  <c r="R431" i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S408" i="1" l="1"/>
  <c r="T408" i="1" s="1"/>
  <c r="R407" i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S403" i="1" l="1"/>
  <c r="T403" i="1" s="1"/>
  <c r="R402" i="1"/>
  <c r="R401" i="1" l="1"/>
  <c r="S402" i="1"/>
  <c r="T402" i="1" s="1"/>
  <c r="S401" i="1" l="1"/>
  <c r="T401" i="1" s="1"/>
  <c r="R400" i="1"/>
  <c r="S400" i="1" l="1"/>
  <c r="T400" i="1" s="1"/>
  <c r="R399" i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S369" i="1" l="1"/>
  <c r="T369" i="1" s="1"/>
  <c r="R368" i="1"/>
  <c r="S368" i="1" l="1"/>
  <c r="T368" i="1" s="1"/>
  <c r="R367" i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S329" i="1" l="1"/>
  <c r="T329" i="1" s="1"/>
  <c r="R328" i="1"/>
  <c r="S328" i="1" l="1"/>
  <c r="T328" i="1" s="1"/>
  <c r="R327" i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R317" i="1" l="1"/>
  <c r="S318" i="1"/>
  <c r="T318" i="1" s="1"/>
  <c r="S317" i="1" l="1"/>
  <c r="T317" i="1" s="1"/>
  <c r="R316" i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S309" i="1" l="1"/>
  <c r="T309" i="1" s="1"/>
  <c r="R308" i="1"/>
  <c r="S308" i="1" l="1"/>
  <c r="T308" i="1" s="1"/>
  <c r="R307" i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S245" i="1" l="1"/>
  <c r="T245" i="1" s="1"/>
  <c r="R244" i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S226" i="1" l="1"/>
  <c r="T226" i="1" s="1"/>
  <c r="R225" i="1"/>
  <c r="S225" i="1" l="1"/>
  <c r="T225" i="1" s="1"/>
  <c r="R224" i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R210" i="1" l="1"/>
  <c r="S211" i="1"/>
  <c r="T211" i="1" s="1"/>
  <c r="R209" i="1" l="1"/>
  <c r="S210" i="1"/>
  <c r="T210" i="1" s="1"/>
  <c r="S209" i="1" l="1"/>
  <c r="T209" i="1" s="1"/>
  <c r="R208" i="1"/>
  <c r="R207" i="1" l="1"/>
  <c r="S208" i="1"/>
  <c r="T208" i="1" s="1"/>
  <c r="S207" i="1" l="1"/>
  <c r="T207" i="1" s="1"/>
  <c r="R206" i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S202" i="1" l="1"/>
  <c r="T202" i="1" s="1"/>
  <c r="R201" i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S146" i="1" l="1"/>
  <c r="T146" i="1" s="1"/>
  <c r="R145" i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S131" i="1" l="1"/>
  <c r="T131" i="1" s="1"/>
  <c r="R130" i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S122" i="1" l="1"/>
  <c r="T122" i="1" s="1"/>
  <c r="R121" i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S110" i="1" l="1"/>
  <c r="T110" i="1" s="1"/>
  <c r="R109" i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S80" i="1" l="1"/>
  <c r="T80" i="1" s="1"/>
  <c r="R79" i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<sst xmlns="http://schemas.openxmlformats.org/spreadsheetml/2006/main" count="7254" uniqueCount="34">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</sst>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0.57110000000000005</c:v>
                </c:pt>
                <c:pt idx="1">
                  <c:v>0.58919999999999995</c:v>
                </c:pt>
                <c:pt idx="2">
                  <c:v>0.58130000000000004</c:v>
                </c:pt>
                <c:pt idx="3">
                  <c:v>0.59409999999999996</c:v>
                </c:pt>
                <c:pt idx="4">
                  <c:v>0.5988</c:v>
                </c:pt>
                <c:pt idx="5">
                  <c:v>0.58399999999999996</c:v>
                </c:pt>
                <c:pt idx="6">
                  <c:v>0.61739999999999995</c:v>
                </c:pt>
                <c:pt idx="7">
                  <c:v>0.76160000000000005</c:v>
                </c:pt>
                <c:pt idx="8">
                  <c:v>0.81179999999999997</c:v>
                </c:pt>
                <c:pt idx="9">
                  <c:v>0.83909999999999996</c:v>
                </c:pt>
                <c:pt idx="10">
                  <c:v>0.85509999999999997</c:v>
                </c:pt>
                <c:pt idx="11">
                  <c:v>0.85099999999999998</c:v>
                </c:pt>
                <c:pt idx="12">
                  <c:v>0.85950000000000004</c:v>
                </c:pt>
                <c:pt idx="13">
                  <c:v>0.85919999999999996</c:v>
                </c:pt>
                <c:pt idx="14">
                  <c:v>0.88649999999999995</c:v>
                </c:pt>
                <c:pt idx="15">
                  <c:v>0.86990000000000001</c:v>
                </c:pt>
                <c:pt idx="16">
                  <c:v>0.84640000000000004</c:v>
                </c:pt>
                <c:pt idx="17">
                  <c:v>0.85240000000000005</c:v>
                </c:pt>
                <c:pt idx="18">
                  <c:v>0.82769999999999999</c:v>
                </c:pt>
                <c:pt idx="19">
                  <c:v>0.81979999999999997</c:v>
                </c:pt>
                <c:pt idx="20">
                  <c:v>0.84230000000000005</c:v>
                </c:pt>
                <c:pt idx="21">
                  <c:v>0.86560000000000004</c:v>
                </c:pt>
                <c:pt idx="22">
                  <c:v>0.89090000000000003</c:v>
                </c:pt>
                <c:pt idx="23">
                  <c:v>0.96919999999999995</c:v>
                </c:pt>
                <c:pt idx="24">
                  <c:v>0.98089999999999999</c:v>
                </c:pt>
                <c:pt idx="25">
                  <c:v>0.96909999999999996</c:v>
                </c:pt>
                <c:pt idx="26">
                  <c:v>0.9446</c:v>
                </c:pt>
                <c:pt idx="27">
                  <c:v>0.91639999999999999</c:v>
                </c:pt>
                <c:pt idx="28">
                  <c:v>0.9325</c:v>
                </c:pt>
                <c:pt idx="29">
                  <c:v>0.9365</c:v>
                </c:pt>
                <c:pt idx="30">
                  <c:v>0.92120000000000002</c:v>
                </c:pt>
                <c:pt idx="31">
                  <c:v>0.99690000000000001</c:v>
                </c:pt>
                <c:pt idx="32">
                  <c:v>0.96379999999999999</c:v>
                </c:pt>
                <c:pt idx="33">
                  <c:v>0.96409999999999996</c:v>
                </c:pt>
                <c:pt idx="34">
                  <c:v>0.96130000000000004</c:v>
                </c:pt>
                <c:pt idx="35">
                  <c:v>0.99460000000000004</c:v>
                </c:pt>
                <c:pt idx="36">
                  <c:v>0.96260000000000001</c:v>
                </c:pt>
                <c:pt idx="37">
                  <c:v>0.9546</c:v>
                </c:pt>
                <c:pt idx="38">
                  <c:v>0.95079999999999998</c:v>
                </c:pt>
                <c:pt idx="39">
                  <c:v>0.92159999999999997</c:v>
                </c:pt>
                <c:pt idx="40">
                  <c:v>0.92700000000000005</c:v>
                </c:pt>
                <c:pt idx="41">
                  <c:v>0.82379999999999998</c:v>
                </c:pt>
                <c:pt idx="42">
                  <c:v>0.87749999999999995</c:v>
                </c:pt>
                <c:pt idx="43">
                  <c:v>0.85450000000000004</c:v>
                </c:pt>
                <c:pt idx="44">
                  <c:v>0.84109999999999996</c:v>
                </c:pt>
                <c:pt idx="45">
                  <c:v>0.81779999999999997</c:v>
                </c:pt>
                <c:pt idx="46">
                  <c:v>0.89970000000000006</c:v>
                </c:pt>
                <c:pt idx="47">
                  <c:v>0.84940000000000004</c:v>
                </c:pt>
                <c:pt idx="48">
                  <c:v>0.85589999999999999</c:v>
                </c:pt>
                <c:pt idx="49">
                  <c:v>0.88129999999999997</c:v>
                </c:pt>
                <c:pt idx="50">
                  <c:v>1.0085</c:v>
                </c:pt>
                <c:pt idx="51">
                  <c:v>0.97889999999999999</c:v>
                </c:pt>
                <c:pt idx="52">
                  <c:v>1.0579000000000001</c:v>
                </c:pt>
                <c:pt idx="53">
                  <c:v>0.92549999999999999</c:v>
                </c:pt>
                <c:pt idx="54">
                  <c:v>1.0194000000000001</c:v>
                </c:pt>
                <c:pt idx="55">
                  <c:v>1.2164999999999999</c:v>
                </c:pt>
                <c:pt idx="56">
                  <c:v>1.298</c:v>
                </c:pt>
                <c:pt idx="57">
                  <c:v>1.1818</c:v>
                </c:pt>
                <c:pt idx="58">
                  <c:v>1.2383999999999999</c:v>
                </c:pt>
                <c:pt idx="59">
                  <c:v>1.2727999999999999</c:v>
                </c:pt>
                <c:pt idx="60">
                  <c:v>1.3402000000000001</c:v>
                </c:pt>
                <c:pt idx="61">
                  <c:v>1.5243</c:v>
                </c:pt>
                <c:pt idx="62">
                  <c:v>1.0662</c:v>
                </c:pt>
                <c:pt idx="63">
                  <c:v>1.1704000000000001</c:v>
                </c:pt>
                <c:pt idx="64">
                  <c:v>1.2056</c:v>
                </c:pt>
                <c:pt idx="65">
                  <c:v>1.2162999999999999</c:v>
                </c:pt>
                <c:pt idx="66">
                  <c:v>1.0912999999999999</c:v>
                </c:pt>
                <c:pt idx="67">
                  <c:v>1.1782999999999999</c:v>
                </c:pt>
                <c:pt idx="68">
                  <c:v>1.1245000000000001</c:v>
                </c:pt>
                <c:pt idx="69">
                  <c:v>1.0083</c:v>
                </c:pt>
                <c:pt idx="70">
                  <c:v>0.95089999999999997</c:v>
                </c:pt>
                <c:pt idx="71">
                  <c:v>1.0116000000000001</c:v>
                </c:pt>
                <c:pt idx="72">
                  <c:v>0.99319999999999997</c:v>
                </c:pt>
                <c:pt idx="73">
                  <c:v>1.0710999999999999</c:v>
                </c:pt>
                <c:pt idx="74">
                  <c:v>1.0425</c:v>
                </c:pt>
                <c:pt idx="75">
                  <c:v>1.0415000000000001</c:v>
                </c:pt>
                <c:pt idx="76">
                  <c:v>1.07</c:v>
                </c:pt>
                <c:pt idx="77">
                  <c:v>1.0322</c:v>
                </c:pt>
                <c:pt idx="78">
                  <c:v>1.0317000000000001</c:v>
                </c:pt>
                <c:pt idx="79">
                  <c:v>1.093</c:v>
                </c:pt>
                <c:pt idx="80">
                  <c:v>1.0953999999999999</c:v>
                </c:pt>
                <c:pt idx="81">
                  <c:v>1.1079000000000001</c:v>
                </c:pt>
                <c:pt idx="82">
                  <c:v>1.0630999999999999</c:v>
                </c:pt>
                <c:pt idx="83">
                  <c:v>1.1005</c:v>
                </c:pt>
                <c:pt idx="84">
                  <c:v>1.0705</c:v>
                </c:pt>
                <c:pt idx="85">
                  <c:v>1.0883</c:v>
                </c:pt>
                <c:pt idx="86">
                  <c:v>1.1254999999999999</c:v>
                </c:pt>
                <c:pt idx="87">
                  <c:v>1.0952</c:v>
                </c:pt>
                <c:pt idx="88">
                  <c:v>1.1183000000000001</c:v>
                </c:pt>
                <c:pt idx="89">
                  <c:v>1.1161000000000001</c:v>
                </c:pt>
                <c:pt idx="90">
                  <c:v>1.1346000000000001</c:v>
                </c:pt>
                <c:pt idx="91">
                  <c:v>1.0589999999999999</c:v>
                </c:pt>
                <c:pt idx="92">
                  <c:v>1.0355000000000001</c:v>
                </c:pt>
                <c:pt idx="93">
                  <c:v>1.1845000000000001</c:v>
                </c:pt>
                <c:pt idx="94">
                  <c:v>1.256</c:v>
                </c:pt>
                <c:pt idx="95">
                  <c:v>1.3130999999999999</c:v>
                </c:pt>
                <c:pt idx="96">
                  <c:v>1.1146</c:v>
                </c:pt>
                <c:pt idx="97">
                  <c:v>1.1198999999999999</c:v>
                </c:pt>
                <c:pt idx="98">
                  <c:v>1.0623</c:v>
                </c:pt>
                <c:pt idx="99">
                  <c:v>1.0860000000000001</c:v>
                </c:pt>
                <c:pt idx="100">
                  <c:v>1.0494000000000001</c:v>
                </c:pt>
                <c:pt idx="101">
                  <c:v>1.0687</c:v>
                </c:pt>
                <c:pt idx="102">
                  <c:v>1.0423</c:v>
                </c:pt>
                <c:pt idx="103">
                  <c:v>1.0996999999999999</c:v>
                </c:pt>
                <c:pt idx="104">
                  <c:v>1.0640000000000001</c:v>
                </c:pt>
                <c:pt idx="105">
                  <c:v>1.0097</c:v>
                </c:pt>
                <c:pt idx="106">
                  <c:v>0.97119999999999995</c:v>
                </c:pt>
                <c:pt idx="107">
                  <c:v>0.97070000000000001</c:v>
                </c:pt>
                <c:pt idx="108">
                  <c:v>0.96340000000000003</c:v>
                </c:pt>
                <c:pt idx="109">
                  <c:v>0.98580000000000001</c:v>
                </c:pt>
                <c:pt idx="110">
                  <c:v>1.0262</c:v>
                </c:pt>
                <c:pt idx="111">
                  <c:v>0.99490000000000001</c:v>
                </c:pt>
                <c:pt idx="112">
                  <c:v>0.96619999999999995</c:v>
                </c:pt>
                <c:pt idx="113">
                  <c:v>0.95699999999999996</c:v>
                </c:pt>
                <c:pt idx="114">
                  <c:v>0.99050000000000005</c:v>
                </c:pt>
                <c:pt idx="115">
                  <c:v>0.97370000000000001</c:v>
                </c:pt>
                <c:pt idx="116">
                  <c:v>0.97460000000000002</c:v>
                </c:pt>
                <c:pt idx="117">
                  <c:v>0.95569999999999999</c:v>
                </c:pt>
                <c:pt idx="118">
                  <c:v>0.93810000000000004</c:v>
                </c:pt>
                <c:pt idx="119">
                  <c:v>0.87619999999999998</c:v>
                </c:pt>
                <c:pt idx="120">
                  <c:v>0.85109999999999997</c:v>
                </c:pt>
                <c:pt idx="121">
                  <c:v>0.85070000000000001</c:v>
                </c:pt>
                <c:pt idx="122">
                  <c:v>0.93500000000000005</c:v>
                </c:pt>
                <c:pt idx="123">
                  <c:v>0.89839999999999998</c:v>
                </c:pt>
                <c:pt idx="124">
                  <c:v>0.87549999999999994</c:v>
                </c:pt>
                <c:pt idx="125">
                  <c:v>0.92349999999999999</c:v>
                </c:pt>
                <c:pt idx="126">
                  <c:v>0.91579999999999995</c:v>
                </c:pt>
                <c:pt idx="127">
                  <c:v>0.93789999999999996</c:v>
                </c:pt>
                <c:pt idx="128">
                  <c:v>0.80700000000000005</c:v>
                </c:pt>
                <c:pt idx="129">
                  <c:v>0.96640000000000004</c:v>
                </c:pt>
                <c:pt idx="130">
                  <c:v>1.0710999999999999</c:v>
                </c:pt>
                <c:pt idx="131">
                  <c:v>1.1599999999999999</c:v>
                </c:pt>
                <c:pt idx="132">
                  <c:v>1.1273</c:v>
                </c:pt>
                <c:pt idx="133">
                  <c:v>1.1953</c:v>
                </c:pt>
                <c:pt idx="134">
                  <c:v>1.2146999999999999</c:v>
                </c:pt>
                <c:pt idx="135">
                  <c:v>1.1612</c:v>
                </c:pt>
                <c:pt idx="136">
                  <c:v>1.0391999999999999</c:v>
                </c:pt>
                <c:pt idx="137">
                  <c:v>1.1257999999999999</c:v>
                </c:pt>
                <c:pt idx="138">
                  <c:v>1.0685</c:v>
                </c:pt>
                <c:pt idx="139">
                  <c:v>1.0621</c:v>
                </c:pt>
                <c:pt idx="140">
                  <c:v>1.1007</c:v>
                </c:pt>
                <c:pt idx="141">
                  <c:v>1.1119000000000001</c:v>
                </c:pt>
                <c:pt idx="142">
                  <c:v>1.1285000000000001</c:v>
                </c:pt>
                <c:pt idx="143">
                  <c:v>1.3839999999999999</c:v>
                </c:pt>
                <c:pt idx="144">
                  <c:v>1.42</c:v>
                </c:pt>
                <c:pt idx="145">
                  <c:v>1.4604999999999999</c:v>
                </c:pt>
                <c:pt idx="146">
                  <c:v>1.2034</c:v>
                </c:pt>
                <c:pt idx="147">
                  <c:v>1.1618999999999999</c:v>
                </c:pt>
                <c:pt idx="148">
                  <c:v>1.1867000000000001</c:v>
                </c:pt>
                <c:pt idx="149">
                  <c:v>1.1997</c:v>
                </c:pt>
                <c:pt idx="150">
                  <c:v>1.0537000000000001</c:v>
                </c:pt>
                <c:pt idx="151">
                  <c:v>1.1319999999999999</c:v>
                </c:pt>
                <c:pt idx="152">
                  <c:v>1.1113999999999999</c:v>
                </c:pt>
                <c:pt idx="153">
                  <c:v>1.1386000000000001</c:v>
                </c:pt>
                <c:pt idx="154">
                  <c:v>1.0723</c:v>
                </c:pt>
                <c:pt idx="155">
                  <c:v>1.2192000000000001</c:v>
                </c:pt>
                <c:pt idx="156">
                  <c:v>1.1479999999999999</c:v>
                </c:pt>
                <c:pt idx="157">
                  <c:v>1.2585</c:v>
                </c:pt>
                <c:pt idx="158">
                  <c:v>1.2387999999999999</c:v>
                </c:pt>
                <c:pt idx="159">
                  <c:v>1.2251000000000001</c:v>
                </c:pt>
                <c:pt idx="160">
                  <c:v>1.3045</c:v>
                </c:pt>
                <c:pt idx="161">
                  <c:v>1.3711</c:v>
                </c:pt>
                <c:pt idx="162">
                  <c:v>1.137</c:v>
                </c:pt>
                <c:pt idx="163">
                  <c:v>1.1785000000000001</c:v>
                </c:pt>
                <c:pt idx="164">
                  <c:v>1.3</c:v>
                </c:pt>
                <c:pt idx="165">
                  <c:v>1.2029000000000001</c:v>
                </c:pt>
                <c:pt idx="166">
                  <c:v>1.0855999999999999</c:v>
                </c:pt>
                <c:pt idx="167">
                  <c:v>1.0462</c:v>
                </c:pt>
                <c:pt idx="168">
                  <c:v>0.92379999999999995</c:v>
                </c:pt>
                <c:pt idx="169">
                  <c:v>0.95860000000000001</c:v>
                </c:pt>
                <c:pt idx="170">
                  <c:v>0.93489999999999995</c:v>
                </c:pt>
                <c:pt idx="171">
                  <c:v>0.92830000000000001</c:v>
                </c:pt>
                <c:pt idx="172">
                  <c:v>0.89790000000000003</c:v>
                </c:pt>
                <c:pt idx="173">
                  <c:v>0.9597</c:v>
                </c:pt>
                <c:pt idx="174">
                  <c:v>0.95179999999999998</c:v>
                </c:pt>
                <c:pt idx="175">
                  <c:v>0.84209999999999996</c:v>
                </c:pt>
                <c:pt idx="176">
                  <c:v>0.81679999999999997</c:v>
                </c:pt>
                <c:pt idx="177">
                  <c:v>0.72640000000000005</c:v>
                </c:pt>
                <c:pt idx="178">
                  <c:v>0.72850000000000004</c:v>
                </c:pt>
                <c:pt idx="179">
                  <c:v>0.71840000000000004</c:v>
                </c:pt>
                <c:pt idx="180">
                  <c:v>0.73089999999999999</c:v>
                </c:pt>
                <c:pt idx="181">
                  <c:v>0.74139999999999995</c:v>
                </c:pt>
                <c:pt idx="182">
                  <c:v>0.72109999999999996</c:v>
                </c:pt>
                <c:pt idx="183">
                  <c:v>0.70130000000000003</c:v>
                </c:pt>
                <c:pt idx="184">
                  <c:v>0.72570000000000001</c:v>
                </c:pt>
                <c:pt idx="185">
                  <c:v>0.70109999999999995</c:v>
                </c:pt>
                <c:pt idx="186">
                  <c:v>0.67</c:v>
                </c:pt>
                <c:pt idx="187">
                  <c:v>0.66379999999999995</c:v>
                </c:pt>
                <c:pt idx="188">
                  <c:v>0.65480000000000005</c:v>
                </c:pt>
                <c:pt idx="189">
                  <c:v>0.60109999999999997</c:v>
                </c:pt>
                <c:pt idx="190">
                  <c:v>0.59460000000000002</c:v>
                </c:pt>
                <c:pt idx="191">
                  <c:v>0.55430000000000001</c:v>
                </c:pt>
                <c:pt idx="192">
                  <c:v>0.6018</c:v>
                </c:pt>
                <c:pt idx="193">
                  <c:v>0.64759999999999995</c:v>
                </c:pt>
                <c:pt idx="194">
                  <c:v>0.69579999999999997</c:v>
                </c:pt>
                <c:pt idx="195">
                  <c:v>0.65890000000000004</c:v>
                </c:pt>
                <c:pt idx="196">
                  <c:v>0.71519999999999995</c:v>
                </c:pt>
                <c:pt idx="197">
                  <c:v>0.68940000000000001</c:v>
                </c:pt>
                <c:pt idx="198">
                  <c:v>0.6744</c:v>
                </c:pt>
                <c:pt idx="199">
                  <c:v>0.69269999999999998</c:v>
                </c:pt>
                <c:pt idx="200">
                  <c:v>0.71879999999999999</c:v>
                </c:pt>
                <c:pt idx="201">
                  <c:v>0.66739999999999999</c:v>
                </c:pt>
                <c:pt idx="202">
                  <c:v>0.68110000000000004</c:v>
                </c:pt>
                <c:pt idx="203">
                  <c:v>0.66590000000000005</c:v>
                </c:pt>
                <c:pt idx="204">
                  <c:v>0.71650000000000003</c:v>
                </c:pt>
                <c:pt idx="205">
                  <c:v>0.70579999999999998</c:v>
                </c:pt>
                <c:pt idx="206">
                  <c:v>0.67010000000000003</c:v>
                </c:pt>
                <c:pt idx="207">
                  <c:v>0.72189999999999999</c:v>
                </c:pt>
                <c:pt idx="208">
                  <c:v>0.74829999999999997</c:v>
                </c:pt>
                <c:pt idx="209">
                  <c:v>0.70899999999999996</c:v>
                </c:pt>
                <c:pt idx="210">
                  <c:v>0.72060000000000002</c:v>
                </c:pt>
                <c:pt idx="211">
                  <c:v>0.72289999999999999</c:v>
                </c:pt>
                <c:pt idx="212">
                  <c:v>0.73350000000000004</c:v>
                </c:pt>
                <c:pt idx="213">
                  <c:v>0.70609999999999995</c:v>
                </c:pt>
                <c:pt idx="214">
                  <c:v>0.68</c:v>
                </c:pt>
                <c:pt idx="215">
                  <c:v>0.64549999999999996</c:v>
                </c:pt>
                <c:pt idx="216">
                  <c:v>0.66579999999999995</c:v>
                </c:pt>
                <c:pt idx="217">
                  <c:v>0.76749999999999996</c:v>
                </c:pt>
                <c:pt idx="218">
                  <c:v>0.74760000000000004</c:v>
                </c:pt>
                <c:pt idx="219">
                  <c:v>0.70309999999999995</c:v>
                </c:pt>
                <c:pt idx="220">
                  <c:v>0.74419999999999997</c:v>
                </c:pt>
                <c:pt idx="221">
                  <c:v>0.96319999999999995</c:v>
                </c:pt>
                <c:pt idx="222">
                  <c:v>0.93230000000000002</c:v>
                </c:pt>
                <c:pt idx="223">
                  <c:v>0.94530000000000003</c:v>
                </c:pt>
                <c:pt idx="224">
                  <c:v>1.0219</c:v>
                </c:pt>
                <c:pt idx="225">
                  <c:v>1.0357000000000001</c:v>
                </c:pt>
                <c:pt idx="226">
                  <c:v>1.1299999999999999</c:v>
                </c:pt>
                <c:pt idx="227">
                  <c:v>1.1294999999999999</c:v>
                </c:pt>
                <c:pt idx="228">
                  <c:v>1.0943000000000001</c:v>
                </c:pt>
                <c:pt idx="229">
                  <c:v>1.0236000000000001</c:v>
                </c:pt>
                <c:pt idx="230">
                  <c:v>1.0338000000000001</c:v>
                </c:pt>
                <c:pt idx="231">
                  <c:v>1.1904999999999999</c:v>
                </c:pt>
                <c:pt idx="232">
                  <c:v>1.1000000000000001</c:v>
                </c:pt>
                <c:pt idx="233">
                  <c:v>1.0121</c:v>
                </c:pt>
                <c:pt idx="234">
                  <c:v>0.98950000000000005</c:v>
                </c:pt>
                <c:pt idx="235">
                  <c:v>1.1000000000000001</c:v>
                </c:pt>
                <c:pt idx="236">
                  <c:v>1.0303</c:v>
                </c:pt>
                <c:pt idx="237">
                  <c:v>1.0669</c:v>
                </c:pt>
                <c:pt idx="238">
                  <c:v>1.1688000000000001</c:v>
                </c:pt>
                <c:pt idx="239">
                  <c:v>1.1529</c:v>
                </c:pt>
                <c:pt idx="240">
                  <c:v>1.1409</c:v>
                </c:pt>
                <c:pt idx="241">
                  <c:v>1.2737000000000001</c:v>
                </c:pt>
                <c:pt idx="242">
                  <c:v>0.9466</c:v>
                </c:pt>
                <c:pt idx="243">
                  <c:v>0.89170000000000005</c:v>
                </c:pt>
                <c:pt idx="244">
                  <c:v>0.95199999999999996</c:v>
                </c:pt>
                <c:pt idx="245">
                  <c:v>1.1183000000000001</c:v>
                </c:pt>
                <c:pt idx="246">
                  <c:v>1.175</c:v>
                </c:pt>
                <c:pt idx="247">
                  <c:v>1.0145999999999999</c:v>
                </c:pt>
                <c:pt idx="248">
                  <c:v>1.0289999999999999</c:v>
                </c:pt>
                <c:pt idx="249">
                  <c:v>0.81930000000000003</c:v>
                </c:pt>
                <c:pt idx="250">
                  <c:v>1.0032000000000001</c:v>
                </c:pt>
                <c:pt idx="251">
                  <c:v>1.0906</c:v>
                </c:pt>
                <c:pt idx="252">
                  <c:v>1.3192999999999999</c:v>
                </c:pt>
                <c:pt idx="253">
                  <c:v>1.1142000000000001</c:v>
                </c:pt>
                <c:pt idx="254">
                  <c:v>1.7076</c:v>
                </c:pt>
                <c:pt idx="255">
                  <c:v>1.7196</c:v>
                </c:pt>
                <c:pt idx="256">
                  <c:v>1.7661</c:v>
                </c:pt>
                <c:pt idx="257">
                  <c:v>1.7327999999999999</c:v>
                </c:pt>
                <c:pt idx="258">
                  <c:v>1.9533</c:v>
                </c:pt>
                <c:pt idx="259">
                  <c:v>1.8554999999999999</c:v>
                </c:pt>
                <c:pt idx="260">
                  <c:v>1.7725</c:v>
                </c:pt>
                <c:pt idx="261">
                  <c:v>2.2372000000000001</c:v>
                </c:pt>
                <c:pt idx="262">
                  <c:v>2.0983000000000001</c:v>
                </c:pt>
                <c:pt idx="263">
                  <c:v>2.3774000000000002</c:v>
                </c:pt>
                <c:pt idx="264">
                  <c:v>2.6408</c:v>
                </c:pt>
                <c:pt idx="265">
                  <c:v>2.2877999999999998</c:v>
                </c:pt>
                <c:pt idx="266">
                  <c:v>2.4582000000000002</c:v>
                </c:pt>
                <c:pt idx="267">
                  <c:v>3.0112000000000001</c:v>
                </c:pt>
                <c:pt idx="268">
                  <c:v>1.7265999999999999</c:v>
                </c:pt>
                <c:pt idx="269">
                  <c:v>1.8726</c:v>
                </c:pt>
                <c:pt idx="270">
                  <c:v>1.9113</c:v>
                </c:pt>
                <c:pt idx="271">
                  <c:v>1.8648</c:v>
                </c:pt>
                <c:pt idx="272">
                  <c:v>1.9198</c:v>
                </c:pt>
                <c:pt idx="273">
                  <c:v>1.9749000000000001</c:v>
                </c:pt>
                <c:pt idx="274">
                  <c:v>1.7484</c:v>
                </c:pt>
                <c:pt idx="275">
                  <c:v>1.845</c:v>
                </c:pt>
                <c:pt idx="276">
                  <c:v>1.7267999999999999</c:v>
                </c:pt>
                <c:pt idx="277">
                  <c:v>1.8649</c:v>
                </c:pt>
                <c:pt idx="278">
                  <c:v>1.2259</c:v>
                </c:pt>
                <c:pt idx="279">
                  <c:v>1.3917999999999999</c:v>
                </c:pt>
                <c:pt idx="280">
                  <c:v>1.5125999999999999</c:v>
                </c:pt>
                <c:pt idx="281">
                  <c:v>1.6693</c:v>
                </c:pt>
                <c:pt idx="282">
                  <c:v>1.7317</c:v>
                </c:pt>
                <c:pt idx="283">
                  <c:v>1.7635000000000001</c:v>
                </c:pt>
                <c:pt idx="284">
                  <c:v>1.9178999999999999</c:v>
                </c:pt>
                <c:pt idx="285">
                  <c:v>2.3119000000000001</c:v>
                </c:pt>
                <c:pt idx="286">
                  <c:v>2.2214</c:v>
                </c:pt>
                <c:pt idx="287">
                  <c:v>2.3075999999999999</c:v>
                </c:pt>
                <c:pt idx="288">
                  <c:v>2.2774999999999999</c:v>
                </c:pt>
                <c:pt idx="289">
                  <c:v>2.27</c:v>
                </c:pt>
                <c:pt idx="290">
                  <c:v>2.4851999999999999</c:v>
                </c:pt>
                <c:pt idx="291">
                  <c:v>2.5871</c:v>
                </c:pt>
                <c:pt idx="292">
                  <c:v>2.5146000000000002</c:v>
                </c:pt>
                <c:pt idx="293">
                  <c:v>2.5369999999999999</c:v>
                </c:pt>
                <c:pt idx="294">
                  <c:v>2.6676000000000002</c:v>
                </c:pt>
                <c:pt idx="295">
                  <c:v>2.6015000000000001</c:v>
                </c:pt>
                <c:pt idx="296">
                  <c:v>2.9630000000000001</c:v>
                </c:pt>
                <c:pt idx="297">
                  <c:v>2.9977</c:v>
                </c:pt>
                <c:pt idx="298">
                  <c:v>2.7187000000000001</c:v>
                </c:pt>
                <c:pt idx="299">
                  <c:v>2.5640000000000001</c:v>
                </c:pt>
                <c:pt idx="300">
                  <c:v>2.82</c:v>
                </c:pt>
                <c:pt idx="301">
                  <c:v>2.5049999999999999</c:v>
                </c:pt>
                <c:pt idx="302">
                  <c:v>2.6551999999999998</c:v>
                </c:pt>
                <c:pt idx="303">
                  <c:v>2.456</c:v>
                </c:pt>
                <c:pt idx="304">
                  <c:v>2.44</c:v>
                </c:pt>
                <c:pt idx="305">
                  <c:v>2.09</c:v>
                </c:pt>
                <c:pt idx="306">
                  <c:v>2.0998999999999999</c:v>
                </c:pt>
                <c:pt idx="307">
                  <c:v>2.1663999999999999</c:v>
                </c:pt>
                <c:pt idx="308">
                  <c:v>1.9300999999999999</c:v>
                </c:pt>
                <c:pt idx="309">
                  <c:v>2.0703999999999998</c:v>
                </c:pt>
                <c:pt idx="310">
                  <c:v>2.2292999999999998</c:v>
                </c:pt>
                <c:pt idx="311">
                  <c:v>2.3462000000000001</c:v>
                </c:pt>
                <c:pt idx="312">
                  <c:v>2.3563999999999998</c:v>
                </c:pt>
                <c:pt idx="313">
                  <c:v>2.2128000000000001</c:v>
                </c:pt>
                <c:pt idx="314">
                  <c:v>1.9858</c:v>
                </c:pt>
                <c:pt idx="315">
                  <c:v>1.9672000000000001</c:v>
                </c:pt>
                <c:pt idx="316">
                  <c:v>2.1932</c:v>
                </c:pt>
                <c:pt idx="317">
                  <c:v>1.9089</c:v>
                </c:pt>
                <c:pt idx="318">
                  <c:v>2.0407999999999999</c:v>
                </c:pt>
                <c:pt idx="319">
                  <c:v>2.0470999999999999</c:v>
                </c:pt>
                <c:pt idx="320">
                  <c:v>2.0668000000000002</c:v>
                </c:pt>
                <c:pt idx="321">
                  <c:v>1.9293</c:v>
                </c:pt>
                <c:pt idx="322">
                  <c:v>1.7443</c:v>
                </c:pt>
                <c:pt idx="323">
                  <c:v>1.8158000000000001</c:v>
                </c:pt>
                <c:pt idx="324">
                  <c:v>1.7938000000000001</c:v>
                </c:pt>
                <c:pt idx="325">
                  <c:v>1.7272000000000001</c:v>
                </c:pt>
                <c:pt idx="326">
                  <c:v>1.83</c:v>
                </c:pt>
                <c:pt idx="327">
                  <c:v>1.746</c:v>
                </c:pt>
                <c:pt idx="328">
                  <c:v>1.3551</c:v>
                </c:pt>
                <c:pt idx="329">
                  <c:v>1.3431</c:v>
                </c:pt>
                <c:pt idx="330">
                  <c:v>1.4278</c:v>
                </c:pt>
                <c:pt idx="331">
                  <c:v>1.3245</c:v>
                </c:pt>
                <c:pt idx="332">
                  <c:v>1.3331</c:v>
                </c:pt>
                <c:pt idx="333">
                  <c:v>1.1722999999999999</c:v>
                </c:pt>
                <c:pt idx="334">
                  <c:v>1.2794000000000001</c:v>
                </c:pt>
                <c:pt idx="335">
                  <c:v>1.2252000000000001</c:v>
                </c:pt>
                <c:pt idx="336">
                  <c:v>1.2579</c:v>
                </c:pt>
                <c:pt idx="337">
                  <c:v>1.4028</c:v>
                </c:pt>
                <c:pt idx="338">
                  <c:v>1.2799</c:v>
                </c:pt>
                <c:pt idx="339">
                  <c:v>1.6152</c:v>
                </c:pt>
                <c:pt idx="340">
                  <c:v>1.8379000000000001</c:v>
                </c:pt>
                <c:pt idx="341">
                  <c:v>1.8823000000000001</c:v>
                </c:pt>
                <c:pt idx="342">
                  <c:v>1.8841000000000001</c:v>
                </c:pt>
                <c:pt idx="343">
                  <c:v>2.0449999999999999</c:v>
                </c:pt>
                <c:pt idx="344">
                  <c:v>1.9159999999999999</c:v>
                </c:pt>
                <c:pt idx="345">
                  <c:v>1.9186000000000001</c:v>
                </c:pt>
                <c:pt idx="346">
                  <c:v>1.9</c:v>
                </c:pt>
                <c:pt idx="347">
                  <c:v>1.9741</c:v>
                </c:pt>
                <c:pt idx="348">
                  <c:v>1.7363</c:v>
                </c:pt>
                <c:pt idx="349">
                  <c:v>1.8869</c:v>
                </c:pt>
                <c:pt idx="350">
                  <c:v>1.98</c:v>
                </c:pt>
                <c:pt idx="351">
                  <c:v>1.7843</c:v>
                </c:pt>
                <c:pt idx="352">
                  <c:v>1.1093</c:v>
                </c:pt>
                <c:pt idx="353">
                  <c:v>0.83399999999999996</c:v>
                </c:pt>
                <c:pt idx="354">
                  <c:v>0.82230000000000003</c:v>
                </c:pt>
                <c:pt idx="355">
                  <c:v>0.79469999999999996</c:v>
                </c:pt>
                <c:pt idx="356">
                  <c:v>0.82520000000000004</c:v>
                </c:pt>
                <c:pt idx="357">
                  <c:v>0.74780000000000002</c:v>
                </c:pt>
                <c:pt idx="358">
                  <c:v>0.81669999999999998</c:v>
                </c:pt>
                <c:pt idx="359">
                  <c:v>0.86960000000000004</c:v>
                </c:pt>
                <c:pt idx="360">
                  <c:v>0.94679999999999997</c:v>
                </c:pt>
                <c:pt idx="361">
                  <c:v>1.01</c:v>
                </c:pt>
                <c:pt idx="362">
                  <c:v>0.52200000000000002</c:v>
                </c:pt>
                <c:pt idx="363">
                  <c:v>0.51770000000000005</c:v>
                </c:pt>
                <c:pt idx="364">
                  <c:v>0.41599999999999998</c:v>
                </c:pt>
                <c:pt idx="365">
                  <c:v>0.40970000000000001</c:v>
                </c:pt>
                <c:pt idx="366">
                  <c:v>0.45390000000000003</c:v>
                </c:pt>
                <c:pt idx="367">
                  <c:v>0.43169999999999997</c:v>
                </c:pt>
                <c:pt idx="368">
                  <c:v>0.45440000000000003</c:v>
                </c:pt>
                <c:pt idx="369">
                  <c:v>0.45029999999999998</c:v>
                </c:pt>
                <c:pt idx="370">
                  <c:v>0.42009999999999997</c:v>
                </c:pt>
                <c:pt idx="371">
                  <c:v>0.40610000000000002</c:v>
                </c:pt>
                <c:pt idx="372">
                  <c:v>0.43049999999999999</c:v>
                </c:pt>
                <c:pt idx="373">
                  <c:v>0.42330000000000001</c:v>
                </c:pt>
                <c:pt idx="374">
                  <c:v>0.45610000000000001</c:v>
                </c:pt>
                <c:pt idx="375">
                  <c:v>0.4299</c:v>
                </c:pt>
                <c:pt idx="376">
                  <c:v>0.40310000000000001</c:v>
                </c:pt>
                <c:pt idx="377">
                  <c:v>0.38100000000000001</c:v>
                </c:pt>
                <c:pt idx="378">
                  <c:v>0.38140000000000002</c:v>
                </c:pt>
                <c:pt idx="379">
                  <c:v>0.37959999999999999</c:v>
                </c:pt>
                <c:pt idx="380">
                  <c:v>0.36549999999999999</c:v>
                </c:pt>
                <c:pt idx="381">
                  <c:v>0.3896</c:v>
                </c:pt>
                <c:pt idx="382">
                  <c:v>0.41060000000000002</c:v>
                </c:pt>
                <c:pt idx="383">
                  <c:v>0.43149999999999999</c:v>
                </c:pt>
                <c:pt idx="384">
                  <c:v>0.41420000000000001</c:v>
                </c:pt>
                <c:pt idx="385">
                  <c:v>0.41710000000000003</c:v>
                </c:pt>
                <c:pt idx="386">
                  <c:v>0.37680000000000002</c:v>
                </c:pt>
                <c:pt idx="387">
                  <c:v>0.3669</c:v>
                </c:pt>
                <c:pt idx="388">
                  <c:v>0.3463</c:v>
                </c:pt>
                <c:pt idx="389">
                  <c:v>0.35270000000000001</c:v>
                </c:pt>
                <c:pt idx="390">
                  <c:v>0.33839999999999998</c:v>
                </c:pt>
                <c:pt idx="391">
                  <c:v>0.35749999999999998</c:v>
                </c:pt>
                <c:pt idx="392">
                  <c:v>0.35759999999999997</c:v>
                </c:pt>
                <c:pt idx="393">
                  <c:v>0.3659</c:v>
                </c:pt>
                <c:pt idx="394">
                  <c:v>0.36830000000000002</c:v>
                </c:pt>
                <c:pt idx="395">
                  <c:v>0.3881</c:v>
                </c:pt>
                <c:pt idx="396">
                  <c:v>0.3821</c:v>
                </c:pt>
                <c:pt idx="397">
                  <c:v>0.38969999999999999</c:v>
                </c:pt>
                <c:pt idx="398">
                  <c:v>0.39290000000000003</c:v>
                </c:pt>
                <c:pt idx="399">
                  <c:v>0.40510000000000002</c:v>
                </c:pt>
                <c:pt idx="400">
                  <c:v>0.37480000000000002</c:v>
                </c:pt>
                <c:pt idx="401">
                  <c:v>0.4425</c:v>
                </c:pt>
                <c:pt idx="402">
                  <c:v>0.39229999999999998</c:v>
                </c:pt>
                <c:pt idx="403">
                  <c:v>0.42949999999999999</c:v>
                </c:pt>
                <c:pt idx="404">
                  <c:v>0.42149999999999999</c:v>
                </c:pt>
                <c:pt idx="405">
                  <c:v>0.4123</c:v>
                </c:pt>
                <c:pt idx="406">
                  <c:v>0.3992</c:v>
                </c:pt>
                <c:pt idx="407">
                  <c:v>0.41420000000000001</c:v>
                </c:pt>
                <c:pt idx="408">
                  <c:v>0.40610000000000002</c:v>
                </c:pt>
                <c:pt idx="409">
                  <c:v>0.41830000000000001</c:v>
                </c:pt>
                <c:pt idx="410">
                  <c:v>0.4047</c:v>
                </c:pt>
                <c:pt idx="411">
                  <c:v>0.3891</c:v>
                </c:pt>
                <c:pt idx="412">
                  <c:v>0.39250000000000002</c:v>
                </c:pt>
                <c:pt idx="413">
                  <c:v>0.44040000000000001</c:v>
                </c:pt>
                <c:pt idx="414">
                  <c:v>0.48859999999999998</c:v>
                </c:pt>
                <c:pt idx="415">
                  <c:v>0.42099999999999999</c:v>
                </c:pt>
                <c:pt idx="416">
                  <c:v>0.48509999999999998</c:v>
                </c:pt>
                <c:pt idx="417">
                  <c:v>0.47699999999999998</c:v>
                </c:pt>
                <c:pt idx="418">
                  <c:v>0.40629999999999999</c:v>
                </c:pt>
                <c:pt idx="419">
                  <c:v>0.38519999999999999</c:v>
                </c:pt>
                <c:pt idx="420">
                  <c:v>0.40699999999999997</c:v>
                </c:pt>
                <c:pt idx="421">
                  <c:v>0.37330000000000002</c:v>
                </c:pt>
                <c:pt idx="422">
                  <c:v>0.35</c:v>
                </c:pt>
                <c:pt idx="423">
                  <c:v>0.36890000000000001</c:v>
                </c:pt>
                <c:pt idx="424">
                  <c:v>0.35820000000000002</c:v>
                </c:pt>
                <c:pt idx="425">
                  <c:v>0.3674</c:v>
                </c:pt>
                <c:pt idx="426">
                  <c:v>0.34360000000000002</c:v>
                </c:pt>
                <c:pt idx="427">
                  <c:v>0.34539999999999998</c:v>
                </c:pt>
                <c:pt idx="428">
                  <c:v>0.40820000000000001</c:v>
                </c:pt>
                <c:pt idx="429">
                  <c:v>0.40579999999999999</c:v>
                </c:pt>
                <c:pt idx="430">
                  <c:v>0.39660000000000001</c:v>
                </c:pt>
                <c:pt idx="431">
                  <c:v>0.34449999999999997</c:v>
                </c:pt>
                <c:pt idx="432">
                  <c:v>0.3619</c:v>
                </c:pt>
                <c:pt idx="433">
                  <c:v>0.33090000000000003</c:v>
                </c:pt>
                <c:pt idx="434">
                  <c:v>0.32140000000000002</c:v>
                </c:pt>
                <c:pt idx="435">
                  <c:v>0.3196</c:v>
                </c:pt>
                <c:pt idx="436">
                  <c:v>0.34439999999999998</c:v>
                </c:pt>
                <c:pt idx="437">
                  <c:v>0.33229999999999998</c:v>
                </c:pt>
                <c:pt idx="438">
                  <c:v>0.31409999999999999</c:v>
                </c:pt>
                <c:pt idx="439">
                  <c:v>0.30449999999999999</c:v>
                </c:pt>
                <c:pt idx="440">
                  <c:v>0.32279999999999998</c:v>
                </c:pt>
                <c:pt idx="441">
                  <c:v>0.31769999999999998</c:v>
                </c:pt>
                <c:pt idx="442">
                  <c:v>0.33079999999999998</c:v>
                </c:pt>
                <c:pt idx="443">
                  <c:v>0.33189999999999997</c:v>
                </c:pt>
                <c:pt idx="444">
                  <c:v>0.31140000000000001</c:v>
                </c:pt>
                <c:pt idx="445">
                  <c:v>0.32840000000000003</c:v>
                </c:pt>
                <c:pt idx="446">
                  <c:v>0.32140000000000002</c:v>
                </c:pt>
                <c:pt idx="447">
                  <c:v>0.35510000000000003</c:v>
                </c:pt>
                <c:pt idx="448">
                  <c:v>0.2908</c:v>
                </c:pt>
                <c:pt idx="449">
                  <c:v>0.30020000000000002</c:v>
                </c:pt>
                <c:pt idx="450">
                  <c:v>0.33110000000000001</c:v>
                </c:pt>
                <c:pt idx="451">
                  <c:v>0.39140000000000003</c:v>
                </c:pt>
                <c:pt idx="452">
                  <c:v>0.38850000000000001</c:v>
                </c:pt>
                <c:pt idx="453">
                  <c:v>0.39360000000000001</c:v>
                </c:pt>
                <c:pt idx="454">
                  <c:v>0.4047</c:v>
                </c:pt>
                <c:pt idx="455">
                  <c:v>0.42020000000000002</c:v>
                </c:pt>
                <c:pt idx="456">
                  <c:v>0.41810000000000003</c:v>
                </c:pt>
                <c:pt idx="457">
                  <c:v>0.44109999999999999</c:v>
                </c:pt>
                <c:pt idx="458">
                  <c:v>0.4254</c:v>
                </c:pt>
                <c:pt idx="459">
                  <c:v>0.41160000000000002</c:v>
                </c:pt>
                <c:pt idx="460">
                  <c:v>0.40789999999999998</c:v>
                </c:pt>
                <c:pt idx="461">
                  <c:v>0.42180000000000001</c:v>
                </c:pt>
                <c:pt idx="462">
                  <c:v>0.42199999999999999</c:v>
                </c:pt>
                <c:pt idx="463">
                  <c:v>0.40710000000000002</c:v>
                </c:pt>
                <c:pt idx="464">
                  <c:v>0.3901</c:v>
                </c:pt>
                <c:pt idx="465">
                  <c:v>0.41049999999999998</c:v>
                </c:pt>
                <c:pt idx="466">
                  <c:v>0.41689999999999999</c:v>
                </c:pt>
                <c:pt idx="467">
                  <c:v>0.40010000000000001</c:v>
                </c:pt>
                <c:pt idx="468">
                  <c:v>0.39019999999999999</c:v>
                </c:pt>
                <c:pt idx="469">
                  <c:v>0.44040000000000001</c:v>
                </c:pt>
                <c:pt idx="470">
                  <c:v>0.40239999999999998</c:v>
                </c:pt>
                <c:pt idx="471">
                  <c:v>0.4148</c:v>
                </c:pt>
                <c:pt idx="472">
                  <c:v>0.41810000000000003</c:v>
                </c:pt>
                <c:pt idx="473">
                  <c:v>0.42520000000000002</c:v>
                </c:pt>
                <c:pt idx="474">
                  <c:v>0.43409999999999999</c:v>
                </c:pt>
                <c:pt idx="475">
                  <c:v>0.42530000000000001</c:v>
                </c:pt>
                <c:pt idx="476">
                  <c:v>0.41270000000000001</c:v>
                </c:pt>
                <c:pt idx="477">
                  <c:v>0.39779999999999999</c:v>
                </c:pt>
                <c:pt idx="478">
                  <c:v>0.37669999999999998</c:v>
                </c:pt>
                <c:pt idx="479">
                  <c:v>0.42099999999999999</c:v>
                </c:pt>
                <c:pt idx="480">
                  <c:v>0.42209999999999998</c:v>
                </c:pt>
                <c:pt idx="481">
                  <c:v>0.435</c:v>
                </c:pt>
                <c:pt idx="482">
                  <c:v>0.44400000000000001</c:v>
                </c:pt>
                <c:pt idx="483">
                  <c:v>0.47420000000000001</c:v>
                </c:pt>
                <c:pt idx="484">
                  <c:v>0.51900000000000002</c:v>
                </c:pt>
                <c:pt idx="485">
                  <c:v>0.50870000000000004</c:v>
                </c:pt>
                <c:pt idx="486">
                  <c:v>0.50680000000000003</c:v>
                </c:pt>
                <c:pt idx="487">
                  <c:v>0.51929999999999998</c:v>
                </c:pt>
                <c:pt idx="488">
                  <c:v>0.53659999999999997</c:v>
                </c:pt>
                <c:pt idx="489">
                  <c:v>0.54149999999999998</c:v>
                </c:pt>
                <c:pt idx="490">
                  <c:v>0.5383</c:v>
                </c:pt>
                <c:pt idx="491">
                  <c:v>0.49469999999999997</c:v>
                </c:pt>
                <c:pt idx="492">
                  <c:v>0.59850000000000003</c:v>
                </c:pt>
                <c:pt idx="493">
                  <c:v>0.58140000000000003</c:v>
                </c:pt>
                <c:pt idx="494">
                  <c:v>0.67369999999999997</c:v>
                </c:pt>
                <c:pt idx="495">
                  <c:v>0.68789999999999996</c:v>
                </c:pt>
                <c:pt idx="496">
                  <c:v>0.6089</c:v>
                </c:pt>
                <c:pt idx="497">
                  <c:v>0.63990000000000002</c:v>
                </c:pt>
                <c:pt idx="498">
                  <c:v>0.63419999999999999</c:v>
                </c:pt>
                <c:pt idx="499">
                  <c:v>0.58640000000000003</c:v>
                </c:pt>
                <c:pt idx="500">
                  <c:v>0.69599999999999995</c:v>
                </c:pt>
                <c:pt idx="501">
                  <c:v>0.63660000000000005</c:v>
                </c:pt>
                <c:pt idx="502">
                  <c:v>0.69110000000000005</c:v>
                </c:pt>
                <c:pt idx="503">
                  <c:v>0.70779999999999998</c:v>
                </c:pt>
                <c:pt idx="504">
                  <c:v>0.69399999999999995</c:v>
                </c:pt>
                <c:pt idx="505">
                  <c:v>0.67300000000000004</c:v>
                </c:pt>
                <c:pt idx="506">
                  <c:v>0.70250000000000001</c:v>
                </c:pt>
                <c:pt idx="507">
                  <c:v>0.60829999999999995</c:v>
                </c:pt>
                <c:pt idx="508">
                  <c:v>0.58350000000000002</c:v>
                </c:pt>
                <c:pt idx="509">
                  <c:v>0.55800000000000005</c:v>
                </c:pt>
                <c:pt idx="510">
                  <c:v>0.69469999999999998</c:v>
                </c:pt>
                <c:pt idx="511">
                  <c:v>0.7298</c:v>
                </c:pt>
                <c:pt idx="512">
                  <c:v>0.86870000000000003</c:v>
                </c:pt>
                <c:pt idx="513">
                  <c:v>0.91269999999999996</c:v>
                </c:pt>
                <c:pt idx="514">
                  <c:v>0.95169999999999999</c:v>
                </c:pt>
                <c:pt idx="515">
                  <c:v>0.97230000000000005</c:v>
                </c:pt>
                <c:pt idx="516">
                  <c:v>0.95630000000000004</c:v>
                </c:pt>
                <c:pt idx="517">
                  <c:v>1.008</c:v>
                </c:pt>
                <c:pt idx="518">
                  <c:v>1.0136000000000001</c:v>
                </c:pt>
                <c:pt idx="519">
                  <c:v>0.89039999999999997</c:v>
                </c:pt>
                <c:pt idx="520">
                  <c:v>0.87590000000000001</c:v>
                </c:pt>
                <c:pt idx="521">
                  <c:v>0.90349999999999997</c:v>
                </c:pt>
                <c:pt idx="522">
                  <c:v>0.92310000000000003</c:v>
                </c:pt>
                <c:pt idx="523">
                  <c:v>0.89659999999999995</c:v>
                </c:pt>
                <c:pt idx="524">
                  <c:v>0.82909999999999995</c:v>
                </c:pt>
                <c:pt idx="525">
                  <c:v>0.91069999999999995</c:v>
                </c:pt>
                <c:pt idx="526">
                  <c:v>0.8841</c:v>
                </c:pt>
                <c:pt idx="527">
                  <c:v>1.0623</c:v>
                </c:pt>
                <c:pt idx="528">
                  <c:v>1.0419</c:v>
                </c:pt>
                <c:pt idx="529">
                  <c:v>1.1458999999999999</c:v>
                </c:pt>
                <c:pt idx="530">
                  <c:v>1.1436999999999999</c:v>
                </c:pt>
                <c:pt idx="531">
                  <c:v>1.2262</c:v>
                </c:pt>
                <c:pt idx="532">
                  <c:v>1.2163999999999999</c:v>
                </c:pt>
                <c:pt idx="533">
                  <c:v>1.276</c:v>
                </c:pt>
                <c:pt idx="534">
                  <c:v>1.2152000000000001</c:v>
                </c:pt>
                <c:pt idx="535">
                  <c:v>1.24</c:v>
                </c:pt>
                <c:pt idx="536">
                  <c:v>1.2834000000000001</c:v>
                </c:pt>
                <c:pt idx="537">
                  <c:v>1.27</c:v>
                </c:pt>
                <c:pt idx="538">
                  <c:v>1.3240000000000001</c:v>
                </c:pt>
                <c:pt idx="539">
                  <c:v>1.2467999999999999</c:v>
                </c:pt>
                <c:pt idx="540">
                  <c:v>1.2202</c:v>
                </c:pt>
                <c:pt idx="541">
                  <c:v>1.2030000000000001</c:v>
                </c:pt>
                <c:pt idx="542">
                  <c:v>1.2103999999999999</c:v>
                </c:pt>
                <c:pt idx="543">
                  <c:v>1.1472</c:v>
                </c:pt>
                <c:pt idx="544">
                  <c:v>1.1022000000000001</c:v>
                </c:pt>
                <c:pt idx="545">
                  <c:v>1.1815</c:v>
                </c:pt>
                <c:pt idx="546">
                  <c:v>1.2125999999999999</c:v>
                </c:pt>
                <c:pt idx="547">
                  <c:v>1.2588999999999999</c:v>
                </c:pt>
                <c:pt idx="548">
                  <c:v>1.17</c:v>
                </c:pt>
                <c:pt idx="549">
                  <c:v>1.0495000000000001</c:v>
                </c:pt>
                <c:pt idx="550">
                  <c:v>1.1100000000000001</c:v>
                </c:pt>
                <c:pt idx="551">
                  <c:v>1.167</c:v>
                </c:pt>
                <c:pt idx="552">
                  <c:v>1.286</c:v>
                </c:pt>
                <c:pt idx="553">
                  <c:v>1.2518</c:v>
                </c:pt>
                <c:pt idx="554">
                  <c:v>1.1357999999999999</c:v>
                </c:pt>
                <c:pt idx="555">
                  <c:v>1.0124</c:v>
                </c:pt>
                <c:pt idx="556">
                  <c:v>1.0038</c:v>
                </c:pt>
                <c:pt idx="557">
                  <c:v>0.87219999999999998</c:v>
                </c:pt>
                <c:pt idx="558">
                  <c:v>0.74550000000000005</c:v>
                </c:pt>
                <c:pt idx="559">
                  <c:v>0.72140000000000004</c:v>
                </c:pt>
                <c:pt idx="560">
                  <c:v>0.70809999999999995</c:v>
                </c:pt>
                <c:pt idx="561">
                  <c:v>0.74709999999999999</c:v>
                </c:pt>
                <c:pt idx="562">
                  <c:v>0.74790000000000001</c:v>
                </c:pt>
                <c:pt idx="563">
                  <c:v>0.71379999999999999</c:v>
                </c:pt>
                <c:pt idx="564">
                  <c:v>0.69289999999999996</c:v>
                </c:pt>
                <c:pt idx="565">
                  <c:v>0.7077</c:v>
                </c:pt>
                <c:pt idx="566">
                  <c:v>0.71550000000000002</c:v>
                </c:pt>
                <c:pt idx="567">
                  <c:v>0.68420000000000003</c:v>
                </c:pt>
                <c:pt idx="568">
                  <c:v>0.75839999999999996</c:v>
                </c:pt>
                <c:pt idx="569">
                  <c:v>0.75800000000000001</c:v>
                </c:pt>
                <c:pt idx="570">
                  <c:v>0.74490000000000001</c:v>
                </c:pt>
                <c:pt idx="571">
                  <c:v>0.64480000000000004</c:v>
                </c:pt>
                <c:pt idx="572">
                  <c:v>0.6532</c:v>
                </c:pt>
                <c:pt idx="573">
                  <c:v>0.66020000000000001</c:v>
                </c:pt>
                <c:pt idx="574">
                  <c:v>0.66100000000000003</c:v>
                </c:pt>
                <c:pt idx="575">
                  <c:v>0.65649999999999997</c:v>
                </c:pt>
                <c:pt idx="576">
                  <c:v>0.63970000000000005</c:v>
                </c:pt>
                <c:pt idx="577">
                  <c:v>0.65300000000000002</c:v>
                </c:pt>
                <c:pt idx="578">
                  <c:v>0.65649999999999997</c:v>
                </c:pt>
                <c:pt idx="579">
                  <c:v>0.65259999999999996</c:v>
                </c:pt>
                <c:pt idx="580">
                  <c:v>0.71589999999999998</c:v>
                </c:pt>
                <c:pt idx="581">
                  <c:v>0.71489999999999998</c:v>
                </c:pt>
                <c:pt idx="582">
                  <c:v>0.71540000000000004</c:v>
                </c:pt>
                <c:pt idx="583">
                  <c:v>0.73460000000000003</c:v>
                </c:pt>
                <c:pt idx="584">
                  <c:v>0.74099999999999999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A-4D9D-B7F5-858EAF949CE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-4.4270705583741794</c:v>
                </c:pt>
                <c:pt idx="1">
                  <c:v>-4.4262647401923605</c:v>
                </c:pt>
                <c:pt idx="2">
                  <c:v>-4.4170038370008715</c:v>
                </c:pt>
                <c:pt idx="3">
                  <c:v>-4.4246675763870611</c:v>
                </c:pt>
                <c:pt idx="4">
                  <c:v>-4.4115656669324874</c:v>
                </c:pt>
                <c:pt idx="5">
                  <c:v>-4.4102672661681552</c:v>
                </c:pt>
                <c:pt idx="6">
                  <c:v>-4.4056308277131553</c:v>
                </c:pt>
                <c:pt idx="7">
                  <c:v>-4.3793259379679359</c:v>
                </c:pt>
                <c:pt idx="8">
                  <c:v>-4.3697242749458862</c:v>
                </c:pt>
                <c:pt idx="9">
                  <c:v>-4.3634319041232645</c:v>
                </c:pt>
                <c:pt idx="10">
                  <c:v>-4.3542246185163282</c:v>
                </c:pt>
                <c:pt idx="11">
                  <c:v>-4.3369860419309623</c:v>
                </c:pt>
                <c:pt idx="12">
                  <c:v>-4.3375481419309629</c:v>
                </c:pt>
                <c:pt idx="13">
                  <c:v>-4.3344370910529131</c:v>
                </c:pt>
                <c:pt idx="14">
                  <c:v>-4.3252771313101483</c:v>
                </c:pt>
                <c:pt idx="15">
                  <c:v>-4.3307207014213622</c:v>
                </c:pt>
                <c:pt idx="16">
                  <c:v>-4.3331452478154144</c:v>
                </c:pt>
                <c:pt idx="17">
                  <c:v>-4.3056165093164278</c:v>
                </c:pt>
                <c:pt idx="18">
                  <c:v>-4.3408579957663935</c:v>
                </c:pt>
                <c:pt idx="19">
                  <c:v>-4.3356764805309371</c:v>
                </c:pt>
                <c:pt idx="20">
                  <c:v>-4.3271095034119389</c:v>
                </c:pt>
                <c:pt idx="21">
                  <c:v>-4.3228155734119378</c:v>
                </c:pt>
                <c:pt idx="22">
                  <c:v>-4.3209564625786054</c:v>
                </c:pt>
                <c:pt idx="23">
                  <c:v>-4.3010394021276133</c:v>
                </c:pt>
                <c:pt idx="24">
                  <c:v>-4.2681031012203965</c:v>
                </c:pt>
                <c:pt idx="25">
                  <c:v>-4.2746560221527554</c:v>
                </c:pt>
                <c:pt idx="26">
                  <c:v>-4.2413921058954456</c:v>
                </c:pt>
                <c:pt idx="27">
                  <c:v>-4.240769373745275</c:v>
                </c:pt>
                <c:pt idx="28">
                  <c:v>-4.2255556060529669</c:v>
                </c:pt>
                <c:pt idx="29">
                  <c:v>-4.2305630118424409</c:v>
                </c:pt>
                <c:pt idx="30">
                  <c:v>-4.2142104115292875</c:v>
                </c:pt>
                <c:pt idx="31">
                  <c:v>-4.1958553300761334</c:v>
                </c:pt>
                <c:pt idx="32">
                  <c:v>-4.1762898528496306</c:v>
                </c:pt>
                <c:pt idx="33">
                  <c:v>-4.1824158428794815</c:v>
                </c:pt>
                <c:pt idx="34">
                  <c:v>-4.1754654228794816</c:v>
                </c:pt>
                <c:pt idx="35">
                  <c:v>-4.1612874920730301</c:v>
                </c:pt>
                <c:pt idx="36">
                  <c:v>-4.1814205531916739</c:v>
                </c:pt>
                <c:pt idx="37">
                  <c:v>-4.1457500439276442</c:v>
                </c:pt>
                <c:pt idx="38">
                  <c:v>-4.1127581893740732</c:v>
                </c:pt>
                <c:pt idx="39">
                  <c:v>-4.1081907246319354</c:v>
                </c:pt>
                <c:pt idx="40">
                  <c:v>-3.7379982883648335</c:v>
                </c:pt>
                <c:pt idx="41">
                  <c:v>-3.7595159936516724</c:v>
                </c:pt>
                <c:pt idx="42">
                  <c:v>-3.7490069063444227</c:v>
                </c:pt>
                <c:pt idx="43">
                  <c:v>-3.7454325416626979</c:v>
                </c:pt>
                <c:pt idx="44">
                  <c:v>-3.7517944670257775</c:v>
                </c:pt>
                <c:pt idx="45">
                  <c:v>-3.7669892836691341</c:v>
                </c:pt>
                <c:pt idx="46">
                  <c:v>-3.6903138783293286</c:v>
                </c:pt>
                <c:pt idx="47">
                  <c:v>-3.6883122940302626</c:v>
                </c:pt>
                <c:pt idx="48">
                  <c:v>-3.6905449193823756</c:v>
                </c:pt>
                <c:pt idx="49">
                  <c:v>-3.6598731317657087</c:v>
                </c:pt>
                <c:pt idx="50">
                  <c:v>-3.6260503696218827</c:v>
                </c:pt>
                <c:pt idx="51">
                  <c:v>-3.6329275374942225</c:v>
                </c:pt>
                <c:pt idx="52">
                  <c:v>-3.5731392838947063</c:v>
                </c:pt>
                <c:pt idx="53">
                  <c:v>-3.6300166598432595</c:v>
                </c:pt>
                <c:pt idx="54">
                  <c:v>-3.6018005170385603</c:v>
                </c:pt>
                <c:pt idx="55">
                  <c:v>-3.6173622317479497</c:v>
                </c:pt>
                <c:pt idx="56">
                  <c:v>-3.5759360659682335</c:v>
                </c:pt>
                <c:pt idx="57">
                  <c:v>-3.6056721058925572</c:v>
                </c:pt>
                <c:pt idx="58">
                  <c:v>-3.5509804204996454</c:v>
                </c:pt>
                <c:pt idx="59">
                  <c:v>-3.5306756448711276</c:v>
                </c:pt>
                <c:pt idx="60">
                  <c:v>-3.4307196152285542</c:v>
                </c:pt>
                <c:pt idx="61">
                  <c:v>-3.1293311830316313</c:v>
                </c:pt>
                <c:pt idx="62">
                  <c:v>-3.2005754678517646</c:v>
                </c:pt>
                <c:pt idx="63">
                  <c:v>-3.1549413295544024</c:v>
                </c:pt>
                <c:pt idx="64">
                  <c:v>-3.1578084542261435</c:v>
                </c:pt>
                <c:pt idx="65">
                  <c:v>-3.1564105869265648</c:v>
                </c:pt>
                <c:pt idx="66">
                  <c:v>-3.1614544013379606</c:v>
                </c:pt>
                <c:pt idx="67">
                  <c:v>-3.1218272047568796</c:v>
                </c:pt>
                <c:pt idx="68">
                  <c:v>-3.0499616585595954</c:v>
                </c:pt>
                <c:pt idx="69">
                  <c:v>-3.057244109053892</c:v>
                </c:pt>
                <c:pt idx="70">
                  <c:v>-3.0756768775341921</c:v>
                </c:pt>
                <c:pt idx="71">
                  <c:v>-3.0740498790436264</c:v>
                </c:pt>
                <c:pt idx="72">
                  <c:v>-3.0862791147883066</c:v>
                </c:pt>
                <c:pt idx="73">
                  <c:v>-3.0618522942692077</c:v>
                </c:pt>
                <c:pt idx="74">
                  <c:v>-3.0394273861995638</c:v>
                </c:pt>
                <c:pt idx="75">
                  <c:v>-3.0443658986176998</c:v>
                </c:pt>
                <c:pt idx="76">
                  <c:v>-3.0324149244732128</c:v>
                </c:pt>
                <c:pt idx="77">
                  <c:v>-3.0498924907522826</c:v>
                </c:pt>
                <c:pt idx="78">
                  <c:v>-3.0425458630859472</c:v>
                </c:pt>
                <c:pt idx="79">
                  <c:v>-3.0409173518823081</c:v>
                </c:pt>
                <c:pt idx="80">
                  <c:v>-3.0240234350530399</c:v>
                </c:pt>
                <c:pt idx="81">
                  <c:v>-3.0040693950530399</c:v>
                </c:pt>
                <c:pt idx="82">
                  <c:v>-3.0196273744206286</c:v>
                </c:pt>
                <c:pt idx="83">
                  <c:v>-3.0144647349627971</c:v>
                </c:pt>
                <c:pt idx="84">
                  <c:v>-3.0159002011086304</c:v>
                </c:pt>
                <c:pt idx="85">
                  <c:v>-3.0059419993294898</c:v>
                </c:pt>
                <c:pt idx="86">
                  <c:v>-2.9824444121087814</c:v>
                </c:pt>
                <c:pt idx="87">
                  <c:v>-2.9865276210531464</c:v>
                </c:pt>
                <c:pt idx="88">
                  <c:v>-2.9535952325856143</c:v>
                </c:pt>
                <c:pt idx="89">
                  <c:v>-2.9762704029312639</c:v>
                </c:pt>
                <c:pt idx="90">
                  <c:v>-2.9510508337146173</c:v>
                </c:pt>
                <c:pt idx="91">
                  <c:v>-2.9673497933064548</c:v>
                </c:pt>
                <c:pt idx="92">
                  <c:v>-2.9511532216905043</c:v>
                </c:pt>
                <c:pt idx="93">
                  <c:v>-2.9130502961453328</c:v>
                </c:pt>
                <c:pt idx="94">
                  <c:v>-2.8834364680747941</c:v>
                </c:pt>
                <c:pt idx="95">
                  <c:v>-2.7693158077990585</c:v>
                </c:pt>
                <c:pt idx="96">
                  <c:v>-2.6752873799106829</c:v>
                </c:pt>
                <c:pt idx="97">
                  <c:v>-2.6853105563026656</c:v>
                </c:pt>
                <c:pt idx="98">
                  <c:v>-2.6332212361101814</c:v>
                </c:pt>
                <c:pt idx="99">
                  <c:v>-2.6019815391941865</c:v>
                </c:pt>
                <c:pt idx="100">
                  <c:v>-2.6196997137519076</c:v>
                </c:pt>
                <c:pt idx="101">
                  <c:v>-2.6150932462049243</c:v>
                </c:pt>
                <c:pt idx="102">
                  <c:v>-2.6204807412923032</c:v>
                </c:pt>
                <c:pt idx="103">
                  <c:v>-2.5968148973898644</c:v>
                </c:pt>
                <c:pt idx="104">
                  <c:v>-2.6010164994573</c:v>
                </c:pt>
                <c:pt idx="105">
                  <c:v>-2.6039221057824107</c:v>
                </c:pt>
                <c:pt idx="106">
                  <c:v>-2.6091861904882929</c:v>
                </c:pt>
                <c:pt idx="107">
                  <c:v>-2.6143137120267546</c:v>
                </c:pt>
                <c:pt idx="108">
                  <c:v>-2.6251478820846539</c:v>
                </c:pt>
                <c:pt idx="109">
                  <c:v>-2.6170554888703683</c:v>
                </c:pt>
                <c:pt idx="110">
                  <c:v>-2.588261900877769</c:v>
                </c:pt>
                <c:pt idx="111">
                  <c:v>-2.5516943814078039</c:v>
                </c:pt>
                <c:pt idx="112">
                  <c:v>-2.5506912762395086</c:v>
                </c:pt>
                <c:pt idx="113">
                  <c:v>-2.5521171325177696</c:v>
                </c:pt>
                <c:pt idx="114">
                  <c:v>-2.5549385558108542</c:v>
                </c:pt>
                <c:pt idx="115">
                  <c:v>-2.5705998899285012</c:v>
                </c:pt>
                <c:pt idx="116">
                  <c:v>-2.5599412301520612</c:v>
                </c:pt>
                <c:pt idx="117">
                  <c:v>-2.5590627152754282</c:v>
                </c:pt>
                <c:pt idx="118">
                  <c:v>-2.5380806051850939</c:v>
                </c:pt>
                <c:pt idx="119">
                  <c:v>-2.5514939784570778</c:v>
                </c:pt>
                <c:pt idx="120">
                  <c:v>-2.5584426250245835</c:v>
                </c:pt>
                <c:pt idx="121">
                  <c:v>-2.5469056250245834</c:v>
                </c:pt>
                <c:pt idx="122">
                  <c:v>-2.4589382078219288</c:v>
                </c:pt>
                <c:pt idx="123">
                  <c:v>-2.4441143581445095</c:v>
                </c:pt>
                <c:pt idx="124">
                  <c:v>-2.4455693280972657</c:v>
                </c:pt>
                <c:pt idx="125">
                  <c:v>-2.3185921865780665</c:v>
                </c:pt>
                <c:pt idx="126">
                  <c:v>-2.413862090685023</c:v>
                </c:pt>
                <c:pt idx="127">
                  <c:v>-2.4196991708761058</c:v>
                </c:pt>
                <c:pt idx="128">
                  <c:v>-2.4500617079316331</c:v>
                </c:pt>
                <c:pt idx="129">
                  <c:v>-2.4297329747407757</c:v>
                </c:pt>
                <c:pt idx="130">
                  <c:v>-2.4125901908290248</c:v>
                </c:pt>
                <c:pt idx="131">
                  <c:v>-2.3684847776985904</c:v>
                </c:pt>
                <c:pt idx="132">
                  <c:v>-2.3644139221430347</c:v>
                </c:pt>
                <c:pt idx="133">
                  <c:v>-2.3516318975305945</c:v>
                </c:pt>
                <c:pt idx="134">
                  <c:v>-2.3412117446573548</c:v>
                </c:pt>
                <c:pt idx="135">
                  <c:v>-2.3409743884482044</c:v>
                </c:pt>
                <c:pt idx="136">
                  <c:v>-2.3624937371898587</c:v>
                </c:pt>
                <c:pt idx="137">
                  <c:v>-2.3577440822758535</c:v>
                </c:pt>
                <c:pt idx="138">
                  <c:v>-2.3673725581845599</c:v>
                </c:pt>
                <c:pt idx="139">
                  <c:v>-2.3632939641435917</c:v>
                </c:pt>
                <c:pt idx="140">
                  <c:v>-2.3580955926685085</c:v>
                </c:pt>
                <c:pt idx="141">
                  <c:v>-2.3436463649462866</c:v>
                </c:pt>
                <c:pt idx="142">
                  <c:v>-2.3551600358378804</c:v>
                </c:pt>
                <c:pt idx="143">
                  <c:v>-2.3359752997559475</c:v>
                </c:pt>
                <c:pt idx="144">
                  <c:v>-2.2991647904966879</c:v>
                </c:pt>
                <c:pt idx="145">
                  <c:v>-2.1028255116098786</c:v>
                </c:pt>
                <c:pt idx="146">
                  <c:v>-2.1469333574201395</c:v>
                </c:pt>
                <c:pt idx="147">
                  <c:v>-2.1461496171124472</c:v>
                </c:pt>
                <c:pt idx="148">
                  <c:v>-2.1257114279387541</c:v>
                </c:pt>
                <c:pt idx="149">
                  <c:v>-2.1033879241216114</c:v>
                </c:pt>
                <c:pt idx="150">
                  <c:v>-2.1092099948094338</c:v>
                </c:pt>
                <c:pt idx="151">
                  <c:v>-2.0945640369346705</c:v>
                </c:pt>
                <c:pt idx="152">
                  <c:v>-2.1007807298726022</c:v>
                </c:pt>
                <c:pt idx="153">
                  <c:v>-2.0874283831242275</c:v>
                </c:pt>
                <c:pt idx="154">
                  <c:v>-2.1066382941977619</c:v>
                </c:pt>
                <c:pt idx="155">
                  <c:v>-2.0779945045304933</c:v>
                </c:pt>
                <c:pt idx="156">
                  <c:v>-2.0987131510626953</c:v>
                </c:pt>
                <c:pt idx="157">
                  <c:v>-2.0852584165309938</c:v>
                </c:pt>
                <c:pt idx="158">
                  <c:v>-2.0820960734284237</c:v>
                </c:pt>
                <c:pt idx="159">
                  <c:v>-2.0840598339328222</c:v>
                </c:pt>
                <c:pt idx="160">
                  <c:v>-2.0477187699581982</c:v>
                </c:pt>
                <c:pt idx="161">
                  <c:v>-2.0292006343794387</c:v>
                </c:pt>
                <c:pt idx="162">
                  <c:v>-2.1046739724366121</c:v>
                </c:pt>
                <c:pt idx="163">
                  <c:v>-2.085228260243853</c:v>
                </c:pt>
                <c:pt idx="164">
                  <c:v>-1.9923031168011365</c:v>
                </c:pt>
                <c:pt idx="165">
                  <c:v>-1.9929857786545229</c:v>
                </c:pt>
                <c:pt idx="166">
                  <c:v>-2.0324662605601969</c:v>
                </c:pt>
                <c:pt idx="167">
                  <c:v>-2.0464673095532229</c:v>
                </c:pt>
                <c:pt idx="168">
                  <c:v>-2.0737703860193233</c:v>
                </c:pt>
                <c:pt idx="169">
                  <c:v>-2.0666339894394206</c:v>
                </c:pt>
                <c:pt idx="170">
                  <c:v>-2.0305893121829519</c:v>
                </c:pt>
                <c:pt idx="171">
                  <c:v>-2.0403000548336463</c:v>
                </c:pt>
                <c:pt idx="172">
                  <c:v>-2.0622174891616938</c:v>
                </c:pt>
                <c:pt idx="173">
                  <c:v>-2.0474753546533067</c:v>
                </c:pt>
                <c:pt idx="174">
                  <c:v>-2.0215543528745115</c:v>
                </c:pt>
                <c:pt idx="175">
                  <c:v>-1.9746273744462335</c:v>
                </c:pt>
                <c:pt idx="176">
                  <c:v>-1.9731647195024524</c:v>
                </c:pt>
                <c:pt idx="177">
                  <c:v>-2.0031766411336362</c:v>
                </c:pt>
                <c:pt idx="178">
                  <c:v>-2.0110755479709694</c:v>
                </c:pt>
                <c:pt idx="179">
                  <c:v>-2.0173999858575549</c:v>
                </c:pt>
                <c:pt idx="180">
                  <c:v>-2.0028009648607941</c:v>
                </c:pt>
                <c:pt idx="181">
                  <c:v>-2.0081964192945323</c:v>
                </c:pt>
                <c:pt idx="182">
                  <c:v>-2.0176244798754741</c:v>
                </c:pt>
                <c:pt idx="183">
                  <c:v>-2.0215689954290061</c:v>
                </c:pt>
                <c:pt idx="184">
                  <c:v>-2.0126323379094821</c:v>
                </c:pt>
                <c:pt idx="185">
                  <c:v>-2.0210289422590688</c:v>
                </c:pt>
                <c:pt idx="186">
                  <c:v>-1.9957407152353777</c:v>
                </c:pt>
                <c:pt idx="187">
                  <c:v>-2.0057491206937432</c:v>
                </c:pt>
                <c:pt idx="188">
                  <c:v>-2.0022831181807486</c:v>
                </c:pt>
                <c:pt idx="189">
                  <c:v>-2.0198352962338464</c:v>
                </c:pt>
                <c:pt idx="190">
                  <c:v>-2.0226290123303756</c:v>
                </c:pt>
                <c:pt idx="191">
                  <c:v>-2.031504719125711</c:v>
                </c:pt>
                <c:pt idx="192">
                  <c:v>-2.0244437270289368</c:v>
                </c:pt>
                <c:pt idx="193">
                  <c:v>-2.0101946789398504</c:v>
                </c:pt>
                <c:pt idx="194">
                  <c:v>-2.0033574451138501</c:v>
                </c:pt>
                <c:pt idx="195">
                  <c:v>-2.0110724283021715</c:v>
                </c:pt>
                <c:pt idx="196">
                  <c:v>-1.9918330030806581</c:v>
                </c:pt>
                <c:pt idx="197">
                  <c:v>-1.9624449416054019</c:v>
                </c:pt>
                <c:pt idx="198">
                  <c:v>-1.9762008165956193</c:v>
                </c:pt>
                <c:pt idx="199">
                  <c:v>-1.9730174022800164</c:v>
                </c:pt>
                <c:pt idx="200">
                  <c:v>-1.9634970292514824</c:v>
                </c:pt>
                <c:pt idx="201">
                  <c:v>-1.9726288246505117</c:v>
                </c:pt>
                <c:pt idx="202">
                  <c:v>-1.9707374381658962</c:v>
                </c:pt>
                <c:pt idx="203">
                  <c:v>-1.9809109965641141</c:v>
                </c:pt>
                <c:pt idx="204">
                  <c:v>-1.9725991661250899</c:v>
                </c:pt>
                <c:pt idx="205">
                  <c:v>-1.9598813523362908</c:v>
                </c:pt>
                <c:pt idx="206">
                  <c:v>-1.9669014373633447</c:v>
                </c:pt>
                <c:pt idx="207">
                  <c:v>-1.9587243850318694</c:v>
                </c:pt>
                <c:pt idx="208">
                  <c:v>-1.9550605044538265</c:v>
                </c:pt>
                <c:pt idx="209">
                  <c:v>-1.9573349985120787</c:v>
                </c:pt>
                <c:pt idx="210">
                  <c:v>-1.9588018107019338</c:v>
                </c:pt>
                <c:pt idx="211">
                  <c:v>-1.9706754264362196</c:v>
                </c:pt>
                <c:pt idx="212">
                  <c:v>-1.9820338948204237</c:v>
                </c:pt>
                <c:pt idx="213">
                  <c:v>-1.9781797078507144</c:v>
                </c:pt>
                <c:pt idx="214">
                  <c:v>-1.9794352963407498</c:v>
                </c:pt>
                <c:pt idx="215">
                  <c:v>-1.9940177999945958</c:v>
                </c:pt>
                <c:pt idx="216">
                  <c:v>-1.9946081926036603</c:v>
                </c:pt>
                <c:pt idx="217">
                  <c:v>-1.980953464555812</c:v>
                </c:pt>
                <c:pt idx="218">
                  <c:v>-1.9849360508984444</c:v>
                </c:pt>
                <c:pt idx="219">
                  <c:v>-1.9881700661297204</c:v>
                </c:pt>
                <c:pt idx="220">
                  <c:v>-1.9850021082940337</c:v>
                </c:pt>
                <c:pt idx="221">
                  <c:v>-1.9613486314260093</c:v>
                </c:pt>
                <c:pt idx="222">
                  <c:v>-1.9690047826574781</c:v>
                </c:pt>
                <c:pt idx="223">
                  <c:v>-1.9602057756697051</c:v>
                </c:pt>
                <c:pt idx="224">
                  <c:v>-1.9545956523033872</c:v>
                </c:pt>
                <c:pt idx="225">
                  <c:v>-1.9501264356342283</c:v>
                </c:pt>
                <c:pt idx="226">
                  <c:v>-1.9365700667442547</c:v>
                </c:pt>
                <c:pt idx="227">
                  <c:v>-1.9302478846897093</c:v>
                </c:pt>
                <c:pt idx="228">
                  <c:v>-1.932853269091102</c:v>
                </c:pt>
                <c:pt idx="229">
                  <c:v>-1.9485997184930068</c:v>
                </c:pt>
                <c:pt idx="230">
                  <c:v>-1.94323064233868</c:v>
                </c:pt>
                <c:pt idx="231">
                  <c:v>-1.912071982917487</c:v>
                </c:pt>
                <c:pt idx="232">
                  <c:v>-1.9348483835320323</c:v>
                </c:pt>
                <c:pt idx="233">
                  <c:v>-1.9545861022576918</c:v>
                </c:pt>
                <c:pt idx="234">
                  <c:v>-1.9699410300771727</c:v>
                </c:pt>
                <c:pt idx="235">
                  <c:v>-1.9166271267663391</c:v>
                </c:pt>
                <c:pt idx="236">
                  <c:v>-1.9076045516476792</c:v>
                </c:pt>
                <c:pt idx="237">
                  <c:v>-1.8917908705337063</c:v>
                </c:pt>
                <c:pt idx="238">
                  <c:v>-1.8855030415681735</c:v>
                </c:pt>
                <c:pt idx="239">
                  <c:v>-1.8864721305087786</c:v>
                </c:pt>
                <c:pt idx="240">
                  <c:v>-1.8852472533707338</c:v>
                </c:pt>
                <c:pt idx="241">
                  <c:v>-1.8455594031414284</c:v>
                </c:pt>
                <c:pt idx="242">
                  <c:v>-1.9362572109185499</c:v>
                </c:pt>
                <c:pt idx="243">
                  <c:v>-1.9441908854256835</c:v>
                </c:pt>
                <c:pt idx="244">
                  <c:v>-1.9348956797277965</c:v>
                </c:pt>
                <c:pt idx="245">
                  <c:v>-1.9122472102568291</c:v>
                </c:pt>
                <c:pt idx="246">
                  <c:v>-1.9084303666194171</c:v>
                </c:pt>
                <c:pt idx="247">
                  <c:v>-1.932157640437167</c:v>
                </c:pt>
                <c:pt idx="248">
                  <c:v>-1.9455093567518182</c:v>
                </c:pt>
                <c:pt idx="249">
                  <c:v>-1.9610920024668639</c:v>
                </c:pt>
                <c:pt idx="250">
                  <c:v>-1.9509262288380693</c:v>
                </c:pt>
                <c:pt idx="251">
                  <c:v>-1.9459286324623246</c:v>
                </c:pt>
                <c:pt idx="252">
                  <c:v>-1.9335149463802321</c:v>
                </c:pt>
                <c:pt idx="253">
                  <c:v>-1.9653093477151933</c:v>
                </c:pt>
                <c:pt idx="254">
                  <c:v>-1.9343502020156786</c:v>
                </c:pt>
                <c:pt idx="255">
                  <c:v>-1.9226318480168907</c:v>
                </c:pt>
                <c:pt idx="256">
                  <c:v>-1.9177788638597408</c:v>
                </c:pt>
                <c:pt idx="257">
                  <c:v>-1.9118252752107707</c:v>
                </c:pt>
                <c:pt idx="258">
                  <c:v>-1.8756254911473516</c:v>
                </c:pt>
                <c:pt idx="259">
                  <c:v>-1.8779273645257919</c:v>
                </c:pt>
                <c:pt idx="260">
                  <c:v>-1.8577872640400892</c:v>
                </c:pt>
                <c:pt idx="261">
                  <c:v>-1.7740149730528165</c:v>
                </c:pt>
                <c:pt idx="262">
                  <c:v>-1.8038017632541647</c:v>
                </c:pt>
                <c:pt idx="263">
                  <c:v>-1.7333853133167547</c:v>
                </c:pt>
                <c:pt idx="264">
                  <c:v>-1.5463964420624616</c:v>
                </c:pt>
                <c:pt idx="265">
                  <c:v>-1.7015406523578955</c:v>
                </c:pt>
                <c:pt idx="266">
                  <c:v>-1.59702516171668</c:v>
                </c:pt>
                <c:pt idx="267">
                  <c:v>-0.95409008226821901</c:v>
                </c:pt>
                <c:pt idx="268">
                  <c:v>-1.2671499900240297</c:v>
                </c:pt>
                <c:pt idx="269">
                  <c:v>-1.2370667912824651</c:v>
                </c:pt>
                <c:pt idx="270">
                  <c:v>-1.1948263834498005</c:v>
                </c:pt>
                <c:pt idx="271">
                  <c:v>-1.1935682030620782</c:v>
                </c:pt>
                <c:pt idx="272">
                  <c:v>-1.1814389050186</c:v>
                </c:pt>
                <c:pt idx="273">
                  <c:v>-1.1417428930318596</c:v>
                </c:pt>
                <c:pt idx="274">
                  <c:v>-1.1831962913490466</c:v>
                </c:pt>
                <c:pt idx="275">
                  <c:v>-1.1735729636216454</c:v>
                </c:pt>
                <c:pt idx="276">
                  <c:v>-1.2386737230834666</c:v>
                </c:pt>
                <c:pt idx="277">
                  <c:v>-1.2169509443033668</c:v>
                </c:pt>
                <c:pt idx="278">
                  <c:v>-1.480433683169174</c:v>
                </c:pt>
                <c:pt idx="279">
                  <c:v>-1.4462638502951113</c:v>
                </c:pt>
                <c:pt idx="280">
                  <c:v>-1.4573776054476337</c:v>
                </c:pt>
                <c:pt idx="281">
                  <c:v>-1.4153682599664112</c:v>
                </c:pt>
                <c:pt idx="282">
                  <c:v>-1.3537779766011631</c:v>
                </c:pt>
                <c:pt idx="283">
                  <c:v>-1.3829683487379891</c:v>
                </c:pt>
                <c:pt idx="284">
                  <c:v>-1.343545432327653</c:v>
                </c:pt>
                <c:pt idx="285">
                  <c:v>-1.3238712437563551</c:v>
                </c:pt>
                <c:pt idx="286">
                  <c:v>-1.3244506790011794</c:v>
                </c:pt>
                <c:pt idx="287">
                  <c:v>-1.3359944819210043</c:v>
                </c:pt>
                <c:pt idx="288">
                  <c:v>-1.3238108480884403</c:v>
                </c:pt>
                <c:pt idx="289">
                  <c:v>-1.3481056326318168</c:v>
                </c:pt>
                <c:pt idx="290">
                  <c:v>-1.2997810411279951</c:v>
                </c:pt>
                <c:pt idx="291">
                  <c:v>-1.2730618342233089</c:v>
                </c:pt>
                <c:pt idx="292">
                  <c:v>-1.2763963919908079</c:v>
                </c:pt>
                <c:pt idx="293">
                  <c:v>-1.2557706106540052</c:v>
                </c:pt>
                <c:pt idx="294">
                  <c:v>-1.2256333581869296</c:v>
                </c:pt>
                <c:pt idx="295">
                  <c:v>-1.2291310874429298</c:v>
                </c:pt>
                <c:pt idx="296">
                  <c:v>-1.2059338462938389</c:v>
                </c:pt>
                <c:pt idx="297">
                  <c:v>-1.1609632307474649</c:v>
                </c:pt>
                <c:pt idx="298">
                  <c:v>-1.2022156927161096</c:v>
                </c:pt>
                <c:pt idx="299">
                  <c:v>-1.2202273013797791</c:v>
                </c:pt>
                <c:pt idx="300">
                  <c:v>-1.1724354389731126</c:v>
                </c:pt>
                <c:pt idx="301">
                  <c:v>-1.2319157077991914</c:v>
                </c:pt>
                <c:pt idx="302">
                  <c:v>-1.1936462454121408</c:v>
                </c:pt>
                <c:pt idx="303">
                  <c:v>-1.2540179379079992</c:v>
                </c:pt>
                <c:pt idx="304">
                  <c:v>-1.2297323477479991</c:v>
                </c:pt>
                <c:pt idx="305">
                  <c:v>-1.2859929127944527</c:v>
                </c:pt>
                <c:pt idx="306">
                  <c:v>-1.2736990761425842</c:v>
                </c:pt>
                <c:pt idx="307">
                  <c:v>-1.2683899500635101</c:v>
                </c:pt>
                <c:pt idx="308">
                  <c:v>-1.2931648729301157</c:v>
                </c:pt>
                <c:pt idx="309">
                  <c:v>-1.2709289039755258</c:v>
                </c:pt>
                <c:pt idx="310">
                  <c:v>-1.2168997761228899</c:v>
                </c:pt>
                <c:pt idx="311">
                  <c:v>-1.1963047912120428</c:v>
                </c:pt>
                <c:pt idx="312">
                  <c:v>-1.1193861871480268</c:v>
                </c:pt>
                <c:pt idx="313">
                  <c:v>-1.1935947132179296</c:v>
                </c:pt>
                <c:pt idx="314">
                  <c:v>-1.1960096534553168</c:v>
                </c:pt>
                <c:pt idx="315">
                  <c:v>-1.2017574151651713</c:v>
                </c:pt>
                <c:pt idx="316">
                  <c:v>-1.1650447957446946</c:v>
                </c:pt>
                <c:pt idx="317">
                  <c:v>-1.2262288850124703</c:v>
                </c:pt>
                <c:pt idx="318">
                  <c:v>-1.2175002328343927</c:v>
                </c:pt>
                <c:pt idx="319">
                  <c:v>-1.2541221118763923</c:v>
                </c:pt>
                <c:pt idx="320">
                  <c:v>-1.1693615491341209</c:v>
                </c:pt>
                <c:pt idx="321">
                  <c:v>-1.196257168628988</c:v>
                </c:pt>
                <c:pt idx="322">
                  <c:v>-1.2151322686388735</c:v>
                </c:pt>
                <c:pt idx="323">
                  <c:v>-1.2077608727673028</c:v>
                </c:pt>
                <c:pt idx="324">
                  <c:v>-1.2186021845609099</c:v>
                </c:pt>
                <c:pt idx="325">
                  <c:v>-1.2377151252419381</c:v>
                </c:pt>
                <c:pt idx="326">
                  <c:v>-1.223151593999154</c:v>
                </c:pt>
                <c:pt idx="327">
                  <c:v>-1.2813586667397481</c:v>
                </c:pt>
                <c:pt idx="328">
                  <c:v>-1.3730599187800523</c:v>
                </c:pt>
                <c:pt idx="329">
                  <c:v>-1.383469301243283</c:v>
                </c:pt>
                <c:pt idx="330">
                  <c:v>-1.3612393586106719</c:v>
                </c:pt>
                <c:pt idx="331">
                  <c:v>-1.3502306370926718</c:v>
                </c:pt>
                <c:pt idx="332">
                  <c:v>-1.3663579199110643</c:v>
                </c:pt>
                <c:pt idx="333">
                  <c:v>-1.3827482412227328</c:v>
                </c:pt>
                <c:pt idx="334">
                  <c:v>-1.3810815639072698</c:v>
                </c:pt>
                <c:pt idx="335">
                  <c:v>-1.3638654139371844</c:v>
                </c:pt>
                <c:pt idx="336">
                  <c:v>-1.3724141695448895</c:v>
                </c:pt>
                <c:pt idx="337">
                  <c:v>-1.3259297427001975</c:v>
                </c:pt>
                <c:pt idx="338">
                  <c:v>-1.3263921466779707</c:v>
                </c:pt>
                <c:pt idx="339">
                  <c:v>-1.3204054629939381</c:v>
                </c:pt>
                <c:pt idx="340">
                  <c:v>-1.3360244296282777</c:v>
                </c:pt>
                <c:pt idx="341">
                  <c:v>-1.330322265662464</c:v>
                </c:pt>
                <c:pt idx="342">
                  <c:v>-1.2955587775909851</c:v>
                </c:pt>
                <c:pt idx="343">
                  <c:v>-1.2538251257566668</c:v>
                </c:pt>
                <c:pt idx="344">
                  <c:v>-1.2844275670947578</c:v>
                </c:pt>
                <c:pt idx="345">
                  <c:v>-1.2885728137170904</c:v>
                </c:pt>
                <c:pt idx="346">
                  <c:v>-1.2443221805141127</c:v>
                </c:pt>
                <c:pt idx="347">
                  <c:v>-1.1907683161445475</c:v>
                </c:pt>
                <c:pt idx="348">
                  <c:v>-1.2359886093209027</c:v>
                </c:pt>
                <c:pt idx="349">
                  <c:v>-1.2296600158856936</c:v>
                </c:pt>
                <c:pt idx="350">
                  <c:v>-1.2592893571890911</c:v>
                </c:pt>
                <c:pt idx="351">
                  <c:v>-1.1861519357782981</c:v>
                </c:pt>
                <c:pt idx="352">
                  <c:v>-1.3694876666214353</c:v>
                </c:pt>
                <c:pt idx="353">
                  <c:v>-1.3459042796277874</c:v>
                </c:pt>
                <c:pt idx="354">
                  <c:v>-1.360994764374404</c:v>
                </c:pt>
                <c:pt idx="355">
                  <c:v>-1.3456883439174396</c:v>
                </c:pt>
                <c:pt idx="356">
                  <c:v>-1.3205748013066461</c:v>
                </c:pt>
                <c:pt idx="357">
                  <c:v>-1.3659625894592895</c:v>
                </c:pt>
                <c:pt idx="358">
                  <c:v>-1.2947022703592894</c:v>
                </c:pt>
                <c:pt idx="359">
                  <c:v>-1.21145752337226</c:v>
                </c:pt>
                <c:pt idx="360">
                  <c:v>-1.1143757792682603</c:v>
                </c:pt>
                <c:pt idx="361">
                  <c:v>-0.81710408834952053</c:v>
                </c:pt>
                <c:pt idx="362">
                  <c:v>-0.39238999664122975</c:v>
                </c:pt>
                <c:pt idx="363">
                  <c:v>-0.32612071500391637</c:v>
                </c:pt>
                <c:pt idx="364">
                  <c:v>-0.34461800767737794</c:v>
                </c:pt>
                <c:pt idx="365">
                  <c:v>-0.34409380250110672</c:v>
                </c:pt>
                <c:pt idx="366">
                  <c:v>-0.33375975075310677</c:v>
                </c:pt>
                <c:pt idx="367">
                  <c:v>-0.34314237031686512</c:v>
                </c:pt>
                <c:pt idx="368">
                  <c:v>-0.33250671583458474</c:v>
                </c:pt>
                <c:pt idx="369">
                  <c:v>-0.33227008693957011</c:v>
                </c:pt>
                <c:pt idx="370">
                  <c:v>-0.33433038126099868</c:v>
                </c:pt>
                <c:pt idx="371">
                  <c:v>-0.34046715090528434</c:v>
                </c:pt>
                <c:pt idx="372">
                  <c:v>-0.30900802383205367</c:v>
                </c:pt>
                <c:pt idx="373">
                  <c:v>-0.31884238526271402</c:v>
                </c:pt>
                <c:pt idx="374">
                  <c:v>-0.31089311964279703</c:v>
                </c:pt>
                <c:pt idx="375">
                  <c:v>-0.31584651841160122</c:v>
                </c:pt>
                <c:pt idx="376">
                  <c:v>-0.33458966383520117</c:v>
                </c:pt>
                <c:pt idx="377">
                  <c:v>-0.32754630964061571</c:v>
                </c:pt>
                <c:pt idx="378">
                  <c:v>-0.33072156405118974</c:v>
                </c:pt>
                <c:pt idx="379">
                  <c:v>-0.33031121005445507</c:v>
                </c:pt>
                <c:pt idx="380">
                  <c:v>-0.33403052170277314</c:v>
                </c:pt>
                <c:pt idx="381">
                  <c:v>-0.33070476790026737</c:v>
                </c:pt>
                <c:pt idx="382">
                  <c:v>-0.33750897856728174</c:v>
                </c:pt>
                <c:pt idx="383">
                  <c:v>-0.32700329071581119</c:v>
                </c:pt>
                <c:pt idx="384">
                  <c:v>-0.3283592653648677</c:v>
                </c:pt>
                <c:pt idx="385">
                  <c:v>-0.3344142448768041</c:v>
                </c:pt>
                <c:pt idx="386">
                  <c:v>-0.34030582641872392</c:v>
                </c:pt>
                <c:pt idx="387">
                  <c:v>-0.34366207584180086</c:v>
                </c:pt>
                <c:pt idx="388">
                  <c:v>-0.34127808198139481</c:v>
                </c:pt>
                <c:pt idx="389">
                  <c:v>-0.33193269442880224</c:v>
                </c:pt>
                <c:pt idx="390">
                  <c:v>-0.33415458072955406</c:v>
                </c:pt>
                <c:pt idx="391">
                  <c:v>-0.32416039419296871</c:v>
                </c:pt>
                <c:pt idx="392">
                  <c:v>-0.32528243502630211</c:v>
                </c:pt>
                <c:pt idx="393">
                  <c:v>-0.32534786727112963</c:v>
                </c:pt>
                <c:pt idx="394">
                  <c:v>-0.32791951178573642</c:v>
                </c:pt>
                <c:pt idx="395">
                  <c:v>-0.32451981346244091</c:v>
                </c:pt>
                <c:pt idx="396">
                  <c:v>-0.32032646371049289</c:v>
                </c:pt>
                <c:pt idx="397">
                  <c:v>-0.32167627120008196</c:v>
                </c:pt>
                <c:pt idx="398">
                  <c:v>-0.31255337619769147</c:v>
                </c:pt>
                <c:pt idx="399">
                  <c:v>-0.31092282689692519</c:v>
                </c:pt>
                <c:pt idx="400">
                  <c:v>-0.31439725050359185</c:v>
                </c:pt>
                <c:pt idx="401">
                  <c:v>-0.30258304598577718</c:v>
                </c:pt>
                <c:pt idx="402">
                  <c:v>-0.28682393487604374</c:v>
                </c:pt>
                <c:pt idx="403">
                  <c:v>-0.28093569852546096</c:v>
                </c:pt>
                <c:pt idx="404">
                  <c:v>-0.282032821396489</c:v>
                </c:pt>
                <c:pt idx="405">
                  <c:v>-0.2796852079502033</c:v>
                </c:pt>
                <c:pt idx="406">
                  <c:v>-0.28127732611558787</c:v>
                </c:pt>
                <c:pt idx="407">
                  <c:v>-0.27754913078927207</c:v>
                </c:pt>
                <c:pt idx="408">
                  <c:v>-0.2800316772597336</c:v>
                </c:pt>
                <c:pt idx="409">
                  <c:v>-0.27803580358012198</c:v>
                </c:pt>
                <c:pt idx="410">
                  <c:v>-0.28342726029440773</c:v>
                </c:pt>
                <c:pt idx="411">
                  <c:v>-0.2832639495346006</c:v>
                </c:pt>
                <c:pt idx="412">
                  <c:v>-0.27212212476597319</c:v>
                </c:pt>
                <c:pt idx="413">
                  <c:v>-0.27041220574822744</c:v>
                </c:pt>
                <c:pt idx="414">
                  <c:v>-0.26440279346674594</c:v>
                </c:pt>
                <c:pt idx="415">
                  <c:v>-0.28085182968462791</c:v>
                </c:pt>
                <c:pt idx="416">
                  <c:v>-0.26311557537397406</c:v>
                </c:pt>
                <c:pt idx="417">
                  <c:v>-0.2312295913941963</c:v>
                </c:pt>
                <c:pt idx="418">
                  <c:v>-0.21892797718627091</c:v>
                </c:pt>
                <c:pt idx="419">
                  <c:v>-0.22275790320956204</c:v>
                </c:pt>
                <c:pt idx="420">
                  <c:v>-0.19954350907288118</c:v>
                </c:pt>
                <c:pt idx="421">
                  <c:v>-0.20519480486916888</c:v>
                </c:pt>
                <c:pt idx="422">
                  <c:v>-0.21199573512903733</c:v>
                </c:pt>
                <c:pt idx="423">
                  <c:v>-0.20664881815045058</c:v>
                </c:pt>
                <c:pt idx="424">
                  <c:v>-0.20717133686514594</c:v>
                </c:pt>
                <c:pt idx="425">
                  <c:v>-0.20631889033475381</c:v>
                </c:pt>
                <c:pt idx="426">
                  <c:v>-0.20918384728004533</c:v>
                </c:pt>
                <c:pt idx="427">
                  <c:v>-0.20941019077392287</c:v>
                </c:pt>
                <c:pt idx="428">
                  <c:v>-0.20303397055278544</c:v>
                </c:pt>
                <c:pt idx="429">
                  <c:v>-0.1975695442783478</c:v>
                </c:pt>
                <c:pt idx="430">
                  <c:v>-0.20002997736854386</c:v>
                </c:pt>
                <c:pt idx="431">
                  <c:v>-0.20993412461484928</c:v>
                </c:pt>
                <c:pt idx="432">
                  <c:v>-0.20886612289692474</c:v>
                </c:pt>
                <c:pt idx="433">
                  <c:v>-0.22373428850850774</c:v>
                </c:pt>
                <c:pt idx="434">
                  <c:v>-0.22134754197359868</c:v>
                </c:pt>
                <c:pt idx="435">
                  <c:v>-0.21493426518246567</c:v>
                </c:pt>
                <c:pt idx="436">
                  <c:v>-0.20887964824743382</c:v>
                </c:pt>
                <c:pt idx="437">
                  <c:v>-0.2061123531177903</c:v>
                </c:pt>
                <c:pt idx="438">
                  <c:v>-0.21336929317136175</c:v>
                </c:pt>
                <c:pt idx="439">
                  <c:v>-0.20909830451232281</c:v>
                </c:pt>
                <c:pt idx="440">
                  <c:v>-0.20637102569120069</c:v>
                </c:pt>
                <c:pt idx="441">
                  <c:v>-0.21202248171786733</c:v>
                </c:pt>
                <c:pt idx="442">
                  <c:v>-0.20998795705267395</c:v>
                </c:pt>
                <c:pt idx="443">
                  <c:v>-0.19001590013850556</c:v>
                </c:pt>
                <c:pt idx="444">
                  <c:v>-0.1949238149171722</c:v>
                </c:pt>
                <c:pt idx="445">
                  <c:v>-0.19343127506055249</c:v>
                </c:pt>
                <c:pt idx="446">
                  <c:v>-0.19336657217166359</c:v>
                </c:pt>
                <c:pt idx="447">
                  <c:v>-0.18671954928803791</c:v>
                </c:pt>
                <c:pt idx="448">
                  <c:v>-0.2029488986221909</c:v>
                </c:pt>
                <c:pt idx="449">
                  <c:v>-0.20234163377603706</c:v>
                </c:pt>
                <c:pt idx="450">
                  <c:v>-0.19205135756898417</c:v>
                </c:pt>
                <c:pt idx="451">
                  <c:v>-0.17991290237220525</c:v>
                </c:pt>
                <c:pt idx="452">
                  <c:v>-0.17973733085693805</c:v>
                </c:pt>
                <c:pt idx="453">
                  <c:v>-0.17959719607398353</c:v>
                </c:pt>
                <c:pt idx="454">
                  <c:v>-0.17750949835721339</c:v>
                </c:pt>
                <c:pt idx="455">
                  <c:v>-0.17474570146922966</c:v>
                </c:pt>
                <c:pt idx="456">
                  <c:v>-0.17323783303687135</c:v>
                </c:pt>
                <c:pt idx="457">
                  <c:v>-0.17058694000788585</c:v>
                </c:pt>
                <c:pt idx="458">
                  <c:v>-0.16203192453477661</c:v>
                </c:pt>
                <c:pt idx="459">
                  <c:v>-0.1592168155858715</c:v>
                </c:pt>
                <c:pt idx="460">
                  <c:v>-0.15648899270156569</c:v>
                </c:pt>
                <c:pt idx="461">
                  <c:v>-0.15491127900661619</c:v>
                </c:pt>
                <c:pt idx="462">
                  <c:v>-0.15621185576896912</c:v>
                </c:pt>
                <c:pt idx="463">
                  <c:v>-0.15737616431215093</c:v>
                </c:pt>
                <c:pt idx="464">
                  <c:v>-0.15574213144760909</c:v>
                </c:pt>
                <c:pt idx="465">
                  <c:v>-0.15186334368157137</c:v>
                </c:pt>
                <c:pt idx="466">
                  <c:v>-0.14181431420439014</c:v>
                </c:pt>
                <c:pt idx="467">
                  <c:v>-0.14063719674137645</c:v>
                </c:pt>
                <c:pt idx="468">
                  <c:v>-0.14058584007259339</c:v>
                </c:pt>
                <c:pt idx="469">
                  <c:v>-0.13168543399712751</c:v>
                </c:pt>
                <c:pt idx="470">
                  <c:v>-0.12479814755257776</c:v>
                </c:pt>
                <c:pt idx="471">
                  <c:v>-0.12421582209518646</c:v>
                </c:pt>
                <c:pt idx="472">
                  <c:v>-0.12326434484113241</c:v>
                </c:pt>
                <c:pt idx="473">
                  <c:v>-0.12193535202745721</c:v>
                </c:pt>
                <c:pt idx="474">
                  <c:v>-0.12065089580400895</c:v>
                </c:pt>
                <c:pt idx="475">
                  <c:v>-0.11797794270085935</c:v>
                </c:pt>
                <c:pt idx="476">
                  <c:v>-0.11910725504001428</c:v>
                </c:pt>
                <c:pt idx="477">
                  <c:v>-0.12259847485459334</c:v>
                </c:pt>
                <c:pt idx="478">
                  <c:v>-0.12429623385823357</c:v>
                </c:pt>
                <c:pt idx="479">
                  <c:v>-0.11890547670601136</c:v>
                </c:pt>
                <c:pt idx="480">
                  <c:v>-0.11864339371829205</c:v>
                </c:pt>
                <c:pt idx="481">
                  <c:v>-0.11705013136698314</c:v>
                </c:pt>
                <c:pt idx="482">
                  <c:v>-0.11465542526698314</c:v>
                </c:pt>
                <c:pt idx="483">
                  <c:v>-0.1138679196210815</c:v>
                </c:pt>
                <c:pt idx="484">
                  <c:v>-0.10769757223753394</c:v>
                </c:pt>
                <c:pt idx="485">
                  <c:v>-0.11087183692823162</c:v>
                </c:pt>
                <c:pt idx="486">
                  <c:v>-0.11209826928685232</c:v>
                </c:pt>
                <c:pt idx="487">
                  <c:v>-0.10869838240370015</c:v>
                </c:pt>
                <c:pt idx="488">
                  <c:v>-0.10902680573573138</c:v>
                </c:pt>
                <c:pt idx="489">
                  <c:v>-0.10741177259166358</c:v>
                </c:pt>
                <c:pt idx="490">
                  <c:v>-0.11081396540494769</c:v>
                </c:pt>
                <c:pt idx="491">
                  <c:v>-0.11683719035399225</c:v>
                </c:pt>
                <c:pt idx="492">
                  <c:v>-0.10758342762872722</c:v>
                </c:pt>
                <c:pt idx="493">
                  <c:v>-0.10959399322872723</c:v>
                </c:pt>
                <c:pt idx="494">
                  <c:v>-0.10559701860489124</c:v>
                </c:pt>
                <c:pt idx="495">
                  <c:v>-0.10175984401111961</c:v>
                </c:pt>
                <c:pt idx="496">
                  <c:v>-0.10676007470102848</c:v>
                </c:pt>
                <c:pt idx="497">
                  <c:v>-0.10212713186624586</c:v>
                </c:pt>
                <c:pt idx="498">
                  <c:v>-0.10633285976924588</c:v>
                </c:pt>
                <c:pt idx="499">
                  <c:v>-0.11034635430978641</c:v>
                </c:pt>
                <c:pt idx="500">
                  <c:v>-0.10165496161070905</c:v>
                </c:pt>
                <c:pt idx="501">
                  <c:v>-0.10889270265226876</c:v>
                </c:pt>
                <c:pt idx="502">
                  <c:v>-0.10437408636517201</c:v>
                </c:pt>
                <c:pt idx="503">
                  <c:v>-9.9927802502920368E-2</c:v>
                </c:pt>
                <c:pt idx="504">
                  <c:v>-0.10470154318746973</c:v>
                </c:pt>
                <c:pt idx="505">
                  <c:v>-0.10333486733214182</c:v>
                </c:pt>
                <c:pt idx="506">
                  <c:v>-0.10263726435908581</c:v>
                </c:pt>
                <c:pt idx="507">
                  <c:v>-0.12842166779628386</c:v>
                </c:pt>
                <c:pt idx="508">
                  <c:v>-0.1334897333531701</c:v>
                </c:pt>
                <c:pt idx="509">
                  <c:v>-0.1388668509073131</c:v>
                </c:pt>
                <c:pt idx="510">
                  <c:v>-0.13120047136632951</c:v>
                </c:pt>
                <c:pt idx="511">
                  <c:v>-0.13064532598184103</c:v>
                </c:pt>
                <c:pt idx="512">
                  <c:v>-6.9408375846855164E-2</c:v>
                </c:pt>
                <c:pt idx="513">
                  <c:v>-5.4630693758250554E-2</c:v>
                </c:pt>
                <c:pt idx="514">
                  <c:v>-4.0298063247433152E-2</c:v>
                </c:pt>
                <c:pt idx="515">
                  <c:v>-1.6097004514846101E-2</c:v>
                </c:pt>
                <c:pt idx="516">
                  <c:v>-3.1927095980109316E-2</c:v>
                </c:pt>
                <c:pt idx="517">
                  <c:v>-1.5316923341445195E-2</c:v>
                </c:pt>
                <c:pt idx="518">
                  <c:v>-2.2651535890642646E-3</c:v>
                </c:pt>
                <c:pt idx="519">
                  <c:v>-3.0972586835055264E-2</c:v>
                </c:pt>
                <c:pt idx="520">
                  <c:v>-3.3327330392494706E-2</c:v>
                </c:pt>
                <c:pt idx="521">
                  <c:v>-3.3280880573335378E-2</c:v>
                </c:pt>
                <c:pt idx="522">
                  <c:v>-2.8772426625418693E-2</c:v>
                </c:pt>
                <c:pt idx="523">
                  <c:v>-3.071248414541871E-2</c:v>
                </c:pt>
                <c:pt idx="524">
                  <c:v>-3.5817872411132982E-2</c:v>
                </c:pt>
                <c:pt idx="525">
                  <c:v>-2.07117559085668E-2</c:v>
                </c:pt>
                <c:pt idx="526">
                  <c:v>-1.9048226716618138E-2</c:v>
                </c:pt>
                <c:pt idx="527">
                  <c:v>-3.8899179606973894E-3</c:v>
                </c:pt>
                <c:pt idx="528">
                  <c:v>-2.7666456816274665E-2</c:v>
                </c:pt>
                <c:pt idx="529">
                  <c:v>-1.0861237478111312E-2</c:v>
                </c:pt>
                <c:pt idx="530">
                  <c:v>-1.0114285950342198E-2</c:v>
                </c:pt>
                <c:pt idx="531">
                  <c:v>-1.0271483333928102E-4</c:v>
                </c:pt>
                <c:pt idx="532">
                  <c:v>2.9298859707315456E-3</c:v>
                </c:pt>
                <c:pt idx="533">
                  <c:v>3.5208342927810138E-2</c:v>
                </c:pt>
                <c:pt idx="534">
                  <c:v>2.0382960715044186E-2</c:v>
                </c:pt>
                <c:pt idx="535">
                  <c:v>2.367962128306034E-2</c:v>
                </c:pt>
                <c:pt idx="536">
                  <c:v>2.5104412342969225E-2</c:v>
                </c:pt>
                <c:pt idx="537">
                  <c:v>2.6280217144656982E-2</c:v>
                </c:pt>
                <c:pt idx="538">
                  <c:v>3.5315920240530561E-2</c:v>
                </c:pt>
                <c:pt idx="539">
                  <c:v>1.8625788444787839E-2</c:v>
                </c:pt>
                <c:pt idx="540">
                  <c:v>2.5009012242374094E-2</c:v>
                </c:pt>
                <c:pt idx="541">
                  <c:v>3.0331181489485215E-2</c:v>
                </c:pt>
                <c:pt idx="542">
                  <c:v>4.0703984521064128E-2</c:v>
                </c:pt>
                <c:pt idx="543">
                  <c:v>3.3613872660612172E-2</c:v>
                </c:pt>
                <c:pt idx="544">
                  <c:v>2.5646308372815549E-2</c:v>
                </c:pt>
                <c:pt idx="545">
                  <c:v>3.0972924334745661E-2</c:v>
                </c:pt>
                <c:pt idx="546">
                  <c:v>4.4510801336077224E-2</c:v>
                </c:pt>
                <c:pt idx="547">
                  <c:v>5.5115580767281173E-2</c:v>
                </c:pt>
                <c:pt idx="548">
                  <c:v>5.6185324487281169E-2</c:v>
                </c:pt>
                <c:pt idx="549">
                  <c:v>5.1031462116818541E-2</c:v>
                </c:pt>
                <c:pt idx="550">
                  <c:v>4.0150486755338825E-2</c:v>
                </c:pt>
                <c:pt idx="551">
                  <c:v>3.971442258179738E-2</c:v>
                </c:pt>
                <c:pt idx="552">
                  <c:v>5.3317363337830222E-2</c:v>
                </c:pt>
                <c:pt idx="553">
                  <c:v>4.3607358579179176E-2</c:v>
                </c:pt>
                <c:pt idx="554">
                  <c:v>2.0960967032800114E-2</c:v>
                </c:pt>
                <c:pt idx="555">
                  <c:v>1.0840512334000138E-2</c:v>
                </c:pt>
                <c:pt idx="556">
                  <c:v>1.7318178719417728E-3</c:v>
                </c:pt>
                <c:pt idx="557">
                  <c:v>-1.8990607391866983E-2</c:v>
                </c:pt>
                <c:pt idx="558">
                  <c:v>-5.4275006371308075E-2</c:v>
                </c:pt>
                <c:pt idx="559">
                  <c:v>-5.7385063413789288E-2</c:v>
                </c:pt>
                <c:pt idx="560">
                  <c:v>-5.7523245286805184E-2</c:v>
                </c:pt>
                <c:pt idx="561">
                  <c:v>-5.2905011176568942E-2</c:v>
                </c:pt>
                <c:pt idx="562">
                  <c:v>-5.5827294023026913E-2</c:v>
                </c:pt>
                <c:pt idx="563">
                  <c:v>-6.5880793869361215E-2</c:v>
                </c:pt>
                <c:pt idx="564">
                  <c:v>-7.0297099893511475E-2</c:v>
                </c:pt>
                <c:pt idx="565">
                  <c:v>-7.0024075624742693E-2</c:v>
                </c:pt>
                <c:pt idx="566">
                  <c:v>-7.242067967474268E-2</c:v>
                </c:pt>
                <c:pt idx="567">
                  <c:v>-7.389552392059523E-2</c:v>
                </c:pt>
                <c:pt idx="568">
                  <c:v>-7.0018878821247757E-2</c:v>
                </c:pt>
                <c:pt idx="569">
                  <c:v>-6.4173602615340566E-2</c:v>
                </c:pt>
                <c:pt idx="570">
                  <c:v>-6.2104513820468769E-2</c:v>
                </c:pt>
                <c:pt idx="571">
                  <c:v>-7.3812017311081002E-2</c:v>
                </c:pt>
                <c:pt idx="572">
                  <c:v>-7.4312175509171699E-2</c:v>
                </c:pt>
                <c:pt idx="573">
                  <c:v>-7.4710698711648482E-2</c:v>
                </c:pt>
                <c:pt idx="574">
                  <c:v>-7.4754976498583162E-2</c:v>
                </c:pt>
                <c:pt idx="575">
                  <c:v>-7.7288070232545442E-2</c:v>
                </c:pt>
                <c:pt idx="576">
                  <c:v>-8.0015293966196221E-2</c:v>
                </c:pt>
                <c:pt idx="577">
                  <c:v>-7.9099607796965454E-2</c:v>
                </c:pt>
                <c:pt idx="578">
                  <c:v>-7.6967796417553705E-2</c:v>
                </c:pt>
                <c:pt idx="579">
                  <c:v>-7.7898202536796607E-2</c:v>
                </c:pt>
                <c:pt idx="580">
                  <c:v>-7.6409428883953801E-2</c:v>
                </c:pt>
                <c:pt idx="581">
                  <c:v>-8.072752514305398E-2</c:v>
                </c:pt>
                <c:pt idx="582">
                  <c:v>-8.142079327911346E-2</c:v>
                </c:pt>
                <c:pt idx="583">
                  <c:v>-6.5660747532742925E-2</c:v>
                </c:pt>
                <c:pt idx="584">
                  <c:v>-5.7795258239476115E-2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A-4D9D-B7F5-858EAF949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096832"/>
        <c:axId val="529103904"/>
      </c:lineChart>
      <c:dateAx>
        <c:axId val="529096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03904"/>
        <c:crosses val="autoZero"/>
        <c:auto val="1"/>
        <c:lblOffset val="100"/>
        <c:baseTimeUnit val="days"/>
      </c:dateAx>
      <c:valAx>
        <c:axId val="5291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09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2ACFC9-110F-4139-990F-87B58B2196F8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FA0C57-DA8B-4949-83BB-4413602361D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6.4</v>
      </c>
      <c r="D2" s="4">
        <f>MIN(D3:D1912)</f>
        <v>0.27600000000000002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0.58679999999999999</v>
      </c>
      <c r="C5">
        <v>0.59060000000000001</v>
      </c>
      <c r="D5">
        <v>0.57079999999999997</v>
      </c>
      <c r="E5">
        <v>0.57110000000000005</v>
      </c>
      <c r="F5">
        <v>83100</v>
      </c>
      <c r="G5">
        <v>0.57110000000000005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-0.96969696969696184</v>
      </c>
      <c r="Q5">
        <f t="shared" ref="Q5" si="1">F5*P5</f>
        <v>-80581.818181817536</v>
      </c>
      <c r="R5">
        <f t="shared" ref="R5" si="2">R6+Q5</f>
        <v>-442707055.8374179</v>
      </c>
      <c r="S5">
        <f t="shared" ref="S5" si="3">R5/100000</f>
        <v>-4427.0705583741792</v>
      </c>
      <c r="T5">
        <f t="shared" ref="T5" si="4">S5/1000</f>
        <v>-4.4270705583741794</v>
      </c>
    </row>
    <row r="6" spans="1:20" x14ac:dyDescent="0.25">
      <c r="A6" s="5">
        <v>44587</v>
      </c>
      <c r="B6">
        <v>0.58140000000000003</v>
      </c>
      <c r="C6">
        <v>0.62880000000000003</v>
      </c>
      <c r="D6">
        <v>0.57240000000000002</v>
      </c>
      <c r="E6">
        <v>0.58919999999999995</v>
      </c>
      <c r="F6">
        <v>2290855</v>
      </c>
      <c r="G6">
        <v>0.58919999999999995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-0.40425531914893886</v>
      </c>
      <c r="Q6">
        <f t="shared" ref="Q6" si="6">F6*P6</f>
        <v>-926090.31914894236</v>
      </c>
      <c r="R6">
        <f t="shared" ref="R6" si="7">R7+Q6</f>
        <v>-442626474.01923609</v>
      </c>
      <c r="S6">
        <f t="shared" ref="S6" si="8">R6/100000</f>
        <v>-4426.2647401923605</v>
      </c>
      <c r="T6">
        <f t="shared" ref="T6" si="9">S6/1000</f>
        <v>-4.4262647401923605</v>
      </c>
    </row>
    <row r="7" spans="1:20" x14ac:dyDescent="0.25">
      <c r="A7" s="5">
        <v>44586</v>
      </c>
      <c r="B7">
        <v>0.59340000000000004</v>
      </c>
      <c r="C7">
        <v>0.59409999999999996</v>
      </c>
      <c r="D7">
        <v>0.55500000000000005</v>
      </c>
      <c r="E7">
        <v>0.58130000000000004</v>
      </c>
      <c r="F7">
        <v>2219646</v>
      </c>
      <c r="G7">
        <v>0.58130000000000004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0.34526854219949099</v>
      </c>
      <c r="Q7">
        <f t="shared" ref="Q7" si="11">F7*P7</f>
        <v>766373.93861893134</v>
      </c>
      <c r="R7">
        <f t="shared" ref="R7" si="12">R8+Q7</f>
        <v>-441700383.70008713</v>
      </c>
      <c r="S7">
        <f t="shared" ref="S7" si="13">R7/100000</f>
        <v>-4417.0038370008715</v>
      </c>
      <c r="T7">
        <f t="shared" ref="T7" si="14">S7/1000</f>
        <v>-4.4170038370008715</v>
      </c>
    </row>
    <row r="8" spans="1:20" x14ac:dyDescent="0.25">
      <c r="A8" s="5">
        <v>44585</v>
      </c>
      <c r="B8">
        <v>0.5988</v>
      </c>
      <c r="C8">
        <v>0.69469999999999998</v>
      </c>
      <c r="D8">
        <v>0.53400000000000003</v>
      </c>
      <c r="E8">
        <v>0.59409999999999996</v>
      </c>
      <c r="F8">
        <v>5198708.2699999996</v>
      </c>
      <c r="G8">
        <v>0.59409999999999996</v>
      </c>
      <c r="L8" t="s">
        <v>8</v>
      </c>
      <c r="M8" t="s">
        <v>8</v>
      </c>
      <c r="N8" t="s">
        <v>7</v>
      </c>
      <c r="P8">
        <f t="shared" ref="P8" si="15">IF(C8=D8,0,((E8-D8)-(C8-E8))/(C8-D8))</f>
        <v>-0.25202240199128878</v>
      </c>
      <c r="Q8">
        <f t="shared" ref="Q8" si="16">F8*P8</f>
        <v>-1310190.9454573772</v>
      </c>
      <c r="R8">
        <f t="shared" ref="R8" si="17">R9+Q8</f>
        <v>-442466757.63870609</v>
      </c>
      <c r="S8">
        <f t="shared" ref="S8" si="18">R8/100000</f>
        <v>-4424.6675763870608</v>
      </c>
      <c r="T8">
        <f t="shared" ref="T8" si="19">S8/1000</f>
        <v>-4.4246675763870611</v>
      </c>
    </row>
    <row r="9" spans="1:20" x14ac:dyDescent="0.25">
      <c r="A9" s="5">
        <v>44584</v>
      </c>
      <c r="B9">
        <v>0.58399999999999996</v>
      </c>
      <c r="C9">
        <v>0.64080000000000004</v>
      </c>
      <c r="D9">
        <v>0.56230000000000002</v>
      </c>
      <c r="E9">
        <v>0.5988</v>
      </c>
      <c r="F9">
        <v>1853172</v>
      </c>
      <c r="G9">
        <v>0.5988</v>
      </c>
      <c r="L9" t="s">
        <v>8</v>
      </c>
      <c r="M9" t="s">
        <v>7</v>
      </c>
      <c r="N9" t="s">
        <v>7</v>
      </c>
      <c r="P9">
        <f t="shared" ref="P9" si="20">IF(C9=D9,0,((E9-D9)-(C9-E9))/(C9-D9))</f>
        <v>-7.0063694267516685E-2</v>
      </c>
      <c r="Q9">
        <f t="shared" ref="Q9" si="21">F9*P9</f>
        <v>-129840.07643312243</v>
      </c>
      <c r="R9">
        <f t="shared" ref="R9" si="22">R10+Q9</f>
        <v>-441156566.69324869</v>
      </c>
      <c r="S9">
        <f t="shared" ref="S9" si="23">R9/100000</f>
        <v>-4411.5656669324871</v>
      </c>
      <c r="T9">
        <f t="shared" ref="T9" si="24">S9/1000</f>
        <v>-4.4115656669324874</v>
      </c>
    </row>
    <row r="10" spans="1:20" x14ac:dyDescent="0.25">
      <c r="A10" s="5">
        <v>44583</v>
      </c>
      <c r="B10">
        <v>0.61729999999999996</v>
      </c>
      <c r="C10">
        <v>0.63</v>
      </c>
      <c r="D10">
        <v>0.55000000000000004</v>
      </c>
      <c r="E10">
        <v>0.58399999999999996</v>
      </c>
      <c r="F10">
        <v>3090958.97</v>
      </c>
      <c r="G10">
        <v>0.58399999999999996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-0.1500000000000016</v>
      </c>
      <c r="Q10">
        <f t="shared" ref="Q10" si="26">F10*P10</f>
        <v>-463643.845500005</v>
      </c>
      <c r="R10">
        <f t="shared" ref="R10" si="27">R11+Q10</f>
        <v>-441026726.61681557</v>
      </c>
      <c r="S10">
        <f t="shared" ref="S10" si="28">R10/100000</f>
        <v>-4410.2672661681554</v>
      </c>
      <c r="T10">
        <f t="shared" ref="T10" si="29">S10/1000</f>
        <v>-4.4102672661681552</v>
      </c>
    </row>
    <row r="11" spans="1:20" x14ac:dyDescent="0.25">
      <c r="A11" s="5">
        <v>44582</v>
      </c>
      <c r="B11">
        <v>0.76080000000000003</v>
      </c>
      <c r="C11">
        <v>0.76659999999999995</v>
      </c>
      <c r="D11">
        <v>0.61180000000000001</v>
      </c>
      <c r="E11">
        <v>0.61739999999999995</v>
      </c>
      <c r="F11">
        <v>2835652.46</v>
      </c>
      <c r="G11">
        <v>0.61739999999999995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-0.92764857881137031</v>
      </c>
      <c r="Q11">
        <f t="shared" ref="Q11" si="31">F11*P11</f>
        <v>-2630488.9745219662</v>
      </c>
      <c r="R11">
        <f t="shared" ref="R11" si="32">R12+Q11</f>
        <v>-440563082.77131557</v>
      </c>
      <c r="S11">
        <f t="shared" ref="S11" si="33">R11/100000</f>
        <v>-4405.6308277131557</v>
      </c>
      <c r="T11">
        <f t="shared" ref="T11" si="34">S11/1000</f>
        <v>-4.4056308277131553</v>
      </c>
    </row>
    <row r="12" spans="1:20" x14ac:dyDescent="0.25">
      <c r="A12" s="5">
        <v>44581</v>
      </c>
      <c r="B12">
        <v>0.81110000000000004</v>
      </c>
      <c r="C12">
        <v>0.83679999999999999</v>
      </c>
      <c r="D12">
        <v>0.75970000000000004</v>
      </c>
      <c r="E12">
        <v>0.76160000000000005</v>
      </c>
      <c r="F12">
        <v>1009943</v>
      </c>
      <c r="G12">
        <v>0.76160000000000005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-0.95071335927367018</v>
      </c>
      <c r="Q12">
        <f t="shared" ref="Q12" si="36">F12*P12</f>
        <v>-960166.30220492824</v>
      </c>
      <c r="R12">
        <f t="shared" ref="R12" si="37">R13+Q12</f>
        <v>-437932593.79679358</v>
      </c>
      <c r="S12">
        <f t="shared" ref="S12" si="38">R12/100000</f>
        <v>-4379.3259379679357</v>
      </c>
      <c r="T12">
        <f t="shared" ref="T12" si="39">S12/1000</f>
        <v>-4.3793259379679359</v>
      </c>
    </row>
    <row r="13" spans="1:20" x14ac:dyDescent="0.25">
      <c r="A13" s="5">
        <v>44580</v>
      </c>
      <c r="B13">
        <v>0.83760000000000001</v>
      </c>
      <c r="C13">
        <v>0.84399999999999997</v>
      </c>
      <c r="D13">
        <v>0.80510000000000004</v>
      </c>
      <c r="E13">
        <v>0.81179999999999997</v>
      </c>
      <c r="F13">
        <v>959895</v>
      </c>
      <c r="G13">
        <v>0.81179999999999997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-0.65552699228792088</v>
      </c>
      <c r="Q13">
        <f t="shared" ref="Q13" si="41">F13*P13</f>
        <v>-629237.08226221381</v>
      </c>
      <c r="R13">
        <f t="shared" ref="R13" si="42">R14+Q13</f>
        <v>-436972427.49458867</v>
      </c>
      <c r="S13">
        <f t="shared" ref="S13" si="43">R13/100000</f>
        <v>-4369.7242749458865</v>
      </c>
      <c r="T13">
        <f t="shared" ref="T13" si="44">S13/1000</f>
        <v>-4.3697242749458862</v>
      </c>
    </row>
    <row r="14" spans="1:20" x14ac:dyDescent="0.25">
      <c r="A14" s="5">
        <v>44579</v>
      </c>
      <c r="B14">
        <v>0.85640000000000005</v>
      </c>
      <c r="C14">
        <v>0.88949999999999996</v>
      </c>
      <c r="D14">
        <v>0.82030000000000003</v>
      </c>
      <c r="E14">
        <v>0.83909999999999996</v>
      </c>
      <c r="F14">
        <v>2016279</v>
      </c>
      <c r="G14">
        <v>0.83909999999999996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-0.45664739884393218</v>
      </c>
      <c r="Q14">
        <f t="shared" ref="Q14" si="46">F14*P14</f>
        <v>-920728.56069364469</v>
      </c>
      <c r="R14">
        <f t="shared" ref="R14" si="47">R15+Q14</f>
        <v>-436343190.41232646</v>
      </c>
      <c r="S14">
        <f t="shared" ref="S14" si="48">R14/100000</f>
        <v>-4363.4319041232648</v>
      </c>
      <c r="T14">
        <f t="shared" ref="T14" si="49">S14/1000</f>
        <v>-4.3634319041232645</v>
      </c>
    </row>
    <row r="15" spans="1:20" x14ac:dyDescent="0.25">
      <c r="A15" s="5">
        <v>44578</v>
      </c>
      <c r="B15">
        <v>0.85099999999999998</v>
      </c>
      <c r="C15">
        <v>0.91900000000000004</v>
      </c>
      <c r="D15">
        <v>0.83289999999999997</v>
      </c>
      <c r="E15">
        <v>0.85509999999999997</v>
      </c>
      <c r="F15">
        <v>3559332</v>
      </c>
      <c r="G15">
        <v>0.85509999999999997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-0.48432055749128966</v>
      </c>
      <c r="Q15">
        <f t="shared" ref="Q15" si="51">F15*P15</f>
        <v>-1723857.6585365869</v>
      </c>
      <c r="R15">
        <f t="shared" ref="R15" si="52">R16+Q15</f>
        <v>-435422461.85163283</v>
      </c>
      <c r="S15">
        <f t="shared" ref="S15" si="53">R15/100000</f>
        <v>-4354.2246185163285</v>
      </c>
      <c r="T15">
        <f t="shared" ref="T15" si="54">S15/1000</f>
        <v>-4.3542246185163282</v>
      </c>
    </row>
    <row r="16" spans="1:20" x14ac:dyDescent="0.25">
      <c r="A16" s="5">
        <v>44577</v>
      </c>
      <c r="B16">
        <v>0.85860000000000003</v>
      </c>
      <c r="C16">
        <v>0.86319999999999997</v>
      </c>
      <c r="D16">
        <v>0.83740000000000003</v>
      </c>
      <c r="E16">
        <v>0.85099999999999998</v>
      </c>
      <c r="F16">
        <v>1035870</v>
      </c>
      <c r="G16">
        <v>0.85099999999999998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5.4263565891471334E-2</v>
      </c>
      <c r="Q16">
        <f t="shared" ref="Q16" si="56">F16*P16</f>
        <v>56209.999999998414</v>
      </c>
      <c r="R16">
        <f t="shared" ref="R16" si="57">R17+Q16</f>
        <v>-433698604.19309622</v>
      </c>
      <c r="S16">
        <f t="shared" ref="S16" si="58">R16/100000</f>
        <v>-4336.9860419309625</v>
      </c>
      <c r="T16">
        <f t="shared" ref="T16" si="59">S16/1000</f>
        <v>-4.3369860419309623</v>
      </c>
    </row>
    <row r="17" spans="1:20" x14ac:dyDescent="0.25">
      <c r="A17" s="5">
        <v>44576</v>
      </c>
      <c r="B17">
        <v>0.85960000000000003</v>
      </c>
      <c r="C17">
        <v>0.88529999999999998</v>
      </c>
      <c r="D17">
        <v>0.84430000000000005</v>
      </c>
      <c r="E17">
        <v>0.85950000000000004</v>
      </c>
      <c r="F17">
        <v>1203331</v>
      </c>
      <c r="G17">
        <v>0.85950000000000004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-0.25853658536585272</v>
      </c>
      <c r="Q17">
        <f t="shared" ref="Q17" si="61">F17*P17</f>
        <v>-311105.08780487691</v>
      </c>
      <c r="R17">
        <f t="shared" ref="R17" si="62">R18+Q17</f>
        <v>-433754814.19309622</v>
      </c>
      <c r="S17">
        <f t="shared" ref="S17" si="63">R17/100000</f>
        <v>-4337.5481419309626</v>
      </c>
      <c r="T17">
        <f t="shared" ref="T17" si="64">S17/1000</f>
        <v>-4.3375481419309629</v>
      </c>
    </row>
    <row r="18" spans="1:20" x14ac:dyDescent="0.25">
      <c r="A18" s="5">
        <v>44575</v>
      </c>
      <c r="B18">
        <v>0.88870000000000005</v>
      </c>
      <c r="C18">
        <v>0.90269999999999995</v>
      </c>
      <c r="D18">
        <v>0.84050000000000002</v>
      </c>
      <c r="E18">
        <v>0.85919999999999996</v>
      </c>
      <c r="F18">
        <v>2297377</v>
      </c>
      <c r="G18">
        <v>0.85919999999999996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-0.39871382636656072</v>
      </c>
      <c r="Q18">
        <f t="shared" ref="Q18" si="66">F18*P18</f>
        <v>-915995.97427653021</v>
      </c>
      <c r="R18">
        <f t="shared" ref="R18" si="67">R19+Q18</f>
        <v>-433443709.10529137</v>
      </c>
      <c r="S18">
        <f t="shared" ref="S18" si="68">R18/100000</f>
        <v>-4334.4370910529133</v>
      </c>
      <c r="T18">
        <f t="shared" ref="T18" si="69">S18/1000</f>
        <v>-4.3344370910529131</v>
      </c>
    </row>
    <row r="19" spans="1:20" x14ac:dyDescent="0.25">
      <c r="A19" s="5">
        <v>44574</v>
      </c>
      <c r="B19">
        <v>0.86990000000000001</v>
      </c>
      <c r="C19">
        <v>0.93320000000000003</v>
      </c>
      <c r="D19">
        <v>0.82530000000000003</v>
      </c>
      <c r="E19">
        <v>0.88649999999999995</v>
      </c>
      <c r="F19">
        <v>4050767</v>
      </c>
      <c r="G19">
        <v>0.88649999999999995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0.13438368860055466</v>
      </c>
      <c r="Q19">
        <f t="shared" ref="Q19" si="71">F19*P19</f>
        <v>544357.01112140296</v>
      </c>
      <c r="R19">
        <f t="shared" ref="R19" si="72">R20+Q19</f>
        <v>-432527713.13101482</v>
      </c>
      <c r="S19">
        <f t="shared" ref="S19" si="73">R19/100000</f>
        <v>-4325.2771313101484</v>
      </c>
      <c r="T19">
        <f t="shared" ref="T19" si="74">S19/1000</f>
        <v>-4.3252771313101483</v>
      </c>
    </row>
    <row r="20" spans="1:20" x14ac:dyDescent="0.25">
      <c r="A20" s="5">
        <v>44573</v>
      </c>
      <c r="B20">
        <v>0.84760000000000002</v>
      </c>
      <c r="C20">
        <v>0.89419999999999999</v>
      </c>
      <c r="D20">
        <v>0.84040000000000004</v>
      </c>
      <c r="E20">
        <v>0.86990000000000001</v>
      </c>
      <c r="F20">
        <v>2508473</v>
      </c>
      <c r="G20">
        <v>0.86990000000000001</v>
      </c>
      <c r="L20" t="s">
        <v>7</v>
      </c>
      <c r="M20" t="s">
        <v>8</v>
      </c>
      <c r="N20" t="s">
        <v>7</v>
      </c>
      <c r="P20">
        <f t="shared" ref="P20" si="75">IF(C20=D20,0,((E20-D20)-(C20-E20))/(C20-D20))</f>
        <v>9.6654275092936545E-2</v>
      </c>
      <c r="Q20">
        <f t="shared" ref="Q20" si="76">F20*P20</f>
        <v>242454.63940520381</v>
      </c>
      <c r="R20">
        <f t="shared" ref="R20" si="77">R21+Q20</f>
        <v>-433072070.14213622</v>
      </c>
      <c r="S20">
        <f t="shared" ref="S20" si="78">R20/100000</f>
        <v>-4330.7207014213618</v>
      </c>
      <c r="T20">
        <f t="shared" ref="T20" si="79">S20/1000</f>
        <v>-4.3307207014213622</v>
      </c>
    </row>
    <row r="21" spans="1:20" x14ac:dyDescent="0.25">
      <c r="A21" s="5">
        <v>44572</v>
      </c>
      <c r="B21">
        <v>0.85260000000000002</v>
      </c>
      <c r="C21">
        <v>0.92900000000000005</v>
      </c>
      <c r="D21">
        <v>0.83040000000000003</v>
      </c>
      <c r="E21">
        <v>0.84640000000000004</v>
      </c>
      <c r="F21">
        <v>4075576</v>
      </c>
      <c r="G21">
        <v>0.84640000000000004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-0.67545638945233244</v>
      </c>
      <c r="Q21">
        <f t="shared" ref="Q21" si="81">F21*P21</f>
        <v>-2752873.8498985791</v>
      </c>
      <c r="R21">
        <f t="shared" ref="R21" si="82">R22+Q21</f>
        <v>-433314524.78154141</v>
      </c>
      <c r="S21">
        <f t="shared" ref="S21" si="83">R21/100000</f>
        <v>-4333.1452478154142</v>
      </c>
      <c r="T21">
        <f t="shared" ref="T21" si="84">S21/1000</f>
        <v>-4.3331452478154144</v>
      </c>
    </row>
    <row r="22" spans="1:20" x14ac:dyDescent="0.25">
      <c r="A22" s="5">
        <v>44571</v>
      </c>
      <c r="B22">
        <v>0.82769999999999999</v>
      </c>
      <c r="C22">
        <v>0.87050000000000005</v>
      </c>
      <c r="D22">
        <v>0.72619999999999996</v>
      </c>
      <c r="E22">
        <v>0.85240000000000005</v>
      </c>
      <c r="F22">
        <v>4704298.33</v>
      </c>
      <c r="G22">
        <v>0.85240000000000005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0.74913374913374919</v>
      </c>
      <c r="Q22">
        <f t="shared" ref="Q22" si="86">F22*P22</f>
        <v>3524148.6449965355</v>
      </c>
      <c r="R22">
        <f t="shared" ref="R22" si="87">R23+Q22</f>
        <v>-430561650.93164283</v>
      </c>
      <c r="S22">
        <f t="shared" ref="S22" si="88">R22/100000</f>
        <v>-4305.6165093164282</v>
      </c>
      <c r="T22">
        <f t="shared" ref="T22" si="89">S22/1000</f>
        <v>-4.3056165093164278</v>
      </c>
    </row>
    <row r="23" spans="1:20" x14ac:dyDescent="0.25">
      <c r="A23" s="5">
        <v>44570</v>
      </c>
      <c r="B23">
        <v>0.82010000000000005</v>
      </c>
      <c r="C23">
        <v>0.87229999999999996</v>
      </c>
      <c r="D23">
        <v>0.80010000000000003</v>
      </c>
      <c r="E23">
        <v>0.82769999999999999</v>
      </c>
      <c r="F23">
        <v>2200620</v>
      </c>
      <c r="G23">
        <v>0.82769999999999999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-0.2354570637119118</v>
      </c>
      <c r="Q23">
        <f t="shared" ref="Q23" si="91">F23*P23</f>
        <v>-518151.52354570734</v>
      </c>
      <c r="R23">
        <f t="shared" ref="R23" si="92">R24+Q23</f>
        <v>-434085799.57663935</v>
      </c>
      <c r="S23">
        <f t="shared" ref="S23" si="93">R23/100000</f>
        <v>-4340.8579957663933</v>
      </c>
      <c r="T23">
        <f t="shared" ref="T23" si="94">S23/1000</f>
        <v>-4.3408579957663935</v>
      </c>
    </row>
    <row r="24" spans="1:20" x14ac:dyDescent="0.25">
      <c r="A24" s="5">
        <v>44569</v>
      </c>
      <c r="B24">
        <v>0.84319999999999995</v>
      </c>
      <c r="C24">
        <v>0.88280000000000003</v>
      </c>
      <c r="D24">
        <v>0.78700000000000003</v>
      </c>
      <c r="E24">
        <v>0.81979999999999997</v>
      </c>
      <c r="F24">
        <v>2717604</v>
      </c>
      <c r="G24">
        <v>0.81979999999999997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-0.31524008350730809</v>
      </c>
      <c r="Q24">
        <f t="shared" ref="Q24" si="96">F24*P24</f>
        <v>-856697.71189979452</v>
      </c>
      <c r="R24">
        <f t="shared" ref="R24" si="97">R25+Q24</f>
        <v>-433567648.05309367</v>
      </c>
      <c r="S24">
        <f t="shared" ref="S24" si="98">R24/100000</f>
        <v>-4335.6764805309367</v>
      </c>
      <c r="T24">
        <f t="shared" ref="T24" si="99">S24/1000</f>
        <v>-4.3356764805309371</v>
      </c>
    </row>
    <row r="25" spans="1:20" x14ac:dyDescent="0.25">
      <c r="A25" s="5">
        <v>44568</v>
      </c>
      <c r="B25">
        <v>0.86729999999999996</v>
      </c>
      <c r="C25">
        <v>0.87980000000000003</v>
      </c>
      <c r="D25">
        <v>0.81710000000000005</v>
      </c>
      <c r="E25">
        <v>0.84230000000000005</v>
      </c>
      <c r="F25">
        <v>2188857</v>
      </c>
      <c r="G25">
        <v>0.84230000000000005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-0.19617224880382747</v>
      </c>
      <c r="Q25">
        <f t="shared" ref="Q25" si="101">F25*P25</f>
        <v>-429392.99999999936</v>
      </c>
      <c r="R25">
        <f t="shared" ref="R25" si="102">R26+Q25</f>
        <v>-432710950.34119385</v>
      </c>
      <c r="S25">
        <f t="shared" ref="S25" si="103">R25/100000</f>
        <v>-4327.1095034119389</v>
      </c>
      <c r="T25">
        <f t="shared" ref="T25" si="104">S25/1000</f>
        <v>-4.3271095034119389</v>
      </c>
    </row>
    <row r="26" spans="1:20" x14ac:dyDescent="0.25">
      <c r="A26" s="5">
        <v>44567</v>
      </c>
      <c r="B26">
        <v>0.89149999999999996</v>
      </c>
      <c r="C26">
        <v>0.89680000000000004</v>
      </c>
      <c r="D26">
        <v>0.83919999999999995</v>
      </c>
      <c r="E26">
        <v>0.86560000000000004</v>
      </c>
      <c r="F26">
        <v>2230933</v>
      </c>
      <c r="G26">
        <v>0.86560000000000004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-8.3333333333331733E-2</v>
      </c>
      <c r="Q26">
        <f t="shared" ref="Q26" si="106">F26*P26</f>
        <v>-185911.08333332976</v>
      </c>
      <c r="R26">
        <f t="shared" ref="R26" si="107">R27+Q26</f>
        <v>-432281557.34119385</v>
      </c>
      <c r="S26">
        <f t="shared" ref="S26" si="108">R26/100000</f>
        <v>-4322.8155734119382</v>
      </c>
      <c r="T26">
        <f t="shared" ref="T26" si="109">S26/1000</f>
        <v>-4.3228155734119378</v>
      </c>
    </row>
    <row r="27" spans="1:20" x14ac:dyDescent="0.25">
      <c r="A27" s="5">
        <v>44566</v>
      </c>
      <c r="B27">
        <v>0.97</v>
      </c>
      <c r="C27">
        <v>1.0204</v>
      </c>
      <c r="D27">
        <v>0.85409999999999997</v>
      </c>
      <c r="E27">
        <v>0.89090000000000003</v>
      </c>
      <c r="F27">
        <v>3573039</v>
      </c>
      <c r="G27">
        <v>0.89090000000000003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-0.55742633794347496</v>
      </c>
      <c r="Q27">
        <f t="shared" ref="Q27" si="111">F27*P27</f>
        <v>-1991706.0450992158</v>
      </c>
      <c r="R27">
        <f t="shared" ref="R27" si="112">R28+Q27</f>
        <v>-432095646.25786054</v>
      </c>
      <c r="S27">
        <f t="shared" ref="S27" si="113">R27/100000</f>
        <v>-4320.9564625786052</v>
      </c>
      <c r="T27">
        <f t="shared" ref="T27" si="114">S27/1000</f>
        <v>-4.3209564625786054</v>
      </c>
    </row>
    <row r="28" spans="1:20" x14ac:dyDescent="0.25">
      <c r="A28" s="5">
        <v>44565</v>
      </c>
      <c r="B28">
        <v>0.98050000000000004</v>
      </c>
      <c r="C28">
        <v>1.0569999999999999</v>
      </c>
      <c r="D28">
        <v>0.96</v>
      </c>
      <c r="E28">
        <v>0.96919999999999995</v>
      </c>
      <c r="F28">
        <v>4064658</v>
      </c>
      <c r="G28">
        <v>0.96919999999999995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-0.81030927835051569</v>
      </c>
      <c r="Q28">
        <f t="shared" ref="Q28" si="116">F28*P28</f>
        <v>-3293630.0907216505</v>
      </c>
      <c r="R28">
        <f t="shared" ref="R28" si="117">R29+Q28</f>
        <v>-430103940.21276134</v>
      </c>
      <c r="S28">
        <f t="shared" ref="S28" si="118">R28/100000</f>
        <v>-4301.0394021276134</v>
      </c>
      <c r="T28">
        <f t="shared" ref="T28" si="119">S28/1000</f>
        <v>-4.3010394021276133</v>
      </c>
    </row>
    <row r="29" spans="1:20" x14ac:dyDescent="0.25">
      <c r="A29" s="5">
        <v>44564</v>
      </c>
      <c r="B29">
        <v>0.97050000000000003</v>
      </c>
      <c r="C29">
        <v>0.99980000000000002</v>
      </c>
      <c r="D29">
        <v>0.94510000000000005</v>
      </c>
      <c r="E29">
        <v>0.98089999999999999</v>
      </c>
      <c r="F29">
        <v>2120975</v>
      </c>
      <c r="G29">
        <v>0.98089999999999999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0.30895795246800595</v>
      </c>
      <c r="Q29">
        <f t="shared" ref="Q29" si="121">F29*P29</f>
        <v>655292.09323582891</v>
      </c>
      <c r="R29">
        <f t="shared" ref="R29" si="122">R30+Q29</f>
        <v>-426810310.12203968</v>
      </c>
      <c r="S29">
        <f t="shared" ref="S29" si="123">R29/100000</f>
        <v>-4268.1031012203966</v>
      </c>
      <c r="T29">
        <f t="shared" ref="T29" si="124">S29/1000</f>
        <v>-4.2681031012203965</v>
      </c>
    </row>
    <row r="30" spans="1:20" x14ac:dyDescent="0.25">
      <c r="A30" s="5">
        <v>44563</v>
      </c>
      <c r="B30">
        <v>0.94569999999999999</v>
      </c>
      <c r="C30">
        <v>1.1000000000000001</v>
      </c>
      <c r="D30">
        <v>0.92900000000000005</v>
      </c>
      <c r="E30">
        <v>0.96909999999999996</v>
      </c>
      <c r="F30">
        <v>6264460</v>
      </c>
      <c r="G30">
        <v>0.96909999999999996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-0.5309941520467848</v>
      </c>
      <c r="Q30">
        <f t="shared" ref="Q30" si="126">F30*P30</f>
        <v>-3326391.6257310016</v>
      </c>
      <c r="R30">
        <f t="shared" ref="R30" si="127">R31+Q30</f>
        <v>-427465602.21527553</v>
      </c>
      <c r="S30">
        <f t="shared" ref="S30" si="128">R30/100000</f>
        <v>-4274.6560221527552</v>
      </c>
      <c r="T30">
        <f t="shared" ref="T30" si="129">S30/1000</f>
        <v>-4.2746560221527554</v>
      </c>
    </row>
    <row r="31" spans="1:20" x14ac:dyDescent="0.25">
      <c r="A31" s="5">
        <v>44562</v>
      </c>
      <c r="B31">
        <v>0.91639999999999999</v>
      </c>
      <c r="C31">
        <v>0.97499999999999998</v>
      </c>
      <c r="D31">
        <v>0.91639999999999999</v>
      </c>
      <c r="E31">
        <v>0.9446</v>
      </c>
      <c r="F31">
        <v>1658732</v>
      </c>
      <c r="G31">
        <v>0.9446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-3.7542662116040619E-2</v>
      </c>
      <c r="Q31">
        <f t="shared" ref="Q31" si="131">F31*P31</f>
        <v>-62273.215017064285</v>
      </c>
      <c r="R31">
        <f t="shared" ref="R31" si="132">R32+Q31</f>
        <v>-424139210.58954453</v>
      </c>
      <c r="S31">
        <f t="shared" ref="S31" si="133">R31/100000</f>
        <v>-4241.3921058954456</v>
      </c>
      <c r="T31">
        <f t="shared" ref="T31" si="134">S31/1000</f>
        <v>-4.2413921058954456</v>
      </c>
    </row>
    <row r="32" spans="1:20" x14ac:dyDescent="0.25">
      <c r="A32" s="5">
        <v>44561</v>
      </c>
      <c r="B32">
        <v>0.93179999999999996</v>
      </c>
      <c r="C32">
        <v>0.96640000000000004</v>
      </c>
      <c r="D32">
        <v>0.90139999999999998</v>
      </c>
      <c r="E32">
        <v>0.91639999999999999</v>
      </c>
      <c r="F32">
        <v>2825414</v>
      </c>
      <c r="G32">
        <v>0.91639999999999999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-0.53846153846153844</v>
      </c>
      <c r="Q32">
        <f t="shared" ref="Q32" si="136">F32*P32</f>
        <v>-1521376.7692307692</v>
      </c>
      <c r="R32">
        <f t="shared" ref="R32" si="137">R33+Q32</f>
        <v>-424076937.37452745</v>
      </c>
      <c r="S32">
        <f t="shared" ref="S32" si="138">R32/100000</f>
        <v>-4240.7693737452746</v>
      </c>
      <c r="T32">
        <f t="shared" ref="T32" si="139">S32/1000</f>
        <v>-4.240769373745275</v>
      </c>
    </row>
    <row r="33" spans="1:20" x14ac:dyDescent="0.25">
      <c r="A33" s="5">
        <v>44560</v>
      </c>
      <c r="B33">
        <v>0.93559999999999999</v>
      </c>
      <c r="C33">
        <v>0.94699999999999995</v>
      </c>
      <c r="D33">
        <v>0.90900000000000003</v>
      </c>
      <c r="E33">
        <v>0.9325</v>
      </c>
      <c r="F33">
        <v>2114238</v>
      </c>
      <c r="G33">
        <v>0.9325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0.23684210526315858</v>
      </c>
      <c r="Q33">
        <f t="shared" ref="Q33" si="141">F33*P33</f>
        <v>500740.57894736988</v>
      </c>
      <c r="R33">
        <f t="shared" ref="R33" si="142">R34+Q33</f>
        <v>-422555560.60529667</v>
      </c>
      <c r="S33">
        <f t="shared" ref="S33" si="143">R33/100000</f>
        <v>-4225.5556060529671</v>
      </c>
      <c r="T33">
        <f t="shared" ref="T33" si="144">S33/1000</f>
        <v>-4.2255556060529669</v>
      </c>
    </row>
    <row r="34" spans="1:20" x14ac:dyDescent="0.25">
      <c r="A34" s="5">
        <v>44559</v>
      </c>
      <c r="B34">
        <v>0.92179999999999995</v>
      </c>
      <c r="C34">
        <v>0.99990000000000001</v>
      </c>
      <c r="D34">
        <v>0.90410000000000001</v>
      </c>
      <c r="E34">
        <v>0.9365</v>
      </c>
      <c r="F34">
        <v>5053481</v>
      </c>
      <c r="G34">
        <v>0.9365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-0.32359081419624247</v>
      </c>
      <c r="Q34">
        <f t="shared" ref="Q34" si="146">F34*P34</f>
        <v>-1635260.0313152417</v>
      </c>
      <c r="R34">
        <f t="shared" ref="R34" si="147">R35+Q34</f>
        <v>-423056301.18424404</v>
      </c>
      <c r="S34">
        <f t="shared" ref="S34" si="148">R34/100000</f>
        <v>-4230.5630118424406</v>
      </c>
      <c r="T34">
        <f t="shared" ref="T34" si="149">S34/1000</f>
        <v>-4.2305630118424409</v>
      </c>
    </row>
    <row r="35" spans="1:20" x14ac:dyDescent="0.25">
      <c r="A35" s="5">
        <v>44558</v>
      </c>
      <c r="B35">
        <v>0.99690000000000001</v>
      </c>
      <c r="C35">
        <v>1.0024999999999999</v>
      </c>
      <c r="D35">
        <v>0.89790000000000003</v>
      </c>
      <c r="E35">
        <v>0.92120000000000002</v>
      </c>
      <c r="F35">
        <v>3310244</v>
      </c>
      <c r="G35">
        <v>0.92120000000000002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-0.55449330783938799</v>
      </c>
      <c r="Q35">
        <f t="shared" ref="Q35" si="151">F35*P35</f>
        <v>-1835508.1453154872</v>
      </c>
      <c r="R35">
        <f t="shared" ref="R35" si="152">R36+Q35</f>
        <v>-421421041.15292877</v>
      </c>
      <c r="S35">
        <f t="shared" ref="S35" si="153">R35/100000</f>
        <v>-4214.2104115292877</v>
      </c>
      <c r="T35">
        <f t="shared" ref="T35" si="154">S35/1000</f>
        <v>-4.2142104115292875</v>
      </c>
    </row>
    <row r="36" spans="1:20" x14ac:dyDescent="0.25">
      <c r="A36" s="5">
        <v>44557</v>
      </c>
      <c r="B36">
        <v>0.96419999999999995</v>
      </c>
      <c r="C36">
        <v>1.0820000000000001</v>
      </c>
      <c r="D36">
        <v>0.95220000000000005</v>
      </c>
      <c r="E36">
        <v>0.99690000000000001</v>
      </c>
      <c r="F36">
        <v>6286136</v>
      </c>
      <c r="G36">
        <v>0.99690000000000001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-0.31124807395993909</v>
      </c>
      <c r="Q36">
        <f t="shared" ref="Q36" si="156">F36*P36</f>
        <v>-1956547.7226502358</v>
      </c>
      <c r="R36">
        <f t="shared" ref="R36" si="157">R37+Q36</f>
        <v>-419585533.0076133</v>
      </c>
      <c r="S36">
        <f t="shared" ref="S36" si="158">R36/100000</f>
        <v>-4195.8553300761332</v>
      </c>
      <c r="T36">
        <f t="shared" ref="T36" si="159">S36/1000</f>
        <v>-4.1958553300761334</v>
      </c>
    </row>
    <row r="37" spans="1:20" x14ac:dyDescent="0.25">
      <c r="A37" s="5">
        <v>44556</v>
      </c>
      <c r="B37">
        <v>0.96340000000000003</v>
      </c>
      <c r="C37">
        <v>0.99</v>
      </c>
      <c r="D37">
        <v>0.92300000000000004</v>
      </c>
      <c r="E37">
        <v>0.96379999999999999</v>
      </c>
      <c r="F37">
        <v>2811242</v>
      </c>
      <c r="G37">
        <v>0.96379999999999999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0.21791044776119339</v>
      </c>
      <c r="Q37">
        <f t="shared" ref="Q37" si="161">F37*P37</f>
        <v>612599.00298507279</v>
      </c>
      <c r="R37">
        <f t="shared" ref="R37" si="162">R38+Q37</f>
        <v>-417628985.28496307</v>
      </c>
      <c r="S37">
        <f t="shared" ref="S37" si="163">R37/100000</f>
        <v>-4176.2898528496307</v>
      </c>
      <c r="T37">
        <f t="shared" ref="T37" si="164">S37/1000</f>
        <v>-4.1762898528496306</v>
      </c>
    </row>
    <row r="38" spans="1:20" x14ac:dyDescent="0.25">
      <c r="A38" s="5">
        <v>44555</v>
      </c>
      <c r="B38">
        <v>0.96189999999999998</v>
      </c>
      <c r="C38">
        <v>0.99</v>
      </c>
      <c r="D38">
        <v>0.95399999999999996</v>
      </c>
      <c r="E38">
        <v>0.96409999999999996</v>
      </c>
      <c r="F38">
        <v>1583640</v>
      </c>
      <c r="G38">
        <v>0.96409999999999996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-0.43888888888888949</v>
      </c>
      <c r="Q38">
        <f t="shared" ref="Q38" si="166">F38*P38</f>
        <v>-695042.00000000093</v>
      </c>
      <c r="R38">
        <f t="shared" ref="R38" si="167">R39+Q38</f>
        <v>-418241584.28794813</v>
      </c>
      <c r="S38">
        <f t="shared" ref="S38" si="168">R38/100000</f>
        <v>-4182.4158428794817</v>
      </c>
      <c r="T38">
        <f t="shared" ref="T38" si="169">S38/1000</f>
        <v>-4.1824158428794815</v>
      </c>
    </row>
    <row r="39" spans="1:20" x14ac:dyDescent="0.25">
      <c r="A39" s="5">
        <v>44554</v>
      </c>
      <c r="B39">
        <v>0.99460000000000004</v>
      </c>
      <c r="C39">
        <v>0.99990000000000001</v>
      </c>
      <c r="D39">
        <v>0.95030000000000003</v>
      </c>
      <c r="E39">
        <v>0.96130000000000004</v>
      </c>
      <c r="F39">
        <v>2547918</v>
      </c>
      <c r="G39">
        <v>0.96130000000000004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-0.5564516129032252</v>
      </c>
      <c r="Q39">
        <f t="shared" ref="Q39" si="171">F39*P39</f>
        <v>-1417793.0806451598</v>
      </c>
      <c r="R39">
        <f t="shared" ref="R39" si="172">R40+Q39</f>
        <v>-417546542.28794813</v>
      </c>
      <c r="S39">
        <f t="shared" ref="S39" si="173">R39/100000</f>
        <v>-4175.4654228794816</v>
      </c>
      <c r="T39">
        <f t="shared" ref="T39" si="174">S39/1000</f>
        <v>-4.1754654228794816</v>
      </c>
    </row>
    <row r="40" spans="1:20" x14ac:dyDescent="0.25">
      <c r="A40" s="5">
        <v>44553</v>
      </c>
      <c r="B40">
        <v>0.96260000000000001</v>
      </c>
      <c r="C40">
        <v>1.0204</v>
      </c>
      <c r="D40">
        <v>0.93189999999999995</v>
      </c>
      <c r="E40">
        <v>0.99460000000000004</v>
      </c>
      <c r="F40">
        <v>4828661</v>
      </c>
      <c r="G40">
        <v>0.99460000000000004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0.41694915254237452</v>
      </c>
      <c r="Q40">
        <f t="shared" ref="Q40" si="176">F40*P40</f>
        <v>2013306.1118644148</v>
      </c>
      <c r="R40">
        <f t="shared" ref="R40" si="177">R41+Q40</f>
        <v>-416128749.20730299</v>
      </c>
      <c r="S40">
        <f t="shared" ref="S40" si="178">R40/100000</f>
        <v>-4161.2874920730301</v>
      </c>
      <c r="T40">
        <f t="shared" ref="T40" si="179">S40/1000</f>
        <v>-4.1612874920730301</v>
      </c>
    </row>
    <row r="41" spans="1:20" x14ac:dyDescent="0.25">
      <c r="A41" s="5">
        <v>44552</v>
      </c>
      <c r="B41">
        <v>0.95450000000000002</v>
      </c>
      <c r="C41">
        <v>1.05</v>
      </c>
      <c r="D41">
        <v>0.94130000000000003</v>
      </c>
      <c r="E41">
        <v>0.96260000000000001</v>
      </c>
      <c r="F41">
        <v>5865937</v>
      </c>
      <c r="G41">
        <v>0.96260000000000001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-0.60809567617295346</v>
      </c>
      <c r="Q41">
        <f t="shared" ref="Q41" si="181">F41*P41</f>
        <v>-3567050.926402946</v>
      </c>
      <c r="R41">
        <f t="shared" ref="R41" si="182">R42+Q41</f>
        <v>-418142055.31916738</v>
      </c>
      <c r="S41">
        <f t="shared" ref="S41" si="183">R41/100000</f>
        <v>-4181.4205531916741</v>
      </c>
      <c r="T41">
        <f t="shared" ref="T41" si="184">S41/1000</f>
        <v>-4.1814205531916739</v>
      </c>
    </row>
    <row r="42" spans="1:20" x14ac:dyDescent="0.25">
      <c r="A42" s="5">
        <v>44551</v>
      </c>
      <c r="B42">
        <v>0.95069999999999999</v>
      </c>
      <c r="C42">
        <v>1.0153000000000001</v>
      </c>
      <c r="D42">
        <v>0.94810000000000005</v>
      </c>
      <c r="E42">
        <v>0.9546</v>
      </c>
      <c r="F42">
        <v>4090503</v>
      </c>
      <c r="G42">
        <v>0.9546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-0.80654761904762062</v>
      </c>
      <c r="Q42">
        <f t="shared" ref="Q42" si="186">F42*P42</f>
        <v>-3299185.4553571492</v>
      </c>
      <c r="R42">
        <f t="shared" ref="R42" si="187">R43+Q42</f>
        <v>-414575004.39276445</v>
      </c>
      <c r="S42">
        <f t="shared" ref="S42" si="188">R42/100000</f>
        <v>-4145.7500439276446</v>
      </c>
      <c r="T42">
        <f t="shared" ref="T42" si="189">S42/1000</f>
        <v>-4.1457500439276442</v>
      </c>
    </row>
    <row r="43" spans="1:20" x14ac:dyDescent="0.25">
      <c r="A43" s="5">
        <v>44550</v>
      </c>
      <c r="B43">
        <v>0.92149999999999999</v>
      </c>
      <c r="C43">
        <v>1.0334000000000001</v>
      </c>
      <c r="D43">
        <v>0.87439999999999996</v>
      </c>
      <c r="E43">
        <v>0.95079999999999998</v>
      </c>
      <c r="F43">
        <v>11713337</v>
      </c>
      <c r="G43">
        <v>0.95079999999999998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-3.899371069182446E-2</v>
      </c>
      <c r="Q43">
        <f t="shared" ref="Q43" si="191">F43*P43</f>
        <v>-456746.47421384306</v>
      </c>
      <c r="R43">
        <f t="shared" ref="R43" si="192">R44+Q43</f>
        <v>-411275818.93740731</v>
      </c>
      <c r="S43">
        <f t="shared" ref="S43" si="193">R43/100000</f>
        <v>-4112.7581893740735</v>
      </c>
      <c r="T43">
        <f t="shared" ref="T43" si="194">S43/1000</f>
        <v>-4.1127581893740732</v>
      </c>
    </row>
    <row r="44" spans="1:20" x14ac:dyDescent="0.25">
      <c r="A44" s="5">
        <v>44549</v>
      </c>
      <c r="B44">
        <v>0.92679999999999996</v>
      </c>
      <c r="C44">
        <v>1.22</v>
      </c>
      <c r="D44">
        <v>0.91300000000000003</v>
      </c>
      <c r="E44">
        <v>0.92159999999999997</v>
      </c>
      <c r="F44">
        <v>39216383</v>
      </c>
      <c r="G44">
        <v>0.92159999999999997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-0.94397394136807855</v>
      </c>
      <c r="Q44">
        <f t="shared" ref="Q44" si="196">F44*P44</f>
        <v>-37019243.626710109</v>
      </c>
      <c r="R44">
        <f t="shared" ref="R44" si="197">R45+Q44</f>
        <v>-410819072.46319348</v>
      </c>
      <c r="S44">
        <f t="shared" ref="S44" si="198">R44/100000</f>
        <v>-4108.1907246319352</v>
      </c>
      <c r="T44">
        <f t="shared" ref="T44" si="199">S44/1000</f>
        <v>-4.1081907246319354</v>
      </c>
    </row>
    <row r="45" spans="1:20" x14ac:dyDescent="0.25">
      <c r="A45" s="5">
        <v>44548</v>
      </c>
      <c r="B45">
        <v>0.82379999999999998</v>
      </c>
      <c r="C45">
        <v>0.9899</v>
      </c>
      <c r="D45">
        <v>0.81210000000000004</v>
      </c>
      <c r="E45">
        <v>0.92700000000000005</v>
      </c>
      <c r="F45">
        <v>7357400</v>
      </c>
      <c r="G45">
        <v>0.92700000000000005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0.29246344206974162</v>
      </c>
      <c r="Q45">
        <f t="shared" ref="Q45" si="201">F45*P45</f>
        <v>2151770.5286839171</v>
      </c>
      <c r="R45">
        <f t="shared" ref="R45" si="202">R46+Q45</f>
        <v>-373799828.83648336</v>
      </c>
      <c r="S45">
        <f t="shared" ref="S45" si="203">R45/100000</f>
        <v>-3737.9982883648336</v>
      </c>
      <c r="T45">
        <f t="shared" ref="T45" si="204">S45/1000</f>
        <v>-3.7379982883648335</v>
      </c>
    </row>
    <row r="46" spans="1:20" x14ac:dyDescent="0.25">
      <c r="A46" s="5">
        <v>44547</v>
      </c>
      <c r="B46">
        <v>0.87770000000000004</v>
      </c>
      <c r="C46">
        <v>0.88190000000000002</v>
      </c>
      <c r="D46">
        <v>0.79500000000000004</v>
      </c>
      <c r="E46">
        <v>0.82379999999999998</v>
      </c>
      <c r="F46">
        <v>3116859</v>
      </c>
      <c r="G46">
        <v>0.82379999999999998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-0.33716915995397134</v>
      </c>
      <c r="Q46">
        <f t="shared" ref="Q46" si="206">F46*P46</f>
        <v>-1050908.7307249752</v>
      </c>
      <c r="R46">
        <f t="shared" ref="R46" si="207">R47+Q46</f>
        <v>-375951599.36516726</v>
      </c>
      <c r="S46">
        <f t="shared" ref="S46" si="208">R46/100000</f>
        <v>-3759.5159936516725</v>
      </c>
      <c r="T46">
        <f t="shared" ref="T46" si="209">S46/1000</f>
        <v>-3.7595159936516724</v>
      </c>
    </row>
    <row r="47" spans="1:20" x14ac:dyDescent="0.25">
      <c r="A47" s="5">
        <v>44546</v>
      </c>
      <c r="B47">
        <v>0.85409999999999997</v>
      </c>
      <c r="C47">
        <v>0.93140000000000001</v>
      </c>
      <c r="D47">
        <v>0.83399999999999996</v>
      </c>
      <c r="E47">
        <v>0.87749999999999995</v>
      </c>
      <c r="F47">
        <v>3347530</v>
      </c>
      <c r="G47">
        <v>0.87749999999999995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-0.10677618069815269</v>
      </c>
      <c r="Q47">
        <f t="shared" ref="Q47" si="211">F47*P47</f>
        <v>-357436.46817248705</v>
      </c>
      <c r="R47">
        <f t="shared" ref="R47" si="212">R48+Q47</f>
        <v>-374900690.63444227</v>
      </c>
      <c r="S47">
        <f t="shared" ref="S47" si="213">R47/100000</f>
        <v>-3749.0069063444225</v>
      </c>
      <c r="T47">
        <f t="shared" ref="T47" si="214">S47/1000</f>
        <v>-3.7490069063444227</v>
      </c>
    </row>
    <row r="48" spans="1:20" x14ac:dyDescent="0.25">
      <c r="A48" s="5">
        <v>44545</v>
      </c>
      <c r="B48">
        <v>0.84099999999999997</v>
      </c>
      <c r="C48">
        <v>0.9</v>
      </c>
      <c r="D48">
        <v>0.78569999999999995</v>
      </c>
      <c r="E48">
        <v>0.85450000000000004</v>
      </c>
      <c r="F48">
        <v>3120893</v>
      </c>
      <c r="G48">
        <v>0.85450000000000004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0.20384951881014948</v>
      </c>
      <c r="Q48">
        <f t="shared" ref="Q48" si="216">F48*P48</f>
        <v>636192.53630796389</v>
      </c>
      <c r="R48">
        <f t="shared" ref="R48" si="217">R49+Q48</f>
        <v>-374543254.16626978</v>
      </c>
      <c r="S48">
        <f t="shared" ref="S48" si="218">R48/100000</f>
        <v>-3745.432541662698</v>
      </c>
      <c r="T48">
        <f t="shared" ref="T48" si="219">S48/1000</f>
        <v>-3.7454325416626979</v>
      </c>
    </row>
    <row r="49" spans="1:20" x14ac:dyDescent="0.25">
      <c r="A49" s="5">
        <v>44544</v>
      </c>
      <c r="B49">
        <v>0.81779999999999997</v>
      </c>
      <c r="C49">
        <v>0.85</v>
      </c>
      <c r="D49">
        <v>0.79279999999999995</v>
      </c>
      <c r="E49">
        <v>0.84109999999999996</v>
      </c>
      <c r="F49">
        <v>2205948</v>
      </c>
      <c r="G49">
        <v>0.84109999999999996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0.6888111888111883</v>
      </c>
      <c r="Q49">
        <f t="shared" ref="Q49" si="221">F49*P49</f>
        <v>1519481.6643356632</v>
      </c>
      <c r="R49">
        <f t="shared" ref="R49" si="222">R50+Q49</f>
        <v>-375179446.70257777</v>
      </c>
      <c r="S49">
        <f t="shared" ref="S49" si="223">R49/100000</f>
        <v>-3751.7944670257775</v>
      </c>
      <c r="T49">
        <f t="shared" ref="T49" si="224">S49/1000</f>
        <v>-3.7517944670257775</v>
      </c>
    </row>
    <row r="50" spans="1:20" x14ac:dyDescent="0.25">
      <c r="A50" s="5">
        <v>44543</v>
      </c>
      <c r="B50">
        <v>0.9</v>
      </c>
      <c r="C50">
        <v>0.94</v>
      </c>
      <c r="D50">
        <v>0.80610000000000004</v>
      </c>
      <c r="E50">
        <v>0.81779999999999997</v>
      </c>
      <c r="F50">
        <v>9291255</v>
      </c>
      <c r="G50">
        <v>0.81779999999999997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-0.8252427184466028</v>
      </c>
      <c r="Q50">
        <f t="shared" ref="Q50" si="226">F50*P50</f>
        <v>-7667540.5339805903</v>
      </c>
      <c r="R50">
        <f t="shared" ref="R50" si="227">R51+Q50</f>
        <v>-376698928.36691344</v>
      </c>
      <c r="S50">
        <f t="shared" ref="S50" si="228">R50/100000</f>
        <v>-3766.9892836691342</v>
      </c>
      <c r="T50">
        <f t="shared" ref="T50" si="229">S50/1000</f>
        <v>-3.7669892836691341</v>
      </c>
    </row>
    <row r="51" spans="1:20" x14ac:dyDescent="0.25">
      <c r="A51" s="5">
        <v>44542</v>
      </c>
      <c r="B51">
        <v>0.90590000000000004</v>
      </c>
      <c r="C51">
        <v>0.94</v>
      </c>
      <c r="D51">
        <v>0.86509999999999998</v>
      </c>
      <c r="E51">
        <v>0.89970000000000006</v>
      </c>
      <c r="F51">
        <v>2630152</v>
      </c>
      <c r="G51">
        <v>0.89970000000000006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-7.6101468624830693E-2</v>
      </c>
      <c r="Q51">
        <f t="shared" ref="Q51" si="231">F51*P51</f>
        <v>-200158.42990653569</v>
      </c>
      <c r="R51">
        <f t="shared" ref="R51" si="232">R52+Q51</f>
        <v>-369031387.83293283</v>
      </c>
      <c r="S51">
        <f t="shared" ref="S51" si="233">R51/100000</f>
        <v>-3690.3138783293284</v>
      </c>
      <c r="T51">
        <f t="shared" ref="T51" si="234">S51/1000</f>
        <v>-3.6903138783293286</v>
      </c>
    </row>
    <row r="52" spans="1:20" x14ac:dyDescent="0.25">
      <c r="A52" s="5">
        <v>44541</v>
      </c>
      <c r="B52">
        <v>0.85519999999999996</v>
      </c>
      <c r="C52">
        <v>0.85880000000000001</v>
      </c>
      <c r="D52">
        <v>0.82330000000000003</v>
      </c>
      <c r="E52">
        <v>0.84940000000000004</v>
      </c>
      <c r="F52">
        <v>474600</v>
      </c>
      <c r="G52">
        <v>0.84940000000000004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0.47042253521126925</v>
      </c>
      <c r="Q52">
        <f t="shared" ref="Q52" si="236">F52*P52</f>
        <v>223262.53521126838</v>
      </c>
      <c r="R52">
        <f t="shared" ref="R52" si="237">R53+Q52</f>
        <v>-368831229.40302628</v>
      </c>
      <c r="S52">
        <f t="shared" ref="S52" si="238">R52/100000</f>
        <v>-3688.3122940302628</v>
      </c>
      <c r="T52">
        <f t="shared" ref="T52" si="239">S52/1000</f>
        <v>-3.6883122940302626</v>
      </c>
    </row>
    <row r="53" spans="1:20" x14ac:dyDescent="0.25">
      <c r="A53" s="5">
        <v>44540</v>
      </c>
      <c r="B53">
        <v>0.88009999999999999</v>
      </c>
      <c r="C53">
        <v>0.97</v>
      </c>
      <c r="D53">
        <v>0.85</v>
      </c>
      <c r="E53">
        <v>0.85589999999999999</v>
      </c>
      <c r="F53">
        <v>3401677</v>
      </c>
      <c r="G53">
        <v>0.85589999999999999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-0.90166666666666639</v>
      </c>
      <c r="Q53">
        <f t="shared" ref="Q53" si="241">F53*P53</f>
        <v>-3067178.7616666658</v>
      </c>
      <c r="R53">
        <f t="shared" ref="R53" si="242">R54+Q53</f>
        <v>-369054491.93823755</v>
      </c>
      <c r="S53">
        <f t="shared" ref="S53" si="243">R53/100000</f>
        <v>-3690.5449193823756</v>
      </c>
      <c r="T53">
        <f t="shared" ref="T53" si="244">S53/1000</f>
        <v>-3.6905449193823756</v>
      </c>
    </row>
    <row r="54" spans="1:20" x14ac:dyDescent="0.25">
      <c r="A54" s="5">
        <v>44539</v>
      </c>
      <c r="B54">
        <v>1.0085</v>
      </c>
      <c r="C54">
        <v>1.028</v>
      </c>
      <c r="D54">
        <v>0.88060000000000005</v>
      </c>
      <c r="E54">
        <v>0.88129999999999997</v>
      </c>
      <c r="F54">
        <v>3414709</v>
      </c>
      <c r="G54">
        <v>0.88129999999999997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-0.99050203527815572</v>
      </c>
      <c r="Q54">
        <f t="shared" ref="Q54" si="246">F54*P54</f>
        <v>-3382276.2143826359</v>
      </c>
      <c r="R54">
        <f t="shared" ref="R54" si="247">R55+Q54</f>
        <v>-365987313.17657089</v>
      </c>
      <c r="S54">
        <f t="shared" ref="S54" si="248">R54/100000</f>
        <v>-3659.8731317657089</v>
      </c>
      <c r="T54">
        <f t="shared" ref="T54" si="249">S54/1000</f>
        <v>-3.6598731317657087</v>
      </c>
    </row>
    <row r="55" spans="1:20" x14ac:dyDescent="0.25">
      <c r="A55" s="5">
        <v>44538</v>
      </c>
      <c r="B55">
        <v>0.97850000000000004</v>
      </c>
      <c r="C55">
        <v>1.05</v>
      </c>
      <c r="D55">
        <v>0.95130000000000003</v>
      </c>
      <c r="E55">
        <v>1.0085</v>
      </c>
      <c r="F55">
        <v>4323417</v>
      </c>
      <c r="G55">
        <v>1.0085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0.15906788247213599</v>
      </c>
      <c r="Q55">
        <f t="shared" ref="Q55" si="251">F55*P55</f>
        <v>687716.78723403474</v>
      </c>
      <c r="R55">
        <f t="shared" ref="R55" si="252">R56+Q55</f>
        <v>-362605036.96218824</v>
      </c>
      <c r="S55">
        <f t="shared" ref="S55" si="253">R55/100000</f>
        <v>-3626.0503696218825</v>
      </c>
      <c r="T55">
        <f t="shared" ref="T55" si="254">S55/1000</f>
        <v>-3.6260503696218827</v>
      </c>
    </row>
    <row r="56" spans="1:20" x14ac:dyDescent="0.25">
      <c r="A56" s="5">
        <v>44537</v>
      </c>
      <c r="B56">
        <v>1.0565</v>
      </c>
      <c r="C56">
        <v>1.1285000000000001</v>
      </c>
      <c r="D56">
        <v>0.96319999999999995</v>
      </c>
      <c r="E56">
        <v>0.97889999999999999</v>
      </c>
      <c r="F56">
        <v>7380880</v>
      </c>
      <c r="G56">
        <v>0.97889999999999999</v>
      </c>
      <c r="L56" t="s">
        <v>7</v>
      </c>
      <c r="M56" t="s">
        <v>8</v>
      </c>
      <c r="N56" t="s">
        <v>8</v>
      </c>
      <c r="P56">
        <f t="shared" ref="P56" si="255">IF(C56=D56,0,((E56-D56)-(C56-E56))/(C56-D56))</f>
        <v>-0.81004234724742852</v>
      </c>
      <c r="Q56">
        <f t="shared" ref="Q56" si="256">F56*P56</f>
        <v>-5978825.3599516004</v>
      </c>
      <c r="R56">
        <f t="shared" ref="R56" si="257">R57+Q56</f>
        <v>-363292753.74942225</v>
      </c>
      <c r="S56">
        <f t="shared" ref="S56" si="258">R56/100000</f>
        <v>-3632.9275374942226</v>
      </c>
      <c r="T56">
        <f t="shared" ref="T56" si="259">S56/1000</f>
        <v>-3.6329275374942225</v>
      </c>
    </row>
    <row r="57" spans="1:20" x14ac:dyDescent="0.25">
      <c r="A57" s="5">
        <v>44536</v>
      </c>
      <c r="B57">
        <v>0.92620000000000002</v>
      </c>
      <c r="C57">
        <v>1.1399999999999999</v>
      </c>
      <c r="D57">
        <v>0.86009999999999998</v>
      </c>
      <c r="E57">
        <v>1.0579000000000001</v>
      </c>
      <c r="F57">
        <v>13759704</v>
      </c>
      <c r="G57">
        <v>1.0579000000000001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0.41336191496963298</v>
      </c>
      <c r="Q57">
        <f t="shared" ref="Q57" si="261">F57*P57</f>
        <v>5687737.5948553188</v>
      </c>
      <c r="R57">
        <f t="shared" ref="R57" si="262">R58+Q57</f>
        <v>-357313928.38947064</v>
      </c>
      <c r="S57">
        <f t="shared" ref="S57" si="263">R57/100000</f>
        <v>-3573.1392838947063</v>
      </c>
      <c r="T57">
        <f t="shared" ref="T57" si="264">S57/1000</f>
        <v>-3.5731392838947063</v>
      </c>
    </row>
    <row r="58" spans="1:20" x14ac:dyDescent="0.25">
      <c r="A58" s="5">
        <v>44535</v>
      </c>
      <c r="B58">
        <v>1.0181</v>
      </c>
      <c r="C58">
        <v>1.0387</v>
      </c>
      <c r="D58">
        <v>0.90249999999999997</v>
      </c>
      <c r="E58">
        <v>0.92549999999999999</v>
      </c>
      <c r="F58">
        <v>4260575</v>
      </c>
      <c r="G58">
        <v>0.92549999999999999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-0.66226138032305404</v>
      </c>
      <c r="Q58">
        <f t="shared" ref="Q58" si="266">F58*P58</f>
        <v>-2821614.2804698958</v>
      </c>
      <c r="R58">
        <f t="shared" ref="R58" si="267">R59+Q58</f>
        <v>-363001665.98432595</v>
      </c>
      <c r="S58">
        <f t="shared" ref="S58" si="268">R58/100000</f>
        <v>-3630.0166598432593</v>
      </c>
      <c r="T58">
        <f t="shared" ref="T58" si="269">S58/1000</f>
        <v>-3.6300166598432595</v>
      </c>
    </row>
    <row r="59" spans="1:20" x14ac:dyDescent="0.25">
      <c r="A59" s="5">
        <v>44534</v>
      </c>
      <c r="B59">
        <v>1.2137</v>
      </c>
      <c r="C59">
        <v>1.2223999999999999</v>
      </c>
      <c r="D59">
        <v>0.75270000000000004</v>
      </c>
      <c r="E59">
        <v>1.0194000000000001</v>
      </c>
      <c r="F59">
        <v>11474627</v>
      </c>
      <c r="G59">
        <v>1.0194000000000001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0.13561847988077541</v>
      </c>
      <c r="Q59">
        <f t="shared" ref="Q59" si="271">F59*P59</f>
        <v>1556171.4709389023</v>
      </c>
      <c r="R59">
        <f t="shared" ref="R59" si="272">R60+Q59</f>
        <v>-360180051.70385605</v>
      </c>
      <c r="S59">
        <f t="shared" ref="S59" si="273">R59/100000</f>
        <v>-3601.8005170385604</v>
      </c>
      <c r="T59">
        <f t="shared" ref="T59" si="274">S59/1000</f>
        <v>-3.6018005170385603</v>
      </c>
    </row>
    <row r="60" spans="1:20" x14ac:dyDescent="0.25">
      <c r="A60" s="5">
        <v>44533</v>
      </c>
      <c r="B60">
        <v>1.2972999999999999</v>
      </c>
      <c r="C60">
        <v>1.35</v>
      </c>
      <c r="D60">
        <v>1.1666000000000001</v>
      </c>
      <c r="E60">
        <v>1.2164999999999999</v>
      </c>
      <c r="F60">
        <v>9087989</v>
      </c>
      <c r="G60">
        <v>1.2164999999999999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-0.45583424209378592</v>
      </c>
      <c r="Q60">
        <f t="shared" ref="Q60" si="276">F60*P60</f>
        <v>-4142616.5779716633</v>
      </c>
      <c r="R60">
        <f t="shared" ref="R60" si="277">R61+Q60</f>
        <v>-361736223.17479497</v>
      </c>
      <c r="S60">
        <f t="shared" ref="S60" si="278">R60/100000</f>
        <v>-3617.3622317479499</v>
      </c>
      <c r="T60">
        <f t="shared" ref="T60" si="279">S60/1000</f>
        <v>-3.6173622317479497</v>
      </c>
    </row>
    <row r="61" spans="1:20" x14ac:dyDescent="0.25">
      <c r="A61" s="5">
        <v>44532</v>
      </c>
      <c r="B61">
        <v>1.1818</v>
      </c>
      <c r="C61">
        <v>1.4153</v>
      </c>
      <c r="D61">
        <v>1.1377999999999999</v>
      </c>
      <c r="E61">
        <v>1.298</v>
      </c>
      <c r="F61">
        <v>19234851</v>
      </c>
      <c r="G61">
        <v>1.298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0.15459459459459512</v>
      </c>
      <c r="Q61">
        <f t="shared" ref="Q61" si="281">F61*P61</f>
        <v>2973603.9924324425</v>
      </c>
      <c r="R61">
        <f t="shared" ref="R61" si="282">R62+Q61</f>
        <v>-357593606.59682333</v>
      </c>
      <c r="S61">
        <f t="shared" ref="S61" si="283">R61/100000</f>
        <v>-3575.9360659682334</v>
      </c>
      <c r="T61">
        <f t="shared" ref="T61" si="284">S61/1000</f>
        <v>-3.5759360659682335</v>
      </c>
    </row>
    <row r="62" spans="1:20" x14ac:dyDescent="0.25">
      <c r="A62" s="5">
        <v>44531</v>
      </c>
      <c r="B62">
        <v>1.2384999999999999</v>
      </c>
      <c r="C62">
        <v>1.2925</v>
      </c>
      <c r="D62">
        <v>1.1627000000000001</v>
      </c>
      <c r="E62">
        <v>1.1818</v>
      </c>
      <c r="F62">
        <v>7749979</v>
      </c>
      <c r="G62">
        <v>1.1818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-0.70570107858243591</v>
      </c>
      <c r="Q62">
        <f t="shared" ref="Q62" si="286">F62*P62</f>
        <v>-5469168.5392912282</v>
      </c>
      <c r="R62">
        <f t="shared" ref="R62" si="287">R63+Q62</f>
        <v>-360567210.58925575</v>
      </c>
      <c r="S62">
        <f t="shared" ref="S62" si="288">R62/100000</f>
        <v>-3605.6721058925573</v>
      </c>
      <c r="T62">
        <f t="shared" ref="T62" si="289">S62/1000</f>
        <v>-3.6056721058925572</v>
      </c>
    </row>
    <row r="63" spans="1:20" x14ac:dyDescent="0.25">
      <c r="A63" s="5">
        <v>44530</v>
      </c>
      <c r="B63">
        <v>1.2713000000000001</v>
      </c>
      <c r="C63">
        <v>1.3049999999999999</v>
      </c>
      <c r="D63">
        <v>1.1983999999999999</v>
      </c>
      <c r="E63">
        <v>1.2383999999999999</v>
      </c>
      <c r="F63">
        <v>8137177</v>
      </c>
      <c r="G63">
        <v>1.2383999999999999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-0.24953095684802956</v>
      </c>
      <c r="Q63">
        <f t="shared" ref="Q63" si="291">F63*P63</f>
        <v>-2030477.5628517787</v>
      </c>
      <c r="R63">
        <f t="shared" ref="R63" si="292">R64+Q63</f>
        <v>-355098042.04996455</v>
      </c>
      <c r="S63">
        <f t="shared" ref="S63" si="293">R63/100000</f>
        <v>-3550.9804204996453</v>
      </c>
      <c r="T63">
        <f t="shared" ref="T63" si="294">S63/1000</f>
        <v>-3.5509804204996454</v>
      </c>
    </row>
    <row r="64" spans="1:20" x14ac:dyDescent="0.25">
      <c r="A64" s="5">
        <v>44529</v>
      </c>
      <c r="B64">
        <v>1.3371999999999999</v>
      </c>
      <c r="C64">
        <v>1.3756999999999999</v>
      </c>
      <c r="D64">
        <v>1.2498</v>
      </c>
      <c r="E64">
        <v>1.2727999999999999</v>
      </c>
      <c r="F64">
        <v>15750268</v>
      </c>
      <c r="G64">
        <v>1.2727999999999999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-0.63463065925337681</v>
      </c>
      <c r="Q64">
        <f t="shared" ref="Q64" si="296">F64*P64</f>
        <v>-9995602.9642573651</v>
      </c>
      <c r="R64">
        <f t="shared" ref="R64" si="297">R65+Q64</f>
        <v>-353067564.48711276</v>
      </c>
      <c r="S64">
        <f t="shared" ref="S64" si="298">R64/100000</f>
        <v>-3530.6756448711276</v>
      </c>
      <c r="T64">
        <f t="shared" ref="T64" si="299">S64/1000</f>
        <v>-3.5306756448711276</v>
      </c>
    </row>
    <row r="65" spans="1:20" x14ac:dyDescent="0.25">
      <c r="A65" s="5">
        <v>44528</v>
      </c>
      <c r="B65">
        <v>1.5253000000000001</v>
      </c>
      <c r="C65">
        <v>1.85</v>
      </c>
      <c r="D65">
        <v>1.2</v>
      </c>
      <c r="E65">
        <v>1.3402000000000001</v>
      </c>
      <c r="F65">
        <v>53003918</v>
      </c>
      <c r="G65">
        <v>1.3402000000000001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-0.56861538461538441</v>
      </c>
      <c r="Q65">
        <f t="shared" ref="Q65" si="301">F65*P65</f>
        <v>-30138843.219692297</v>
      </c>
      <c r="R65">
        <f t="shared" ref="R65" si="302">R66+Q65</f>
        <v>-343071961.5228554</v>
      </c>
      <c r="S65">
        <f t="shared" ref="S65" si="303">R65/100000</f>
        <v>-3430.7196152285542</v>
      </c>
      <c r="T65">
        <f t="shared" ref="T65" si="304">S65/1000</f>
        <v>-3.4307196152285542</v>
      </c>
    </row>
    <row r="66" spans="1:20" x14ac:dyDescent="0.25">
      <c r="A66" s="5">
        <v>44527</v>
      </c>
      <c r="B66">
        <v>1.0676000000000001</v>
      </c>
      <c r="C66">
        <v>1.8753</v>
      </c>
      <c r="D66">
        <v>1.0662</v>
      </c>
      <c r="E66">
        <v>1.5243</v>
      </c>
      <c r="F66">
        <v>53822363.07</v>
      </c>
      <c r="G66">
        <v>1.5243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0.13236929922135704</v>
      </c>
      <c r="Q66">
        <f t="shared" ref="Q66" si="306">F66*P66</f>
        <v>7124428.4820133466</v>
      </c>
      <c r="R66">
        <f t="shared" ref="R66" si="307">R67+Q66</f>
        <v>-312933118.30316311</v>
      </c>
      <c r="S66">
        <f t="shared" ref="S66" si="308">R66/100000</f>
        <v>-3129.3311830316311</v>
      </c>
      <c r="T66">
        <f t="shared" ref="T66" si="309">S66/1000</f>
        <v>-3.1293311830316313</v>
      </c>
    </row>
    <row r="67" spans="1:20" x14ac:dyDescent="0.25">
      <c r="A67" s="5">
        <v>44526</v>
      </c>
      <c r="B67">
        <v>1.1739999999999999</v>
      </c>
      <c r="C67">
        <v>1.29</v>
      </c>
      <c r="D67">
        <v>1.0398000000000001</v>
      </c>
      <c r="E67">
        <v>1.0662</v>
      </c>
      <c r="F67">
        <v>5784023</v>
      </c>
      <c r="G67">
        <v>1.0662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-0.78896882494004816</v>
      </c>
      <c r="Q67">
        <f t="shared" ref="Q67" si="311">F67*P67</f>
        <v>-4563413.8297362123</v>
      </c>
      <c r="R67">
        <f t="shared" ref="R67" si="312">R68+Q67</f>
        <v>-320057546.78517646</v>
      </c>
      <c r="S67">
        <f t="shared" ref="S67" si="313">R67/100000</f>
        <v>-3200.5754678517646</v>
      </c>
      <c r="T67">
        <f t="shared" ref="T67" si="314">S67/1000</f>
        <v>-3.2005754678517646</v>
      </c>
    </row>
    <row r="68" spans="1:20" x14ac:dyDescent="0.25">
      <c r="A68" s="5">
        <v>44525</v>
      </c>
      <c r="B68">
        <v>1.1500999999999999</v>
      </c>
      <c r="C68">
        <v>1.2191000000000001</v>
      </c>
      <c r="D68">
        <v>1.1140000000000001</v>
      </c>
      <c r="E68">
        <v>1.1704000000000001</v>
      </c>
      <c r="F68">
        <v>3913439</v>
      </c>
      <c r="G68">
        <v>1.1704000000000001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7.3263558515699739E-2</v>
      </c>
      <c r="Q68">
        <f t="shared" ref="Q68" si="316">F68*P68</f>
        <v>286712.46717412147</v>
      </c>
      <c r="R68">
        <f t="shared" ref="R68" si="317">R69+Q68</f>
        <v>-315494132.95544022</v>
      </c>
      <c r="S68">
        <f t="shared" ref="S68" si="318">R68/100000</f>
        <v>-3154.9413295544023</v>
      </c>
      <c r="T68">
        <f t="shared" ref="T68" si="319">S68/1000</f>
        <v>-3.1549413295544024</v>
      </c>
    </row>
    <row r="69" spans="1:20" x14ac:dyDescent="0.25">
      <c r="A69" s="5">
        <v>44524</v>
      </c>
      <c r="B69">
        <v>1.2183999999999999</v>
      </c>
      <c r="C69">
        <v>1.2484</v>
      </c>
      <c r="D69">
        <v>1.1773</v>
      </c>
      <c r="E69">
        <v>1.2056</v>
      </c>
      <c r="F69">
        <v>685437</v>
      </c>
      <c r="G69">
        <v>1.2056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-0.20393811533051998</v>
      </c>
      <c r="Q69">
        <f t="shared" ref="Q69" si="321">F69*P69</f>
        <v>-139786.72995780563</v>
      </c>
      <c r="R69">
        <f t="shared" ref="R69" si="322">R70+Q69</f>
        <v>-315780845.42261434</v>
      </c>
      <c r="S69">
        <f t="shared" ref="S69" si="323">R69/100000</f>
        <v>-3157.8084542261436</v>
      </c>
      <c r="T69">
        <f t="shared" ref="T69" si="324">S69/1000</f>
        <v>-3.1578084542261435</v>
      </c>
    </row>
    <row r="70" spans="1:20" x14ac:dyDescent="0.25">
      <c r="A70" s="5">
        <v>44523</v>
      </c>
      <c r="B70">
        <v>1.0939000000000001</v>
      </c>
      <c r="C70">
        <v>1.33</v>
      </c>
      <c r="D70">
        <v>1.0912999999999999</v>
      </c>
      <c r="E70">
        <v>1.2162999999999999</v>
      </c>
      <c r="F70">
        <v>10654500</v>
      </c>
      <c r="G70">
        <v>1.2162999999999999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4.7339757017175785E-2</v>
      </c>
      <c r="Q70">
        <f t="shared" ref="Q70" si="326">F70*P70</f>
        <v>504381.44113949942</v>
      </c>
      <c r="R70">
        <f t="shared" ref="R70" si="327">R71+Q70</f>
        <v>-315641058.69265652</v>
      </c>
      <c r="S70">
        <f t="shared" ref="S70" si="328">R70/100000</f>
        <v>-3156.410586926565</v>
      </c>
      <c r="T70">
        <f t="shared" ref="T70" si="329">S70/1000</f>
        <v>-3.1564105869265648</v>
      </c>
    </row>
    <row r="71" spans="1:20" x14ac:dyDescent="0.25">
      <c r="A71" s="5">
        <v>44522</v>
      </c>
      <c r="B71">
        <v>1.1782999999999999</v>
      </c>
      <c r="C71">
        <v>1.2190000000000001</v>
      </c>
      <c r="D71">
        <v>1.071</v>
      </c>
      <c r="E71">
        <v>1.0912999999999999</v>
      </c>
      <c r="F71">
        <v>5460731</v>
      </c>
      <c r="G71">
        <v>1.0912999999999999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-0.72567567567567615</v>
      </c>
      <c r="Q71">
        <f t="shared" ref="Q71" si="331">F71*P71</f>
        <v>-3962719.6581081105</v>
      </c>
      <c r="R71">
        <f t="shared" ref="R71" si="332">R72+Q71</f>
        <v>-316145440.13379604</v>
      </c>
      <c r="S71">
        <f t="shared" ref="S71" si="333">R71/100000</f>
        <v>-3161.4544013379605</v>
      </c>
      <c r="T71">
        <f t="shared" ref="T71" si="334">S71/1000</f>
        <v>-3.1614544013379606</v>
      </c>
    </row>
    <row r="72" spans="1:20" x14ac:dyDescent="0.25">
      <c r="A72" s="5">
        <v>44521</v>
      </c>
      <c r="B72">
        <v>1.125</v>
      </c>
      <c r="C72">
        <v>1.3698999999999999</v>
      </c>
      <c r="D72">
        <v>1.0901000000000001</v>
      </c>
      <c r="E72">
        <v>1.1782999999999999</v>
      </c>
      <c r="F72">
        <v>19446789</v>
      </c>
      <c r="G72">
        <v>1.1782999999999999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-0.3695496783416734</v>
      </c>
      <c r="Q72">
        <f t="shared" ref="Q72" si="336">F72*P72</f>
        <v>-7186554.6197283929</v>
      </c>
      <c r="R72">
        <f t="shared" ref="R72" si="337">R73+Q72</f>
        <v>-312182720.47568792</v>
      </c>
      <c r="S72">
        <f t="shared" ref="S72" si="338">R72/100000</f>
        <v>-3121.8272047568794</v>
      </c>
      <c r="T72">
        <f t="shared" ref="T72" si="339">S72/1000</f>
        <v>-3.1218272047568796</v>
      </c>
    </row>
    <row r="73" spans="1:20" x14ac:dyDescent="0.25">
      <c r="A73" s="5">
        <v>44520</v>
      </c>
      <c r="B73">
        <v>1.0083</v>
      </c>
      <c r="C73">
        <v>1.25</v>
      </c>
      <c r="D73">
        <v>0.98699999999999999</v>
      </c>
      <c r="E73">
        <v>1.1245000000000001</v>
      </c>
      <c r="F73">
        <v>15960704</v>
      </c>
      <c r="G73">
        <v>1.1245000000000001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4.5627376425855973E-2</v>
      </c>
      <c r="Q73">
        <f t="shared" ref="Q73" si="341">F73*P73</f>
        <v>728245.04942966509</v>
      </c>
      <c r="R73">
        <f t="shared" ref="R73" si="342">R74+Q73</f>
        <v>-304996165.85595953</v>
      </c>
      <c r="S73">
        <f t="shared" ref="S73" si="343">R73/100000</f>
        <v>-3049.9616585595954</v>
      </c>
      <c r="T73">
        <f t="shared" ref="T73" si="344">S73/1000</f>
        <v>-3.0499616585595954</v>
      </c>
    </row>
    <row r="74" spans="1:20" x14ac:dyDescent="0.25">
      <c r="A74" s="5">
        <v>44519</v>
      </c>
      <c r="B74">
        <v>0.95079999999999998</v>
      </c>
      <c r="C74">
        <v>1.0258</v>
      </c>
      <c r="D74">
        <v>0.91920000000000002</v>
      </c>
      <c r="E74">
        <v>1.0083</v>
      </c>
      <c r="F74">
        <v>2744320</v>
      </c>
      <c r="G74">
        <v>1.0083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0.67166979362101187</v>
      </c>
      <c r="Q74">
        <f t="shared" ref="Q74" si="346">F74*P74</f>
        <v>1843276.8480300154</v>
      </c>
      <c r="R74">
        <f t="shared" ref="R74" si="347">R75+Q74</f>
        <v>-305724410.90538919</v>
      </c>
      <c r="S74">
        <f t="shared" ref="S74" si="348">R74/100000</f>
        <v>-3057.2441090538919</v>
      </c>
      <c r="T74">
        <f t="shared" ref="T74" si="349">S74/1000</f>
        <v>-3.057244109053892</v>
      </c>
    </row>
    <row r="75" spans="1:20" x14ac:dyDescent="0.25">
      <c r="A75" s="5">
        <v>44518</v>
      </c>
      <c r="B75">
        <v>1.0106999999999999</v>
      </c>
      <c r="C75">
        <v>1.0154000000000001</v>
      </c>
      <c r="D75">
        <v>0.89349999999999996</v>
      </c>
      <c r="E75">
        <v>0.95089999999999997</v>
      </c>
      <c r="F75">
        <v>2793396</v>
      </c>
      <c r="G75">
        <v>0.95089999999999997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-5.8244462674324031E-2</v>
      </c>
      <c r="Q75">
        <f t="shared" ref="Q75" si="351">F75*P75</f>
        <v>-162699.84905660606</v>
      </c>
      <c r="R75">
        <f t="shared" ref="R75" si="352">R76+Q75</f>
        <v>-307567687.75341922</v>
      </c>
      <c r="S75">
        <f t="shared" ref="S75" si="353">R75/100000</f>
        <v>-3075.676877534192</v>
      </c>
      <c r="T75">
        <f t="shared" ref="T75" si="354">S75/1000</f>
        <v>-3.0756768775341921</v>
      </c>
    </row>
    <row r="76" spans="1:20" x14ac:dyDescent="0.25">
      <c r="A76" s="5">
        <v>44517</v>
      </c>
      <c r="B76">
        <v>0.99160000000000004</v>
      </c>
      <c r="C76">
        <v>1.0221</v>
      </c>
      <c r="D76">
        <v>0.95630000000000004</v>
      </c>
      <c r="E76">
        <v>1.0116000000000001</v>
      </c>
      <c r="F76">
        <v>1796169</v>
      </c>
      <c r="G76">
        <v>1.0116000000000001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0.68085106382978844</v>
      </c>
      <c r="Q76">
        <f t="shared" ref="Q76" si="356">F76*P76</f>
        <v>1222923.5744680872</v>
      </c>
      <c r="R76">
        <f t="shared" ref="R76" si="357">R77+Q76</f>
        <v>-307404987.90436262</v>
      </c>
      <c r="S76">
        <f t="shared" ref="S76" si="358">R76/100000</f>
        <v>-3074.0498790436263</v>
      </c>
      <c r="T76">
        <f t="shared" ref="T76" si="359">S76/1000</f>
        <v>-3.0740498790436264</v>
      </c>
    </row>
    <row r="77" spans="1:20" x14ac:dyDescent="0.25">
      <c r="A77" s="5">
        <v>44516</v>
      </c>
      <c r="B77">
        <v>1.0740000000000001</v>
      </c>
      <c r="C77">
        <v>1.0760000000000001</v>
      </c>
      <c r="D77">
        <v>0.97389999999999999</v>
      </c>
      <c r="E77">
        <v>0.99319999999999997</v>
      </c>
      <c r="F77">
        <v>3927525</v>
      </c>
      <c r="G77">
        <v>0.99319999999999997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-0.62193927522037284</v>
      </c>
      <c r="Q77">
        <f t="shared" ref="Q77" si="361">F77*P77</f>
        <v>-2442682.0519098947</v>
      </c>
      <c r="R77">
        <f t="shared" ref="R77" si="362">R78+Q77</f>
        <v>-308627911.4788307</v>
      </c>
      <c r="S77">
        <f t="shared" ref="S77" si="363">R77/100000</f>
        <v>-3086.2791147883067</v>
      </c>
      <c r="T77">
        <f t="shared" ref="T77" si="364">S77/1000</f>
        <v>-3.0862791147883066</v>
      </c>
    </row>
    <row r="78" spans="1:20" x14ac:dyDescent="0.25">
      <c r="A78" s="5">
        <v>44515</v>
      </c>
      <c r="B78">
        <v>1.0406</v>
      </c>
      <c r="C78">
        <v>1.159</v>
      </c>
      <c r="D78">
        <v>1.0268999999999999</v>
      </c>
      <c r="E78">
        <v>1.0710999999999999</v>
      </c>
      <c r="F78">
        <v>6778788</v>
      </c>
      <c r="G78">
        <v>1.0710999999999999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-0.33080999242997755</v>
      </c>
      <c r="Q78">
        <f t="shared" ref="Q78" si="366">F78*P78</f>
        <v>-2242490.8069644226</v>
      </c>
      <c r="R78">
        <f t="shared" ref="R78" si="367">R79+Q78</f>
        <v>-306185229.42692077</v>
      </c>
      <c r="S78">
        <f t="shared" ref="S78" si="368">R78/100000</f>
        <v>-3061.8522942692075</v>
      </c>
      <c r="T78">
        <f t="shared" ref="T78" si="369">S78/1000</f>
        <v>-3.0618522942692077</v>
      </c>
    </row>
    <row r="79" spans="1:20" x14ac:dyDescent="0.25">
      <c r="A79" s="5">
        <v>44514</v>
      </c>
      <c r="B79">
        <v>1.0445</v>
      </c>
      <c r="C79">
        <v>1.0547</v>
      </c>
      <c r="D79">
        <v>1.0149999999999999</v>
      </c>
      <c r="E79">
        <v>1.0425</v>
      </c>
      <c r="F79">
        <v>1281431</v>
      </c>
      <c r="G79">
        <v>1.0425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0.38539042821158853</v>
      </c>
      <c r="Q79">
        <f t="shared" ref="Q79" si="371">F79*P79</f>
        <v>493851.24181360408</v>
      </c>
      <c r="R79">
        <f t="shared" ref="R79" si="372">R80+Q79</f>
        <v>-303942738.61995637</v>
      </c>
      <c r="S79">
        <f t="shared" ref="S79" si="373">R79/100000</f>
        <v>-3039.4273861995639</v>
      </c>
      <c r="T79">
        <f t="shared" ref="T79" si="374">S79/1000</f>
        <v>-3.0394273861995638</v>
      </c>
    </row>
    <row r="80" spans="1:20" x14ac:dyDescent="0.25">
      <c r="A80" s="5">
        <v>44513</v>
      </c>
      <c r="B80">
        <v>1.0726</v>
      </c>
      <c r="C80">
        <v>1.0899000000000001</v>
      </c>
      <c r="D80">
        <v>1.0373000000000001</v>
      </c>
      <c r="E80">
        <v>1.0415000000000001</v>
      </c>
      <c r="F80">
        <v>1422220</v>
      </c>
      <c r="G80">
        <v>1.0415000000000001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-0.84030418250950634</v>
      </c>
      <c r="Q80">
        <f t="shared" ref="Q80" si="376">F80*P80</f>
        <v>-1195097.4144486701</v>
      </c>
      <c r="R80">
        <f t="shared" ref="R80" si="377">R81+Q80</f>
        <v>-304436589.86176997</v>
      </c>
      <c r="S80">
        <f t="shared" ref="S80" si="378">R80/100000</f>
        <v>-3044.3658986176997</v>
      </c>
      <c r="T80">
        <f t="shared" ref="T80" si="379">S80/1000</f>
        <v>-3.0443658986176998</v>
      </c>
    </row>
    <row r="81" spans="1:20" x14ac:dyDescent="0.25">
      <c r="A81" s="5">
        <v>44512</v>
      </c>
      <c r="B81">
        <v>1.0306999999999999</v>
      </c>
      <c r="C81">
        <v>1.0851999999999999</v>
      </c>
      <c r="D81">
        <v>0.99490000000000001</v>
      </c>
      <c r="E81">
        <v>1.07</v>
      </c>
      <c r="F81">
        <v>2634765</v>
      </c>
      <c r="G81">
        <v>1.07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0.66334440753045643</v>
      </c>
      <c r="Q81">
        <f t="shared" ref="Q81" si="381">F81*P81</f>
        <v>1747756.627906983</v>
      </c>
      <c r="R81">
        <f t="shared" ref="R81" si="382">R82+Q81</f>
        <v>-303241492.4473213</v>
      </c>
      <c r="S81">
        <f t="shared" ref="S81" si="383">R81/100000</f>
        <v>-3032.414924473213</v>
      </c>
      <c r="T81">
        <f t="shared" ref="T81" si="384">S81/1000</f>
        <v>-3.0324149244732128</v>
      </c>
    </row>
    <row r="82" spans="1:20" x14ac:dyDescent="0.25">
      <c r="A82" s="5">
        <v>44511</v>
      </c>
      <c r="B82">
        <v>1.0307999999999999</v>
      </c>
      <c r="C82">
        <v>1.0976999999999999</v>
      </c>
      <c r="D82">
        <v>0.997</v>
      </c>
      <c r="E82">
        <v>1.0322</v>
      </c>
      <c r="F82">
        <v>2441602</v>
      </c>
      <c r="G82">
        <v>1.0322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-0.30089374379344502</v>
      </c>
      <c r="Q82">
        <f t="shared" ref="Q82" si="386">F82*P82</f>
        <v>-734662.76663356298</v>
      </c>
      <c r="R82">
        <f t="shared" ref="R82" si="387">R83+Q82</f>
        <v>-304989249.07522827</v>
      </c>
      <c r="S82">
        <f t="shared" ref="S82" si="388">R82/100000</f>
        <v>-3049.8924907522828</v>
      </c>
      <c r="T82">
        <f t="shared" ref="T82" si="389">S82/1000</f>
        <v>-3.0498924907522826</v>
      </c>
    </row>
    <row r="83" spans="1:20" x14ac:dyDescent="0.25">
      <c r="A83" s="5">
        <v>44510</v>
      </c>
      <c r="B83">
        <v>1.093</v>
      </c>
      <c r="C83">
        <v>1.107</v>
      </c>
      <c r="D83">
        <v>0.96409999999999996</v>
      </c>
      <c r="E83">
        <v>1.0317000000000001</v>
      </c>
      <c r="F83">
        <v>3022263</v>
      </c>
      <c r="G83">
        <v>1.0317000000000001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-5.388383484954385E-2</v>
      </c>
      <c r="Q83">
        <f t="shared" ref="Q83" si="391">F83*P83</f>
        <v>-162851.12036388693</v>
      </c>
      <c r="R83">
        <f t="shared" ref="R83" si="392">R84+Q83</f>
        <v>-304254586.3085947</v>
      </c>
      <c r="S83">
        <f t="shared" ref="S83" si="393">R83/100000</f>
        <v>-3042.5458630859471</v>
      </c>
      <c r="T83">
        <f t="shared" ref="T83" si="394">S83/1000</f>
        <v>-3.0425458630859472</v>
      </c>
    </row>
    <row r="84" spans="1:20" x14ac:dyDescent="0.25">
      <c r="A84" s="5">
        <v>44509</v>
      </c>
      <c r="B84">
        <v>1.0945</v>
      </c>
      <c r="C84">
        <v>1.145</v>
      </c>
      <c r="D84">
        <v>1.0711999999999999</v>
      </c>
      <c r="E84">
        <v>1.093</v>
      </c>
      <c r="F84">
        <v>4128381</v>
      </c>
      <c r="G84">
        <v>1.093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-0.40921409214092097</v>
      </c>
      <c r="Q84">
        <f t="shared" ref="Q84" si="396">F84*P84</f>
        <v>-1689391.6829268273</v>
      </c>
      <c r="R84">
        <f t="shared" ref="R84" si="397">R85+Q84</f>
        <v>-304091735.18823081</v>
      </c>
      <c r="S84">
        <f t="shared" ref="S84" si="398">R84/100000</f>
        <v>-3040.9173518823081</v>
      </c>
      <c r="T84">
        <f t="shared" ref="T84" si="399">S84/1000</f>
        <v>-3.0409173518823081</v>
      </c>
    </row>
    <row r="85" spans="1:20" x14ac:dyDescent="0.25">
      <c r="A85" s="5">
        <v>44508</v>
      </c>
      <c r="B85">
        <v>1.1087</v>
      </c>
      <c r="C85">
        <v>1.1499999999999999</v>
      </c>
      <c r="D85">
        <v>1.0853999999999999</v>
      </c>
      <c r="E85">
        <v>1.0953999999999999</v>
      </c>
      <c r="F85">
        <v>2890204</v>
      </c>
      <c r="G85">
        <v>1.0953999999999999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-0.6904024767801854</v>
      </c>
      <c r="Q85">
        <f t="shared" ref="Q85" si="401">F85*P85</f>
        <v>-1995403.9999999991</v>
      </c>
      <c r="R85">
        <f t="shared" ref="R85" si="402">R86+Q85</f>
        <v>-302402343.50530398</v>
      </c>
      <c r="S85">
        <f t="shared" ref="S85" si="403">R85/100000</f>
        <v>-3024.02343505304</v>
      </c>
      <c r="T85">
        <f t="shared" ref="T85" si="404">S85/1000</f>
        <v>-3.0240234350530399</v>
      </c>
    </row>
    <row r="86" spans="1:20" x14ac:dyDescent="0.25">
      <c r="A86" s="5">
        <v>44507</v>
      </c>
      <c r="B86">
        <v>1.0630999999999999</v>
      </c>
      <c r="C86">
        <v>1.111</v>
      </c>
      <c r="D86">
        <v>1.0604</v>
      </c>
      <c r="E86">
        <v>1.1079000000000001</v>
      </c>
      <c r="F86">
        <v>1773049</v>
      </c>
      <c r="G86">
        <v>1.1079000000000001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0.87747035573123</v>
      </c>
      <c r="Q86">
        <f t="shared" ref="Q86" si="406">F86*P86</f>
        <v>1555797.9367589017</v>
      </c>
      <c r="R86">
        <f t="shared" ref="R86" si="407">R87+Q86</f>
        <v>-300406939.50530398</v>
      </c>
      <c r="S86">
        <f t="shared" ref="S86" si="408">R86/100000</f>
        <v>-3004.0693950530399</v>
      </c>
      <c r="T86">
        <f t="shared" ref="T86" si="409">S86/1000</f>
        <v>-3.0040693950530399</v>
      </c>
    </row>
    <row r="87" spans="1:20" x14ac:dyDescent="0.25">
      <c r="A87" s="5">
        <v>44506</v>
      </c>
      <c r="B87">
        <v>1.1005</v>
      </c>
      <c r="C87">
        <v>1.1085</v>
      </c>
      <c r="D87">
        <v>1.0421</v>
      </c>
      <c r="E87">
        <v>1.0630999999999999</v>
      </c>
      <c r="F87">
        <v>1404915</v>
      </c>
      <c r="G87">
        <v>1.0630999999999999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-0.36746987951807519</v>
      </c>
      <c r="Q87">
        <f t="shared" ref="Q87" si="411">F87*P87</f>
        <v>-516263.94578313659</v>
      </c>
      <c r="R87">
        <f t="shared" ref="R87" si="412">R88+Q87</f>
        <v>-301962737.44206285</v>
      </c>
      <c r="S87">
        <f t="shared" ref="S87" si="413">R87/100000</f>
        <v>-3019.6273744206287</v>
      </c>
      <c r="T87">
        <f t="shared" ref="T87" si="414">S87/1000</f>
        <v>-3.0196273744206286</v>
      </c>
    </row>
    <row r="88" spans="1:20" x14ac:dyDescent="0.25">
      <c r="A88" s="5">
        <v>44505</v>
      </c>
      <c r="B88">
        <v>1.0687</v>
      </c>
      <c r="C88">
        <v>1.1459999999999999</v>
      </c>
      <c r="D88">
        <v>1.05</v>
      </c>
      <c r="E88">
        <v>1.1005</v>
      </c>
      <c r="F88">
        <v>2756095</v>
      </c>
      <c r="G88">
        <v>1.1005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5.2083333333334612E-2</v>
      </c>
      <c r="Q88">
        <f t="shared" ref="Q88" si="416">F88*P88</f>
        <v>143546.61458333686</v>
      </c>
      <c r="R88">
        <f t="shared" ref="R88" si="417">R89+Q88</f>
        <v>-301446473.49627972</v>
      </c>
      <c r="S88">
        <f t="shared" ref="S88" si="418">R88/100000</f>
        <v>-3014.4647349627971</v>
      </c>
      <c r="T88">
        <f t="shared" ref="T88" si="419">S88/1000</f>
        <v>-3.0144647349627971</v>
      </c>
    </row>
    <row r="89" spans="1:20" x14ac:dyDescent="0.25">
      <c r="A89" s="5">
        <v>44504</v>
      </c>
      <c r="B89">
        <v>1.0882000000000001</v>
      </c>
      <c r="C89">
        <v>1.105</v>
      </c>
      <c r="D89">
        <v>1.0561</v>
      </c>
      <c r="E89">
        <v>1.0705</v>
      </c>
      <c r="F89">
        <v>2422667</v>
      </c>
      <c r="G89">
        <v>1.0705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-0.4110429447852767</v>
      </c>
      <c r="Q89">
        <f t="shared" ref="Q89" si="421">F89*P89</f>
        <v>-995820.17791411199</v>
      </c>
      <c r="R89">
        <f t="shared" ref="R89" si="422">R90+Q89</f>
        <v>-301590020.11086303</v>
      </c>
      <c r="S89">
        <f t="shared" ref="S89" si="423">R89/100000</f>
        <v>-3015.9002011086304</v>
      </c>
      <c r="T89">
        <f t="shared" ref="T89" si="424">S89/1000</f>
        <v>-3.0159002011086304</v>
      </c>
    </row>
    <row r="90" spans="1:20" x14ac:dyDescent="0.25">
      <c r="A90" s="5">
        <v>44503</v>
      </c>
      <c r="B90">
        <v>1.1256999999999999</v>
      </c>
      <c r="C90">
        <v>1.1498999999999999</v>
      </c>
      <c r="D90">
        <v>1.0765</v>
      </c>
      <c r="E90">
        <v>1.0883</v>
      </c>
      <c r="F90">
        <v>3463299</v>
      </c>
      <c r="G90">
        <v>1.0883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-0.67847411444141559</v>
      </c>
      <c r="Q90">
        <f t="shared" ref="Q90" si="426">F90*P90</f>
        <v>-2349758.7220708402</v>
      </c>
      <c r="R90">
        <f t="shared" ref="R90" si="427">R91+Q90</f>
        <v>-300594199.93294895</v>
      </c>
      <c r="S90">
        <f t="shared" ref="S90" si="428">R90/100000</f>
        <v>-3005.9419993294896</v>
      </c>
      <c r="T90">
        <f t="shared" ref="T90" si="429">S90/1000</f>
        <v>-3.0059419993294898</v>
      </c>
    </row>
    <row r="91" spans="1:20" x14ac:dyDescent="0.25">
      <c r="A91" s="5">
        <v>44502</v>
      </c>
      <c r="B91">
        <v>1.0951</v>
      </c>
      <c r="C91">
        <v>1.1559999999999999</v>
      </c>
      <c r="D91">
        <v>1.0859000000000001</v>
      </c>
      <c r="E91">
        <v>1.1254999999999999</v>
      </c>
      <c r="F91">
        <v>3145417</v>
      </c>
      <c r="G91">
        <v>1.1254999999999999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0.12981455064193878</v>
      </c>
      <c r="Q91">
        <f t="shared" ref="Q91" si="431">F91*P91</f>
        <v>408320.89443651517</v>
      </c>
      <c r="R91">
        <f t="shared" ref="R91" si="432">R92+Q91</f>
        <v>-298244441.21087813</v>
      </c>
      <c r="S91">
        <f t="shared" ref="S91" si="433">R91/100000</f>
        <v>-2982.4444121087813</v>
      </c>
      <c r="T91">
        <f t="shared" ref="T91" si="434">S91/1000</f>
        <v>-2.9824444121087814</v>
      </c>
    </row>
    <row r="92" spans="1:20" x14ac:dyDescent="0.25">
      <c r="A92" s="5">
        <v>44501</v>
      </c>
      <c r="B92">
        <v>1.1235999999999999</v>
      </c>
      <c r="C92">
        <v>1.1580999999999999</v>
      </c>
      <c r="D92">
        <v>1.0810999999999999</v>
      </c>
      <c r="E92">
        <v>1.0952</v>
      </c>
      <c r="F92">
        <v>5196299</v>
      </c>
      <c r="G92">
        <v>1.0952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-0.63376623376623353</v>
      </c>
      <c r="Q92">
        <f t="shared" ref="Q92" si="436">F92*P92</f>
        <v>-3293238.8467532457</v>
      </c>
      <c r="R92">
        <f t="shared" ref="R92" si="437">R93+Q92</f>
        <v>-298652762.10531467</v>
      </c>
      <c r="S92">
        <f t="shared" ref="S92" si="438">R92/100000</f>
        <v>-2986.5276210531465</v>
      </c>
      <c r="T92">
        <f t="shared" ref="T92" si="439">S92/1000</f>
        <v>-2.9865276210531464</v>
      </c>
    </row>
    <row r="93" spans="1:20" x14ac:dyDescent="0.25">
      <c r="A93" s="5">
        <v>44500</v>
      </c>
      <c r="B93">
        <v>1.1171</v>
      </c>
      <c r="C93">
        <v>1.1411</v>
      </c>
      <c r="D93">
        <v>1.0571999999999999</v>
      </c>
      <c r="E93">
        <v>1.1183000000000001</v>
      </c>
      <c r="F93">
        <v>4967224</v>
      </c>
      <c r="G93">
        <v>1.1183000000000001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0.45649582836710589</v>
      </c>
      <c r="Q93">
        <f t="shared" ref="Q93" si="441">F93*P93</f>
        <v>2267517.0345649691</v>
      </c>
      <c r="R93">
        <f t="shared" ref="R93" si="442">R94+Q93</f>
        <v>-295359523.25856143</v>
      </c>
      <c r="S93">
        <f t="shared" ref="S93" si="443">R93/100000</f>
        <v>-2953.5952325856142</v>
      </c>
      <c r="T93">
        <f t="shared" ref="T93" si="444">S93/1000</f>
        <v>-2.9535952325856143</v>
      </c>
    </row>
    <row r="94" spans="1:20" x14ac:dyDescent="0.25">
      <c r="A94" s="5">
        <v>44499</v>
      </c>
      <c r="B94">
        <v>1.1345000000000001</v>
      </c>
      <c r="C94">
        <v>1.1877</v>
      </c>
      <c r="D94">
        <v>1.1060000000000001</v>
      </c>
      <c r="E94">
        <v>1.1161000000000001</v>
      </c>
      <c r="F94">
        <v>3350307</v>
      </c>
      <c r="G94">
        <v>1.1161000000000001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-0.752753977968176</v>
      </c>
      <c r="Q94">
        <f t="shared" ref="Q94" si="446">F94*P94</f>
        <v>-2521956.9216646259</v>
      </c>
      <c r="R94">
        <f t="shared" ref="R94" si="447">R95+Q94</f>
        <v>-297627040.2931264</v>
      </c>
      <c r="S94">
        <f t="shared" ref="S94" si="448">R94/100000</f>
        <v>-2976.270402931264</v>
      </c>
      <c r="T94">
        <f t="shared" ref="T94" si="449">S94/1000</f>
        <v>-2.9762704029312639</v>
      </c>
    </row>
    <row r="95" spans="1:20" x14ac:dyDescent="0.25">
      <c r="A95" s="5">
        <v>44498</v>
      </c>
      <c r="B95">
        <v>1.06</v>
      </c>
      <c r="C95">
        <v>1.17</v>
      </c>
      <c r="D95">
        <v>1.0524</v>
      </c>
      <c r="E95">
        <v>1.1346000000000001</v>
      </c>
      <c r="F95">
        <v>4095636</v>
      </c>
      <c r="G95">
        <v>1.1346000000000001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0.39795918367347111</v>
      </c>
      <c r="Q95">
        <f t="shared" ref="Q95" si="451">F95*P95</f>
        <v>1629895.9591836806</v>
      </c>
      <c r="R95">
        <f t="shared" ref="R95" si="452">R96+Q95</f>
        <v>-295105083.37146175</v>
      </c>
      <c r="S95">
        <f t="shared" ref="S95" si="453">R95/100000</f>
        <v>-2951.0508337146175</v>
      </c>
      <c r="T95">
        <f t="shared" ref="T95" si="454">S95/1000</f>
        <v>-2.9510508337146173</v>
      </c>
    </row>
    <row r="96" spans="1:20" x14ac:dyDescent="0.25">
      <c r="A96" s="5">
        <v>44497</v>
      </c>
      <c r="B96">
        <v>1.0353000000000001</v>
      </c>
      <c r="C96">
        <v>1.1278999999999999</v>
      </c>
      <c r="D96">
        <v>1.0326</v>
      </c>
      <c r="E96">
        <v>1.0589999999999999</v>
      </c>
      <c r="F96">
        <v>3631843</v>
      </c>
      <c r="G96">
        <v>1.0589999999999999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-0.44596012591815332</v>
      </c>
      <c r="Q96">
        <f t="shared" ref="Q96" si="456">F96*P96</f>
        <v>-1619657.1615949636</v>
      </c>
      <c r="R96">
        <f t="shared" ref="R96" si="457">R97+Q96</f>
        <v>-296734979.33064544</v>
      </c>
      <c r="S96">
        <f t="shared" ref="S96" si="458">R96/100000</f>
        <v>-2967.3497933064546</v>
      </c>
      <c r="T96">
        <f t="shared" ref="T96" si="459">S96/1000</f>
        <v>-2.9673497933064548</v>
      </c>
    </row>
    <row r="97" spans="1:20" x14ac:dyDescent="0.25">
      <c r="A97" s="5">
        <v>44496</v>
      </c>
      <c r="B97">
        <v>1.1829000000000001</v>
      </c>
      <c r="C97">
        <v>1.1935</v>
      </c>
      <c r="D97">
        <v>1.0329999999999999</v>
      </c>
      <c r="E97">
        <v>1.0355000000000001</v>
      </c>
      <c r="F97">
        <v>3932810</v>
      </c>
      <c r="G97">
        <v>1.0355000000000001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-0.96884735202492001</v>
      </c>
      <c r="Q97">
        <f t="shared" ref="Q97" si="461">F97*P97</f>
        <v>-3810292.5545171257</v>
      </c>
      <c r="R97">
        <f t="shared" ref="R97" si="462">R98+Q97</f>
        <v>-295115322.16905046</v>
      </c>
      <c r="S97">
        <f t="shared" ref="S97" si="463">R97/100000</f>
        <v>-2951.1532216905043</v>
      </c>
      <c r="T97">
        <f t="shared" ref="T97" si="464">S97/1000</f>
        <v>-2.9511532216905043</v>
      </c>
    </row>
    <row r="98" spans="1:20" x14ac:dyDescent="0.25">
      <c r="A98" s="5">
        <v>44495</v>
      </c>
      <c r="B98">
        <v>1.256</v>
      </c>
      <c r="C98">
        <v>1.2698</v>
      </c>
      <c r="D98">
        <v>1.1734</v>
      </c>
      <c r="E98">
        <v>1.1845000000000001</v>
      </c>
      <c r="F98">
        <v>3847403</v>
      </c>
      <c r="G98">
        <v>1.1845000000000001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-0.76970954356846255</v>
      </c>
      <c r="Q98">
        <f t="shared" ref="Q98" si="466">F98*P98</f>
        <v>-2961382.8070539334</v>
      </c>
      <c r="R98">
        <f t="shared" ref="R98" si="467">R99+Q98</f>
        <v>-291305029.61453331</v>
      </c>
      <c r="S98">
        <f t="shared" ref="S98" si="468">R98/100000</f>
        <v>-2913.050296145333</v>
      </c>
      <c r="T98">
        <f t="shared" ref="T98" si="469">S98/1000</f>
        <v>-2.9130502961453328</v>
      </c>
    </row>
    <row r="99" spans="1:20" x14ac:dyDescent="0.25">
      <c r="A99" s="5">
        <v>44494</v>
      </c>
      <c r="B99">
        <v>1.3131999999999999</v>
      </c>
      <c r="C99">
        <v>1.4195</v>
      </c>
      <c r="D99">
        <v>1.2019</v>
      </c>
      <c r="E99">
        <v>1.256</v>
      </c>
      <c r="F99">
        <v>22698954</v>
      </c>
      <c r="G99">
        <v>1.256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-0.50275735294117618</v>
      </c>
      <c r="Q99">
        <f t="shared" ref="Q99" si="471">F99*P99</f>
        <v>-11412066.027573522</v>
      </c>
      <c r="R99">
        <f t="shared" ref="R99" si="472">R100+Q99</f>
        <v>-288343646.80747938</v>
      </c>
      <c r="S99">
        <f t="shared" ref="S99" si="473">R99/100000</f>
        <v>-2883.436468074794</v>
      </c>
      <c r="T99">
        <f t="shared" ref="T99" si="474">S99/1000</f>
        <v>-2.8834364680747941</v>
      </c>
    </row>
    <row r="100" spans="1:20" x14ac:dyDescent="0.25">
      <c r="A100" s="5">
        <v>44493</v>
      </c>
      <c r="B100">
        <v>1.1147</v>
      </c>
      <c r="C100">
        <v>1.6589</v>
      </c>
      <c r="D100">
        <v>1.0963000000000001</v>
      </c>
      <c r="E100">
        <v>1.3130999999999999</v>
      </c>
      <c r="F100">
        <v>41008057</v>
      </c>
      <c r="G100">
        <v>1.3130999999999999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-0.22929257020974089</v>
      </c>
      <c r="Q100">
        <f t="shared" ref="Q100" si="476">F100*P100</f>
        <v>-9402842.7888375558</v>
      </c>
      <c r="R100">
        <f t="shared" ref="R100" si="477">R101+Q100</f>
        <v>-276931580.77990586</v>
      </c>
      <c r="S100">
        <f t="shared" ref="S100" si="478">R100/100000</f>
        <v>-2769.3158077990583</v>
      </c>
      <c r="T100">
        <f t="shared" ref="T100" si="479">S100/1000</f>
        <v>-2.7693158077990585</v>
      </c>
    </row>
    <row r="101" spans="1:20" x14ac:dyDescent="0.25">
      <c r="A101" s="5">
        <v>44492</v>
      </c>
      <c r="B101">
        <v>1.1212</v>
      </c>
      <c r="C101">
        <v>1.1277999999999999</v>
      </c>
      <c r="D101">
        <v>1.0829</v>
      </c>
      <c r="E101">
        <v>1.1146</v>
      </c>
      <c r="F101">
        <v>2432652</v>
      </c>
      <c r="G101">
        <v>1.1146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0.41202672605791107</v>
      </c>
      <c r="Q101">
        <f t="shared" ref="Q101" si="481">F101*P101</f>
        <v>1002317.6391982295</v>
      </c>
      <c r="R101">
        <f t="shared" ref="R101" si="482">R102+Q101</f>
        <v>-267528737.9910683</v>
      </c>
      <c r="S101">
        <f t="shared" ref="S101" si="483">R101/100000</f>
        <v>-2675.2873799106828</v>
      </c>
      <c r="T101">
        <f t="shared" ref="T101" si="484">S101/1000</f>
        <v>-2.6752873799106829</v>
      </c>
    </row>
    <row r="102" spans="1:20" x14ac:dyDescent="0.25">
      <c r="A102" s="5">
        <v>44491</v>
      </c>
      <c r="B102">
        <v>1.0629</v>
      </c>
      <c r="C102">
        <v>1.2788999999999999</v>
      </c>
      <c r="D102">
        <v>1.0607</v>
      </c>
      <c r="E102">
        <v>1.1198999999999999</v>
      </c>
      <c r="F102">
        <v>11388667</v>
      </c>
      <c r="G102">
        <v>1.1198999999999999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-0.45737855178735165</v>
      </c>
      <c r="Q102">
        <f t="shared" ref="Q102" si="486">F102*P102</f>
        <v>-5208932.0192484027</v>
      </c>
      <c r="R102">
        <f t="shared" ref="R102" si="487">R103+Q102</f>
        <v>-268531055.63026655</v>
      </c>
      <c r="S102">
        <f t="shared" ref="S102" si="488">R102/100000</f>
        <v>-2685.3105563026656</v>
      </c>
      <c r="T102">
        <f t="shared" ref="T102" si="489">S102/1000</f>
        <v>-2.6853105563026656</v>
      </c>
    </row>
    <row r="103" spans="1:20" x14ac:dyDescent="0.25">
      <c r="A103" s="5">
        <v>44490</v>
      </c>
      <c r="B103">
        <v>1.0864</v>
      </c>
      <c r="C103">
        <v>1.1398999999999999</v>
      </c>
      <c r="D103">
        <v>1.0529999999999999</v>
      </c>
      <c r="E103">
        <v>1.0623</v>
      </c>
      <c r="F103">
        <v>3974714</v>
      </c>
      <c r="G103">
        <v>1.0623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-0.78596087456846742</v>
      </c>
      <c r="Q103">
        <f t="shared" ref="Q103" si="491">F103*P103</f>
        <v>-3123969.6915995316</v>
      </c>
      <c r="R103">
        <f t="shared" ref="R103" si="492">R104+Q103</f>
        <v>-263322123.61101815</v>
      </c>
      <c r="S103">
        <f t="shared" ref="S103" si="493">R103/100000</f>
        <v>-2633.2212361101815</v>
      </c>
      <c r="T103">
        <f t="shared" ref="T103" si="494">S103/1000</f>
        <v>-2.6332212361101814</v>
      </c>
    </row>
    <row r="104" spans="1:20" x14ac:dyDescent="0.25">
      <c r="A104" s="5">
        <v>44489</v>
      </c>
      <c r="B104">
        <v>1.0494000000000001</v>
      </c>
      <c r="C104">
        <v>1.093</v>
      </c>
      <c r="D104">
        <v>1.0263</v>
      </c>
      <c r="E104">
        <v>1.0860000000000001</v>
      </c>
      <c r="F104">
        <v>2242509</v>
      </c>
      <c r="G104">
        <v>1.0860000000000001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0.79010494752623994</v>
      </c>
      <c r="Q104">
        <f t="shared" ref="Q104" si="496">F104*P104</f>
        <v>1771817.4557721207</v>
      </c>
      <c r="R104">
        <f t="shared" ref="R104" si="497">R105+Q104</f>
        <v>-260198153.91941863</v>
      </c>
      <c r="S104">
        <f t="shared" ref="S104" si="498">R104/100000</f>
        <v>-2601.9815391941866</v>
      </c>
      <c r="T104">
        <f t="shared" ref="T104" si="499">S104/1000</f>
        <v>-2.6019815391941865</v>
      </c>
    </row>
    <row r="105" spans="1:20" x14ac:dyDescent="0.25">
      <c r="A105" s="5">
        <v>44488</v>
      </c>
      <c r="B105">
        <v>1.0696000000000001</v>
      </c>
      <c r="C105">
        <v>1.1111</v>
      </c>
      <c r="D105">
        <v>1.01</v>
      </c>
      <c r="E105">
        <v>1.0494000000000001</v>
      </c>
      <c r="F105">
        <v>2088403</v>
      </c>
      <c r="G105">
        <v>1.0494000000000001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-0.22057368941641714</v>
      </c>
      <c r="Q105">
        <f t="shared" ref="Q105" si="501">F105*P105</f>
        <v>-460646.75469831383</v>
      </c>
      <c r="R105">
        <f t="shared" ref="R105" si="502">R106+Q105</f>
        <v>-261969971.37519076</v>
      </c>
      <c r="S105">
        <f t="shared" ref="S105" si="503">R105/100000</f>
        <v>-2619.6997137519074</v>
      </c>
      <c r="T105">
        <f t="shared" ref="T105" si="504">S105/1000</f>
        <v>-2.6196997137519076</v>
      </c>
    </row>
    <row r="106" spans="1:20" x14ac:dyDescent="0.25">
      <c r="A106" s="5">
        <v>44487</v>
      </c>
      <c r="B106">
        <v>1.0423</v>
      </c>
      <c r="C106">
        <v>1.1111</v>
      </c>
      <c r="D106">
        <v>1.0081</v>
      </c>
      <c r="E106">
        <v>1.0687</v>
      </c>
      <c r="F106">
        <v>3048967</v>
      </c>
      <c r="G106">
        <v>1.0687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0.17669902912621357</v>
      </c>
      <c r="Q106">
        <f t="shared" ref="Q106" si="506">F106*P106</f>
        <v>538749.50873786397</v>
      </c>
      <c r="R106">
        <f t="shared" ref="R106" si="507">R107+Q106</f>
        <v>-261509324.62049246</v>
      </c>
      <c r="S106">
        <f t="shared" ref="S106" si="508">R106/100000</f>
        <v>-2615.0932462049245</v>
      </c>
      <c r="T106">
        <f t="shared" ref="T106" si="509">S106/1000</f>
        <v>-2.6150932462049243</v>
      </c>
    </row>
    <row r="107" spans="1:20" x14ac:dyDescent="0.25">
      <c r="A107" s="5">
        <v>44486</v>
      </c>
      <c r="B107">
        <v>1.0998000000000001</v>
      </c>
      <c r="C107">
        <v>1.1458999999999999</v>
      </c>
      <c r="D107">
        <v>0.99419999999999997</v>
      </c>
      <c r="E107">
        <v>1.0423</v>
      </c>
      <c r="F107">
        <v>6468664</v>
      </c>
      <c r="G107">
        <v>1.0423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-0.36585365853658475</v>
      </c>
      <c r="Q107">
        <f t="shared" ref="Q107" si="511">F107*P107</f>
        <v>-2366584.3902438986</v>
      </c>
      <c r="R107">
        <f t="shared" ref="R107" si="512">R108+Q107</f>
        <v>-262048074.12923032</v>
      </c>
      <c r="S107">
        <f t="shared" ref="S107" si="513">R107/100000</f>
        <v>-2620.4807412923033</v>
      </c>
      <c r="T107">
        <f t="shared" ref="T107" si="514">S107/1000</f>
        <v>-2.6204807412923032</v>
      </c>
    </row>
    <row r="108" spans="1:20" x14ac:dyDescent="0.25">
      <c r="A108" s="5">
        <v>44485</v>
      </c>
      <c r="B108">
        <v>1.0660000000000001</v>
      </c>
      <c r="C108">
        <v>1.1499999999999999</v>
      </c>
      <c r="D108">
        <v>1.0373000000000001</v>
      </c>
      <c r="E108">
        <v>1.0996999999999999</v>
      </c>
      <c r="F108">
        <v>3913393</v>
      </c>
      <c r="G108">
        <v>1.0996999999999999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0.10736468500443477</v>
      </c>
      <c r="Q108">
        <f t="shared" ref="Q108" si="516">F108*P108</f>
        <v>420160.20674356003</v>
      </c>
      <c r="R108">
        <f t="shared" ref="R108" si="517">R109+Q108</f>
        <v>-259681489.73898643</v>
      </c>
      <c r="S108">
        <f t="shared" ref="S108" si="518">R108/100000</f>
        <v>-2596.8148973898642</v>
      </c>
      <c r="T108">
        <f t="shared" ref="T108" si="519">S108/1000</f>
        <v>-2.5968148973898644</v>
      </c>
    </row>
    <row r="109" spans="1:20" x14ac:dyDescent="0.25">
      <c r="A109" s="5">
        <v>44484</v>
      </c>
      <c r="B109">
        <v>1.0102</v>
      </c>
      <c r="C109">
        <v>1.1399999999999999</v>
      </c>
      <c r="D109">
        <v>0.9819</v>
      </c>
      <c r="E109">
        <v>1.0640000000000001</v>
      </c>
      <c r="F109">
        <v>7530760</v>
      </c>
      <c r="G109">
        <v>1.0640000000000001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3.8583175205567491E-2</v>
      </c>
      <c r="Q109">
        <f t="shared" ref="Q109" si="521">F109*P109</f>
        <v>290560.63251107943</v>
      </c>
      <c r="R109">
        <f t="shared" ref="R109" si="522">R110+Q109</f>
        <v>-260101649.94573</v>
      </c>
      <c r="S109">
        <f t="shared" ref="S109" si="523">R109/100000</f>
        <v>-2601.0164994573001</v>
      </c>
      <c r="T109">
        <f t="shared" ref="T109" si="524">S109/1000</f>
        <v>-2.6010164994573</v>
      </c>
    </row>
    <row r="110" spans="1:20" x14ac:dyDescent="0.25">
      <c r="A110" s="5">
        <v>44483</v>
      </c>
      <c r="B110">
        <v>0.96989999999999998</v>
      </c>
      <c r="C110">
        <v>1.04</v>
      </c>
      <c r="D110">
        <v>0.96350000000000002</v>
      </c>
      <c r="E110">
        <v>1.0097</v>
      </c>
      <c r="F110">
        <v>2532720</v>
      </c>
      <c r="G110">
        <v>1.0097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0.20784313725490225</v>
      </c>
      <c r="Q110">
        <f t="shared" ref="Q110" si="526">F110*P110</f>
        <v>526408.470588236</v>
      </c>
      <c r="R110">
        <f t="shared" ref="R110" si="527">R111+Q110</f>
        <v>-260392210.57824108</v>
      </c>
      <c r="S110">
        <f t="shared" ref="S110" si="528">R110/100000</f>
        <v>-2603.9221057824107</v>
      </c>
      <c r="T110">
        <f t="shared" ref="T110" si="529">S110/1000</f>
        <v>-2.6039221057824107</v>
      </c>
    </row>
    <row r="111" spans="1:20" x14ac:dyDescent="0.25">
      <c r="A111" s="5">
        <v>44482</v>
      </c>
      <c r="B111">
        <v>0.97</v>
      </c>
      <c r="C111">
        <v>0.99099999999999999</v>
      </c>
      <c r="D111">
        <v>0.9325</v>
      </c>
      <c r="E111">
        <v>0.97119999999999995</v>
      </c>
      <c r="F111">
        <v>1587090</v>
      </c>
      <c r="G111">
        <v>0.97119999999999995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0.32307692307692165</v>
      </c>
      <c r="Q111">
        <f t="shared" ref="Q111" si="531">F111*P111</f>
        <v>512752.1538461516</v>
      </c>
      <c r="R111">
        <f t="shared" ref="R111" si="532">R112+Q111</f>
        <v>-260918619.04882932</v>
      </c>
      <c r="S111">
        <f t="shared" ref="S111" si="533">R111/100000</f>
        <v>-2609.1861904882931</v>
      </c>
      <c r="T111">
        <f t="shared" ref="T111" si="534">S111/1000</f>
        <v>-2.6091861904882929</v>
      </c>
    </row>
    <row r="112" spans="1:20" x14ac:dyDescent="0.25">
      <c r="A112" s="5">
        <v>44481</v>
      </c>
      <c r="B112">
        <v>0.96140000000000003</v>
      </c>
      <c r="C112">
        <v>1.0025999999999999</v>
      </c>
      <c r="D112">
        <v>0.88170000000000004</v>
      </c>
      <c r="E112">
        <v>0.97070000000000001</v>
      </c>
      <c r="F112">
        <v>2293960</v>
      </c>
      <c r="G112">
        <v>0.97070000000000001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0.47229114971050529</v>
      </c>
      <c r="Q112">
        <f t="shared" ref="Q112" si="536">F112*P112</f>
        <v>1083417.0057899107</v>
      </c>
      <c r="R112">
        <f t="shared" ref="R112" si="537">R113+Q112</f>
        <v>-261431371.20267546</v>
      </c>
      <c r="S112">
        <f t="shared" ref="S112" si="538">R112/100000</f>
        <v>-2614.3137120267547</v>
      </c>
      <c r="T112">
        <f t="shared" ref="T112" si="539">S112/1000</f>
        <v>-2.6143137120267546</v>
      </c>
    </row>
    <row r="113" spans="1:20" x14ac:dyDescent="0.25">
      <c r="A113" s="5">
        <v>44480</v>
      </c>
      <c r="B113">
        <v>0.98250000000000004</v>
      </c>
      <c r="C113">
        <v>1.0127999999999999</v>
      </c>
      <c r="D113">
        <v>0.9456</v>
      </c>
      <c r="E113">
        <v>0.96340000000000003</v>
      </c>
      <c r="F113">
        <v>1720914</v>
      </c>
      <c r="G113">
        <v>0.96340000000000003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-0.47023809523809351</v>
      </c>
      <c r="Q113">
        <f t="shared" ref="Q113" si="541">F113*P113</f>
        <v>-809239.32142856845</v>
      </c>
      <c r="R113">
        <f t="shared" ref="R113" si="542">R114+Q113</f>
        <v>-262514788.20846537</v>
      </c>
      <c r="S113">
        <f t="shared" ref="S113" si="543">R113/100000</f>
        <v>-2625.1478820846537</v>
      </c>
      <c r="T113">
        <f t="shared" ref="T113" si="544">S113/1000</f>
        <v>-2.6251478820846539</v>
      </c>
    </row>
    <row r="114" spans="1:20" x14ac:dyDescent="0.25">
      <c r="A114" s="5">
        <v>44479</v>
      </c>
      <c r="B114">
        <v>1.0291999999999999</v>
      </c>
      <c r="C114">
        <v>1.0873999999999999</v>
      </c>
      <c r="D114">
        <v>0.97929999999999995</v>
      </c>
      <c r="E114">
        <v>0.98580000000000001</v>
      </c>
      <c r="F114">
        <v>3272962</v>
      </c>
      <c r="G114">
        <v>0.98580000000000001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-0.87974098057354189</v>
      </c>
      <c r="Q114">
        <f t="shared" ref="Q114" si="546">F114*P114</f>
        <v>-2879358.7992599406</v>
      </c>
      <c r="R114">
        <f t="shared" ref="R114" si="547">R115+Q114</f>
        <v>-261705548.8870368</v>
      </c>
      <c r="S114">
        <f t="shared" ref="S114" si="548">R114/100000</f>
        <v>-2617.0554888703682</v>
      </c>
      <c r="T114">
        <f t="shared" ref="T114" si="549">S114/1000</f>
        <v>-2.6170554888703683</v>
      </c>
    </row>
    <row r="115" spans="1:20" x14ac:dyDescent="0.25">
      <c r="A115" s="5">
        <v>44478</v>
      </c>
      <c r="B115">
        <v>0.99570000000000003</v>
      </c>
      <c r="C115">
        <v>1.21</v>
      </c>
      <c r="D115">
        <v>0.98360000000000003</v>
      </c>
      <c r="E115">
        <v>1.0262</v>
      </c>
      <c r="F115">
        <v>5863234</v>
      </c>
      <c r="G115">
        <v>1.0262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-0.62367491166077749</v>
      </c>
      <c r="Q115">
        <f t="shared" ref="Q115" si="551">F115*P115</f>
        <v>-3656751.9469964672</v>
      </c>
      <c r="R115">
        <f t="shared" ref="R115" si="552">R116+Q115</f>
        <v>-258826190.08777687</v>
      </c>
      <c r="S115">
        <f t="shared" ref="S115" si="553">R115/100000</f>
        <v>-2588.2619008777688</v>
      </c>
      <c r="T115">
        <f t="shared" ref="T115" si="554">S115/1000</f>
        <v>-2.588261900877769</v>
      </c>
    </row>
    <row r="116" spans="1:20" x14ac:dyDescent="0.25">
      <c r="A116" s="5">
        <v>44477</v>
      </c>
      <c r="B116">
        <v>0.96289999999999998</v>
      </c>
      <c r="C116">
        <v>1.0421</v>
      </c>
      <c r="D116">
        <v>0.95</v>
      </c>
      <c r="E116">
        <v>0.99490000000000001</v>
      </c>
      <c r="F116">
        <v>4016782</v>
      </c>
      <c r="G116">
        <v>0.99490000000000001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-2.497285559174774E-2</v>
      </c>
      <c r="Q116">
        <f t="shared" ref="Q116" si="556">F116*P116</f>
        <v>-100310.51682953167</v>
      </c>
      <c r="R116">
        <f t="shared" ref="R116" si="557">R117+Q116</f>
        <v>-255169438.14078039</v>
      </c>
      <c r="S116">
        <f t="shared" ref="S116" si="558">R116/100000</f>
        <v>-2551.694381407804</v>
      </c>
      <c r="T116">
        <f t="shared" ref="T116" si="559">S116/1000</f>
        <v>-2.5516943814078039</v>
      </c>
    </row>
    <row r="117" spans="1:20" x14ac:dyDescent="0.25">
      <c r="A117" s="5">
        <v>44476</v>
      </c>
      <c r="B117">
        <v>0.95699999999999996</v>
      </c>
      <c r="C117">
        <v>0.99299999999999999</v>
      </c>
      <c r="D117">
        <v>0.9355</v>
      </c>
      <c r="E117">
        <v>0.96619999999999995</v>
      </c>
      <c r="F117">
        <v>2102224</v>
      </c>
      <c r="G117">
        <v>0.96619999999999995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6.7826086956520065E-2</v>
      </c>
      <c r="Q117">
        <f t="shared" ref="Q117" si="561">F117*P117</f>
        <v>142585.62782608345</v>
      </c>
      <c r="R117">
        <f t="shared" ref="R117" si="562">R118+Q117</f>
        <v>-255069127.62395087</v>
      </c>
      <c r="S117">
        <f t="shared" ref="S117" si="563">R117/100000</f>
        <v>-2550.6912762395086</v>
      </c>
      <c r="T117">
        <f t="shared" ref="T117" si="564">S117/1000</f>
        <v>-2.5506912762395086</v>
      </c>
    </row>
    <row r="118" spans="1:20" x14ac:dyDescent="0.25">
      <c r="A118" s="5">
        <v>44475</v>
      </c>
      <c r="B118">
        <v>0.99339999999999995</v>
      </c>
      <c r="C118">
        <v>0.99990000000000001</v>
      </c>
      <c r="D118">
        <v>0.90880000000000005</v>
      </c>
      <c r="E118">
        <v>0.95699999999999996</v>
      </c>
      <c r="F118">
        <v>4849654</v>
      </c>
      <c r="G118">
        <v>0.95699999999999996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5.8177826564213643E-2</v>
      </c>
      <c r="Q118">
        <f t="shared" ref="Q118" si="566">F118*P118</f>
        <v>282142.32930844493</v>
      </c>
      <c r="R118">
        <f t="shared" ref="R118" si="567">R119+Q118</f>
        <v>-255211713.25177696</v>
      </c>
      <c r="S118">
        <f t="shared" ref="S118" si="568">R118/100000</f>
        <v>-2552.1171325177697</v>
      </c>
      <c r="T118">
        <f t="shared" ref="T118" si="569">S118/1000</f>
        <v>-2.5521171325177696</v>
      </c>
    </row>
    <row r="119" spans="1:20" x14ac:dyDescent="0.25">
      <c r="A119" s="5">
        <v>44474</v>
      </c>
      <c r="B119">
        <v>0.97299999999999998</v>
      </c>
      <c r="C119">
        <v>0.99980000000000002</v>
      </c>
      <c r="D119">
        <v>0.95050000000000001</v>
      </c>
      <c r="E119">
        <v>0.99050000000000005</v>
      </c>
      <c r="F119">
        <v>2514996</v>
      </c>
      <c r="G119">
        <v>0.99050000000000005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0.6227180527383378</v>
      </c>
      <c r="Q119">
        <f t="shared" ref="Q119" si="571">F119*P119</f>
        <v>1566133.4117647086</v>
      </c>
      <c r="R119">
        <f t="shared" ref="R119" si="572">R120+Q119</f>
        <v>-255493855.58108541</v>
      </c>
      <c r="S119">
        <f t="shared" ref="S119" si="573">R119/100000</f>
        <v>-2554.9385558108543</v>
      </c>
      <c r="T119">
        <f t="shared" ref="T119" si="574">S119/1000</f>
        <v>-2.5549385558108542</v>
      </c>
    </row>
    <row r="120" spans="1:20" x14ac:dyDescent="0.25">
      <c r="A120" s="5">
        <v>44473</v>
      </c>
      <c r="B120">
        <v>0.97750000000000004</v>
      </c>
      <c r="C120">
        <v>1.0465</v>
      </c>
      <c r="D120">
        <v>0.93020000000000003</v>
      </c>
      <c r="E120">
        <v>0.97370000000000001</v>
      </c>
      <c r="F120">
        <v>4230724</v>
      </c>
      <c r="G120">
        <v>0.97370000000000001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-0.25193465176268276</v>
      </c>
      <c r="Q120">
        <f t="shared" ref="Q120" si="576">F120*P120</f>
        <v>-1065865.9776440242</v>
      </c>
      <c r="R120">
        <f t="shared" ref="R120" si="577">R121+Q120</f>
        <v>-257059988.99285012</v>
      </c>
      <c r="S120">
        <f t="shared" ref="S120" si="578">R120/100000</f>
        <v>-2570.5998899285014</v>
      </c>
      <c r="T120">
        <f t="shared" ref="T120" si="579">S120/1000</f>
        <v>-2.5705998899285012</v>
      </c>
    </row>
    <row r="121" spans="1:20" x14ac:dyDescent="0.25">
      <c r="A121" s="5">
        <v>44472</v>
      </c>
      <c r="B121">
        <v>0.95540000000000003</v>
      </c>
      <c r="C121">
        <v>1.0102</v>
      </c>
      <c r="D121">
        <v>0.94130000000000003</v>
      </c>
      <c r="E121">
        <v>0.97460000000000002</v>
      </c>
      <c r="F121">
        <v>2631725</v>
      </c>
      <c r="G121">
        <v>0.97460000000000002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-3.3381712626995214E-2</v>
      </c>
      <c r="Q121">
        <f t="shared" ref="Q121" si="581">F121*P121</f>
        <v>-87851.487663278982</v>
      </c>
      <c r="R121">
        <f t="shared" ref="R121" si="582">R122+Q121</f>
        <v>-255994123.0152061</v>
      </c>
      <c r="S121">
        <f t="shared" ref="S121" si="583">R121/100000</f>
        <v>-2559.9412301520611</v>
      </c>
      <c r="T121">
        <f t="shared" ref="T121" si="584">S121/1000</f>
        <v>-2.5599412301520612</v>
      </c>
    </row>
    <row r="122" spans="1:20" x14ac:dyDescent="0.25">
      <c r="A122" s="5">
        <v>44471</v>
      </c>
      <c r="B122">
        <v>0.9385</v>
      </c>
      <c r="C122">
        <v>1.0329999999999999</v>
      </c>
      <c r="D122">
        <v>0.92230000000000001</v>
      </c>
      <c r="E122">
        <v>0.95569999999999999</v>
      </c>
      <c r="F122">
        <v>5290933</v>
      </c>
      <c r="G122">
        <v>0.95569999999999999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-0.39656729900632315</v>
      </c>
      <c r="Q122">
        <f t="shared" ref="Q122" si="586">F122*P122</f>
        <v>-2098211.0090334225</v>
      </c>
      <c r="R122">
        <f t="shared" ref="R122" si="587">R123+Q122</f>
        <v>-255906271.52754283</v>
      </c>
      <c r="S122">
        <f t="shared" ref="S122" si="588">R122/100000</f>
        <v>-2559.0627152754282</v>
      </c>
      <c r="T122">
        <f t="shared" ref="T122" si="589">S122/1000</f>
        <v>-2.5590627152754282</v>
      </c>
    </row>
    <row r="123" spans="1:20" x14ac:dyDescent="0.25">
      <c r="A123" s="5">
        <v>44470</v>
      </c>
      <c r="B123">
        <v>0.87619999999999998</v>
      </c>
      <c r="C123">
        <v>0.96189999999999998</v>
      </c>
      <c r="D123">
        <v>0.86409999999999998</v>
      </c>
      <c r="E123">
        <v>0.93810000000000004</v>
      </c>
      <c r="F123">
        <v>2613203</v>
      </c>
      <c r="G123">
        <v>0.93810000000000004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0.51329243353783371</v>
      </c>
      <c r="Q123">
        <f t="shared" ref="Q123" si="591">F123*P123</f>
        <v>1341337.3271983676</v>
      </c>
      <c r="R123">
        <f t="shared" ref="R123" si="592">R124+Q123</f>
        <v>-253808060.51850942</v>
      </c>
      <c r="S123">
        <f t="shared" ref="S123" si="593">R123/100000</f>
        <v>-2538.0806051850941</v>
      </c>
      <c r="T123">
        <f t="shared" ref="T123" si="594">S123/1000</f>
        <v>-2.5380806051850939</v>
      </c>
    </row>
    <row r="124" spans="1:20" x14ac:dyDescent="0.25">
      <c r="A124" s="5">
        <v>44469</v>
      </c>
      <c r="B124">
        <v>0.84809999999999997</v>
      </c>
      <c r="C124">
        <v>0.88880000000000003</v>
      </c>
      <c r="D124">
        <v>0.84509999999999996</v>
      </c>
      <c r="E124">
        <v>0.87619999999999998</v>
      </c>
      <c r="F124">
        <v>1641383</v>
      </c>
      <c r="G124">
        <v>0.87619999999999998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0.42334096109839658</v>
      </c>
      <c r="Q124">
        <f t="shared" ref="Q124" si="596">F124*P124</f>
        <v>694864.65675056947</v>
      </c>
      <c r="R124">
        <f t="shared" ref="R124" si="597">R125+Q124</f>
        <v>-255149397.84570777</v>
      </c>
      <c r="S124">
        <f t="shared" ref="S124" si="598">R124/100000</f>
        <v>-2551.4939784570779</v>
      </c>
      <c r="T124">
        <f t="shared" ref="T124" si="599">S124/1000</f>
        <v>-2.5514939784570778</v>
      </c>
    </row>
    <row r="125" spans="1:20" x14ac:dyDescent="0.25">
      <c r="A125" s="5">
        <v>44468</v>
      </c>
      <c r="B125">
        <v>0.85260000000000002</v>
      </c>
      <c r="C125">
        <v>0.91739999999999999</v>
      </c>
      <c r="D125">
        <v>0.82730000000000004</v>
      </c>
      <c r="E125">
        <v>0.85109999999999997</v>
      </c>
      <c r="F125">
        <v>2445844</v>
      </c>
      <c r="G125">
        <v>0.85109999999999997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-0.47169811320754845</v>
      </c>
      <c r="Q125">
        <f t="shared" ref="Q125" si="601">F125*P125</f>
        <v>-1153700.000000003</v>
      </c>
      <c r="R125">
        <f t="shared" ref="R125" si="602">R126+Q125</f>
        <v>-255844262.50245833</v>
      </c>
      <c r="S125">
        <f t="shared" ref="S125" si="603">R125/100000</f>
        <v>-2558.4426250245833</v>
      </c>
      <c r="T125">
        <f t="shared" ref="T125" si="604">S125/1000</f>
        <v>-2.5584426250245835</v>
      </c>
    </row>
    <row r="126" spans="1:20" x14ac:dyDescent="0.25">
      <c r="A126" s="5">
        <v>44467</v>
      </c>
      <c r="B126">
        <v>0.93589999999999995</v>
      </c>
      <c r="C126">
        <v>1.0428999999999999</v>
      </c>
      <c r="D126">
        <v>0.84699999999999998</v>
      </c>
      <c r="E126">
        <v>0.85070000000000001</v>
      </c>
      <c r="F126">
        <v>9142078</v>
      </c>
      <c r="G126">
        <v>0.85070000000000001</v>
      </c>
      <c r="L126" t="s">
        <v>8</v>
      </c>
      <c r="M126" t="s">
        <v>7</v>
      </c>
      <c r="N126" t="s">
        <v>7</v>
      </c>
      <c r="P126">
        <f t="shared" ref="P126" si="605">IF(C126=D126,0,((E126-D126)-(C126-E126))/(C126-D126))</f>
        <v>-0.96222562531903999</v>
      </c>
      <c r="Q126">
        <f t="shared" ref="Q126" si="606">F126*P126</f>
        <v>-8796741.7202654388</v>
      </c>
      <c r="R126">
        <f t="shared" ref="R126" si="607">R127+Q126</f>
        <v>-254690562.50245833</v>
      </c>
      <c r="S126">
        <f t="shared" ref="S126" si="608">R126/100000</f>
        <v>-2546.9056250245835</v>
      </c>
      <c r="T126">
        <f t="shared" ref="T126" si="609">S126/1000</f>
        <v>-2.5469056250245834</v>
      </c>
    </row>
    <row r="127" spans="1:20" x14ac:dyDescent="0.25">
      <c r="A127" s="5">
        <v>44466</v>
      </c>
      <c r="B127">
        <v>0.89790000000000003</v>
      </c>
      <c r="C127">
        <v>1.03</v>
      </c>
      <c r="D127">
        <v>0.87809999999999999</v>
      </c>
      <c r="E127">
        <v>0.93500000000000005</v>
      </c>
      <c r="F127">
        <v>5910086</v>
      </c>
      <c r="G127">
        <v>0.93500000000000005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-0.25082290980908428</v>
      </c>
      <c r="Q127">
        <f t="shared" ref="Q127" si="611">F127*P127</f>
        <v>-1482384.9677419318</v>
      </c>
      <c r="R127">
        <f t="shared" ref="R127" si="612">R128+Q127</f>
        <v>-245893820.78219289</v>
      </c>
      <c r="S127">
        <f t="shared" ref="S127" si="613">R127/100000</f>
        <v>-2458.9382078219287</v>
      </c>
      <c r="T127">
        <f t="shared" ref="T127" si="614">S127/1000</f>
        <v>-2.4589382078219288</v>
      </c>
    </row>
    <row r="128" spans="1:20" x14ac:dyDescent="0.25">
      <c r="A128" s="5">
        <v>44465</v>
      </c>
      <c r="B128">
        <v>0.875</v>
      </c>
      <c r="C128">
        <v>0.99050000000000005</v>
      </c>
      <c r="D128">
        <v>0.8</v>
      </c>
      <c r="E128">
        <v>0.89839999999999998</v>
      </c>
      <c r="F128">
        <v>4399552</v>
      </c>
      <c r="G128">
        <v>0.89839999999999998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3.3070866141731554E-2</v>
      </c>
      <c r="Q128">
        <f t="shared" ref="Q128" si="616">F128*P128</f>
        <v>145496.99527558734</v>
      </c>
      <c r="R128">
        <f t="shared" ref="R128" si="617">R129+Q128</f>
        <v>-244411435.81445095</v>
      </c>
      <c r="S128">
        <f t="shared" ref="S128" si="618">R128/100000</f>
        <v>-2444.1143581445094</v>
      </c>
      <c r="T128">
        <f t="shared" ref="T128" si="619">S128/1000</f>
        <v>-2.4441143581445095</v>
      </c>
    </row>
    <row r="129" spans="1:20" x14ac:dyDescent="0.25">
      <c r="A129" s="5">
        <v>44464</v>
      </c>
      <c r="B129">
        <v>0.9234</v>
      </c>
      <c r="C129">
        <v>1.0468</v>
      </c>
      <c r="D129">
        <v>0.86709999999999998</v>
      </c>
      <c r="E129">
        <v>0.87549999999999994</v>
      </c>
      <c r="F129">
        <v>14007239</v>
      </c>
      <c r="G129">
        <v>0.87549999999999994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-0.90651085141903209</v>
      </c>
      <c r="Q129">
        <f t="shared" ref="Q129" si="621">F129*P129</f>
        <v>-12697714.151919872</v>
      </c>
      <c r="R129">
        <f t="shared" ref="R129" si="622">R130+Q129</f>
        <v>-244556932.80972654</v>
      </c>
      <c r="S129">
        <f t="shared" ref="S129" si="623">R129/100000</f>
        <v>-2445.5693280972655</v>
      </c>
      <c r="T129">
        <f t="shared" ref="T129" si="624">S129/1000</f>
        <v>-2.4455693280972657</v>
      </c>
    </row>
    <row r="130" spans="1:20" x14ac:dyDescent="0.25">
      <c r="A130" s="5">
        <v>44463</v>
      </c>
      <c r="B130">
        <v>0.91479999999999995</v>
      </c>
      <c r="C130">
        <v>0.92500000000000004</v>
      </c>
      <c r="D130">
        <v>0.75249999999999995</v>
      </c>
      <c r="E130">
        <v>0.92349999999999999</v>
      </c>
      <c r="F130">
        <v>9695609.7100000009</v>
      </c>
      <c r="G130">
        <v>0.92349999999999999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0.98260869565217324</v>
      </c>
      <c r="Q130">
        <f t="shared" ref="Q130" si="626">F130*P130</f>
        <v>9526990.410695646</v>
      </c>
      <c r="R130">
        <f t="shared" ref="R130" si="627">R131+Q130</f>
        <v>-231859218.65780666</v>
      </c>
      <c r="S130">
        <f t="shared" ref="S130" si="628">R130/100000</f>
        <v>-2318.5921865780665</v>
      </c>
      <c r="T130">
        <f t="shared" ref="T130" si="629">S130/1000</f>
        <v>-2.3185921865780665</v>
      </c>
    </row>
    <row r="131" spans="1:20" x14ac:dyDescent="0.25">
      <c r="A131" s="5">
        <v>44462</v>
      </c>
      <c r="B131">
        <v>0.93859999999999999</v>
      </c>
      <c r="C131">
        <v>0.93859999999999999</v>
      </c>
      <c r="D131">
        <v>0.87580000000000002</v>
      </c>
      <c r="E131">
        <v>0.91579999999999995</v>
      </c>
      <c r="F131">
        <v>2131213</v>
      </c>
      <c r="G131">
        <v>0.91579999999999995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0.27388535031846961</v>
      </c>
      <c r="Q131">
        <f t="shared" ref="Q131" si="631">F131*P131</f>
        <v>583708.01910827658</v>
      </c>
      <c r="R131">
        <f t="shared" ref="R131" si="632">R132+Q131</f>
        <v>-241386209.06850231</v>
      </c>
      <c r="S131">
        <f t="shared" ref="S131" si="633">R131/100000</f>
        <v>-2413.8620906850228</v>
      </c>
      <c r="T131">
        <f t="shared" ref="T131" si="634">S131/1000</f>
        <v>-2.413862090685023</v>
      </c>
    </row>
    <row r="132" spans="1:20" x14ac:dyDescent="0.25">
      <c r="A132" s="5">
        <v>44461</v>
      </c>
      <c r="B132">
        <v>0.80920000000000003</v>
      </c>
      <c r="C132">
        <v>0.98899999999999999</v>
      </c>
      <c r="D132">
        <v>0.79269999999999996</v>
      </c>
      <c r="E132">
        <v>0.93789999999999996</v>
      </c>
      <c r="F132">
        <v>6333864</v>
      </c>
      <c r="G132">
        <v>0.93789999999999996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0.47936831380539963</v>
      </c>
      <c r="Q132">
        <f t="shared" ref="Q132" si="636">F132*P132</f>
        <v>3036253.7055527237</v>
      </c>
      <c r="R132">
        <f t="shared" ref="R132" si="637">R133+Q132</f>
        <v>-241969917.08761057</v>
      </c>
      <c r="S132">
        <f t="shared" ref="S132" si="638">R132/100000</f>
        <v>-2419.6991708761057</v>
      </c>
      <c r="T132">
        <f t="shared" ref="T132" si="639">S132/1000</f>
        <v>-2.4196991708761058</v>
      </c>
    </row>
    <row r="133" spans="1:20" x14ac:dyDescent="0.25">
      <c r="A133" s="5">
        <v>44460</v>
      </c>
      <c r="B133">
        <v>0.90139999999999998</v>
      </c>
      <c r="C133">
        <v>0.95499999999999996</v>
      </c>
      <c r="D133">
        <v>0.78</v>
      </c>
      <c r="E133">
        <v>0.80700000000000005</v>
      </c>
      <c r="F133">
        <v>2940106.04</v>
      </c>
      <c r="G133">
        <v>0.80700000000000005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-0.69142857142857106</v>
      </c>
      <c r="Q133">
        <f t="shared" ref="Q133" si="641">F133*P133</f>
        <v>-2032873.3190857132</v>
      </c>
      <c r="R133">
        <f t="shared" ref="R133" si="642">R134+Q133</f>
        <v>-245006170.7931633</v>
      </c>
      <c r="S133">
        <f t="shared" ref="S133" si="643">R133/100000</f>
        <v>-2450.061707931633</v>
      </c>
      <c r="T133">
        <f t="shared" ref="T133" si="644">S133/1000</f>
        <v>-2.4500617079316331</v>
      </c>
    </row>
    <row r="134" spans="1:20" x14ac:dyDescent="0.25">
      <c r="A134" s="5">
        <v>44459</v>
      </c>
      <c r="B134">
        <v>1.0710999999999999</v>
      </c>
      <c r="C134">
        <v>1.0710999999999999</v>
      </c>
      <c r="D134">
        <v>0.94259999999999999</v>
      </c>
      <c r="E134">
        <v>0.96640000000000004</v>
      </c>
      <c r="F134">
        <v>2722926.74</v>
      </c>
      <c r="G134">
        <v>0.96640000000000004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-0.62957198443579687</v>
      </c>
      <c r="Q134">
        <f t="shared" ref="Q134" si="646">F134*P134</f>
        <v>-1714278.3911750952</v>
      </c>
      <c r="R134">
        <f t="shared" ref="R134" si="647">R135+Q134</f>
        <v>-242973297.47407758</v>
      </c>
      <c r="S134">
        <f t="shared" ref="S134" si="648">R134/100000</f>
        <v>-2429.7329747407757</v>
      </c>
      <c r="T134">
        <f t="shared" ref="T134" si="649">S134/1000</f>
        <v>-2.4297329747407757</v>
      </c>
    </row>
    <row r="135" spans="1:20" x14ac:dyDescent="0.25">
      <c r="A135" s="5">
        <v>44458</v>
      </c>
      <c r="B135">
        <v>1.1605000000000001</v>
      </c>
      <c r="C135">
        <v>1.2359</v>
      </c>
      <c r="D135">
        <v>1.0519000000000001</v>
      </c>
      <c r="E135">
        <v>1.0710999999999999</v>
      </c>
      <c r="F135">
        <v>5573761</v>
      </c>
      <c r="G135">
        <v>1.0710999999999999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-0.79130434782608816</v>
      </c>
      <c r="Q135">
        <f t="shared" ref="Q135" si="651">F135*P135</f>
        <v>-4410541.3130434854</v>
      </c>
      <c r="R135">
        <f t="shared" ref="R135" si="652">R136+Q135</f>
        <v>-241259019.08290249</v>
      </c>
      <c r="S135">
        <f t="shared" ref="S135" si="653">R135/100000</f>
        <v>-2412.5901908290248</v>
      </c>
      <c r="T135">
        <f t="shared" ref="T135" si="654">S135/1000</f>
        <v>-2.4125901908290248</v>
      </c>
    </row>
    <row r="136" spans="1:20" x14ac:dyDescent="0.25">
      <c r="A136" s="5">
        <v>44457</v>
      </c>
      <c r="B136">
        <v>1.1258999999999999</v>
      </c>
      <c r="C136">
        <v>1.2259</v>
      </c>
      <c r="D136">
        <v>1.1161000000000001</v>
      </c>
      <c r="E136">
        <v>1.1599999999999999</v>
      </c>
      <c r="F136">
        <v>2031727</v>
      </c>
      <c r="G136">
        <v>1.1599999999999999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-0.20036429872495684</v>
      </c>
      <c r="Q136">
        <f t="shared" ref="Q136" si="656">F136*P136</f>
        <v>-407085.55555556039</v>
      </c>
      <c r="R136">
        <f t="shared" ref="R136" si="657">R137+Q136</f>
        <v>-236848477.76985902</v>
      </c>
      <c r="S136">
        <f t="shared" ref="S136" si="658">R136/100000</f>
        <v>-2368.4847776985903</v>
      </c>
      <c r="T136">
        <f t="shared" ref="T136" si="659">S136/1000</f>
        <v>-2.3684847776985904</v>
      </c>
    </row>
    <row r="137" spans="1:20" x14ac:dyDescent="0.25">
      <c r="A137" s="5">
        <v>44456</v>
      </c>
      <c r="B137">
        <v>1.1981999999999999</v>
      </c>
      <c r="C137">
        <v>1.2136</v>
      </c>
      <c r="D137">
        <v>1.1091</v>
      </c>
      <c r="E137">
        <v>1.1273</v>
      </c>
      <c r="F137">
        <v>1961412</v>
      </c>
      <c r="G137">
        <v>1.1273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-0.65167464114832563</v>
      </c>
      <c r="Q137">
        <f t="shared" ref="Q137" si="661">F137*P137</f>
        <v>-1278202.4612440197</v>
      </c>
      <c r="R137">
        <f t="shared" ref="R137" si="662">R138+Q137</f>
        <v>-236441392.21430346</v>
      </c>
      <c r="S137">
        <f t="shared" ref="S137" si="663">R137/100000</f>
        <v>-2364.4139221430346</v>
      </c>
      <c r="T137">
        <f t="shared" ref="T137" si="664">S137/1000</f>
        <v>-2.3644139221430347</v>
      </c>
    </row>
    <row r="138" spans="1:20" x14ac:dyDescent="0.25">
      <c r="A138" s="5">
        <v>44455</v>
      </c>
      <c r="B138">
        <v>1.2141999999999999</v>
      </c>
      <c r="C138">
        <v>1.2685</v>
      </c>
      <c r="D138">
        <v>1.1619999999999999</v>
      </c>
      <c r="E138">
        <v>1.1953</v>
      </c>
      <c r="F138">
        <v>2781319</v>
      </c>
      <c r="G138">
        <v>1.1953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-0.37464788732394189</v>
      </c>
      <c r="Q138">
        <f t="shared" ref="Q138" si="666">F138*P138</f>
        <v>-1042015.2873239387</v>
      </c>
      <c r="R138">
        <f t="shared" ref="R138" si="667">R139+Q138</f>
        <v>-235163189.75305945</v>
      </c>
      <c r="S138">
        <f t="shared" ref="S138" si="668">R138/100000</f>
        <v>-2351.6318975305944</v>
      </c>
      <c r="T138">
        <f t="shared" ref="T138" si="669">S138/1000</f>
        <v>-2.3516318975305945</v>
      </c>
    </row>
    <row r="139" spans="1:20" x14ac:dyDescent="0.25">
      <c r="A139" s="5">
        <v>44454</v>
      </c>
      <c r="B139">
        <v>1.1658999999999999</v>
      </c>
      <c r="C139">
        <v>1.2685999999999999</v>
      </c>
      <c r="D139">
        <v>1.1615</v>
      </c>
      <c r="E139">
        <v>1.2146999999999999</v>
      </c>
      <c r="F139">
        <v>3631550</v>
      </c>
      <c r="G139">
        <v>1.2146999999999999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-6.5359477124196557E-3</v>
      </c>
      <c r="Q139">
        <f t="shared" ref="Q139" si="671">F139*P139</f>
        <v>-23735.620915037602</v>
      </c>
      <c r="R139">
        <f t="shared" ref="R139" si="672">R140+Q139</f>
        <v>-234121174.4657355</v>
      </c>
      <c r="S139">
        <f t="shared" ref="S139" si="673">R139/100000</f>
        <v>-2341.2117446573548</v>
      </c>
      <c r="T139">
        <f t="shared" ref="T139" si="674">S139/1000</f>
        <v>-2.3412117446573548</v>
      </c>
    </row>
    <row r="140" spans="1:20" x14ac:dyDescent="0.25">
      <c r="A140" s="5">
        <v>44453</v>
      </c>
      <c r="B140">
        <v>1.0391999999999999</v>
      </c>
      <c r="C140">
        <v>1.2138</v>
      </c>
      <c r="D140">
        <v>1.0190999999999999</v>
      </c>
      <c r="E140">
        <v>1.1612</v>
      </c>
      <c r="F140">
        <v>4681360</v>
      </c>
      <c r="G140">
        <v>1.1612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0.45968156137647709</v>
      </c>
      <c r="Q140">
        <f t="shared" ref="Q140" si="676">F140*P140</f>
        <v>2151934.8741653846</v>
      </c>
      <c r="R140">
        <f t="shared" ref="R140" si="677">R141+Q140</f>
        <v>-234097438.84482047</v>
      </c>
      <c r="S140">
        <f t="shared" ref="S140" si="678">R140/100000</f>
        <v>-2340.9743884482045</v>
      </c>
      <c r="T140">
        <f t="shared" ref="T140" si="679">S140/1000</f>
        <v>-2.3409743884482044</v>
      </c>
    </row>
    <row r="141" spans="1:20" x14ac:dyDescent="0.25">
      <c r="A141" s="5">
        <v>44452</v>
      </c>
      <c r="B141">
        <v>1.125</v>
      </c>
      <c r="C141">
        <v>1.1356999999999999</v>
      </c>
      <c r="D141">
        <v>0.97289999999999999</v>
      </c>
      <c r="E141">
        <v>1.0391999999999999</v>
      </c>
      <c r="F141">
        <v>2560410</v>
      </c>
      <c r="G141">
        <v>1.0391999999999999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-0.18550368550368629</v>
      </c>
      <c r="Q141">
        <f t="shared" ref="Q141" si="681">F141*P141</f>
        <v>-474965.49140049343</v>
      </c>
      <c r="R141">
        <f t="shared" ref="R141" si="682">R142+Q141</f>
        <v>-236249373.71898586</v>
      </c>
      <c r="S141">
        <f t="shared" ref="S141" si="683">R141/100000</f>
        <v>-2362.4937371898586</v>
      </c>
      <c r="T141">
        <f t="shared" ref="T141" si="684">S141/1000</f>
        <v>-2.3624937371898587</v>
      </c>
    </row>
    <row r="142" spans="1:20" x14ac:dyDescent="0.25">
      <c r="A142" s="5">
        <v>44451</v>
      </c>
      <c r="B142">
        <v>1.0719000000000001</v>
      </c>
      <c r="C142">
        <v>1.1627000000000001</v>
      </c>
      <c r="D142">
        <v>1.0444</v>
      </c>
      <c r="E142">
        <v>1.1257999999999999</v>
      </c>
      <c r="F142">
        <v>2559660</v>
      </c>
      <c r="G142">
        <v>1.1257999999999999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0.37616229923922007</v>
      </c>
      <c r="Q142">
        <f t="shared" ref="Q142" si="686">F142*P142</f>
        <v>962847.59087066201</v>
      </c>
      <c r="R142">
        <f t="shared" ref="R142" si="687">R143+Q142</f>
        <v>-235774408.22758538</v>
      </c>
      <c r="S142">
        <f t="shared" ref="S142" si="688">R142/100000</f>
        <v>-2357.7440822758535</v>
      </c>
      <c r="T142">
        <f t="shared" ref="T142" si="689">S142/1000</f>
        <v>-2.3577440822758535</v>
      </c>
    </row>
    <row r="143" spans="1:20" x14ac:dyDescent="0.25">
      <c r="A143" s="5">
        <v>44450</v>
      </c>
      <c r="B143">
        <v>1.0660000000000001</v>
      </c>
      <c r="C143">
        <v>1.1322000000000001</v>
      </c>
      <c r="D143">
        <v>1.0247999999999999</v>
      </c>
      <c r="E143">
        <v>1.0685</v>
      </c>
      <c r="F143">
        <v>2190205</v>
      </c>
      <c r="G143">
        <v>1.0685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-0.18621973929236488</v>
      </c>
      <c r="Q143">
        <f t="shared" ref="Q143" si="691">F143*P143</f>
        <v>-407859.40409683401</v>
      </c>
      <c r="R143">
        <f t="shared" ref="R143" si="692">R144+Q143</f>
        <v>-236737255.81845602</v>
      </c>
      <c r="S143">
        <f t="shared" ref="S143" si="693">R143/100000</f>
        <v>-2367.3725581845601</v>
      </c>
      <c r="T143">
        <f t="shared" ref="T143" si="694">S143/1000</f>
        <v>-2.3673725581845599</v>
      </c>
    </row>
    <row r="144" spans="1:20" x14ac:dyDescent="0.25">
      <c r="A144" s="5">
        <v>44449</v>
      </c>
      <c r="B144">
        <v>1.0980000000000001</v>
      </c>
      <c r="C144">
        <v>1.1557999999999999</v>
      </c>
      <c r="D144">
        <v>1.0053000000000001</v>
      </c>
      <c r="E144">
        <v>1.0621</v>
      </c>
      <c r="F144">
        <v>2120203</v>
      </c>
      <c r="G144">
        <v>1.0621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-0.24518272425249149</v>
      </c>
      <c r="Q144">
        <f t="shared" ref="Q144" si="696">F144*P144</f>
        <v>-519837.14750830521</v>
      </c>
      <c r="R144">
        <f t="shared" ref="R144" si="697">R145+Q144</f>
        <v>-236329396.41435918</v>
      </c>
      <c r="S144">
        <f t="shared" ref="S144" si="698">R144/100000</f>
        <v>-2363.2939641435919</v>
      </c>
      <c r="T144">
        <f t="shared" ref="T144" si="699">S144/1000</f>
        <v>-2.3632939641435917</v>
      </c>
    </row>
    <row r="145" spans="1:20" x14ac:dyDescent="0.25">
      <c r="A145" s="5">
        <v>44448</v>
      </c>
      <c r="B145">
        <v>1.1149</v>
      </c>
      <c r="C145">
        <v>1.1819999999999999</v>
      </c>
      <c r="D145">
        <v>1.0740000000000001</v>
      </c>
      <c r="E145">
        <v>1.1007</v>
      </c>
      <c r="F145">
        <v>2858089</v>
      </c>
      <c r="G145">
        <v>1.1007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-0.50555555555555598</v>
      </c>
      <c r="Q145">
        <f t="shared" ref="Q145" si="701">F145*P145</f>
        <v>-1444922.7722222235</v>
      </c>
      <c r="R145">
        <f t="shared" ref="R145" si="702">R146+Q145</f>
        <v>-235809559.26685089</v>
      </c>
      <c r="S145">
        <f t="shared" ref="S145" si="703">R145/100000</f>
        <v>-2358.0955926685087</v>
      </c>
      <c r="T145">
        <f t="shared" ref="T145" si="704">S145/1000</f>
        <v>-2.3580955926685085</v>
      </c>
    </row>
    <row r="146" spans="1:20" x14ac:dyDescent="0.25">
      <c r="A146" s="5">
        <v>44447</v>
      </c>
      <c r="B146">
        <v>1.1291</v>
      </c>
      <c r="C146">
        <v>1.1739999999999999</v>
      </c>
      <c r="D146">
        <v>0.98009999999999997</v>
      </c>
      <c r="E146">
        <v>1.1119000000000001</v>
      </c>
      <c r="F146">
        <v>3203014.04</v>
      </c>
      <c r="G146">
        <v>1.1119000000000001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0.35946364105209039</v>
      </c>
      <c r="Q146">
        <f t="shared" ref="Q146" si="706">F146*P146</f>
        <v>1151367.089159366</v>
      </c>
      <c r="R146">
        <f t="shared" ref="R146" si="707">R147+Q146</f>
        <v>-234364636.49462867</v>
      </c>
      <c r="S146">
        <f t="shared" ref="S146" si="708">R146/100000</f>
        <v>-2343.6463649462867</v>
      </c>
      <c r="T146">
        <f t="shared" ref="T146" si="709">S146/1000</f>
        <v>-2.3436463649462866</v>
      </c>
    </row>
    <row r="147" spans="1:20" x14ac:dyDescent="0.25">
      <c r="A147" s="5">
        <v>44446</v>
      </c>
      <c r="B147">
        <v>1.3839999999999999</v>
      </c>
      <c r="C147">
        <v>1.3938999999999999</v>
      </c>
      <c r="D147">
        <v>1.0130999999999999</v>
      </c>
      <c r="E147">
        <v>1.1285000000000001</v>
      </c>
      <c r="F147">
        <v>4870365</v>
      </c>
      <c r="G147">
        <v>1.1285000000000001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-0.39390756302520924</v>
      </c>
      <c r="Q147">
        <f t="shared" ref="Q147" si="711">F147*P147</f>
        <v>-1918473.6081932732</v>
      </c>
      <c r="R147">
        <f t="shared" ref="R147" si="712">R148+Q147</f>
        <v>-235516003.58378804</v>
      </c>
      <c r="S147">
        <f t="shared" ref="S147" si="713">R147/100000</f>
        <v>-2355.1600358378805</v>
      </c>
      <c r="T147">
        <f t="shared" ref="T147" si="714">S147/1000</f>
        <v>-2.3551600358378804</v>
      </c>
    </row>
    <row r="148" spans="1:20" x14ac:dyDescent="0.25">
      <c r="A148" s="5">
        <v>44445</v>
      </c>
      <c r="B148">
        <v>1.4236</v>
      </c>
      <c r="C148">
        <v>1.45</v>
      </c>
      <c r="D148">
        <v>1.369</v>
      </c>
      <c r="E148">
        <v>1.3839999999999999</v>
      </c>
      <c r="F148">
        <v>5846375</v>
      </c>
      <c r="G148">
        <v>1.3839999999999999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-0.62962962962963187</v>
      </c>
      <c r="Q148">
        <f t="shared" ref="Q148" si="716">F148*P148</f>
        <v>-3681050.9259259389</v>
      </c>
      <c r="R148">
        <f t="shared" ref="R148" si="717">R149+Q148</f>
        <v>-233597529.97559476</v>
      </c>
      <c r="S148">
        <f t="shared" ref="S148" si="718">R148/100000</f>
        <v>-2335.9752997559476</v>
      </c>
      <c r="T148">
        <f t="shared" ref="T148" si="719">S148/1000</f>
        <v>-2.3359752997559475</v>
      </c>
    </row>
    <row r="149" spans="1:20" x14ac:dyDescent="0.25">
      <c r="A149" s="5">
        <v>44444</v>
      </c>
      <c r="B149">
        <v>1.4604999999999999</v>
      </c>
      <c r="C149">
        <v>1.8134999999999999</v>
      </c>
      <c r="D149">
        <v>1.37</v>
      </c>
      <c r="E149">
        <v>1.42</v>
      </c>
      <c r="F149">
        <v>25349772.98</v>
      </c>
      <c r="G149">
        <v>1.42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-0.77452085682074479</v>
      </c>
      <c r="Q149">
        <f t="shared" ref="Q149" si="721">F149*P149</f>
        <v>-19633927.888680965</v>
      </c>
      <c r="R149">
        <f t="shared" ref="R149" si="722">R150+Q149</f>
        <v>-229916479.04966882</v>
      </c>
      <c r="S149">
        <f t="shared" ref="S149" si="723">R149/100000</f>
        <v>-2299.1647904966881</v>
      </c>
      <c r="T149">
        <f t="shared" ref="T149" si="724">S149/1000</f>
        <v>-2.2991647904966879</v>
      </c>
    </row>
    <row r="150" spans="1:20" x14ac:dyDescent="0.25">
      <c r="A150" s="5">
        <v>44443</v>
      </c>
      <c r="B150">
        <v>1.2039</v>
      </c>
      <c r="C150">
        <v>1.5726</v>
      </c>
      <c r="D150">
        <v>1.1935</v>
      </c>
      <c r="E150">
        <v>1.4604999999999999</v>
      </c>
      <c r="F150">
        <v>10794889.83</v>
      </c>
      <c r="G150">
        <v>1.4604999999999999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0.40859931416512746</v>
      </c>
      <c r="Q150">
        <f t="shared" ref="Q150" si="726">F150*P150</f>
        <v>4410784.5810261089</v>
      </c>
      <c r="R150">
        <f t="shared" ref="R150" si="727">R151+Q150</f>
        <v>-210282551.16098785</v>
      </c>
      <c r="S150">
        <f t="shared" ref="S150" si="728">R150/100000</f>
        <v>-2102.8255116098785</v>
      </c>
      <c r="T150">
        <f t="shared" ref="T150" si="729">S150/1000</f>
        <v>-2.1028255116098786</v>
      </c>
    </row>
    <row r="151" spans="1:20" x14ac:dyDescent="0.25">
      <c r="A151" s="5">
        <v>44442</v>
      </c>
      <c r="B151">
        <v>1.1637</v>
      </c>
      <c r="C151">
        <v>1.27</v>
      </c>
      <c r="D151">
        <v>1.1399999999999999</v>
      </c>
      <c r="E151">
        <v>1.2034</v>
      </c>
      <c r="F151">
        <v>3183945</v>
      </c>
      <c r="G151">
        <v>1.2034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-2.4615384615383592E-2</v>
      </c>
      <c r="Q151">
        <f t="shared" ref="Q151" si="731">F151*P151</f>
        <v>-78374.030769227509</v>
      </c>
      <c r="R151">
        <f t="shared" ref="R151" si="732">R152+Q151</f>
        <v>-214693335.74201396</v>
      </c>
      <c r="S151">
        <f t="shared" ref="S151" si="733">R151/100000</f>
        <v>-2146.9333574201396</v>
      </c>
      <c r="T151">
        <f t="shared" ref="T151" si="734">S151/1000</f>
        <v>-2.1469333574201395</v>
      </c>
    </row>
    <row r="152" spans="1:20" x14ac:dyDescent="0.25">
      <c r="A152" s="5">
        <v>44441</v>
      </c>
      <c r="B152">
        <v>1.1867000000000001</v>
      </c>
      <c r="C152">
        <v>1.2189000000000001</v>
      </c>
      <c r="D152">
        <v>1.1596</v>
      </c>
      <c r="E152">
        <v>1.1618999999999999</v>
      </c>
      <c r="F152">
        <v>2215694</v>
      </c>
      <c r="G152">
        <v>1.1618999999999999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-0.92242833052276685</v>
      </c>
      <c r="Q152">
        <f t="shared" ref="Q152" si="736">F152*P152</f>
        <v>-2043818.9173693114</v>
      </c>
      <c r="R152">
        <f t="shared" ref="R152" si="737">R153+Q152</f>
        <v>-214614961.71124473</v>
      </c>
      <c r="S152">
        <f t="shared" ref="S152" si="738">R152/100000</f>
        <v>-2146.1496171124472</v>
      </c>
      <c r="T152">
        <f t="shared" ref="T152" si="739">S152/1000</f>
        <v>-2.1461496171124472</v>
      </c>
    </row>
    <row r="153" spans="1:20" x14ac:dyDescent="0.25">
      <c r="A153" s="5">
        <v>44440</v>
      </c>
      <c r="B153">
        <v>1.1980999999999999</v>
      </c>
      <c r="C153">
        <v>1.3069999999999999</v>
      </c>
      <c r="D153">
        <v>1.1319999999999999</v>
      </c>
      <c r="E153">
        <v>1.1867000000000001</v>
      </c>
      <c r="F153">
        <v>5955203</v>
      </c>
      <c r="G153">
        <v>1.1867000000000001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-0.37485714285714083</v>
      </c>
      <c r="Q153">
        <f t="shared" ref="Q153" si="741">F153*P153</f>
        <v>-2232350.3817142737</v>
      </c>
      <c r="R153">
        <f t="shared" ref="R153" si="742">R154+Q153</f>
        <v>-212571142.79387543</v>
      </c>
      <c r="S153">
        <f t="shared" ref="S153" si="743">R153/100000</f>
        <v>-2125.7114279387542</v>
      </c>
      <c r="T153">
        <f t="shared" ref="T153" si="744">S153/1000</f>
        <v>-2.1257114279387541</v>
      </c>
    </row>
    <row r="154" spans="1:20" x14ac:dyDescent="0.25">
      <c r="A154" s="5">
        <v>44439</v>
      </c>
      <c r="B154">
        <v>1.0551999999999999</v>
      </c>
      <c r="C154">
        <v>1.3585</v>
      </c>
      <c r="D154">
        <v>1.0209999999999999</v>
      </c>
      <c r="E154">
        <v>1.1997</v>
      </c>
      <c r="F154">
        <v>9874114.8599999994</v>
      </c>
      <c r="G154">
        <v>1.1997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5.8962962962963023E-2</v>
      </c>
      <c r="Q154">
        <f t="shared" ref="Q154" si="746">F154*P154</f>
        <v>582207.06878222281</v>
      </c>
      <c r="R154">
        <f t="shared" ref="R154" si="747">R155+Q154</f>
        <v>-210338792.41216114</v>
      </c>
      <c r="S154">
        <f t="shared" ref="S154" si="748">R154/100000</f>
        <v>-2103.3879241216114</v>
      </c>
      <c r="T154">
        <f t="shared" ref="T154" si="749">S154/1000</f>
        <v>-2.1033879241216114</v>
      </c>
    </row>
    <row r="155" spans="1:20" x14ac:dyDescent="0.25">
      <c r="A155" s="5">
        <v>44438</v>
      </c>
      <c r="B155">
        <v>1.1301000000000001</v>
      </c>
      <c r="C155">
        <v>1.1403000000000001</v>
      </c>
      <c r="D155">
        <v>1.0348999999999999</v>
      </c>
      <c r="E155">
        <v>1.0537000000000001</v>
      </c>
      <c r="F155">
        <v>2276820</v>
      </c>
      <c r="G155">
        <v>1.0537000000000001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-0.64326375711574724</v>
      </c>
      <c r="Q155">
        <f t="shared" ref="Q155" si="751">F155*P155</f>
        <v>-1464595.7874762756</v>
      </c>
      <c r="R155">
        <f t="shared" ref="R155" si="752">R156+Q155</f>
        <v>-210920999.48094335</v>
      </c>
      <c r="S155">
        <f t="shared" ref="S155" si="753">R155/100000</f>
        <v>-2109.2099948094337</v>
      </c>
      <c r="T155">
        <f t="shared" ref="T155" si="754">S155/1000</f>
        <v>-2.1092099948094338</v>
      </c>
    </row>
    <row r="156" spans="1:20" x14ac:dyDescent="0.25">
      <c r="A156" s="5">
        <v>44437</v>
      </c>
      <c r="B156">
        <v>1.113</v>
      </c>
      <c r="C156">
        <v>1.1500999999999999</v>
      </c>
      <c r="D156">
        <v>1.0775999999999999</v>
      </c>
      <c r="E156">
        <v>1.1319999999999999</v>
      </c>
      <c r="F156">
        <v>1241626</v>
      </c>
      <c r="G156">
        <v>1.1319999999999999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0.50068965517241371</v>
      </c>
      <c r="Q156">
        <f t="shared" ref="Q156" si="756">F156*P156</f>
        <v>621669.29379310331</v>
      </c>
      <c r="R156">
        <f t="shared" ref="R156" si="757">R157+Q156</f>
        <v>-209456403.69346708</v>
      </c>
      <c r="S156">
        <f t="shared" ref="S156" si="758">R156/100000</f>
        <v>-2094.5640369346706</v>
      </c>
      <c r="T156">
        <f t="shared" ref="T156" si="759">S156/1000</f>
        <v>-2.0945640369346705</v>
      </c>
    </row>
    <row r="157" spans="1:20" x14ac:dyDescent="0.25">
      <c r="A157" s="5">
        <v>44436</v>
      </c>
      <c r="B157">
        <v>1.1383000000000001</v>
      </c>
      <c r="C157">
        <v>1.1998</v>
      </c>
      <c r="D157">
        <v>1.0983000000000001</v>
      </c>
      <c r="E157">
        <v>1.1113999999999999</v>
      </c>
      <c r="F157">
        <v>1799818.32</v>
      </c>
      <c r="G157">
        <v>1.1113999999999999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-0.74187192118226797</v>
      </c>
      <c r="Q157">
        <f t="shared" ref="Q157" si="761">F157*P157</f>
        <v>-1335234.6748374419</v>
      </c>
      <c r="R157">
        <f t="shared" ref="R157" si="762">R158+Q157</f>
        <v>-210078072.98726019</v>
      </c>
      <c r="S157">
        <f t="shared" ref="S157" si="763">R157/100000</f>
        <v>-2100.780729872602</v>
      </c>
      <c r="T157">
        <f t="shared" ref="T157" si="764">S157/1000</f>
        <v>-2.1007807298726022</v>
      </c>
    </row>
    <row r="158" spans="1:20" x14ac:dyDescent="0.25">
      <c r="A158" s="5">
        <v>44435</v>
      </c>
      <c r="B158">
        <v>1.0726</v>
      </c>
      <c r="C158">
        <v>1.1499999999999999</v>
      </c>
      <c r="D158">
        <v>1.0238</v>
      </c>
      <c r="E158">
        <v>1.1386000000000001</v>
      </c>
      <c r="F158">
        <v>2344575.2200000002</v>
      </c>
      <c r="G158">
        <v>1.1386000000000001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0.81933438985737139</v>
      </c>
      <c r="Q158">
        <f t="shared" ref="Q158" si="766">F158*P158</f>
        <v>1920991.1073534125</v>
      </c>
      <c r="R158">
        <f t="shared" ref="R158" si="767">R159+Q158</f>
        <v>-208742838.31242275</v>
      </c>
      <c r="S158">
        <f t="shared" ref="S158" si="768">R158/100000</f>
        <v>-2087.4283831242274</v>
      </c>
      <c r="T158">
        <f t="shared" ref="T158" si="769">S158/1000</f>
        <v>-2.0874283831242275</v>
      </c>
    </row>
    <row r="159" spans="1:20" x14ac:dyDescent="0.25">
      <c r="A159" s="5">
        <v>44434</v>
      </c>
      <c r="B159">
        <v>1.2172000000000001</v>
      </c>
      <c r="C159">
        <v>1.2359</v>
      </c>
      <c r="D159">
        <v>1.0697000000000001</v>
      </c>
      <c r="E159">
        <v>1.0723</v>
      </c>
      <c r="F159">
        <v>2956893.07</v>
      </c>
      <c r="G159">
        <v>1.0723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-0.96871239470517523</v>
      </c>
      <c r="Q159">
        <f t="shared" ref="Q159" si="771">F159*P159</f>
        <v>-2864378.9667268372</v>
      </c>
      <c r="R159">
        <f t="shared" ref="R159" si="772">R160+Q159</f>
        <v>-210663829.41977617</v>
      </c>
      <c r="S159">
        <f t="shared" ref="S159" si="773">R159/100000</f>
        <v>-2106.6382941977618</v>
      </c>
      <c r="T159">
        <f t="shared" ref="T159" si="774">S159/1000</f>
        <v>-2.1066382941977619</v>
      </c>
    </row>
    <row r="160" spans="1:20" x14ac:dyDescent="0.25">
      <c r="A160" s="5">
        <v>44433</v>
      </c>
      <c r="B160">
        <v>1.1506000000000001</v>
      </c>
      <c r="C160">
        <v>1.2359</v>
      </c>
      <c r="D160">
        <v>1.1092</v>
      </c>
      <c r="E160">
        <v>1.2192000000000001</v>
      </c>
      <c r="F160">
        <v>2813561.11</v>
      </c>
      <c r="G160">
        <v>1.2192000000000001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0.73638516179952751</v>
      </c>
      <c r="Q160">
        <f t="shared" ref="Q160" si="776">F160*P160</f>
        <v>2071864.6532202081</v>
      </c>
      <c r="R160">
        <f t="shared" ref="R160" si="777">R161+Q160</f>
        <v>-207799450.45304933</v>
      </c>
      <c r="S160">
        <f t="shared" ref="S160" si="778">R160/100000</f>
        <v>-2077.9945045304935</v>
      </c>
      <c r="T160">
        <f t="shared" ref="T160" si="779">S160/1000</f>
        <v>-2.0779945045304933</v>
      </c>
    </row>
    <row r="161" spans="1:20" x14ac:dyDescent="0.25">
      <c r="A161" s="5">
        <v>44432</v>
      </c>
      <c r="B161">
        <v>1.2587999999999999</v>
      </c>
      <c r="C161">
        <v>1.284</v>
      </c>
      <c r="D161">
        <v>1.1124000000000001</v>
      </c>
      <c r="E161">
        <v>1.1479999999999999</v>
      </c>
      <c r="F161">
        <v>2299633.91</v>
      </c>
      <c r="G161">
        <v>1.1479999999999999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-0.5850815850815867</v>
      </c>
      <c r="Q161">
        <f t="shared" ref="Q161" si="781">F161*P161</f>
        <v>-1345473.453170167</v>
      </c>
      <c r="R161">
        <f t="shared" ref="R161" si="782">R162+Q161</f>
        <v>-209871315.10626954</v>
      </c>
      <c r="S161">
        <f t="shared" ref="S161" si="783">R161/100000</f>
        <v>-2098.7131510626955</v>
      </c>
      <c r="T161">
        <f t="shared" ref="T161" si="784">S161/1000</f>
        <v>-2.0987131510626953</v>
      </c>
    </row>
    <row r="162" spans="1:20" x14ac:dyDescent="0.25">
      <c r="A162" s="5">
        <v>44431</v>
      </c>
      <c r="B162">
        <v>1.2255</v>
      </c>
      <c r="C162">
        <v>1.3056000000000001</v>
      </c>
      <c r="D162">
        <v>1.22</v>
      </c>
      <c r="E162">
        <v>1.2585</v>
      </c>
      <c r="F162">
        <v>3147634.53</v>
      </c>
      <c r="G162">
        <v>1.2585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-0.10046728971962793</v>
      </c>
      <c r="Q162">
        <f t="shared" ref="Q162" si="786">F162*P162</f>
        <v>-316234.31025701488</v>
      </c>
      <c r="R162">
        <f t="shared" ref="R162" si="787">R163+Q162</f>
        <v>-208525841.65309936</v>
      </c>
      <c r="S162">
        <f t="shared" ref="S162" si="788">R162/100000</f>
        <v>-2085.2584165309936</v>
      </c>
      <c r="T162">
        <f t="shared" ref="T162" si="789">S162/1000</f>
        <v>-2.0852584165309938</v>
      </c>
    </row>
    <row r="163" spans="1:20" x14ac:dyDescent="0.25">
      <c r="A163" s="5">
        <v>44430</v>
      </c>
      <c r="B163">
        <v>1.2250000000000001</v>
      </c>
      <c r="C163">
        <v>1.2501</v>
      </c>
      <c r="D163">
        <v>1.216</v>
      </c>
      <c r="E163">
        <v>1.2387999999999999</v>
      </c>
      <c r="F163">
        <v>582297.68000000005</v>
      </c>
      <c r="G163">
        <v>1.2387999999999999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0.337243401759526</v>
      </c>
      <c r="Q163">
        <f t="shared" ref="Q163" si="791">F163*P163</f>
        <v>196376.05043987991</v>
      </c>
      <c r="R163">
        <f t="shared" ref="R163" si="792">R164+Q163</f>
        <v>-208209607.34284234</v>
      </c>
      <c r="S163">
        <f t="shared" ref="S163" si="793">R163/100000</f>
        <v>-2082.0960734284236</v>
      </c>
      <c r="T163">
        <f t="shared" ref="T163" si="794">S163/1000</f>
        <v>-2.0820960734284237</v>
      </c>
    </row>
    <row r="164" spans="1:20" x14ac:dyDescent="0.25">
      <c r="A164" s="5">
        <v>44429</v>
      </c>
      <c r="B164">
        <v>1.3048</v>
      </c>
      <c r="C164">
        <v>1.3248</v>
      </c>
      <c r="D164">
        <v>1.2183999999999999</v>
      </c>
      <c r="E164">
        <v>1.2251000000000001</v>
      </c>
      <c r="F164">
        <v>4157730.33</v>
      </c>
      <c r="G164">
        <v>1.2251000000000001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-0.87406015037593709</v>
      </c>
      <c r="Q164">
        <f t="shared" ref="Q164" si="796">F164*P164</f>
        <v>-3634106.3974623946</v>
      </c>
      <c r="R164">
        <f t="shared" ref="R164" si="797">R165+Q164</f>
        <v>-208405983.39328223</v>
      </c>
      <c r="S164">
        <f t="shared" ref="S164" si="798">R164/100000</f>
        <v>-2084.0598339328221</v>
      </c>
      <c r="T164">
        <f t="shared" ref="T164" si="799">S164/1000</f>
        <v>-2.0840598339328222</v>
      </c>
    </row>
    <row r="165" spans="1:20" x14ac:dyDescent="0.25">
      <c r="A165" s="5">
        <v>44428</v>
      </c>
      <c r="B165">
        <v>1.3763000000000001</v>
      </c>
      <c r="C165">
        <v>1.3887</v>
      </c>
      <c r="D165">
        <v>1.2597</v>
      </c>
      <c r="E165">
        <v>1.3045</v>
      </c>
      <c r="F165">
        <v>6063044.3899999997</v>
      </c>
      <c r="G165">
        <v>1.3045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-0.30542635658914807</v>
      </c>
      <c r="Q165">
        <f t="shared" ref="Q165" si="801">F165*P165</f>
        <v>-1851813.5578759736</v>
      </c>
      <c r="R165">
        <f t="shared" ref="R165" si="802">R166+Q165</f>
        <v>-204771876.99581984</v>
      </c>
      <c r="S165">
        <f t="shared" ref="S165" si="803">R165/100000</f>
        <v>-2047.7187699581984</v>
      </c>
      <c r="T165">
        <f t="shared" ref="T165" si="804">S165/1000</f>
        <v>-2.0477187699581982</v>
      </c>
    </row>
    <row r="166" spans="1:20" x14ac:dyDescent="0.25">
      <c r="A166" s="5">
        <v>44427</v>
      </c>
      <c r="B166">
        <v>1.1380999999999999</v>
      </c>
      <c r="C166">
        <v>1.3831</v>
      </c>
      <c r="D166">
        <v>1.1022000000000001</v>
      </c>
      <c r="E166">
        <v>1.3711</v>
      </c>
      <c r="F166">
        <v>8252417.54</v>
      </c>
      <c r="G166">
        <v>1.3711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0.91456034175863288</v>
      </c>
      <c r="Q166">
        <f t="shared" ref="Q166" si="806">F166*P166</f>
        <v>7547333.805717336</v>
      </c>
      <c r="R166">
        <f t="shared" ref="R166" si="807">R167+Q166</f>
        <v>-202920063.43794388</v>
      </c>
      <c r="S166">
        <f t="shared" ref="S166" si="808">R166/100000</f>
        <v>-2029.2006343794387</v>
      </c>
      <c r="T166">
        <f t="shared" ref="T166" si="809">S166/1000</f>
        <v>-2.0292006343794387</v>
      </c>
    </row>
    <row r="167" spans="1:20" x14ac:dyDescent="0.25">
      <c r="A167" s="5">
        <v>44426</v>
      </c>
      <c r="B167">
        <v>1.1779999999999999</v>
      </c>
      <c r="C167">
        <v>1.2190000000000001</v>
      </c>
      <c r="D167">
        <v>1.1099000000000001</v>
      </c>
      <c r="E167">
        <v>1.137</v>
      </c>
      <c r="F167">
        <v>3864348.27</v>
      </c>
      <c r="G167">
        <v>1.137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-0.50320806599450218</v>
      </c>
      <c r="Q167">
        <f t="shared" ref="Q167" si="811">F167*P167</f>
        <v>-1944571.2192759004</v>
      </c>
      <c r="R167">
        <f t="shared" ref="R167" si="812">R168+Q167</f>
        <v>-210467397.24366122</v>
      </c>
      <c r="S167">
        <f t="shared" ref="S167" si="813">R167/100000</f>
        <v>-2104.6739724366121</v>
      </c>
      <c r="T167">
        <f t="shared" ref="T167" si="814">S167/1000</f>
        <v>-2.1046739724366121</v>
      </c>
    </row>
    <row r="168" spans="1:20" x14ac:dyDescent="0.25">
      <c r="A168" s="5">
        <v>44425</v>
      </c>
      <c r="B168">
        <v>1.2988</v>
      </c>
      <c r="C168">
        <v>1.4332</v>
      </c>
      <c r="D168">
        <v>1.1681999999999999</v>
      </c>
      <c r="E168">
        <v>1.1785000000000001</v>
      </c>
      <c r="F168">
        <v>10075762.279999999</v>
      </c>
      <c r="G168">
        <v>1.1785000000000001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-0.92226415094339476</v>
      </c>
      <c r="Q168">
        <f t="shared" ref="Q168" si="816">F168*P168</f>
        <v>-9292514.3442716822</v>
      </c>
      <c r="R168">
        <f t="shared" ref="R168" si="817">R169+Q168</f>
        <v>-208522826.02438533</v>
      </c>
      <c r="S168">
        <f t="shared" ref="S168" si="818">R168/100000</f>
        <v>-2085.2282602438531</v>
      </c>
      <c r="T168">
        <f t="shared" ref="T168" si="819">S168/1000</f>
        <v>-2.085228260243853</v>
      </c>
    </row>
    <row r="169" spans="1:20" x14ac:dyDescent="0.25">
      <c r="A169" s="5">
        <v>44424</v>
      </c>
      <c r="B169">
        <v>1.2029000000000001</v>
      </c>
      <c r="C169">
        <v>1.45</v>
      </c>
      <c r="D169">
        <v>1.1488</v>
      </c>
      <c r="E169">
        <v>1.3</v>
      </c>
      <c r="F169">
        <v>17134812.52</v>
      </c>
      <c r="G169">
        <v>1.3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3.9840637450202195E-3</v>
      </c>
      <c r="Q169">
        <f t="shared" ref="Q169" si="821">F169*P169</f>
        <v>68266.185338650539</v>
      </c>
      <c r="R169">
        <f t="shared" ref="R169" si="822">R170+Q169</f>
        <v>-199230311.68011364</v>
      </c>
      <c r="S169">
        <f t="shared" ref="S169" si="823">R169/100000</f>
        <v>-1992.3031168011364</v>
      </c>
      <c r="T169">
        <f t="shared" ref="T169" si="824">S169/1000</f>
        <v>-1.9923031168011365</v>
      </c>
    </row>
    <row r="170" spans="1:20" x14ac:dyDescent="0.25">
      <c r="A170" s="5">
        <v>44423</v>
      </c>
      <c r="B170">
        <v>1.0882000000000001</v>
      </c>
      <c r="C170">
        <v>1.2769999999999999</v>
      </c>
      <c r="D170">
        <v>1.0654999999999999</v>
      </c>
      <c r="E170">
        <v>1.2029000000000001</v>
      </c>
      <c r="F170">
        <v>13191345.85</v>
      </c>
      <c r="G170">
        <v>1.2029000000000001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0.29929078014184562</v>
      </c>
      <c r="Q170">
        <f t="shared" ref="Q170" si="826">F170*P170</f>
        <v>3948048.1905673975</v>
      </c>
      <c r="R170">
        <f t="shared" ref="R170" si="827">R171+Q170</f>
        <v>-199298577.86545229</v>
      </c>
      <c r="S170">
        <f t="shared" ref="S170" si="828">R170/100000</f>
        <v>-1992.9857786545228</v>
      </c>
      <c r="T170">
        <f t="shared" ref="T170" si="829">S170/1000</f>
        <v>-1.9929857786545229</v>
      </c>
    </row>
    <row r="171" spans="1:20" x14ac:dyDescent="0.25">
      <c r="A171" s="5">
        <v>44422</v>
      </c>
      <c r="B171">
        <v>1.0466</v>
      </c>
      <c r="C171">
        <v>1.1400999999999999</v>
      </c>
      <c r="D171">
        <v>0.97950000000000004</v>
      </c>
      <c r="E171">
        <v>1.0855999999999999</v>
      </c>
      <c r="F171">
        <v>4357690.83</v>
      </c>
      <c r="G171">
        <v>1.0855999999999999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0.32129514321295088</v>
      </c>
      <c r="Q171">
        <f t="shared" ref="Q171" si="831">F171*P171</f>
        <v>1400104.8993026128</v>
      </c>
      <c r="R171">
        <f t="shared" ref="R171" si="832">R172+Q171</f>
        <v>-203246626.05601969</v>
      </c>
      <c r="S171">
        <f t="shared" ref="S171" si="833">R171/100000</f>
        <v>-2032.466260560197</v>
      </c>
      <c r="T171">
        <f t="shared" ref="T171" si="834">S171/1000</f>
        <v>-2.0324662605601969</v>
      </c>
    </row>
    <row r="172" spans="1:20" x14ac:dyDescent="0.25">
      <c r="A172" s="5">
        <v>44421</v>
      </c>
      <c r="B172">
        <v>0.92410000000000003</v>
      </c>
      <c r="C172">
        <v>1.0631999999999999</v>
      </c>
      <c r="D172">
        <v>0.91010000000000002</v>
      </c>
      <c r="E172">
        <v>1.0462</v>
      </c>
      <c r="F172">
        <v>3509740.56</v>
      </c>
      <c r="G172">
        <v>1.0462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0.77792292619203252</v>
      </c>
      <c r="Q172">
        <f t="shared" ref="Q172" si="836">F172*P172</f>
        <v>2730307.646610063</v>
      </c>
      <c r="R172">
        <f t="shared" ref="R172" si="837">R173+Q172</f>
        <v>-204646730.9553223</v>
      </c>
      <c r="S172">
        <f t="shared" ref="S172" si="838">R172/100000</f>
        <v>-2046.467309553223</v>
      </c>
      <c r="T172">
        <f t="shared" ref="T172" si="839">S172/1000</f>
        <v>-2.0464673095532229</v>
      </c>
    </row>
    <row r="173" spans="1:20" x14ac:dyDescent="0.25">
      <c r="A173" s="5">
        <v>44420</v>
      </c>
      <c r="B173">
        <v>0.95850000000000002</v>
      </c>
      <c r="C173">
        <v>1.0044999999999999</v>
      </c>
      <c r="D173">
        <v>0.88060000000000005</v>
      </c>
      <c r="E173">
        <v>0.92379999999999995</v>
      </c>
      <c r="F173">
        <v>2357865.4300000002</v>
      </c>
      <c r="G173">
        <v>0.92379999999999995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-0.30266343825665953</v>
      </c>
      <c r="Q173">
        <f t="shared" ref="Q173" si="841">F173*P173</f>
        <v>-713639.65799031698</v>
      </c>
      <c r="R173">
        <f t="shared" ref="R173" si="842">R174+Q173</f>
        <v>-207377038.60193235</v>
      </c>
      <c r="S173">
        <f t="shared" ref="S173" si="843">R173/100000</f>
        <v>-2073.7703860193233</v>
      </c>
      <c r="T173">
        <f t="shared" ref="T173" si="844">S173/1000</f>
        <v>-2.0737703860193233</v>
      </c>
    </row>
    <row r="174" spans="1:20" x14ac:dyDescent="0.25">
      <c r="A174" s="5">
        <v>44419</v>
      </c>
      <c r="B174">
        <v>0.93489999999999995</v>
      </c>
      <c r="C174">
        <v>1.0820000000000001</v>
      </c>
      <c r="D174">
        <v>0.91890000000000005</v>
      </c>
      <c r="E174">
        <v>0.95860000000000001</v>
      </c>
      <c r="F174">
        <v>7023759.6900000004</v>
      </c>
      <c r="G174">
        <v>0.95860000000000001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-0.51318209687308458</v>
      </c>
      <c r="Q174">
        <f t="shared" ref="Q174" si="846">F174*P174</f>
        <v>-3604467.7256468469</v>
      </c>
      <c r="R174">
        <f t="shared" ref="R174" si="847">R175+Q174</f>
        <v>-206663398.94394204</v>
      </c>
      <c r="S174">
        <f t="shared" ref="S174" si="848">R174/100000</f>
        <v>-2066.6339894394205</v>
      </c>
      <c r="T174">
        <f t="shared" ref="T174" si="849">S174/1000</f>
        <v>-2.0666339894394206</v>
      </c>
    </row>
    <row r="175" spans="1:20" x14ac:dyDescent="0.25">
      <c r="A175" s="5">
        <v>44418</v>
      </c>
      <c r="B175">
        <v>0.92889999999999995</v>
      </c>
      <c r="C175">
        <v>0.95340000000000003</v>
      </c>
      <c r="D175">
        <v>0.89580000000000004</v>
      </c>
      <c r="E175">
        <v>0.93489999999999995</v>
      </c>
      <c r="F175">
        <v>2715236.78</v>
      </c>
      <c r="G175">
        <v>0.93489999999999995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0.35763888888888623</v>
      </c>
      <c r="Q175">
        <f t="shared" ref="Q175" si="851">F175*P175</f>
        <v>971074.2650694371</v>
      </c>
      <c r="R175">
        <f t="shared" ref="R175" si="852">R176+Q175</f>
        <v>-203058931.21829519</v>
      </c>
      <c r="S175">
        <f t="shared" ref="S175" si="853">R175/100000</f>
        <v>-2030.589312182952</v>
      </c>
      <c r="T175">
        <f t="shared" ref="T175" si="854">S175/1000</f>
        <v>-2.0305893121829519</v>
      </c>
    </row>
    <row r="176" spans="1:20" x14ac:dyDescent="0.25">
      <c r="A176" s="5">
        <v>44417</v>
      </c>
      <c r="B176">
        <v>0.8992</v>
      </c>
      <c r="C176">
        <v>0.95</v>
      </c>
      <c r="D176">
        <v>0.85729999999999995</v>
      </c>
      <c r="E176">
        <v>0.92830000000000001</v>
      </c>
      <c r="F176">
        <v>4121188.97</v>
      </c>
      <c r="G176">
        <v>0.92830000000000001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0.53182308522114474</v>
      </c>
      <c r="Q176">
        <f t="shared" ref="Q176" si="856">F176*P176</f>
        <v>2191743.4328047517</v>
      </c>
      <c r="R176">
        <f t="shared" ref="R176" si="857">R177+Q176</f>
        <v>-204030005.48336461</v>
      </c>
      <c r="S176">
        <f t="shared" ref="S176" si="858">R176/100000</f>
        <v>-2040.3000548336461</v>
      </c>
      <c r="T176">
        <f t="shared" ref="T176" si="859">S176/1000</f>
        <v>-2.0403000548336463</v>
      </c>
    </row>
    <row r="177" spans="1:20" x14ac:dyDescent="0.25">
      <c r="A177" s="5">
        <v>44416</v>
      </c>
      <c r="B177">
        <v>0.96260000000000001</v>
      </c>
      <c r="C177">
        <v>0.96560000000000001</v>
      </c>
      <c r="D177">
        <v>0.87260000000000004</v>
      </c>
      <c r="E177">
        <v>0.89790000000000003</v>
      </c>
      <c r="F177">
        <v>3233534.22</v>
      </c>
      <c r="G177">
        <v>0.89790000000000003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-0.45591397849462373</v>
      </c>
      <c r="Q177">
        <f t="shared" ref="Q177" si="861">F177*P177</f>
        <v>-1474213.4508387099</v>
      </c>
      <c r="R177">
        <f t="shared" ref="R177" si="862">R178+Q177</f>
        <v>-206221748.91616938</v>
      </c>
      <c r="S177">
        <f t="shared" ref="S177" si="863">R177/100000</f>
        <v>-2062.2174891616937</v>
      </c>
      <c r="T177">
        <f t="shared" ref="T177" si="864">S177/1000</f>
        <v>-2.0622174891616938</v>
      </c>
    </row>
    <row r="178" spans="1:20" x14ac:dyDescent="0.25">
      <c r="A178" s="5">
        <v>44415</v>
      </c>
      <c r="B178">
        <v>0.95189999999999997</v>
      </c>
      <c r="C178">
        <v>1.0430999999999999</v>
      </c>
      <c r="D178">
        <v>0.91859999999999997</v>
      </c>
      <c r="E178">
        <v>0.9597</v>
      </c>
      <c r="F178">
        <v>7629231.0199999996</v>
      </c>
      <c r="G178">
        <v>0.9597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-0.33975903614457759</v>
      </c>
      <c r="Q178">
        <f t="shared" ref="Q178" si="866">F178*P178</f>
        <v>-2592100.1778795123</v>
      </c>
      <c r="R178">
        <f t="shared" ref="R178" si="867">R179+Q178</f>
        <v>-204747535.46533066</v>
      </c>
      <c r="S178">
        <f t="shared" ref="S178" si="868">R178/100000</f>
        <v>-2047.4753546533066</v>
      </c>
      <c r="T178">
        <f t="shared" ref="T178" si="869">S178/1000</f>
        <v>-2.0474753546533067</v>
      </c>
    </row>
    <row r="179" spans="1:20" x14ac:dyDescent="0.25">
      <c r="A179" s="5">
        <v>44414</v>
      </c>
      <c r="B179">
        <v>0.84209999999999996</v>
      </c>
      <c r="C179">
        <v>1.149</v>
      </c>
      <c r="D179">
        <v>0.81799999999999995</v>
      </c>
      <c r="E179">
        <v>0.95179999999999998</v>
      </c>
      <c r="F179">
        <v>24499731.640000001</v>
      </c>
      <c r="G179">
        <v>0.95179999999999998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-0.19154078549848941</v>
      </c>
      <c r="Q179">
        <f t="shared" ref="Q179" si="871">F179*P179</f>
        <v>-4692697.8428277941</v>
      </c>
      <c r="R179">
        <f t="shared" ref="R179" si="872">R180+Q179</f>
        <v>-202155435.28745115</v>
      </c>
      <c r="S179">
        <f t="shared" ref="S179" si="873">R179/100000</f>
        <v>-2021.5543528745116</v>
      </c>
      <c r="T179">
        <f t="shared" ref="T179" si="874">S179/1000</f>
        <v>-2.0215543528745115</v>
      </c>
    </row>
    <row r="180" spans="1:20" x14ac:dyDescent="0.25">
      <c r="A180" s="5">
        <v>44413</v>
      </c>
      <c r="B180">
        <v>0.81679999999999997</v>
      </c>
      <c r="C180">
        <v>0.91449999999999998</v>
      </c>
      <c r="D180">
        <v>0.7722</v>
      </c>
      <c r="E180">
        <v>0.84209999999999996</v>
      </c>
      <c r="F180">
        <v>8325431.9400000004</v>
      </c>
      <c r="G180">
        <v>0.84209999999999996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-1.7568517217147282E-2</v>
      </c>
      <c r="Q180">
        <f t="shared" ref="Q180" si="876">F180*P180</f>
        <v>-146265.49437807791</v>
      </c>
      <c r="R180">
        <f t="shared" ref="R180" si="877">R181+Q180</f>
        <v>-197462737.44462335</v>
      </c>
      <c r="S180">
        <f t="shared" ref="S180" si="878">R180/100000</f>
        <v>-1974.6273744462335</v>
      </c>
      <c r="T180">
        <f t="shared" ref="T180" si="879">S180/1000</f>
        <v>-1.9746273744462335</v>
      </c>
    </row>
    <row r="181" spans="1:20" x14ac:dyDescent="0.25">
      <c r="A181" s="5">
        <v>44412</v>
      </c>
      <c r="B181">
        <v>0.72709999999999997</v>
      </c>
      <c r="C181">
        <v>0.84489999999999998</v>
      </c>
      <c r="D181">
        <v>0.72240000000000004</v>
      </c>
      <c r="E181">
        <v>0.81679999999999997</v>
      </c>
      <c r="F181">
        <v>5545189.1399999997</v>
      </c>
      <c r="G181">
        <v>0.81679999999999997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0.54122448979591797</v>
      </c>
      <c r="Q181">
        <f t="shared" ref="Q181" si="881">F181*P181</f>
        <v>3001192.1631183648</v>
      </c>
      <c r="R181">
        <f t="shared" ref="R181" si="882">R182+Q181</f>
        <v>-197316471.95024526</v>
      </c>
      <c r="S181">
        <f t="shared" ref="S181" si="883">R181/100000</f>
        <v>-1973.1647195024525</v>
      </c>
      <c r="T181">
        <f t="shared" ref="T181" si="884">S181/1000</f>
        <v>-1.9731647195024524</v>
      </c>
    </row>
    <row r="182" spans="1:20" x14ac:dyDescent="0.25">
      <c r="A182" s="5">
        <v>44411</v>
      </c>
      <c r="B182">
        <v>0.72819999999999996</v>
      </c>
      <c r="C182">
        <v>0.75</v>
      </c>
      <c r="D182">
        <v>0.69</v>
      </c>
      <c r="E182">
        <v>0.72640000000000005</v>
      </c>
      <c r="F182">
        <v>3702612.58</v>
      </c>
      <c r="G182">
        <v>0.72640000000000005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0.21333333333333557</v>
      </c>
      <c r="Q182">
        <f t="shared" ref="Q182" si="886">F182*P182</f>
        <v>789890.68373334163</v>
      </c>
      <c r="R182">
        <f t="shared" ref="R182" si="887">R183+Q182</f>
        <v>-200317664.11336362</v>
      </c>
      <c r="S182">
        <f t="shared" ref="S182" si="888">R182/100000</f>
        <v>-2003.1766411336362</v>
      </c>
      <c r="T182">
        <f t="shared" ref="T182" si="889">S182/1000</f>
        <v>-2.0031766411336362</v>
      </c>
    </row>
    <row r="183" spans="1:20" x14ac:dyDescent="0.25">
      <c r="A183" s="5">
        <v>44410</v>
      </c>
      <c r="B183">
        <v>0.72109999999999996</v>
      </c>
      <c r="C183">
        <v>0.73499999999999999</v>
      </c>
      <c r="D183">
        <v>0.70220000000000005</v>
      </c>
      <c r="E183">
        <v>0.72850000000000004</v>
      </c>
      <c r="F183">
        <v>1047684.66</v>
      </c>
      <c r="G183">
        <v>0.72850000000000004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0.60365853658536817</v>
      </c>
      <c r="Q183">
        <f t="shared" ref="Q183" si="891">F183*P183</f>
        <v>632443.78865853907</v>
      </c>
      <c r="R183">
        <f t="shared" ref="R183" si="892">R184+Q183</f>
        <v>-201107554.79709697</v>
      </c>
      <c r="S183">
        <f t="shared" ref="S183" si="893">R183/100000</f>
        <v>-2011.0755479709696</v>
      </c>
      <c r="T183">
        <f t="shared" ref="T183" si="894">S183/1000</f>
        <v>-2.0110755479709694</v>
      </c>
    </row>
    <row r="184" spans="1:20" x14ac:dyDescent="0.25">
      <c r="A184" s="5">
        <v>44409</v>
      </c>
      <c r="B184">
        <v>0.73219999999999996</v>
      </c>
      <c r="C184">
        <v>0.76100000000000001</v>
      </c>
      <c r="D184">
        <v>0.71160000000000001</v>
      </c>
      <c r="E184">
        <v>0.71840000000000004</v>
      </c>
      <c r="F184">
        <v>2014501.78</v>
      </c>
      <c r="G184">
        <v>0.71840000000000004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-0.72469635627530249</v>
      </c>
      <c r="Q184">
        <f t="shared" ref="Q184" si="896">F184*P184</f>
        <v>-1459902.099676111</v>
      </c>
      <c r="R184">
        <f t="shared" ref="R184" si="897">R185+Q184</f>
        <v>-201739998.5857555</v>
      </c>
      <c r="S184">
        <f t="shared" ref="S184" si="898">R184/100000</f>
        <v>-2017.3999858575551</v>
      </c>
      <c r="T184">
        <f t="shared" ref="T184" si="899">S184/1000</f>
        <v>-2.0173999858575549</v>
      </c>
    </row>
    <row r="185" spans="1:20" x14ac:dyDescent="0.25">
      <c r="A185" s="5">
        <v>44408</v>
      </c>
      <c r="B185">
        <v>0.74139999999999995</v>
      </c>
      <c r="C185">
        <v>0.74299999999999999</v>
      </c>
      <c r="D185">
        <v>0.71009999999999995</v>
      </c>
      <c r="E185">
        <v>0.73089999999999999</v>
      </c>
      <c r="F185">
        <v>2040350.01</v>
      </c>
      <c r="G185">
        <v>0.73089999999999999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0.26443768996960576</v>
      </c>
      <c r="Q185">
        <f t="shared" ref="Q185" si="901">F185*P185</f>
        <v>539545.44337386207</v>
      </c>
      <c r="R185">
        <f t="shared" ref="R185" si="902">R186+Q185</f>
        <v>-200280096.48607939</v>
      </c>
      <c r="S185">
        <f t="shared" ref="S185" si="903">R185/100000</f>
        <v>-2002.800964860794</v>
      </c>
      <c r="T185">
        <f t="shared" ref="T185" si="904">S185/1000</f>
        <v>-2.0028009648607941</v>
      </c>
    </row>
    <row r="186" spans="1:20" x14ac:dyDescent="0.25">
      <c r="A186" s="5">
        <v>44407</v>
      </c>
      <c r="B186">
        <v>0.72240000000000004</v>
      </c>
      <c r="C186">
        <v>0.76770000000000005</v>
      </c>
      <c r="D186">
        <v>0.67849999999999999</v>
      </c>
      <c r="E186">
        <v>0.74139999999999995</v>
      </c>
      <c r="F186">
        <v>2297767.77</v>
      </c>
      <c r="G186">
        <v>0.74139999999999995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0.41031390134528961</v>
      </c>
      <c r="Q186">
        <f t="shared" ref="Q186" si="906">F186*P186</f>
        <v>942806.0580941661</v>
      </c>
      <c r="R186">
        <f t="shared" ref="R186" si="907">R187+Q186</f>
        <v>-200819641.92945325</v>
      </c>
      <c r="S186">
        <f t="shared" ref="S186" si="908">R186/100000</f>
        <v>-2008.1964192945325</v>
      </c>
      <c r="T186">
        <f t="shared" ref="T186" si="909">S186/1000</f>
        <v>-2.0081964192945323</v>
      </c>
    </row>
    <row r="187" spans="1:20" x14ac:dyDescent="0.25">
      <c r="A187" s="5">
        <v>44406</v>
      </c>
      <c r="B187">
        <v>0.70209999999999995</v>
      </c>
      <c r="C187">
        <v>0.74170000000000003</v>
      </c>
      <c r="D187">
        <v>0.68789999999999996</v>
      </c>
      <c r="E187">
        <v>0.72109999999999996</v>
      </c>
      <c r="F187">
        <v>1684245.53</v>
      </c>
      <c r="G187">
        <v>0.72109999999999996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0.23420074349442246</v>
      </c>
      <c r="Q187">
        <f t="shared" ref="Q187" si="911">F187*P187</f>
        <v>394451.55535315763</v>
      </c>
      <c r="R187">
        <f t="shared" ref="R187" si="912">R188+Q187</f>
        <v>-201762447.98754743</v>
      </c>
      <c r="S187">
        <f t="shared" ref="S187" si="913">R187/100000</f>
        <v>-2017.6244798754742</v>
      </c>
      <c r="T187">
        <f t="shared" ref="T187" si="914">S187/1000</f>
        <v>-2.0176244798754741</v>
      </c>
    </row>
    <row r="188" spans="1:20" x14ac:dyDescent="0.25">
      <c r="A188" s="5">
        <v>44405</v>
      </c>
      <c r="B188">
        <v>0.72589999999999999</v>
      </c>
      <c r="C188">
        <v>0.73260000000000003</v>
      </c>
      <c r="D188">
        <v>0.69059999999999999</v>
      </c>
      <c r="E188">
        <v>0.70130000000000003</v>
      </c>
      <c r="F188">
        <v>1822036.97</v>
      </c>
      <c r="G188">
        <v>0.70130000000000003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-0.4904761904761889</v>
      </c>
      <c r="Q188">
        <f t="shared" ref="Q188" si="916">F188*P188</f>
        <v>-893665.75195237808</v>
      </c>
      <c r="R188">
        <f t="shared" ref="R188" si="917">R189+Q188</f>
        <v>-202156899.54290059</v>
      </c>
      <c r="S188">
        <f t="shared" ref="S188" si="918">R188/100000</f>
        <v>-2021.568995429006</v>
      </c>
      <c r="T188">
        <f t="shared" ref="T188" si="919">S188/1000</f>
        <v>-2.0215689954290061</v>
      </c>
    </row>
    <row r="189" spans="1:20" x14ac:dyDescent="0.25">
      <c r="A189" s="5">
        <v>44404</v>
      </c>
      <c r="B189">
        <v>0.70399999999999996</v>
      </c>
      <c r="C189">
        <v>0.76119999999999999</v>
      </c>
      <c r="D189">
        <v>0.66439999999999999</v>
      </c>
      <c r="E189">
        <v>0.72570000000000001</v>
      </c>
      <c r="F189">
        <v>3150353.88</v>
      </c>
      <c r="G189">
        <v>0.72570000000000001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0.26652892561983521</v>
      </c>
      <c r="Q189">
        <f t="shared" ref="Q189" si="921">F189*P189</f>
        <v>839660.43495867925</v>
      </c>
      <c r="R189">
        <f t="shared" ref="R189" si="922">R190+Q189</f>
        <v>-201263233.79094821</v>
      </c>
      <c r="S189">
        <f t="shared" ref="S189" si="923">R189/100000</f>
        <v>-2012.6323379094822</v>
      </c>
      <c r="T189">
        <f t="shared" ref="T189" si="924">S189/1000</f>
        <v>-2.0126323379094821</v>
      </c>
    </row>
    <row r="190" spans="1:20" x14ac:dyDescent="0.25">
      <c r="A190" s="5">
        <v>44403</v>
      </c>
      <c r="B190">
        <v>0.67179999999999995</v>
      </c>
      <c r="C190">
        <v>0.77980000000000005</v>
      </c>
      <c r="D190">
        <v>0.66710000000000003</v>
      </c>
      <c r="E190">
        <v>0.70109999999999995</v>
      </c>
      <c r="F190">
        <v>6375801.3099999996</v>
      </c>
      <c r="G190">
        <v>0.70109999999999995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-0.39662821650399444</v>
      </c>
      <c r="Q190">
        <f t="shared" ref="Q190" si="926">F190*P190</f>
        <v>-2528822.7023691311</v>
      </c>
      <c r="R190">
        <f t="shared" ref="R190" si="927">R191+Q190</f>
        <v>-202102894.22590688</v>
      </c>
      <c r="S190">
        <f t="shared" ref="S190" si="928">R190/100000</f>
        <v>-2021.0289422590688</v>
      </c>
      <c r="T190">
        <f t="shared" ref="T190" si="929">S190/1000</f>
        <v>-2.0210289422590688</v>
      </c>
    </row>
    <row r="191" spans="1:20" x14ac:dyDescent="0.25">
      <c r="A191" s="5">
        <v>44402</v>
      </c>
      <c r="B191">
        <v>0.66400000000000003</v>
      </c>
      <c r="C191">
        <v>0.68500000000000005</v>
      </c>
      <c r="D191">
        <v>0.63360000000000005</v>
      </c>
      <c r="E191">
        <v>0.67</v>
      </c>
      <c r="F191">
        <v>2403888.04</v>
      </c>
      <c r="G191">
        <v>0.67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0.41634241245136139</v>
      </c>
      <c r="Q191">
        <f t="shared" ref="Q191" si="931">F191*P191</f>
        <v>1000840.5458365747</v>
      </c>
      <c r="R191">
        <f t="shared" ref="R191" si="932">R192+Q191</f>
        <v>-199574071.52353776</v>
      </c>
      <c r="S191">
        <f t="shared" ref="S191" si="933">R191/100000</f>
        <v>-1995.7407152353776</v>
      </c>
      <c r="T191">
        <f t="shared" ref="T191:T197" si="934">S191/1000</f>
        <v>-1.9957407152353777</v>
      </c>
    </row>
    <row r="192" spans="1:20" x14ac:dyDescent="0.25">
      <c r="A192" s="5">
        <v>44401</v>
      </c>
      <c r="B192">
        <v>0.65490000000000004</v>
      </c>
      <c r="C192">
        <v>0.69369999999999998</v>
      </c>
      <c r="D192">
        <v>0.64059999999999995</v>
      </c>
      <c r="E192">
        <v>0.66379999999999995</v>
      </c>
      <c r="F192">
        <v>2746936.32</v>
      </c>
      <c r="G192">
        <v>0.66379999999999995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-0.12617702448210988</v>
      </c>
      <c r="Q192">
        <f t="shared" ref="Q192" si="936">F192*P192</f>
        <v>-346600.25129943679</v>
      </c>
      <c r="R192">
        <f t="shared" ref="R192" si="937">R193+Q192</f>
        <v>-200574912.06937432</v>
      </c>
      <c r="S192">
        <f t="shared" ref="S192" si="938">R192/100000</f>
        <v>-2005.7491206937432</v>
      </c>
      <c r="T192">
        <f t="shared" si="934"/>
        <v>-2.0057491206937432</v>
      </c>
    </row>
    <row r="193" spans="1:20" x14ac:dyDescent="0.25">
      <c r="A193" s="5">
        <v>44400</v>
      </c>
      <c r="B193">
        <v>0.60160000000000002</v>
      </c>
      <c r="C193">
        <v>0.68640000000000001</v>
      </c>
      <c r="D193">
        <v>0.59599999999999997</v>
      </c>
      <c r="E193">
        <v>0.65480000000000005</v>
      </c>
      <c r="F193">
        <v>5833518</v>
      </c>
      <c r="G193">
        <v>0.65480000000000005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0.30088495575221352</v>
      </c>
      <c r="Q193">
        <f t="shared" ref="Q193" si="940">F193*P193</f>
        <v>1755217.8053097411</v>
      </c>
      <c r="R193">
        <f t="shared" ref="R193" si="941">R194+Q193</f>
        <v>-200228311.81807488</v>
      </c>
      <c r="S193">
        <f t="shared" ref="S193" si="942">R193/100000</f>
        <v>-2002.2831181807487</v>
      </c>
      <c r="T193">
        <f t="shared" si="934"/>
        <v>-2.0022831181807486</v>
      </c>
    </row>
    <row r="194" spans="1:20" x14ac:dyDescent="0.25">
      <c r="A194" s="5">
        <v>44399</v>
      </c>
      <c r="B194">
        <v>0.5948</v>
      </c>
      <c r="C194">
        <v>0.62050000000000005</v>
      </c>
      <c r="D194">
        <v>0.57440000000000002</v>
      </c>
      <c r="E194">
        <v>0.60109999999999997</v>
      </c>
      <c r="F194">
        <v>1764250.85</v>
      </c>
      <c r="G194">
        <v>0.60109999999999997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0.15835140997830494</v>
      </c>
      <c r="Q194">
        <f t="shared" ref="Q194" si="944">F194*P194</f>
        <v>279371.60965292295</v>
      </c>
      <c r="R194">
        <f t="shared" ref="R194" si="945">R195+Q194</f>
        <v>-201983529.62338462</v>
      </c>
      <c r="S194">
        <f t="shared" ref="S194" si="946">R194/100000</f>
        <v>-2019.8352962338463</v>
      </c>
      <c r="T194">
        <f t="shared" si="934"/>
        <v>-2.0198352962338464</v>
      </c>
    </row>
    <row r="195" spans="1:20" x14ac:dyDescent="0.25">
      <c r="A195" s="5">
        <v>44398</v>
      </c>
      <c r="B195">
        <v>0.55559999999999998</v>
      </c>
      <c r="C195">
        <v>0.61060000000000003</v>
      </c>
      <c r="D195">
        <v>0.54200000000000004</v>
      </c>
      <c r="E195">
        <v>0.59460000000000002</v>
      </c>
      <c r="F195">
        <v>1663588.76</v>
      </c>
      <c r="G195">
        <v>0.59460000000000002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0.53352769679300249</v>
      </c>
      <c r="Q195">
        <f t="shared" ref="Q195" si="948">F195*P195</f>
        <v>887570.679533527</v>
      </c>
      <c r="R195">
        <f t="shared" ref="R195" si="949">R196+Q195</f>
        <v>-202262901.23303756</v>
      </c>
      <c r="S195">
        <f t="shared" ref="S195" si="950">R195/100000</f>
        <v>-2022.6290123303756</v>
      </c>
      <c r="T195">
        <f t="shared" si="934"/>
        <v>-2.0226290123303756</v>
      </c>
    </row>
    <row r="196" spans="1:20" x14ac:dyDescent="0.25">
      <c r="A196" s="5">
        <v>44397</v>
      </c>
      <c r="B196">
        <v>0.60189999999999999</v>
      </c>
      <c r="C196">
        <v>0.61019999999999996</v>
      </c>
      <c r="D196">
        <v>0.53890000000000005</v>
      </c>
      <c r="E196">
        <v>0.55430000000000001</v>
      </c>
      <c r="F196">
        <v>1243083.3</v>
      </c>
      <c r="G196">
        <v>0.55430000000000001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-0.56802244039270722</v>
      </c>
      <c r="Q196">
        <f t="shared" ref="Q196" si="952">F196*P196</f>
        <v>-706099.20967741986</v>
      </c>
      <c r="R196">
        <f t="shared" ref="R196" si="953">R197+Q196</f>
        <v>-203150471.9125711</v>
      </c>
      <c r="S196">
        <f t="shared" ref="S196" si="954">R196/100000</f>
        <v>-2031.5047191257111</v>
      </c>
      <c r="T196">
        <f t="shared" si="934"/>
        <v>-2.031504719125711</v>
      </c>
    </row>
    <row r="197" spans="1:20" x14ac:dyDescent="0.25">
      <c r="A197" s="5">
        <v>44396</v>
      </c>
      <c r="B197">
        <v>0.64670000000000005</v>
      </c>
      <c r="C197">
        <v>0.67610000000000003</v>
      </c>
      <c r="D197">
        <v>0.59730000000000005</v>
      </c>
      <c r="E197">
        <v>0.6018</v>
      </c>
      <c r="F197">
        <v>1608631.79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-0.88578680203045812</v>
      </c>
      <c r="Q197">
        <f t="shared" ref="Q197" si="956">F197*P197</f>
        <v>-1424904.8089086316</v>
      </c>
      <c r="R197">
        <f t="shared" ref="R197" si="957">R198+Q197</f>
        <v>-202444372.70289367</v>
      </c>
      <c r="S197">
        <f t="shared" ref="S197" si="958">R197/100000</f>
        <v>-2024.4437270289368</v>
      </c>
      <c r="T197">
        <f t="shared" si="934"/>
        <v>-2.0244437270289368</v>
      </c>
    </row>
    <row r="198" spans="1:20" x14ac:dyDescent="0.25">
      <c r="A198" s="5">
        <v>44395</v>
      </c>
      <c r="B198">
        <v>0.69589999999999996</v>
      </c>
      <c r="C198">
        <v>0.70689999999999997</v>
      </c>
      <c r="D198">
        <v>0.62690000000000001</v>
      </c>
      <c r="E198">
        <v>0.64759999999999995</v>
      </c>
      <c r="F198">
        <v>1417043.28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-0.48250000000000121</v>
      </c>
      <c r="Q198">
        <f t="shared" ref="Q198:Q261" si="960">F198*P198</f>
        <v>-683723.38260000176</v>
      </c>
      <c r="R198">
        <f t="shared" ref="R198:R261" si="961">R199+Q198</f>
        <v>-201019467.89398503</v>
      </c>
      <c r="S198">
        <f t="shared" ref="S198:S261" si="962">R198/100000</f>
        <v>-2010.1946789398503</v>
      </c>
      <c r="T198">
        <f t="shared" ref="T198:T261" si="963">S198/1000</f>
        <v>-2.0101946789398504</v>
      </c>
    </row>
    <row r="199" spans="1:20" x14ac:dyDescent="0.25">
      <c r="A199" s="5">
        <v>44394</v>
      </c>
      <c r="B199">
        <v>0.65790000000000004</v>
      </c>
      <c r="C199">
        <v>0.70499999999999996</v>
      </c>
      <c r="D199">
        <v>0.6502</v>
      </c>
      <c r="E199">
        <v>0.69579999999999997</v>
      </c>
      <c r="F199">
        <v>1161486.48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0.66423357664233607</v>
      </c>
      <c r="Q199">
        <f t="shared" si="960"/>
        <v>771498.31883211713</v>
      </c>
      <c r="R199">
        <f t="shared" si="961"/>
        <v>-200335744.51138502</v>
      </c>
      <c r="S199">
        <f t="shared" si="962"/>
        <v>-2003.3574451138502</v>
      </c>
      <c r="T199">
        <f t="shared" si="963"/>
        <v>-2.0033574451138501</v>
      </c>
    </row>
    <row r="200" spans="1:20" x14ac:dyDescent="0.25">
      <c r="A200" s="5">
        <v>44393</v>
      </c>
      <c r="B200">
        <v>0.71560000000000001</v>
      </c>
      <c r="C200">
        <v>0.74150000000000005</v>
      </c>
      <c r="D200">
        <v>0.64900000000000002</v>
      </c>
      <c r="E200">
        <v>0.65890000000000004</v>
      </c>
      <c r="F200">
        <v>2447932.37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-0.78594594594594558</v>
      </c>
      <c r="Q200">
        <f t="shared" si="960"/>
        <v>-1923942.5221513505</v>
      </c>
      <c r="R200">
        <f t="shared" si="961"/>
        <v>-201107242.83021715</v>
      </c>
      <c r="S200">
        <f t="shared" si="962"/>
        <v>-2011.0724283021716</v>
      </c>
      <c r="T200">
        <f t="shared" si="963"/>
        <v>-2.0110724283021715</v>
      </c>
    </row>
    <row r="201" spans="1:20" x14ac:dyDescent="0.25">
      <c r="A201" s="5">
        <v>44392</v>
      </c>
      <c r="B201">
        <v>0.69089999999999996</v>
      </c>
      <c r="C201">
        <v>0.79849999999999999</v>
      </c>
      <c r="D201">
        <v>0.68130000000000002</v>
      </c>
      <c r="E201">
        <v>0.71519999999999995</v>
      </c>
      <c r="F201">
        <v>6972228.3499999996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-0.42150170648464269</v>
      </c>
      <c r="Q201">
        <f t="shared" si="960"/>
        <v>-2938806.1475256043</v>
      </c>
      <c r="R201">
        <f t="shared" si="961"/>
        <v>-199183300.3080658</v>
      </c>
      <c r="S201">
        <f t="shared" si="962"/>
        <v>-1991.833003080658</v>
      </c>
      <c r="T201">
        <f t="shared" si="963"/>
        <v>-1.9918330030806581</v>
      </c>
    </row>
    <row r="202" spans="1:20" x14ac:dyDescent="0.25">
      <c r="A202" s="5">
        <v>44391</v>
      </c>
      <c r="B202">
        <v>0.6754</v>
      </c>
      <c r="C202">
        <v>0.70479999999999998</v>
      </c>
      <c r="D202">
        <v>0.63119999999999998</v>
      </c>
      <c r="E202">
        <v>0.68940000000000001</v>
      </c>
      <c r="F202">
        <v>2365496.2599999998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0.58152173913043559</v>
      </c>
      <c r="Q202">
        <f t="shared" si="960"/>
        <v>1375587.4990217409</v>
      </c>
      <c r="R202">
        <f t="shared" si="961"/>
        <v>-196244494.16054019</v>
      </c>
      <c r="S202">
        <f t="shared" si="962"/>
        <v>-1962.4449416054019</v>
      </c>
      <c r="T202">
        <f t="shared" si="963"/>
        <v>-1.9624449416054019</v>
      </c>
    </row>
    <row r="203" spans="1:20" x14ac:dyDescent="0.25">
      <c r="A203" s="5">
        <v>44390</v>
      </c>
      <c r="B203">
        <v>0.69210000000000005</v>
      </c>
      <c r="C203">
        <v>0.70379999999999998</v>
      </c>
      <c r="D203">
        <v>0.66149999999999998</v>
      </c>
      <c r="E203">
        <v>0.6744</v>
      </c>
      <c r="F203">
        <v>816111.67</v>
      </c>
      <c r="G203">
        <v>0</v>
      </c>
      <c r="L203" t="s">
        <v>7</v>
      </c>
      <c r="M203" t="s">
        <v>8</v>
      </c>
      <c r="N203" t="s">
        <v>7</v>
      </c>
      <c r="P203">
        <f t="shared" si="959"/>
        <v>-0.39007092198581461</v>
      </c>
      <c r="Q203">
        <f t="shared" si="960"/>
        <v>-318341.43156028289</v>
      </c>
      <c r="R203">
        <f t="shared" si="961"/>
        <v>-197620081.65956193</v>
      </c>
      <c r="S203">
        <f t="shared" si="962"/>
        <v>-1976.2008165956192</v>
      </c>
      <c r="T203">
        <f t="shared" si="963"/>
        <v>-1.9762008165956193</v>
      </c>
    </row>
    <row r="204" spans="1:20" x14ac:dyDescent="0.25">
      <c r="A204" s="5">
        <v>44389</v>
      </c>
      <c r="B204">
        <v>0.71799999999999997</v>
      </c>
      <c r="C204">
        <v>0.748</v>
      </c>
      <c r="D204">
        <v>0.67159999999999997</v>
      </c>
      <c r="E204">
        <v>0.69269999999999998</v>
      </c>
      <c r="F204">
        <v>2126773.39</v>
      </c>
      <c r="G204">
        <v>0</v>
      </c>
      <c r="L204" t="s">
        <v>8</v>
      </c>
      <c r="M204" t="s">
        <v>8</v>
      </c>
      <c r="N204" t="s">
        <v>7</v>
      </c>
      <c r="P204">
        <f t="shared" si="959"/>
        <v>-0.44764397905759157</v>
      </c>
      <c r="Q204">
        <f t="shared" si="960"/>
        <v>-952037.30285340303</v>
      </c>
      <c r="R204">
        <f t="shared" si="961"/>
        <v>-197301740.22800165</v>
      </c>
      <c r="S204">
        <f t="shared" si="962"/>
        <v>-1973.0174022800165</v>
      </c>
      <c r="T204">
        <f t="shared" si="963"/>
        <v>-1.9730174022800164</v>
      </c>
    </row>
    <row r="205" spans="1:20" x14ac:dyDescent="0.25">
      <c r="A205" s="5">
        <v>44388</v>
      </c>
      <c r="B205">
        <v>0.66710000000000003</v>
      </c>
      <c r="C205">
        <v>0.73419999999999996</v>
      </c>
      <c r="D205">
        <v>0.66210000000000002</v>
      </c>
      <c r="E205">
        <v>0.71879999999999999</v>
      </c>
      <c r="F205">
        <v>1594194.79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0.57281553398058305</v>
      </c>
      <c r="Q205">
        <f t="shared" si="960"/>
        <v>913179.5399029135</v>
      </c>
      <c r="R205">
        <f t="shared" si="961"/>
        <v>-196349702.92514825</v>
      </c>
      <c r="S205">
        <f t="shared" si="962"/>
        <v>-1963.4970292514824</v>
      </c>
      <c r="T205">
        <f t="shared" si="963"/>
        <v>-1.9634970292514824</v>
      </c>
    </row>
    <row r="206" spans="1:20" x14ac:dyDescent="0.25">
      <c r="A206" s="5">
        <v>44387</v>
      </c>
      <c r="B206">
        <v>0.68169999999999997</v>
      </c>
      <c r="C206">
        <v>0.69059999999999999</v>
      </c>
      <c r="D206">
        <v>0.65290000000000004</v>
      </c>
      <c r="E206">
        <v>0.66739999999999999</v>
      </c>
      <c r="F206">
        <v>819600.81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-0.23076923076923214</v>
      </c>
      <c r="Q206">
        <f t="shared" si="960"/>
        <v>-189138.64846153959</v>
      </c>
      <c r="R206">
        <f t="shared" si="961"/>
        <v>-197262882.46505117</v>
      </c>
      <c r="S206">
        <f t="shared" si="962"/>
        <v>-1972.6288246505117</v>
      </c>
      <c r="T206">
        <f t="shared" si="963"/>
        <v>-1.9726288246505117</v>
      </c>
    </row>
    <row r="207" spans="1:20" x14ac:dyDescent="0.25">
      <c r="A207" s="5">
        <v>44386</v>
      </c>
      <c r="B207">
        <v>0.66590000000000005</v>
      </c>
      <c r="C207">
        <v>0.6905</v>
      </c>
      <c r="D207">
        <v>0.64</v>
      </c>
      <c r="E207">
        <v>0.68110000000000004</v>
      </c>
      <c r="F207">
        <v>1620708.83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0.62772277227722906</v>
      </c>
      <c r="Q207">
        <f t="shared" si="960"/>
        <v>1017355.8398217844</v>
      </c>
      <c r="R207">
        <f t="shared" si="961"/>
        <v>-197073743.81658962</v>
      </c>
      <c r="S207">
        <f t="shared" si="962"/>
        <v>-1970.7374381658963</v>
      </c>
      <c r="T207">
        <f t="shared" si="963"/>
        <v>-1.9707374381658962</v>
      </c>
    </row>
    <row r="208" spans="1:20" x14ac:dyDescent="0.25">
      <c r="A208" s="5">
        <v>44385</v>
      </c>
      <c r="B208">
        <v>0.71640000000000004</v>
      </c>
      <c r="C208">
        <v>0.71879999999999999</v>
      </c>
      <c r="D208">
        <v>0.6532</v>
      </c>
      <c r="E208">
        <v>0.66590000000000005</v>
      </c>
      <c r="F208">
        <v>1356358.4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-0.61280487804877903</v>
      </c>
      <c r="Q208">
        <f t="shared" si="960"/>
        <v>-831183.04390243697</v>
      </c>
      <c r="R208">
        <f t="shared" si="961"/>
        <v>-198091099.65641141</v>
      </c>
      <c r="S208">
        <f t="shared" si="962"/>
        <v>-1980.9109965641142</v>
      </c>
      <c r="T208">
        <f t="shared" si="963"/>
        <v>-1.9809109965641141</v>
      </c>
    </row>
    <row r="209" spans="1:20" x14ac:dyDescent="0.25">
      <c r="A209" s="5">
        <v>44384</v>
      </c>
      <c r="B209">
        <v>0.70399999999999996</v>
      </c>
      <c r="C209">
        <v>0.7722</v>
      </c>
      <c r="D209">
        <v>0.69810000000000005</v>
      </c>
      <c r="E209">
        <v>0.71650000000000003</v>
      </c>
      <c r="F209">
        <v>2526514.75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-0.50337381916329327</v>
      </c>
      <c r="Q209">
        <f t="shared" si="960"/>
        <v>-1271781.3788798931</v>
      </c>
      <c r="R209">
        <f t="shared" si="961"/>
        <v>-197259916.61250898</v>
      </c>
      <c r="S209">
        <f t="shared" si="962"/>
        <v>-1972.5991661250898</v>
      </c>
      <c r="T209">
        <f t="shared" si="963"/>
        <v>-1.9725991661250899</v>
      </c>
    </row>
    <row r="210" spans="1:20" x14ac:dyDescent="0.25">
      <c r="A210" s="5">
        <v>44383</v>
      </c>
      <c r="B210">
        <v>0.67120000000000002</v>
      </c>
      <c r="C210">
        <v>0.71989999999999998</v>
      </c>
      <c r="D210">
        <v>0.67</v>
      </c>
      <c r="E210">
        <v>0.70579999999999998</v>
      </c>
      <c r="F210">
        <v>1614296.05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0.43486973947895724</v>
      </c>
      <c r="Q210">
        <f t="shared" si="960"/>
        <v>702008.50270540977</v>
      </c>
      <c r="R210">
        <f t="shared" si="961"/>
        <v>-195988135.23362908</v>
      </c>
      <c r="S210">
        <f t="shared" si="962"/>
        <v>-1959.8813523362908</v>
      </c>
      <c r="T210">
        <f t="shared" si="963"/>
        <v>-1.9598813523362908</v>
      </c>
    </row>
    <row r="211" spans="1:20" x14ac:dyDescent="0.25">
      <c r="A211" s="5">
        <v>44382</v>
      </c>
      <c r="B211">
        <v>0.72189999999999999</v>
      </c>
      <c r="C211">
        <v>0.72189999999999999</v>
      </c>
      <c r="D211">
        <v>0.66090000000000004</v>
      </c>
      <c r="E211">
        <v>0.67010000000000003</v>
      </c>
      <c r="F211">
        <v>1170892.47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-0.69836065573770512</v>
      </c>
      <c r="Q211">
        <f t="shared" si="960"/>
        <v>-817705.23314754118</v>
      </c>
      <c r="R211">
        <f t="shared" si="961"/>
        <v>-196690143.73633447</v>
      </c>
      <c r="S211">
        <f t="shared" si="962"/>
        <v>-1966.9014373633447</v>
      </c>
      <c r="T211">
        <f t="shared" si="963"/>
        <v>-1.9669014373633447</v>
      </c>
    </row>
    <row r="212" spans="1:20" x14ac:dyDescent="0.25">
      <c r="A212" s="5">
        <v>44381</v>
      </c>
      <c r="B212">
        <v>0.74639999999999995</v>
      </c>
      <c r="C212">
        <v>0.74690000000000001</v>
      </c>
      <c r="D212">
        <v>0.70499999999999996</v>
      </c>
      <c r="E212">
        <v>0.72189999999999999</v>
      </c>
      <c r="F212">
        <v>1895266.62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-0.19331742243436723</v>
      </c>
      <c r="Q212">
        <f t="shared" si="960"/>
        <v>-366388.05780429539</v>
      </c>
      <c r="R212">
        <f t="shared" si="961"/>
        <v>-195872438.50318694</v>
      </c>
      <c r="S212">
        <f t="shared" si="962"/>
        <v>-1958.7243850318694</v>
      </c>
      <c r="T212">
        <f t="shared" si="963"/>
        <v>-1.9587243850318694</v>
      </c>
    </row>
    <row r="213" spans="1:20" x14ac:dyDescent="0.25">
      <c r="A213" s="5">
        <v>44380</v>
      </c>
      <c r="B213">
        <v>0.71089999999999998</v>
      </c>
      <c r="C213">
        <v>0.78</v>
      </c>
      <c r="D213">
        <v>0.6976</v>
      </c>
      <c r="E213">
        <v>0.74829999999999997</v>
      </c>
      <c r="F213">
        <v>986412.16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0.23058252427184345</v>
      </c>
      <c r="Q213">
        <f t="shared" si="960"/>
        <v>227449.40582524153</v>
      </c>
      <c r="R213">
        <f t="shared" si="961"/>
        <v>-195506050.44538265</v>
      </c>
      <c r="S213">
        <f t="shared" si="962"/>
        <v>-1955.0605044538265</v>
      </c>
      <c r="T213">
        <f t="shared" si="963"/>
        <v>-1.9550605044538265</v>
      </c>
    </row>
    <row r="214" spans="1:20" x14ac:dyDescent="0.25">
      <c r="A214" s="5">
        <v>44379</v>
      </c>
      <c r="B214">
        <v>0.7198</v>
      </c>
      <c r="C214">
        <v>0.74</v>
      </c>
      <c r="D214">
        <v>0.67100000000000004</v>
      </c>
      <c r="E214">
        <v>0.70899999999999996</v>
      </c>
      <c r="F214">
        <v>1445857.73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0.10144927536231739</v>
      </c>
      <c r="Q214">
        <f t="shared" si="960"/>
        <v>146681.21898550514</v>
      </c>
      <c r="R214">
        <f t="shared" si="961"/>
        <v>-195733499.85120788</v>
      </c>
      <c r="S214">
        <f t="shared" si="962"/>
        <v>-1957.3349985120788</v>
      </c>
      <c r="T214">
        <f t="shared" si="963"/>
        <v>-1.9573349985120787</v>
      </c>
    </row>
    <row r="215" spans="1:20" x14ac:dyDescent="0.25">
      <c r="A215" s="5">
        <v>44378</v>
      </c>
      <c r="B215">
        <v>0.72299999999999998</v>
      </c>
      <c r="C215">
        <v>0.72899999999999998</v>
      </c>
      <c r="D215">
        <v>0.65549999999999997</v>
      </c>
      <c r="E215">
        <v>0.72060000000000002</v>
      </c>
      <c r="F215">
        <v>1539172.41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0.77142857142857246</v>
      </c>
      <c r="Q215">
        <f t="shared" si="960"/>
        <v>1187361.5734285729</v>
      </c>
      <c r="R215">
        <f t="shared" si="961"/>
        <v>-195880181.07019338</v>
      </c>
      <c r="S215">
        <f t="shared" si="962"/>
        <v>-1958.8018107019338</v>
      </c>
      <c r="T215">
        <f t="shared" si="963"/>
        <v>-1.9588018107019338</v>
      </c>
    </row>
    <row r="216" spans="1:20" x14ac:dyDescent="0.25">
      <c r="A216" s="5">
        <v>44377</v>
      </c>
      <c r="B216">
        <v>0.73450000000000004</v>
      </c>
      <c r="C216">
        <v>0.745</v>
      </c>
      <c r="D216">
        <v>0.66269999999999996</v>
      </c>
      <c r="E216">
        <v>0.72289999999999999</v>
      </c>
      <c r="F216">
        <v>2453548.42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0.46294046172539494</v>
      </c>
      <c r="Q216">
        <f t="shared" si="960"/>
        <v>1135846.8384204132</v>
      </c>
      <c r="R216">
        <f t="shared" si="961"/>
        <v>-197067542.64362195</v>
      </c>
      <c r="S216">
        <f t="shared" si="962"/>
        <v>-1970.6754264362196</v>
      </c>
      <c r="T216">
        <f t="shared" si="963"/>
        <v>-1.9706754264362196</v>
      </c>
    </row>
    <row r="217" spans="1:20" x14ac:dyDescent="0.25">
      <c r="A217" s="5">
        <v>44376</v>
      </c>
      <c r="B217">
        <v>0.70599999999999996</v>
      </c>
      <c r="C217">
        <v>0.78779999999999994</v>
      </c>
      <c r="D217">
        <v>0.69140000000000001</v>
      </c>
      <c r="E217">
        <v>0.73350000000000004</v>
      </c>
      <c r="F217">
        <v>3045439.54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-0.1265560165975092</v>
      </c>
      <c r="Q217">
        <f t="shared" si="960"/>
        <v>-385418.69697095081</v>
      </c>
      <c r="R217">
        <f t="shared" si="961"/>
        <v>-198203389.48204237</v>
      </c>
      <c r="S217">
        <f t="shared" si="962"/>
        <v>-1982.0338948204237</v>
      </c>
      <c r="T217">
        <f t="shared" si="963"/>
        <v>-1.9820338948204237</v>
      </c>
    </row>
    <row r="218" spans="1:20" x14ac:dyDescent="0.25">
      <c r="A218" s="5">
        <v>44375</v>
      </c>
      <c r="B218">
        <v>0.68200000000000005</v>
      </c>
      <c r="C218">
        <v>0.76</v>
      </c>
      <c r="D218">
        <v>0.64759999999999995</v>
      </c>
      <c r="E218">
        <v>0.70609999999999995</v>
      </c>
      <c r="F218">
        <v>3068003.18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4.0925266903914015E-2</v>
      </c>
      <c r="Q218">
        <f t="shared" si="960"/>
        <v>125558.84900355696</v>
      </c>
      <c r="R218">
        <f t="shared" si="961"/>
        <v>-197817970.78507143</v>
      </c>
      <c r="S218">
        <f t="shared" si="962"/>
        <v>-1978.1797078507143</v>
      </c>
      <c r="T218">
        <f t="shared" si="963"/>
        <v>-1.9781797078507144</v>
      </c>
    </row>
    <row r="219" spans="1:20" x14ac:dyDescent="0.25">
      <c r="A219" s="5">
        <v>44374</v>
      </c>
      <c r="B219">
        <v>0.64590000000000003</v>
      </c>
      <c r="C219">
        <v>0.68300000000000005</v>
      </c>
      <c r="D219">
        <v>0.62450000000000006</v>
      </c>
      <c r="E219">
        <v>0.68</v>
      </c>
      <c r="F219">
        <v>1624907.55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0.89743589743589736</v>
      </c>
      <c r="Q219">
        <f t="shared" si="960"/>
        <v>1458250.3653846153</v>
      </c>
      <c r="R219">
        <f t="shared" si="961"/>
        <v>-197943529.63407499</v>
      </c>
      <c r="S219">
        <f t="shared" si="962"/>
        <v>-1979.4352963407498</v>
      </c>
      <c r="T219">
        <f t="shared" si="963"/>
        <v>-1.9794352963407498</v>
      </c>
    </row>
    <row r="220" spans="1:20" x14ac:dyDescent="0.25">
      <c r="A220" s="5">
        <v>44373</v>
      </c>
      <c r="B220">
        <v>0.66579999999999995</v>
      </c>
      <c r="C220">
        <v>0.6784</v>
      </c>
      <c r="D220">
        <v>0.61</v>
      </c>
      <c r="E220">
        <v>0.64549999999999996</v>
      </c>
      <c r="F220">
        <v>1553186.71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3.8011695906431803E-2</v>
      </c>
      <c r="Q220">
        <f t="shared" si="960"/>
        <v>59039.260906431278</v>
      </c>
      <c r="R220">
        <f t="shared" si="961"/>
        <v>-199401779.99945959</v>
      </c>
      <c r="S220">
        <f t="shared" si="962"/>
        <v>-1994.0177999945959</v>
      </c>
      <c r="T220">
        <f t="shared" si="963"/>
        <v>-1.9940177999945958</v>
      </c>
    </row>
    <row r="221" spans="1:20" x14ac:dyDescent="0.25">
      <c r="A221" s="5">
        <v>44372</v>
      </c>
      <c r="B221">
        <v>0.76939999999999997</v>
      </c>
      <c r="C221">
        <v>0.8</v>
      </c>
      <c r="D221">
        <v>0.66290000000000004</v>
      </c>
      <c r="E221">
        <v>0.66579999999999995</v>
      </c>
      <c r="F221">
        <v>1425790.72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-0.95769511305616484</v>
      </c>
      <c r="Q221">
        <f t="shared" si="960"/>
        <v>-1365472.8047848307</v>
      </c>
      <c r="R221">
        <f t="shared" si="961"/>
        <v>-199460819.26036602</v>
      </c>
      <c r="S221">
        <f t="shared" si="962"/>
        <v>-1994.6081926036602</v>
      </c>
      <c r="T221">
        <f t="shared" si="963"/>
        <v>-1.9946081926036603</v>
      </c>
    </row>
    <row r="222" spans="1:20" x14ac:dyDescent="0.25">
      <c r="A222" s="5">
        <v>44371</v>
      </c>
      <c r="B222">
        <v>0.74909999999999999</v>
      </c>
      <c r="C222">
        <v>0.80200000000000005</v>
      </c>
      <c r="D222">
        <v>0.70020000000000004</v>
      </c>
      <c r="E222">
        <v>0.76749999999999996</v>
      </c>
      <c r="F222">
        <v>1236058.81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0.32220039292730679</v>
      </c>
      <c r="Q222">
        <f t="shared" si="960"/>
        <v>398258.63426325924</v>
      </c>
      <c r="R222">
        <f t="shared" si="961"/>
        <v>-198095346.45558119</v>
      </c>
      <c r="S222">
        <f t="shared" si="962"/>
        <v>-1980.9534645558119</v>
      </c>
      <c r="T222">
        <f t="shared" si="963"/>
        <v>-1.980953464555812</v>
      </c>
    </row>
    <row r="223" spans="1:20" x14ac:dyDescent="0.25">
      <c r="A223" s="5">
        <v>44370</v>
      </c>
      <c r="B223">
        <v>0.70309999999999995</v>
      </c>
      <c r="C223">
        <v>0.81</v>
      </c>
      <c r="D223">
        <v>0.66739999999999999</v>
      </c>
      <c r="E223">
        <v>0.74760000000000004</v>
      </c>
      <c r="F223">
        <v>2590845.91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0.12482468443197778</v>
      </c>
      <c r="Q223">
        <f t="shared" si="960"/>
        <v>323401.52312763029</v>
      </c>
      <c r="R223">
        <f t="shared" si="961"/>
        <v>-198493605.08984444</v>
      </c>
      <c r="S223">
        <f t="shared" si="962"/>
        <v>-1984.9360508984444</v>
      </c>
      <c r="T223">
        <f t="shared" si="963"/>
        <v>-1.9849360508984444</v>
      </c>
    </row>
    <row r="224" spans="1:20" x14ac:dyDescent="0.25">
      <c r="A224" s="5">
        <v>44369</v>
      </c>
      <c r="B224">
        <v>0.74609999999999999</v>
      </c>
      <c r="C224">
        <v>0.82820000000000005</v>
      </c>
      <c r="D224">
        <v>0.59450000000000003</v>
      </c>
      <c r="E224">
        <v>0.70309999999999995</v>
      </c>
      <c r="F224">
        <v>4486980.28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-7.0603337612324263E-2</v>
      </c>
      <c r="Q224">
        <f t="shared" si="960"/>
        <v>-316795.78356868128</v>
      </c>
      <c r="R224">
        <f t="shared" si="961"/>
        <v>-198817006.61297205</v>
      </c>
      <c r="S224">
        <f t="shared" si="962"/>
        <v>-1988.1700661297205</v>
      </c>
      <c r="T224">
        <f t="shared" si="963"/>
        <v>-1.9881700661297204</v>
      </c>
    </row>
    <row r="225" spans="1:20" x14ac:dyDescent="0.25">
      <c r="A225" s="5">
        <v>44368</v>
      </c>
      <c r="B225">
        <v>0.96360000000000001</v>
      </c>
      <c r="C225">
        <v>0.97089999999999999</v>
      </c>
      <c r="D225">
        <v>0.74009999999999998</v>
      </c>
      <c r="E225">
        <v>0.74419999999999997</v>
      </c>
      <c r="F225">
        <v>2452480.89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-0.96447140381282503</v>
      </c>
      <c r="Q225">
        <f t="shared" si="960"/>
        <v>-2365347.6868024268</v>
      </c>
      <c r="R225">
        <f t="shared" si="961"/>
        <v>-198500210.82940337</v>
      </c>
      <c r="S225">
        <f t="shared" si="962"/>
        <v>-1985.0021082940336</v>
      </c>
      <c r="T225">
        <f t="shared" si="963"/>
        <v>-1.9850021082940337</v>
      </c>
    </row>
    <row r="226" spans="1:20" x14ac:dyDescent="0.25">
      <c r="A226" s="5">
        <v>44367</v>
      </c>
      <c r="B226">
        <v>0.9304</v>
      </c>
      <c r="C226">
        <v>0.99380000000000002</v>
      </c>
      <c r="D226">
        <v>0.87939999999999996</v>
      </c>
      <c r="E226">
        <v>0.96319999999999995</v>
      </c>
      <c r="F226">
        <v>1646360.34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0.46503496503496405</v>
      </c>
      <c r="Q226">
        <f t="shared" si="960"/>
        <v>765615.12314685155</v>
      </c>
      <c r="R226">
        <f t="shared" si="961"/>
        <v>-196134863.14260095</v>
      </c>
      <c r="S226">
        <f t="shared" si="962"/>
        <v>-1961.3486314260094</v>
      </c>
      <c r="T226">
        <f t="shared" si="963"/>
        <v>-1.9613486314260093</v>
      </c>
    </row>
    <row r="227" spans="1:20" x14ac:dyDescent="0.25">
      <c r="A227" s="5">
        <v>44366</v>
      </c>
      <c r="B227">
        <v>0.95009999999999994</v>
      </c>
      <c r="C227">
        <v>0.98870000000000002</v>
      </c>
      <c r="D227">
        <v>0.92</v>
      </c>
      <c r="E227">
        <v>0.93230000000000002</v>
      </c>
      <c r="F227">
        <v>1370729.66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-0.64192139737991327</v>
      </c>
      <c r="Q227">
        <f t="shared" si="960"/>
        <v>-879900.69877729332</v>
      </c>
      <c r="R227">
        <f t="shared" si="961"/>
        <v>-196900478.26574782</v>
      </c>
      <c r="S227">
        <f t="shared" si="962"/>
        <v>-1969.0047826574782</v>
      </c>
      <c r="T227">
        <f t="shared" si="963"/>
        <v>-1.9690047826574781</v>
      </c>
    </row>
    <row r="228" spans="1:20" x14ac:dyDescent="0.25">
      <c r="A228" s="5">
        <v>44365</v>
      </c>
      <c r="B228">
        <v>1.0232000000000001</v>
      </c>
      <c r="C228">
        <v>1.034</v>
      </c>
      <c r="D228">
        <v>0.90010000000000001</v>
      </c>
      <c r="E228">
        <v>0.94530000000000003</v>
      </c>
      <c r="F228">
        <v>1726886.25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-0.32486930545182957</v>
      </c>
      <c r="Q228">
        <f t="shared" si="960"/>
        <v>-561012.33663181448</v>
      </c>
      <c r="R228">
        <f t="shared" si="961"/>
        <v>-196020577.56697053</v>
      </c>
      <c r="S228">
        <f t="shared" si="962"/>
        <v>-1960.2057756697052</v>
      </c>
      <c r="T228">
        <f t="shared" si="963"/>
        <v>-1.9602057756697051</v>
      </c>
    </row>
    <row r="229" spans="1:20" x14ac:dyDescent="0.25">
      <c r="A229" s="5">
        <v>44364</v>
      </c>
      <c r="B229">
        <v>1.0347999999999999</v>
      </c>
      <c r="C229">
        <v>1.0697000000000001</v>
      </c>
      <c r="D229">
        <v>0.99480000000000002</v>
      </c>
      <c r="E229">
        <v>1.0219</v>
      </c>
      <c r="F229">
        <v>1617122.36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-0.27636849132176278</v>
      </c>
      <c r="Q229">
        <f t="shared" si="960"/>
        <v>-446921.66691588855</v>
      </c>
      <c r="R229">
        <f t="shared" si="961"/>
        <v>-195459565.23033872</v>
      </c>
      <c r="S229">
        <f t="shared" si="962"/>
        <v>-1954.5956523033872</v>
      </c>
      <c r="T229">
        <f t="shared" si="963"/>
        <v>-1.9545956523033872</v>
      </c>
    </row>
    <row r="230" spans="1:20" x14ac:dyDescent="0.25">
      <c r="A230" s="5">
        <v>44363</v>
      </c>
      <c r="B230">
        <v>1.127</v>
      </c>
      <c r="C230">
        <v>1.1343000000000001</v>
      </c>
      <c r="D230">
        <v>1.0216000000000001</v>
      </c>
      <c r="E230">
        <v>1.0357000000000001</v>
      </c>
      <c r="F230">
        <v>1808050.62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-0.74977817213842057</v>
      </c>
      <c r="Q230">
        <f t="shared" si="960"/>
        <v>-1355636.888997338</v>
      </c>
      <c r="R230">
        <f t="shared" si="961"/>
        <v>-195012643.56342283</v>
      </c>
      <c r="S230">
        <f t="shared" si="962"/>
        <v>-1950.1264356342283</v>
      </c>
      <c r="T230">
        <f t="shared" si="963"/>
        <v>-1.9501264356342283</v>
      </c>
    </row>
    <row r="231" spans="1:20" x14ac:dyDescent="0.25">
      <c r="A231" s="5">
        <v>44362</v>
      </c>
      <c r="B231">
        <v>1.1292</v>
      </c>
      <c r="C231">
        <v>1.2</v>
      </c>
      <c r="D231">
        <v>1.0900000000000001</v>
      </c>
      <c r="E231">
        <v>1.1299999999999999</v>
      </c>
      <c r="F231">
        <v>2318133.42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-0.27272727272727532</v>
      </c>
      <c r="Q231">
        <f t="shared" si="960"/>
        <v>-632218.20545455138</v>
      </c>
      <c r="R231">
        <f t="shared" si="961"/>
        <v>-193657006.67442548</v>
      </c>
      <c r="S231">
        <f t="shared" si="962"/>
        <v>-1936.5700667442547</v>
      </c>
      <c r="T231">
        <f t="shared" si="963"/>
        <v>-1.9365700667442547</v>
      </c>
    </row>
    <row r="232" spans="1:20" x14ac:dyDescent="0.25">
      <c r="A232" s="5">
        <v>44361</v>
      </c>
      <c r="B232">
        <v>1.097</v>
      </c>
      <c r="C232">
        <v>1.18</v>
      </c>
      <c r="D232">
        <v>1.0650999999999999</v>
      </c>
      <c r="E232">
        <v>1.1294999999999999</v>
      </c>
      <c r="F232">
        <v>2153659.48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0.12097476066144494</v>
      </c>
      <c r="Q232">
        <f t="shared" si="960"/>
        <v>260538.44013925196</v>
      </c>
      <c r="R232">
        <f t="shared" si="961"/>
        <v>-193024788.46897092</v>
      </c>
      <c r="S232">
        <f t="shared" si="962"/>
        <v>-1930.2478846897093</v>
      </c>
      <c r="T232">
        <f t="shared" si="963"/>
        <v>-1.9302478846897093</v>
      </c>
    </row>
    <row r="233" spans="1:20" x14ac:dyDescent="0.25">
      <c r="A233" s="5">
        <v>44360</v>
      </c>
      <c r="B233">
        <v>1.0224</v>
      </c>
      <c r="C233">
        <v>1.1073999999999999</v>
      </c>
      <c r="D233">
        <v>1.0024</v>
      </c>
      <c r="E233">
        <v>1.0943000000000001</v>
      </c>
      <c r="F233">
        <v>2098194.4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0.75047619047619252</v>
      </c>
      <c r="Q233">
        <f t="shared" si="960"/>
        <v>1574644.9401904803</v>
      </c>
      <c r="R233">
        <f t="shared" si="961"/>
        <v>-193285326.90911019</v>
      </c>
      <c r="S233">
        <f t="shared" si="962"/>
        <v>-1932.853269091102</v>
      </c>
      <c r="T233">
        <f t="shared" si="963"/>
        <v>-1.932853269091102</v>
      </c>
    </row>
    <row r="234" spans="1:20" x14ac:dyDescent="0.25">
      <c r="A234" s="5">
        <v>44359</v>
      </c>
      <c r="B234">
        <v>1.0334000000000001</v>
      </c>
      <c r="C234">
        <v>1.0959000000000001</v>
      </c>
      <c r="D234">
        <v>0.97109999999999996</v>
      </c>
      <c r="E234">
        <v>1.0236000000000001</v>
      </c>
      <c r="F234">
        <v>3384144.97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-0.15865384615384542</v>
      </c>
      <c r="Q234">
        <f t="shared" si="960"/>
        <v>-536907.6154326899</v>
      </c>
      <c r="R234">
        <f t="shared" si="961"/>
        <v>-194859971.84930068</v>
      </c>
      <c r="S234">
        <f t="shared" si="962"/>
        <v>-1948.5997184930068</v>
      </c>
      <c r="T234">
        <f t="shared" si="963"/>
        <v>-1.9485997184930068</v>
      </c>
    </row>
    <row r="235" spans="1:20" x14ac:dyDescent="0.25">
      <c r="A235" s="5">
        <v>44358</v>
      </c>
      <c r="B235">
        <v>1.1904999999999999</v>
      </c>
      <c r="C235">
        <v>1.2078</v>
      </c>
      <c r="D235">
        <v>1.0166999999999999</v>
      </c>
      <c r="E235">
        <v>1.0338000000000001</v>
      </c>
      <c r="F235">
        <v>3795041.31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-0.82103610675039129</v>
      </c>
      <c r="Q235">
        <f t="shared" si="960"/>
        <v>-3115865.942119305</v>
      </c>
      <c r="R235">
        <f t="shared" si="961"/>
        <v>-194323064.233868</v>
      </c>
      <c r="S235">
        <f t="shared" si="962"/>
        <v>-1943.2306423386801</v>
      </c>
      <c r="T235">
        <f t="shared" si="963"/>
        <v>-1.94323064233868</v>
      </c>
    </row>
    <row r="236" spans="1:20" x14ac:dyDescent="0.25">
      <c r="A236" s="5">
        <v>44357</v>
      </c>
      <c r="B236">
        <v>1.1041000000000001</v>
      </c>
      <c r="C236">
        <v>1.25</v>
      </c>
      <c r="D236">
        <v>1.0575000000000001</v>
      </c>
      <c r="E236">
        <v>1.1904999999999999</v>
      </c>
      <c r="F236">
        <v>5965247.7800000003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0.38181818181818034</v>
      </c>
      <c r="Q236">
        <f t="shared" si="960"/>
        <v>2277640.0614545369</v>
      </c>
      <c r="R236">
        <f t="shared" si="961"/>
        <v>-191207198.2917487</v>
      </c>
      <c r="S236">
        <f t="shared" si="962"/>
        <v>-1912.071982917487</v>
      </c>
      <c r="T236">
        <f t="shared" si="963"/>
        <v>-1.912071982917487</v>
      </c>
    </row>
    <row r="237" spans="1:20" x14ac:dyDescent="0.25">
      <c r="A237" s="5">
        <v>44356</v>
      </c>
      <c r="B237">
        <v>1.0125</v>
      </c>
      <c r="C237">
        <v>1.1499999999999999</v>
      </c>
      <c r="D237">
        <v>0.95669999999999999</v>
      </c>
      <c r="E237">
        <v>1.1000000000000001</v>
      </c>
      <c r="F237">
        <v>4089282.99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0.48266942576306421</v>
      </c>
      <c r="Q237">
        <f t="shared" si="960"/>
        <v>1973771.8725659663</v>
      </c>
      <c r="R237">
        <f t="shared" si="961"/>
        <v>-193484838.35320324</v>
      </c>
      <c r="S237">
        <f t="shared" si="962"/>
        <v>-1934.8483835320324</v>
      </c>
      <c r="T237">
        <f t="shared" si="963"/>
        <v>-1.9348483835320323</v>
      </c>
    </row>
    <row r="238" spans="1:20" x14ac:dyDescent="0.25">
      <c r="A238" s="5">
        <v>44355</v>
      </c>
      <c r="B238">
        <v>0.99239999999999995</v>
      </c>
      <c r="C238">
        <v>1.0641</v>
      </c>
      <c r="D238">
        <v>0.87929999999999997</v>
      </c>
      <c r="E238">
        <v>1.0121</v>
      </c>
      <c r="F238">
        <v>3511869.63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0.43722943722943697</v>
      </c>
      <c r="Q238">
        <f t="shared" si="960"/>
        <v>1535492.7819480509</v>
      </c>
      <c r="R238">
        <f t="shared" si="961"/>
        <v>-195458610.22576919</v>
      </c>
      <c r="S238">
        <f t="shared" si="962"/>
        <v>-1954.5861022576919</v>
      </c>
      <c r="T238">
        <f t="shared" si="963"/>
        <v>-1.9545861022576918</v>
      </c>
    </row>
    <row r="239" spans="1:20" x14ac:dyDescent="0.25">
      <c r="A239" s="5">
        <v>44354</v>
      </c>
      <c r="B239">
        <v>1.1000000000000001</v>
      </c>
      <c r="C239">
        <v>1.2461</v>
      </c>
      <c r="D239">
        <v>0.98580000000000001</v>
      </c>
      <c r="E239">
        <v>0.98950000000000005</v>
      </c>
      <c r="F239">
        <v>5487389.8899999997</v>
      </c>
      <c r="G239">
        <v>0</v>
      </c>
      <c r="L239" t="s">
        <v>8</v>
      </c>
      <c r="M239" t="s">
        <v>8</v>
      </c>
      <c r="N239" t="s">
        <v>7</v>
      </c>
      <c r="P239">
        <f t="shared" si="959"/>
        <v>-0.97157126392623872</v>
      </c>
      <c r="Q239">
        <f t="shared" si="960"/>
        <v>-5331390.3310833639</v>
      </c>
      <c r="R239">
        <f t="shared" si="961"/>
        <v>-196994103.00771725</v>
      </c>
      <c r="S239">
        <f t="shared" si="962"/>
        <v>-1969.9410300771726</v>
      </c>
      <c r="T239">
        <f t="shared" si="963"/>
        <v>-1.9699410300771727</v>
      </c>
    </row>
    <row r="240" spans="1:20" x14ac:dyDescent="0.25">
      <c r="A240" s="5">
        <v>44353</v>
      </c>
      <c r="B240">
        <v>1.0304</v>
      </c>
      <c r="C240">
        <v>1.2139</v>
      </c>
      <c r="D240">
        <v>1.0199</v>
      </c>
      <c r="E240">
        <v>1.1000000000000001</v>
      </c>
      <c r="F240">
        <v>5178637.79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-0.1742268041237105</v>
      </c>
      <c r="Q240">
        <f t="shared" si="960"/>
        <v>-902257.51186597499</v>
      </c>
      <c r="R240">
        <f t="shared" si="961"/>
        <v>-191662712.67663389</v>
      </c>
      <c r="S240">
        <f t="shared" si="962"/>
        <v>-1916.627126766339</v>
      </c>
      <c r="T240">
        <f t="shared" si="963"/>
        <v>-1.9166271267663391</v>
      </c>
    </row>
    <row r="241" spans="1:20" x14ac:dyDescent="0.25">
      <c r="A241" s="5">
        <v>44352</v>
      </c>
      <c r="B241">
        <v>1.0669999999999999</v>
      </c>
      <c r="C241">
        <v>1.1552</v>
      </c>
      <c r="D241">
        <v>0.99990000000000001</v>
      </c>
      <c r="E241">
        <v>1.0303</v>
      </c>
      <c r="F241">
        <v>2598798.6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-0.6084996780424986</v>
      </c>
      <c r="Q241">
        <f t="shared" si="960"/>
        <v>-1581368.1113972962</v>
      </c>
      <c r="R241">
        <f t="shared" si="961"/>
        <v>-190760455.16476792</v>
      </c>
      <c r="S241">
        <f t="shared" si="962"/>
        <v>-1907.6045516476793</v>
      </c>
      <c r="T241">
        <f t="shared" si="963"/>
        <v>-1.9076045516476792</v>
      </c>
    </row>
    <row r="242" spans="1:20" x14ac:dyDescent="0.25">
      <c r="A242" s="5">
        <v>44351</v>
      </c>
      <c r="B242">
        <v>1.1688000000000001</v>
      </c>
      <c r="C242">
        <v>1.1738999999999999</v>
      </c>
      <c r="D242">
        <v>0.99750000000000005</v>
      </c>
      <c r="E242">
        <v>1.0669</v>
      </c>
      <c r="F242">
        <v>2949928.27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-0.2131519274376423</v>
      </c>
      <c r="Q242">
        <f t="shared" si="960"/>
        <v>-628782.89655328973</v>
      </c>
      <c r="R242">
        <f t="shared" si="961"/>
        <v>-189179087.05337062</v>
      </c>
      <c r="S242">
        <f t="shared" si="962"/>
        <v>-1891.7908705337063</v>
      </c>
      <c r="T242">
        <f t="shared" si="963"/>
        <v>-1.8917908705337063</v>
      </c>
    </row>
    <row r="243" spans="1:20" x14ac:dyDescent="0.25">
      <c r="A243" s="5">
        <v>44350</v>
      </c>
      <c r="B243">
        <v>1.1501999999999999</v>
      </c>
      <c r="C243">
        <v>1.2136</v>
      </c>
      <c r="D243">
        <v>1.121</v>
      </c>
      <c r="E243">
        <v>1.1688000000000001</v>
      </c>
      <c r="F243">
        <v>2991254.53</v>
      </c>
      <c r="G243">
        <v>0</v>
      </c>
      <c r="L243" t="s">
        <v>7</v>
      </c>
      <c r="M243" t="s">
        <v>7</v>
      </c>
      <c r="N243" t="s">
        <v>8</v>
      </c>
      <c r="P243">
        <f t="shared" si="959"/>
        <v>3.2397408207344637E-2</v>
      </c>
      <c r="Q243">
        <f t="shared" si="960"/>
        <v>96908.894060478822</v>
      </c>
      <c r="R243">
        <f t="shared" si="961"/>
        <v>-188550304.15681735</v>
      </c>
      <c r="S243">
        <f t="shared" si="962"/>
        <v>-1885.5030415681736</v>
      </c>
      <c r="T243">
        <f t="shared" si="963"/>
        <v>-1.8855030415681735</v>
      </c>
    </row>
    <row r="244" spans="1:20" x14ac:dyDescent="0.25">
      <c r="A244" s="5">
        <v>44349</v>
      </c>
      <c r="B244">
        <v>1.1409</v>
      </c>
      <c r="C244">
        <v>1.206</v>
      </c>
      <c r="D244">
        <v>1.1027</v>
      </c>
      <c r="E244">
        <v>1.1529</v>
      </c>
      <c r="F244">
        <v>4363096.84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-2.8073572120037794E-2</v>
      </c>
      <c r="Q244">
        <f t="shared" si="960"/>
        <v>-122487.713804449</v>
      </c>
      <c r="R244">
        <f t="shared" si="961"/>
        <v>-188647213.05087784</v>
      </c>
      <c r="S244">
        <f t="shared" si="962"/>
        <v>-1886.4721305087785</v>
      </c>
      <c r="T244">
        <f t="shared" si="963"/>
        <v>-1.8864721305087786</v>
      </c>
    </row>
    <row r="245" spans="1:20" x14ac:dyDescent="0.25">
      <c r="A245" s="5">
        <v>44348</v>
      </c>
      <c r="B245">
        <v>1.2737000000000001</v>
      </c>
      <c r="C245">
        <v>1.2998000000000001</v>
      </c>
      <c r="D245">
        <v>1.0895999999999999</v>
      </c>
      <c r="E245">
        <v>1.1409</v>
      </c>
      <c r="F245">
        <v>7753146.9500000002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-0.51189343482397642</v>
      </c>
      <c r="Q245">
        <f t="shared" si="960"/>
        <v>-3968785.0229305369</v>
      </c>
      <c r="R245">
        <f t="shared" si="961"/>
        <v>-188524725.33707339</v>
      </c>
      <c r="S245">
        <f t="shared" si="962"/>
        <v>-1885.2472533707339</v>
      </c>
      <c r="T245">
        <f t="shared" si="963"/>
        <v>-1.8852472533707338</v>
      </c>
    </row>
    <row r="246" spans="1:20" x14ac:dyDescent="0.25">
      <c r="A246" s="5">
        <v>44347</v>
      </c>
      <c r="B246">
        <v>0.94489999999999996</v>
      </c>
      <c r="C246">
        <v>1.385</v>
      </c>
      <c r="D246">
        <v>0.9042</v>
      </c>
      <c r="E246">
        <v>1.2737000000000001</v>
      </c>
      <c r="F246">
        <v>16889041.82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0.53702163061564079</v>
      </c>
      <c r="Q246">
        <f t="shared" si="960"/>
        <v>9069780.7777121495</v>
      </c>
      <c r="R246">
        <f t="shared" si="961"/>
        <v>-184555940.31414285</v>
      </c>
      <c r="S246">
        <f t="shared" si="962"/>
        <v>-1845.5594031414284</v>
      </c>
      <c r="T246">
        <f t="shared" si="963"/>
        <v>-1.8455594031414284</v>
      </c>
    </row>
    <row r="247" spans="1:20" x14ac:dyDescent="0.25">
      <c r="A247" s="5">
        <v>44346</v>
      </c>
      <c r="B247">
        <v>0.89159999999999995</v>
      </c>
      <c r="C247">
        <v>0.99</v>
      </c>
      <c r="D247">
        <v>0.83299999999999996</v>
      </c>
      <c r="E247">
        <v>0.9466</v>
      </c>
      <c r="F247">
        <v>1774340.31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0.44713375796178362</v>
      </c>
      <c r="Q247">
        <f t="shared" si="960"/>
        <v>793367.45071337617</v>
      </c>
      <c r="R247">
        <f t="shared" si="961"/>
        <v>-193625721.09185499</v>
      </c>
      <c r="S247">
        <f t="shared" si="962"/>
        <v>-1936.2572109185498</v>
      </c>
      <c r="T247">
        <f t="shared" si="963"/>
        <v>-1.9362572109185499</v>
      </c>
    </row>
    <row r="248" spans="1:20" x14ac:dyDescent="0.25">
      <c r="A248" s="5">
        <v>44345</v>
      </c>
      <c r="B248">
        <v>0.9536</v>
      </c>
      <c r="C248">
        <v>1.02</v>
      </c>
      <c r="D248">
        <v>0.83069999999999999</v>
      </c>
      <c r="E248">
        <v>0.89170000000000005</v>
      </c>
      <c r="F248">
        <v>2614535.5699999998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-0.35552033808769101</v>
      </c>
      <c r="Q248">
        <f t="shared" si="960"/>
        <v>-929520.56978869392</v>
      </c>
      <c r="R248">
        <f t="shared" si="961"/>
        <v>-194419088.54256836</v>
      </c>
      <c r="S248">
        <f t="shared" si="962"/>
        <v>-1944.1908854256835</v>
      </c>
      <c r="T248">
        <f t="shared" si="963"/>
        <v>-1.9441908854256835</v>
      </c>
    </row>
    <row r="249" spans="1:20" x14ac:dyDescent="0.25">
      <c r="A249" s="5">
        <v>44344</v>
      </c>
      <c r="B249">
        <v>1.1186</v>
      </c>
      <c r="C249">
        <v>1.1449</v>
      </c>
      <c r="D249">
        <v>0.91239999999999999</v>
      </c>
      <c r="E249">
        <v>0.95199999999999996</v>
      </c>
      <c r="F249">
        <v>3434944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-0.6593548387096777</v>
      </c>
      <c r="Q249">
        <f t="shared" si="960"/>
        <v>-2264846.9470967753</v>
      </c>
      <c r="R249">
        <f t="shared" si="961"/>
        <v>-193489567.97277966</v>
      </c>
      <c r="S249">
        <f t="shared" si="962"/>
        <v>-1934.8956797277965</v>
      </c>
      <c r="T249">
        <f t="shared" si="963"/>
        <v>-1.9348956797277965</v>
      </c>
    </row>
    <row r="250" spans="1:20" x14ac:dyDescent="0.25">
      <c r="A250" s="5">
        <v>44343</v>
      </c>
      <c r="B250">
        <v>1.1765000000000001</v>
      </c>
      <c r="C250">
        <v>1.25</v>
      </c>
      <c r="D250">
        <v>1.0088999999999999</v>
      </c>
      <c r="E250">
        <v>1.1183000000000001</v>
      </c>
      <c r="F250">
        <v>4126641.26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-9.2492741600994424E-2</v>
      </c>
      <c r="Q250">
        <f t="shared" si="960"/>
        <v>-381684.36374118202</v>
      </c>
      <c r="R250">
        <f t="shared" si="961"/>
        <v>-191224721.0256829</v>
      </c>
      <c r="S250">
        <f t="shared" si="962"/>
        <v>-1912.247210256829</v>
      </c>
      <c r="T250">
        <f t="shared" si="963"/>
        <v>-1.9122472102568291</v>
      </c>
    </row>
    <row r="251" spans="1:20" x14ac:dyDescent="0.25">
      <c r="A251" s="5">
        <v>44342</v>
      </c>
      <c r="B251">
        <v>1.0149999999999999</v>
      </c>
      <c r="C251">
        <v>1.2484</v>
      </c>
      <c r="D251">
        <v>0.98529999999999995</v>
      </c>
      <c r="E251">
        <v>1.175</v>
      </c>
      <c r="F251">
        <v>5367709.1500000004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0.44203724819460349</v>
      </c>
      <c r="Q251">
        <f t="shared" si="960"/>
        <v>2372727.3817749945</v>
      </c>
      <c r="R251">
        <f t="shared" si="961"/>
        <v>-190843036.66194171</v>
      </c>
      <c r="S251">
        <f t="shared" si="962"/>
        <v>-1908.4303666194171</v>
      </c>
      <c r="T251">
        <f t="shared" si="963"/>
        <v>-1.9084303666194171</v>
      </c>
    </row>
    <row r="252" spans="1:20" x14ac:dyDescent="0.25">
      <c r="A252" s="5">
        <v>44341</v>
      </c>
      <c r="B252">
        <v>1.0273000000000001</v>
      </c>
      <c r="C252">
        <v>1.0587</v>
      </c>
      <c r="D252">
        <v>0.88670000000000004</v>
      </c>
      <c r="E252">
        <v>1.0145999999999999</v>
      </c>
      <c r="F252">
        <v>2740447.74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0.48720930232558085</v>
      </c>
      <c r="Q252">
        <f t="shared" si="960"/>
        <v>1335171.6314651149</v>
      </c>
      <c r="R252">
        <f t="shared" si="961"/>
        <v>-193215764.0437167</v>
      </c>
      <c r="S252">
        <f t="shared" si="962"/>
        <v>-1932.1576404371669</v>
      </c>
      <c r="T252">
        <f t="shared" si="963"/>
        <v>-1.932157640437167</v>
      </c>
    </row>
    <row r="253" spans="1:20" x14ac:dyDescent="0.25">
      <c r="A253" s="5">
        <v>44340</v>
      </c>
      <c r="B253">
        <v>0.81930000000000003</v>
      </c>
      <c r="C253">
        <v>1.0965</v>
      </c>
      <c r="D253">
        <v>0.79210000000000003</v>
      </c>
      <c r="E253">
        <v>1.0289999999999999</v>
      </c>
      <c r="F253">
        <v>2800092.89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0.55650459921156303</v>
      </c>
      <c r="Q253">
        <f t="shared" si="960"/>
        <v>1558264.5715045973</v>
      </c>
      <c r="R253">
        <f t="shared" si="961"/>
        <v>-194550935.67518181</v>
      </c>
      <c r="S253">
        <f t="shared" si="962"/>
        <v>-1945.5093567518181</v>
      </c>
      <c r="T253">
        <f t="shared" si="963"/>
        <v>-1.9455093567518182</v>
      </c>
    </row>
    <row r="254" spans="1:20" x14ac:dyDescent="0.25">
      <c r="A254" s="5">
        <v>44339</v>
      </c>
      <c r="B254">
        <v>1.0047999999999999</v>
      </c>
      <c r="C254">
        <v>1.0548</v>
      </c>
      <c r="D254">
        <v>0.66410000000000002</v>
      </c>
      <c r="E254">
        <v>0.81930000000000003</v>
      </c>
      <c r="F254">
        <v>4946161.59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-0.2055285385206039</v>
      </c>
      <c r="Q254">
        <f t="shared" si="960"/>
        <v>-1016577.3628794465</v>
      </c>
      <c r="R254">
        <f t="shared" si="961"/>
        <v>-196109200.2466864</v>
      </c>
      <c r="S254">
        <f t="shared" si="962"/>
        <v>-1961.092002466864</v>
      </c>
      <c r="T254">
        <f t="shared" si="963"/>
        <v>-1.9610920024668639</v>
      </c>
    </row>
    <row r="255" spans="1:20" x14ac:dyDescent="0.25">
      <c r="A255" s="5">
        <v>44338</v>
      </c>
      <c r="B255">
        <v>1.0911</v>
      </c>
      <c r="C255">
        <v>1.113</v>
      </c>
      <c r="D255">
        <v>0.92500000000000004</v>
      </c>
      <c r="E255">
        <v>1.0032000000000001</v>
      </c>
      <c r="F255">
        <v>2973253.54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-0.16808510638297797</v>
      </c>
      <c r="Q255">
        <f t="shared" si="960"/>
        <v>-499759.63757446583</v>
      </c>
      <c r="R255">
        <f t="shared" si="961"/>
        <v>-195092622.88380694</v>
      </c>
      <c r="S255">
        <f t="shared" si="962"/>
        <v>-1950.9262288380694</v>
      </c>
      <c r="T255">
        <f t="shared" si="963"/>
        <v>-1.9509262288380693</v>
      </c>
    </row>
    <row r="256" spans="1:20" x14ac:dyDescent="0.25">
      <c r="A256" s="5">
        <v>44337</v>
      </c>
      <c r="B256">
        <v>1.3192999999999999</v>
      </c>
      <c r="C256">
        <v>1.3711</v>
      </c>
      <c r="D256">
        <v>0.92379999999999995</v>
      </c>
      <c r="E256">
        <v>1.0906</v>
      </c>
      <c r="F256">
        <v>4883589.96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-0.25419181757209902</v>
      </c>
      <c r="Q256">
        <f t="shared" si="960"/>
        <v>-1241368.6082092545</v>
      </c>
      <c r="R256">
        <f t="shared" si="961"/>
        <v>-194592863.24623248</v>
      </c>
      <c r="S256">
        <f t="shared" si="962"/>
        <v>-1945.9286324623247</v>
      </c>
      <c r="T256">
        <f t="shared" si="963"/>
        <v>-1.9459286324623246</v>
      </c>
    </row>
    <row r="257" spans="1:20" x14ac:dyDescent="0.25">
      <c r="A257" s="5">
        <v>44336</v>
      </c>
      <c r="B257">
        <v>1.1141000000000001</v>
      </c>
      <c r="C257">
        <v>1.4100999999999999</v>
      </c>
      <c r="D257">
        <v>1.0004999999999999</v>
      </c>
      <c r="E257">
        <v>1.3192999999999999</v>
      </c>
      <c r="F257">
        <v>5711836.3099999996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0.556640625</v>
      </c>
      <c r="Q257">
        <f t="shared" si="960"/>
        <v>3179440.1334960936</v>
      </c>
      <c r="R257">
        <f t="shared" si="961"/>
        <v>-193351494.63802323</v>
      </c>
      <c r="S257">
        <f t="shared" si="962"/>
        <v>-1933.5149463802322</v>
      </c>
      <c r="T257">
        <f t="shared" si="963"/>
        <v>-1.9335149463802321</v>
      </c>
    </row>
    <row r="258" spans="1:20" x14ac:dyDescent="0.25">
      <c r="A258" s="5">
        <v>44335</v>
      </c>
      <c r="B258">
        <v>1.7074</v>
      </c>
      <c r="C258">
        <v>1.7351000000000001</v>
      </c>
      <c r="D258">
        <v>0.86970000000000003</v>
      </c>
      <c r="E258">
        <v>1.1142000000000001</v>
      </c>
      <c r="F258">
        <v>7117971.4900000002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-0.43494337878437711</v>
      </c>
      <c r="Q258">
        <f t="shared" si="960"/>
        <v>-3095914.5699514672</v>
      </c>
      <c r="R258">
        <f t="shared" si="961"/>
        <v>-196530934.77151933</v>
      </c>
      <c r="S258">
        <f t="shared" si="962"/>
        <v>-1965.3093477151933</v>
      </c>
      <c r="T258">
        <f t="shared" si="963"/>
        <v>-1.9653093477151933</v>
      </c>
    </row>
    <row r="259" spans="1:20" x14ac:dyDescent="0.25">
      <c r="A259" s="5">
        <v>44334</v>
      </c>
      <c r="B259">
        <v>1.7202999999999999</v>
      </c>
      <c r="C259">
        <v>1.82</v>
      </c>
      <c r="D259">
        <v>1.655</v>
      </c>
      <c r="E259">
        <v>1.7076</v>
      </c>
      <c r="F259">
        <v>3233325.1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-0.36242424242424282</v>
      </c>
      <c r="Q259">
        <f t="shared" si="960"/>
        <v>-1171835.3998787892</v>
      </c>
      <c r="R259">
        <f t="shared" si="961"/>
        <v>-193435020.20156786</v>
      </c>
      <c r="S259">
        <f t="shared" si="962"/>
        <v>-1934.3502020156786</v>
      </c>
      <c r="T259">
        <f t="shared" si="963"/>
        <v>-1.9343502020156786</v>
      </c>
    </row>
    <row r="260" spans="1:20" x14ac:dyDescent="0.25">
      <c r="A260" s="5">
        <v>44333</v>
      </c>
      <c r="B260">
        <v>1.7662</v>
      </c>
      <c r="C260">
        <v>1.94</v>
      </c>
      <c r="D260">
        <v>1.5302</v>
      </c>
      <c r="E260">
        <v>1.7196</v>
      </c>
      <c r="F260">
        <v>6415331.96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-7.5646656905807519E-2</v>
      </c>
      <c r="Q260">
        <f t="shared" si="960"/>
        <v>-485298.41571498167</v>
      </c>
      <c r="R260">
        <f t="shared" si="961"/>
        <v>-192263184.80168906</v>
      </c>
      <c r="S260">
        <f t="shared" si="962"/>
        <v>-1922.6318480168907</v>
      </c>
      <c r="T260">
        <f t="shared" si="963"/>
        <v>-1.9226318480168907</v>
      </c>
    </row>
    <row r="261" spans="1:20" x14ac:dyDescent="0.25">
      <c r="A261" s="5">
        <v>44332</v>
      </c>
      <c r="B261">
        <v>1.7343999999999999</v>
      </c>
      <c r="C261">
        <v>1.9624999999999999</v>
      </c>
      <c r="D261">
        <v>1.6129</v>
      </c>
      <c r="E261">
        <v>1.7661</v>
      </c>
      <c r="F261">
        <v>4817996.74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-0.123569794050343</v>
      </c>
      <c r="Q261">
        <f t="shared" si="960"/>
        <v>-595358.864897024</v>
      </c>
      <c r="R261">
        <f t="shared" si="961"/>
        <v>-191777886.38597408</v>
      </c>
      <c r="S261">
        <f t="shared" si="962"/>
        <v>-1917.7788638597408</v>
      </c>
      <c r="T261">
        <f t="shared" si="963"/>
        <v>-1.9177788638597408</v>
      </c>
    </row>
    <row r="262" spans="1:20" x14ac:dyDescent="0.25">
      <c r="A262" s="5">
        <v>44331</v>
      </c>
      <c r="B262">
        <v>1.9533</v>
      </c>
      <c r="C262">
        <v>2.0497999999999998</v>
      </c>
      <c r="D262">
        <v>1.7152000000000001</v>
      </c>
      <c r="E262">
        <v>1.7327999999999999</v>
      </c>
      <c r="F262">
        <v>4045573.73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-0.8947997609085484</v>
      </c>
      <c r="Q262">
        <f t="shared" ref="Q262:Q325" si="965">F262*P262</f>
        <v>-3619978.4063419043</v>
      </c>
      <c r="R262">
        <f t="shared" ref="R262:R325" si="966">R263+Q262</f>
        <v>-191182527.52107707</v>
      </c>
      <c r="S262">
        <f t="shared" ref="S262:S325" si="967">R262/100000</f>
        <v>-1911.8252752107708</v>
      </c>
      <c r="T262">
        <f t="shared" ref="T262:T325" si="968">S262/1000</f>
        <v>-1.9118252752107707</v>
      </c>
    </row>
    <row r="263" spans="1:20" x14ac:dyDescent="0.25">
      <c r="A263" s="5">
        <v>44330</v>
      </c>
      <c r="B263">
        <v>1.8549</v>
      </c>
      <c r="C263">
        <v>2.0577999999999999</v>
      </c>
      <c r="D263">
        <v>1.8398000000000001</v>
      </c>
      <c r="E263">
        <v>1.9533</v>
      </c>
      <c r="F263">
        <v>5575648.8499999996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4.1284403669725363E-2</v>
      </c>
      <c r="Q263">
        <f t="shared" si="965"/>
        <v>230187.33784403998</v>
      </c>
      <c r="R263">
        <f t="shared" si="966"/>
        <v>-187562549.11473516</v>
      </c>
      <c r="S263">
        <f t="shared" si="967"/>
        <v>-1875.6254911473516</v>
      </c>
      <c r="T263">
        <f t="shared" si="968"/>
        <v>-1.8756254911473516</v>
      </c>
    </row>
    <row r="264" spans="1:20" x14ac:dyDescent="0.25">
      <c r="A264" s="5">
        <v>44329</v>
      </c>
      <c r="B264">
        <v>1.7713000000000001</v>
      </c>
      <c r="C264">
        <v>2.1758000000000002</v>
      </c>
      <c r="D264">
        <v>1.6819999999999999</v>
      </c>
      <c r="E264">
        <v>1.8554999999999999</v>
      </c>
      <c r="F264">
        <v>6774646.8799999999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-0.29728635074929161</v>
      </c>
      <c r="Q264">
        <f t="shared" si="965"/>
        <v>-2014010.0485702739</v>
      </c>
      <c r="R264">
        <f t="shared" si="966"/>
        <v>-187792736.4525792</v>
      </c>
      <c r="S264">
        <f t="shared" si="967"/>
        <v>-1877.927364525792</v>
      </c>
      <c r="T264">
        <f t="shared" si="968"/>
        <v>-1.8779273645257919</v>
      </c>
    </row>
    <row r="265" spans="1:20" x14ac:dyDescent="0.25">
      <c r="A265" s="5">
        <v>44328</v>
      </c>
      <c r="B265">
        <v>2.2395999999999998</v>
      </c>
      <c r="C265">
        <v>2.2999999999999998</v>
      </c>
      <c r="D265">
        <v>1.75</v>
      </c>
      <c r="E265">
        <v>1.7725</v>
      </c>
      <c r="F265">
        <v>9123714.8599999994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-0.91818181818181832</v>
      </c>
      <c r="Q265">
        <f t="shared" si="965"/>
        <v>-8377229.0987272738</v>
      </c>
      <c r="R265">
        <f t="shared" si="966"/>
        <v>-185778726.40400892</v>
      </c>
      <c r="S265">
        <f t="shared" si="967"/>
        <v>-1857.7872640400892</v>
      </c>
      <c r="T265">
        <f t="shared" si="968"/>
        <v>-1.8577872640400892</v>
      </c>
    </row>
    <row r="266" spans="1:20" x14ac:dyDescent="0.25">
      <c r="A266" s="5">
        <v>44327</v>
      </c>
      <c r="B266">
        <v>2.0964</v>
      </c>
      <c r="C266">
        <v>2.3559999999999999</v>
      </c>
      <c r="D266">
        <v>2</v>
      </c>
      <c r="E266">
        <v>2.2372000000000001</v>
      </c>
      <c r="F266">
        <v>8956163.2699999996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0.33258426966292226</v>
      </c>
      <c r="Q266">
        <f t="shared" si="965"/>
        <v>2978679.0201348397</v>
      </c>
      <c r="R266">
        <f t="shared" si="966"/>
        <v>-177401497.30528164</v>
      </c>
      <c r="S266">
        <f t="shared" si="967"/>
        <v>-1774.0149730528165</v>
      </c>
      <c r="T266">
        <f t="shared" si="968"/>
        <v>-1.7740149730528165</v>
      </c>
    </row>
    <row r="267" spans="1:20" x14ac:dyDescent="0.25">
      <c r="A267" s="5">
        <v>44326</v>
      </c>
      <c r="B267">
        <v>2.3771</v>
      </c>
      <c r="C267">
        <v>2.4980000000000002</v>
      </c>
      <c r="D267">
        <v>2.0114999999999998</v>
      </c>
      <c r="E267">
        <v>2.0983000000000001</v>
      </c>
      <c r="F267">
        <v>10948418.949999999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-0.64316546762589866</v>
      </c>
      <c r="Q267">
        <f t="shared" si="965"/>
        <v>-7041644.9937410001</v>
      </c>
      <c r="R267">
        <f t="shared" si="966"/>
        <v>-180380176.32541648</v>
      </c>
      <c r="S267">
        <f t="shared" si="967"/>
        <v>-1803.8017632541648</v>
      </c>
      <c r="T267">
        <f t="shared" si="968"/>
        <v>-1.8038017632541647</v>
      </c>
    </row>
    <row r="268" spans="1:20" x14ac:dyDescent="0.25">
      <c r="A268" s="5">
        <v>44325</v>
      </c>
      <c r="B268">
        <v>2.6374</v>
      </c>
      <c r="C268">
        <v>2.9580000000000002</v>
      </c>
      <c r="D268">
        <v>2.2883</v>
      </c>
      <c r="E268">
        <v>2.3774000000000002</v>
      </c>
      <c r="F268">
        <v>25478422.600000001</v>
      </c>
      <c r="G268">
        <v>0</v>
      </c>
      <c r="L268" t="s">
        <v>8</v>
      </c>
      <c r="M268" t="s">
        <v>8</v>
      </c>
      <c r="N268" t="s">
        <v>7</v>
      </c>
      <c r="P268">
        <f t="shared" si="964"/>
        <v>-0.73391070628639643</v>
      </c>
      <c r="Q268">
        <f t="shared" si="965"/>
        <v>-18698887.125429288</v>
      </c>
      <c r="R268">
        <f t="shared" si="966"/>
        <v>-173338531.33167547</v>
      </c>
      <c r="S268">
        <f t="shared" si="967"/>
        <v>-1733.3853133167547</v>
      </c>
      <c r="T268">
        <f t="shared" si="968"/>
        <v>-1.7333853133167547</v>
      </c>
    </row>
    <row r="269" spans="1:20" x14ac:dyDescent="0.25">
      <c r="A269" s="5">
        <v>44324</v>
      </c>
      <c r="B269">
        <v>2.2831999999999999</v>
      </c>
      <c r="C269">
        <v>2.6802000000000001</v>
      </c>
      <c r="D269">
        <v>2.2334000000000001</v>
      </c>
      <c r="E269">
        <v>2.6408</v>
      </c>
      <c r="F269">
        <v>18836530.75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0.82363473589973102</v>
      </c>
      <c r="Q269">
        <f t="shared" si="965"/>
        <v>15514421.029543413</v>
      </c>
      <c r="R269">
        <f t="shared" si="966"/>
        <v>-154639644.20624617</v>
      </c>
      <c r="S269">
        <f t="shared" si="967"/>
        <v>-1546.3964420624616</v>
      </c>
      <c r="T269">
        <f t="shared" si="968"/>
        <v>-1.5463964420624616</v>
      </c>
    </row>
    <row r="270" spans="1:20" x14ac:dyDescent="0.25">
      <c r="A270" s="5">
        <v>44323</v>
      </c>
      <c r="B270">
        <v>2.4615999999999998</v>
      </c>
      <c r="C270">
        <v>2.6078999999999999</v>
      </c>
      <c r="D270">
        <v>2.2031999999999998</v>
      </c>
      <c r="E270">
        <v>2.2877999999999998</v>
      </c>
      <c r="F270">
        <v>17960687.5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-0.58191252779836922</v>
      </c>
      <c r="Q270">
        <f t="shared" si="965"/>
        <v>-10451549.064121572</v>
      </c>
      <c r="R270">
        <f t="shared" si="966"/>
        <v>-170154065.23578957</v>
      </c>
      <c r="S270">
        <f t="shared" si="967"/>
        <v>-1701.5406523578956</v>
      </c>
      <c r="T270">
        <f t="shared" si="968"/>
        <v>-1.7015406523578955</v>
      </c>
    </row>
    <row r="271" spans="1:20" x14ac:dyDescent="0.25">
      <c r="A271" s="5">
        <v>44322</v>
      </c>
      <c r="B271">
        <v>3.0051999999999999</v>
      </c>
      <c r="C271">
        <v>3.4628000000000001</v>
      </c>
      <c r="D271">
        <v>2.4298000000000002</v>
      </c>
      <c r="E271">
        <v>2.4582000000000002</v>
      </c>
      <c r="F271">
        <v>68034412.730000004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-0.94501452081316561</v>
      </c>
      <c r="Q271">
        <f t="shared" si="965"/>
        <v>-64293507.944846086</v>
      </c>
      <c r="R271">
        <f t="shared" si="966"/>
        <v>-159702516.17166799</v>
      </c>
      <c r="S271">
        <f t="shared" si="967"/>
        <v>-1597.02516171668</v>
      </c>
      <c r="T271">
        <f t="shared" si="968"/>
        <v>-1.59702516171668</v>
      </c>
    </row>
    <row r="272" spans="1:20" x14ac:dyDescent="0.25">
      <c r="A272" s="5">
        <v>44321</v>
      </c>
      <c r="B272">
        <v>1.7264999999999999</v>
      </c>
      <c r="C272">
        <v>3.7227000000000001</v>
      </c>
      <c r="D272">
        <v>1.71</v>
      </c>
      <c r="E272">
        <v>3.0112000000000001</v>
      </c>
      <c r="F272">
        <v>106850207.95999999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0.29298951656978189</v>
      </c>
      <c r="Q272">
        <f t="shared" si="965"/>
        <v>31305990.775581058</v>
      </c>
      <c r="R272">
        <f t="shared" si="966"/>
        <v>-95409008.226821899</v>
      </c>
      <c r="S272">
        <f t="shared" si="967"/>
        <v>-954.09008226821902</v>
      </c>
      <c r="T272">
        <f t="shared" si="968"/>
        <v>-0.95409008226821901</v>
      </c>
    </row>
    <row r="273" spans="1:20" x14ac:dyDescent="0.25">
      <c r="A273" s="5">
        <v>44320</v>
      </c>
      <c r="B273">
        <v>1.8734</v>
      </c>
      <c r="C273">
        <v>1.9179999999999999</v>
      </c>
      <c r="D273">
        <v>1.6572</v>
      </c>
      <c r="E273">
        <v>1.7265999999999999</v>
      </c>
      <c r="F273">
        <v>6430900.1900000004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-0.46779141104294536</v>
      </c>
      <c r="Q273">
        <f t="shared" si="965"/>
        <v>-3008319.8741564457</v>
      </c>
      <c r="R273">
        <f t="shared" si="966"/>
        <v>-126714999.00240296</v>
      </c>
      <c r="S273">
        <f t="shared" si="967"/>
        <v>-1267.1499900240296</v>
      </c>
      <c r="T273">
        <f t="shared" si="968"/>
        <v>-1.2671499900240297</v>
      </c>
    </row>
    <row r="274" spans="1:20" x14ac:dyDescent="0.25">
      <c r="A274" s="5">
        <v>44319</v>
      </c>
      <c r="B274">
        <v>1.9113</v>
      </c>
      <c r="C274">
        <v>2.0449999999999999</v>
      </c>
      <c r="D274">
        <v>1.8705000000000001</v>
      </c>
      <c r="E274">
        <v>1.8726</v>
      </c>
      <c r="F274">
        <v>4328215.5999999996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-0.97593123209169064</v>
      </c>
      <c r="Q274">
        <f t="shared" si="965"/>
        <v>-4224040.7832664754</v>
      </c>
      <c r="R274">
        <f t="shared" si="966"/>
        <v>-123706679.12824652</v>
      </c>
      <c r="S274">
        <f t="shared" si="967"/>
        <v>-1237.0667912824651</v>
      </c>
      <c r="T274">
        <f t="shared" si="968"/>
        <v>-1.2370667912824651</v>
      </c>
    </row>
    <row r="275" spans="1:20" x14ac:dyDescent="0.25">
      <c r="A275" s="5">
        <v>44318</v>
      </c>
      <c r="B275">
        <v>1.8645</v>
      </c>
      <c r="C275">
        <v>2.1</v>
      </c>
      <c r="D275">
        <v>1.7285999999999999</v>
      </c>
      <c r="E275">
        <v>1.9113</v>
      </c>
      <c r="F275">
        <v>7788136.5999999996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-1.6155088852988699E-2</v>
      </c>
      <c r="Q275">
        <f t="shared" si="965"/>
        <v>-125818.0387722133</v>
      </c>
      <c r="R275">
        <f t="shared" si="966"/>
        <v>-119482638.34498005</v>
      </c>
      <c r="S275">
        <f t="shared" si="967"/>
        <v>-1194.8263834498005</v>
      </c>
      <c r="T275">
        <f t="shared" si="968"/>
        <v>-1.1948263834498005</v>
      </c>
    </row>
    <row r="276" spans="1:20" x14ac:dyDescent="0.25">
      <c r="A276" s="5">
        <v>44317</v>
      </c>
      <c r="B276">
        <v>1.9187000000000001</v>
      </c>
      <c r="C276">
        <v>1.9401999999999999</v>
      </c>
      <c r="D276">
        <v>1.8206</v>
      </c>
      <c r="E276">
        <v>1.8648</v>
      </c>
      <c r="F276">
        <v>4649564.25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-0.26086956521739058</v>
      </c>
      <c r="Q276">
        <f t="shared" si="965"/>
        <v>-1212929.8043478227</v>
      </c>
      <c r="R276">
        <f t="shared" si="966"/>
        <v>-119356820.30620784</v>
      </c>
      <c r="S276">
        <f t="shared" si="967"/>
        <v>-1193.5682030620783</v>
      </c>
      <c r="T276">
        <f t="shared" si="968"/>
        <v>-1.1935682030620782</v>
      </c>
    </row>
    <row r="277" spans="1:20" x14ac:dyDescent="0.25">
      <c r="A277" s="5">
        <v>44316</v>
      </c>
      <c r="B277">
        <v>1.9759</v>
      </c>
      <c r="C277">
        <v>2.0988000000000002</v>
      </c>
      <c r="D277">
        <v>1.8815999999999999</v>
      </c>
      <c r="E277">
        <v>1.9198</v>
      </c>
      <c r="F277">
        <v>6123560.9400000004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-0.64825046040515688</v>
      </c>
      <c r="Q277">
        <f t="shared" si="965"/>
        <v>-3969601.1986740357</v>
      </c>
      <c r="R277">
        <f t="shared" si="966"/>
        <v>-118143890.50186001</v>
      </c>
      <c r="S277">
        <f t="shared" si="967"/>
        <v>-1181.4389050186001</v>
      </c>
      <c r="T277">
        <f t="shared" si="968"/>
        <v>-1.1814389050186</v>
      </c>
    </row>
    <row r="278" spans="1:20" x14ac:dyDescent="0.25">
      <c r="A278" s="5">
        <v>44315</v>
      </c>
      <c r="B278">
        <v>1.75</v>
      </c>
      <c r="C278">
        <v>2.133</v>
      </c>
      <c r="D278">
        <v>1.6779999999999999</v>
      </c>
      <c r="E278">
        <v>1.9749000000000001</v>
      </c>
      <c r="F278">
        <v>13588830.140000001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0.30505494505494557</v>
      </c>
      <c r="Q278">
        <f t="shared" si="965"/>
        <v>4145339.8317186884</v>
      </c>
      <c r="R278">
        <f t="shared" si="966"/>
        <v>-114174289.30318597</v>
      </c>
      <c r="S278">
        <f t="shared" si="967"/>
        <v>-1141.7428930318597</v>
      </c>
      <c r="T278">
        <f t="shared" si="968"/>
        <v>-1.1417428930318596</v>
      </c>
    </row>
    <row r="279" spans="1:20" x14ac:dyDescent="0.25">
      <c r="A279" s="5">
        <v>44314</v>
      </c>
      <c r="B279">
        <v>1.8432999999999999</v>
      </c>
      <c r="C279">
        <v>1.9098999999999999</v>
      </c>
      <c r="D279">
        <v>1.6267</v>
      </c>
      <c r="E279">
        <v>1.7484</v>
      </c>
      <c r="F279">
        <v>6847553.7999999998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-0.14053672316384205</v>
      </c>
      <c r="Q279">
        <f t="shared" si="965"/>
        <v>-962332.7727401146</v>
      </c>
      <c r="R279">
        <f t="shared" si="966"/>
        <v>-118319629.13490465</v>
      </c>
      <c r="S279">
        <f t="shared" si="967"/>
        <v>-1183.1962913490465</v>
      </c>
      <c r="T279">
        <f t="shared" si="968"/>
        <v>-1.1831962913490466</v>
      </c>
    </row>
    <row r="280" spans="1:20" x14ac:dyDescent="0.25">
      <c r="A280" s="5">
        <v>44313</v>
      </c>
      <c r="B280">
        <v>1.7274</v>
      </c>
      <c r="C280">
        <v>1.8647</v>
      </c>
      <c r="D280">
        <v>1.6823999999999999</v>
      </c>
      <c r="E280">
        <v>1.845</v>
      </c>
      <c r="F280">
        <v>8305016.4100000001</v>
      </c>
      <c r="G280">
        <v>0</v>
      </c>
      <c r="L280" t="s">
        <v>8</v>
      </c>
      <c r="M280" t="s">
        <v>7</v>
      </c>
      <c r="N280" t="s">
        <v>8</v>
      </c>
      <c r="P280">
        <f t="shared" si="964"/>
        <v>0.78387273724629691</v>
      </c>
      <c r="Q280">
        <f t="shared" si="965"/>
        <v>6510075.9461821141</v>
      </c>
      <c r="R280">
        <f t="shared" si="966"/>
        <v>-117357296.36216454</v>
      </c>
      <c r="S280">
        <f t="shared" si="967"/>
        <v>-1173.5729636216454</v>
      </c>
      <c r="T280">
        <f t="shared" si="968"/>
        <v>-1.1735729636216454</v>
      </c>
    </row>
    <row r="281" spans="1:20" x14ac:dyDescent="0.25">
      <c r="A281" s="5">
        <v>44312</v>
      </c>
      <c r="B281">
        <v>1.8648</v>
      </c>
      <c r="C281">
        <v>1.8655999999999999</v>
      </c>
      <c r="D281">
        <v>1.6244000000000001</v>
      </c>
      <c r="E281">
        <v>1.7267999999999999</v>
      </c>
      <c r="F281">
        <v>14394324.84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-0.15091210613598768</v>
      </c>
      <c r="Q281">
        <f t="shared" si="965"/>
        <v>-2172277.8780099638</v>
      </c>
      <c r="R281">
        <f t="shared" si="966"/>
        <v>-123867372.30834666</v>
      </c>
      <c r="S281">
        <f t="shared" si="967"/>
        <v>-1238.6737230834665</v>
      </c>
      <c r="T281">
        <f t="shared" si="968"/>
        <v>-1.2386737230834666</v>
      </c>
    </row>
    <row r="282" spans="1:20" x14ac:dyDescent="0.25">
      <c r="A282" s="5">
        <v>44311</v>
      </c>
      <c r="B282">
        <v>1.2289000000000001</v>
      </c>
      <c r="C282">
        <v>2</v>
      </c>
      <c r="D282">
        <v>1.2168000000000001</v>
      </c>
      <c r="E282">
        <v>1.8649</v>
      </c>
      <c r="F282">
        <v>40226058.689999998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0.65500510725229821</v>
      </c>
      <c r="Q282">
        <f t="shared" si="965"/>
        <v>26348273.886580691</v>
      </c>
      <c r="R282">
        <f t="shared" si="966"/>
        <v>-121695094.4303367</v>
      </c>
      <c r="S282">
        <f t="shared" si="967"/>
        <v>-1216.9509443033669</v>
      </c>
      <c r="T282">
        <f t="shared" si="968"/>
        <v>-1.2169509443033668</v>
      </c>
    </row>
    <row r="283" spans="1:20" x14ac:dyDescent="0.25">
      <c r="A283" s="5">
        <v>44310</v>
      </c>
      <c r="B283">
        <v>1.3927</v>
      </c>
      <c r="C283">
        <v>1.4245000000000001</v>
      </c>
      <c r="D283">
        <v>1.1978</v>
      </c>
      <c r="E283">
        <v>1.2259</v>
      </c>
      <c r="F283">
        <v>4543285.1100000003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-0.75209528010586679</v>
      </c>
      <c r="Q283">
        <f t="shared" si="965"/>
        <v>-3416983.2874062639</v>
      </c>
      <c r="R283">
        <f t="shared" si="966"/>
        <v>-148043368.31691739</v>
      </c>
      <c r="S283">
        <f t="shared" si="967"/>
        <v>-1480.4336831691739</v>
      </c>
      <c r="T283">
        <f t="shared" si="968"/>
        <v>-1.480433683169174</v>
      </c>
    </row>
    <row r="284" spans="1:20" x14ac:dyDescent="0.25">
      <c r="A284" s="5">
        <v>44309</v>
      </c>
      <c r="B284">
        <v>1.512</v>
      </c>
      <c r="C284">
        <v>1.5436000000000001</v>
      </c>
      <c r="D284">
        <v>1.1729000000000001</v>
      </c>
      <c r="E284">
        <v>1.3917999999999999</v>
      </c>
      <c r="F284">
        <v>6139894.2400000002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0.18100890207715056</v>
      </c>
      <c r="Q284">
        <f t="shared" si="965"/>
        <v>1111375.5152522209</v>
      </c>
      <c r="R284">
        <f t="shared" si="966"/>
        <v>-144626385.02951112</v>
      </c>
      <c r="S284">
        <f t="shared" si="967"/>
        <v>-1446.2638502951113</v>
      </c>
      <c r="T284">
        <f t="shared" si="968"/>
        <v>-1.4462638502951113</v>
      </c>
    </row>
    <row r="285" spans="1:20" x14ac:dyDescent="0.25">
      <c r="A285" s="5">
        <v>44308</v>
      </c>
      <c r="B285">
        <v>1.6668000000000001</v>
      </c>
      <c r="C285">
        <v>1.7851999999999999</v>
      </c>
      <c r="D285">
        <v>1.4710000000000001</v>
      </c>
      <c r="E285">
        <v>1.5125999999999999</v>
      </c>
      <c r="F285">
        <v>5713998.4199999999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-0.73520050922979063</v>
      </c>
      <c r="Q285">
        <f t="shared" si="965"/>
        <v>-4200934.5481222188</v>
      </c>
      <c r="R285">
        <f t="shared" si="966"/>
        <v>-145737760.54476336</v>
      </c>
      <c r="S285">
        <f t="shared" si="967"/>
        <v>-1457.3776054476336</v>
      </c>
      <c r="T285">
        <f t="shared" si="968"/>
        <v>-1.4573776054476337</v>
      </c>
    </row>
    <row r="286" spans="1:20" x14ac:dyDescent="0.25">
      <c r="A286" s="5">
        <v>44307</v>
      </c>
      <c r="B286">
        <v>1.7322</v>
      </c>
      <c r="C286">
        <v>1.95</v>
      </c>
      <c r="D286">
        <v>1.6538999999999999</v>
      </c>
      <c r="E286">
        <v>1.6693</v>
      </c>
      <c r="F286">
        <v>6874060.6500000004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-0.89598108747044869</v>
      </c>
      <c r="Q286">
        <f t="shared" si="965"/>
        <v>-6159028.33652482</v>
      </c>
      <c r="R286">
        <f t="shared" si="966"/>
        <v>-141536825.99664113</v>
      </c>
      <c r="S286">
        <f t="shared" si="967"/>
        <v>-1415.3682599664112</v>
      </c>
      <c r="T286">
        <f t="shared" si="968"/>
        <v>-1.4153682599664112</v>
      </c>
    </row>
    <row r="287" spans="1:20" x14ac:dyDescent="0.25">
      <c r="A287" s="5">
        <v>44306</v>
      </c>
      <c r="B287">
        <v>1.7626999999999999</v>
      </c>
      <c r="C287">
        <v>1.8097000000000001</v>
      </c>
      <c r="D287">
        <v>1.4852000000000001</v>
      </c>
      <c r="E287">
        <v>1.7317</v>
      </c>
      <c r="F287">
        <v>5621528.6399999997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0.51926040061633238</v>
      </c>
      <c r="Q287">
        <f t="shared" si="965"/>
        <v>2919037.2136825859</v>
      </c>
      <c r="R287">
        <f t="shared" si="966"/>
        <v>-135377797.66011631</v>
      </c>
      <c r="S287">
        <f t="shared" si="967"/>
        <v>-1353.7779766011631</v>
      </c>
      <c r="T287">
        <f t="shared" si="968"/>
        <v>-1.3537779766011631</v>
      </c>
    </row>
    <row r="288" spans="1:20" x14ac:dyDescent="0.25">
      <c r="A288" s="5">
        <v>44305</v>
      </c>
      <c r="B288">
        <v>1.9166000000000001</v>
      </c>
      <c r="C288">
        <v>1.96</v>
      </c>
      <c r="D288">
        <v>1.7278</v>
      </c>
      <c r="E288">
        <v>1.7635000000000001</v>
      </c>
      <c r="F288">
        <v>5692786.8099999996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-0.69250645994831983</v>
      </c>
      <c r="Q288">
        <f t="shared" si="965"/>
        <v>-3942291.641033588</v>
      </c>
      <c r="R288">
        <f t="shared" si="966"/>
        <v>-138296834.87379891</v>
      </c>
      <c r="S288">
        <f t="shared" si="967"/>
        <v>-1382.9683487379891</v>
      </c>
      <c r="T288">
        <f t="shared" si="968"/>
        <v>-1.3829683487379891</v>
      </c>
    </row>
    <row r="289" spans="1:20" x14ac:dyDescent="0.25">
      <c r="A289" s="5">
        <v>44304</v>
      </c>
      <c r="B289">
        <v>2.3115999999999999</v>
      </c>
      <c r="C289">
        <v>2.3862999999999999</v>
      </c>
      <c r="D289">
        <v>1.7305999999999999</v>
      </c>
      <c r="E289">
        <v>1.9178999999999999</v>
      </c>
      <c r="F289">
        <v>4589244.2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-0.4287021503736464</v>
      </c>
      <c r="Q289">
        <f t="shared" si="965"/>
        <v>-1967418.8571297845</v>
      </c>
      <c r="R289">
        <f t="shared" si="966"/>
        <v>-134354543.23276532</v>
      </c>
      <c r="S289">
        <f t="shared" si="967"/>
        <v>-1343.5454323276531</v>
      </c>
      <c r="T289">
        <f t="shared" si="968"/>
        <v>-1.343545432327653</v>
      </c>
    </row>
    <row r="290" spans="1:20" x14ac:dyDescent="0.25">
      <c r="A290" s="5">
        <v>44303</v>
      </c>
      <c r="B290">
        <v>2.2216999999999998</v>
      </c>
      <c r="C290">
        <v>2.4100999999999999</v>
      </c>
      <c r="D290">
        <v>2.2111000000000001</v>
      </c>
      <c r="E290">
        <v>2.3119000000000001</v>
      </c>
      <c r="F290">
        <v>4434908.22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1.3065326633166632E-2</v>
      </c>
      <c r="Q290">
        <f t="shared" si="965"/>
        <v>57943.524482415618</v>
      </c>
      <c r="R290">
        <f t="shared" si="966"/>
        <v>-132387124.37563552</v>
      </c>
      <c r="S290">
        <f t="shared" si="967"/>
        <v>-1323.8712437563552</v>
      </c>
      <c r="T290">
        <f t="shared" si="968"/>
        <v>-1.3238712437563551</v>
      </c>
    </row>
    <row r="291" spans="1:20" x14ac:dyDescent="0.25">
      <c r="A291" s="5">
        <v>44302</v>
      </c>
      <c r="B291">
        <v>2.3033999999999999</v>
      </c>
      <c r="C291">
        <v>2.3142999999999998</v>
      </c>
      <c r="D291">
        <v>2.0630999999999999</v>
      </c>
      <c r="E291">
        <v>2.2214</v>
      </c>
      <c r="F291">
        <v>4433949.99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0.2603503184713391</v>
      </c>
      <c r="Q291">
        <f t="shared" si="965"/>
        <v>1154380.2919824908</v>
      </c>
      <c r="R291">
        <f t="shared" si="966"/>
        <v>-132445067.90011793</v>
      </c>
      <c r="S291">
        <f t="shared" si="967"/>
        <v>-1324.4506790011794</v>
      </c>
      <c r="T291">
        <f t="shared" si="968"/>
        <v>-1.3244506790011794</v>
      </c>
    </row>
    <row r="292" spans="1:20" x14ac:dyDescent="0.25">
      <c r="A292" s="5">
        <v>44301</v>
      </c>
      <c r="B292">
        <v>2.2728999999999999</v>
      </c>
      <c r="C292">
        <v>2.4152999999999998</v>
      </c>
      <c r="D292">
        <v>2.2507000000000001</v>
      </c>
      <c r="E292">
        <v>2.3075999999999999</v>
      </c>
      <c r="F292">
        <v>3947689.23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-0.30862697448359838</v>
      </c>
      <c r="Q292">
        <f t="shared" si="965"/>
        <v>-1218363.383256386</v>
      </c>
      <c r="R292">
        <f t="shared" si="966"/>
        <v>-133599448.19210042</v>
      </c>
      <c r="S292">
        <f t="shared" si="967"/>
        <v>-1335.9944819210043</v>
      </c>
      <c r="T292">
        <f t="shared" si="968"/>
        <v>-1.3359944819210043</v>
      </c>
    </row>
    <row r="293" spans="1:20" x14ac:dyDescent="0.25">
      <c r="A293" s="5">
        <v>44300</v>
      </c>
      <c r="B293">
        <v>2.2723</v>
      </c>
      <c r="C293">
        <v>2.3207</v>
      </c>
      <c r="D293">
        <v>2.1667000000000001</v>
      </c>
      <c r="E293">
        <v>2.2774999999999999</v>
      </c>
      <c r="F293">
        <v>5534610.6799999997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0.438961038961037</v>
      </c>
      <c r="Q293">
        <f t="shared" si="965"/>
        <v>2429478.4543376514</v>
      </c>
      <c r="R293">
        <f t="shared" si="966"/>
        <v>-132381084.80884403</v>
      </c>
      <c r="S293">
        <f t="shared" si="967"/>
        <v>-1323.8108480884403</v>
      </c>
      <c r="T293">
        <f t="shared" si="968"/>
        <v>-1.3238108480884403</v>
      </c>
    </row>
    <row r="294" spans="1:20" x14ac:dyDescent="0.25">
      <c r="A294" s="5">
        <v>44299</v>
      </c>
      <c r="B294">
        <v>2.4765000000000001</v>
      </c>
      <c r="C294">
        <v>2.5228000000000002</v>
      </c>
      <c r="D294">
        <v>2.2559</v>
      </c>
      <c r="E294">
        <v>2.27</v>
      </c>
      <c r="F294">
        <v>5403365.5099999998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-0.89434245035593862</v>
      </c>
      <c r="Q294">
        <f t="shared" si="965"/>
        <v>-4832459.1503821658</v>
      </c>
      <c r="R294">
        <f t="shared" si="966"/>
        <v>-134810563.26318169</v>
      </c>
      <c r="S294">
        <f t="shared" si="967"/>
        <v>-1348.1056326318169</v>
      </c>
      <c r="T294">
        <f t="shared" si="968"/>
        <v>-1.3481056326318168</v>
      </c>
    </row>
    <row r="295" spans="1:20" x14ac:dyDescent="0.25">
      <c r="A295" s="5">
        <v>44298</v>
      </c>
      <c r="B295">
        <v>2.5882999999999998</v>
      </c>
      <c r="C295">
        <v>2.7014</v>
      </c>
      <c r="D295">
        <v>2.4367999999999999</v>
      </c>
      <c r="E295">
        <v>2.4851999999999999</v>
      </c>
      <c r="F295">
        <v>4213290.91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-0.63416477702192009</v>
      </c>
      <c r="Q295">
        <f t="shared" si="965"/>
        <v>-2671920.6904686331</v>
      </c>
      <c r="R295">
        <f t="shared" si="966"/>
        <v>-129978104.11279953</v>
      </c>
      <c r="S295">
        <f t="shared" si="967"/>
        <v>-1299.7810411279952</v>
      </c>
      <c r="T295">
        <f t="shared" si="968"/>
        <v>-1.2997810411279951</v>
      </c>
    </row>
    <row r="296" spans="1:20" x14ac:dyDescent="0.25">
      <c r="A296" s="5">
        <v>44297</v>
      </c>
      <c r="B296">
        <v>2.5076000000000001</v>
      </c>
      <c r="C296">
        <v>2.72</v>
      </c>
      <c r="D296">
        <v>2.4357000000000002</v>
      </c>
      <c r="E296">
        <v>2.5871</v>
      </c>
      <c r="F296">
        <v>5124404.18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6.5072106929298337E-2</v>
      </c>
      <c r="Q296">
        <f t="shared" si="965"/>
        <v>333455.77674990334</v>
      </c>
      <c r="R296">
        <f t="shared" si="966"/>
        <v>-127306183.42233089</v>
      </c>
      <c r="S296">
        <f t="shared" si="967"/>
        <v>-1273.0618342233088</v>
      </c>
      <c r="T296">
        <f t="shared" si="968"/>
        <v>-1.2730618342233089</v>
      </c>
    </row>
    <row r="297" spans="1:20" x14ac:dyDescent="0.25">
      <c r="A297" s="5">
        <v>44296</v>
      </c>
      <c r="B297">
        <v>2.5398999999999998</v>
      </c>
      <c r="C297">
        <v>2.7507999999999999</v>
      </c>
      <c r="D297">
        <v>2.403</v>
      </c>
      <c r="E297">
        <v>2.5146000000000002</v>
      </c>
      <c r="F297">
        <v>5757340.8899999997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-0.35825186889016575</v>
      </c>
      <c r="Q297">
        <f t="shared" si="965"/>
        <v>-2062578.1336802701</v>
      </c>
      <c r="R297">
        <f t="shared" si="966"/>
        <v>-127639639.1990808</v>
      </c>
      <c r="S297">
        <f t="shared" si="967"/>
        <v>-1276.3963919908078</v>
      </c>
      <c r="T297">
        <f t="shared" si="968"/>
        <v>-1.2763963919908079</v>
      </c>
    </row>
    <row r="298" spans="1:20" x14ac:dyDescent="0.25">
      <c r="A298" s="5">
        <v>44295</v>
      </c>
      <c r="B298">
        <v>2.6604000000000001</v>
      </c>
      <c r="C298">
        <v>2.7242999999999999</v>
      </c>
      <c r="D298">
        <v>2.5123000000000002</v>
      </c>
      <c r="E298">
        <v>2.5369999999999999</v>
      </c>
      <c r="F298">
        <v>3929334.27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-0.76698113207547403</v>
      </c>
      <c r="Q298">
        <f t="shared" si="965"/>
        <v>-3013725.2467075563</v>
      </c>
      <c r="R298">
        <f t="shared" si="966"/>
        <v>-125577061.06540053</v>
      </c>
      <c r="S298">
        <f t="shared" si="967"/>
        <v>-1255.7706106540052</v>
      </c>
      <c r="T298">
        <f t="shared" si="968"/>
        <v>-1.2557706106540052</v>
      </c>
    </row>
    <row r="299" spans="1:20" x14ac:dyDescent="0.25">
      <c r="A299" s="5">
        <v>44294</v>
      </c>
      <c r="B299">
        <v>2.6080000000000001</v>
      </c>
      <c r="C299">
        <v>2.8</v>
      </c>
      <c r="D299">
        <v>2.5099999999999998</v>
      </c>
      <c r="E299">
        <v>2.6676000000000002</v>
      </c>
      <c r="F299">
        <v>4025164.62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8.6896551724140597E-2</v>
      </c>
      <c r="Q299">
        <f t="shared" si="965"/>
        <v>349772.92560001073</v>
      </c>
      <c r="R299">
        <f t="shared" si="966"/>
        <v>-122563335.81869297</v>
      </c>
      <c r="S299">
        <f t="shared" si="967"/>
        <v>-1225.6333581869296</v>
      </c>
      <c r="T299">
        <f t="shared" si="968"/>
        <v>-1.2256333581869296</v>
      </c>
    </row>
    <row r="300" spans="1:20" x14ac:dyDescent="0.25">
      <c r="A300" s="5">
        <v>44293</v>
      </c>
      <c r="B300">
        <v>2.9590999999999998</v>
      </c>
      <c r="C300">
        <v>2.9624999999999999</v>
      </c>
      <c r="D300">
        <v>2.44</v>
      </c>
      <c r="E300">
        <v>2.6015000000000001</v>
      </c>
      <c r="F300">
        <v>6075467.9199999999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-0.381818181818181</v>
      </c>
      <c r="Q300">
        <f t="shared" si="965"/>
        <v>-2319724.1149090859</v>
      </c>
      <c r="R300">
        <f t="shared" si="966"/>
        <v>-122913108.74429297</v>
      </c>
      <c r="S300">
        <f t="shared" si="967"/>
        <v>-1229.1310874429298</v>
      </c>
      <c r="T300">
        <f t="shared" si="968"/>
        <v>-1.2291310874429298</v>
      </c>
    </row>
    <row r="301" spans="1:20" x14ac:dyDescent="0.25">
      <c r="A301" s="5">
        <v>44292</v>
      </c>
      <c r="B301">
        <v>2.9874999999999998</v>
      </c>
      <c r="C301">
        <v>3.5</v>
      </c>
      <c r="D301">
        <v>2.7732999999999999</v>
      </c>
      <c r="E301">
        <v>2.9630000000000001</v>
      </c>
      <c r="F301">
        <v>9409774.3499999996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-0.477913857162515</v>
      </c>
      <c r="Q301">
        <f t="shared" si="965"/>
        <v>-4497061.5546373976</v>
      </c>
      <c r="R301">
        <f t="shared" si="966"/>
        <v>-120593384.62938389</v>
      </c>
      <c r="S301">
        <f t="shared" si="967"/>
        <v>-1205.933846293839</v>
      </c>
      <c r="T301">
        <f t="shared" si="968"/>
        <v>-1.2059338462938389</v>
      </c>
    </row>
    <row r="302" spans="1:20" x14ac:dyDescent="0.25">
      <c r="A302" s="5">
        <v>44291</v>
      </c>
      <c r="B302">
        <v>2.7185999999999999</v>
      </c>
      <c r="C302">
        <v>3.2</v>
      </c>
      <c r="D302">
        <v>2.536</v>
      </c>
      <c r="E302">
        <v>2.9977</v>
      </c>
      <c r="F302">
        <v>10559612.470000001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0.39066265060240934</v>
      </c>
      <c r="Q302">
        <f t="shared" si="965"/>
        <v>4125246.196864455</v>
      </c>
      <c r="R302">
        <f t="shared" si="966"/>
        <v>-116096323.07474649</v>
      </c>
      <c r="S302">
        <f t="shared" si="967"/>
        <v>-1160.9632307474649</v>
      </c>
      <c r="T302">
        <f t="shared" si="968"/>
        <v>-1.1609632307474649</v>
      </c>
    </row>
    <row r="303" spans="1:20" x14ac:dyDescent="0.25">
      <c r="A303" s="5">
        <v>44290</v>
      </c>
      <c r="B303">
        <v>2.5619999999999998</v>
      </c>
      <c r="C303">
        <v>2.7997000000000001</v>
      </c>
      <c r="D303">
        <v>2.5283000000000002</v>
      </c>
      <c r="E303">
        <v>2.7187000000000001</v>
      </c>
      <c r="F303">
        <v>4468327.78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0.40309506263817241</v>
      </c>
      <c r="Q303">
        <f t="shared" si="965"/>
        <v>1801160.866366986</v>
      </c>
      <c r="R303">
        <f t="shared" si="966"/>
        <v>-120221569.27161095</v>
      </c>
      <c r="S303">
        <f t="shared" si="967"/>
        <v>-1202.2156927161095</v>
      </c>
      <c r="T303">
        <f t="shared" si="968"/>
        <v>-1.2022156927161096</v>
      </c>
    </row>
    <row r="304" spans="1:20" x14ac:dyDescent="0.25">
      <c r="A304" s="5">
        <v>44289</v>
      </c>
      <c r="B304">
        <v>2.8199000000000001</v>
      </c>
      <c r="C304">
        <v>2.92</v>
      </c>
      <c r="D304">
        <v>2.5</v>
      </c>
      <c r="E304">
        <v>2.5640000000000001</v>
      </c>
      <c r="F304">
        <v>6874171.9900000002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-0.69523809523809488</v>
      </c>
      <c r="Q304">
        <f t="shared" si="965"/>
        <v>-4779186.2406666642</v>
      </c>
      <c r="R304">
        <f t="shared" si="966"/>
        <v>-122022730.13797793</v>
      </c>
      <c r="S304">
        <f t="shared" si="967"/>
        <v>-1220.2273013797792</v>
      </c>
      <c r="T304">
        <f t="shared" si="968"/>
        <v>-1.2202273013797791</v>
      </c>
    </row>
    <row r="305" spans="1:20" x14ac:dyDescent="0.25">
      <c r="A305" s="5">
        <v>44288</v>
      </c>
      <c r="B305">
        <v>2.5135999999999998</v>
      </c>
      <c r="C305">
        <v>2.8997999999999999</v>
      </c>
      <c r="D305">
        <v>2.4293</v>
      </c>
      <c r="E305">
        <v>2.82</v>
      </c>
      <c r="F305">
        <v>9001436.6300000008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0.66078639744952128</v>
      </c>
      <c r="Q305">
        <f t="shared" si="965"/>
        <v>5948026.8826078596</v>
      </c>
      <c r="R305">
        <f t="shared" si="966"/>
        <v>-117243543.89731127</v>
      </c>
      <c r="S305">
        <f t="shared" si="967"/>
        <v>-1172.4354389731127</v>
      </c>
      <c r="T305">
        <f t="shared" si="968"/>
        <v>-1.1724354389731126</v>
      </c>
    </row>
    <row r="306" spans="1:20" x14ac:dyDescent="0.25">
      <c r="A306" s="5">
        <v>44287</v>
      </c>
      <c r="B306">
        <v>2.6474000000000002</v>
      </c>
      <c r="C306">
        <v>2.7846000000000002</v>
      </c>
      <c r="D306">
        <v>2.4510000000000001</v>
      </c>
      <c r="E306">
        <v>2.5049999999999999</v>
      </c>
      <c r="F306">
        <v>5658994.9699999997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-0.67625899280575652</v>
      </c>
      <c r="Q306">
        <f t="shared" si="965"/>
        <v>-3826946.2387050423</v>
      </c>
      <c r="R306">
        <f t="shared" si="966"/>
        <v>-123191570.77991913</v>
      </c>
      <c r="S306">
        <f t="shared" si="967"/>
        <v>-1231.9157077991913</v>
      </c>
      <c r="T306">
        <f t="shared" si="968"/>
        <v>-1.2319157077991914</v>
      </c>
    </row>
    <row r="307" spans="1:20" x14ac:dyDescent="0.25">
      <c r="A307" s="5">
        <v>44286</v>
      </c>
      <c r="B307">
        <v>2.4540000000000002</v>
      </c>
      <c r="C307">
        <v>2.69</v>
      </c>
      <c r="D307">
        <v>2.2023000000000001</v>
      </c>
      <c r="E307">
        <v>2.6551999999999998</v>
      </c>
      <c r="F307">
        <v>7042160.8300000001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0.85728931720319801</v>
      </c>
      <c r="Q307">
        <f t="shared" si="965"/>
        <v>6037169.2495858064</v>
      </c>
      <c r="R307">
        <f t="shared" si="966"/>
        <v>-119364624.54121409</v>
      </c>
      <c r="S307">
        <f t="shared" si="967"/>
        <v>-1193.6462454121408</v>
      </c>
      <c r="T307">
        <f t="shared" si="968"/>
        <v>-1.1936462454121408</v>
      </c>
    </row>
    <row r="308" spans="1:20" x14ac:dyDescent="0.25">
      <c r="A308" s="5">
        <v>44285</v>
      </c>
      <c r="B308">
        <v>2.44</v>
      </c>
      <c r="C308">
        <v>2.68</v>
      </c>
      <c r="D308">
        <v>2.36</v>
      </c>
      <c r="E308">
        <v>2.456</v>
      </c>
      <c r="F308">
        <v>6071397.54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-0.4</v>
      </c>
      <c r="Q308">
        <f t="shared" si="965"/>
        <v>-2428559.0160000003</v>
      </c>
      <c r="R308">
        <f t="shared" si="966"/>
        <v>-125401793.7907999</v>
      </c>
      <c r="S308">
        <f t="shared" si="967"/>
        <v>-1254.0179379079991</v>
      </c>
      <c r="T308">
        <f t="shared" si="968"/>
        <v>-1.2540179379079992</v>
      </c>
    </row>
    <row r="309" spans="1:20" x14ac:dyDescent="0.25">
      <c r="A309" s="5">
        <v>44284</v>
      </c>
      <c r="B309">
        <v>2.0901000000000001</v>
      </c>
      <c r="C309">
        <v>2.4889999999999999</v>
      </c>
      <c r="D309">
        <v>2.0632000000000001</v>
      </c>
      <c r="E309">
        <v>2.44</v>
      </c>
      <c r="F309">
        <v>7308038.0099999998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0.76984499765147973</v>
      </c>
      <c r="Q309">
        <f t="shared" si="965"/>
        <v>5626056.5046453746</v>
      </c>
      <c r="R309">
        <f t="shared" si="966"/>
        <v>-122973234.7747999</v>
      </c>
      <c r="S309">
        <f t="shared" si="967"/>
        <v>-1229.732347747999</v>
      </c>
      <c r="T309">
        <f t="shared" si="968"/>
        <v>-1.2297323477479991</v>
      </c>
    </row>
    <row r="310" spans="1:20" x14ac:dyDescent="0.25">
      <c r="A310" s="5">
        <v>44283</v>
      </c>
      <c r="B310">
        <v>2.0952999999999999</v>
      </c>
      <c r="C310">
        <v>2.2305000000000001</v>
      </c>
      <c r="D310">
        <v>2.0084</v>
      </c>
      <c r="E310">
        <v>2.09</v>
      </c>
      <c r="F310">
        <v>4635757.42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-0.26519585772174853</v>
      </c>
      <c r="Q310">
        <f t="shared" si="965"/>
        <v>-1229383.6651868601</v>
      </c>
      <c r="R310">
        <f t="shared" si="966"/>
        <v>-128599291.27944528</v>
      </c>
      <c r="S310">
        <f t="shared" si="967"/>
        <v>-1285.9929127944526</v>
      </c>
      <c r="T310">
        <f t="shared" si="968"/>
        <v>-1.2859929127944527</v>
      </c>
    </row>
    <row r="311" spans="1:20" x14ac:dyDescent="0.25">
      <c r="A311" s="5">
        <v>44282</v>
      </c>
      <c r="B311">
        <v>2.1735000000000002</v>
      </c>
      <c r="C311">
        <v>2.2290000000000001</v>
      </c>
      <c r="D311">
        <v>2.0001000000000002</v>
      </c>
      <c r="E311">
        <v>2.0998999999999999</v>
      </c>
      <c r="F311">
        <v>4147641.5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-0.12800349497597449</v>
      </c>
      <c r="Q311">
        <f t="shared" si="965"/>
        <v>-530912.60790739325</v>
      </c>
      <c r="R311">
        <f t="shared" si="966"/>
        <v>-127369907.61425841</v>
      </c>
      <c r="S311">
        <f t="shared" si="967"/>
        <v>-1273.6990761425841</v>
      </c>
      <c r="T311">
        <f t="shared" si="968"/>
        <v>-1.2736990761425842</v>
      </c>
    </row>
    <row r="312" spans="1:20" x14ac:dyDescent="0.25">
      <c r="A312" s="5">
        <v>44281</v>
      </c>
      <c r="B312">
        <v>1.9336</v>
      </c>
      <c r="C312">
        <v>2.25</v>
      </c>
      <c r="D312">
        <v>1.9220999999999999</v>
      </c>
      <c r="E312">
        <v>2.1663999999999999</v>
      </c>
      <c r="F312">
        <v>5055194.28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0.4900884415980476</v>
      </c>
      <c r="Q312">
        <f t="shared" si="965"/>
        <v>2477492.2866605646</v>
      </c>
      <c r="R312">
        <f t="shared" si="966"/>
        <v>-126838995.00635101</v>
      </c>
      <c r="S312">
        <f t="shared" si="967"/>
        <v>-1268.38995006351</v>
      </c>
      <c r="T312">
        <f t="shared" si="968"/>
        <v>-1.2683899500635101</v>
      </c>
    </row>
    <row r="313" spans="1:20" x14ac:dyDescent="0.25">
      <c r="A313" s="5">
        <v>44280</v>
      </c>
      <c r="B313">
        <v>2.0701000000000001</v>
      </c>
      <c r="C313">
        <v>2.0968</v>
      </c>
      <c r="D313">
        <v>1.8516999999999999</v>
      </c>
      <c r="E313">
        <v>1.9300999999999999</v>
      </c>
      <c r="F313">
        <v>6172181.1900000004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-0.36026111791105675</v>
      </c>
      <c r="Q313">
        <f t="shared" si="965"/>
        <v>-2223596.8954589968</v>
      </c>
      <c r="R313">
        <f t="shared" si="966"/>
        <v>-129316487.29301158</v>
      </c>
      <c r="S313">
        <f t="shared" si="967"/>
        <v>-1293.1648729301157</v>
      </c>
      <c r="T313">
        <f t="shared" si="968"/>
        <v>-1.2931648729301157</v>
      </c>
    </row>
    <row r="314" spans="1:20" x14ac:dyDescent="0.25">
      <c r="A314" s="5">
        <v>44279</v>
      </c>
      <c r="B314">
        <v>2.2250000000000001</v>
      </c>
      <c r="C314">
        <v>2.5419999999999998</v>
      </c>
      <c r="D314">
        <v>2.0449999999999999</v>
      </c>
      <c r="E314">
        <v>2.0703999999999998</v>
      </c>
      <c r="F314">
        <v>6018035.9800000004</v>
      </c>
      <c r="G314">
        <v>0</v>
      </c>
      <c r="L314" t="s">
        <v>8</v>
      </c>
      <c r="M314" t="s">
        <v>7</v>
      </c>
      <c r="N314" t="s">
        <v>8</v>
      </c>
      <c r="P314">
        <f t="shared" si="964"/>
        <v>-0.89778672032193207</v>
      </c>
      <c r="Q314">
        <f t="shared" si="965"/>
        <v>-5402912.7852635849</v>
      </c>
      <c r="R314">
        <f t="shared" si="966"/>
        <v>-127092890.39755258</v>
      </c>
      <c r="S314">
        <f t="shared" si="967"/>
        <v>-1270.9289039755258</v>
      </c>
      <c r="T314">
        <f t="shared" si="968"/>
        <v>-1.2709289039755258</v>
      </c>
    </row>
    <row r="315" spans="1:20" x14ac:dyDescent="0.25">
      <c r="A315" s="5">
        <v>44278</v>
      </c>
      <c r="B315">
        <v>2.3502000000000001</v>
      </c>
      <c r="C315">
        <v>2.4662999999999999</v>
      </c>
      <c r="D315">
        <v>2.0790999999999999</v>
      </c>
      <c r="E315">
        <v>2.2292999999999998</v>
      </c>
      <c r="F315">
        <v>9187071.6099999994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-0.22417355371900882</v>
      </c>
      <c r="Q315">
        <f t="shared" si="965"/>
        <v>-2059498.4910847158</v>
      </c>
      <c r="R315">
        <f t="shared" si="966"/>
        <v>-121689977.612289</v>
      </c>
      <c r="S315">
        <f t="shared" si="967"/>
        <v>-1216.89977612289</v>
      </c>
      <c r="T315">
        <f t="shared" si="968"/>
        <v>-1.2168997761228899</v>
      </c>
    </row>
    <row r="316" spans="1:20" x14ac:dyDescent="0.25">
      <c r="A316" s="5">
        <v>44277</v>
      </c>
      <c r="B316">
        <v>2.3527999999999998</v>
      </c>
      <c r="C316">
        <v>2.8</v>
      </c>
      <c r="D316">
        <v>2.2063999999999999</v>
      </c>
      <c r="E316">
        <v>2.3462000000000001</v>
      </c>
      <c r="F316">
        <v>14541045.66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-0.52897574123989166</v>
      </c>
      <c r="Q316">
        <f t="shared" si="965"/>
        <v>-7691860.40640161</v>
      </c>
      <c r="R316">
        <f t="shared" si="966"/>
        <v>-119630479.12120429</v>
      </c>
      <c r="S316">
        <f t="shared" si="967"/>
        <v>-1196.3047912120428</v>
      </c>
      <c r="T316">
        <f t="shared" si="968"/>
        <v>-1.1963047912120428</v>
      </c>
    </row>
    <row r="317" spans="1:20" x14ac:dyDescent="0.25">
      <c r="A317" s="5">
        <v>44276</v>
      </c>
      <c r="B317">
        <v>2.2210999999999999</v>
      </c>
      <c r="C317">
        <v>2.3820000000000001</v>
      </c>
      <c r="D317">
        <v>1.97</v>
      </c>
      <c r="E317">
        <v>2.3563999999999998</v>
      </c>
      <c r="F317">
        <v>8473922.5999999996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0.87572815533980441</v>
      </c>
      <c r="Q317">
        <f t="shared" si="965"/>
        <v>7420852.6069902787</v>
      </c>
      <c r="R317">
        <f t="shared" si="966"/>
        <v>-111938618.71480268</v>
      </c>
      <c r="S317">
        <f t="shared" si="967"/>
        <v>-1119.3861871480269</v>
      </c>
      <c r="T317">
        <f t="shared" si="968"/>
        <v>-1.1193861871480268</v>
      </c>
    </row>
    <row r="318" spans="1:20" x14ac:dyDescent="0.25">
      <c r="A318" s="5">
        <v>44275</v>
      </c>
      <c r="B318">
        <v>1.9858</v>
      </c>
      <c r="C318">
        <v>2.4335</v>
      </c>
      <c r="D318">
        <v>1.9796</v>
      </c>
      <c r="E318">
        <v>2.2128000000000001</v>
      </c>
      <c r="F318">
        <v>8769130.9900000002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2.7539105529852784E-2</v>
      </c>
      <c r="Q318">
        <f t="shared" si="965"/>
        <v>241494.02373871242</v>
      </c>
      <c r="R318">
        <f t="shared" si="966"/>
        <v>-119359471.32179296</v>
      </c>
      <c r="S318">
        <f t="shared" si="967"/>
        <v>-1193.5947132179297</v>
      </c>
      <c r="T318">
        <f t="shared" si="968"/>
        <v>-1.1935947132179296</v>
      </c>
    </row>
    <row r="319" spans="1:20" x14ac:dyDescent="0.25">
      <c r="A319" s="5">
        <v>44274</v>
      </c>
      <c r="B319">
        <v>1.9735</v>
      </c>
      <c r="C319">
        <v>2.0682999999999998</v>
      </c>
      <c r="D319">
        <v>1.8826000000000001</v>
      </c>
      <c r="E319">
        <v>1.9858</v>
      </c>
      <c r="F319">
        <v>5156325.3600000003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0.11147011308562299</v>
      </c>
      <c r="Q319">
        <f t="shared" si="965"/>
        <v>574776.17098546575</v>
      </c>
      <c r="R319">
        <f t="shared" si="966"/>
        <v>-119600965.34553167</v>
      </c>
      <c r="S319">
        <f t="shared" si="967"/>
        <v>-1196.0096534553168</v>
      </c>
      <c r="T319">
        <f t="shared" si="968"/>
        <v>-1.1960096534553168</v>
      </c>
    </row>
    <row r="320" spans="1:20" x14ac:dyDescent="0.25">
      <c r="A320" s="5">
        <v>44273</v>
      </c>
      <c r="B320">
        <v>2.2018</v>
      </c>
      <c r="C320">
        <v>2.2107999999999999</v>
      </c>
      <c r="D320">
        <v>1.9339</v>
      </c>
      <c r="E320">
        <v>1.9672000000000001</v>
      </c>
      <c r="F320">
        <v>4833915.51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-0.75947995666305446</v>
      </c>
      <c r="Q320">
        <f t="shared" si="965"/>
        <v>-3671261.9420476668</v>
      </c>
      <c r="R320">
        <f t="shared" si="966"/>
        <v>-120175741.51651713</v>
      </c>
      <c r="S320">
        <f t="shared" si="967"/>
        <v>-1201.7574151651713</v>
      </c>
      <c r="T320">
        <f t="shared" si="968"/>
        <v>-1.2017574151651713</v>
      </c>
    </row>
    <row r="321" spans="1:20" x14ac:dyDescent="0.25">
      <c r="A321" s="5">
        <v>44272</v>
      </c>
      <c r="B321">
        <v>1.9092</v>
      </c>
      <c r="C321">
        <v>2.2017000000000002</v>
      </c>
      <c r="D321">
        <v>1.82</v>
      </c>
      <c r="E321">
        <v>2.1932</v>
      </c>
      <c r="F321">
        <v>6403610.3300000001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0.95546240503012747</v>
      </c>
      <c r="Q321">
        <f t="shared" si="965"/>
        <v>6118408.9267775686</v>
      </c>
      <c r="R321">
        <f t="shared" si="966"/>
        <v>-116504479.57446946</v>
      </c>
      <c r="S321">
        <f t="shared" si="967"/>
        <v>-1165.0447957446945</v>
      </c>
      <c r="T321">
        <f t="shared" si="968"/>
        <v>-1.1650447957446946</v>
      </c>
    </row>
    <row r="322" spans="1:20" x14ac:dyDescent="0.25">
      <c r="A322" s="5">
        <v>44271</v>
      </c>
      <c r="B322">
        <v>2.0440999999999998</v>
      </c>
      <c r="C322">
        <v>2.0739000000000001</v>
      </c>
      <c r="D322">
        <v>1.7887999999999999</v>
      </c>
      <c r="E322">
        <v>1.9089</v>
      </c>
      <c r="F322">
        <v>5542402.5300000003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-0.15748860049105548</v>
      </c>
      <c r="Q322">
        <f t="shared" si="965"/>
        <v>-872865.21780778514</v>
      </c>
      <c r="R322">
        <f t="shared" si="966"/>
        <v>-122622888.50124703</v>
      </c>
      <c r="S322">
        <f t="shared" si="967"/>
        <v>-1226.2288850124703</v>
      </c>
      <c r="T322">
        <f t="shared" si="968"/>
        <v>-1.2262288850124703</v>
      </c>
    </row>
    <row r="323" spans="1:20" x14ac:dyDescent="0.25">
      <c r="A323" s="5">
        <v>44270</v>
      </c>
      <c r="B323">
        <v>2.0468999999999999</v>
      </c>
      <c r="C323">
        <v>2.14</v>
      </c>
      <c r="D323">
        <v>1.82</v>
      </c>
      <c r="E323">
        <v>2.0407999999999999</v>
      </c>
      <c r="F323">
        <v>9637336.5899999999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0.37999999999999901</v>
      </c>
      <c r="Q323">
        <f t="shared" si="965"/>
        <v>3662187.9041999904</v>
      </c>
      <c r="R323">
        <f t="shared" si="966"/>
        <v>-121750023.28343925</v>
      </c>
      <c r="S323">
        <f t="shared" si="967"/>
        <v>-1217.5002328343926</v>
      </c>
      <c r="T323">
        <f t="shared" si="968"/>
        <v>-1.2175002328343927</v>
      </c>
    </row>
    <row r="324" spans="1:20" x14ac:dyDescent="0.25">
      <c r="A324" s="5">
        <v>44269</v>
      </c>
      <c r="B324">
        <v>2.0747</v>
      </c>
      <c r="C324">
        <v>2.4577</v>
      </c>
      <c r="D324">
        <v>1.9893000000000001</v>
      </c>
      <c r="E324">
        <v>2.0470999999999999</v>
      </c>
      <c r="F324">
        <v>11253358.16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-0.75320239111870257</v>
      </c>
      <c r="Q324">
        <f t="shared" si="965"/>
        <v>-8476056.2742271628</v>
      </c>
      <c r="R324">
        <f t="shared" si="966"/>
        <v>-125412211.18763924</v>
      </c>
      <c r="S324">
        <f t="shared" si="967"/>
        <v>-1254.1221118763924</v>
      </c>
      <c r="T324">
        <f t="shared" si="968"/>
        <v>-1.2541221118763923</v>
      </c>
    </row>
    <row r="325" spans="1:20" x14ac:dyDescent="0.25">
      <c r="A325" s="5">
        <v>44268</v>
      </c>
      <c r="B325">
        <v>1.9292</v>
      </c>
      <c r="C325">
        <v>2.1989999999999998</v>
      </c>
      <c r="D325">
        <v>1.8190999999999999</v>
      </c>
      <c r="E325">
        <v>2.0668000000000002</v>
      </c>
      <c r="F325">
        <v>8846446.6199999992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0.30402737562516619</v>
      </c>
      <c r="Q325">
        <f t="shared" si="965"/>
        <v>2689561.9494867213</v>
      </c>
      <c r="R325">
        <f t="shared" si="966"/>
        <v>-116936154.91341208</v>
      </c>
      <c r="S325">
        <f t="shared" si="967"/>
        <v>-1169.3615491341209</v>
      </c>
      <c r="T325">
        <f t="shared" si="968"/>
        <v>-1.1693615491341209</v>
      </c>
    </row>
    <row r="326" spans="1:20" x14ac:dyDescent="0.25">
      <c r="A326" s="5">
        <v>44267</v>
      </c>
      <c r="B326">
        <v>1.7504999999999999</v>
      </c>
      <c r="C326">
        <v>2.1</v>
      </c>
      <c r="D326">
        <v>1.6812</v>
      </c>
      <c r="E326">
        <v>1.9293</v>
      </c>
      <c r="F326">
        <v>10213038.609999999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0.18481375358166166</v>
      </c>
      <c r="Q326">
        <f t="shared" ref="Q326:Q389" si="970">F326*P326</f>
        <v>1887510.0009885363</v>
      </c>
      <c r="R326">
        <f t="shared" ref="R326:R389" si="971">R327+Q326</f>
        <v>-119625716.8628988</v>
      </c>
      <c r="S326">
        <f t="shared" ref="S326:S389" si="972">R326/100000</f>
        <v>-1196.257168628988</v>
      </c>
      <c r="T326">
        <f t="shared" ref="T326:T389" si="973">S326/1000</f>
        <v>-1.196257168628988</v>
      </c>
    </row>
    <row r="327" spans="1:20" x14ac:dyDescent="0.25">
      <c r="A327" s="5">
        <v>44266</v>
      </c>
      <c r="B327">
        <v>1.8158000000000001</v>
      </c>
      <c r="C327">
        <v>1.857</v>
      </c>
      <c r="D327">
        <v>1.6557999999999999</v>
      </c>
      <c r="E327">
        <v>1.7443</v>
      </c>
      <c r="F327">
        <v>6128615.0800000001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-0.12027833001988068</v>
      </c>
      <c r="Q327">
        <f t="shared" si="970"/>
        <v>-737139.58715705748</v>
      </c>
      <c r="R327">
        <f t="shared" si="971"/>
        <v>-121513226.86388734</v>
      </c>
      <c r="S327">
        <f t="shared" si="972"/>
        <v>-1215.1322686388735</v>
      </c>
      <c r="T327">
        <f t="shared" si="973"/>
        <v>-1.2151322686388735</v>
      </c>
    </row>
    <row r="328" spans="1:20" x14ac:dyDescent="0.25">
      <c r="A328" s="5">
        <v>44265</v>
      </c>
      <c r="B328">
        <v>1.7906</v>
      </c>
      <c r="C328">
        <v>1.95</v>
      </c>
      <c r="D328">
        <v>1.6309</v>
      </c>
      <c r="E328">
        <v>1.8158000000000001</v>
      </c>
      <c r="F328">
        <v>6823397.6200000001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0.15888436226888186</v>
      </c>
      <c r="Q328">
        <f t="shared" si="970"/>
        <v>1084131.1793607064</v>
      </c>
      <c r="R328">
        <f t="shared" si="971"/>
        <v>-120776087.27673028</v>
      </c>
      <c r="S328">
        <f t="shared" si="972"/>
        <v>-1207.7608727673028</v>
      </c>
      <c r="T328">
        <f t="shared" si="973"/>
        <v>-1.2077608727673028</v>
      </c>
    </row>
    <row r="329" spans="1:20" x14ac:dyDescent="0.25">
      <c r="A329" s="5">
        <v>44264</v>
      </c>
      <c r="B329">
        <v>1.7278</v>
      </c>
      <c r="C329">
        <v>1.8381000000000001</v>
      </c>
      <c r="D329">
        <v>1.7</v>
      </c>
      <c r="E329">
        <v>1.7938000000000001</v>
      </c>
      <c r="F329">
        <v>5332317.3899999997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0.35843591600289687</v>
      </c>
      <c r="Q329">
        <f t="shared" si="970"/>
        <v>1911294.0681028261</v>
      </c>
      <c r="R329">
        <f t="shared" si="971"/>
        <v>-121860218.45609099</v>
      </c>
      <c r="S329">
        <f t="shared" si="972"/>
        <v>-1218.6021845609098</v>
      </c>
      <c r="T329">
        <f t="shared" si="973"/>
        <v>-1.2186021845609099</v>
      </c>
    </row>
    <row r="330" spans="1:20" x14ac:dyDescent="0.25">
      <c r="A330" s="5">
        <v>44263</v>
      </c>
      <c r="B330">
        <v>1.825</v>
      </c>
      <c r="C330">
        <v>1.8654999999999999</v>
      </c>
      <c r="D330">
        <v>1.65</v>
      </c>
      <c r="E330">
        <v>1.7272000000000001</v>
      </c>
      <c r="F330">
        <v>5136564.62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-0.28352668213456939</v>
      </c>
      <c r="Q330">
        <f t="shared" si="970"/>
        <v>-1456353.1242784152</v>
      </c>
      <c r="R330">
        <f t="shared" si="971"/>
        <v>-123771512.52419381</v>
      </c>
      <c r="S330">
        <f t="shared" si="972"/>
        <v>-1237.715125241938</v>
      </c>
      <c r="T330">
        <f t="shared" si="973"/>
        <v>-1.2377151252419381</v>
      </c>
    </row>
    <row r="331" spans="1:20" x14ac:dyDescent="0.25">
      <c r="A331" s="5">
        <v>44262</v>
      </c>
      <c r="B331">
        <v>1.7482</v>
      </c>
      <c r="C331">
        <v>1.9410000000000001</v>
      </c>
      <c r="D331">
        <v>1.6177999999999999</v>
      </c>
      <c r="E331">
        <v>1.83</v>
      </c>
      <c r="F331">
        <v>18589452.48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0.31311881188118851</v>
      </c>
      <c r="Q331">
        <f t="shared" si="970"/>
        <v>5820707.274059413</v>
      </c>
      <c r="R331">
        <f t="shared" si="971"/>
        <v>-122315159.3999154</v>
      </c>
      <c r="S331">
        <f t="shared" si="972"/>
        <v>-1223.1515939991539</v>
      </c>
      <c r="T331">
        <f t="shared" si="973"/>
        <v>-1.223151593999154</v>
      </c>
    </row>
    <row r="332" spans="1:20" x14ac:dyDescent="0.25">
      <c r="A332" s="5">
        <v>44261</v>
      </c>
      <c r="B332">
        <v>1.3551</v>
      </c>
      <c r="C332">
        <v>1.77</v>
      </c>
      <c r="D332">
        <v>1.3492</v>
      </c>
      <c r="E332">
        <v>1.746</v>
      </c>
      <c r="F332">
        <v>10350828.02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0.88593155893536113</v>
      </c>
      <c r="Q332">
        <f t="shared" si="970"/>
        <v>9170125.2040304169</v>
      </c>
      <c r="R332">
        <f t="shared" si="971"/>
        <v>-128135866.67397481</v>
      </c>
      <c r="S332">
        <f t="shared" si="972"/>
        <v>-1281.3586667397481</v>
      </c>
      <c r="T332">
        <f t="shared" si="973"/>
        <v>-1.2813586667397481</v>
      </c>
    </row>
    <row r="333" spans="1:20" x14ac:dyDescent="0.25">
      <c r="A333" s="5">
        <v>44260</v>
      </c>
      <c r="B333">
        <v>1.3415999999999999</v>
      </c>
      <c r="C333">
        <v>1.3998999999999999</v>
      </c>
      <c r="D333">
        <v>1.2407999999999999</v>
      </c>
      <c r="E333">
        <v>1.3551</v>
      </c>
      <c r="F333">
        <v>2382924.8199999998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0.43683218101822824</v>
      </c>
      <c r="Q333">
        <f t="shared" si="970"/>
        <v>1040938.2463230689</v>
      </c>
      <c r="R333">
        <f t="shared" si="971"/>
        <v>-137305991.87800524</v>
      </c>
      <c r="S333">
        <f t="shared" si="972"/>
        <v>-1373.0599187800524</v>
      </c>
      <c r="T333">
        <f t="shared" si="973"/>
        <v>-1.3730599187800523</v>
      </c>
    </row>
    <row r="334" spans="1:20" x14ac:dyDescent="0.25">
      <c r="A334" s="5">
        <v>44259</v>
      </c>
      <c r="B334">
        <v>1.4275</v>
      </c>
      <c r="C334">
        <v>1.53</v>
      </c>
      <c r="D334">
        <v>1.2715000000000001</v>
      </c>
      <c r="E334">
        <v>1.3431</v>
      </c>
      <c r="F334">
        <v>4983903.01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-0.44603481624758301</v>
      </c>
      <c r="Q334">
        <f t="shared" si="970"/>
        <v>-2222994.2632611259</v>
      </c>
      <c r="R334">
        <f t="shared" si="971"/>
        <v>-138346930.12432832</v>
      </c>
      <c r="S334">
        <f t="shared" si="972"/>
        <v>-1383.4693012432831</v>
      </c>
      <c r="T334">
        <f t="shared" si="973"/>
        <v>-1.383469301243283</v>
      </c>
    </row>
    <row r="335" spans="1:20" x14ac:dyDescent="0.25">
      <c r="A335" s="5">
        <v>44258</v>
      </c>
      <c r="B335">
        <v>1.3269</v>
      </c>
      <c r="C335">
        <v>1.6</v>
      </c>
      <c r="D335">
        <v>1.3</v>
      </c>
      <c r="E335">
        <v>1.4278</v>
      </c>
      <c r="F335">
        <v>7438325.3499999996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-0.14800000000000071</v>
      </c>
      <c r="Q335">
        <f t="shared" si="970"/>
        <v>-1100872.1518000052</v>
      </c>
      <c r="R335">
        <f t="shared" si="971"/>
        <v>-136123935.86106718</v>
      </c>
      <c r="S335">
        <f t="shared" si="972"/>
        <v>-1361.2393586106718</v>
      </c>
      <c r="T335">
        <f t="shared" si="973"/>
        <v>-1.3612393586106719</v>
      </c>
    </row>
    <row r="336" spans="1:20" x14ac:dyDescent="0.25">
      <c r="A336" s="5">
        <v>44257</v>
      </c>
      <c r="B336">
        <v>1.3399000000000001</v>
      </c>
      <c r="C336">
        <v>1.3668</v>
      </c>
      <c r="D336">
        <v>1.22</v>
      </c>
      <c r="E336">
        <v>1.3245</v>
      </c>
      <c r="F336">
        <v>3806246.17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0.42370572207084478</v>
      </c>
      <c r="Q336">
        <f t="shared" si="970"/>
        <v>1612728.2818392373</v>
      </c>
      <c r="R336">
        <f t="shared" si="971"/>
        <v>-135023063.70926717</v>
      </c>
      <c r="S336">
        <f t="shared" si="972"/>
        <v>-1350.2306370926717</v>
      </c>
      <c r="T336">
        <f t="shared" si="973"/>
        <v>-1.3502306370926718</v>
      </c>
    </row>
    <row r="337" spans="1:20" x14ac:dyDescent="0.25">
      <c r="A337" s="5">
        <v>44256</v>
      </c>
      <c r="B337">
        <v>1.1732</v>
      </c>
      <c r="C337">
        <v>1.4219999999999999</v>
      </c>
      <c r="D337">
        <v>1.1409</v>
      </c>
      <c r="E337">
        <v>1.3331</v>
      </c>
      <c r="F337">
        <v>4460134.87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0.36748488082532899</v>
      </c>
      <c r="Q337">
        <f t="shared" si="970"/>
        <v>1639032.1311668442</v>
      </c>
      <c r="R337">
        <f t="shared" si="971"/>
        <v>-136635791.99110642</v>
      </c>
      <c r="S337">
        <f t="shared" si="972"/>
        <v>-1366.3579199110643</v>
      </c>
      <c r="T337">
        <f t="shared" si="973"/>
        <v>-1.3663579199110643</v>
      </c>
    </row>
    <row r="338" spans="1:20" x14ac:dyDescent="0.25">
      <c r="A338" s="5">
        <v>44255</v>
      </c>
      <c r="B338">
        <v>1.2769999999999999</v>
      </c>
      <c r="C338">
        <v>1.2805</v>
      </c>
      <c r="D338">
        <v>1.0742</v>
      </c>
      <c r="E338">
        <v>1.1722999999999999</v>
      </c>
      <c r="F338">
        <v>3404312.18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-4.895782840523618E-2</v>
      </c>
      <c r="Q338">
        <f t="shared" si="970"/>
        <v>-166667.73154629552</v>
      </c>
      <c r="R338">
        <f t="shared" si="971"/>
        <v>-138274824.12227327</v>
      </c>
      <c r="S338">
        <f t="shared" si="972"/>
        <v>-1382.7482412227328</v>
      </c>
      <c r="T338">
        <f t="shared" si="973"/>
        <v>-1.3827482412227328</v>
      </c>
    </row>
    <row r="339" spans="1:20" x14ac:dyDescent="0.25">
      <c r="A339" s="5">
        <v>44254</v>
      </c>
      <c r="B339">
        <v>1.2253000000000001</v>
      </c>
      <c r="C339">
        <v>1.46</v>
      </c>
      <c r="D339">
        <v>1.2142999999999999</v>
      </c>
      <c r="E339">
        <v>1.2794000000000001</v>
      </c>
      <c r="F339">
        <v>3662344.63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-0.47008547008546886</v>
      </c>
      <c r="Q339">
        <f t="shared" si="970"/>
        <v>-1721614.9970085425</v>
      </c>
      <c r="R339">
        <f t="shared" si="971"/>
        <v>-138108156.39072698</v>
      </c>
      <c r="S339">
        <f t="shared" si="972"/>
        <v>-1381.0815639072698</v>
      </c>
      <c r="T339">
        <f t="shared" si="973"/>
        <v>-1.3810815639072698</v>
      </c>
    </row>
    <row r="340" spans="1:20" x14ac:dyDescent="0.25">
      <c r="A340" s="5">
        <v>44253</v>
      </c>
      <c r="B340">
        <v>1.2579</v>
      </c>
      <c r="C340">
        <v>1.298</v>
      </c>
      <c r="D340">
        <v>1.1163000000000001</v>
      </c>
      <c r="E340">
        <v>1.2252000000000001</v>
      </c>
      <c r="F340">
        <v>4302794.72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0.19867914144193741</v>
      </c>
      <c r="Q340">
        <f t="shared" si="970"/>
        <v>854875.56077050138</v>
      </c>
      <c r="R340">
        <f t="shared" si="971"/>
        <v>-136386541.39371845</v>
      </c>
      <c r="S340">
        <f t="shared" si="972"/>
        <v>-1363.8654139371845</v>
      </c>
      <c r="T340">
        <f t="shared" si="973"/>
        <v>-1.3638654139371844</v>
      </c>
    </row>
    <row r="341" spans="1:20" x14ac:dyDescent="0.25">
      <c r="A341" s="5">
        <v>44252</v>
      </c>
      <c r="B341">
        <v>1.3985000000000001</v>
      </c>
      <c r="C341">
        <v>1.58</v>
      </c>
      <c r="D341">
        <v>1.2437</v>
      </c>
      <c r="E341">
        <v>1.2579</v>
      </c>
      <c r="F341">
        <v>5077204.53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-0.91555159084151061</v>
      </c>
      <c r="Q341">
        <f t="shared" si="970"/>
        <v>-4648442.684469224</v>
      </c>
      <c r="R341">
        <f t="shared" si="971"/>
        <v>-137241416.95448896</v>
      </c>
      <c r="S341">
        <f t="shared" si="972"/>
        <v>-1372.4141695448895</v>
      </c>
      <c r="T341">
        <f t="shared" si="973"/>
        <v>-1.3724141695448895</v>
      </c>
    </row>
    <row r="342" spans="1:20" x14ac:dyDescent="0.25">
      <c r="A342" s="5">
        <v>44251</v>
      </c>
      <c r="B342">
        <v>1.2774000000000001</v>
      </c>
      <c r="C342">
        <v>1.64</v>
      </c>
      <c r="D342">
        <v>1.1631</v>
      </c>
      <c r="E342">
        <v>1.4028</v>
      </c>
      <c r="F342">
        <v>8820818.2799999993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5.2421891381844608E-3</v>
      </c>
      <c r="Q342">
        <f t="shared" si="970"/>
        <v>46240.397777314931</v>
      </c>
      <c r="R342">
        <f t="shared" si="971"/>
        <v>-132592974.27001974</v>
      </c>
      <c r="S342">
        <f t="shared" si="972"/>
        <v>-1325.9297427001975</v>
      </c>
      <c r="T342">
        <f t="shared" si="973"/>
        <v>-1.3259297427001975</v>
      </c>
    </row>
    <row r="343" spans="1:20" x14ac:dyDescent="0.25">
      <c r="A343" s="5">
        <v>44250</v>
      </c>
      <c r="B343">
        <v>1.6251</v>
      </c>
      <c r="C343">
        <v>1.6324000000000001</v>
      </c>
      <c r="D343">
        <v>0.9698</v>
      </c>
      <c r="E343">
        <v>1.2799</v>
      </c>
      <c r="F343">
        <v>9355605.2100000009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-6.3990341080591595E-2</v>
      </c>
      <c r="Q343">
        <f t="shared" si="970"/>
        <v>-598668.36840325978</v>
      </c>
      <c r="R343">
        <f t="shared" si="971"/>
        <v>-132639214.66779706</v>
      </c>
      <c r="S343">
        <f t="shared" si="972"/>
        <v>-1326.3921466779707</v>
      </c>
      <c r="T343">
        <f t="shared" si="973"/>
        <v>-1.3263921466779707</v>
      </c>
    </row>
    <row r="344" spans="1:20" x14ac:dyDescent="0.25">
      <c r="A344" s="5">
        <v>44249</v>
      </c>
      <c r="B344">
        <v>1.8375999999999999</v>
      </c>
      <c r="C344">
        <v>1.8529</v>
      </c>
      <c r="D344">
        <v>1.26</v>
      </c>
      <c r="E344">
        <v>1.6152</v>
      </c>
      <c r="F344">
        <v>7881264.0999999996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0.19817844493169159</v>
      </c>
      <c r="Q344">
        <f t="shared" si="970"/>
        <v>1561896.6634339679</v>
      </c>
      <c r="R344">
        <f t="shared" si="971"/>
        <v>-132040546.2993938</v>
      </c>
      <c r="S344">
        <f t="shared" si="972"/>
        <v>-1320.405462993938</v>
      </c>
      <c r="T344">
        <f t="shared" si="973"/>
        <v>-1.3204054629939381</v>
      </c>
    </row>
    <row r="345" spans="1:20" x14ac:dyDescent="0.25">
      <c r="A345" s="5">
        <v>44248</v>
      </c>
      <c r="B345">
        <v>1.8849</v>
      </c>
      <c r="C345">
        <v>1.93</v>
      </c>
      <c r="D345">
        <v>1.7659</v>
      </c>
      <c r="E345">
        <v>1.8379000000000001</v>
      </c>
      <c r="F345">
        <v>4655348.79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-0.122486288848262</v>
      </c>
      <c r="Q345">
        <f t="shared" si="970"/>
        <v>-570216.39658134698</v>
      </c>
      <c r="R345">
        <f t="shared" si="971"/>
        <v>-133602442.96282777</v>
      </c>
      <c r="S345">
        <f t="shared" si="972"/>
        <v>-1336.0244296282776</v>
      </c>
      <c r="T345">
        <f t="shared" si="973"/>
        <v>-1.3360244296282777</v>
      </c>
    </row>
    <row r="346" spans="1:20" x14ac:dyDescent="0.25">
      <c r="A346" s="5">
        <v>44247</v>
      </c>
      <c r="B346">
        <v>1.8895</v>
      </c>
      <c r="C346">
        <v>2.15</v>
      </c>
      <c r="D346">
        <v>1.7552000000000001</v>
      </c>
      <c r="E346">
        <v>1.8823000000000001</v>
      </c>
      <c r="F346">
        <v>9761468.7699999996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-0.35612968591691974</v>
      </c>
      <c r="Q346">
        <f t="shared" si="970"/>
        <v>-3476348.8071479206</v>
      </c>
      <c r="R346">
        <f t="shared" si="971"/>
        <v>-133032226.56624642</v>
      </c>
      <c r="S346">
        <f t="shared" si="972"/>
        <v>-1330.3222656624641</v>
      </c>
      <c r="T346">
        <f t="shared" si="973"/>
        <v>-1.330322265662464</v>
      </c>
    </row>
    <row r="347" spans="1:20" x14ac:dyDescent="0.25">
      <c r="A347" s="5">
        <v>44246</v>
      </c>
      <c r="B347">
        <v>2.0426000000000002</v>
      </c>
      <c r="C347">
        <v>2.0630999999999999</v>
      </c>
      <c r="D347">
        <v>1.86</v>
      </c>
      <c r="E347">
        <v>1.8841000000000001</v>
      </c>
      <c r="F347">
        <v>5471984.9500000002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-0.76267848350566192</v>
      </c>
      <c r="Q347">
        <f t="shared" si="970"/>
        <v>-4173365.1834318056</v>
      </c>
      <c r="R347">
        <f t="shared" si="971"/>
        <v>-129555877.7590985</v>
      </c>
      <c r="S347">
        <f t="shared" si="972"/>
        <v>-1295.5587775909851</v>
      </c>
      <c r="T347">
        <f t="shared" si="973"/>
        <v>-1.2955587775909851</v>
      </c>
    </row>
    <row r="348" spans="1:20" x14ac:dyDescent="0.25">
      <c r="A348" s="5">
        <v>44245</v>
      </c>
      <c r="B348">
        <v>1.9128000000000001</v>
      </c>
      <c r="C348">
        <v>2.1059999999999999</v>
      </c>
      <c r="D348">
        <v>1.8902000000000001</v>
      </c>
      <c r="E348">
        <v>2.0449999999999999</v>
      </c>
      <c r="F348">
        <v>7040519.0199999996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0.43466172381835022</v>
      </c>
      <c r="Q348">
        <f t="shared" si="970"/>
        <v>3060244.1338090817</v>
      </c>
      <c r="R348">
        <f t="shared" si="971"/>
        <v>-125382512.5756667</v>
      </c>
      <c r="S348">
        <f t="shared" si="972"/>
        <v>-1253.8251257566669</v>
      </c>
      <c r="T348">
        <f t="shared" si="973"/>
        <v>-1.2538251257566668</v>
      </c>
    </row>
    <row r="349" spans="1:20" x14ac:dyDescent="0.25">
      <c r="A349" s="5">
        <v>44244</v>
      </c>
      <c r="B349">
        <v>1.9080999999999999</v>
      </c>
      <c r="C349">
        <v>2.0232999999999999</v>
      </c>
      <c r="D349">
        <v>1.7918000000000001</v>
      </c>
      <c r="E349">
        <v>1.9159999999999999</v>
      </c>
      <c r="F349">
        <v>5678252.0300000003</v>
      </c>
      <c r="G349">
        <v>0</v>
      </c>
      <c r="L349" t="s">
        <v>8</v>
      </c>
      <c r="M349" t="s">
        <v>7</v>
      </c>
      <c r="N349" t="s">
        <v>7</v>
      </c>
      <c r="P349">
        <f t="shared" si="969"/>
        <v>7.3002159827213517E-2</v>
      </c>
      <c r="Q349">
        <f t="shared" si="970"/>
        <v>414524.66223325965</v>
      </c>
      <c r="R349">
        <f t="shared" si="971"/>
        <v>-128442756.70947577</v>
      </c>
      <c r="S349">
        <f t="shared" si="972"/>
        <v>-1284.4275670947577</v>
      </c>
      <c r="T349">
        <f t="shared" si="973"/>
        <v>-1.2844275670947578</v>
      </c>
    </row>
    <row r="350" spans="1:20" x14ac:dyDescent="0.25">
      <c r="A350" s="5">
        <v>44243</v>
      </c>
      <c r="B350">
        <v>1.901</v>
      </c>
      <c r="C350">
        <v>2.2601</v>
      </c>
      <c r="D350">
        <v>1.8</v>
      </c>
      <c r="E350">
        <v>1.9186000000000001</v>
      </c>
      <c r="F350">
        <v>9134013.6099999994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-0.48445990002173417</v>
      </c>
      <c r="Q350">
        <f t="shared" si="970"/>
        <v>-4425063.320297759</v>
      </c>
      <c r="R350">
        <f t="shared" si="971"/>
        <v>-128857281.37170903</v>
      </c>
      <c r="S350">
        <f t="shared" si="972"/>
        <v>-1288.5728137170904</v>
      </c>
      <c r="T350">
        <f t="shared" si="973"/>
        <v>-1.2885728137170904</v>
      </c>
    </row>
    <row r="351" spans="1:20" x14ac:dyDescent="0.25">
      <c r="A351" s="5">
        <v>44242</v>
      </c>
      <c r="B351">
        <v>1.9663999999999999</v>
      </c>
      <c r="C351">
        <v>2.6</v>
      </c>
      <c r="D351">
        <v>1.45</v>
      </c>
      <c r="E351">
        <v>1.9</v>
      </c>
      <c r="F351">
        <v>24634777.609999999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-0.21739130434782625</v>
      </c>
      <c r="Q351">
        <f t="shared" si="970"/>
        <v>-5355386.4369565258</v>
      </c>
      <c r="R351">
        <f t="shared" si="971"/>
        <v>-124432218.05141127</v>
      </c>
      <c r="S351">
        <f t="shared" si="972"/>
        <v>-1244.3221805141127</v>
      </c>
      <c r="T351">
        <f t="shared" si="973"/>
        <v>-1.2443221805141127</v>
      </c>
    </row>
    <row r="352" spans="1:20" x14ac:dyDescent="0.25">
      <c r="A352" s="5">
        <v>44241</v>
      </c>
      <c r="B352">
        <v>1.7364999999999999</v>
      </c>
      <c r="C352">
        <v>2.1608000000000001</v>
      </c>
      <c r="D352">
        <v>1.6</v>
      </c>
      <c r="E352">
        <v>1.9741</v>
      </c>
      <c r="F352">
        <v>13532305.449999999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0.33416547788873002</v>
      </c>
      <c r="Q352">
        <f t="shared" si="970"/>
        <v>4522029.3176355157</v>
      </c>
      <c r="R352">
        <f t="shared" si="971"/>
        <v>-119076831.61445475</v>
      </c>
      <c r="S352">
        <f t="shared" si="972"/>
        <v>-1190.7683161445475</v>
      </c>
      <c r="T352">
        <f t="shared" si="973"/>
        <v>-1.1907683161445475</v>
      </c>
    </row>
    <row r="353" spans="1:20" x14ac:dyDescent="0.25">
      <c r="A353" s="5">
        <v>44240</v>
      </c>
      <c r="B353">
        <v>1.8803000000000001</v>
      </c>
      <c r="C353">
        <v>1.9474</v>
      </c>
      <c r="D353">
        <v>1.56</v>
      </c>
      <c r="E353">
        <v>1.7363</v>
      </c>
      <c r="F353">
        <v>7045106.5999999996</v>
      </c>
      <c r="G353">
        <v>0</v>
      </c>
      <c r="L353" t="s">
        <v>7</v>
      </c>
      <c r="M353" t="s">
        <v>7</v>
      </c>
      <c r="N353" t="s">
        <v>7</v>
      </c>
      <c r="P353">
        <f t="shared" si="969"/>
        <v>-8.9829633453794966E-2</v>
      </c>
      <c r="Q353">
        <f t="shared" si="970"/>
        <v>-632859.34352091164</v>
      </c>
      <c r="R353">
        <f t="shared" si="971"/>
        <v>-123598860.93209027</v>
      </c>
      <c r="S353">
        <f t="shared" si="972"/>
        <v>-1235.9886093209027</v>
      </c>
      <c r="T353">
        <f t="shared" si="973"/>
        <v>-1.2359886093209027</v>
      </c>
    </row>
    <row r="354" spans="1:20" x14ac:dyDescent="0.25">
      <c r="A354" s="5">
        <v>44239</v>
      </c>
      <c r="B354">
        <v>1.9716</v>
      </c>
      <c r="C354">
        <v>1.988</v>
      </c>
      <c r="D354">
        <v>1.6819</v>
      </c>
      <c r="E354">
        <v>1.8869</v>
      </c>
      <c r="F354">
        <v>8729106.2300000004</v>
      </c>
      <c r="G354">
        <v>0</v>
      </c>
      <c r="L354" t="s">
        <v>7</v>
      </c>
      <c r="M354" t="s">
        <v>7</v>
      </c>
      <c r="N354" t="s">
        <v>7</v>
      </c>
      <c r="P354">
        <f t="shared" si="969"/>
        <v>0.33943155831427668</v>
      </c>
      <c r="Q354">
        <f t="shared" si="970"/>
        <v>2962934.1303397613</v>
      </c>
      <c r="R354">
        <f t="shared" si="971"/>
        <v>-122966001.58856936</v>
      </c>
      <c r="S354">
        <f t="shared" si="972"/>
        <v>-1229.6600158856936</v>
      </c>
      <c r="T354">
        <f t="shared" si="973"/>
        <v>-1.2296600158856936</v>
      </c>
    </row>
    <row r="355" spans="1:20" x14ac:dyDescent="0.25">
      <c r="A355" s="5">
        <v>44238</v>
      </c>
      <c r="B355">
        <v>1.7722</v>
      </c>
      <c r="C355">
        <v>2.4658000000000002</v>
      </c>
      <c r="D355">
        <v>1.6763999999999999</v>
      </c>
      <c r="E355">
        <v>1.98</v>
      </c>
      <c r="F355">
        <v>31687530.440000001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-0.2308082087661516</v>
      </c>
      <c r="Q355">
        <f t="shared" si="970"/>
        <v>-7313742.1410793038</v>
      </c>
      <c r="R355">
        <f t="shared" si="971"/>
        <v>-125928935.71890911</v>
      </c>
      <c r="S355">
        <f t="shared" si="972"/>
        <v>-1259.2893571890911</v>
      </c>
      <c r="T355">
        <f t="shared" si="973"/>
        <v>-1.2592893571890911</v>
      </c>
    </row>
    <row r="356" spans="1:20" x14ac:dyDescent="0.25">
      <c r="A356" s="5">
        <v>44237</v>
      </c>
      <c r="B356">
        <v>1.1093</v>
      </c>
      <c r="C356">
        <v>2.1781000000000001</v>
      </c>
      <c r="D356">
        <v>1</v>
      </c>
      <c r="E356">
        <v>1.7843</v>
      </c>
      <c r="F356">
        <v>55310582.460000001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0.33146591970121364</v>
      </c>
      <c r="Q356">
        <f t="shared" si="970"/>
        <v>18333573.084313717</v>
      </c>
      <c r="R356">
        <f t="shared" si="971"/>
        <v>-118615193.57782981</v>
      </c>
      <c r="S356">
        <f t="shared" si="972"/>
        <v>-1186.1519357782981</v>
      </c>
      <c r="T356">
        <f t="shared" si="973"/>
        <v>-1.1861519357782981</v>
      </c>
    </row>
    <row r="357" spans="1:20" x14ac:dyDescent="0.25">
      <c r="A357" s="5">
        <v>44236</v>
      </c>
      <c r="B357">
        <v>0.8327</v>
      </c>
      <c r="C357">
        <v>1.4443999999999999</v>
      </c>
      <c r="D357">
        <v>0.82099999999999995</v>
      </c>
      <c r="E357">
        <v>1.1093</v>
      </c>
      <c r="F357">
        <v>31414280.879999999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-7.5072184793070193E-2</v>
      </c>
      <c r="Q357">
        <f t="shared" si="970"/>
        <v>-2358338.6993647716</v>
      </c>
      <c r="R357">
        <f t="shared" si="971"/>
        <v>-136948766.66214353</v>
      </c>
      <c r="S357">
        <f t="shared" si="972"/>
        <v>-1369.4876666214352</v>
      </c>
      <c r="T357">
        <f t="shared" si="973"/>
        <v>-1.3694876666214353</v>
      </c>
    </row>
    <row r="358" spans="1:20" x14ac:dyDescent="0.25">
      <c r="A358" s="5">
        <v>44235</v>
      </c>
      <c r="B358">
        <v>0.82230000000000003</v>
      </c>
      <c r="C358">
        <v>0.85319999999999996</v>
      </c>
      <c r="D358">
        <v>0.8</v>
      </c>
      <c r="E358">
        <v>0.83399999999999996</v>
      </c>
      <c r="F358">
        <v>5424417.4900000002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0.27819548872180355</v>
      </c>
      <c r="Q358">
        <f t="shared" si="970"/>
        <v>1509048.474661649</v>
      </c>
      <c r="R358">
        <f t="shared" si="971"/>
        <v>-134590427.96277875</v>
      </c>
      <c r="S358">
        <f t="shared" si="972"/>
        <v>-1345.9042796277874</v>
      </c>
      <c r="T358">
        <f t="shared" si="973"/>
        <v>-1.3459042796277874</v>
      </c>
    </row>
    <row r="359" spans="1:20" x14ac:dyDescent="0.25">
      <c r="A359" s="5">
        <v>44234</v>
      </c>
      <c r="B359">
        <v>0.79610000000000003</v>
      </c>
      <c r="C359">
        <v>0.88700000000000001</v>
      </c>
      <c r="D359">
        <v>0.77500000000000002</v>
      </c>
      <c r="E359">
        <v>0.82230000000000003</v>
      </c>
      <c r="F359">
        <v>9852408.5700000003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-0.15535714285714261</v>
      </c>
      <c r="Q359">
        <f t="shared" si="970"/>
        <v>-1530642.0456964262</v>
      </c>
      <c r="R359">
        <f t="shared" si="971"/>
        <v>-136099476.4374404</v>
      </c>
      <c r="S359">
        <f t="shared" si="972"/>
        <v>-1360.994764374404</v>
      </c>
      <c r="T359">
        <f t="shared" si="973"/>
        <v>-1.360994764374404</v>
      </c>
    </row>
    <row r="360" spans="1:20" x14ac:dyDescent="0.25">
      <c r="A360" s="5">
        <v>44233</v>
      </c>
      <c r="B360">
        <v>0.82509999999999994</v>
      </c>
      <c r="C360">
        <v>0.88990000000000002</v>
      </c>
      <c r="D360">
        <v>0.75</v>
      </c>
      <c r="E360">
        <v>0.79469999999999996</v>
      </c>
      <c r="F360">
        <v>6957197.25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-0.36097212294496134</v>
      </c>
      <c r="Q360">
        <f t="shared" si="970"/>
        <v>-2511354.2610793468</v>
      </c>
      <c r="R360">
        <f t="shared" si="971"/>
        <v>-134568834.39174396</v>
      </c>
      <c r="S360">
        <f t="shared" si="972"/>
        <v>-1345.6883439174396</v>
      </c>
      <c r="T360">
        <f t="shared" si="973"/>
        <v>-1.3456883439174396</v>
      </c>
    </row>
    <row r="361" spans="1:20" x14ac:dyDescent="0.25">
      <c r="A361" s="5">
        <v>44232</v>
      </c>
      <c r="B361">
        <v>0.74760000000000004</v>
      </c>
      <c r="C361">
        <v>0.86</v>
      </c>
      <c r="D361">
        <v>0.68220000000000003</v>
      </c>
      <c r="E361">
        <v>0.82520000000000004</v>
      </c>
      <c r="F361">
        <v>7458362.9699999997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0.60854893138357757</v>
      </c>
      <c r="Q361">
        <f t="shared" si="970"/>
        <v>4538778.8152643461</v>
      </c>
      <c r="R361">
        <f t="shared" si="971"/>
        <v>-132057480.13066462</v>
      </c>
      <c r="S361">
        <f t="shared" si="972"/>
        <v>-1320.5748013066461</v>
      </c>
      <c r="T361">
        <f t="shared" si="973"/>
        <v>-1.3205748013066461</v>
      </c>
    </row>
    <row r="362" spans="1:20" x14ac:dyDescent="0.25">
      <c r="A362" s="5">
        <v>44231</v>
      </c>
      <c r="B362">
        <v>0.81669999999999998</v>
      </c>
      <c r="C362">
        <v>0.85</v>
      </c>
      <c r="D362">
        <v>0.74780000000000002</v>
      </c>
      <c r="E362">
        <v>0.74780000000000002</v>
      </c>
      <c r="F362">
        <v>7126031.9100000001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-1</v>
      </c>
      <c r="Q362">
        <f t="shared" si="970"/>
        <v>-7126031.9100000001</v>
      </c>
      <c r="R362">
        <f t="shared" si="971"/>
        <v>-136596258.94592896</v>
      </c>
      <c r="S362">
        <f t="shared" si="972"/>
        <v>-1365.9625894592896</v>
      </c>
      <c r="T362">
        <f t="shared" si="973"/>
        <v>-1.3659625894592895</v>
      </c>
    </row>
    <row r="363" spans="1:20" x14ac:dyDescent="0.25">
      <c r="A363" s="5">
        <v>44230</v>
      </c>
      <c r="B363">
        <v>0.86760000000000004</v>
      </c>
      <c r="C363">
        <v>0.93569999999999998</v>
      </c>
      <c r="D363">
        <v>0.7923</v>
      </c>
      <c r="E363">
        <v>0.81669999999999998</v>
      </c>
      <c r="F363">
        <v>12618706.890000001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-0.65969316596931682</v>
      </c>
      <c r="Q363">
        <f t="shared" si="970"/>
        <v>-8324474.6987029323</v>
      </c>
      <c r="R363">
        <f t="shared" si="971"/>
        <v>-129470227.03592895</v>
      </c>
      <c r="S363">
        <f t="shared" si="972"/>
        <v>-1294.7022703592895</v>
      </c>
      <c r="T363">
        <f t="shared" si="973"/>
        <v>-1.2947022703592894</v>
      </c>
    </row>
    <row r="364" spans="1:20" x14ac:dyDescent="0.25">
      <c r="A364" s="5">
        <v>44229</v>
      </c>
      <c r="B364">
        <v>0.94679999999999997</v>
      </c>
      <c r="C364">
        <v>0.99</v>
      </c>
      <c r="D364">
        <v>0.85</v>
      </c>
      <c r="E364">
        <v>0.86960000000000004</v>
      </c>
      <c r="F364">
        <v>13483575.57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-0.7199999999999992</v>
      </c>
      <c r="Q364">
        <f t="shared" si="970"/>
        <v>-9708174.4103999902</v>
      </c>
      <c r="R364">
        <f t="shared" si="971"/>
        <v>-121145752.33722602</v>
      </c>
      <c r="S364">
        <f t="shared" si="972"/>
        <v>-1211.4575233722601</v>
      </c>
      <c r="T364">
        <f t="shared" si="973"/>
        <v>-1.21145752337226</v>
      </c>
    </row>
    <row r="365" spans="1:20" x14ac:dyDescent="0.25">
      <c r="A365" s="5">
        <v>44228</v>
      </c>
      <c r="B365">
        <v>1.0118</v>
      </c>
      <c r="C365">
        <v>1.44</v>
      </c>
      <c r="D365">
        <v>0.71</v>
      </c>
      <c r="E365">
        <v>0.94679999999999997</v>
      </c>
      <c r="F365">
        <v>84636635.870000005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-0.35123287671232872</v>
      </c>
      <c r="Q365">
        <f t="shared" si="970"/>
        <v>-29727169.09187397</v>
      </c>
      <c r="R365">
        <f t="shared" si="971"/>
        <v>-111437577.92682603</v>
      </c>
      <c r="S365">
        <f t="shared" si="972"/>
        <v>-1114.3757792682602</v>
      </c>
      <c r="T365">
        <f t="shared" si="973"/>
        <v>-1.1143757792682603</v>
      </c>
    </row>
    <row r="366" spans="1:20" x14ac:dyDescent="0.25">
      <c r="A366" s="5">
        <v>44227</v>
      </c>
      <c r="B366">
        <v>0.52200000000000002</v>
      </c>
      <c r="C366">
        <v>6.4</v>
      </c>
      <c r="D366">
        <v>0.49830000000000002</v>
      </c>
      <c r="E366">
        <v>1.01</v>
      </c>
      <c r="F366">
        <v>51381324.539999999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-0.82659233780097263</v>
      </c>
      <c r="Q366">
        <f t="shared" si="970"/>
        <v>-42471409.170829087</v>
      </c>
      <c r="R366">
        <f t="shared" si="971"/>
        <v>-81710408.834952056</v>
      </c>
      <c r="S366">
        <f t="shared" si="972"/>
        <v>-817.10408834952057</v>
      </c>
      <c r="T366">
        <f t="shared" si="973"/>
        <v>-0.81710408834952053</v>
      </c>
    </row>
    <row r="367" spans="1:20" x14ac:dyDescent="0.25">
      <c r="A367" s="5">
        <v>44226</v>
      </c>
      <c r="B367">
        <v>0.51949999999999996</v>
      </c>
      <c r="C367">
        <v>0.66</v>
      </c>
      <c r="D367">
        <v>0.50590000000000002</v>
      </c>
      <c r="E367">
        <v>0.52200000000000002</v>
      </c>
      <c r="F367">
        <v>8377437.4900000002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-0.79104477611940294</v>
      </c>
      <c r="Q367">
        <f t="shared" si="970"/>
        <v>-6626928.1637313431</v>
      </c>
      <c r="R367">
        <f t="shared" si="971"/>
        <v>-39238999.664122976</v>
      </c>
      <c r="S367">
        <f t="shared" si="972"/>
        <v>-392.38999664122974</v>
      </c>
      <c r="T367">
        <f t="shared" si="973"/>
        <v>-0.39238999664122975</v>
      </c>
    </row>
    <row r="368" spans="1:20" x14ac:dyDescent="0.25">
      <c r="A368" s="5">
        <v>44225</v>
      </c>
      <c r="B368">
        <v>0.41599999999999998</v>
      </c>
      <c r="C368">
        <v>0.56000000000000005</v>
      </c>
      <c r="D368">
        <v>0.40400000000000003</v>
      </c>
      <c r="E368">
        <v>0.51770000000000005</v>
      </c>
      <c r="F368">
        <v>4041425.29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0.45769230769230773</v>
      </c>
      <c r="Q368">
        <f t="shared" si="970"/>
        <v>1849729.267346154</v>
      </c>
      <c r="R368">
        <f t="shared" si="971"/>
        <v>-32612071.500391636</v>
      </c>
      <c r="S368">
        <f t="shared" si="972"/>
        <v>-326.12071500391636</v>
      </c>
      <c r="T368">
        <f t="shared" si="973"/>
        <v>-0.32612071500391637</v>
      </c>
    </row>
    <row r="369" spans="1:20" x14ac:dyDescent="0.25">
      <c r="A369" s="5">
        <v>44224</v>
      </c>
      <c r="B369">
        <v>0.41099999999999998</v>
      </c>
      <c r="C369">
        <v>0.43430000000000002</v>
      </c>
      <c r="D369">
        <v>0.39889999999999998</v>
      </c>
      <c r="E369">
        <v>0.41599999999999998</v>
      </c>
      <c r="F369">
        <v>1546405.27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-3.3898305084746692E-2</v>
      </c>
      <c r="Q369">
        <f t="shared" si="970"/>
        <v>-52420.517627120083</v>
      </c>
      <c r="R369">
        <f t="shared" si="971"/>
        <v>-34461800.767737791</v>
      </c>
      <c r="S369">
        <f t="shared" si="972"/>
        <v>-344.61800767737793</v>
      </c>
      <c r="T369">
        <f t="shared" si="973"/>
        <v>-0.34461800767737794</v>
      </c>
    </row>
    <row r="370" spans="1:20" x14ac:dyDescent="0.25">
      <c r="A370" s="5">
        <v>44223</v>
      </c>
      <c r="B370">
        <v>0.45340000000000003</v>
      </c>
      <c r="C370">
        <v>0.46760000000000002</v>
      </c>
      <c r="D370">
        <v>0.40760000000000002</v>
      </c>
      <c r="E370">
        <v>0.40970000000000001</v>
      </c>
      <c r="F370">
        <v>1111188.3600000001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-0.93000000000000027</v>
      </c>
      <c r="Q370">
        <f t="shared" si="970"/>
        <v>-1033405.1748000004</v>
      </c>
      <c r="R370">
        <f t="shared" si="971"/>
        <v>-34409380.250110671</v>
      </c>
      <c r="S370">
        <f t="shared" si="972"/>
        <v>-344.09380250110672</v>
      </c>
      <c r="T370">
        <f t="shared" si="973"/>
        <v>-0.34409380250110672</v>
      </c>
    </row>
    <row r="371" spans="1:20" x14ac:dyDescent="0.25">
      <c r="A371" s="5">
        <v>44222</v>
      </c>
      <c r="B371">
        <v>0.42959999999999998</v>
      </c>
      <c r="C371">
        <v>0.46</v>
      </c>
      <c r="D371">
        <v>0.4153</v>
      </c>
      <c r="E371">
        <v>0.45390000000000003</v>
      </c>
      <c r="F371">
        <v>1290471.06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0.72706935123042538</v>
      </c>
      <c r="Q371">
        <f t="shared" si="970"/>
        <v>938261.95637583942</v>
      </c>
      <c r="R371">
        <f t="shared" si="971"/>
        <v>-33375975.075310674</v>
      </c>
      <c r="S371">
        <f t="shared" si="972"/>
        <v>-333.75975075310674</v>
      </c>
      <c r="T371">
        <f t="shared" si="973"/>
        <v>-0.33375975075310677</v>
      </c>
    </row>
    <row r="372" spans="1:20" x14ac:dyDescent="0.25">
      <c r="A372" s="5">
        <v>44221</v>
      </c>
      <c r="B372">
        <v>0.45440000000000003</v>
      </c>
      <c r="C372">
        <v>0.4839</v>
      </c>
      <c r="D372">
        <v>0.41899999999999998</v>
      </c>
      <c r="E372">
        <v>0.43169999999999997</v>
      </c>
      <c r="F372">
        <v>1747478.42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-0.60862865947611755</v>
      </c>
      <c r="Q372">
        <f t="shared" si="970"/>
        <v>-1063565.448228044</v>
      </c>
      <c r="R372">
        <f t="shared" si="971"/>
        <v>-34314237.031686515</v>
      </c>
      <c r="S372">
        <f t="shared" si="972"/>
        <v>-343.14237031686514</v>
      </c>
      <c r="T372">
        <f t="shared" si="973"/>
        <v>-0.34314237031686512</v>
      </c>
    </row>
    <row r="373" spans="1:20" x14ac:dyDescent="0.25">
      <c r="A373" s="5">
        <v>44220</v>
      </c>
      <c r="B373">
        <v>0.4501</v>
      </c>
      <c r="C373">
        <v>0.4718</v>
      </c>
      <c r="D373">
        <v>0.43769999999999998</v>
      </c>
      <c r="E373">
        <v>0.45440000000000003</v>
      </c>
      <c r="F373">
        <v>1152720.76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-2.0527859237534384E-2</v>
      </c>
      <c r="Q373">
        <f t="shared" si="970"/>
        <v>-23662.889501463655</v>
      </c>
      <c r="R373">
        <f t="shared" si="971"/>
        <v>-33250671.583458472</v>
      </c>
      <c r="S373">
        <f t="shared" si="972"/>
        <v>-332.50671583458472</v>
      </c>
      <c r="T373">
        <f t="shared" si="973"/>
        <v>-0.33250671583458474</v>
      </c>
    </row>
    <row r="374" spans="1:20" x14ac:dyDescent="0.25">
      <c r="A374" s="5">
        <v>44219</v>
      </c>
      <c r="B374">
        <v>0.4199</v>
      </c>
      <c r="C374">
        <v>0.48599999999999999</v>
      </c>
      <c r="D374">
        <v>0.40760000000000002</v>
      </c>
      <c r="E374">
        <v>0.45029999999999998</v>
      </c>
      <c r="F374">
        <v>2307529.64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8.9285714285713691E-2</v>
      </c>
      <c r="Q374">
        <f t="shared" si="970"/>
        <v>206029.43214285577</v>
      </c>
      <c r="R374">
        <f t="shared" si="971"/>
        <v>-33227008.693957008</v>
      </c>
      <c r="S374">
        <f t="shared" si="972"/>
        <v>-332.27008693957009</v>
      </c>
      <c r="T374">
        <f t="shared" si="973"/>
        <v>-0.33227008693957011</v>
      </c>
    </row>
    <row r="375" spans="1:20" x14ac:dyDescent="0.25">
      <c r="A375" s="5">
        <v>44218</v>
      </c>
      <c r="B375">
        <v>0.40589999999999998</v>
      </c>
      <c r="C375">
        <v>0.44</v>
      </c>
      <c r="D375">
        <v>0.37</v>
      </c>
      <c r="E375">
        <v>0.42009999999999997</v>
      </c>
      <c r="F375">
        <v>1422430.05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0.43142857142857066</v>
      </c>
      <c r="Q375">
        <f t="shared" si="970"/>
        <v>613676.96442857035</v>
      </c>
      <c r="R375">
        <f t="shared" si="971"/>
        <v>-33433038.126099866</v>
      </c>
      <c r="S375">
        <f t="shared" si="972"/>
        <v>-334.33038126099865</v>
      </c>
      <c r="T375">
        <f t="shared" si="973"/>
        <v>-0.33433038126099868</v>
      </c>
    </row>
    <row r="376" spans="1:20" x14ac:dyDescent="0.25">
      <c r="A376" s="5">
        <v>44217</v>
      </c>
      <c r="B376">
        <v>0.43049999999999999</v>
      </c>
      <c r="C376">
        <v>0.46379999999999999</v>
      </c>
      <c r="D376">
        <v>0.39879999999999999</v>
      </c>
      <c r="E376">
        <v>0.40610000000000002</v>
      </c>
      <c r="F376">
        <v>4057228.69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-0.77538461538461456</v>
      </c>
      <c r="Q376">
        <f t="shared" si="970"/>
        <v>-3145912.7073230734</v>
      </c>
      <c r="R376">
        <f t="shared" si="971"/>
        <v>-34046715.090528436</v>
      </c>
      <c r="S376">
        <f t="shared" si="972"/>
        <v>-340.46715090528437</v>
      </c>
      <c r="T376">
        <f t="shared" si="973"/>
        <v>-0.34046715090528434</v>
      </c>
    </row>
    <row r="377" spans="1:20" x14ac:dyDescent="0.25">
      <c r="A377" s="5">
        <v>44216</v>
      </c>
      <c r="B377">
        <v>0.42330000000000001</v>
      </c>
      <c r="C377">
        <v>0.43259999999999998</v>
      </c>
      <c r="D377">
        <v>0.39019999999999999</v>
      </c>
      <c r="E377">
        <v>0.43049999999999999</v>
      </c>
      <c r="F377">
        <v>1091562.6299999999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0.9009433962264155</v>
      </c>
      <c r="Q377">
        <f t="shared" si="970"/>
        <v>983436.14306603803</v>
      </c>
      <c r="R377">
        <f t="shared" si="971"/>
        <v>-30900802.383205365</v>
      </c>
      <c r="S377">
        <f t="shared" si="972"/>
        <v>-309.00802383205365</v>
      </c>
      <c r="T377">
        <f t="shared" si="973"/>
        <v>-0.30900802383205367</v>
      </c>
    </row>
    <row r="378" spans="1:20" x14ac:dyDescent="0.25">
      <c r="A378" s="5">
        <v>44215</v>
      </c>
      <c r="B378">
        <v>0.45679999999999998</v>
      </c>
      <c r="C378">
        <v>0.4642</v>
      </c>
      <c r="D378">
        <v>0.41599999999999998</v>
      </c>
      <c r="E378">
        <v>0.42330000000000001</v>
      </c>
      <c r="F378">
        <v>1140341.08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-0.69709543568464627</v>
      </c>
      <c r="Q378">
        <f t="shared" si="970"/>
        <v>-794926.56199170009</v>
      </c>
      <c r="R378">
        <f t="shared" si="971"/>
        <v>-31884238.526271403</v>
      </c>
      <c r="S378">
        <f t="shared" si="972"/>
        <v>-318.842385262714</v>
      </c>
      <c r="T378">
        <f t="shared" si="973"/>
        <v>-0.31884238526271402</v>
      </c>
    </row>
    <row r="379" spans="1:20" x14ac:dyDescent="0.25">
      <c r="A379" s="5">
        <v>44214</v>
      </c>
      <c r="B379">
        <v>0.42980000000000002</v>
      </c>
      <c r="C379">
        <v>0.47989999999999999</v>
      </c>
      <c r="D379">
        <v>0.42220000000000002</v>
      </c>
      <c r="E379">
        <v>0.45610000000000001</v>
      </c>
      <c r="F379">
        <v>2829812.96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0.17504332755632587</v>
      </c>
      <c r="Q379">
        <f t="shared" si="970"/>
        <v>495339.87688041606</v>
      </c>
      <c r="R379">
        <f t="shared" si="971"/>
        <v>-31089311.964279704</v>
      </c>
      <c r="S379">
        <f t="shared" si="972"/>
        <v>-310.89311964279705</v>
      </c>
      <c r="T379">
        <f t="shared" si="973"/>
        <v>-0.31089311964279703</v>
      </c>
    </row>
    <row r="380" spans="1:20" x14ac:dyDescent="0.25">
      <c r="A380" s="5">
        <v>44213</v>
      </c>
      <c r="B380">
        <v>0.40300000000000002</v>
      </c>
      <c r="C380">
        <v>0.43</v>
      </c>
      <c r="D380">
        <v>0.38</v>
      </c>
      <c r="E380">
        <v>0.4299</v>
      </c>
      <c r="F380">
        <v>1881841.91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0.99600000000000044</v>
      </c>
      <c r="Q380">
        <f t="shared" si="970"/>
        <v>1874314.5423600008</v>
      </c>
      <c r="R380">
        <f t="shared" si="971"/>
        <v>-31584651.841160119</v>
      </c>
      <c r="S380">
        <f t="shared" si="972"/>
        <v>-315.84651841160121</v>
      </c>
      <c r="T380">
        <f t="shared" si="973"/>
        <v>-0.31584651841160122</v>
      </c>
    </row>
    <row r="381" spans="1:20" x14ac:dyDescent="0.25">
      <c r="A381" s="5">
        <v>44212</v>
      </c>
      <c r="B381">
        <v>0.3836</v>
      </c>
      <c r="C381">
        <v>0.43990000000000001</v>
      </c>
      <c r="D381">
        <v>0.38080000000000003</v>
      </c>
      <c r="E381">
        <v>0.40310000000000001</v>
      </c>
      <c r="F381">
        <v>2870774.02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-0.24534686971235223</v>
      </c>
      <c r="Q381">
        <f t="shared" si="970"/>
        <v>-704335.41945854563</v>
      </c>
      <c r="R381">
        <f t="shared" si="971"/>
        <v>-33458966.383520119</v>
      </c>
      <c r="S381">
        <f t="shared" si="972"/>
        <v>-334.58966383520118</v>
      </c>
      <c r="T381">
        <f t="shared" si="973"/>
        <v>-0.33458966383520117</v>
      </c>
    </row>
    <row r="382" spans="1:20" x14ac:dyDescent="0.25">
      <c r="A382" s="5">
        <v>44211</v>
      </c>
      <c r="B382">
        <v>0.38140000000000002</v>
      </c>
      <c r="C382">
        <v>0.39290000000000003</v>
      </c>
      <c r="D382">
        <v>0.35980000000000001</v>
      </c>
      <c r="E382">
        <v>0.38100000000000001</v>
      </c>
      <c r="F382">
        <v>1130117.43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0.28096676737160031</v>
      </c>
      <c r="Q382">
        <f t="shared" si="970"/>
        <v>317525.44105740078</v>
      </c>
      <c r="R382">
        <f t="shared" si="971"/>
        <v>-32754630.964061573</v>
      </c>
      <c r="S382">
        <f t="shared" si="972"/>
        <v>-327.54630964061573</v>
      </c>
      <c r="T382">
        <f t="shared" si="973"/>
        <v>-0.32754630964061571</v>
      </c>
    </row>
    <row r="383" spans="1:20" x14ac:dyDescent="0.25">
      <c r="A383" s="5">
        <v>44210</v>
      </c>
      <c r="B383">
        <v>0.37869999999999998</v>
      </c>
      <c r="C383">
        <v>0.39460000000000001</v>
      </c>
      <c r="D383">
        <v>0.37009999999999998</v>
      </c>
      <c r="E383">
        <v>0.38140000000000002</v>
      </c>
      <c r="F383">
        <v>529140.68000000005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-7.7551020408161447E-2</v>
      </c>
      <c r="Q383">
        <f t="shared" si="970"/>
        <v>-41035.399673468433</v>
      </c>
      <c r="R383">
        <f t="shared" si="971"/>
        <v>-33072156.405118972</v>
      </c>
      <c r="S383">
        <f t="shared" si="972"/>
        <v>-330.72156405118972</v>
      </c>
      <c r="T383">
        <f t="shared" si="973"/>
        <v>-0.33072156405118974</v>
      </c>
    </row>
    <row r="384" spans="1:20" x14ac:dyDescent="0.25">
      <c r="A384" s="5">
        <v>44209</v>
      </c>
      <c r="B384">
        <v>0.36399999999999999</v>
      </c>
      <c r="C384">
        <v>0.3851</v>
      </c>
      <c r="D384">
        <v>0.35239999999999999</v>
      </c>
      <c r="E384">
        <v>0.37959999999999999</v>
      </c>
      <c r="F384">
        <v>560467.69999999995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0.66360856269113122</v>
      </c>
      <c r="Q384">
        <f t="shared" si="970"/>
        <v>371931.16483180411</v>
      </c>
      <c r="R384">
        <f t="shared" si="971"/>
        <v>-33031121.005445503</v>
      </c>
      <c r="S384">
        <f t="shared" si="972"/>
        <v>-330.31121005445505</v>
      </c>
      <c r="T384">
        <f t="shared" si="973"/>
        <v>-0.33031121005445507</v>
      </c>
    </row>
    <row r="385" spans="1:20" x14ac:dyDescent="0.25">
      <c r="A385" s="5">
        <v>44208</v>
      </c>
      <c r="B385">
        <v>0.3896</v>
      </c>
      <c r="C385">
        <v>0.39889999999999998</v>
      </c>
      <c r="D385">
        <v>0.35499999999999998</v>
      </c>
      <c r="E385">
        <v>0.36549999999999999</v>
      </c>
      <c r="F385">
        <v>637557.17000000004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-0.5216400911161726</v>
      </c>
      <c r="Q385">
        <f t="shared" si="970"/>
        <v>-332575.38025056914</v>
      </c>
      <c r="R385">
        <f t="shared" si="971"/>
        <v>-33403052.170277309</v>
      </c>
      <c r="S385">
        <f t="shared" si="972"/>
        <v>-334.03052170277311</v>
      </c>
      <c r="T385">
        <f t="shared" si="973"/>
        <v>-0.33403052170277314</v>
      </c>
    </row>
    <row r="386" spans="1:20" x14ac:dyDescent="0.25">
      <c r="A386" s="5">
        <v>44207</v>
      </c>
      <c r="B386">
        <v>0.41210000000000002</v>
      </c>
      <c r="C386">
        <v>0.41210000000000002</v>
      </c>
      <c r="D386">
        <v>0.33539999999999998</v>
      </c>
      <c r="E386">
        <v>0.3896</v>
      </c>
      <c r="F386">
        <v>1646318.48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0.41329856584093855</v>
      </c>
      <c r="Q386">
        <f t="shared" si="970"/>
        <v>680421.06670143385</v>
      </c>
      <c r="R386">
        <f t="shared" si="971"/>
        <v>-33070476.790026739</v>
      </c>
      <c r="S386">
        <f t="shared" si="972"/>
        <v>-330.70476790026737</v>
      </c>
      <c r="T386">
        <f t="shared" si="973"/>
        <v>-0.33070476790026737</v>
      </c>
    </row>
    <row r="387" spans="1:20" x14ac:dyDescent="0.25">
      <c r="A387" s="5">
        <v>44206</v>
      </c>
      <c r="B387">
        <v>0.43149999999999999</v>
      </c>
      <c r="C387">
        <v>0.48680000000000001</v>
      </c>
      <c r="D387">
        <v>0.378</v>
      </c>
      <c r="E387">
        <v>0.41060000000000002</v>
      </c>
      <c r="F387">
        <v>2621602.84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-0.4007352941176468</v>
      </c>
      <c r="Q387">
        <f t="shared" si="970"/>
        <v>-1050568.7851470581</v>
      </c>
      <c r="R387">
        <f t="shared" si="971"/>
        <v>-33750897.856728174</v>
      </c>
      <c r="S387">
        <f t="shared" si="972"/>
        <v>-337.50897856728176</v>
      </c>
      <c r="T387">
        <f t="shared" si="973"/>
        <v>-0.33750897856728174</v>
      </c>
    </row>
    <row r="388" spans="1:20" x14ac:dyDescent="0.25">
      <c r="A388" s="5">
        <v>44205</v>
      </c>
      <c r="B388">
        <v>0.41410000000000002</v>
      </c>
      <c r="C388">
        <v>0.45600000000000002</v>
      </c>
      <c r="D388">
        <v>0.40300000000000002</v>
      </c>
      <c r="E388">
        <v>0.43149999999999999</v>
      </c>
      <c r="F388">
        <v>1796666.41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7.5471698113206573E-2</v>
      </c>
      <c r="Q388">
        <f t="shared" si="970"/>
        <v>135597.46490565862</v>
      </c>
      <c r="R388">
        <f t="shared" si="971"/>
        <v>-32700329.071581118</v>
      </c>
      <c r="S388">
        <f t="shared" si="972"/>
        <v>-327.0032907158112</v>
      </c>
      <c r="T388">
        <f t="shared" si="973"/>
        <v>-0.32700329071581119</v>
      </c>
    </row>
    <row r="389" spans="1:20" x14ac:dyDescent="0.25">
      <c r="A389" s="5">
        <v>44204</v>
      </c>
      <c r="B389">
        <v>0.41710000000000003</v>
      </c>
      <c r="C389">
        <v>0.43990000000000001</v>
      </c>
      <c r="D389">
        <v>0.36449999999999999</v>
      </c>
      <c r="E389">
        <v>0.41420000000000001</v>
      </c>
      <c r="F389">
        <v>1902272.73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0.31830238726790472</v>
      </c>
      <c r="Q389">
        <f t="shared" si="970"/>
        <v>605497.9511936343</v>
      </c>
      <c r="R389">
        <f t="shared" si="971"/>
        <v>-32835926.536486775</v>
      </c>
      <c r="S389">
        <f t="shared" si="972"/>
        <v>-328.35926536486772</v>
      </c>
      <c r="T389">
        <f t="shared" si="973"/>
        <v>-0.3283592653648677</v>
      </c>
    </row>
    <row r="390" spans="1:20" x14ac:dyDescent="0.25">
      <c r="A390" s="5">
        <v>44203</v>
      </c>
      <c r="B390">
        <v>0.37940000000000002</v>
      </c>
      <c r="C390">
        <v>0.45</v>
      </c>
      <c r="D390">
        <v>0.36770000000000003</v>
      </c>
      <c r="E390">
        <v>0.41710000000000003</v>
      </c>
      <c r="F390">
        <v>2938649.46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0.20048602673147045</v>
      </c>
      <c r="Q390">
        <f t="shared" ref="Q390:Q453" si="975">F390*P390</f>
        <v>589158.15419198119</v>
      </c>
      <c r="R390">
        <f t="shared" ref="R390:R453" si="976">R391+Q390</f>
        <v>-33441424.487680409</v>
      </c>
      <c r="S390">
        <f t="shared" ref="S390:S453" si="977">R390/100000</f>
        <v>-334.4142448768041</v>
      </c>
      <c r="T390">
        <f t="shared" ref="T390:T453" si="978">S390/1000</f>
        <v>-0.3344142448768041</v>
      </c>
    </row>
    <row r="391" spans="1:20" x14ac:dyDescent="0.25">
      <c r="A391" s="5">
        <v>44202</v>
      </c>
      <c r="B391">
        <v>0.37009999999999998</v>
      </c>
      <c r="C391">
        <v>0.39</v>
      </c>
      <c r="D391">
        <v>0.35360000000000003</v>
      </c>
      <c r="E391">
        <v>0.37680000000000002</v>
      </c>
      <c r="F391">
        <v>1221674.79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0.27472527472527508</v>
      </c>
      <c r="Q391">
        <f t="shared" si="975"/>
        <v>335624.94230769278</v>
      </c>
      <c r="R391">
        <f t="shared" si="976"/>
        <v>-34030582.641872391</v>
      </c>
      <c r="S391">
        <f t="shared" si="977"/>
        <v>-340.30582641872394</v>
      </c>
      <c r="T391">
        <f t="shared" si="978"/>
        <v>-0.34030582641872392</v>
      </c>
    </row>
    <row r="392" spans="1:20" x14ac:dyDescent="0.25">
      <c r="A392" s="5">
        <v>44201</v>
      </c>
      <c r="B392">
        <v>0.34939999999999999</v>
      </c>
      <c r="C392">
        <v>0.41</v>
      </c>
      <c r="D392">
        <v>0.33119999999999999</v>
      </c>
      <c r="E392">
        <v>0.3669</v>
      </c>
      <c r="F392">
        <v>2538631.2999999998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-9.3908629441623911E-2</v>
      </c>
      <c r="Q392">
        <f t="shared" si="975"/>
        <v>-238399.38604060796</v>
      </c>
      <c r="R392">
        <f t="shared" si="976"/>
        <v>-34366207.584180087</v>
      </c>
      <c r="S392">
        <f t="shared" si="977"/>
        <v>-343.66207584180086</v>
      </c>
      <c r="T392">
        <f t="shared" si="978"/>
        <v>-0.34366207584180086</v>
      </c>
    </row>
    <row r="393" spans="1:20" x14ac:dyDescent="0.25">
      <c r="A393" s="5">
        <v>44200</v>
      </c>
      <c r="B393">
        <v>0.35039999999999999</v>
      </c>
      <c r="C393">
        <v>0.38900000000000001</v>
      </c>
      <c r="D393">
        <v>0.33500000000000002</v>
      </c>
      <c r="E393">
        <v>0.3463</v>
      </c>
      <c r="F393">
        <v>1607168.56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-0.58148148148148227</v>
      </c>
      <c r="Q393">
        <f t="shared" si="975"/>
        <v>-934538.75525926054</v>
      </c>
      <c r="R393">
        <f t="shared" si="976"/>
        <v>-34127808.198139481</v>
      </c>
      <c r="S393">
        <f t="shared" si="977"/>
        <v>-341.27808198139479</v>
      </c>
      <c r="T393">
        <f t="shared" si="978"/>
        <v>-0.34127808198139481</v>
      </c>
    </row>
    <row r="394" spans="1:20" x14ac:dyDescent="0.25">
      <c r="A394" s="5">
        <v>44199</v>
      </c>
      <c r="B394">
        <v>0.3407</v>
      </c>
      <c r="C394">
        <v>0.3624</v>
      </c>
      <c r="D394">
        <v>0.33579999999999999</v>
      </c>
      <c r="E394">
        <v>0.35270000000000001</v>
      </c>
      <c r="F394">
        <v>820863.55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0.27067669172932468</v>
      </c>
      <c r="Q394">
        <f t="shared" si="975"/>
        <v>222188.63007518911</v>
      </c>
      <c r="R394">
        <f t="shared" si="976"/>
        <v>-33193269.442880221</v>
      </c>
      <c r="S394">
        <f t="shared" si="977"/>
        <v>-331.93269442880222</v>
      </c>
      <c r="T394">
        <f t="shared" si="978"/>
        <v>-0.33193269442880224</v>
      </c>
    </row>
    <row r="395" spans="1:20" x14ac:dyDescent="0.25">
      <c r="A395" s="5">
        <v>44198</v>
      </c>
      <c r="B395">
        <v>0.35759999999999997</v>
      </c>
      <c r="C395">
        <v>0.4</v>
      </c>
      <c r="D395">
        <v>0.33439999999999998</v>
      </c>
      <c r="E395">
        <v>0.33839999999999998</v>
      </c>
      <c r="F395">
        <v>1138226.8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-0.87804878048780488</v>
      </c>
      <c r="Q395">
        <f t="shared" si="975"/>
        <v>-999418.65365853661</v>
      </c>
      <c r="R395">
        <f t="shared" si="976"/>
        <v>-33415458.072955411</v>
      </c>
      <c r="S395">
        <f t="shared" si="977"/>
        <v>-334.15458072955408</v>
      </c>
      <c r="T395">
        <f t="shared" si="978"/>
        <v>-0.33415458072955406</v>
      </c>
    </row>
    <row r="396" spans="1:20" x14ac:dyDescent="0.25">
      <c r="A396" s="5">
        <v>44197</v>
      </c>
      <c r="B396">
        <v>0.35510000000000003</v>
      </c>
      <c r="C396">
        <v>0.3659</v>
      </c>
      <c r="D396">
        <v>0.34520000000000001</v>
      </c>
      <c r="E396">
        <v>0.35749999999999998</v>
      </c>
      <c r="F396">
        <v>595544.75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0.18840579710144734</v>
      </c>
      <c r="Q396">
        <f t="shared" si="975"/>
        <v>112204.08333333218</v>
      </c>
      <c r="R396">
        <f t="shared" si="976"/>
        <v>-32416039.419296876</v>
      </c>
      <c r="S396">
        <f t="shared" si="977"/>
        <v>-324.16039419296874</v>
      </c>
      <c r="T396">
        <f t="shared" si="978"/>
        <v>-0.32416039419296871</v>
      </c>
    </row>
    <row r="397" spans="1:20" x14ac:dyDescent="0.25">
      <c r="A397" s="5">
        <v>44196</v>
      </c>
      <c r="B397">
        <v>0.36580000000000001</v>
      </c>
      <c r="C397">
        <v>0.36899999999999999</v>
      </c>
      <c r="D397">
        <v>0.3458</v>
      </c>
      <c r="E397">
        <v>0.35759999999999997</v>
      </c>
      <c r="F397">
        <v>379507.02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1.724137931034293E-2</v>
      </c>
      <c r="Q397">
        <f t="shared" si="975"/>
        <v>6543.2244827579007</v>
      </c>
      <c r="R397">
        <f t="shared" si="976"/>
        <v>-32528243.502630208</v>
      </c>
      <c r="S397">
        <f t="shared" si="977"/>
        <v>-325.2824350263021</v>
      </c>
      <c r="T397">
        <f t="shared" si="978"/>
        <v>-0.32528243502630211</v>
      </c>
    </row>
    <row r="398" spans="1:20" x14ac:dyDescent="0.25">
      <c r="A398" s="5">
        <v>44195</v>
      </c>
      <c r="B398">
        <v>0.36840000000000001</v>
      </c>
      <c r="C398">
        <v>0.36969999999999997</v>
      </c>
      <c r="D398">
        <v>0.35189999999999999</v>
      </c>
      <c r="E398">
        <v>0.3659</v>
      </c>
      <c r="F398">
        <v>448777.18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0.57303370786517149</v>
      </c>
      <c r="Q398">
        <f t="shared" si="975"/>
        <v>257164.45146067548</v>
      </c>
      <c r="R398">
        <f t="shared" si="976"/>
        <v>-32534786.727112964</v>
      </c>
      <c r="S398">
        <f t="shared" si="977"/>
        <v>-325.34786727112964</v>
      </c>
      <c r="T398">
        <f t="shared" si="978"/>
        <v>-0.32534786727112963</v>
      </c>
    </row>
    <row r="399" spans="1:20" x14ac:dyDescent="0.25">
      <c r="A399" s="5">
        <v>44194</v>
      </c>
      <c r="B399">
        <v>0.38800000000000001</v>
      </c>
      <c r="C399">
        <v>0.39879999999999999</v>
      </c>
      <c r="D399">
        <v>0.36359999999999998</v>
      </c>
      <c r="E399">
        <v>0.36830000000000002</v>
      </c>
      <c r="F399">
        <v>463834.81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-0.73295454545454342</v>
      </c>
      <c r="Q399">
        <f t="shared" si="975"/>
        <v>-339969.83232954453</v>
      </c>
      <c r="R399">
        <f t="shared" si="976"/>
        <v>-32791951.178573638</v>
      </c>
      <c r="S399">
        <f t="shared" si="977"/>
        <v>-327.9195117857364</v>
      </c>
      <c r="T399">
        <f t="shared" si="978"/>
        <v>-0.32791951178573642</v>
      </c>
    </row>
    <row r="400" spans="1:20" x14ac:dyDescent="0.25">
      <c r="A400" s="5">
        <v>44193</v>
      </c>
      <c r="B400">
        <v>0.38900000000000001</v>
      </c>
      <c r="C400">
        <v>0.4073</v>
      </c>
      <c r="D400">
        <v>0.38419999999999999</v>
      </c>
      <c r="E400">
        <v>0.3881</v>
      </c>
      <c r="F400">
        <v>633113.59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-0.66233766233766123</v>
      </c>
      <c r="Q400">
        <f t="shared" si="975"/>
        <v>-419334.97519480449</v>
      </c>
      <c r="R400">
        <f t="shared" si="976"/>
        <v>-32451981.346244093</v>
      </c>
      <c r="S400">
        <f t="shared" si="977"/>
        <v>-324.51981346244094</v>
      </c>
      <c r="T400">
        <f t="shared" si="978"/>
        <v>-0.32451981346244091</v>
      </c>
    </row>
    <row r="401" spans="1:20" x14ac:dyDescent="0.25">
      <c r="A401" s="5">
        <v>44192</v>
      </c>
      <c r="B401">
        <v>0.39029999999999998</v>
      </c>
      <c r="C401">
        <v>0.39650000000000002</v>
      </c>
      <c r="D401">
        <v>0.36</v>
      </c>
      <c r="E401">
        <v>0.3821</v>
      </c>
      <c r="F401">
        <v>639843.81000000006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0.21095890410958842</v>
      </c>
      <c r="Q401">
        <f t="shared" si="975"/>
        <v>134980.74895890371</v>
      </c>
      <c r="R401">
        <f t="shared" si="976"/>
        <v>-32032646.371049289</v>
      </c>
      <c r="S401">
        <f t="shared" si="977"/>
        <v>-320.32646371049287</v>
      </c>
      <c r="T401">
        <f t="shared" si="978"/>
        <v>-0.32032646371049289</v>
      </c>
    </row>
    <row r="402" spans="1:20" x14ac:dyDescent="0.25">
      <c r="A402" s="5">
        <v>44191</v>
      </c>
      <c r="B402">
        <v>0.39269999999999999</v>
      </c>
      <c r="C402">
        <v>0.47649999999999998</v>
      </c>
      <c r="D402">
        <v>0.37609999999999999</v>
      </c>
      <c r="E402">
        <v>0.38969999999999999</v>
      </c>
      <c r="F402">
        <v>1251282.32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-0.72908366533864533</v>
      </c>
      <c r="Q402">
        <f t="shared" si="975"/>
        <v>-912289.50023904373</v>
      </c>
      <c r="R402">
        <f t="shared" si="976"/>
        <v>-32167627.120008193</v>
      </c>
      <c r="S402">
        <f t="shared" si="977"/>
        <v>-321.67627120008194</v>
      </c>
      <c r="T402">
        <f t="shared" si="978"/>
        <v>-0.32167627120008196</v>
      </c>
    </row>
    <row r="403" spans="1:20" x14ac:dyDescent="0.25">
      <c r="A403" s="5">
        <v>44190</v>
      </c>
      <c r="B403">
        <v>0.40510000000000002</v>
      </c>
      <c r="C403">
        <v>0.41020000000000001</v>
      </c>
      <c r="D403">
        <v>0.3841</v>
      </c>
      <c r="E403">
        <v>0.39290000000000003</v>
      </c>
      <c r="F403">
        <v>500674.55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-0.32567049808428922</v>
      </c>
      <c r="Q403">
        <f t="shared" si="975"/>
        <v>-163054.93007662735</v>
      </c>
      <c r="R403">
        <f t="shared" si="976"/>
        <v>-31255337.619769149</v>
      </c>
      <c r="S403">
        <f t="shared" si="977"/>
        <v>-312.55337619769148</v>
      </c>
      <c r="T403">
        <f t="shared" si="978"/>
        <v>-0.31255337619769147</v>
      </c>
    </row>
    <row r="404" spans="1:20" x14ac:dyDescent="0.25">
      <c r="A404" s="5">
        <v>44189</v>
      </c>
      <c r="B404">
        <v>0.3725</v>
      </c>
      <c r="C404">
        <v>0.4209</v>
      </c>
      <c r="D404">
        <v>0.3579</v>
      </c>
      <c r="E404">
        <v>0.40510000000000002</v>
      </c>
      <c r="F404">
        <v>697097.73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0.49841269841269903</v>
      </c>
      <c r="Q404">
        <f t="shared" si="975"/>
        <v>347442.36066666711</v>
      </c>
      <c r="R404">
        <f t="shared" si="976"/>
        <v>-31092282.68969252</v>
      </c>
      <c r="S404">
        <f t="shared" si="977"/>
        <v>-310.92282689692519</v>
      </c>
      <c r="T404">
        <f t="shared" si="978"/>
        <v>-0.31092282689692519</v>
      </c>
    </row>
    <row r="405" spans="1:20" x14ac:dyDescent="0.25">
      <c r="A405" s="5">
        <v>44188</v>
      </c>
      <c r="B405">
        <v>0.44109999999999999</v>
      </c>
      <c r="C405">
        <v>0.4461</v>
      </c>
      <c r="D405">
        <v>0.3619</v>
      </c>
      <c r="E405">
        <v>0.37480000000000002</v>
      </c>
      <c r="F405">
        <v>1703349.35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-0.69358669833729159</v>
      </c>
      <c r="Q405">
        <f t="shared" si="975"/>
        <v>-1181420.4517814717</v>
      </c>
      <c r="R405">
        <f t="shared" si="976"/>
        <v>-31439725.050359186</v>
      </c>
      <c r="S405">
        <f t="shared" si="977"/>
        <v>-314.39725050359186</v>
      </c>
      <c r="T405">
        <f t="shared" si="978"/>
        <v>-0.31439725050359185</v>
      </c>
    </row>
    <row r="406" spans="1:20" x14ac:dyDescent="0.25">
      <c r="A406" s="5">
        <v>44187</v>
      </c>
      <c r="B406">
        <v>0.39200000000000002</v>
      </c>
      <c r="C406">
        <v>0.54890000000000005</v>
      </c>
      <c r="D406">
        <v>0.3876</v>
      </c>
      <c r="E406">
        <v>0.4425</v>
      </c>
      <c r="F406">
        <v>4935814.8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-0.31928084314941119</v>
      </c>
      <c r="Q406">
        <f t="shared" si="975"/>
        <v>-1575911.1109733423</v>
      </c>
      <c r="R406">
        <f t="shared" si="976"/>
        <v>-30258304.598577715</v>
      </c>
      <c r="S406">
        <f t="shared" si="977"/>
        <v>-302.58304598577718</v>
      </c>
      <c r="T406">
        <f t="shared" si="978"/>
        <v>-0.30258304598577718</v>
      </c>
    </row>
    <row r="407" spans="1:20" x14ac:dyDescent="0.25">
      <c r="A407" s="5">
        <v>44186</v>
      </c>
      <c r="B407">
        <v>0.43259999999999998</v>
      </c>
      <c r="C407">
        <v>0.45639999999999997</v>
      </c>
      <c r="D407">
        <v>0.37059999999999998</v>
      </c>
      <c r="E407">
        <v>0.39229999999999998</v>
      </c>
      <c r="F407">
        <v>1191534.6200000001</v>
      </c>
      <c r="G407">
        <v>0</v>
      </c>
      <c r="L407" t="s">
        <v>8</v>
      </c>
      <c r="M407" t="s">
        <v>7</v>
      </c>
      <c r="N407" t="s">
        <v>7</v>
      </c>
      <c r="P407">
        <f t="shared" si="974"/>
        <v>-0.49417249417249415</v>
      </c>
      <c r="Q407">
        <f t="shared" si="975"/>
        <v>-588823.63505827507</v>
      </c>
      <c r="R407">
        <f t="shared" si="976"/>
        <v>-28682393.487604372</v>
      </c>
      <c r="S407">
        <f t="shared" si="977"/>
        <v>-286.82393487604372</v>
      </c>
      <c r="T407">
        <f t="shared" si="978"/>
        <v>-0.28682393487604374</v>
      </c>
    </row>
    <row r="408" spans="1:20" x14ac:dyDescent="0.25">
      <c r="A408" s="5">
        <v>44185</v>
      </c>
      <c r="B408">
        <v>0.41760000000000003</v>
      </c>
      <c r="C408">
        <v>0.44929999999999998</v>
      </c>
      <c r="D408">
        <v>0.40649999999999997</v>
      </c>
      <c r="E408">
        <v>0.42949999999999999</v>
      </c>
      <c r="F408">
        <v>1467401.84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7.4766355140187757E-2</v>
      </c>
      <c r="Q408">
        <f t="shared" si="975"/>
        <v>109712.28710280498</v>
      </c>
      <c r="R408">
        <f t="shared" si="976"/>
        <v>-28093569.852546096</v>
      </c>
      <c r="S408">
        <f t="shared" si="977"/>
        <v>-280.93569852546096</v>
      </c>
      <c r="T408">
        <f t="shared" si="978"/>
        <v>-0.28093569852546096</v>
      </c>
    </row>
    <row r="409" spans="1:20" x14ac:dyDescent="0.25">
      <c r="A409" s="5">
        <v>44184</v>
      </c>
      <c r="B409">
        <v>0.41410000000000002</v>
      </c>
      <c r="C409">
        <v>0.44290000000000002</v>
      </c>
      <c r="D409">
        <v>0.40789999999999998</v>
      </c>
      <c r="E409">
        <v>0.42149999999999999</v>
      </c>
      <c r="F409">
        <v>1053416.29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-0.2228571428571435</v>
      </c>
      <c r="Q409">
        <f t="shared" si="975"/>
        <v>-234761.34462857211</v>
      </c>
      <c r="R409">
        <f t="shared" si="976"/>
        <v>-28203282.139648899</v>
      </c>
      <c r="S409">
        <f t="shared" si="977"/>
        <v>-282.032821396489</v>
      </c>
      <c r="T409">
        <f t="shared" si="978"/>
        <v>-0.282032821396489</v>
      </c>
    </row>
    <row r="410" spans="1:20" x14ac:dyDescent="0.25">
      <c r="A410" s="5">
        <v>44183</v>
      </c>
      <c r="B410">
        <v>0.3992</v>
      </c>
      <c r="C410">
        <v>0.42</v>
      </c>
      <c r="D410">
        <v>0.39400000000000002</v>
      </c>
      <c r="E410">
        <v>0.4123</v>
      </c>
      <c r="F410">
        <v>390519.55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0.40769230769230813</v>
      </c>
      <c r="Q410">
        <f t="shared" si="975"/>
        <v>159211.81653846172</v>
      </c>
      <c r="R410">
        <f t="shared" si="976"/>
        <v>-27968520.795020327</v>
      </c>
      <c r="S410">
        <f t="shared" si="977"/>
        <v>-279.68520795020328</v>
      </c>
      <c r="T410">
        <f t="shared" si="978"/>
        <v>-0.2796852079502033</v>
      </c>
    </row>
    <row r="411" spans="1:20" x14ac:dyDescent="0.25">
      <c r="A411" s="5">
        <v>44182</v>
      </c>
      <c r="B411">
        <v>0.41420000000000001</v>
      </c>
      <c r="C411">
        <v>0.41810000000000003</v>
      </c>
      <c r="D411">
        <v>0.39150000000000001</v>
      </c>
      <c r="E411">
        <v>0.3992</v>
      </c>
      <c r="F411">
        <v>885446.39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-0.42105263157894879</v>
      </c>
      <c r="Q411">
        <f t="shared" si="975"/>
        <v>-372819.53263158019</v>
      </c>
      <c r="R411">
        <f t="shared" si="976"/>
        <v>-28127732.611558788</v>
      </c>
      <c r="S411">
        <f t="shared" si="977"/>
        <v>-281.27732611558787</v>
      </c>
      <c r="T411">
        <f t="shared" si="978"/>
        <v>-0.28127732611558787</v>
      </c>
    </row>
    <row r="412" spans="1:20" x14ac:dyDescent="0.25">
      <c r="A412" s="5">
        <v>44181</v>
      </c>
      <c r="B412">
        <v>0.40600000000000003</v>
      </c>
      <c r="C412">
        <v>0.42499999999999999</v>
      </c>
      <c r="D412">
        <v>0.39250000000000002</v>
      </c>
      <c r="E412">
        <v>0.41420000000000001</v>
      </c>
      <c r="F412">
        <v>740208.81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0.33538461538461628</v>
      </c>
      <c r="Q412">
        <f t="shared" si="975"/>
        <v>248254.64704615454</v>
      </c>
      <c r="R412">
        <f t="shared" si="976"/>
        <v>-27754913.078927208</v>
      </c>
      <c r="S412">
        <f t="shared" si="977"/>
        <v>-277.54913078927206</v>
      </c>
      <c r="T412">
        <f t="shared" si="978"/>
        <v>-0.27754913078927207</v>
      </c>
    </row>
    <row r="413" spans="1:20" x14ac:dyDescent="0.25">
      <c r="A413" s="5">
        <v>44180</v>
      </c>
      <c r="B413">
        <v>0.41830000000000001</v>
      </c>
      <c r="C413">
        <v>0.42099999999999999</v>
      </c>
      <c r="D413">
        <v>0.40039999999999998</v>
      </c>
      <c r="E413">
        <v>0.40610000000000002</v>
      </c>
      <c r="F413">
        <v>446902.15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-0.44660194174756929</v>
      </c>
      <c r="Q413">
        <f t="shared" si="975"/>
        <v>-199587.36796116349</v>
      </c>
      <c r="R413">
        <f t="shared" si="976"/>
        <v>-28003167.725973364</v>
      </c>
      <c r="S413">
        <f t="shared" si="977"/>
        <v>-280.03167725973361</v>
      </c>
      <c r="T413">
        <f t="shared" si="978"/>
        <v>-0.2800316772597336</v>
      </c>
    </row>
    <row r="414" spans="1:20" x14ac:dyDescent="0.25">
      <c r="A414" s="5">
        <v>44179</v>
      </c>
      <c r="B414">
        <v>0.4047</v>
      </c>
      <c r="C414">
        <v>0.42580000000000001</v>
      </c>
      <c r="D414">
        <v>0.39360000000000001</v>
      </c>
      <c r="E414">
        <v>0.41830000000000001</v>
      </c>
      <c r="F414">
        <v>1009330.85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0.53416149068322949</v>
      </c>
      <c r="Q414">
        <f t="shared" si="975"/>
        <v>539145.67142857111</v>
      </c>
      <c r="R414">
        <f t="shared" si="976"/>
        <v>-27803580.358012199</v>
      </c>
      <c r="S414">
        <f t="shared" si="977"/>
        <v>-278.03580358012198</v>
      </c>
      <c r="T414">
        <f t="shared" si="978"/>
        <v>-0.27803580358012198</v>
      </c>
    </row>
    <row r="415" spans="1:20" x14ac:dyDescent="0.25">
      <c r="A415" s="5">
        <v>44178</v>
      </c>
      <c r="B415">
        <v>0.38929999999999998</v>
      </c>
      <c r="C415">
        <v>0.43609999999999999</v>
      </c>
      <c r="D415">
        <v>0.37390000000000001</v>
      </c>
      <c r="E415">
        <v>0.4047</v>
      </c>
      <c r="F415">
        <v>1692988.21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-9.6463022508036927E-3</v>
      </c>
      <c r="Q415">
        <f t="shared" si="975"/>
        <v>-16331.075980707115</v>
      </c>
      <c r="R415">
        <f t="shared" si="976"/>
        <v>-28342726.029440772</v>
      </c>
      <c r="S415">
        <f t="shared" si="977"/>
        <v>-283.42726029440774</v>
      </c>
      <c r="T415">
        <f t="shared" si="978"/>
        <v>-0.28342726029440773</v>
      </c>
    </row>
    <row r="416" spans="1:20" x14ac:dyDescent="0.25">
      <c r="A416" s="5">
        <v>44177</v>
      </c>
      <c r="B416">
        <v>0.38819999999999999</v>
      </c>
      <c r="C416">
        <v>0.4173</v>
      </c>
      <c r="D416">
        <v>0.38669999999999999</v>
      </c>
      <c r="E416">
        <v>0.3891</v>
      </c>
      <c r="F416">
        <v>1321472.24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-0.84313725490196001</v>
      </c>
      <c r="Q416">
        <f t="shared" si="975"/>
        <v>-1114182.476862744</v>
      </c>
      <c r="R416">
        <f t="shared" si="976"/>
        <v>-28326394.953460064</v>
      </c>
      <c r="S416">
        <f t="shared" si="977"/>
        <v>-283.26394953460061</v>
      </c>
      <c r="T416">
        <f t="shared" si="978"/>
        <v>-0.2832639495346006</v>
      </c>
    </row>
    <row r="417" spans="1:20" x14ac:dyDescent="0.25">
      <c r="A417" s="5">
        <v>44176</v>
      </c>
      <c r="B417">
        <v>0.437</v>
      </c>
      <c r="C417">
        <v>0.43740000000000001</v>
      </c>
      <c r="D417">
        <v>0.35399999999999998</v>
      </c>
      <c r="E417">
        <v>0.39250000000000002</v>
      </c>
      <c r="F417">
        <v>2228238.2200000002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-7.6738609112709341E-2</v>
      </c>
      <c r="Q417">
        <f t="shared" si="975"/>
        <v>-170991.90177457925</v>
      </c>
      <c r="R417">
        <f t="shared" si="976"/>
        <v>-27212212.47659732</v>
      </c>
      <c r="S417">
        <f t="shared" si="977"/>
        <v>-272.12212476597318</v>
      </c>
      <c r="T417">
        <f t="shared" si="978"/>
        <v>-0.27212212476597319</v>
      </c>
    </row>
    <row r="418" spans="1:20" x14ac:dyDescent="0.25">
      <c r="A418" s="5">
        <v>44175</v>
      </c>
      <c r="B418">
        <v>0.48970000000000002</v>
      </c>
      <c r="C418">
        <v>0.4904</v>
      </c>
      <c r="D418">
        <v>0.42559999999999998</v>
      </c>
      <c r="E418">
        <v>0.44040000000000001</v>
      </c>
      <c r="F418">
        <v>1106278.17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-0.54320987654320896</v>
      </c>
      <c r="Q418">
        <f t="shared" si="975"/>
        <v>-600941.22814814711</v>
      </c>
      <c r="R418">
        <f t="shared" si="976"/>
        <v>-27041220.574822742</v>
      </c>
      <c r="S418">
        <f t="shared" si="977"/>
        <v>-270.41220574822745</v>
      </c>
      <c r="T418">
        <f t="shared" si="978"/>
        <v>-0.27041220574822744</v>
      </c>
    </row>
    <row r="419" spans="1:20" x14ac:dyDescent="0.25">
      <c r="A419" s="5">
        <v>44174</v>
      </c>
      <c r="B419">
        <v>0.42059999999999997</v>
      </c>
      <c r="C419">
        <v>0.50070000000000003</v>
      </c>
      <c r="D419">
        <v>0.38550000000000001</v>
      </c>
      <c r="E419">
        <v>0.48859999999999998</v>
      </c>
      <c r="F419">
        <v>2082339.53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0.78993055555555469</v>
      </c>
      <c r="Q419">
        <f t="shared" si="975"/>
        <v>1644903.6217881928</v>
      </c>
      <c r="R419">
        <f t="shared" si="976"/>
        <v>-26440279.346674595</v>
      </c>
      <c r="S419">
        <f t="shared" si="977"/>
        <v>-264.40279346674595</v>
      </c>
      <c r="T419">
        <f t="shared" si="978"/>
        <v>-0.26440279346674594</v>
      </c>
    </row>
    <row r="420" spans="1:20" x14ac:dyDescent="0.25">
      <c r="A420" s="5">
        <v>44173</v>
      </c>
      <c r="B420">
        <v>0.48649999999999999</v>
      </c>
      <c r="C420">
        <v>0.49399999999999999</v>
      </c>
      <c r="D420">
        <v>0.41139999999999999</v>
      </c>
      <c r="E420">
        <v>0.42099999999999999</v>
      </c>
      <c r="F420">
        <v>2310748.59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-0.76755447941888633</v>
      </c>
      <c r="Q420">
        <f t="shared" si="975"/>
        <v>-1773625.4310653755</v>
      </c>
      <c r="R420">
        <f t="shared" si="976"/>
        <v>-28085182.968462788</v>
      </c>
      <c r="S420">
        <f t="shared" si="977"/>
        <v>-280.85182968462789</v>
      </c>
      <c r="T420">
        <f t="shared" si="978"/>
        <v>-0.28085182968462791</v>
      </c>
    </row>
    <row r="421" spans="1:20" x14ac:dyDescent="0.25">
      <c r="A421" s="5">
        <v>44172</v>
      </c>
      <c r="B421">
        <v>0.47889999999999999</v>
      </c>
      <c r="C421">
        <v>0.56000000000000005</v>
      </c>
      <c r="D421">
        <v>0.47</v>
      </c>
      <c r="E421">
        <v>0.48509999999999998</v>
      </c>
      <c r="F421">
        <v>4798893.91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-0.66444444444444473</v>
      </c>
      <c r="Q421">
        <f t="shared" si="975"/>
        <v>-3188598.3979777792</v>
      </c>
      <c r="R421">
        <f t="shared" si="976"/>
        <v>-26311557.537397411</v>
      </c>
      <c r="S421">
        <f t="shared" si="977"/>
        <v>-263.11557537397408</v>
      </c>
      <c r="T421">
        <f t="shared" si="978"/>
        <v>-0.26311557537397406</v>
      </c>
    </row>
    <row r="422" spans="1:20" x14ac:dyDescent="0.25">
      <c r="A422" s="5">
        <v>44171</v>
      </c>
      <c r="B422">
        <v>0.40629999999999999</v>
      </c>
      <c r="C422">
        <v>0.57399999999999995</v>
      </c>
      <c r="D422">
        <v>0.40239999999999998</v>
      </c>
      <c r="E422">
        <v>0.47699999999999998</v>
      </c>
      <c r="F422">
        <v>9423915.1699999999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-0.13053613053613042</v>
      </c>
      <c r="Q422">
        <f t="shared" si="975"/>
        <v>-1230161.4207925396</v>
      </c>
      <c r="R422">
        <f t="shared" si="976"/>
        <v>-23122959.13941963</v>
      </c>
      <c r="S422">
        <f t="shared" si="977"/>
        <v>-231.22959139419629</v>
      </c>
      <c r="T422">
        <f t="shared" si="978"/>
        <v>-0.2312295913941963</v>
      </c>
    </row>
    <row r="423" spans="1:20" x14ac:dyDescent="0.25">
      <c r="A423" s="5">
        <v>44170</v>
      </c>
      <c r="B423">
        <v>0.38429999999999997</v>
      </c>
      <c r="C423">
        <v>0.439</v>
      </c>
      <c r="D423">
        <v>0.36</v>
      </c>
      <c r="E423">
        <v>0.40629999999999999</v>
      </c>
      <c r="F423">
        <v>2224736.44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0.17215189873417719</v>
      </c>
      <c r="Q423">
        <f t="shared" si="975"/>
        <v>382992.60232911387</v>
      </c>
      <c r="R423">
        <f t="shared" si="976"/>
        <v>-21892797.718627091</v>
      </c>
      <c r="S423">
        <f t="shared" si="977"/>
        <v>-218.92797718627091</v>
      </c>
      <c r="T423">
        <f t="shared" si="978"/>
        <v>-0.21892797718627091</v>
      </c>
    </row>
    <row r="424" spans="1:20" x14ac:dyDescent="0.25">
      <c r="A424" s="5">
        <v>44169</v>
      </c>
      <c r="B424">
        <v>0.40699999999999997</v>
      </c>
      <c r="C424">
        <v>0.59</v>
      </c>
      <c r="D424">
        <v>0.35499999999999998</v>
      </c>
      <c r="E424">
        <v>0.38519999999999999</v>
      </c>
      <c r="F424">
        <v>3124503.22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-0.7429787234042553</v>
      </c>
      <c r="Q424">
        <f t="shared" si="975"/>
        <v>-2321439.4136680854</v>
      </c>
      <c r="R424">
        <f t="shared" si="976"/>
        <v>-22275790.320956204</v>
      </c>
      <c r="S424">
        <f t="shared" si="977"/>
        <v>-222.75790320956204</v>
      </c>
      <c r="T424">
        <f t="shared" si="978"/>
        <v>-0.22275790320956204</v>
      </c>
    </row>
    <row r="425" spans="1:20" x14ac:dyDescent="0.25">
      <c r="A425" s="5">
        <v>44168</v>
      </c>
      <c r="B425">
        <v>0.37340000000000001</v>
      </c>
      <c r="C425">
        <v>0.41499999999999998</v>
      </c>
      <c r="D425">
        <v>0.37190000000000001</v>
      </c>
      <c r="E425">
        <v>0.40699999999999997</v>
      </c>
      <c r="F425">
        <v>898785.42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0.62877030162412939</v>
      </c>
      <c r="Q425">
        <f t="shared" si="975"/>
        <v>565129.57962876989</v>
      </c>
      <c r="R425">
        <f t="shared" si="976"/>
        <v>-19954350.907288119</v>
      </c>
      <c r="S425">
        <f t="shared" si="977"/>
        <v>-199.54350907288119</v>
      </c>
      <c r="T425">
        <f t="shared" si="978"/>
        <v>-0.19954350907288118</v>
      </c>
    </row>
    <row r="426" spans="1:20" x14ac:dyDescent="0.25">
      <c r="A426" s="5">
        <v>44167</v>
      </c>
      <c r="B426">
        <v>0.34720000000000001</v>
      </c>
      <c r="C426">
        <v>0.375</v>
      </c>
      <c r="D426">
        <v>0.34460000000000002</v>
      </c>
      <c r="E426">
        <v>0.37330000000000002</v>
      </c>
      <c r="F426">
        <v>765734.37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0.88815789473684337</v>
      </c>
      <c r="Q426">
        <f t="shared" si="975"/>
        <v>680093.02598684304</v>
      </c>
      <c r="R426">
        <f t="shared" si="976"/>
        <v>-20519480.486916889</v>
      </c>
      <c r="S426">
        <f t="shared" si="977"/>
        <v>-205.19480486916888</v>
      </c>
      <c r="T426">
        <f t="shared" si="978"/>
        <v>-0.20519480486916888</v>
      </c>
    </row>
    <row r="427" spans="1:20" x14ac:dyDescent="0.25">
      <c r="A427" s="5">
        <v>44166</v>
      </c>
      <c r="B427">
        <v>0.36649999999999999</v>
      </c>
      <c r="C427">
        <v>0.3876</v>
      </c>
      <c r="D427">
        <v>0.34089999999999998</v>
      </c>
      <c r="E427">
        <v>0.35</v>
      </c>
      <c r="F427">
        <v>876143.94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-0.6102783725910067</v>
      </c>
      <c r="Q427">
        <f t="shared" si="975"/>
        <v>-534691.69785867259</v>
      </c>
      <c r="R427">
        <f t="shared" si="976"/>
        <v>-21199573.512903731</v>
      </c>
      <c r="S427">
        <f t="shared" si="977"/>
        <v>-211.99573512903731</v>
      </c>
      <c r="T427">
        <f t="shared" si="978"/>
        <v>-0.21199573512903733</v>
      </c>
    </row>
    <row r="428" spans="1:20" x14ac:dyDescent="0.25">
      <c r="A428" s="5">
        <v>44165</v>
      </c>
      <c r="B428">
        <v>0.35870000000000002</v>
      </c>
      <c r="C428">
        <v>0.38200000000000001</v>
      </c>
      <c r="D428">
        <v>0.35410000000000003</v>
      </c>
      <c r="E428">
        <v>0.36890000000000001</v>
      </c>
      <c r="F428">
        <v>857545.42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6.0931899641576359E-2</v>
      </c>
      <c r="Q428">
        <f t="shared" si="975"/>
        <v>52251.871469533449</v>
      </c>
      <c r="R428">
        <f t="shared" si="976"/>
        <v>-20664881.815045059</v>
      </c>
      <c r="S428">
        <f t="shared" si="977"/>
        <v>-206.64881815045058</v>
      </c>
      <c r="T428">
        <f t="shared" si="978"/>
        <v>-0.20664881815045058</v>
      </c>
    </row>
    <row r="429" spans="1:20" x14ac:dyDescent="0.25">
      <c r="A429" s="5">
        <v>44164</v>
      </c>
      <c r="B429">
        <v>0.3649</v>
      </c>
      <c r="C429">
        <v>0.37030000000000002</v>
      </c>
      <c r="D429">
        <v>0.34989999999999999</v>
      </c>
      <c r="E429">
        <v>0.35820000000000002</v>
      </c>
      <c r="F429">
        <v>457629.19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-0.18627450980391982</v>
      </c>
      <c r="Q429">
        <f t="shared" si="975"/>
        <v>-85244.653039214885</v>
      </c>
      <c r="R429">
        <f t="shared" si="976"/>
        <v>-20717133.686514594</v>
      </c>
      <c r="S429">
        <f t="shared" si="977"/>
        <v>-207.17133686514595</v>
      </c>
      <c r="T429">
        <f t="shared" si="978"/>
        <v>-0.20717133686514594</v>
      </c>
    </row>
    <row r="430" spans="1:20" x14ac:dyDescent="0.25">
      <c r="A430" s="5">
        <v>44163</v>
      </c>
      <c r="B430">
        <v>0.3453</v>
      </c>
      <c r="C430">
        <v>0.3831</v>
      </c>
      <c r="D430">
        <v>0.33850000000000002</v>
      </c>
      <c r="E430">
        <v>0.3674</v>
      </c>
      <c r="F430">
        <v>968008.18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0.29596412556053808</v>
      </c>
      <c r="Q430">
        <f t="shared" si="975"/>
        <v>286495.69452914799</v>
      </c>
      <c r="R430">
        <f t="shared" si="976"/>
        <v>-20631889.03347538</v>
      </c>
      <c r="S430">
        <f t="shared" si="977"/>
        <v>-206.3188903347538</v>
      </c>
      <c r="T430">
        <f t="shared" si="978"/>
        <v>-0.20631889033475381</v>
      </c>
    </row>
    <row r="431" spans="1:20" x14ac:dyDescent="0.25">
      <c r="A431" s="5">
        <v>44162</v>
      </c>
      <c r="B431">
        <v>0.3453</v>
      </c>
      <c r="C431">
        <v>0.35749999999999998</v>
      </c>
      <c r="D431">
        <v>0.3281</v>
      </c>
      <c r="E431">
        <v>0.34360000000000002</v>
      </c>
      <c r="F431">
        <v>415906.17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5.4421768707484587E-2</v>
      </c>
      <c r="Q431">
        <f t="shared" si="975"/>
        <v>22634.349387755763</v>
      </c>
      <c r="R431">
        <f t="shared" si="976"/>
        <v>-20918384.72800453</v>
      </c>
      <c r="S431">
        <f t="shared" si="977"/>
        <v>-209.18384728004531</v>
      </c>
      <c r="T431">
        <f t="shared" si="978"/>
        <v>-0.20918384728004533</v>
      </c>
    </row>
    <row r="432" spans="1:20" x14ac:dyDescent="0.25">
      <c r="A432" s="5">
        <v>44161</v>
      </c>
      <c r="B432">
        <v>0.40820000000000001</v>
      </c>
      <c r="C432">
        <v>0.42080000000000001</v>
      </c>
      <c r="D432">
        <v>0.31530000000000002</v>
      </c>
      <c r="E432">
        <v>0.34539999999999998</v>
      </c>
      <c r="F432">
        <v>1484969.61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-0.42938388625592483</v>
      </c>
      <c r="Q432">
        <f t="shared" si="975"/>
        <v>-637622.0221137451</v>
      </c>
      <c r="R432">
        <f t="shared" si="976"/>
        <v>-20941019.077392288</v>
      </c>
      <c r="S432">
        <f t="shared" si="977"/>
        <v>-209.41019077392286</v>
      </c>
      <c r="T432">
        <f t="shared" si="978"/>
        <v>-0.20941019077392287</v>
      </c>
    </row>
    <row r="433" spans="1:20" x14ac:dyDescent="0.25">
      <c r="A433" s="5">
        <v>44160</v>
      </c>
      <c r="B433">
        <v>0.40539999999999998</v>
      </c>
      <c r="C433">
        <v>0.442</v>
      </c>
      <c r="D433">
        <v>0.3931</v>
      </c>
      <c r="E433">
        <v>0.40820000000000001</v>
      </c>
      <c r="F433">
        <v>1428932.86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-0.38241308793456025</v>
      </c>
      <c r="Q433">
        <f t="shared" si="975"/>
        <v>-546442.62744376273</v>
      </c>
      <c r="R433">
        <f t="shared" si="976"/>
        <v>-20303397.055278543</v>
      </c>
      <c r="S433">
        <f t="shared" si="977"/>
        <v>-203.03397055278543</v>
      </c>
      <c r="T433">
        <f t="shared" si="978"/>
        <v>-0.20303397055278544</v>
      </c>
    </row>
    <row r="434" spans="1:20" x14ac:dyDescent="0.25">
      <c r="A434" s="5">
        <v>44159</v>
      </c>
      <c r="B434">
        <v>0.39960000000000001</v>
      </c>
      <c r="C434">
        <v>0.4259</v>
      </c>
      <c r="D434">
        <v>0.38</v>
      </c>
      <c r="E434">
        <v>0.40579999999999999</v>
      </c>
      <c r="F434">
        <v>1981296.12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0.12418300653594735</v>
      </c>
      <c r="Q434">
        <f t="shared" si="975"/>
        <v>246043.30901960714</v>
      </c>
      <c r="R434">
        <f t="shared" si="976"/>
        <v>-19756954.427834779</v>
      </c>
      <c r="S434">
        <f t="shared" si="977"/>
        <v>-197.56954427834779</v>
      </c>
      <c r="T434">
        <f t="shared" si="978"/>
        <v>-0.1975695442783478</v>
      </c>
    </row>
    <row r="435" spans="1:20" x14ac:dyDescent="0.25">
      <c r="A435" s="5">
        <v>44158</v>
      </c>
      <c r="B435">
        <v>0.34639999999999999</v>
      </c>
      <c r="C435">
        <v>0.42049999999999998</v>
      </c>
      <c r="D435">
        <v>0.33929999999999999</v>
      </c>
      <c r="E435">
        <v>0.39660000000000001</v>
      </c>
      <c r="F435">
        <v>2407834.6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0.4113300492610843</v>
      </c>
      <c r="Q435">
        <f t="shared" si="975"/>
        <v>990414.72463054326</v>
      </c>
      <c r="R435">
        <f t="shared" si="976"/>
        <v>-20002997.736854386</v>
      </c>
      <c r="S435">
        <f t="shared" si="977"/>
        <v>-200.02997736854385</v>
      </c>
      <c r="T435">
        <f t="shared" si="978"/>
        <v>-0.20002997736854386</v>
      </c>
    </row>
    <row r="436" spans="1:20" x14ac:dyDescent="0.25">
      <c r="A436" s="5">
        <v>44157</v>
      </c>
      <c r="B436">
        <v>0.36099999999999999</v>
      </c>
      <c r="C436">
        <v>0.36830000000000002</v>
      </c>
      <c r="D436">
        <v>0.32590000000000002</v>
      </c>
      <c r="E436">
        <v>0.34449999999999997</v>
      </c>
      <c r="F436">
        <v>870832.17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-0.12264150943396449</v>
      </c>
      <c r="Q436">
        <f t="shared" si="975"/>
        <v>-106800.17179245477</v>
      </c>
      <c r="R436">
        <f t="shared" si="976"/>
        <v>-20993412.461484928</v>
      </c>
      <c r="S436">
        <f t="shared" si="977"/>
        <v>-209.93412461484928</v>
      </c>
      <c r="T436">
        <f t="shared" si="978"/>
        <v>-0.20993412461484928</v>
      </c>
    </row>
    <row r="437" spans="1:20" x14ac:dyDescent="0.25">
      <c r="A437" s="5">
        <v>44156</v>
      </c>
      <c r="B437">
        <v>0.33019999999999999</v>
      </c>
      <c r="C437">
        <v>0.36969999999999997</v>
      </c>
      <c r="D437">
        <v>0.31790000000000002</v>
      </c>
      <c r="E437">
        <v>0.3619</v>
      </c>
      <c r="F437">
        <v>2127544.14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0.69884169884169967</v>
      </c>
      <c r="Q437">
        <f t="shared" si="975"/>
        <v>1486816.5611583029</v>
      </c>
      <c r="R437">
        <f t="shared" si="976"/>
        <v>-20886612.289692473</v>
      </c>
      <c r="S437">
        <f t="shared" si="977"/>
        <v>-208.86612289692474</v>
      </c>
      <c r="T437">
        <f t="shared" si="978"/>
        <v>-0.20886612289692474</v>
      </c>
    </row>
    <row r="438" spans="1:20" x14ac:dyDescent="0.25">
      <c r="A438" s="5">
        <v>44155</v>
      </c>
      <c r="B438">
        <v>0.32140000000000002</v>
      </c>
      <c r="C438">
        <v>0.34860000000000002</v>
      </c>
      <c r="D438">
        <v>0.3211</v>
      </c>
      <c r="E438">
        <v>0.33090000000000003</v>
      </c>
      <c r="F438">
        <v>830829.49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-0.28727272727272568</v>
      </c>
      <c r="Q438">
        <f t="shared" si="975"/>
        <v>-238674.65349090777</v>
      </c>
      <c r="R438">
        <f t="shared" si="976"/>
        <v>-22373428.850850776</v>
      </c>
      <c r="S438">
        <f t="shared" si="977"/>
        <v>-223.73428850850775</v>
      </c>
      <c r="T438">
        <f t="shared" si="978"/>
        <v>-0.22373428850850774</v>
      </c>
    </row>
    <row r="439" spans="1:20" x14ac:dyDescent="0.25">
      <c r="A439" s="5">
        <v>44154</v>
      </c>
      <c r="B439">
        <v>0.31940000000000002</v>
      </c>
      <c r="C439">
        <v>0.35</v>
      </c>
      <c r="D439">
        <v>0.30940000000000001</v>
      </c>
      <c r="E439">
        <v>0.32140000000000002</v>
      </c>
      <c r="F439">
        <v>1568548.42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-0.40886699507389068</v>
      </c>
      <c r="Q439">
        <f t="shared" si="975"/>
        <v>-641327.679113299</v>
      </c>
      <c r="R439">
        <f t="shared" si="976"/>
        <v>-22134754.197359867</v>
      </c>
      <c r="S439">
        <f t="shared" si="977"/>
        <v>-221.34754197359868</v>
      </c>
      <c r="T439">
        <f t="shared" si="978"/>
        <v>-0.22134754197359868</v>
      </c>
    </row>
    <row r="440" spans="1:20" x14ac:dyDescent="0.25">
      <c r="A440" s="5">
        <v>44153</v>
      </c>
      <c r="B440">
        <v>0.34489999999999998</v>
      </c>
      <c r="C440">
        <v>0.35220000000000001</v>
      </c>
      <c r="D440">
        <v>0.30509999999999998</v>
      </c>
      <c r="E440">
        <v>0.3196</v>
      </c>
      <c r="F440">
        <v>1575538.44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-0.38428874734607205</v>
      </c>
      <c r="Q440">
        <f t="shared" si="975"/>
        <v>-605461.69350318448</v>
      </c>
      <c r="R440">
        <f t="shared" si="976"/>
        <v>-21493426.518246569</v>
      </c>
      <c r="S440">
        <f t="shared" si="977"/>
        <v>-214.93426518246568</v>
      </c>
      <c r="T440">
        <f t="shared" si="978"/>
        <v>-0.21493426518246567</v>
      </c>
    </row>
    <row r="441" spans="1:20" x14ac:dyDescent="0.25">
      <c r="A441" s="5">
        <v>44152</v>
      </c>
      <c r="B441">
        <v>0.33229999999999998</v>
      </c>
      <c r="C441">
        <v>0.37440000000000001</v>
      </c>
      <c r="D441">
        <v>0.3211</v>
      </c>
      <c r="E441">
        <v>0.34439999999999998</v>
      </c>
      <c r="F441">
        <v>2201445.23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-0.12570356472795569</v>
      </c>
      <c r="Q441">
        <f t="shared" si="975"/>
        <v>-276729.5129643543</v>
      </c>
      <c r="R441">
        <f t="shared" si="976"/>
        <v>-20887964.824743383</v>
      </c>
      <c r="S441">
        <f t="shared" si="977"/>
        <v>-208.87964824743383</v>
      </c>
      <c r="T441">
        <f t="shared" si="978"/>
        <v>-0.20887964824743382</v>
      </c>
    </row>
    <row r="442" spans="1:20" x14ac:dyDescent="0.25">
      <c r="A442" s="5">
        <v>44151</v>
      </c>
      <c r="B442">
        <v>0.3145</v>
      </c>
      <c r="C442">
        <v>0.34139999999999998</v>
      </c>
      <c r="D442">
        <v>0.30220000000000002</v>
      </c>
      <c r="E442">
        <v>0.33229999999999998</v>
      </c>
      <c r="F442">
        <v>1354628.81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0.53571428571428537</v>
      </c>
      <c r="Q442">
        <f t="shared" si="975"/>
        <v>725694.00535714242</v>
      </c>
      <c r="R442">
        <f t="shared" si="976"/>
        <v>-20611235.31177903</v>
      </c>
      <c r="S442">
        <f t="shared" si="977"/>
        <v>-206.11235311779029</v>
      </c>
      <c r="T442">
        <f t="shared" si="978"/>
        <v>-0.2061123531177903</v>
      </c>
    </row>
    <row r="443" spans="1:20" x14ac:dyDescent="0.25">
      <c r="A443" s="5">
        <v>44150</v>
      </c>
      <c r="B443">
        <v>0.30349999999999999</v>
      </c>
      <c r="C443">
        <v>0.34499999999999997</v>
      </c>
      <c r="D443">
        <v>0.30130000000000001</v>
      </c>
      <c r="E443">
        <v>0.31409999999999999</v>
      </c>
      <c r="F443">
        <v>1031172.4</v>
      </c>
      <c r="G443">
        <v>0</v>
      </c>
      <c r="L443" t="s">
        <v>8</v>
      </c>
      <c r="M443" t="s">
        <v>7</v>
      </c>
      <c r="N443" t="s">
        <v>7</v>
      </c>
      <c r="P443">
        <f t="shared" si="974"/>
        <v>-0.41418764302059546</v>
      </c>
      <c r="Q443">
        <f t="shared" si="975"/>
        <v>-427098.86590389069</v>
      </c>
      <c r="R443">
        <f t="shared" si="976"/>
        <v>-21336929.317136172</v>
      </c>
      <c r="S443">
        <f t="shared" si="977"/>
        <v>-213.36929317136173</v>
      </c>
      <c r="T443">
        <f t="shared" si="978"/>
        <v>-0.21336929317136175</v>
      </c>
    </row>
    <row r="444" spans="1:20" x14ac:dyDescent="0.25">
      <c r="A444" s="5">
        <v>44149</v>
      </c>
      <c r="B444">
        <v>0.32279999999999998</v>
      </c>
      <c r="C444">
        <v>0.32569999999999999</v>
      </c>
      <c r="D444">
        <v>0.2954</v>
      </c>
      <c r="E444">
        <v>0.30449999999999999</v>
      </c>
      <c r="F444">
        <v>682946.68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-0.3993399339933994</v>
      </c>
      <c r="Q444">
        <f t="shared" si="975"/>
        <v>-272727.88211221126</v>
      </c>
      <c r="R444">
        <f t="shared" si="976"/>
        <v>-20909830.451232281</v>
      </c>
      <c r="S444">
        <f t="shared" si="977"/>
        <v>-209.09830451232281</v>
      </c>
      <c r="T444">
        <f t="shared" si="978"/>
        <v>-0.20909830451232281</v>
      </c>
    </row>
    <row r="445" spans="1:20" x14ac:dyDescent="0.25">
      <c r="A445" s="5">
        <v>44148</v>
      </c>
      <c r="B445">
        <v>0.317</v>
      </c>
      <c r="C445">
        <v>0.32450000000000001</v>
      </c>
      <c r="D445">
        <v>0.29899999999999999</v>
      </c>
      <c r="E445">
        <v>0.32279999999999998</v>
      </c>
      <c r="F445">
        <v>652091.07999999996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0.86666666666666403</v>
      </c>
      <c r="Q445">
        <f t="shared" si="975"/>
        <v>565145.60266666487</v>
      </c>
      <c r="R445">
        <f t="shared" si="976"/>
        <v>-20637102.569120068</v>
      </c>
      <c r="S445">
        <f t="shared" si="977"/>
        <v>-206.37102569120069</v>
      </c>
      <c r="T445">
        <f t="shared" si="978"/>
        <v>-0.20637102569120069</v>
      </c>
    </row>
    <row r="446" spans="1:20" x14ac:dyDescent="0.25">
      <c r="A446" s="5">
        <v>44147</v>
      </c>
      <c r="B446">
        <v>0.3301</v>
      </c>
      <c r="C446">
        <v>0.3301</v>
      </c>
      <c r="D446">
        <v>0.312</v>
      </c>
      <c r="E446">
        <v>0.31769999999999998</v>
      </c>
      <c r="F446">
        <v>549625.31999999995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-0.37016574585635564</v>
      </c>
      <c r="Q446">
        <f t="shared" si="975"/>
        <v>-203452.46651933814</v>
      </c>
      <c r="R446">
        <f t="shared" si="976"/>
        <v>-21202248.171786733</v>
      </c>
      <c r="S446">
        <f t="shared" si="977"/>
        <v>-212.02248171786732</v>
      </c>
      <c r="T446">
        <f t="shared" si="978"/>
        <v>-0.21202248171786733</v>
      </c>
    </row>
    <row r="447" spans="1:20" x14ac:dyDescent="0.25">
      <c r="A447" s="5">
        <v>44146</v>
      </c>
      <c r="B447">
        <v>0.33310000000000001</v>
      </c>
      <c r="C447">
        <v>0.37869999999999998</v>
      </c>
      <c r="D447">
        <v>0.33</v>
      </c>
      <c r="E447">
        <v>0.33079999999999998</v>
      </c>
      <c r="F447">
        <v>2065051.32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-0.96714579055441607</v>
      </c>
      <c r="Q447">
        <f t="shared" si="975"/>
        <v>-1997205.6914168405</v>
      </c>
      <c r="R447">
        <f t="shared" si="976"/>
        <v>-20998795.705267396</v>
      </c>
      <c r="S447">
        <f t="shared" si="977"/>
        <v>-209.98795705267395</v>
      </c>
      <c r="T447">
        <f t="shared" si="978"/>
        <v>-0.20998795705267395</v>
      </c>
    </row>
    <row r="448" spans="1:20" x14ac:dyDescent="0.25">
      <c r="A448" s="5">
        <v>44145</v>
      </c>
      <c r="B448">
        <v>0.30990000000000001</v>
      </c>
      <c r="C448">
        <v>0.33500000000000002</v>
      </c>
      <c r="D448">
        <v>0.30499999999999999</v>
      </c>
      <c r="E448">
        <v>0.33189999999999997</v>
      </c>
      <c r="F448">
        <v>618644.72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0.79333333333333034</v>
      </c>
      <c r="Q448">
        <f t="shared" si="975"/>
        <v>490791.47786666482</v>
      </c>
      <c r="R448">
        <f t="shared" si="976"/>
        <v>-19001590.013850555</v>
      </c>
      <c r="S448">
        <f t="shared" si="977"/>
        <v>-190.01590013850554</v>
      </c>
      <c r="T448">
        <f t="shared" si="978"/>
        <v>-0.19001590013850556</v>
      </c>
    </row>
    <row r="449" spans="1:20" x14ac:dyDescent="0.25">
      <c r="A449" s="5">
        <v>44144</v>
      </c>
      <c r="B449">
        <v>0.32990000000000003</v>
      </c>
      <c r="C449">
        <v>0.33310000000000001</v>
      </c>
      <c r="D449">
        <v>0.29759999999999998</v>
      </c>
      <c r="E449">
        <v>0.31140000000000001</v>
      </c>
      <c r="F449">
        <v>670698.29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-0.22253521126760439</v>
      </c>
      <c r="Q449">
        <f t="shared" si="975"/>
        <v>-149253.985661971</v>
      </c>
      <c r="R449">
        <f t="shared" si="976"/>
        <v>-19492381.491717219</v>
      </c>
      <c r="S449">
        <f t="shared" si="977"/>
        <v>-194.92381491717219</v>
      </c>
      <c r="T449">
        <f t="shared" si="978"/>
        <v>-0.1949238149171722</v>
      </c>
    </row>
    <row r="450" spans="1:20" x14ac:dyDescent="0.25">
      <c r="A450" s="5">
        <v>44143</v>
      </c>
      <c r="B450">
        <v>0.31990000000000002</v>
      </c>
      <c r="C450">
        <v>0.34439999999999998</v>
      </c>
      <c r="D450">
        <v>0.31290000000000001</v>
      </c>
      <c r="E450">
        <v>0.32840000000000003</v>
      </c>
      <c r="F450">
        <v>407628.2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-1.5873015873014137E-2</v>
      </c>
      <c r="Q450">
        <f t="shared" si="975"/>
        <v>-6470.2888888881816</v>
      </c>
      <c r="R450">
        <f t="shared" si="976"/>
        <v>-19343127.506055247</v>
      </c>
      <c r="S450">
        <f t="shared" si="977"/>
        <v>-193.43127506055248</v>
      </c>
      <c r="T450">
        <f t="shared" si="978"/>
        <v>-0.19343127506055249</v>
      </c>
    </row>
    <row r="451" spans="1:20" x14ac:dyDescent="0.25">
      <c r="A451" s="5">
        <v>44142</v>
      </c>
      <c r="B451">
        <v>0.35320000000000001</v>
      </c>
      <c r="C451">
        <v>0.371</v>
      </c>
      <c r="D451">
        <v>0.30259999999999998</v>
      </c>
      <c r="E451">
        <v>0.32140000000000002</v>
      </c>
      <c r="F451">
        <v>1476157.03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-0.45029239766081769</v>
      </c>
      <c r="Q451">
        <f t="shared" si="975"/>
        <v>-664702.28836257162</v>
      </c>
      <c r="R451">
        <f t="shared" si="976"/>
        <v>-19336657.21716636</v>
      </c>
      <c r="S451">
        <f t="shared" si="977"/>
        <v>-193.36657217166359</v>
      </c>
      <c r="T451">
        <f t="shared" si="978"/>
        <v>-0.19336657217166359</v>
      </c>
    </row>
    <row r="452" spans="1:20" x14ac:dyDescent="0.25">
      <c r="A452" s="5">
        <v>44141</v>
      </c>
      <c r="B452">
        <v>0.2908</v>
      </c>
      <c r="C452">
        <v>0.3624</v>
      </c>
      <c r="D452">
        <v>0.28920000000000001</v>
      </c>
      <c r="E452">
        <v>0.35510000000000003</v>
      </c>
      <c r="F452">
        <v>2027283.91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0.80054644808743236</v>
      </c>
      <c r="Q452">
        <f t="shared" si="975"/>
        <v>1622934.9334153018</v>
      </c>
      <c r="R452">
        <f t="shared" si="976"/>
        <v>-18671954.92880379</v>
      </c>
      <c r="S452">
        <f t="shared" si="977"/>
        <v>-186.71954928803791</v>
      </c>
      <c r="T452">
        <f t="shared" si="978"/>
        <v>-0.18671954928803791</v>
      </c>
    </row>
    <row r="453" spans="1:20" x14ac:dyDescent="0.25">
      <c r="A453" s="5">
        <v>44140</v>
      </c>
      <c r="B453">
        <v>0.30020000000000002</v>
      </c>
      <c r="C453">
        <v>0.30719999999999997</v>
      </c>
      <c r="D453">
        <v>0.27600000000000002</v>
      </c>
      <c r="E453">
        <v>0.2908</v>
      </c>
      <c r="F453">
        <v>1184166.45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-5.1282051282051051E-2</v>
      </c>
      <c r="Q453">
        <f t="shared" si="975"/>
        <v>-60726.484615384339</v>
      </c>
      <c r="R453">
        <f t="shared" si="976"/>
        <v>-20294889.862219092</v>
      </c>
      <c r="S453">
        <f t="shared" si="977"/>
        <v>-202.94889862219091</v>
      </c>
      <c r="T453">
        <f t="shared" si="978"/>
        <v>-0.2029488986221909</v>
      </c>
    </row>
    <row r="454" spans="1:20" x14ac:dyDescent="0.25">
      <c r="A454" s="5">
        <v>44139</v>
      </c>
      <c r="B454">
        <v>0.32940000000000003</v>
      </c>
      <c r="C454">
        <v>0.33169999999999999</v>
      </c>
      <c r="D454">
        <v>0.29199999999999998</v>
      </c>
      <c r="E454">
        <v>0.30020000000000002</v>
      </c>
      <c r="F454">
        <v>1753321.74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-0.58690176322417942</v>
      </c>
      <c r="Q454">
        <f t="shared" ref="Q454:Q517" si="980">F454*P454</f>
        <v>-1029027.6207052863</v>
      </c>
      <c r="R454">
        <f t="shared" ref="R454:R517" si="981">R455+Q454</f>
        <v>-20234163.377603706</v>
      </c>
      <c r="S454">
        <f t="shared" ref="S454:S517" si="982">R454/100000</f>
        <v>-202.34163377603707</v>
      </c>
      <c r="T454">
        <f t="shared" ref="T454:T517" si="983">S454/1000</f>
        <v>-0.20234163377603706</v>
      </c>
    </row>
    <row r="455" spans="1:20" x14ac:dyDescent="0.25">
      <c r="A455" s="5">
        <v>44138</v>
      </c>
      <c r="B455">
        <v>0.39019999999999999</v>
      </c>
      <c r="C455">
        <v>0.3916</v>
      </c>
      <c r="D455">
        <v>0.32329999999999998</v>
      </c>
      <c r="E455">
        <v>0.33110000000000001</v>
      </c>
      <c r="F455">
        <v>1573162.22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-0.77159590043923787</v>
      </c>
      <c r="Q455">
        <f t="shared" si="980"/>
        <v>-1213845.5196778905</v>
      </c>
      <c r="R455">
        <f t="shared" si="981"/>
        <v>-19205135.756898418</v>
      </c>
      <c r="S455">
        <f t="shared" si="982"/>
        <v>-192.05135756898417</v>
      </c>
      <c r="T455">
        <f t="shared" si="983"/>
        <v>-0.19205135756898417</v>
      </c>
    </row>
    <row r="456" spans="1:20" x14ac:dyDescent="0.25">
      <c r="A456" s="5">
        <v>44137</v>
      </c>
      <c r="B456">
        <v>0.38640000000000002</v>
      </c>
      <c r="C456">
        <v>0.40500000000000003</v>
      </c>
      <c r="D456">
        <v>0.37880000000000003</v>
      </c>
      <c r="E456">
        <v>0.39140000000000003</v>
      </c>
      <c r="F456">
        <v>459997.37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-3.8167938931297746E-2</v>
      </c>
      <c r="Q456">
        <f t="shared" si="980"/>
        <v>-17557.151526717575</v>
      </c>
      <c r="R456">
        <f t="shared" si="981"/>
        <v>-17991290.237220526</v>
      </c>
      <c r="S456">
        <f t="shared" si="982"/>
        <v>-179.91290237220525</v>
      </c>
      <c r="T456">
        <f t="shared" si="983"/>
        <v>-0.17991290237220525</v>
      </c>
    </row>
    <row r="457" spans="1:20" x14ac:dyDescent="0.25">
      <c r="A457" s="5">
        <v>44136</v>
      </c>
      <c r="B457">
        <v>0.39410000000000001</v>
      </c>
      <c r="C457">
        <v>0.39760000000000001</v>
      </c>
      <c r="D457">
        <v>0.38</v>
      </c>
      <c r="E457">
        <v>0.38850000000000001</v>
      </c>
      <c r="F457">
        <v>411062.03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-3.4090909090908485E-2</v>
      </c>
      <c r="Q457">
        <f t="shared" si="980"/>
        <v>-14013.478295454297</v>
      </c>
      <c r="R457">
        <f t="shared" si="981"/>
        <v>-17973733.085693806</v>
      </c>
      <c r="S457">
        <f t="shared" si="982"/>
        <v>-179.73733085693806</v>
      </c>
      <c r="T457">
        <f t="shared" si="983"/>
        <v>-0.17973733085693805</v>
      </c>
    </row>
    <row r="458" spans="1:20" x14ac:dyDescent="0.25">
      <c r="A458" s="5">
        <v>44135</v>
      </c>
      <c r="B458">
        <v>0.4007</v>
      </c>
      <c r="C458">
        <v>0.40710000000000002</v>
      </c>
      <c r="D458">
        <v>0.39100000000000001</v>
      </c>
      <c r="E458">
        <v>0.39360000000000001</v>
      </c>
      <c r="F458">
        <v>308366.36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-0.67701863354037384</v>
      </c>
      <c r="Q458">
        <f t="shared" si="980"/>
        <v>-208769.77167701899</v>
      </c>
      <c r="R458">
        <f t="shared" si="981"/>
        <v>-17959719.607398354</v>
      </c>
      <c r="S458">
        <f t="shared" si="982"/>
        <v>-179.59719607398353</v>
      </c>
      <c r="T458">
        <f t="shared" si="983"/>
        <v>-0.17959719607398353</v>
      </c>
    </row>
    <row r="459" spans="1:20" x14ac:dyDescent="0.25">
      <c r="A459" s="5">
        <v>44134</v>
      </c>
      <c r="B459">
        <v>0.41830000000000001</v>
      </c>
      <c r="C459">
        <v>0.44</v>
      </c>
      <c r="D459">
        <v>0.39090000000000003</v>
      </c>
      <c r="E459">
        <v>0.4047</v>
      </c>
      <c r="F459">
        <v>631174.07999999996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-0.43788187372708814</v>
      </c>
      <c r="Q459">
        <f t="shared" si="980"/>
        <v>-276379.688798371</v>
      </c>
      <c r="R459">
        <f t="shared" si="981"/>
        <v>-17750949.835721336</v>
      </c>
      <c r="S459">
        <f t="shared" si="982"/>
        <v>-177.50949835721337</v>
      </c>
      <c r="T459">
        <f t="shared" si="983"/>
        <v>-0.17750949835721339</v>
      </c>
    </row>
    <row r="460" spans="1:20" x14ac:dyDescent="0.25">
      <c r="A460" s="5">
        <v>44133</v>
      </c>
      <c r="B460">
        <v>0.42109999999999997</v>
      </c>
      <c r="C460">
        <v>0.45279999999999998</v>
      </c>
      <c r="D460">
        <v>0.39810000000000001</v>
      </c>
      <c r="E460">
        <v>0.42020000000000002</v>
      </c>
      <c r="F460">
        <v>785527.65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-0.19195612431444167</v>
      </c>
      <c r="Q460">
        <f t="shared" si="980"/>
        <v>-150786.84323583124</v>
      </c>
      <c r="R460">
        <f t="shared" si="981"/>
        <v>-17474570.146922965</v>
      </c>
      <c r="S460">
        <f t="shared" si="982"/>
        <v>-174.74570146922966</v>
      </c>
      <c r="T460">
        <f t="shared" si="983"/>
        <v>-0.17474570146922966</v>
      </c>
    </row>
    <row r="461" spans="1:20" x14ac:dyDescent="0.25">
      <c r="A461" s="5">
        <v>44132</v>
      </c>
      <c r="B461">
        <v>0.44069999999999998</v>
      </c>
      <c r="C461">
        <v>0.4456</v>
      </c>
      <c r="D461">
        <v>0.41110000000000002</v>
      </c>
      <c r="E461">
        <v>0.41810000000000003</v>
      </c>
      <c r="F461">
        <v>446125.9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-0.59420289855072395</v>
      </c>
      <c r="Q461">
        <f t="shared" si="980"/>
        <v>-265089.30289855041</v>
      </c>
      <c r="R461">
        <f t="shared" si="981"/>
        <v>-17323783.303687133</v>
      </c>
      <c r="S461">
        <f t="shared" si="982"/>
        <v>-173.23783303687134</v>
      </c>
      <c r="T461">
        <f t="shared" si="983"/>
        <v>-0.17323783303687135</v>
      </c>
    </row>
    <row r="462" spans="1:20" x14ac:dyDescent="0.25">
      <c r="A462" s="5">
        <v>44131</v>
      </c>
      <c r="B462">
        <v>0.42559999999999998</v>
      </c>
      <c r="C462">
        <v>0.48509999999999998</v>
      </c>
      <c r="D462">
        <v>0.42559999999999998</v>
      </c>
      <c r="E462">
        <v>0.44109999999999999</v>
      </c>
      <c r="F462">
        <v>1786047.09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-0.47899159663865498</v>
      </c>
      <c r="Q462">
        <f t="shared" si="980"/>
        <v>-855501.54731092358</v>
      </c>
      <c r="R462">
        <f t="shared" si="981"/>
        <v>-17058694.000788584</v>
      </c>
      <c r="S462">
        <f t="shared" si="982"/>
        <v>-170.58694000788586</v>
      </c>
      <c r="T462">
        <f t="shared" si="983"/>
        <v>-0.17058694000788585</v>
      </c>
    </row>
    <row r="463" spans="1:20" x14ac:dyDescent="0.25">
      <c r="A463" s="5">
        <v>44130</v>
      </c>
      <c r="B463">
        <v>0.41149999999999998</v>
      </c>
      <c r="C463">
        <v>0.46</v>
      </c>
      <c r="D463">
        <v>0.4052</v>
      </c>
      <c r="E463">
        <v>0.4254</v>
      </c>
      <c r="F463">
        <v>1071305.3500000001</v>
      </c>
      <c r="G463">
        <v>0</v>
      </c>
      <c r="L463" t="s">
        <v>8</v>
      </c>
      <c r="M463" t="s">
        <v>8</v>
      </c>
      <c r="N463" t="s">
        <v>7</v>
      </c>
      <c r="P463">
        <f t="shared" si="979"/>
        <v>-0.26277372262773757</v>
      </c>
      <c r="Q463">
        <f t="shared" si="980"/>
        <v>-281510.89489051135</v>
      </c>
      <c r="R463">
        <f t="shared" si="981"/>
        <v>-16203192.453477662</v>
      </c>
      <c r="S463">
        <f t="shared" si="982"/>
        <v>-162.03192453477661</v>
      </c>
      <c r="T463">
        <f t="shared" si="983"/>
        <v>-0.16203192453477661</v>
      </c>
    </row>
    <row r="464" spans="1:20" x14ac:dyDescent="0.25">
      <c r="A464" s="5">
        <v>44129</v>
      </c>
      <c r="B464">
        <v>0.40760000000000002</v>
      </c>
      <c r="C464">
        <v>0.44679999999999997</v>
      </c>
      <c r="D464">
        <v>0.39710000000000001</v>
      </c>
      <c r="E464">
        <v>0.41160000000000002</v>
      </c>
      <c r="F464">
        <v>654941.05000000005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-0.41649899396378176</v>
      </c>
      <c r="Q464">
        <f t="shared" si="980"/>
        <v>-272782.28843058291</v>
      </c>
      <c r="R464">
        <f t="shared" si="981"/>
        <v>-15921681.558587151</v>
      </c>
      <c r="S464">
        <f t="shared" si="982"/>
        <v>-159.2168155858715</v>
      </c>
      <c r="T464">
        <f t="shared" si="983"/>
        <v>-0.1592168155858715</v>
      </c>
    </row>
    <row r="465" spans="1:20" x14ac:dyDescent="0.25">
      <c r="A465" s="5">
        <v>44128</v>
      </c>
      <c r="B465">
        <v>0.42180000000000001</v>
      </c>
      <c r="C465">
        <v>0.4264</v>
      </c>
      <c r="D465">
        <v>0.40660000000000002</v>
      </c>
      <c r="E465">
        <v>0.40789999999999998</v>
      </c>
      <c r="F465">
        <v>181620.53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-0.86868686868687184</v>
      </c>
      <c r="Q465">
        <f t="shared" si="980"/>
        <v>-157771.36949495008</v>
      </c>
      <c r="R465">
        <f t="shared" si="981"/>
        <v>-15648899.270156568</v>
      </c>
      <c r="S465">
        <f t="shared" si="982"/>
        <v>-156.48899270156568</v>
      </c>
      <c r="T465">
        <f t="shared" si="983"/>
        <v>-0.15648899270156569</v>
      </c>
    </row>
    <row r="466" spans="1:20" x14ac:dyDescent="0.25">
      <c r="A466" s="5">
        <v>44127</v>
      </c>
      <c r="B466">
        <v>0.42120000000000002</v>
      </c>
      <c r="C466">
        <v>0.42949999999999999</v>
      </c>
      <c r="D466">
        <v>0.40400000000000003</v>
      </c>
      <c r="E466">
        <v>0.42180000000000001</v>
      </c>
      <c r="F466">
        <v>328363.44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0.39607843137254944</v>
      </c>
      <c r="Q466">
        <f t="shared" si="980"/>
        <v>130057.67623529426</v>
      </c>
      <c r="R466">
        <f t="shared" si="981"/>
        <v>-15491127.900661618</v>
      </c>
      <c r="S466">
        <f t="shared" si="982"/>
        <v>-154.91127900661618</v>
      </c>
      <c r="T466">
        <f t="shared" si="983"/>
        <v>-0.15491127900661619</v>
      </c>
    </row>
    <row r="467" spans="1:20" x14ac:dyDescent="0.25">
      <c r="A467" s="5">
        <v>44126</v>
      </c>
      <c r="B467">
        <v>0.40710000000000002</v>
      </c>
      <c r="C467">
        <v>0.4325</v>
      </c>
      <c r="D467">
        <v>0.40610000000000002</v>
      </c>
      <c r="E467">
        <v>0.42199999999999999</v>
      </c>
      <c r="F467">
        <v>569217.51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0.2045454545454532</v>
      </c>
      <c r="Q467">
        <f t="shared" si="980"/>
        <v>116430.85431818105</v>
      </c>
      <c r="R467">
        <f t="shared" si="981"/>
        <v>-15621185.576896911</v>
      </c>
      <c r="S467">
        <f t="shared" si="982"/>
        <v>-156.21185576896912</v>
      </c>
      <c r="T467">
        <f t="shared" si="983"/>
        <v>-0.15621185576896912</v>
      </c>
    </row>
    <row r="468" spans="1:20" x14ac:dyDescent="0.25">
      <c r="A468" s="5">
        <v>44125</v>
      </c>
      <c r="B468">
        <v>0.38740000000000002</v>
      </c>
      <c r="C468">
        <v>0.4375</v>
      </c>
      <c r="D468">
        <v>0.38729999999999998</v>
      </c>
      <c r="E468">
        <v>0.40710000000000002</v>
      </c>
      <c r="F468">
        <v>773853.3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-0.21115537848605453</v>
      </c>
      <c r="Q468">
        <f t="shared" si="980"/>
        <v>-163403.28645418232</v>
      </c>
      <c r="R468">
        <f t="shared" si="981"/>
        <v>-15737616.431215093</v>
      </c>
      <c r="S468">
        <f t="shared" si="982"/>
        <v>-157.37616431215093</v>
      </c>
      <c r="T468">
        <f t="shared" si="983"/>
        <v>-0.15737616431215093</v>
      </c>
    </row>
    <row r="469" spans="1:20" x14ac:dyDescent="0.25">
      <c r="A469" s="5">
        <v>44124</v>
      </c>
      <c r="B469">
        <v>0.40939999999999999</v>
      </c>
      <c r="C469">
        <v>0.43</v>
      </c>
      <c r="D469">
        <v>0.377</v>
      </c>
      <c r="E469">
        <v>0.3901</v>
      </c>
      <c r="F469">
        <v>767073.7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-0.50566037735849045</v>
      </c>
      <c r="Q469">
        <f t="shared" si="980"/>
        <v>-387878.77660377347</v>
      </c>
      <c r="R469">
        <f t="shared" si="981"/>
        <v>-15574213.14476091</v>
      </c>
      <c r="S469">
        <f t="shared" si="982"/>
        <v>-155.7421314476091</v>
      </c>
      <c r="T469">
        <f t="shared" si="983"/>
        <v>-0.15574213144760909</v>
      </c>
    </row>
    <row r="470" spans="1:20" x14ac:dyDescent="0.25">
      <c r="A470" s="5">
        <v>44123</v>
      </c>
      <c r="B470">
        <v>0.41549999999999998</v>
      </c>
      <c r="C470">
        <v>0.4662</v>
      </c>
      <c r="D470">
        <v>0.40660000000000002</v>
      </c>
      <c r="E470">
        <v>0.41049999999999998</v>
      </c>
      <c r="F470">
        <v>1156220.3799999999</v>
      </c>
      <c r="G470">
        <v>0</v>
      </c>
      <c r="L470" t="s">
        <v>8</v>
      </c>
      <c r="M470" t="s">
        <v>8</v>
      </c>
      <c r="N470" t="s">
        <v>7</v>
      </c>
      <c r="P470">
        <f t="shared" si="979"/>
        <v>-0.86912751677852484</v>
      </c>
      <c r="Q470">
        <f t="shared" si="980"/>
        <v>-1004902.9477181223</v>
      </c>
      <c r="R470">
        <f t="shared" si="981"/>
        <v>-15186334.368157137</v>
      </c>
      <c r="S470">
        <f t="shared" si="982"/>
        <v>-151.86334368157137</v>
      </c>
      <c r="T470">
        <f t="shared" si="983"/>
        <v>-0.15186334368157137</v>
      </c>
    </row>
    <row r="471" spans="1:20" x14ac:dyDescent="0.25">
      <c r="A471" s="5">
        <v>44122</v>
      </c>
      <c r="B471">
        <v>0.39989999999999998</v>
      </c>
      <c r="C471">
        <v>0.44990000000000002</v>
      </c>
      <c r="D471">
        <v>0.39150000000000001</v>
      </c>
      <c r="E471">
        <v>0.41689999999999999</v>
      </c>
      <c r="F471">
        <v>904521.84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-0.13013698630137072</v>
      </c>
      <c r="Q471">
        <f t="shared" si="980"/>
        <v>-117711.74630137063</v>
      </c>
      <c r="R471">
        <f t="shared" si="981"/>
        <v>-14181431.420439014</v>
      </c>
      <c r="S471">
        <f t="shared" si="982"/>
        <v>-141.81431420439014</v>
      </c>
      <c r="T471">
        <f t="shared" si="983"/>
        <v>-0.14181431420439014</v>
      </c>
    </row>
    <row r="472" spans="1:20" x14ac:dyDescent="0.25">
      <c r="A472" s="5">
        <v>44121</v>
      </c>
      <c r="B472">
        <v>0.3911</v>
      </c>
      <c r="C472">
        <v>0.41920000000000002</v>
      </c>
      <c r="D472">
        <v>0.38140000000000002</v>
      </c>
      <c r="E472">
        <v>0.40010000000000001</v>
      </c>
      <c r="F472">
        <v>485320.52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-1.0582010582010885E-2</v>
      </c>
      <c r="Q472">
        <f t="shared" si="980"/>
        <v>-5135.6668783070254</v>
      </c>
      <c r="R472">
        <f t="shared" si="981"/>
        <v>-14063719.674137644</v>
      </c>
      <c r="S472">
        <f t="shared" si="982"/>
        <v>-140.63719674137644</v>
      </c>
      <c r="T472">
        <f t="shared" si="983"/>
        <v>-0.14063719674137645</v>
      </c>
    </row>
    <row r="473" spans="1:20" x14ac:dyDescent="0.25">
      <c r="A473" s="5">
        <v>44120</v>
      </c>
      <c r="B473">
        <v>0.44080000000000003</v>
      </c>
      <c r="C473">
        <v>0.45150000000000001</v>
      </c>
      <c r="D473">
        <v>0.3871</v>
      </c>
      <c r="E473">
        <v>0.39019999999999999</v>
      </c>
      <c r="F473">
        <v>984855.93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-0.90372670807453448</v>
      </c>
      <c r="Q473">
        <f t="shared" si="980"/>
        <v>-890040.60754658422</v>
      </c>
      <c r="R473">
        <f t="shared" si="981"/>
        <v>-14058584.007259337</v>
      </c>
      <c r="S473">
        <f t="shared" si="982"/>
        <v>-140.58584007259338</v>
      </c>
      <c r="T473">
        <f t="shared" si="983"/>
        <v>-0.14058584007259339</v>
      </c>
    </row>
    <row r="474" spans="1:20" x14ac:dyDescent="0.25">
      <c r="A474" s="5">
        <v>44119</v>
      </c>
      <c r="B474">
        <v>0.3992</v>
      </c>
      <c r="C474">
        <v>0.52110000000000001</v>
      </c>
      <c r="D474">
        <v>0.39450000000000002</v>
      </c>
      <c r="E474">
        <v>0.44040000000000001</v>
      </c>
      <c r="F474">
        <v>2505547.31</v>
      </c>
      <c r="G474">
        <v>0</v>
      </c>
      <c r="L474" t="s">
        <v>8</v>
      </c>
      <c r="M474" t="s">
        <v>8</v>
      </c>
      <c r="N474" t="s">
        <v>8</v>
      </c>
      <c r="P474">
        <f t="shared" si="979"/>
        <v>-0.27488151658767773</v>
      </c>
      <c r="Q474">
        <f t="shared" si="980"/>
        <v>-688728.64445497631</v>
      </c>
      <c r="R474">
        <f t="shared" si="981"/>
        <v>-13168543.399712753</v>
      </c>
      <c r="S474">
        <f t="shared" si="982"/>
        <v>-131.68543399712752</v>
      </c>
      <c r="T474">
        <f t="shared" si="983"/>
        <v>-0.13168543399712751</v>
      </c>
    </row>
    <row r="475" spans="1:20" x14ac:dyDescent="0.25">
      <c r="A475" s="5">
        <v>44118</v>
      </c>
      <c r="B475">
        <v>0.4158</v>
      </c>
      <c r="C475">
        <v>0.41699999999999998</v>
      </c>
      <c r="D475">
        <v>0.39400000000000002</v>
      </c>
      <c r="E475">
        <v>0.40239999999999998</v>
      </c>
      <c r="F475">
        <v>216023.96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-0.26956521739130646</v>
      </c>
      <c r="Q475">
        <f t="shared" si="980"/>
        <v>-58232.545739130888</v>
      </c>
      <c r="R475">
        <f t="shared" si="981"/>
        <v>-12479814.755257776</v>
      </c>
      <c r="S475">
        <f t="shared" si="982"/>
        <v>-124.79814755257776</v>
      </c>
      <c r="T475">
        <f t="shared" si="983"/>
        <v>-0.12479814755257776</v>
      </c>
    </row>
    <row r="476" spans="1:20" x14ac:dyDescent="0.25">
      <c r="A476" s="5">
        <v>44117</v>
      </c>
      <c r="B476">
        <v>0.41799999999999998</v>
      </c>
      <c r="C476">
        <v>0.43290000000000001</v>
      </c>
      <c r="D476">
        <v>0.40699999999999997</v>
      </c>
      <c r="E476">
        <v>0.4148</v>
      </c>
      <c r="F476">
        <v>239254.96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-0.39768339768339622</v>
      </c>
      <c r="Q476">
        <f t="shared" si="980"/>
        <v>-95147.725405405057</v>
      </c>
      <c r="R476">
        <f t="shared" si="981"/>
        <v>-12421582.209518645</v>
      </c>
      <c r="S476">
        <f t="shared" si="982"/>
        <v>-124.21582209518645</v>
      </c>
      <c r="T476">
        <f t="shared" si="983"/>
        <v>-0.12421582209518646</v>
      </c>
    </row>
    <row r="477" spans="1:20" x14ac:dyDescent="0.25">
      <c r="A477" s="5">
        <v>44116</v>
      </c>
      <c r="B477">
        <v>0.42699999999999999</v>
      </c>
      <c r="C477">
        <v>0.43540000000000001</v>
      </c>
      <c r="D477">
        <v>0.41199999999999998</v>
      </c>
      <c r="E477">
        <v>0.41810000000000003</v>
      </c>
      <c r="F477">
        <v>277664.57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-0.4786324786324751</v>
      </c>
      <c r="Q477">
        <f t="shared" si="980"/>
        <v>-132899.28136752039</v>
      </c>
      <c r="R477">
        <f t="shared" si="981"/>
        <v>-12326434.484113241</v>
      </c>
      <c r="S477">
        <f t="shared" si="982"/>
        <v>-123.26434484113241</v>
      </c>
      <c r="T477">
        <f t="shared" si="983"/>
        <v>-0.12326434484113241</v>
      </c>
    </row>
    <row r="478" spans="1:20" x14ac:dyDescent="0.25">
      <c r="A478" s="5">
        <v>44115</v>
      </c>
      <c r="B478">
        <v>0.433</v>
      </c>
      <c r="C478">
        <v>0.43709999999999999</v>
      </c>
      <c r="D478">
        <v>0.42259999999999998</v>
      </c>
      <c r="E478">
        <v>0.42520000000000002</v>
      </c>
      <c r="F478">
        <v>200264.68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-0.64137931034482143</v>
      </c>
      <c r="Q478">
        <f t="shared" si="980"/>
        <v>-128445.62234482635</v>
      </c>
      <c r="R478">
        <f t="shared" si="981"/>
        <v>-12193535.202745721</v>
      </c>
      <c r="S478">
        <f t="shared" si="982"/>
        <v>-121.93535202745721</v>
      </c>
      <c r="T478">
        <f t="shared" si="983"/>
        <v>-0.12193535202745721</v>
      </c>
    </row>
    <row r="479" spans="1:20" x14ac:dyDescent="0.25">
      <c r="A479" s="5">
        <v>44114</v>
      </c>
      <c r="B479">
        <v>0.42530000000000001</v>
      </c>
      <c r="C479">
        <v>0.46160000000000001</v>
      </c>
      <c r="D479">
        <v>0.42349999999999999</v>
      </c>
      <c r="E479">
        <v>0.43409999999999999</v>
      </c>
      <c r="F479">
        <v>602600.67000000004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-0.44356955380577467</v>
      </c>
      <c r="Q479">
        <f t="shared" si="980"/>
        <v>-267295.31031496089</v>
      </c>
      <c r="R479">
        <f t="shared" si="981"/>
        <v>-12065089.580400895</v>
      </c>
      <c r="S479">
        <f t="shared" si="982"/>
        <v>-120.65089580400895</v>
      </c>
      <c r="T479">
        <f t="shared" si="983"/>
        <v>-0.12065089580400895</v>
      </c>
    </row>
    <row r="480" spans="1:20" x14ac:dyDescent="0.25">
      <c r="A480" s="5">
        <v>44113</v>
      </c>
      <c r="B480">
        <v>0.41049999999999998</v>
      </c>
      <c r="C480">
        <v>0.43759999999999999</v>
      </c>
      <c r="D480">
        <v>0.40210000000000001</v>
      </c>
      <c r="E480">
        <v>0.42530000000000001</v>
      </c>
      <c r="F480">
        <v>367803.56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0.30704225352112757</v>
      </c>
      <c r="Q480">
        <f t="shared" si="980"/>
        <v>112931.23391549326</v>
      </c>
      <c r="R480">
        <f t="shared" si="981"/>
        <v>-11797794.270085935</v>
      </c>
      <c r="S480">
        <f t="shared" si="982"/>
        <v>-117.97794270085934</v>
      </c>
      <c r="T480">
        <f t="shared" si="983"/>
        <v>-0.11797794270085935</v>
      </c>
    </row>
    <row r="481" spans="1:20" x14ac:dyDescent="0.25">
      <c r="A481" s="5">
        <v>44112</v>
      </c>
      <c r="B481">
        <v>0.39779999999999999</v>
      </c>
      <c r="C481">
        <v>0.42220000000000002</v>
      </c>
      <c r="D481">
        <v>0.3735</v>
      </c>
      <c r="E481">
        <v>0.41270000000000001</v>
      </c>
      <c r="F481">
        <v>572466.01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0.60985626283367533</v>
      </c>
      <c r="Q481">
        <f t="shared" si="980"/>
        <v>349121.98145790544</v>
      </c>
      <c r="R481">
        <f t="shared" si="981"/>
        <v>-11910725.504001427</v>
      </c>
      <c r="S481">
        <f t="shared" si="982"/>
        <v>-119.10725504001428</v>
      </c>
      <c r="T481">
        <f t="shared" si="983"/>
        <v>-0.11910725504001428</v>
      </c>
    </row>
    <row r="482" spans="1:20" x14ac:dyDescent="0.25">
      <c r="A482" s="5">
        <v>44111</v>
      </c>
      <c r="B482">
        <v>0.377</v>
      </c>
      <c r="C482">
        <v>0.40810000000000002</v>
      </c>
      <c r="D482">
        <v>0.3614</v>
      </c>
      <c r="E482">
        <v>0.39779999999999999</v>
      </c>
      <c r="F482">
        <v>303775.27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0.55888650963597319</v>
      </c>
      <c r="Q482">
        <f t="shared" si="980"/>
        <v>169775.90036402538</v>
      </c>
      <c r="R482">
        <f t="shared" si="981"/>
        <v>-12259847.485459333</v>
      </c>
      <c r="S482">
        <f t="shared" si="982"/>
        <v>-122.59847485459333</v>
      </c>
      <c r="T482">
        <f t="shared" si="983"/>
        <v>-0.12259847485459334</v>
      </c>
    </row>
    <row r="483" spans="1:20" x14ac:dyDescent="0.25">
      <c r="A483" s="5">
        <v>44110</v>
      </c>
      <c r="B483">
        <v>0.42099999999999999</v>
      </c>
      <c r="C483">
        <v>0.42599999999999999</v>
      </c>
      <c r="D483">
        <v>0.372</v>
      </c>
      <c r="E483">
        <v>0.37669999999999998</v>
      </c>
      <c r="F483">
        <v>652692.56999999995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-0.82592592592592662</v>
      </c>
      <c r="Q483">
        <f t="shared" si="980"/>
        <v>-539075.71522222261</v>
      </c>
      <c r="R483">
        <f t="shared" si="981"/>
        <v>-12429623.385823358</v>
      </c>
      <c r="S483">
        <f t="shared" si="982"/>
        <v>-124.29623385823358</v>
      </c>
      <c r="T483">
        <f t="shared" si="983"/>
        <v>-0.12429623385823357</v>
      </c>
    </row>
    <row r="484" spans="1:20" x14ac:dyDescent="0.25">
      <c r="A484" s="5">
        <v>44109</v>
      </c>
      <c r="B484">
        <v>0.42220000000000002</v>
      </c>
      <c r="C484">
        <v>0.43020000000000003</v>
      </c>
      <c r="D484">
        <v>0.41310000000000002</v>
      </c>
      <c r="E484">
        <v>0.42099999999999999</v>
      </c>
      <c r="F484">
        <v>344739.93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-7.6023391812870086E-2</v>
      </c>
      <c r="Q484">
        <f t="shared" si="980"/>
        <v>-26208.298771931408</v>
      </c>
      <c r="R484">
        <f t="shared" si="981"/>
        <v>-11890547.670601135</v>
      </c>
      <c r="S484">
        <f t="shared" si="982"/>
        <v>-118.90547670601136</v>
      </c>
      <c r="T484">
        <f t="shared" si="983"/>
        <v>-0.11890547670601136</v>
      </c>
    </row>
    <row r="485" spans="1:20" x14ac:dyDescent="0.25">
      <c r="A485" s="5">
        <v>44108</v>
      </c>
      <c r="B485">
        <v>0.43480000000000002</v>
      </c>
      <c r="C485">
        <v>0.43619999999999998</v>
      </c>
      <c r="D485">
        <v>0.41710000000000003</v>
      </c>
      <c r="E485">
        <v>0.42209999999999998</v>
      </c>
      <c r="F485">
        <v>334410.01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-0.47643979057592023</v>
      </c>
      <c r="Q485">
        <f t="shared" si="980"/>
        <v>-159326.23513089141</v>
      </c>
      <c r="R485">
        <f t="shared" si="981"/>
        <v>-11864339.371829204</v>
      </c>
      <c r="S485">
        <f t="shared" si="982"/>
        <v>-118.64339371829205</v>
      </c>
      <c r="T485">
        <f t="shared" si="983"/>
        <v>-0.11864339371829205</v>
      </c>
    </row>
    <row r="486" spans="1:20" x14ac:dyDescent="0.25">
      <c r="A486" s="5">
        <v>44107</v>
      </c>
      <c r="B486">
        <v>0.44400000000000001</v>
      </c>
      <c r="C486">
        <v>0.45419999999999999</v>
      </c>
      <c r="D486">
        <v>0.435</v>
      </c>
      <c r="E486">
        <v>0.435</v>
      </c>
      <c r="F486">
        <v>239470.61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-1</v>
      </c>
      <c r="Q486">
        <f t="shared" si="980"/>
        <v>-239470.61</v>
      </c>
      <c r="R486">
        <f t="shared" si="981"/>
        <v>-11705013.136698313</v>
      </c>
      <c r="S486">
        <f t="shared" si="982"/>
        <v>-117.05013136698314</v>
      </c>
      <c r="T486">
        <f t="shared" si="983"/>
        <v>-0.11705013136698314</v>
      </c>
    </row>
    <row r="487" spans="1:20" x14ac:dyDescent="0.25">
      <c r="A487" s="5">
        <v>44106</v>
      </c>
      <c r="B487">
        <v>0.47299999999999998</v>
      </c>
      <c r="C487">
        <v>0.4743</v>
      </c>
      <c r="D487">
        <v>0.4194</v>
      </c>
      <c r="E487">
        <v>0.44400000000000001</v>
      </c>
      <c r="F487">
        <v>758492.28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-0.10382513661202154</v>
      </c>
      <c r="Q487">
        <f t="shared" si="980"/>
        <v>-78750.564590163704</v>
      </c>
      <c r="R487">
        <f t="shared" si="981"/>
        <v>-11465542.526698314</v>
      </c>
      <c r="S487">
        <f t="shared" si="982"/>
        <v>-114.65542526698313</v>
      </c>
      <c r="T487">
        <f t="shared" si="983"/>
        <v>-0.11465542526698314</v>
      </c>
    </row>
    <row r="488" spans="1:20" x14ac:dyDescent="0.25">
      <c r="A488" s="5">
        <v>44105</v>
      </c>
      <c r="B488">
        <v>0.51900000000000002</v>
      </c>
      <c r="C488">
        <v>0.53779999999999994</v>
      </c>
      <c r="D488">
        <v>0.46</v>
      </c>
      <c r="E488">
        <v>0.47420000000000001</v>
      </c>
      <c r="F488">
        <v>971767.26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-0.63496143958868889</v>
      </c>
      <c r="Q488">
        <f t="shared" si="980"/>
        <v>-617034.73835475568</v>
      </c>
      <c r="R488">
        <f t="shared" si="981"/>
        <v>-11386791.96210815</v>
      </c>
      <c r="S488">
        <f t="shared" si="982"/>
        <v>-113.8679196210815</v>
      </c>
      <c r="T488">
        <f t="shared" si="983"/>
        <v>-0.1138679196210815</v>
      </c>
    </row>
    <row r="489" spans="1:20" x14ac:dyDescent="0.25">
      <c r="A489" s="5">
        <v>44104</v>
      </c>
      <c r="B489">
        <v>0.50829999999999997</v>
      </c>
      <c r="C489">
        <v>0.52</v>
      </c>
      <c r="D489">
        <v>0.4985</v>
      </c>
      <c r="E489">
        <v>0.51900000000000002</v>
      </c>
      <c r="F489">
        <v>349983.03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0.90697674418604646</v>
      </c>
      <c r="Q489">
        <f t="shared" si="980"/>
        <v>317426.46906976745</v>
      </c>
      <c r="R489">
        <f t="shared" si="981"/>
        <v>-10769757.223753395</v>
      </c>
      <c r="S489">
        <f t="shared" si="982"/>
        <v>-107.69757223753395</v>
      </c>
      <c r="T489">
        <f t="shared" si="983"/>
        <v>-0.10769757223753394</v>
      </c>
    </row>
    <row r="490" spans="1:20" x14ac:dyDescent="0.25">
      <c r="A490" s="5">
        <v>44103</v>
      </c>
      <c r="B490">
        <v>0.50439999999999996</v>
      </c>
      <c r="C490">
        <v>0.51770000000000005</v>
      </c>
      <c r="D490">
        <v>0.49159999999999998</v>
      </c>
      <c r="E490">
        <v>0.50870000000000004</v>
      </c>
      <c r="F490">
        <v>395183.76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0.31034482758620807</v>
      </c>
      <c r="Q490">
        <f t="shared" si="980"/>
        <v>122643.23586206943</v>
      </c>
      <c r="R490">
        <f t="shared" si="981"/>
        <v>-11087183.692823162</v>
      </c>
      <c r="S490">
        <f t="shared" si="982"/>
        <v>-110.87183692823162</v>
      </c>
      <c r="T490">
        <f t="shared" si="983"/>
        <v>-0.11087183692823162</v>
      </c>
    </row>
    <row r="491" spans="1:20" x14ac:dyDescent="0.25">
      <c r="A491" s="5">
        <v>44102</v>
      </c>
      <c r="B491">
        <v>0.51929999999999998</v>
      </c>
      <c r="C491">
        <v>0.53869999999999996</v>
      </c>
      <c r="D491">
        <v>0.50190000000000001</v>
      </c>
      <c r="E491">
        <v>0.50680000000000003</v>
      </c>
      <c r="F491">
        <v>463391.99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-0.73369565217391175</v>
      </c>
      <c r="Q491">
        <f t="shared" si="980"/>
        <v>-339988.6883152168</v>
      </c>
      <c r="R491">
        <f t="shared" si="981"/>
        <v>-11209826.928685231</v>
      </c>
      <c r="S491">
        <f t="shared" si="982"/>
        <v>-112.09826928685231</v>
      </c>
      <c r="T491">
        <f t="shared" si="983"/>
        <v>-0.11209826928685232</v>
      </c>
    </row>
    <row r="492" spans="1:20" x14ac:dyDescent="0.25">
      <c r="A492" s="5">
        <v>44101</v>
      </c>
      <c r="B492">
        <v>0.53400000000000003</v>
      </c>
      <c r="C492">
        <v>0.54320000000000002</v>
      </c>
      <c r="D492">
        <v>0.49199999999999999</v>
      </c>
      <c r="E492">
        <v>0.51929999999999998</v>
      </c>
      <c r="F492">
        <v>494566.9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6.6406249999999167E-2</v>
      </c>
      <c r="Q492">
        <f t="shared" si="980"/>
        <v>32842.333203124588</v>
      </c>
      <c r="R492">
        <f t="shared" si="981"/>
        <v>-10869838.240370015</v>
      </c>
      <c r="S492">
        <f t="shared" si="982"/>
        <v>-108.69838240370015</v>
      </c>
      <c r="T492">
        <f t="shared" si="983"/>
        <v>-0.10869838240370015</v>
      </c>
    </row>
    <row r="493" spans="1:20" x14ac:dyDescent="0.25">
      <c r="A493" s="5">
        <v>44100</v>
      </c>
      <c r="B493">
        <v>0.54179999999999995</v>
      </c>
      <c r="C493">
        <v>0.5655</v>
      </c>
      <c r="D493">
        <v>0.5242</v>
      </c>
      <c r="E493">
        <v>0.53659999999999997</v>
      </c>
      <c r="F493">
        <v>404247.69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-0.39951573849879102</v>
      </c>
      <c r="Q493">
        <f t="shared" si="980"/>
        <v>-161503.31440678035</v>
      </c>
      <c r="R493">
        <f t="shared" si="981"/>
        <v>-10902680.573573139</v>
      </c>
      <c r="S493">
        <f t="shared" si="982"/>
        <v>-109.02680573573139</v>
      </c>
      <c r="T493">
        <f t="shared" si="983"/>
        <v>-0.10902680573573138</v>
      </c>
    </row>
    <row r="494" spans="1:20" x14ac:dyDescent="0.25">
      <c r="A494" s="5">
        <v>44099</v>
      </c>
      <c r="B494">
        <v>0.53990000000000005</v>
      </c>
      <c r="C494">
        <v>0.56000000000000005</v>
      </c>
      <c r="D494">
        <v>0.50580000000000003</v>
      </c>
      <c r="E494">
        <v>0.54149999999999998</v>
      </c>
      <c r="F494">
        <v>1072086.3400000001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0.31734317343173196</v>
      </c>
      <c r="Q494">
        <f t="shared" si="980"/>
        <v>340219.28132841078</v>
      </c>
      <c r="R494">
        <f t="shared" si="981"/>
        <v>-10741177.259166358</v>
      </c>
      <c r="S494">
        <f t="shared" si="982"/>
        <v>-107.41177259166358</v>
      </c>
      <c r="T494">
        <f t="shared" si="983"/>
        <v>-0.10741177259166358</v>
      </c>
    </row>
    <row r="495" spans="1:20" x14ac:dyDescent="0.25">
      <c r="A495" s="5">
        <v>44098</v>
      </c>
      <c r="B495">
        <v>0.49249999999999999</v>
      </c>
      <c r="C495">
        <v>0.54990000000000006</v>
      </c>
      <c r="D495">
        <v>0.48709999999999998</v>
      </c>
      <c r="E495">
        <v>0.5383</v>
      </c>
      <c r="F495">
        <v>955198.3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0.63057324840764206</v>
      </c>
      <c r="Q495">
        <f t="shared" si="980"/>
        <v>602322.49490445748</v>
      </c>
      <c r="R495">
        <f t="shared" si="981"/>
        <v>-11081396.540494768</v>
      </c>
      <c r="S495">
        <f t="shared" si="982"/>
        <v>-110.81396540494768</v>
      </c>
      <c r="T495">
        <f t="shared" si="983"/>
        <v>-0.11081396540494769</v>
      </c>
    </row>
    <row r="496" spans="1:20" x14ac:dyDescent="0.25">
      <c r="A496" s="5">
        <v>44097</v>
      </c>
      <c r="B496">
        <v>0.59809999999999997</v>
      </c>
      <c r="C496">
        <v>0.5998</v>
      </c>
      <c r="D496">
        <v>0.48659999999999998</v>
      </c>
      <c r="E496">
        <v>0.49469999999999997</v>
      </c>
      <c r="F496">
        <v>1079923.6499999999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-0.85689045936395769</v>
      </c>
      <c r="Q496">
        <f t="shared" si="980"/>
        <v>-925376.27252650179</v>
      </c>
      <c r="R496">
        <f t="shared" si="981"/>
        <v>-11683719.035399225</v>
      </c>
      <c r="S496">
        <f t="shared" si="982"/>
        <v>-116.83719035399224</v>
      </c>
      <c r="T496">
        <f t="shared" si="983"/>
        <v>-0.11683719035399225</v>
      </c>
    </row>
    <row r="497" spans="1:20" x14ac:dyDescent="0.25">
      <c r="A497" s="5">
        <v>44096</v>
      </c>
      <c r="B497">
        <v>0.58169999999999999</v>
      </c>
      <c r="C497">
        <v>0.62380000000000002</v>
      </c>
      <c r="D497">
        <v>0.55200000000000005</v>
      </c>
      <c r="E497">
        <v>0.59850000000000003</v>
      </c>
      <c r="F497">
        <v>680936.84</v>
      </c>
      <c r="G497">
        <v>0</v>
      </c>
      <c r="L497" t="s">
        <v>8</v>
      </c>
      <c r="M497" t="s">
        <v>7</v>
      </c>
      <c r="N497" t="s">
        <v>8</v>
      </c>
      <c r="P497">
        <f t="shared" si="979"/>
        <v>0.29526462395543179</v>
      </c>
      <c r="Q497">
        <f t="shared" si="980"/>
        <v>201056.56000000003</v>
      </c>
      <c r="R497">
        <f t="shared" si="981"/>
        <v>-10758342.762872722</v>
      </c>
      <c r="S497">
        <f t="shared" si="982"/>
        <v>-107.58342762872722</v>
      </c>
      <c r="T497">
        <f t="shared" si="983"/>
        <v>-0.10758342762872722</v>
      </c>
    </row>
    <row r="498" spans="1:20" x14ac:dyDescent="0.25">
      <c r="A498" s="5">
        <v>44095</v>
      </c>
      <c r="B498">
        <v>0.67120000000000002</v>
      </c>
      <c r="C498">
        <v>0.68389999999999995</v>
      </c>
      <c r="D498">
        <v>0.54</v>
      </c>
      <c r="E498">
        <v>0.58140000000000003</v>
      </c>
      <c r="F498">
        <v>941349.67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-0.42460041695621936</v>
      </c>
      <c r="Q498">
        <f t="shared" si="980"/>
        <v>-399697.46238359954</v>
      </c>
      <c r="R498">
        <f t="shared" si="981"/>
        <v>-10959399.322872723</v>
      </c>
      <c r="S498">
        <f t="shared" si="982"/>
        <v>-109.59399322872723</v>
      </c>
      <c r="T498">
        <f t="shared" si="983"/>
        <v>-0.10959399322872723</v>
      </c>
    </row>
    <row r="499" spans="1:20" x14ac:dyDescent="0.25">
      <c r="A499" s="5">
        <v>44094</v>
      </c>
      <c r="B499">
        <v>0.68720000000000003</v>
      </c>
      <c r="C499">
        <v>0.71740000000000004</v>
      </c>
      <c r="D499">
        <v>0.65959999999999996</v>
      </c>
      <c r="E499">
        <v>0.67369999999999997</v>
      </c>
      <c r="F499">
        <v>749286.12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-0.51211072664359913</v>
      </c>
      <c r="Q499">
        <f t="shared" si="980"/>
        <v>-383717.45937716303</v>
      </c>
      <c r="R499">
        <f t="shared" si="981"/>
        <v>-10559701.860489123</v>
      </c>
      <c r="S499">
        <f t="shared" si="982"/>
        <v>-105.59701860489123</v>
      </c>
      <c r="T499">
        <f t="shared" si="983"/>
        <v>-0.10559701860489124</v>
      </c>
    </row>
    <row r="500" spans="1:20" x14ac:dyDescent="0.25">
      <c r="A500" s="5">
        <v>44093</v>
      </c>
      <c r="B500">
        <v>0.61309999999999998</v>
      </c>
      <c r="C500">
        <v>0.73909999999999998</v>
      </c>
      <c r="D500">
        <v>0.59640000000000004</v>
      </c>
      <c r="E500">
        <v>0.68789999999999996</v>
      </c>
      <c r="F500">
        <v>1770553.15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0.28241065171688795</v>
      </c>
      <c r="Q500">
        <f t="shared" si="980"/>
        <v>500023.06899088883</v>
      </c>
      <c r="R500">
        <f t="shared" si="981"/>
        <v>-10175984.40111196</v>
      </c>
      <c r="S500">
        <f t="shared" si="982"/>
        <v>-101.75984401111961</v>
      </c>
      <c r="T500">
        <f t="shared" si="983"/>
        <v>-0.10175984401111961</v>
      </c>
    </row>
    <row r="501" spans="1:20" x14ac:dyDescent="0.25">
      <c r="A501" s="5">
        <v>44092</v>
      </c>
      <c r="B501">
        <v>0.63970000000000005</v>
      </c>
      <c r="C501">
        <v>0.67859999999999998</v>
      </c>
      <c r="D501">
        <v>0.60040000000000004</v>
      </c>
      <c r="E501">
        <v>0.6089</v>
      </c>
      <c r="F501">
        <v>591987.14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-0.78260869565217495</v>
      </c>
      <c r="Q501">
        <f t="shared" si="980"/>
        <v>-463294.2834782615</v>
      </c>
      <c r="R501">
        <f t="shared" si="981"/>
        <v>-10676007.470102848</v>
      </c>
      <c r="S501">
        <f t="shared" si="982"/>
        <v>-106.76007470102849</v>
      </c>
      <c r="T501">
        <f t="shared" si="983"/>
        <v>-0.10676007470102848</v>
      </c>
    </row>
    <row r="502" spans="1:20" x14ac:dyDescent="0.25">
      <c r="A502" s="5">
        <v>44091</v>
      </c>
      <c r="B502">
        <v>0.6381</v>
      </c>
      <c r="C502">
        <v>0.65800000000000003</v>
      </c>
      <c r="D502">
        <v>0.57799999999999996</v>
      </c>
      <c r="E502">
        <v>0.63990000000000002</v>
      </c>
      <c r="F502">
        <v>768169.48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0.54750000000000032</v>
      </c>
      <c r="Q502">
        <f t="shared" si="980"/>
        <v>420572.79030000023</v>
      </c>
      <c r="R502">
        <f t="shared" si="981"/>
        <v>-10212713.186624587</v>
      </c>
      <c r="S502">
        <f t="shared" si="982"/>
        <v>-102.12713186624586</v>
      </c>
      <c r="T502">
        <f t="shared" si="983"/>
        <v>-0.10212713186624586</v>
      </c>
    </row>
    <row r="503" spans="1:20" x14ac:dyDescent="0.25">
      <c r="A503" s="5">
        <v>44090</v>
      </c>
      <c r="B503">
        <v>0.58630000000000004</v>
      </c>
      <c r="C503">
        <v>0.66279999999999994</v>
      </c>
      <c r="D503">
        <v>0.55179999999999996</v>
      </c>
      <c r="E503">
        <v>0.63419999999999999</v>
      </c>
      <c r="F503">
        <v>828063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0.4846846846846854</v>
      </c>
      <c r="Q503">
        <f t="shared" si="980"/>
        <v>401349.45405405463</v>
      </c>
      <c r="R503">
        <f t="shared" si="981"/>
        <v>-10633285.976924587</v>
      </c>
      <c r="S503">
        <f t="shared" si="982"/>
        <v>-106.33285976924587</v>
      </c>
      <c r="T503">
        <f t="shared" si="983"/>
        <v>-0.10633285976924588</v>
      </c>
    </row>
    <row r="504" spans="1:20" x14ac:dyDescent="0.25">
      <c r="A504" s="5">
        <v>44089</v>
      </c>
      <c r="B504">
        <v>0.69940000000000002</v>
      </c>
      <c r="C504">
        <v>0.71709999999999996</v>
      </c>
      <c r="D504">
        <v>0.57620000000000005</v>
      </c>
      <c r="E504">
        <v>0.58640000000000003</v>
      </c>
      <c r="F504">
        <v>1016279.86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-0.85521646557842457</v>
      </c>
      <c r="Q504">
        <f t="shared" si="980"/>
        <v>-869139.2699077361</v>
      </c>
      <c r="R504">
        <f t="shared" si="981"/>
        <v>-11034635.430978641</v>
      </c>
      <c r="S504">
        <f t="shared" si="982"/>
        <v>-110.34635430978641</v>
      </c>
      <c r="T504">
        <f t="shared" si="983"/>
        <v>-0.11034635430978641</v>
      </c>
    </row>
    <row r="505" spans="1:20" x14ac:dyDescent="0.25">
      <c r="A505" s="5">
        <v>44088</v>
      </c>
      <c r="B505">
        <v>0.6361</v>
      </c>
      <c r="C505">
        <v>0.70750000000000002</v>
      </c>
      <c r="D505">
        <v>0.60619999999999996</v>
      </c>
      <c r="E505">
        <v>0.69599999999999995</v>
      </c>
      <c r="F505">
        <v>936376.97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0.77295162882527035</v>
      </c>
      <c r="Q505">
        <f t="shared" si="980"/>
        <v>723774.10415597132</v>
      </c>
      <c r="R505">
        <f t="shared" si="981"/>
        <v>-10165496.161070906</v>
      </c>
      <c r="S505">
        <f t="shared" si="982"/>
        <v>-101.65496161070905</v>
      </c>
      <c r="T505">
        <f t="shared" si="983"/>
        <v>-0.10165496161070905</v>
      </c>
    </row>
    <row r="506" spans="1:20" x14ac:dyDescent="0.25">
      <c r="A506" s="5">
        <v>44087</v>
      </c>
      <c r="B506">
        <v>0.69120000000000004</v>
      </c>
      <c r="C506">
        <v>0.71099999999999997</v>
      </c>
      <c r="D506">
        <v>0.6149</v>
      </c>
      <c r="E506">
        <v>0.63660000000000005</v>
      </c>
      <c r="F506">
        <v>823982.97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-0.54838709677419228</v>
      </c>
      <c r="Q506">
        <f t="shared" si="980"/>
        <v>-451861.62870967638</v>
      </c>
      <c r="R506">
        <f t="shared" si="981"/>
        <v>-10889270.265226876</v>
      </c>
      <c r="S506">
        <f t="shared" si="982"/>
        <v>-108.89270265226877</v>
      </c>
      <c r="T506">
        <f t="shared" si="983"/>
        <v>-0.10889270265226876</v>
      </c>
    </row>
    <row r="507" spans="1:20" x14ac:dyDescent="0.25">
      <c r="A507" s="5">
        <v>44086</v>
      </c>
      <c r="B507">
        <v>0.70760000000000001</v>
      </c>
      <c r="C507">
        <v>0.7389</v>
      </c>
      <c r="D507">
        <v>0.67849999999999999</v>
      </c>
      <c r="E507">
        <v>0.69110000000000005</v>
      </c>
      <c r="F507">
        <v>762941.89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-0.58278145695364059</v>
      </c>
      <c r="Q507">
        <f t="shared" si="980"/>
        <v>-444628.38622516423</v>
      </c>
      <c r="R507">
        <f t="shared" si="981"/>
        <v>-10437408.636517201</v>
      </c>
      <c r="S507">
        <f t="shared" si="982"/>
        <v>-104.374086365172</v>
      </c>
      <c r="T507">
        <f t="shared" si="983"/>
        <v>-0.10437408636517201</v>
      </c>
    </row>
    <row r="508" spans="1:20" x14ac:dyDescent="0.25">
      <c r="A508" s="5">
        <v>44085</v>
      </c>
      <c r="B508">
        <v>0.69389999999999996</v>
      </c>
      <c r="C508">
        <v>0.72</v>
      </c>
      <c r="D508">
        <v>0.65010000000000001</v>
      </c>
      <c r="E508">
        <v>0.70779999999999998</v>
      </c>
      <c r="F508">
        <v>733372.47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0.65092989985693861</v>
      </c>
      <c r="Q508">
        <f t="shared" si="980"/>
        <v>477374.06845493568</v>
      </c>
      <c r="R508">
        <f t="shared" si="981"/>
        <v>-9992780.2502920367</v>
      </c>
      <c r="S508">
        <f t="shared" si="982"/>
        <v>-99.927802502920372</v>
      </c>
      <c r="T508">
        <f t="shared" si="983"/>
        <v>-9.9927802502920368E-2</v>
      </c>
    </row>
    <row r="509" spans="1:20" x14ac:dyDescent="0.25">
      <c r="A509" s="5">
        <v>44084</v>
      </c>
      <c r="B509">
        <v>0.67569999999999997</v>
      </c>
      <c r="C509">
        <v>0.72270000000000001</v>
      </c>
      <c r="D509">
        <v>0.67390000000000005</v>
      </c>
      <c r="E509">
        <v>0.69399999999999995</v>
      </c>
      <c r="F509">
        <v>775509.09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-0.17622950819672481</v>
      </c>
      <c r="Q509">
        <f t="shared" si="980"/>
        <v>-136667.58553278958</v>
      </c>
      <c r="R509">
        <f t="shared" si="981"/>
        <v>-10470154.318746973</v>
      </c>
      <c r="S509">
        <f t="shared" si="982"/>
        <v>-104.70154318746972</v>
      </c>
      <c r="T509">
        <f t="shared" si="983"/>
        <v>-0.10470154318746973</v>
      </c>
    </row>
    <row r="510" spans="1:20" x14ac:dyDescent="0.25">
      <c r="A510" s="5">
        <v>44083</v>
      </c>
      <c r="B510">
        <v>0.70279999999999998</v>
      </c>
      <c r="C510">
        <v>0.70279999999999998</v>
      </c>
      <c r="D510">
        <v>0.64749999999999996</v>
      </c>
      <c r="E510">
        <v>0.67300000000000004</v>
      </c>
      <c r="F510">
        <v>897149.87</v>
      </c>
      <c r="G510">
        <v>0</v>
      </c>
      <c r="L510" t="s">
        <v>7</v>
      </c>
      <c r="M510" t="s">
        <v>8</v>
      </c>
      <c r="N510" t="s">
        <v>8</v>
      </c>
      <c r="P510">
        <f t="shared" si="979"/>
        <v>-7.7757685352619496E-2</v>
      </c>
      <c r="Q510">
        <f t="shared" si="980"/>
        <v>-69760.297305603483</v>
      </c>
      <c r="R510">
        <f t="shared" si="981"/>
        <v>-10333486.733214183</v>
      </c>
      <c r="S510">
        <f t="shared" si="982"/>
        <v>-103.33486733214183</v>
      </c>
      <c r="T510">
        <f t="shared" si="983"/>
        <v>-0.10333486733214182</v>
      </c>
    </row>
    <row r="511" spans="1:20" x14ac:dyDescent="0.25">
      <c r="A511" s="5">
        <v>44082</v>
      </c>
      <c r="B511">
        <v>0.60650000000000004</v>
      </c>
      <c r="C511">
        <v>0.70350000000000001</v>
      </c>
      <c r="D511">
        <v>0.6</v>
      </c>
      <c r="E511">
        <v>0.70250000000000001</v>
      </c>
      <c r="F511">
        <v>2629247.0499999998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0.98067632850241548</v>
      </c>
      <c r="Q511">
        <f t="shared" si="980"/>
        <v>2578440.3437198065</v>
      </c>
      <c r="R511">
        <f t="shared" si="981"/>
        <v>-10263726.43590858</v>
      </c>
      <c r="S511">
        <f t="shared" si="982"/>
        <v>-102.6372643590858</v>
      </c>
      <c r="T511">
        <f t="shared" si="983"/>
        <v>-0.10263726435908581</v>
      </c>
    </row>
    <row r="512" spans="1:20" x14ac:dyDescent="0.25">
      <c r="A512" s="5">
        <v>44081</v>
      </c>
      <c r="B512">
        <v>0.58350000000000002</v>
      </c>
      <c r="C512">
        <v>0.64990000000000003</v>
      </c>
      <c r="D512">
        <v>0.51629999999999998</v>
      </c>
      <c r="E512">
        <v>0.60829999999999995</v>
      </c>
      <c r="F512">
        <v>1343439.6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0.37724550898203496</v>
      </c>
      <c r="Q512">
        <f t="shared" si="980"/>
        <v>506806.55568862148</v>
      </c>
      <c r="R512">
        <f t="shared" si="981"/>
        <v>-12842166.779628387</v>
      </c>
      <c r="S512">
        <f t="shared" si="982"/>
        <v>-128.42166779628386</v>
      </c>
      <c r="T512">
        <f t="shared" si="983"/>
        <v>-0.12842166779628386</v>
      </c>
    </row>
    <row r="513" spans="1:20" x14ac:dyDescent="0.25">
      <c r="A513" s="5">
        <v>44080</v>
      </c>
      <c r="B513">
        <v>0.5514</v>
      </c>
      <c r="C513">
        <v>0.59619999999999995</v>
      </c>
      <c r="D513">
        <v>0.5081</v>
      </c>
      <c r="E513">
        <v>0.58350000000000002</v>
      </c>
      <c r="F513">
        <v>755540.76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0.71169125993189697</v>
      </c>
      <c r="Q513">
        <f t="shared" si="980"/>
        <v>537711.75541430304</v>
      </c>
      <c r="R513">
        <f t="shared" si="981"/>
        <v>-13348973.335317008</v>
      </c>
      <c r="S513">
        <f t="shared" si="982"/>
        <v>-133.4897333531701</v>
      </c>
      <c r="T513">
        <f t="shared" si="983"/>
        <v>-0.1334897333531701</v>
      </c>
    </row>
    <row r="514" spans="1:20" x14ac:dyDescent="0.25">
      <c r="A514" s="5">
        <v>44079</v>
      </c>
      <c r="B514">
        <v>0.69389999999999996</v>
      </c>
      <c r="C514">
        <v>0.74399999999999999</v>
      </c>
      <c r="D514">
        <v>0.5</v>
      </c>
      <c r="E514">
        <v>0.55800000000000005</v>
      </c>
      <c r="F514">
        <v>1461403.6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-0.52459016393442581</v>
      </c>
      <c r="Q514">
        <f t="shared" si="980"/>
        <v>-766637.95409836015</v>
      </c>
      <c r="R514">
        <f t="shared" si="981"/>
        <v>-13886685.090731312</v>
      </c>
      <c r="S514">
        <f t="shared" si="982"/>
        <v>-138.86685090731311</v>
      </c>
      <c r="T514">
        <f t="shared" si="983"/>
        <v>-0.1388668509073131</v>
      </c>
    </row>
    <row r="515" spans="1:20" x14ac:dyDescent="0.25">
      <c r="A515" s="5">
        <v>44078</v>
      </c>
      <c r="B515">
        <v>0.72660000000000002</v>
      </c>
      <c r="C515">
        <v>0.7419</v>
      </c>
      <c r="D515">
        <v>0.65100000000000002</v>
      </c>
      <c r="E515">
        <v>0.69469999999999998</v>
      </c>
      <c r="F515">
        <v>1441791.87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-3.8503850385039159E-2</v>
      </c>
      <c r="Q515">
        <f t="shared" si="980"/>
        <v>-55514.538448845837</v>
      </c>
      <c r="R515">
        <f t="shared" si="981"/>
        <v>-13120047.136632951</v>
      </c>
      <c r="S515">
        <f t="shared" si="982"/>
        <v>-131.20047136632951</v>
      </c>
      <c r="T515">
        <f t="shared" si="983"/>
        <v>-0.13120047136632951</v>
      </c>
    </row>
    <row r="516" spans="1:20" x14ac:dyDescent="0.25">
      <c r="A516" s="5">
        <v>44077</v>
      </c>
      <c r="B516">
        <v>0.86880000000000002</v>
      </c>
      <c r="C516">
        <v>0.89759999999999995</v>
      </c>
      <c r="D516">
        <v>0.72009999999999996</v>
      </c>
      <c r="E516">
        <v>0.7298</v>
      </c>
      <c r="F516">
        <v>6875116.1600000001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-0.89070422535211224</v>
      </c>
      <c r="Q516">
        <f t="shared" si="980"/>
        <v>-6123695.0134985885</v>
      </c>
      <c r="R516">
        <f t="shared" si="981"/>
        <v>-13064532.598184105</v>
      </c>
      <c r="S516">
        <f t="shared" si="982"/>
        <v>-130.64532598184104</v>
      </c>
      <c r="T516">
        <f t="shared" si="983"/>
        <v>-0.13064532598184103</v>
      </c>
    </row>
    <row r="517" spans="1:20" x14ac:dyDescent="0.25">
      <c r="A517" s="5">
        <v>44076</v>
      </c>
      <c r="B517">
        <v>0.91290000000000004</v>
      </c>
      <c r="C517">
        <v>0.92600000000000005</v>
      </c>
      <c r="D517">
        <v>0.84</v>
      </c>
      <c r="E517">
        <v>0.86870000000000003</v>
      </c>
      <c r="F517">
        <v>4443638.67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-0.33255813953488295</v>
      </c>
      <c r="Q517">
        <f t="shared" si="980"/>
        <v>-1477768.2088604616</v>
      </c>
      <c r="R517">
        <f t="shared" si="981"/>
        <v>-6940837.5846855165</v>
      </c>
      <c r="S517">
        <f t="shared" si="982"/>
        <v>-69.408375846855165</v>
      </c>
      <c r="T517">
        <f t="shared" si="983"/>
        <v>-6.9408375846855164E-2</v>
      </c>
    </row>
    <row r="518" spans="1:20" x14ac:dyDescent="0.25">
      <c r="A518" s="5">
        <v>44075</v>
      </c>
      <c r="B518">
        <v>0.95209999999999995</v>
      </c>
      <c r="C518">
        <v>0.96779999999999999</v>
      </c>
      <c r="D518">
        <v>0.88460000000000005</v>
      </c>
      <c r="E518">
        <v>0.91269999999999996</v>
      </c>
      <c r="F518">
        <v>4416573.55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-0.32451923076923261</v>
      </c>
      <c r="Q518">
        <f t="shared" ref="Q518:Q581" si="985">F518*P518</f>
        <v>-1433263.0510817389</v>
      </c>
      <c r="R518">
        <f t="shared" ref="R518:R581" si="986">R519+Q518</f>
        <v>-5463069.3758250549</v>
      </c>
      <c r="S518">
        <f t="shared" ref="S518:S581" si="987">R518/100000</f>
        <v>-54.630693758250551</v>
      </c>
      <c r="T518">
        <f t="shared" ref="T518:T581" si="988">S518/1000</f>
        <v>-5.4630693758250554E-2</v>
      </c>
    </row>
    <row r="519" spans="1:20" x14ac:dyDescent="0.25">
      <c r="A519" s="5">
        <v>44074</v>
      </c>
      <c r="B519">
        <v>0.97170000000000001</v>
      </c>
      <c r="C519">
        <v>1.0189999999999999</v>
      </c>
      <c r="D519">
        <v>0.93859999999999999</v>
      </c>
      <c r="E519">
        <v>0.95169999999999999</v>
      </c>
      <c r="F519">
        <v>3589972.55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-0.6741293532338305</v>
      </c>
      <c r="Q519">
        <f t="shared" si="985"/>
        <v>-2420105.8732587053</v>
      </c>
      <c r="R519">
        <f t="shared" si="986"/>
        <v>-4029806.3247433156</v>
      </c>
      <c r="S519">
        <f t="shared" si="987"/>
        <v>-40.298063247433156</v>
      </c>
      <c r="T519">
        <f t="shared" si="988"/>
        <v>-4.0298063247433152E-2</v>
      </c>
    </row>
    <row r="520" spans="1:20" x14ac:dyDescent="0.25">
      <c r="A520" s="5">
        <v>44073</v>
      </c>
      <c r="B520">
        <v>0.95760000000000001</v>
      </c>
      <c r="C520">
        <v>0.98699999999999999</v>
      </c>
      <c r="D520">
        <v>0.93</v>
      </c>
      <c r="E520">
        <v>0.97230000000000005</v>
      </c>
      <c r="F520">
        <v>3269258.02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0.4842105263157912</v>
      </c>
      <c r="Q520">
        <f t="shared" si="985"/>
        <v>1583009.1465263215</v>
      </c>
      <c r="R520">
        <f t="shared" si="986"/>
        <v>-1609700.4514846101</v>
      </c>
      <c r="S520">
        <f t="shared" si="987"/>
        <v>-16.097004514846102</v>
      </c>
      <c r="T520">
        <f t="shared" si="988"/>
        <v>-1.6097004514846101E-2</v>
      </c>
    </row>
    <row r="521" spans="1:20" x14ac:dyDescent="0.25">
      <c r="A521" s="5">
        <v>44072</v>
      </c>
      <c r="B521">
        <v>1.0083</v>
      </c>
      <c r="C521">
        <v>1.0512999999999999</v>
      </c>
      <c r="D521">
        <v>0.94499999999999995</v>
      </c>
      <c r="E521">
        <v>0.95630000000000004</v>
      </c>
      <c r="F521">
        <v>2109511.77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-0.78739416745060975</v>
      </c>
      <c r="Q521">
        <f t="shared" si="985"/>
        <v>-1661017.2638664122</v>
      </c>
      <c r="R521">
        <f t="shared" si="986"/>
        <v>-3192709.5980109316</v>
      </c>
      <c r="S521">
        <f t="shared" si="987"/>
        <v>-31.927095980109318</v>
      </c>
      <c r="T521">
        <f t="shared" si="988"/>
        <v>-3.1927095980109316E-2</v>
      </c>
    </row>
    <row r="522" spans="1:20" x14ac:dyDescent="0.25">
      <c r="A522" s="5">
        <v>44071</v>
      </c>
      <c r="B522">
        <v>1.0139</v>
      </c>
      <c r="C522">
        <v>1.083</v>
      </c>
      <c r="D522">
        <v>0.98219999999999996</v>
      </c>
      <c r="E522">
        <v>1.008</v>
      </c>
      <c r="F522">
        <v>2674021.12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-0.48809523809523719</v>
      </c>
      <c r="Q522">
        <f t="shared" si="985"/>
        <v>-1305176.9752380929</v>
      </c>
      <c r="R522">
        <f t="shared" si="986"/>
        <v>-1531692.3341445194</v>
      </c>
      <c r="S522">
        <f t="shared" si="987"/>
        <v>-15.316923341445195</v>
      </c>
      <c r="T522">
        <f t="shared" si="988"/>
        <v>-1.5316923341445195E-2</v>
      </c>
    </row>
    <row r="523" spans="1:20" x14ac:dyDescent="0.25">
      <c r="A523" s="5">
        <v>44070</v>
      </c>
      <c r="B523">
        <v>0.89039999999999997</v>
      </c>
      <c r="C523">
        <v>1.0633999999999999</v>
      </c>
      <c r="D523">
        <v>0.86509999999999998</v>
      </c>
      <c r="E523">
        <v>1.0136000000000001</v>
      </c>
      <c r="F523">
        <v>5767663.6399999997</v>
      </c>
      <c r="G523">
        <v>0</v>
      </c>
      <c r="L523" t="s">
        <v>8</v>
      </c>
      <c r="M523" t="s">
        <v>8</v>
      </c>
      <c r="N523" t="s">
        <v>7</v>
      </c>
      <c r="P523">
        <f t="shared" si="984"/>
        <v>0.49773071104387429</v>
      </c>
      <c r="Q523">
        <f t="shared" si="985"/>
        <v>2870743.3245990998</v>
      </c>
      <c r="R523">
        <f t="shared" si="986"/>
        <v>-226515.35890642647</v>
      </c>
      <c r="S523">
        <f t="shared" si="987"/>
        <v>-2.2651535890642647</v>
      </c>
      <c r="T523">
        <f t="shared" si="988"/>
        <v>-2.2651535890642646E-3</v>
      </c>
    </row>
    <row r="524" spans="1:20" x14ac:dyDescent="0.25">
      <c r="A524" s="5">
        <v>44069</v>
      </c>
      <c r="B524">
        <v>0.87370000000000003</v>
      </c>
      <c r="C524">
        <v>0.90859999999999996</v>
      </c>
      <c r="D524">
        <v>0.8508</v>
      </c>
      <c r="E524">
        <v>0.89039999999999997</v>
      </c>
      <c r="F524">
        <v>636000.82999999996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0.37024221453287176</v>
      </c>
      <c r="Q524">
        <f t="shared" si="985"/>
        <v>235474.3557439445</v>
      </c>
      <c r="R524">
        <f t="shared" si="986"/>
        <v>-3097258.6835055263</v>
      </c>
      <c r="S524">
        <f t="shared" si="987"/>
        <v>-30.972586835055264</v>
      </c>
      <c r="T524">
        <f t="shared" si="988"/>
        <v>-3.0972586835055264E-2</v>
      </c>
    </row>
    <row r="525" spans="1:20" x14ac:dyDescent="0.25">
      <c r="A525" s="5">
        <v>44068</v>
      </c>
      <c r="B525">
        <v>0.89929999999999999</v>
      </c>
      <c r="C525">
        <v>0.92730000000000001</v>
      </c>
      <c r="D525">
        <v>0.82499999999999996</v>
      </c>
      <c r="E525">
        <v>0.87590000000000001</v>
      </c>
      <c r="F525">
        <v>950363.3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-4.8875855327462818E-3</v>
      </c>
      <c r="Q525">
        <f t="shared" si="985"/>
        <v>-4644.9819159330145</v>
      </c>
      <c r="R525">
        <f t="shared" si="986"/>
        <v>-3332733.0392494709</v>
      </c>
      <c r="S525">
        <f t="shared" si="987"/>
        <v>-33.327330392494709</v>
      </c>
      <c r="T525">
        <f t="shared" si="988"/>
        <v>-3.3327330392494706E-2</v>
      </c>
    </row>
    <row r="526" spans="1:20" x14ac:dyDescent="0.25">
      <c r="A526" s="5">
        <v>44067</v>
      </c>
      <c r="B526">
        <v>0.9234</v>
      </c>
      <c r="C526">
        <v>0.94640000000000002</v>
      </c>
      <c r="D526">
        <v>0.88880000000000003</v>
      </c>
      <c r="E526">
        <v>0.90349999999999997</v>
      </c>
      <c r="F526">
        <v>920875.7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-0.48958333333333542</v>
      </c>
      <c r="Q526">
        <f t="shared" si="985"/>
        <v>-450845.39479166857</v>
      </c>
      <c r="R526">
        <f t="shared" si="986"/>
        <v>-3328088.0573335378</v>
      </c>
      <c r="S526">
        <f t="shared" si="987"/>
        <v>-33.280880573335381</v>
      </c>
      <c r="T526">
        <f t="shared" si="988"/>
        <v>-3.3280880573335378E-2</v>
      </c>
    </row>
    <row r="527" spans="1:20" x14ac:dyDescent="0.25">
      <c r="A527" s="5">
        <v>44066</v>
      </c>
      <c r="B527">
        <v>0.89600000000000002</v>
      </c>
      <c r="C527">
        <v>0.95109999999999995</v>
      </c>
      <c r="D527">
        <v>0.88109999999999999</v>
      </c>
      <c r="E527">
        <v>0.92310000000000003</v>
      </c>
      <c r="F527">
        <v>970028.76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0.2000000000000019</v>
      </c>
      <c r="Q527">
        <f t="shared" si="985"/>
        <v>194005.75200000184</v>
      </c>
      <c r="R527">
        <f t="shared" si="986"/>
        <v>-2877242.6625418691</v>
      </c>
      <c r="S527">
        <f t="shared" si="987"/>
        <v>-28.772426625418692</v>
      </c>
      <c r="T527">
        <f t="shared" si="988"/>
        <v>-2.8772426625418693E-2</v>
      </c>
    </row>
    <row r="528" spans="1:20" x14ac:dyDescent="0.25">
      <c r="A528" s="5">
        <v>44065</v>
      </c>
      <c r="B528">
        <v>0.82989999999999997</v>
      </c>
      <c r="C528">
        <v>0.92500000000000004</v>
      </c>
      <c r="D528">
        <v>0.81299999999999994</v>
      </c>
      <c r="E528">
        <v>0.89659999999999995</v>
      </c>
      <c r="F528">
        <v>1035875.88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0.49285714285714166</v>
      </c>
      <c r="Q528">
        <f t="shared" si="985"/>
        <v>510538.82657142734</v>
      </c>
      <c r="R528">
        <f t="shared" si="986"/>
        <v>-3071248.4145418708</v>
      </c>
      <c r="S528">
        <f t="shared" si="987"/>
        <v>-30.71248414541871</v>
      </c>
      <c r="T528">
        <f t="shared" si="988"/>
        <v>-3.071248414541871E-2</v>
      </c>
    </row>
    <row r="529" spans="1:20" x14ac:dyDescent="0.25">
      <c r="A529" s="5">
        <v>44064</v>
      </c>
      <c r="B529">
        <v>0.90690000000000004</v>
      </c>
      <c r="C529">
        <v>0.95099999999999996</v>
      </c>
      <c r="D529">
        <v>0.82630000000000003</v>
      </c>
      <c r="E529">
        <v>0.82909999999999995</v>
      </c>
      <c r="F529">
        <v>1581639.57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-0.9550922213311962</v>
      </c>
      <c r="Q529">
        <f t="shared" si="985"/>
        <v>-1510611.6502566182</v>
      </c>
      <c r="R529">
        <f t="shared" si="986"/>
        <v>-3581787.2411132981</v>
      </c>
      <c r="S529">
        <f t="shared" si="987"/>
        <v>-35.817872411132981</v>
      </c>
      <c r="T529">
        <f t="shared" si="988"/>
        <v>-3.5817872411132982E-2</v>
      </c>
    </row>
    <row r="530" spans="1:20" x14ac:dyDescent="0.25">
      <c r="A530" s="5">
        <v>44063</v>
      </c>
      <c r="B530">
        <v>0.88200000000000001</v>
      </c>
      <c r="C530">
        <v>0.95899999999999996</v>
      </c>
      <c r="D530">
        <v>0.87329999999999997</v>
      </c>
      <c r="E530">
        <v>0.91069999999999995</v>
      </c>
      <c r="F530">
        <v>1307930.75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-0.12718786464410758</v>
      </c>
      <c r="Q530">
        <f t="shared" si="985"/>
        <v>-166352.91919486612</v>
      </c>
      <c r="R530">
        <f t="shared" si="986"/>
        <v>-2071175.5908566799</v>
      </c>
      <c r="S530">
        <f t="shared" si="987"/>
        <v>-20.711755908566801</v>
      </c>
      <c r="T530">
        <f t="shared" si="988"/>
        <v>-2.07117559085668E-2</v>
      </c>
    </row>
    <row r="531" spans="1:20" x14ac:dyDescent="0.25">
      <c r="A531" s="5">
        <v>44062</v>
      </c>
      <c r="B531">
        <v>1.0566</v>
      </c>
      <c r="C531">
        <v>1.0623</v>
      </c>
      <c r="D531">
        <v>0.84019999999999995</v>
      </c>
      <c r="E531">
        <v>0.8841</v>
      </c>
      <c r="F531">
        <v>2506820.83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-0.60468257541647874</v>
      </c>
      <c r="Q531">
        <f t="shared" si="985"/>
        <v>-1515830.8755920748</v>
      </c>
      <c r="R531">
        <f t="shared" si="986"/>
        <v>-1904822.6716618137</v>
      </c>
      <c r="S531">
        <f t="shared" si="987"/>
        <v>-19.048226716618139</v>
      </c>
      <c r="T531">
        <f t="shared" si="988"/>
        <v>-1.9048226716618138E-2</v>
      </c>
    </row>
    <row r="532" spans="1:20" x14ac:dyDescent="0.25">
      <c r="A532" s="5">
        <v>44061</v>
      </c>
      <c r="B532">
        <v>1.0358000000000001</v>
      </c>
      <c r="C532">
        <v>1.0736000000000001</v>
      </c>
      <c r="D532">
        <v>0.92030000000000001</v>
      </c>
      <c r="E532">
        <v>1.0623</v>
      </c>
      <c r="F532">
        <v>2788786.08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0.85257664709719405</v>
      </c>
      <c r="Q532">
        <f t="shared" si="985"/>
        <v>2377653.8855577274</v>
      </c>
      <c r="R532">
        <f t="shared" si="986"/>
        <v>-388991.79606973892</v>
      </c>
      <c r="S532">
        <f t="shared" si="987"/>
        <v>-3.8899179606973893</v>
      </c>
      <c r="T532">
        <f t="shared" si="988"/>
        <v>-3.8899179606973894E-3</v>
      </c>
    </row>
    <row r="533" spans="1:20" x14ac:dyDescent="0.25">
      <c r="A533" s="5">
        <v>44060</v>
      </c>
      <c r="B533">
        <v>1.143</v>
      </c>
      <c r="C533">
        <v>1.1883999999999999</v>
      </c>
      <c r="D533">
        <v>1.0206999999999999</v>
      </c>
      <c r="E533">
        <v>1.0419</v>
      </c>
      <c r="F533">
        <v>2249190.17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-0.7471675611210481</v>
      </c>
      <c r="Q533">
        <f t="shared" si="985"/>
        <v>-1680521.9338163354</v>
      </c>
      <c r="R533">
        <f t="shared" si="986"/>
        <v>-2766645.6816274663</v>
      </c>
      <c r="S533">
        <f t="shared" si="987"/>
        <v>-27.666456816274664</v>
      </c>
      <c r="T533">
        <f t="shared" si="988"/>
        <v>-2.7666456816274665E-2</v>
      </c>
    </row>
    <row r="534" spans="1:20" x14ac:dyDescent="0.25">
      <c r="A534" s="5">
        <v>44059</v>
      </c>
      <c r="B534">
        <v>1.1413</v>
      </c>
      <c r="C534">
        <v>1.1798999999999999</v>
      </c>
      <c r="D534">
        <v>1.1157999999999999</v>
      </c>
      <c r="E534">
        <v>1.1458999999999999</v>
      </c>
      <c r="F534">
        <v>1227681.8700000001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-6.0842433697348076E-2</v>
      </c>
      <c r="Q534">
        <f t="shared" si="985"/>
        <v>-74695.152776911302</v>
      </c>
      <c r="R534">
        <f t="shared" si="986"/>
        <v>-1086123.7478111312</v>
      </c>
      <c r="S534">
        <f t="shared" si="987"/>
        <v>-10.861237478111311</v>
      </c>
      <c r="T534">
        <f t="shared" si="988"/>
        <v>-1.0861237478111312E-2</v>
      </c>
    </row>
    <row r="535" spans="1:20" x14ac:dyDescent="0.25">
      <c r="A535" s="5">
        <v>44058</v>
      </c>
      <c r="B535">
        <v>1.2259</v>
      </c>
      <c r="C535">
        <v>1.2486999999999999</v>
      </c>
      <c r="D535">
        <v>1.1099000000000001</v>
      </c>
      <c r="E535">
        <v>1.1436999999999999</v>
      </c>
      <c r="F535">
        <v>1951693.92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-0.51296829971181734</v>
      </c>
      <c r="Q535">
        <f t="shared" si="985"/>
        <v>-1001157.1117002916</v>
      </c>
      <c r="R535">
        <f t="shared" si="986"/>
        <v>-1011428.5950342198</v>
      </c>
      <c r="S535">
        <f t="shared" si="987"/>
        <v>-10.114285950342198</v>
      </c>
      <c r="T535">
        <f t="shared" si="988"/>
        <v>-1.0114285950342198E-2</v>
      </c>
    </row>
    <row r="536" spans="1:20" x14ac:dyDescent="0.25">
      <c r="A536" s="5">
        <v>44057</v>
      </c>
      <c r="B536">
        <v>1.2163999999999999</v>
      </c>
      <c r="C536">
        <v>1.26</v>
      </c>
      <c r="D536">
        <v>1.2035</v>
      </c>
      <c r="E536">
        <v>1.2262</v>
      </c>
      <c r="F536">
        <v>1543621.13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-0.1964601769911524</v>
      </c>
      <c r="Q536">
        <f t="shared" si="985"/>
        <v>-303260.08040708263</v>
      </c>
      <c r="R536">
        <f t="shared" si="986"/>
        <v>-10271.483333928103</v>
      </c>
      <c r="S536">
        <f t="shared" si="987"/>
        <v>-0.10271483333928103</v>
      </c>
      <c r="T536">
        <f t="shared" si="988"/>
        <v>-1.0271483333928102E-4</v>
      </c>
    </row>
    <row r="537" spans="1:20" x14ac:dyDescent="0.25">
      <c r="A537" s="5">
        <v>44056</v>
      </c>
      <c r="B537">
        <v>1.2798</v>
      </c>
      <c r="C537">
        <v>1.3949</v>
      </c>
      <c r="D537">
        <v>1.1950000000000001</v>
      </c>
      <c r="E537">
        <v>1.2163999999999999</v>
      </c>
      <c r="F537">
        <v>4107233.32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-0.78589294647323793</v>
      </c>
      <c r="Q537">
        <f t="shared" si="985"/>
        <v>-3227845.695707859</v>
      </c>
      <c r="R537">
        <f t="shared" si="986"/>
        <v>292988.59707315452</v>
      </c>
      <c r="S537">
        <f t="shared" si="987"/>
        <v>2.9298859707315454</v>
      </c>
      <c r="T537">
        <f t="shared" si="988"/>
        <v>2.9298859707315456E-3</v>
      </c>
    </row>
    <row r="538" spans="1:20" x14ac:dyDescent="0.25">
      <c r="A538" s="5">
        <v>44055</v>
      </c>
      <c r="B538">
        <v>1.2152000000000001</v>
      </c>
      <c r="C538">
        <v>1.3</v>
      </c>
      <c r="D538">
        <v>1.1120000000000001</v>
      </c>
      <c r="E538">
        <v>1.276</v>
      </c>
      <c r="F538">
        <v>1990837.04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0.74468085106382953</v>
      </c>
      <c r="Q538">
        <f t="shared" si="985"/>
        <v>1482538.2212765953</v>
      </c>
      <c r="R538">
        <f t="shared" si="986"/>
        <v>3520834.2927810135</v>
      </c>
      <c r="S538">
        <f t="shared" si="987"/>
        <v>35.208342927810136</v>
      </c>
      <c r="T538">
        <f t="shared" si="988"/>
        <v>3.5208342927810138E-2</v>
      </c>
    </row>
    <row r="539" spans="1:20" x14ac:dyDescent="0.25">
      <c r="A539" s="5">
        <v>44054</v>
      </c>
      <c r="B539">
        <v>1.24</v>
      </c>
      <c r="C539">
        <v>1.2746999999999999</v>
      </c>
      <c r="D539">
        <v>1.1758999999999999</v>
      </c>
      <c r="E539">
        <v>1.2152000000000001</v>
      </c>
      <c r="F539">
        <v>1612426.06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-0.20445344129554427</v>
      </c>
      <c r="Q539">
        <f t="shared" si="985"/>
        <v>-329666.05680161575</v>
      </c>
      <c r="R539">
        <f t="shared" si="986"/>
        <v>2038296.0715044183</v>
      </c>
      <c r="S539">
        <f t="shared" si="987"/>
        <v>20.382960715044184</v>
      </c>
      <c r="T539">
        <f t="shared" si="988"/>
        <v>2.0382960715044186E-2</v>
      </c>
    </row>
    <row r="540" spans="1:20" x14ac:dyDescent="0.25">
      <c r="A540" s="5">
        <v>44053</v>
      </c>
      <c r="B540">
        <v>1.2851999999999999</v>
      </c>
      <c r="C540">
        <v>1.2878000000000001</v>
      </c>
      <c r="D540">
        <v>1.2</v>
      </c>
      <c r="E540">
        <v>1.24</v>
      </c>
      <c r="F540">
        <v>1603803.27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-8.8838268792710937E-2</v>
      </c>
      <c r="Q540">
        <f t="shared" si="985"/>
        <v>-142479.10599088875</v>
      </c>
      <c r="R540">
        <f t="shared" si="986"/>
        <v>2367962.128306034</v>
      </c>
      <c r="S540">
        <f t="shared" si="987"/>
        <v>23.679621283060339</v>
      </c>
      <c r="T540">
        <f t="shared" si="988"/>
        <v>2.367962128306034E-2</v>
      </c>
    </row>
    <row r="541" spans="1:20" x14ac:dyDescent="0.25">
      <c r="A541" s="5">
        <v>44052</v>
      </c>
      <c r="B541">
        <v>1.2698</v>
      </c>
      <c r="C541">
        <v>1.3459000000000001</v>
      </c>
      <c r="D541">
        <v>1.2274</v>
      </c>
      <c r="E541">
        <v>1.2834000000000001</v>
      </c>
      <c r="F541">
        <v>2143582.6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-5.4852320675105044E-2</v>
      </c>
      <c r="Q541">
        <f t="shared" si="985"/>
        <v>-117580.48016877544</v>
      </c>
      <c r="R541">
        <f t="shared" si="986"/>
        <v>2510441.2342969226</v>
      </c>
      <c r="S541">
        <f t="shared" si="987"/>
        <v>25.104412342969226</v>
      </c>
      <c r="T541">
        <f t="shared" si="988"/>
        <v>2.5104412342969225E-2</v>
      </c>
    </row>
    <row r="542" spans="1:20" x14ac:dyDescent="0.25">
      <c r="A542" s="5">
        <v>44051</v>
      </c>
      <c r="B542">
        <v>1.3240000000000001</v>
      </c>
      <c r="C542">
        <v>1.3559000000000001</v>
      </c>
      <c r="D542">
        <v>1.242</v>
      </c>
      <c r="E542">
        <v>1.27</v>
      </c>
      <c r="F542">
        <v>1777489.78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-0.50834064969271298</v>
      </c>
      <c r="Q542">
        <f t="shared" si="985"/>
        <v>-903570.30958735745</v>
      </c>
      <c r="R542">
        <f t="shared" si="986"/>
        <v>2628021.7144656982</v>
      </c>
      <c r="S542">
        <f t="shared" si="987"/>
        <v>26.280217144656984</v>
      </c>
      <c r="T542">
        <f t="shared" si="988"/>
        <v>2.6280217144656982E-2</v>
      </c>
    </row>
    <row r="543" spans="1:20" x14ac:dyDescent="0.25">
      <c r="A543" s="5">
        <v>44050</v>
      </c>
      <c r="B543">
        <v>1.2408999999999999</v>
      </c>
      <c r="C543">
        <v>1.3411999999999999</v>
      </c>
      <c r="D543">
        <v>1.2355</v>
      </c>
      <c r="E543">
        <v>1.3240000000000001</v>
      </c>
      <c r="F543">
        <v>2474259.37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0.67455061494796786</v>
      </c>
      <c r="Q543">
        <f t="shared" si="985"/>
        <v>1669013.1795742717</v>
      </c>
      <c r="R543">
        <f t="shared" si="986"/>
        <v>3531592.0240530558</v>
      </c>
      <c r="S543">
        <f t="shared" si="987"/>
        <v>35.315920240530559</v>
      </c>
      <c r="T543">
        <f t="shared" si="988"/>
        <v>3.5315920240530561E-2</v>
      </c>
    </row>
    <row r="544" spans="1:20" x14ac:dyDescent="0.25">
      <c r="A544" s="5">
        <v>44049</v>
      </c>
      <c r="B544">
        <v>1.2146999999999999</v>
      </c>
      <c r="C544">
        <v>1.321</v>
      </c>
      <c r="D544">
        <v>1.2050000000000001</v>
      </c>
      <c r="E544">
        <v>1.2467999999999999</v>
      </c>
      <c r="F544">
        <v>2285351.73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-0.27931034482758826</v>
      </c>
      <c r="Q544">
        <f t="shared" si="985"/>
        <v>-638322.37975862541</v>
      </c>
      <c r="R544">
        <f t="shared" si="986"/>
        <v>1862578.8444787841</v>
      </c>
      <c r="S544">
        <f t="shared" si="987"/>
        <v>18.62578844478784</v>
      </c>
      <c r="T544">
        <f t="shared" si="988"/>
        <v>1.8625788444787839E-2</v>
      </c>
    </row>
    <row r="545" spans="1:20" x14ac:dyDescent="0.25">
      <c r="A545" s="5">
        <v>44048</v>
      </c>
      <c r="B545">
        <v>1.2063999999999999</v>
      </c>
      <c r="C545">
        <v>1.284</v>
      </c>
      <c r="D545">
        <v>1.194</v>
      </c>
      <c r="E545">
        <v>1.2202</v>
      </c>
      <c r="F545">
        <v>1273923.49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-0.41777777777777825</v>
      </c>
      <c r="Q545">
        <f t="shared" si="985"/>
        <v>-532216.9247111117</v>
      </c>
      <c r="R545">
        <f t="shared" si="986"/>
        <v>2500901.2242374094</v>
      </c>
      <c r="S545">
        <f t="shared" si="987"/>
        <v>25.009012242374094</v>
      </c>
      <c r="T545">
        <f t="shared" si="988"/>
        <v>2.5009012242374094E-2</v>
      </c>
    </row>
    <row r="546" spans="1:20" x14ac:dyDescent="0.25">
      <c r="A546" s="5">
        <v>44047</v>
      </c>
      <c r="B546">
        <v>1.2070000000000001</v>
      </c>
      <c r="C546">
        <v>1.296</v>
      </c>
      <c r="D546">
        <v>1.1819999999999999</v>
      </c>
      <c r="E546">
        <v>1.2030000000000001</v>
      </c>
      <c r="F546">
        <v>1642360.48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-0.63157894736841913</v>
      </c>
      <c r="Q546">
        <f t="shared" si="985"/>
        <v>-1037280.3031578916</v>
      </c>
      <c r="R546">
        <f t="shared" si="986"/>
        <v>3033118.1489485214</v>
      </c>
      <c r="S546">
        <f t="shared" si="987"/>
        <v>30.331181489485214</v>
      </c>
      <c r="T546">
        <f t="shared" si="988"/>
        <v>3.0331181489485215E-2</v>
      </c>
    </row>
    <row r="547" spans="1:20" x14ac:dyDescent="0.25">
      <c r="A547" s="5">
        <v>44046</v>
      </c>
      <c r="B547">
        <v>1.1465000000000001</v>
      </c>
      <c r="C547">
        <v>1.248</v>
      </c>
      <c r="D547">
        <v>1.1064000000000001</v>
      </c>
      <c r="E547">
        <v>1.2103999999999999</v>
      </c>
      <c r="F547">
        <v>1511987.71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0.46892655367231512</v>
      </c>
      <c r="Q547">
        <f t="shared" si="985"/>
        <v>709011.18604519579</v>
      </c>
      <c r="R547">
        <f t="shared" si="986"/>
        <v>4070398.452106413</v>
      </c>
      <c r="S547">
        <f t="shared" si="987"/>
        <v>40.703984521064129</v>
      </c>
      <c r="T547">
        <f t="shared" si="988"/>
        <v>4.0703984521064128E-2</v>
      </c>
    </row>
    <row r="548" spans="1:20" x14ac:dyDescent="0.25">
      <c r="A548" s="5">
        <v>44045</v>
      </c>
      <c r="B548">
        <v>1.0971</v>
      </c>
      <c r="C548">
        <v>1.1679999999999999</v>
      </c>
      <c r="D548">
        <v>1.05</v>
      </c>
      <c r="E548">
        <v>1.1472</v>
      </c>
      <c r="F548">
        <v>1230592.3899999999</v>
      </c>
      <c r="G548">
        <v>0</v>
      </c>
      <c r="L548" t="s">
        <v>8</v>
      </c>
      <c r="M548" t="s">
        <v>7</v>
      </c>
      <c r="N548" t="s">
        <v>8</v>
      </c>
      <c r="P548">
        <f t="shared" si="984"/>
        <v>0.64745762711864496</v>
      </c>
      <c r="Q548">
        <f t="shared" si="985"/>
        <v>796756.428779662</v>
      </c>
      <c r="R548">
        <f t="shared" si="986"/>
        <v>3361387.2660612171</v>
      </c>
      <c r="S548">
        <f t="shared" si="987"/>
        <v>33.613872660612174</v>
      </c>
      <c r="T548">
        <f t="shared" si="988"/>
        <v>3.3613872660612172E-2</v>
      </c>
    </row>
    <row r="549" spans="1:20" x14ac:dyDescent="0.25">
      <c r="A549" s="5">
        <v>44044</v>
      </c>
      <c r="B549">
        <v>1.1812</v>
      </c>
      <c r="C549">
        <v>1.2056</v>
      </c>
      <c r="D549">
        <v>1.0367</v>
      </c>
      <c r="E549">
        <v>1.1022000000000001</v>
      </c>
      <c r="F549">
        <v>2373787.4300000002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-0.22439313203078634</v>
      </c>
      <c r="Q549">
        <f t="shared" si="985"/>
        <v>-532661.59619301104</v>
      </c>
      <c r="R549">
        <f t="shared" si="986"/>
        <v>2564630.8372815549</v>
      </c>
      <c r="S549">
        <f t="shared" si="987"/>
        <v>25.64630837281555</v>
      </c>
      <c r="T549">
        <f t="shared" si="988"/>
        <v>2.5646308372815549E-2</v>
      </c>
    </row>
    <row r="550" spans="1:20" x14ac:dyDescent="0.25">
      <c r="A550" s="5">
        <v>44043</v>
      </c>
      <c r="B550">
        <v>1.2125999999999999</v>
      </c>
      <c r="C550">
        <v>1.3030999999999999</v>
      </c>
      <c r="D550">
        <v>1.1529</v>
      </c>
      <c r="E550">
        <v>1.1815</v>
      </c>
      <c r="F550">
        <v>2186439.92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-0.61917443408788309</v>
      </c>
      <c r="Q550">
        <f t="shared" si="985"/>
        <v>-1353787.7001331563</v>
      </c>
      <c r="R550">
        <f t="shared" si="986"/>
        <v>3097292.4334745659</v>
      </c>
      <c r="S550">
        <f t="shared" si="987"/>
        <v>30.97292433474566</v>
      </c>
      <c r="T550">
        <f t="shared" si="988"/>
        <v>3.0972924334745661E-2</v>
      </c>
    </row>
    <row r="551" spans="1:20" x14ac:dyDescent="0.25">
      <c r="A551" s="5">
        <v>44042</v>
      </c>
      <c r="B551">
        <v>1.2593000000000001</v>
      </c>
      <c r="C551">
        <v>1.3194999999999999</v>
      </c>
      <c r="D551">
        <v>1.1974</v>
      </c>
      <c r="E551">
        <v>1.2125999999999999</v>
      </c>
      <c r="F551">
        <v>1412043.15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-0.75102375102375274</v>
      </c>
      <c r="Q551">
        <f t="shared" si="985"/>
        <v>-1060477.9431203955</v>
      </c>
      <c r="R551">
        <f t="shared" si="986"/>
        <v>4451080.1336077219</v>
      </c>
      <c r="S551">
        <f t="shared" si="987"/>
        <v>44.510801336077222</v>
      </c>
      <c r="T551">
        <f t="shared" si="988"/>
        <v>4.4510801336077224E-2</v>
      </c>
    </row>
    <row r="552" spans="1:20" x14ac:dyDescent="0.25">
      <c r="A552" s="5">
        <v>44041</v>
      </c>
      <c r="B552">
        <v>1.17</v>
      </c>
      <c r="C552">
        <v>1.4</v>
      </c>
      <c r="D552">
        <v>1.1279999999999999</v>
      </c>
      <c r="E552">
        <v>1.2588999999999999</v>
      </c>
      <c r="F552">
        <v>2852649.92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-3.749999999999995E-2</v>
      </c>
      <c r="Q552">
        <f t="shared" si="985"/>
        <v>-106974.37199999986</v>
      </c>
      <c r="R552">
        <f t="shared" si="986"/>
        <v>5511558.0767281177</v>
      </c>
      <c r="S552">
        <f t="shared" si="987"/>
        <v>55.115580767281173</v>
      </c>
      <c r="T552">
        <f t="shared" si="988"/>
        <v>5.5115580767281173E-2</v>
      </c>
    </row>
    <row r="553" spans="1:20" x14ac:dyDescent="0.25">
      <c r="A553" s="5">
        <v>44040</v>
      </c>
      <c r="B553">
        <v>1.0503</v>
      </c>
      <c r="C553">
        <v>1.2649999999999999</v>
      </c>
      <c r="D553">
        <v>1.0121</v>
      </c>
      <c r="E553">
        <v>1.17</v>
      </c>
      <c r="F553">
        <v>2072196.81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0.24871490707789631</v>
      </c>
      <c r="Q553">
        <f t="shared" si="985"/>
        <v>515386.23704626318</v>
      </c>
      <c r="R553">
        <f t="shared" si="986"/>
        <v>5618532.4487281172</v>
      </c>
      <c r="S553">
        <f t="shared" si="987"/>
        <v>56.185324487281171</v>
      </c>
      <c r="T553">
        <f t="shared" si="988"/>
        <v>5.6185324487281169E-2</v>
      </c>
    </row>
    <row r="554" spans="1:20" x14ac:dyDescent="0.25">
      <c r="A554" s="5">
        <v>44039</v>
      </c>
      <c r="B554">
        <v>1.1138999999999999</v>
      </c>
      <c r="C554">
        <v>1.1478999999999999</v>
      </c>
      <c r="D554">
        <v>0.86</v>
      </c>
      <c r="E554">
        <v>1.0495000000000001</v>
      </c>
      <c r="F554">
        <v>3438674.87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0.31642931573463118</v>
      </c>
      <c r="Q554">
        <f t="shared" si="985"/>
        <v>1088097.5361479719</v>
      </c>
      <c r="R554">
        <f t="shared" si="986"/>
        <v>5103146.211681854</v>
      </c>
      <c r="S554">
        <f t="shared" si="987"/>
        <v>51.031462116818538</v>
      </c>
      <c r="T554">
        <f t="shared" si="988"/>
        <v>5.1031462116818541E-2</v>
      </c>
    </row>
    <row r="555" spans="1:20" x14ac:dyDescent="0.25">
      <c r="A555" s="5">
        <v>44038</v>
      </c>
      <c r="B555">
        <v>1.1669</v>
      </c>
      <c r="C555">
        <v>1.1823999999999999</v>
      </c>
      <c r="D555">
        <v>1.0349999999999999</v>
      </c>
      <c r="E555">
        <v>1.1100000000000001</v>
      </c>
      <c r="F555">
        <v>2472148.4300000002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1.7639077340572459E-2</v>
      </c>
      <c r="Q555">
        <f t="shared" si="985"/>
        <v>43606.417354144782</v>
      </c>
      <c r="R555">
        <f t="shared" si="986"/>
        <v>4015048.6755338823</v>
      </c>
      <c r="S555">
        <f t="shared" si="987"/>
        <v>40.150486755338825</v>
      </c>
      <c r="T555">
        <f t="shared" si="988"/>
        <v>4.0150486755338825E-2</v>
      </c>
    </row>
    <row r="556" spans="1:20" x14ac:dyDescent="0.25">
      <c r="A556" s="5">
        <v>44037</v>
      </c>
      <c r="B556">
        <v>1.2862</v>
      </c>
      <c r="C556">
        <v>1.3015000000000001</v>
      </c>
      <c r="D556">
        <v>1.1432</v>
      </c>
      <c r="E556">
        <v>1.167</v>
      </c>
      <c r="F556">
        <v>1945208.24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-0.69930511686670849</v>
      </c>
      <c r="Q556">
        <f t="shared" si="985"/>
        <v>-1360294.0756032844</v>
      </c>
      <c r="R556">
        <f t="shared" si="986"/>
        <v>3971442.2581797377</v>
      </c>
      <c r="S556">
        <f t="shared" si="987"/>
        <v>39.714422581797379</v>
      </c>
      <c r="T556">
        <f t="shared" si="988"/>
        <v>3.971442258179738E-2</v>
      </c>
    </row>
    <row r="557" spans="1:20" x14ac:dyDescent="0.25">
      <c r="A557" s="5">
        <v>44036</v>
      </c>
      <c r="B557">
        <v>1.2495000000000001</v>
      </c>
      <c r="C557">
        <v>1.3129999999999999</v>
      </c>
      <c r="D557">
        <v>1.2107000000000001</v>
      </c>
      <c r="E557">
        <v>1.286</v>
      </c>
      <c r="F557">
        <v>2056591.07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0.47214076246334397</v>
      </c>
      <c r="Q557">
        <f t="shared" si="985"/>
        <v>971000.47586510447</v>
      </c>
      <c r="R557">
        <f t="shared" si="986"/>
        <v>5331736.3337830221</v>
      </c>
      <c r="S557">
        <f t="shared" si="987"/>
        <v>53.317363337830223</v>
      </c>
      <c r="T557">
        <f t="shared" si="988"/>
        <v>5.3317363337830222E-2</v>
      </c>
    </row>
    <row r="558" spans="1:20" x14ac:dyDescent="0.25">
      <c r="A558" s="5">
        <v>44035</v>
      </c>
      <c r="B558">
        <v>1.1361000000000001</v>
      </c>
      <c r="C558">
        <v>1.2849999999999999</v>
      </c>
      <c r="D558">
        <v>1.0903</v>
      </c>
      <c r="E558">
        <v>1.2518</v>
      </c>
      <c r="F558">
        <v>3436673.76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0.65896250642013443</v>
      </c>
      <c r="Q558">
        <f t="shared" si="985"/>
        <v>2264639.1546379072</v>
      </c>
      <c r="R558">
        <f t="shared" si="986"/>
        <v>4360735.8579179179</v>
      </c>
      <c r="S558">
        <f t="shared" si="987"/>
        <v>43.607358579179177</v>
      </c>
      <c r="T558">
        <f t="shared" si="988"/>
        <v>4.3607358579179176E-2</v>
      </c>
    </row>
    <row r="559" spans="1:20" x14ac:dyDescent="0.25">
      <c r="A559" s="5">
        <v>44034</v>
      </c>
      <c r="B559">
        <v>1.01</v>
      </c>
      <c r="C559">
        <v>1.21</v>
      </c>
      <c r="D559">
        <v>1.01</v>
      </c>
      <c r="E559">
        <v>1.1357999999999999</v>
      </c>
      <c r="F559">
        <v>3922656.86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0.2579999999999994</v>
      </c>
      <c r="Q559">
        <f t="shared" si="985"/>
        <v>1012045.4698799975</v>
      </c>
      <c r="R559">
        <f t="shared" si="986"/>
        <v>2096096.7032800112</v>
      </c>
      <c r="S559">
        <f t="shared" si="987"/>
        <v>20.960967032800113</v>
      </c>
      <c r="T559">
        <f t="shared" si="988"/>
        <v>2.0960967032800114E-2</v>
      </c>
    </row>
    <row r="560" spans="1:20" x14ac:dyDescent="0.25">
      <c r="A560" s="5">
        <v>44033</v>
      </c>
      <c r="B560">
        <v>1.0081</v>
      </c>
      <c r="C560">
        <v>1.0587</v>
      </c>
      <c r="D560">
        <v>0.92849999999999999</v>
      </c>
      <c r="E560">
        <v>1.0124</v>
      </c>
      <c r="F560">
        <v>3154127.71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0.2887864823348692</v>
      </c>
      <c r="Q560">
        <f t="shared" si="985"/>
        <v>910869.44620583637</v>
      </c>
      <c r="R560">
        <f t="shared" si="986"/>
        <v>1084051.2334000138</v>
      </c>
      <c r="S560">
        <f t="shared" si="987"/>
        <v>10.840512334000138</v>
      </c>
      <c r="T560">
        <f t="shared" si="988"/>
        <v>1.0840512334000138E-2</v>
      </c>
    </row>
    <row r="561" spans="1:104" x14ac:dyDescent="0.25">
      <c r="A561" s="5">
        <v>44032</v>
      </c>
      <c r="B561">
        <v>0.87229999999999996</v>
      </c>
      <c r="C561">
        <v>1.089</v>
      </c>
      <c r="D561">
        <v>0.84640000000000004</v>
      </c>
      <c r="E561">
        <v>1.0038</v>
      </c>
      <c r="F561">
        <v>6962964.5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0.29760923330585354</v>
      </c>
      <c r="Q561">
        <f t="shared" si="985"/>
        <v>2072242.5263808758</v>
      </c>
      <c r="R561">
        <f t="shared" si="986"/>
        <v>173181.78719417728</v>
      </c>
      <c r="S561">
        <f t="shared" si="987"/>
        <v>1.7318178719417727</v>
      </c>
      <c r="T561">
        <f t="shared" si="988"/>
        <v>1.7318178719417728E-3</v>
      </c>
      <c r="CZ561" t="s">
        <v>7</v>
      </c>
    </row>
    <row r="562" spans="1:104" x14ac:dyDescent="0.25">
      <c r="A562" s="5">
        <v>44031</v>
      </c>
      <c r="B562">
        <v>0.74760000000000004</v>
      </c>
      <c r="C562">
        <v>0.89500000000000002</v>
      </c>
      <c r="D562">
        <v>0.74470000000000003</v>
      </c>
      <c r="E562">
        <v>0.87219999999999998</v>
      </c>
      <c r="F562">
        <v>5065181.63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0.69660678642714513</v>
      </c>
      <c r="Q562">
        <f t="shared" si="985"/>
        <v>3528439.8979441086</v>
      </c>
      <c r="R562">
        <f t="shared" si="986"/>
        <v>-1899060.7391866986</v>
      </c>
      <c r="S562">
        <f t="shared" si="987"/>
        <v>-18.990607391866984</v>
      </c>
      <c r="T562">
        <f t="shared" si="988"/>
        <v>-1.8990607391866983E-2</v>
      </c>
      <c r="CZ562" t="s">
        <v>7</v>
      </c>
    </row>
    <row r="563" spans="1:104" x14ac:dyDescent="0.25">
      <c r="A563" s="5">
        <v>44030</v>
      </c>
      <c r="B563">
        <v>0.71889999999999998</v>
      </c>
      <c r="C563">
        <v>0.76200000000000001</v>
      </c>
      <c r="D563">
        <v>0.70879999999999999</v>
      </c>
      <c r="E563">
        <v>0.74550000000000005</v>
      </c>
      <c r="F563">
        <v>819084.33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0.37969924812030259</v>
      </c>
      <c r="Q563">
        <f t="shared" si="985"/>
        <v>311005.70424812176</v>
      </c>
      <c r="R563">
        <f t="shared" si="986"/>
        <v>-5427500.6371308072</v>
      </c>
      <c r="S563">
        <f t="shared" si="987"/>
        <v>-54.275006371308073</v>
      </c>
      <c r="T563">
        <f t="shared" si="988"/>
        <v>-5.4275006371308075E-2</v>
      </c>
      <c r="CZ563" t="s">
        <v>7</v>
      </c>
    </row>
    <row r="564" spans="1:104" x14ac:dyDescent="0.25">
      <c r="A564" s="5">
        <v>44029</v>
      </c>
      <c r="B564">
        <v>0.70830000000000004</v>
      </c>
      <c r="C564">
        <v>0.7399</v>
      </c>
      <c r="D564">
        <v>0.70209999999999995</v>
      </c>
      <c r="E564">
        <v>0.72140000000000004</v>
      </c>
      <c r="F564">
        <v>652909.35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2.1164021164024677E-2</v>
      </c>
      <c r="Q564">
        <f t="shared" si="985"/>
        <v>13818.187301589594</v>
      </c>
      <c r="R564">
        <f t="shared" si="986"/>
        <v>-5738506.3413789291</v>
      </c>
      <c r="S564">
        <f t="shared" si="987"/>
        <v>-57.38506341378929</v>
      </c>
      <c r="T564">
        <f t="shared" si="988"/>
        <v>-5.7385063413789288E-2</v>
      </c>
    </row>
    <row r="565" spans="1:104" x14ac:dyDescent="0.25">
      <c r="A565" s="5">
        <v>44028</v>
      </c>
      <c r="B565">
        <v>0.74760000000000004</v>
      </c>
      <c r="C565">
        <v>0.77390000000000003</v>
      </c>
      <c r="D565">
        <v>0.68500000000000005</v>
      </c>
      <c r="E565">
        <v>0.70809999999999995</v>
      </c>
      <c r="F565">
        <v>961501.2</v>
      </c>
      <c r="G565">
        <v>0</v>
      </c>
      <c r="L565" t="s">
        <v>8</v>
      </c>
      <c r="M565" t="s">
        <v>8</v>
      </c>
      <c r="N565" t="s">
        <v>7</v>
      </c>
      <c r="P565">
        <f t="shared" si="984"/>
        <v>-0.4803149606299234</v>
      </c>
      <c r="Q565">
        <f t="shared" si="985"/>
        <v>-461823.41102362407</v>
      </c>
      <c r="R565">
        <f t="shared" si="986"/>
        <v>-5752324.5286805183</v>
      </c>
      <c r="S565">
        <f t="shared" si="987"/>
        <v>-57.523245286805185</v>
      </c>
      <c r="T565">
        <f t="shared" si="988"/>
        <v>-5.7523245286805184E-2</v>
      </c>
    </row>
    <row r="566" spans="1:104" x14ac:dyDescent="0.25">
      <c r="A566" s="5">
        <v>44027</v>
      </c>
      <c r="B566">
        <v>0.74790000000000001</v>
      </c>
      <c r="C566">
        <v>0.77110000000000001</v>
      </c>
      <c r="D566">
        <v>0.71040000000000003</v>
      </c>
      <c r="E566">
        <v>0.74709999999999999</v>
      </c>
      <c r="F566">
        <v>1396713.14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0.20922570016474362</v>
      </c>
      <c r="Q566">
        <f t="shared" si="985"/>
        <v>292228.28464579757</v>
      </c>
      <c r="R566">
        <f t="shared" si="986"/>
        <v>-5290501.117656894</v>
      </c>
      <c r="S566">
        <f t="shared" si="987"/>
        <v>-52.905011176568941</v>
      </c>
      <c r="T566">
        <f t="shared" si="988"/>
        <v>-5.2905011176568942E-2</v>
      </c>
    </row>
    <row r="567" spans="1:104" x14ac:dyDescent="0.25">
      <c r="A567" s="5">
        <v>44026</v>
      </c>
      <c r="B567">
        <v>0.71379999999999999</v>
      </c>
      <c r="C567">
        <v>0.75460000000000005</v>
      </c>
      <c r="D567">
        <v>0.68640000000000001</v>
      </c>
      <c r="E567">
        <v>0.74790000000000001</v>
      </c>
      <c r="F567">
        <v>1251183.74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0.80351906158357667</v>
      </c>
      <c r="Q567">
        <f t="shared" si="985"/>
        <v>1005349.9846334298</v>
      </c>
      <c r="R567">
        <f t="shared" si="986"/>
        <v>-5582729.4023026917</v>
      </c>
      <c r="S567">
        <f t="shared" si="987"/>
        <v>-55.827294023026916</v>
      </c>
      <c r="T567">
        <f t="shared" si="988"/>
        <v>-5.5827294023026913E-2</v>
      </c>
    </row>
    <row r="568" spans="1:104" x14ac:dyDescent="0.25">
      <c r="A568" s="5">
        <v>44025</v>
      </c>
      <c r="B568">
        <v>0.69269999999999998</v>
      </c>
      <c r="C568">
        <v>0.73</v>
      </c>
      <c r="D568">
        <v>0.67410000000000003</v>
      </c>
      <c r="E568">
        <v>0.71379999999999999</v>
      </c>
      <c r="F568">
        <v>1050517.05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0.42039355992844341</v>
      </c>
      <c r="Q568">
        <f t="shared" si="985"/>
        <v>441630.60241502657</v>
      </c>
      <c r="R568">
        <f t="shared" si="986"/>
        <v>-6588079.3869361216</v>
      </c>
      <c r="S568">
        <f t="shared" si="987"/>
        <v>-65.880793869361213</v>
      </c>
      <c r="T568">
        <f t="shared" si="988"/>
        <v>-6.5880793869361215E-2</v>
      </c>
    </row>
    <row r="569" spans="1:104" x14ac:dyDescent="0.25">
      <c r="A569" s="5">
        <v>44024</v>
      </c>
      <c r="B569">
        <v>0.70930000000000004</v>
      </c>
      <c r="C569">
        <v>0.72689999999999999</v>
      </c>
      <c r="D569">
        <v>0.6603</v>
      </c>
      <c r="E569">
        <v>0.69289999999999996</v>
      </c>
      <c r="F569">
        <v>1298815.45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-2.1021021021022043E-2</v>
      </c>
      <c r="Q569">
        <f t="shared" si="985"/>
        <v>-27302.426876878202</v>
      </c>
      <c r="R569">
        <f t="shared" si="986"/>
        <v>-7029709.9893511478</v>
      </c>
      <c r="S569">
        <f t="shared" si="987"/>
        <v>-70.297099893511472</v>
      </c>
      <c r="T569">
        <f t="shared" si="988"/>
        <v>-7.0297099893511475E-2</v>
      </c>
    </row>
    <row r="570" spans="1:104" x14ac:dyDescent="0.25">
      <c r="A570" s="5">
        <v>44023</v>
      </c>
      <c r="B570">
        <v>0.71589999999999998</v>
      </c>
      <c r="C570">
        <v>0.7248</v>
      </c>
      <c r="D570">
        <v>0.67920000000000003</v>
      </c>
      <c r="E570">
        <v>0.7077</v>
      </c>
      <c r="F570">
        <v>958641.62</v>
      </c>
      <c r="G570">
        <v>0</v>
      </c>
      <c r="L570" t="s">
        <v>7</v>
      </c>
      <c r="M570" t="s">
        <v>8</v>
      </c>
      <c r="N570" t="s">
        <v>7</v>
      </c>
      <c r="P570">
        <f t="shared" si="984"/>
        <v>0.24999999999999939</v>
      </c>
      <c r="Q570">
        <f t="shared" si="985"/>
        <v>239660.40499999942</v>
      </c>
      <c r="R570">
        <f t="shared" si="986"/>
        <v>-7002407.5624742694</v>
      </c>
      <c r="S570">
        <f t="shared" si="987"/>
        <v>-70.024075624742693</v>
      </c>
      <c r="T570">
        <f t="shared" si="988"/>
        <v>-7.0024075624742693E-2</v>
      </c>
    </row>
    <row r="571" spans="1:104" x14ac:dyDescent="0.25">
      <c r="A571" s="5">
        <v>44022</v>
      </c>
      <c r="B571">
        <v>0.68389999999999995</v>
      </c>
      <c r="C571">
        <v>0.755</v>
      </c>
      <c r="D571">
        <v>0.66820000000000002</v>
      </c>
      <c r="E571">
        <v>0.71550000000000002</v>
      </c>
      <c r="F571">
        <v>1641236.93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8.9861751152074079E-2</v>
      </c>
      <c r="Q571">
        <f t="shared" si="985"/>
        <v>147484.42458525402</v>
      </c>
      <c r="R571">
        <f t="shared" si="986"/>
        <v>-7242067.9674742687</v>
      </c>
      <c r="S571">
        <f t="shared" si="987"/>
        <v>-72.420679674742686</v>
      </c>
      <c r="T571">
        <f t="shared" si="988"/>
        <v>-7.242067967474268E-2</v>
      </c>
    </row>
    <row r="572" spans="1:104" x14ac:dyDescent="0.25">
      <c r="A572" s="5">
        <v>44021</v>
      </c>
      <c r="B572">
        <v>0.75639999999999996</v>
      </c>
      <c r="C572">
        <v>0.75839999999999996</v>
      </c>
      <c r="D572">
        <v>0.63580000000000003</v>
      </c>
      <c r="E572">
        <v>0.68420000000000003</v>
      </c>
      <c r="F572">
        <v>1842157.71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-0.21044045676998327</v>
      </c>
      <c r="Q572">
        <f t="shared" si="985"/>
        <v>-387664.50993474637</v>
      </c>
      <c r="R572">
        <f t="shared" si="986"/>
        <v>-7389552.3920595227</v>
      </c>
      <c r="S572">
        <f t="shared" si="987"/>
        <v>-73.895523920595224</v>
      </c>
      <c r="T572">
        <f t="shared" si="988"/>
        <v>-7.389552392059523E-2</v>
      </c>
    </row>
    <row r="573" spans="1:104" x14ac:dyDescent="0.25">
      <c r="A573" s="5">
        <v>44020</v>
      </c>
      <c r="B573">
        <v>0.7581</v>
      </c>
      <c r="C573">
        <v>0.79249999999999998</v>
      </c>
      <c r="D573">
        <v>0.74509999999999998</v>
      </c>
      <c r="E573">
        <v>0.75839999999999996</v>
      </c>
      <c r="F573">
        <v>1332048.52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-0.43881856540084474</v>
      </c>
      <c r="Q573">
        <f t="shared" si="985"/>
        <v>-584527.62059071846</v>
      </c>
      <c r="R573">
        <f t="shared" si="986"/>
        <v>-7001887.882124776</v>
      </c>
      <c r="S573">
        <f t="shared" si="987"/>
        <v>-70.018878821247753</v>
      </c>
      <c r="T573">
        <f t="shared" si="988"/>
        <v>-7.0018878821247757E-2</v>
      </c>
    </row>
    <row r="574" spans="1:104" x14ac:dyDescent="0.25">
      <c r="A574" s="5">
        <v>44019</v>
      </c>
      <c r="B574">
        <v>0.73860000000000003</v>
      </c>
      <c r="C574">
        <v>0.79300000000000004</v>
      </c>
      <c r="D574">
        <v>0.73060000000000003</v>
      </c>
      <c r="E574">
        <v>0.75800000000000001</v>
      </c>
      <c r="F574">
        <v>1698830.8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-0.1217948717948726</v>
      </c>
      <c r="Q574">
        <f t="shared" si="985"/>
        <v>-206908.87948718085</v>
      </c>
      <c r="R574">
        <f t="shared" si="986"/>
        <v>-6417360.2615340576</v>
      </c>
      <c r="S574">
        <f t="shared" si="987"/>
        <v>-64.17360261534057</v>
      </c>
      <c r="T574">
        <f t="shared" si="988"/>
        <v>-6.4173602615340566E-2</v>
      </c>
    </row>
    <row r="575" spans="1:104" x14ac:dyDescent="0.25">
      <c r="A575" s="5">
        <v>44018</v>
      </c>
      <c r="B575">
        <v>0.64439999999999997</v>
      </c>
      <c r="C575">
        <v>0.78</v>
      </c>
      <c r="D575">
        <v>0.63300000000000001</v>
      </c>
      <c r="E575">
        <v>0.74490000000000001</v>
      </c>
      <c r="F575">
        <v>2240889.34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0.52244897959183656</v>
      </c>
      <c r="Q575">
        <f t="shared" si="985"/>
        <v>1170750.3490612239</v>
      </c>
      <c r="R575">
        <f t="shared" si="986"/>
        <v>-6210451.3820468765</v>
      </c>
      <c r="S575">
        <f t="shared" si="987"/>
        <v>-62.104513820468767</v>
      </c>
      <c r="T575">
        <f t="shared" si="988"/>
        <v>-6.2104513820468769E-2</v>
      </c>
    </row>
    <row r="576" spans="1:104" x14ac:dyDescent="0.25">
      <c r="A576" s="5">
        <v>44017</v>
      </c>
      <c r="B576">
        <v>0.65069999999999995</v>
      </c>
      <c r="C576">
        <v>0.66239999999999999</v>
      </c>
      <c r="D576">
        <v>0.62050000000000005</v>
      </c>
      <c r="E576">
        <v>0.64480000000000004</v>
      </c>
      <c r="F576">
        <v>312785.5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0.15990453460620643</v>
      </c>
      <c r="Q576">
        <f t="shared" si="985"/>
        <v>50015.819809069581</v>
      </c>
      <c r="R576">
        <f t="shared" si="986"/>
        <v>-7381201.7311081002</v>
      </c>
      <c r="S576">
        <f t="shared" si="987"/>
        <v>-73.812017311081007</v>
      </c>
      <c r="T576">
        <f t="shared" si="988"/>
        <v>-7.3812017311081002E-2</v>
      </c>
    </row>
    <row r="577" spans="1:20" x14ac:dyDescent="0.25">
      <c r="A577" s="5">
        <v>44016</v>
      </c>
      <c r="B577">
        <v>0.66020000000000001</v>
      </c>
      <c r="C577">
        <v>0.66739999999999999</v>
      </c>
      <c r="D577">
        <v>0.6351</v>
      </c>
      <c r="E577">
        <v>0.6532</v>
      </c>
      <c r="F577">
        <v>330058.96000000002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0.12074303405572802</v>
      </c>
      <c r="Q577">
        <f t="shared" si="985"/>
        <v>39852.320247678173</v>
      </c>
      <c r="R577">
        <f t="shared" si="986"/>
        <v>-7431217.55091717</v>
      </c>
      <c r="S577">
        <f t="shared" si="987"/>
        <v>-74.312175509171695</v>
      </c>
      <c r="T577">
        <f t="shared" si="988"/>
        <v>-7.4312175509171699E-2</v>
      </c>
    </row>
    <row r="578" spans="1:20" x14ac:dyDescent="0.25">
      <c r="A578" s="5">
        <v>44015</v>
      </c>
      <c r="B578">
        <v>0.66110000000000002</v>
      </c>
      <c r="C578">
        <v>0.67989999999999995</v>
      </c>
      <c r="D578">
        <v>0.6401</v>
      </c>
      <c r="E578">
        <v>0.66020000000000001</v>
      </c>
      <c r="F578">
        <v>440563.98</v>
      </c>
      <c r="G578">
        <v>0</v>
      </c>
      <c r="L578" t="s">
        <v>8</v>
      </c>
      <c r="M578" t="s">
        <v>7</v>
      </c>
      <c r="N578" t="s">
        <v>7</v>
      </c>
      <c r="P578">
        <f t="shared" si="984"/>
        <v>1.0050251256283104E-2</v>
      </c>
      <c r="Q578">
        <f t="shared" si="985"/>
        <v>4427.7786934680844</v>
      </c>
      <c r="R578">
        <f t="shared" si="986"/>
        <v>-7471069.8711648481</v>
      </c>
      <c r="S578">
        <f t="shared" si="987"/>
        <v>-74.710698711648476</v>
      </c>
      <c r="T578">
        <f t="shared" si="988"/>
        <v>-7.4710698711648482E-2</v>
      </c>
    </row>
    <row r="579" spans="1:20" x14ac:dyDescent="0.25">
      <c r="A579" s="5">
        <v>44014</v>
      </c>
      <c r="B579">
        <v>0.65649999999999997</v>
      </c>
      <c r="C579">
        <v>0.69</v>
      </c>
      <c r="D579">
        <v>0.61050000000000004</v>
      </c>
      <c r="E579">
        <v>0.66100000000000003</v>
      </c>
      <c r="F579">
        <v>936655.59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0.27044025157232832</v>
      </c>
      <c r="Q579">
        <f t="shared" si="985"/>
        <v>253309.3733962276</v>
      </c>
      <c r="R579">
        <f t="shared" si="986"/>
        <v>-7475497.6498583164</v>
      </c>
      <c r="S579">
        <f t="shared" si="987"/>
        <v>-74.754976498583162</v>
      </c>
      <c r="T579">
        <f t="shared" si="988"/>
        <v>-7.4754976498583162E-2</v>
      </c>
    </row>
    <row r="580" spans="1:20" x14ac:dyDescent="0.25">
      <c r="A580" s="5">
        <v>44013</v>
      </c>
      <c r="B580">
        <v>0.63959999999999995</v>
      </c>
      <c r="C580">
        <v>0.65820000000000001</v>
      </c>
      <c r="D580">
        <v>0.62670000000000003</v>
      </c>
      <c r="E580">
        <v>0.65649999999999997</v>
      </c>
      <c r="F580">
        <v>305720.81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0.89206349206348978</v>
      </c>
      <c r="Q580">
        <f t="shared" si="985"/>
        <v>272722.37336507865</v>
      </c>
      <c r="R580">
        <f t="shared" si="986"/>
        <v>-7728807.0232545435</v>
      </c>
      <c r="S580">
        <f t="shared" si="987"/>
        <v>-77.288070232545437</v>
      </c>
      <c r="T580">
        <f t="shared" si="988"/>
        <v>-7.7288070232545442E-2</v>
      </c>
    </row>
    <row r="581" spans="1:20" x14ac:dyDescent="0.25">
      <c r="A581" s="5">
        <v>44012</v>
      </c>
      <c r="B581">
        <v>0.65290000000000004</v>
      </c>
      <c r="C581">
        <v>0.65720000000000001</v>
      </c>
      <c r="D581">
        <v>0.63119999999999998</v>
      </c>
      <c r="E581">
        <v>0.63970000000000005</v>
      </c>
      <c r="F581">
        <v>264531.56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-0.34615384615384187</v>
      </c>
      <c r="Q581">
        <f t="shared" si="985"/>
        <v>-91568.616923075795</v>
      </c>
      <c r="R581">
        <f t="shared" si="986"/>
        <v>-8001529.3966196226</v>
      </c>
      <c r="S581">
        <f t="shared" si="987"/>
        <v>-80.015293966196225</v>
      </c>
      <c r="T581">
        <f t="shared" si="988"/>
        <v>-8.0015293966196221E-2</v>
      </c>
    </row>
    <row r="582" spans="1:20" x14ac:dyDescent="0.25">
      <c r="A582" s="5">
        <v>44011</v>
      </c>
      <c r="B582">
        <v>0.65920000000000001</v>
      </c>
      <c r="C582">
        <v>0.69650000000000001</v>
      </c>
      <c r="D582">
        <v>0.63529999999999998</v>
      </c>
      <c r="E582">
        <v>0.65300000000000002</v>
      </c>
      <c r="F582">
        <v>505685.49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-0.42156862745097912</v>
      </c>
      <c r="Q582">
        <f t="shared" ref="Q582:Q645" si="990">F582*P582</f>
        <v>-213181.13794117581</v>
      </c>
      <c r="R582">
        <f t="shared" ref="R582:R645" si="991">R583+Q582</f>
        <v>-7909960.7796965465</v>
      </c>
      <c r="S582">
        <f t="shared" ref="S582:S645" si="992">R582/100000</f>
        <v>-79.099607796965458</v>
      </c>
      <c r="T582">
        <f t="shared" ref="T582:T645" si="993">S582/1000</f>
        <v>-7.9099607796965454E-2</v>
      </c>
    </row>
    <row r="583" spans="1:20" x14ac:dyDescent="0.25">
      <c r="A583" s="5">
        <v>44010</v>
      </c>
      <c r="B583">
        <v>0.65249999999999997</v>
      </c>
      <c r="C583">
        <v>0.68</v>
      </c>
      <c r="D583">
        <v>0.61660000000000004</v>
      </c>
      <c r="E583">
        <v>0.65649999999999997</v>
      </c>
      <c r="F583">
        <v>359681.39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0.25867507886435104</v>
      </c>
      <c r="Q583">
        <f t="shared" si="990"/>
        <v>93040.611924289406</v>
      </c>
      <c r="R583">
        <f t="shared" si="991"/>
        <v>-7696779.6417553704</v>
      </c>
      <c r="S583">
        <f t="shared" si="992"/>
        <v>-76.9677964175537</v>
      </c>
      <c r="T583">
        <f t="shared" si="993"/>
        <v>-7.6967796417553705E-2</v>
      </c>
    </row>
    <row r="584" spans="1:20" x14ac:dyDescent="0.25">
      <c r="A584" s="5">
        <v>44009</v>
      </c>
      <c r="B584">
        <v>0.71599999999999997</v>
      </c>
      <c r="C584">
        <v>0.72470000000000001</v>
      </c>
      <c r="D584">
        <v>0.60509999999999997</v>
      </c>
      <c r="E584">
        <v>0.65259999999999996</v>
      </c>
      <c r="F584">
        <v>723810.28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-0.20568561872909746</v>
      </c>
      <c r="Q584">
        <f t="shared" si="990"/>
        <v>-148877.36528428129</v>
      </c>
      <c r="R584">
        <f t="shared" si="991"/>
        <v>-7789820.2536796601</v>
      </c>
      <c r="S584">
        <f t="shared" si="992"/>
        <v>-77.898202536796603</v>
      </c>
      <c r="T584">
        <f t="shared" si="993"/>
        <v>-7.7898202536796607E-2</v>
      </c>
    </row>
    <row r="585" spans="1:20" x14ac:dyDescent="0.25">
      <c r="A585" s="5">
        <v>44008</v>
      </c>
      <c r="B585">
        <v>0.71489999999999998</v>
      </c>
      <c r="C585">
        <v>0.72889999999999999</v>
      </c>
      <c r="D585">
        <v>0.68</v>
      </c>
      <c r="E585">
        <v>0.71589999999999998</v>
      </c>
      <c r="F585">
        <v>922073.83</v>
      </c>
      <c r="G585">
        <v>0</v>
      </c>
      <c r="L585" t="s">
        <v>8</v>
      </c>
      <c r="M585" t="s">
        <v>7</v>
      </c>
      <c r="N585" t="s">
        <v>7</v>
      </c>
      <c r="P585">
        <f t="shared" si="989"/>
        <v>0.46830265848670649</v>
      </c>
      <c r="Q585">
        <f t="shared" si="990"/>
        <v>431809.62591001944</v>
      </c>
      <c r="R585">
        <f t="shared" si="991"/>
        <v>-7640942.8883953793</v>
      </c>
      <c r="S585">
        <f t="shared" si="992"/>
        <v>-76.409428883953794</v>
      </c>
      <c r="T585">
        <f t="shared" si="993"/>
        <v>-7.6409428883953801E-2</v>
      </c>
    </row>
    <row r="586" spans="1:20" x14ac:dyDescent="0.25">
      <c r="A586" s="5">
        <v>44007</v>
      </c>
      <c r="B586">
        <v>0.71530000000000005</v>
      </c>
      <c r="C586">
        <v>0.75290000000000001</v>
      </c>
      <c r="D586">
        <v>0.67220000000000002</v>
      </c>
      <c r="E586">
        <v>0.71489999999999998</v>
      </c>
      <c r="F586">
        <v>1190356.1399999999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5.8240396530358451E-2</v>
      </c>
      <c r="Q586">
        <f t="shared" si="990"/>
        <v>69326.813605946867</v>
      </c>
      <c r="R586">
        <f t="shared" si="991"/>
        <v>-8072752.5143053988</v>
      </c>
      <c r="S586">
        <f t="shared" si="992"/>
        <v>-80.727525143053981</v>
      </c>
      <c r="T586">
        <f t="shared" si="993"/>
        <v>-8.072752514305398E-2</v>
      </c>
    </row>
    <row r="587" spans="1:20" x14ac:dyDescent="0.25">
      <c r="A587" s="5">
        <v>44006</v>
      </c>
      <c r="B587">
        <v>0.73470000000000002</v>
      </c>
      <c r="C587">
        <v>0.79559999999999997</v>
      </c>
      <c r="D587">
        <v>0.70330000000000004</v>
      </c>
      <c r="E587">
        <v>0.71540000000000004</v>
      </c>
      <c r="F587">
        <v>2136053.19</v>
      </c>
      <c r="G587">
        <v>0</v>
      </c>
      <c r="L587" t="s">
        <v>8</v>
      </c>
      <c r="M587" t="s">
        <v>7</v>
      </c>
      <c r="N587" t="s">
        <v>7</v>
      </c>
      <c r="P587">
        <f t="shared" si="989"/>
        <v>-0.73781148429035737</v>
      </c>
      <c r="Q587">
        <f t="shared" si="990"/>
        <v>-1576004.5746370526</v>
      </c>
      <c r="R587">
        <f t="shared" si="991"/>
        <v>-8142079.3279113453</v>
      </c>
      <c r="S587">
        <f t="shared" si="992"/>
        <v>-81.420793279113454</v>
      </c>
      <c r="T587">
        <f t="shared" si="993"/>
        <v>-8.142079327911346E-2</v>
      </c>
    </row>
    <row r="588" spans="1:20" x14ac:dyDescent="0.25">
      <c r="A588" s="5">
        <v>44005</v>
      </c>
      <c r="B588">
        <v>0.74009999999999998</v>
      </c>
      <c r="C588">
        <v>0.80659999999999998</v>
      </c>
      <c r="D588">
        <v>0.68630000000000002</v>
      </c>
      <c r="E588">
        <v>0.73460000000000003</v>
      </c>
      <c r="F588">
        <v>3992482.54</v>
      </c>
      <c r="G588">
        <v>0</v>
      </c>
      <c r="L588" t="s">
        <v>7</v>
      </c>
      <c r="M588" t="s">
        <v>7</v>
      </c>
      <c r="N588" t="s">
        <v>7</v>
      </c>
      <c r="P588">
        <f t="shared" si="989"/>
        <v>-0.19700748129675769</v>
      </c>
      <c r="Q588">
        <f t="shared" si="990"/>
        <v>-786548.92932668165</v>
      </c>
      <c r="R588">
        <f t="shared" si="991"/>
        <v>-6566074.7532742927</v>
      </c>
      <c r="S588">
        <f t="shared" si="992"/>
        <v>-65.660747532742931</v>
      </c>
      <c r="T588">
        <f t="shared" si="993"/>
        <v>-6.5660747532742925E-2</v>
      </c>
    </row>
    <row r="589" spans="1:20" x14ac:dyDescent="0.25">
      <c r="A589" s="5">
        <v>44004</v>
      </c>
      <c r="B589">
        <v>0.52270000000000005</v>
      </c>
      <c r="C589">
        <v>1.5</v>
      </c>
      <c r="D589">
        <v>0.52270000000000005</v>
      </c>
      <c r="E589">
        <v>0.74099999999999999</v>
      </c>
      <c r="F589">
        <v>10446329.92</v>
      </c>
      <c r="G589">
        <v>0</v>
      </c>
      <c r="P589">
        <f t="shared" si="989"/>
        <v>-0.55325897881919583</v>
      </c>
      <c r="Q589">
        <f t="shared" si="990"/>
        <v>-5779525.8239476113</v>
      </c>
      <c r="R589">
        <f t="shared" si="991"/>
        <v>-5779525.8239476113</v>
      </c>
      <c r="S589">
        <f t="shared" si="992"/>
        <v>-57.795258239476112</v>
      </c>
      <c r="T589">
        <f t="shared" si="993"/>
        <v>-5.7795258239476115E-2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V615" sqref="LV61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$A$614</v>
      </c>
      <c r="D111" s="1" t="str">
        <f>ADDRESS(C121-1,D121,1,1)</f>
        <v>$LV$614</v>
      </c>
      <c r="E111"/>
    </row>
    <row r="112" spans="1:5" x14ac:dyDescent="0.25">
      <c r="A112" s="7">
        <v>12164.144957890772</v>
      </c>
      <c r="C112" s="1" t="str">
        <f>ADDRESS(C121,1,1,1)</f>
        <v>$A$615</v>
      </c>
      <c r="D112" s="1" t="str">
        <f>ADDRESS(C121,D121-1,1,1)</f>
        <v>$LU$615</v>
      </c>
      <c r="E112"/>
    </row>
    <row r="113" spans="1:5" x14ac:dyDescent="0.25">
      <c r="A113" s="7">
        <v>11925.63231165762</v>
      </c>
      <c r="C113" s="1" t="str">
        <f>ADDRESS(C121+1,1,1,1)</f>
        <v>$A$616</v>
      </c>
      <c r="D113" s="1" t="str">
        <f>ADDRESS(C121-1,D121+1,1,1)</f>
        <v>$LW$614</v>
      </c>
    </row>
    <row r="114" spans="1:5" x14ac:dyDescent="0.25">
      <c r="A114" s="7">
        <v>11691.796383978059</v>
      </c>
      <c r="C114" s="1" t="str">
        <f>ADDRESS(C121,D121,1,1)</f>
        <v>$LV$615</v>
      </c>
      <c r="D114" s="1" t="str">
        <f>ADDRESS(C121+1,D121+1,1,1)</f>
        <v>$LW$616</v>
      </c>
    </row>
    <row r="115" spans="1:5" x14ac:dyDescent="0.25">
      <c r="A115" s="7">
        <v>11462.545474488292</v>
      </c>
      <c r="C115" s="1" t="str">
        <f>ADDRESS(C121+1,D121,1,1)</f>
        <v>$LV$616</v>
      </c>
    </row>
    <row r="116" spans="1:5" x14ac:dyDescent="0.25">
      <c r="A116" s="7">
        <v>11237.789680870874</v>
      </c>
      <c r="C116" s="1">
        <f>C117-1</f>
        <v>614</v>
      </c>
    </row>
    <row r="117" spans="1:5" x14ac:dyDescent="0.25">
      <c r="A117" s="7">
        <v>11017.440863598895</v>
      </c>
      <c r="C117" s="1">
        <f>C121</f>
        <v>615</v>
      </c>
      <c r="D117" s="1">
        <f>D121</f>
        <v>334</v>
      </c>
    </row>
    <row r="118" spans="1:5" x14ac:dyDescent="0.25">
      <c r="A118" s="7">
        <v>10801.412611371465</v>
      </c>
      <c r="C118" s="1">
        <f>C117+1</f>
        <v>616</v>
      </c>
      <c r="D118" s="1">
        <f>D117+1</f>
        <v>335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615</v>
      </c>
      <c r="D121" s="19">
        <v>334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R615</v>
      </c>
      <c r="D123" s="1" t="str">
        <f>"C"&amp;D121</f>
        <v>C334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0.57437455289470052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124" x14ac:dyDescent="0.25">
      <c r="A481" s="7">
        <v>8.1586481992426112</v>
      </c>
      <c r="B481"/>
      <c r="C481"/>
      <c r="D481"/>
      <c r="E481"/>
    </row>
    <row r="482" spans="1:124" x14ac:dyDescent="0.25">
      <c r="A482" s="7">
        <v>7.9986747051398144</v>
      </c>
      <c r="B482"/>
      <c r="C482"/>
      <c r="D482"/>
      <c r="E482"/>
    </row>
    <row r="483" spans="1:124" x14ac:dyDescent="0.25">
      <c r="A483" s="7">
        <v>7.8418379462155041</v>
      </c>
      <c r="B483"/>
      <c r="C483"/>
      <c r="D483"/>
      <c r="E483"/>
    </row>
    <row r="484" spans="1:124" x14ac:dyDescent="0.25">
      <c r="A484" s="7">
        <v>7.688076417858337</v>
      </c>
      <c r="B484"/>
      <c r="C484"/>
      <c r="D484"/>
      <c r="E484"/>
    </row>
    <row r="485" spans="1:124" x14ac:dyDescent="0.25">
      <c r="A485" s="7">
        <v>7.5373298214297417</v>
      </c>
      <c r="B485"/>
      <c r="C485"/>
      <c r="D485"/>
      <c r="E485"/>
    </row>
    <row r="486" spans="1:124" x14ac:dyDescent="0.25">
      <c r="A486" s="7">
        <v>7.389539040617394</v>
      </c>
      <c r="B486"/>
      <c r="C486"/>
      <c r="D486"/>
      <c r="E486"/>
    </row>
    <row r="487" spans="1:124" x14ac:dyDescent="0.25">
      <c r="A487" s="7">
        <v>7.2446461182523469</v>
      </c>
      <c r="B487"/>
      <c r="C487"/>
      <c r="D487"/>
      <c r="E487"/>
    </row>
    <row r="488" spans="1:124" x14ac:dyDescent="0.25">
      <c r="A488" s="7">
        <v>7.1025942335807324</v>
      </c>
      <c r="B488"/>
      <c r="C488"/>
      <c r="D488"/>
      <c r="E488"/>
    </row>
    <row r="489" spans="1:124" x14ac:dyDescent="0.25">
      <c r="A489" s="7">
        <v>6.9633276799811101</v>
      </c>
      <c r="B489"/>
      <c r="C489"/>
      <c r="D489"/>
      <c r="E489"/>
    </row>
    <row r="490" spans="1:124" x14ac:dyDescent="0.25">
      <c r="A490" s="7">
        <v>6.8267918431187349</v>
      </c>
      <c r="B490"/>
      <c r="C490"/>
      <c r="D490"/>
      <c r="E490"/>
    </row>
    <row r="491" spans="1:124" x14ac:dyDescent="0.25">
      <c r="A491" s="7">
        <v>6.692933179528171</v>
      </c>
      <c r="B491"/>
      <c r="C491"/>
      <c r="D491"/>
      <c r="E491"/>
    </row>
    <row r="492" spans="1:124" x14ac:dyDescent="0.25">
      <c r="A492" s="7">
        <v>6.5616991956158541</v>
      </c>
      <c r="B492"/>
      <c r="C492"/>
      <c r="D492"/>
      <c r="E492"/>
    </row>
    <row r="493" spans="1:124" x14ac:dyDescent="0.25">
      <c r="A493" s="7">
        <v>6.4330384270743668</v>
      </c>
      <c r="B493"/>
      <c r="C493"/>
      <c r="D493"/>
      <c r="E493"/>
    </row>
    <row r="494" spans="1:124" x14ac:dyDescent="0.25">
      <c r="A494" s="7">
        <v>6.3069004187003594</v>
      </c>
      <c r="B494"/>
      <c r="C494"/>
      <c r="D494"/>
      <c r="E494"/>
      <c r="DS494" s="27" t="s">
        <v>8</v>
      </c>
    </row>
    <row r="495" spans="1:124" x14ac:dyDescent="0.25">
      <c r="A495" s="7">
        <v>6.1832357046081956</v>
      </c>
      <c r="B495"/>
      <c r="C495"/>
      <c r="D495"/>
      <c r="E495"/>
      <c r="DS495" s="27" t="s">
        <v>8</v>
      </c>
      <c r="DT495" s="27" t="s">
        <v>7</v>
      </c>
    </row>
    <row r="496" spans="1:124" x14ac:dyDescent="0.25">
      <c r="A496" s="7">
        <v>6.0619957888315641</v>
      </c>
      <c r="B496"/>
      <c r="C496"/>
      <c r="D496"/>
      <c r="E496"/>
      <c r="DS496" s="27" t="s">
        <v>8</v>
      </c>
      <c r="DT496" s="27" t="s">
        <v>7</v>
      </c>
    </row>
    <row r="497" spans="1:124" x14ac:dyDescent="0.25">
      <c r="A497" s="7">
        <v>5.9431331263054545</v>
      </c>
      <c r="B497"/>
      <c r="C497"/>
      <c r="D497"/>
      <c r="E497"/>
      <c r="DS497" s="27" t="s">
        <v>8</v>
      </c>
      <c r="DT497" s="27" t="s">
        <v>7</v>
      </c>
    </row>
    <row r="498" spans="1:124" x14ac:dyDescent="0.25">
      <c r="A498" s="7">
        <v>5.8266011042210337</v>
      </c>
      <c r="B498"/>
      <c r="C498"/>
      <c r="D498"/>
      <c r="E498"/>
      <c r="DS498" s="27" t="s">
        <v>8</v>
      </c>
      <c r="DT498" s="27" t="s">
        <v>7</v>
      </c>
    </row>
    <row r="499" spans="1:124" x14ac:dyDescent="0.25">
      <c r="A499" s="7">
        <v>5.7123540237461112</v>
      </c>
      <c r="B499"/>
      <c r="C499"/>
      <c r="D499"/>
      <c r="E499"/>
      <c r="DS499" s="27" t="s">
        <v>8</v>
      </c>
      <c r="DT499" s="27" t="s">
        <v>7</v>
      </c>
    </row>
    <row r="500" spans="1:124" x14ac:dyDescent="0.25">
      <c r="A500" s="7">
        <v>5.6003470821040304</v>
      </c>
      <c r="B500"/>
      <c r="C500"/>
      <c r="D500"/>
      <c r="E500"/>
      <c r="DS500" s="27" t="s">
        <v>8</v>
      </c>
      <c r="DT500" s="27" t="s">
        <v>7</v>
      </c>
    </row>
    <row r="501" spans="1:124" x14ac:dyDescent="0.25">
      <c r="A501" s="7">
        <v>5.4905363550039512</v>
      </c>
      <c r="B501"/>
      <c r="C501"/>
      <c r="D501"/>
      <c r="E501"/>
      <c r="DS501" s="27" t="s">
        <v>8</v>
      </c>
      <c r="DT501" s="27" t="s">
        <v>7</v>
      </c>
    </row>
    <row r="502" spans="1:124" x14ac:dyDescent="0.25">
      <c r="A502" s="7">
        <v>5.3828787794156385</v>
      </c>
      <c r="B502"/>
      <c r="C502"/>
      <c r="D502"/>
      <c r="E502"/>
      <c r="DS502" s="27" t="s">
        <v>8</v>
      </c>
      <c r="DT502" s="27" t="s">
        <v>7</v>
      </c>
    </row>
    <row r="503" spans="1:124" x14ac:dyDescent="0.25">
      <c r="A503" s="7">
        <v>5.2773321366819985</v>
      </c>
      <c r="B503"/>
      <c r="C503"/>
      <c r="D503"/>
      <c r="E503"/>
      <c r="DS503" s="27" t="s">
        <v>8</v>
      </c>
      <c r="DT503" s="27" t="s">
        <v>7</v>
      </c>
    </row>
    <row r="504" spans="1:124" x14ac:dyDescent="0.25">
      <c r="A504" s="7">
        <v>5.1738550359627435</v>
      </c>
      <c r="B504"/>
      <c r="C504"/>
      <c r="D504"/>
      <c r="E504"/>
      <c r="DS504" s="27" t="s">
        <v>8</v>
      </c>
      <c r="DT504" s="27" t="s">
        <v>7</v>
      </c>
    </row>
    <row r="505" spans="1:124" x14ac:dyDescent="0.25">
      <c r="A505" s="7">
        <v>5.07240689800269</v>
      </c>
      <c r="B505"/>
      <c r="C505"/>
      <c r="D505"/>
      <c r="E505"/>
      <c r="DS505" s="27" t="s">
        <v>8</v>
      </c>
      <c r="DT505" s="27" t="s">
        <v>7</v>
      </c>
    </row>
    <row r="506" spans="1:124" x14ac:dyDescent="0.25">
      <c r="A506" s="7">
        <v>4.9729479392183231</v>
      </c>
      <c r="B506"/>
      <c r="C506"/>
      <c r="D506"/>
      <c r="E506"/>
      <c r="DS506" s="27" t="s">
        <v>8</v>
      </c>
      <c r="DT506" s="27" t="s">
        <v>7</v>
      </c>
    </row>
    <row r="507" spans="1:124" x14ac:dyDescent="0.25">
      <c r="A507" s="7">
        <v>4.8754391560963954</v>
      </c>
      <c r="B507"/>
      <c r="C507"/>
      <c r="D507"/>
      <c r="E507"/>
      <c r="DS507" s="27" t="s">
        <v>8</v>
      </c>
      <c r="DT507" s="27" t="s">
        <v>7</v>
      </c>
    </row>
    <row r="508" spans="1:124" x14ac:dyDescent="0.25">
      <c r="A508" s="7">
        <v>4.7798423098984264</v>
      </c>
      <c r="B508"/>
      <c r="C508"/>
      <c r="D508"/>
      <c r="E508"/>
      <c r="DS508" s="27" t="s">
        <v>8</v>
      </c>
      <c r="DT508" s="27" t="s">
        <v>7</v>
      </c>
    </row>
    <row r="509" spans="1:124" x14ac:dyDescent="0.25">
      <c r="A509" s="7">
        <v>4.6861199116651235</v>
      </c>
      <c r="B509"/>
      <c r="C509"/>
      <c r="D509"/>
      <c r="E509"/>
      <c r="DS509" s="27" t="s">
        <v>8</v>
      </c>
      <c r="DT509" s="27" t="s">
        <v>7</v>
      </c>
    </row>
    <row r="510" spans="1:124" x14ac:dyDescent="0.25">
      <c r="A510" s="7">
        <v>4.5942352075148269</v>
      </c>
      <c r="B510"/>
      <c r="C510"/>
      <c r="D510"/>
      <c r="E510"/>
      <c r="DS510" s="27" t="s">
        <v>8</v>
      </c>
      <c r="DT510" s="27" t="s">
        <v>7</v>
      </c>
    </row>
    <row r="511" spans="1:124" x14ac:dyDescent="0.25">
      <c r="A511" s="7">
        <v>4.5041521642302227</v>
      </c>
      <c r="B511"/>
      <c r="C511"/>
      <c r="D511"/>
      <c r="E511"/>
      <c r="DS511" s="27" t="s">
        <v>8</v>
      </c>
      <c r="DT511" s="27" t="s">
        <v>7</v>
      </c>
    </row>
    <row r="512" spans="1:124" x14ac:dyDescent="0.25">
      <c r="A512" s="7">
        <v>4.4158354551276693</v>
      </c>
      <c r="B512"/>
      <c r="C512"/>
      <c r="D512"/>
      <c r="E512"/>
      <c r="DS512" s="27" t="s">
        <v>8</v>
      </c>
      <c r="DT512" s="27" t="s">
        <v>7</v>
      </c>
    </row>
    <row r="513" spans="1:186" x14ac:dyDescent="0.25">
      <c r="A513" s="7">
        <v>4.3292504462035977</v>
      </c>
      <c r="B513"/>
      <c r="C513"/>
      <c r="D513"/>
      <c r="E513"/>
      <c r="DS513" s="27" t="s">
        <v>8</v>
      </c>
      <c r="DT513" s="27" t="s">
        <v>7</v>
      </c>
    </row>
    <row r="514" spans="1:186" x14ac:dyDescent="0.25">
      <c r="A514" s="7">
        <v>4.2443631825525463</v>
      </c>
      <c r="B514"/>
      <c r="C514"/>
      <c r="D514"/>
      <c r="E514"/>
      <c r="DS514" s="27" t="s">
        <v>8</v>
      </c>
      <c r="DT514" s="27" t="s">
        <v>7</v>
      </c>
    </row>
    <row r="515" spans="1:186" x14ac:dyDescent="0.25">
      <c r="A515" s="7">
        <v>4.1611403750515157</v>
      </c>
      <c r="B515"/>
      <c r="C515"/>
      <c r="D515"/>
      <c r="E515"/>
      <c r="DS515" s="27" t="s">
        <v>8</v>
      </c>
      <c r="DT515" s="27" t="s">
        <v>7</v>
      </c>
    </row>
    <row r="516" spans="1:186" x14ac:dyDescent="0.25">
      <c r="A516" s="7">
        <v>4.0795493873054074</v>
      </c>
      <c r="B516"/>
      <c r="C516"/>
      <c r="D516"/>
      <c r="E516"/>
      <c r="DS516" s="27" t="s">
        <v>8</v>
      </c>
      <c r="DT516" s="27" t="s">
        <v>7</v>
      </c>
    </row>
    <row r="517" spans="1:186" x14ac:dyDescent="0.25">
      <c r="A517" s="7">
        <v>3.9995582228484383</v>
      </c>
      <c r="B517"/>
      <c r="C517"/>
      <c r="D517"/>
      <c r="E517"/>
      <c r="DS517" s="27" t="s">
        <v>8</v>
      </c>
      <c r="DT517" s="27" t="s">
        <v>7</v>
      </c>
    </row>
    <row r="518" spans="1:186" x14ac:dyDescent="0.25">
      <c r="A518" s="7">
        <v>3.9211355125965079</v>
      </c>
      <c r="B518"/>
      <c r="C518"/>
      <c r="D518"/>
      <c r="E518"/>
      <c r="DS518" s="27" t="s">
        <v>8</v>
      </c>
      <c r="DT518" s="27" t="s">
        <v>7</v>
      </c>
    </row>
    <row r="519" spans="1:186" x14ac:dyDescent="0.25">
      <c r="A519" s="7">
        <v>3.844250502545596</v>
      </c>
      <c r="B519"/>
      <c r="C519"/>
      <c r="D519"/>
      <c r="E519"/>
      <c r="DS519" s="27" t="s">
        <v>8</v>
      </c>
      <c r="DT519" s="27" t="s">
        <v>7</v>
      </c>
    </row>
    <row r="520" spans="1:186" x14ac:dyDescent="0.25">
      <c r="A520" s="7">
        <v>3.7688730417113687</v>
      </c>
      <c r="B520"/>
      <c r="C520"/>
      <c r="D520"/>
      <c r="E520"/>
      <c r="DS520" s="27" t="s">
        <v>8</v>
      </c>
      <c r="DT520" s="27" t="s">
        <v>7</v>
      </c>
    </row>
    <row r="521" spans="1:186" x14ac:dyDescent="0.25">
      <c r="A521" s="7">
        <v>3.6949735703052635</v>
      </c>
      <c r="B521"/>
      <c r="C521"/>
      <c r="D521"/>
      <c r="E521"/>
      <c r="DS521" s="27" t="s">
        <v>8</v>
      </c>
      <c r="DT521" s="27" t="s">
        <v>7</v>
      </c>
      <c r="GC521" s="27" t="s">
        <v>8</v>
      </c>
    </row>
    <row r="522" spans="1:186" x14ac:dyDescent="0.25">
      <c r="A522" s="7">
        <v>3.6225231081424152</v>
      </c>
      <c r="B522"/>
      <c r="C522"/>
      <c r="D522"/>
      <c r="E522"/>
      <c r="DS522" s="27" t="s">
        <v>8</v>
      </c>
      <c r="DT522" s="27" t="s">
        <v>7</v>
      </c>
      <c r="GC522" s="27" t="s">
        <v>8</v>
      </c>
      <c r="GD522" s="27" t="s">
        <v>7</v>
      </c>
    </row>
    <row r="523" spans="1:186" x14ac:dyDescent="0.25">
      <c r="A523" s="7">
        <v>3.5514932432768775</v>
      </c>
      <c r="B523"/>
      <c r="C523"/>
      <c r="D523"/>
      <c r="E523"/>
      <c r="DS523" s="27" t="s">
        <v>8</v>
      </c>
      <c r="DT523" s="27" t="s">
        <v>7</v>
      </c>
      <c r="GC523" s="27" t="s">
        <v>8</v>
      </c>
      <c r="GD523" s="27" t="s">
        <v>7</v>
      </c>
    </row>
    <row r="524" spans="1:186" x14ac:dyDescent="0.25">
      <c r="A524" s="7">
        <v>3.4818561208596837</v>
      </c>
      <c r="B524"/>
      <c r="C524"/>
      <c r="D524"/>
      <c r="E524"/>
      <c r="DS524" s="27" t="s">
        <v>8</v>
      </c>
      <c r="DT524" s="27" t="s">
        <v>7</v>
      </c>
      <c r="FI524" s="27" t="s">
        <v>8</v>
      </c>
      <c r="GC524" s="27" t="s">
        <v>8</v>
      </c>
      <c r="GD524" s="27" t="s">
        <v>7</v>
      </c>
    </row>
    <row r="525" spans="1:186" x14ac:dyDescent="0.25">
      <c r="A525" s="7">
        <v>3.4135844322153761</v>
      </c>
      <c r="B525"/>
      <c r="C525"/>
      <c r="D525"/>
      <c r="E525"/>
      <c r="DS525" s="27" t="s">
        <v>8</v>
      </c>
      <c r="DT525" s="27" t="s">
        <v>7</v>
      </c>
      <c r="FI525" s="27" t="s">
        <v>8</v>
      </c>
      <c r="FJ525" s="27" t="s">
        <v>7</v>
      </c>
      <c r="GC525" s="27" t="s">
        <v>8</v>
      </c>
      <c r="GD525" s="27" t="s">
        <v>7</v>
      </c>
    </row>
    <row r="526" spans="1:186" x14ac:dyDescent="0.25">
      <c r="A526" s="7">
        <v>3.3466514041327216</v>
      </c>
      <c r="B526"/>
      <c r="C526"/>
      <c r="D526"/>
      <c r="E526"/>
      <c r="DS526" s="27" t="s">
        <v>8</v>
      </c>
      <c r="DT526" s="27" t="s">
        <v>7</v>
      </c>
      <c r="FI526" s="27" t="s">
        <v>8</v>
      </c>
      <c r="FJ526" s="27" t="s">
        <v>7</v>
      </c>
      <c r="GC526" s="27" t="s">
        <v>8</v>
      </c>
      <c r="GD526" s="27" t="s">
        <v>7</v>
      </c>
    </row>
    <row r="527" spans="1:186" x14ac:dyDescent="0.25">
      <c r="A527" s="7">
        <v>3.2810307883654133</v>
      </c>
      <c r="B527"/>
      <c r="C527"/>
      <c r="D527"/>
      <c r="E527"/>
      <c r="DS527" s="27" t="s">
        <v>8</v>
      </c>
      <c r="DT527" s="27" t="s">
        <v>7</v>
      </c>
      <c r="FI527" s="27" t="s">
        <v>8</v>
      </c>
      <c r="FJ527" s="27" t="s">
        <v>7</v>
      </c>
      <c r="GC527" s="27" t="s">
        <v>8</v>
      </c>
      <c r="GD527" s="27" t="s">
        <v>7</v>
      </c>
    </row>
    <row r="528" spans="1:186" x14ac:dyDescent="0.25">
      <c r="A528" s="7">
        <v>3.2166968513386403</v>
      </c>
      <c r="B528"/>
      <c r="C528"/>
      <c r="D528"/>
      <c r="E528"/>
      <c r="DS528" s="27" t="s">
        <v>8</v>
      </c>
      <c r="DT528" s="27" t="s">
        <v>7</v>
      </c>
      <c r="FI528" s="27" t="s">
        <v>8</v>
      </c>
      <c r="FJ528" s="27" t="s">
        <v>7</v>
      </c>
      <c r="GC528" s="27" t="s">
        <v>8</v>
      </c>
      <c r="GD528" s="27" t="s">
        <v>7</v>
      </c>
    </row>
    <row r="529" spans="1:189" x14ac:dyDescent="0.25">
      <c r="A529" s="7">
        <v>3.1536243640574906</v>
      </c>
      <c r="B529"/>
      <c r="C529"/>
      <c r="D529"/>
      <c r="E529"/>
      <c r="DS529" s="27" t="s">
        <v>8</v>
      </c>
      <c r="DT529" s="27" t="s">
        <v>7</v>
      </c>
      <c r="FI529" s="27" t="s">
        <v>8</v>
      </c>
      <c r="FJ529" s="27" t="s">
        <v>7</v>
      </c>
      <c r="GC529" s="27" t="s">
        <v>8</v>
      </c>
      <c r="GD529" s="27" t="s">
        <v>7</v>
      </c>
    </row>
    <row r="530" spans="1:189" x14ac:dyDescent="0.25">
      <c r="A530" s="7">
        <v>3.0917885922132262</v>
      </c>
      <c r="B530"/>
      <c r="C530"/>
      <c r="D530"/>
      <c r="E530"/>
      <c r="DS530" s="27" t="s">
        <v>8</v>
      </c>
      <c r="DT530" s="27" t="s">
        <v>7</v>
      </c>
      <c r="FI530" s="27" t="s">
        <v>8</v>
      </c>
      <c r="FJ530" s="27" t="s">
        <v>7</v>
      </c>
      <c r="GC530" s="27" t="s">
        <v>8</v>
      </c>
      <c r="GD530" s="27" t="s">
        <v>7</v>
      </c>
    </row>
    <row r="531" spans="1:189" x14ac:dyDescent="0.25">
      <c r="A531" s="7">
        <v>3.0311652864835552</v>
      </c>
      <c r="B531"/>
      <c r="C531"/>
      <c r="D531"/>
      <c r="E531"/>
      <c r="DS531" s="27" t="s">
        <v>8</v>
      </c>
      <c r="DT531" s="27" t="s">
        <v>7</v>
      </c>
      <c r="FI531" s="27" t="s">
        <v>8</v>
      </c>
      <c r="FJ531" s="27" t="s">
        <v>7</v>
      </c>
      <c r="GC531" s="27" t="s">
        <v>8</v>
      </c>
      <c r="GD531" s="27" t="s">
        <v>7</v>
      </c>
    </row>
    <row r="532" spans="1:189" x14ac:dyDescent="0.25">
      <c r="A532" s="7">
        <v>2.9717306730230932</v>
      </c>
      <c r="B532"/>
      <c r="C532"/>
      <c r="D532"/>
      <c r="E532"/>
      <c r="DS532" s="27" t="s">
        <v>8</v>
      </c>
      <c r="DT532" s="27" t="s">
        <v>7</v>
      </c>
      <c r="FI532" s="27" t="s">
        <v>8</v>
      </c>
      <c r="FJ532" s="27" t="s">
        <v>7</v>
      </c>
      <c r="GC532" s="27" t="s">
        <v>8</v>
      </c>
      <c r="GD532" s="27" t="s">
        <v>7</v>
      </c>
    </row>
    <row r="533" spans="1:189" x14ac:dyDescent="0.25">
      <c r="A533" s="7">
        <v>2.9134614441402875</v>
      </c>
      <c r="B533"/>
      <c r="C533"/>
      <c r="D533"/>
      <c r="E533"/>
      <c r="DS533" s="27" t="s">
        <v>8</v>
      </c>
      <c r="DT533" s="27" t="s">
        <v>7</v>
      </c>
      <c r="FG533" s="27" t="s">
        <v>8</v>
      </c>
      <c r="FI533" s="27" t="s">
        <v>8</v>
      </c>
      <c r="FJ533" s="27" t="s">
        <v>7</v>
      </c>
      <c r="GC533" s="27" t="s">
        <v>8</v>
      </c>
      <c r="GD533" s="27" t="s">
        <v>7</v>
      </c>
      <c r="GE533" s="27" t="s">
        <v>8</v>
      </c>
    </row>
    <row r="534" spans="1:189" x14ac:dyDescent="0.25">
      <c r="A534" s="7">
        <v>2.8563347491571447</v>
      </c>
      <c r="B534"/>
      <c r="C534"/>
      <c r="D534"/>
      <c r="E534"/>
      <c r="DS534" s="27" t="s">
        <v>8</v>
      </c>
      <c r="DT534" s="27" t="s">
        <v>7</v>
      </c>
      <c r="FG534" s="27" t="s">
        <v>8</v>
      </c>
      <c r="FH534" s="27" t="s">
        <v>7</v>
      </c>
      <c r="FI534" s="27" t="s">
        <v>8</v>
      </c>
      <c r="FJ534" s="27" t="s">
        <v>7</v>
      </c>
      <c r="GC534" s="27" t="s">
        <v>8</v>
      </c>
      <c r="GD534" s="27" t="s">
        <v>7</v>
      </c>
      <c r="GE534" s="27" t="s">
        <v>8</v>
      </c>
      <c r="GF534" s="27" t="s">
        <v>7</v>
      </c>
    </row>
    <row r="535" spans="1:189" x14ac:dyDescent="0.25">
      <c r="A535" s="7">
        <v>2.8003281854481812</v>
      </c>
      <c r="B535"/>
      <c r="C535"/>
      <c r="D535"/>
      <c r="E535"/>
      <c r="DS535" s="27" t="s">
        <v>8</v>
      </c>
      <c r="DT535" s="27" t="s">
        <v>7</v>
      </c>
      <c r="FG535" s="27" t="s">
        <v>8</v>
      </c>
      <c r="FH535" s="27" t="s">
        <v>7</v>
      </c>
      <c r="FI535" s="27" t="s">
        <v>8</v>
      </c>
      <c r="FJ535" s="27" t="s">
        <v>7</v>
      </c>
      <c r="GC535" s="27" t="s">
        <v>8</v>
      </c>
      <c r="GD535" s="27" t="s">
        <v>7</v>
      </c>
      <c r="GE535" s="27" t="s">
        <v>8</v>
      </c>
      <c r="GF535" s="27" t="s">
        <v>7</v>
      </c>
    </row>
    <row r="536" spans="1:189" x14ac:dyDescent="0.25">
      <c r="A536" s="7">
        <v>2.7454197896550796</v>
      </c>
      <c r="B536"/>
      <c r="C536"/>
      <c r="D536"/>
      <c r="E536"/>
      <c r="DS536" s="27" t="s">
        <v>8</v>
      </c>
      <c r="DT536" s="27" t="s">
        <v>7</v>
      </c>
      <c r="EY536" s="27" t="s">
        <v>8</v>
      </c>
      <c r="FG536" s="27" t="s">
        <v>8</v>
      </c>
      <c r="FH536" s="27" t="s">
        <v>7</v>
      </c>
      <c r="FI536" s="27" t="s">
        <v>8</v>
      </c>
      <c r="FJ536" s="27" t="s">
        <v>7</v>
      </c>
      <c r="FK536" s="27" t="s">
        <v>8</v>
      </c>
      <c r="GC536" s="27" t="s">
        <v>8</v>
      </c>
      <c r="GD536" s="27" t="s">
        <v>7</v>
      </c>
      <c r="GE536" s="27" t="s">
        <v>8</v>
      </c>
      <c r="GF536" s="27" t="s">
        <v>7</v>
      </c>
    </row>
    <row r="537" spans="1:189" x14ac:dyDescent="0.25">
      <c r="A537" s="7">
        <v>2.6915880290736074</v>
      </c>
      <c r="B537"/>
      <c r="C537"/>
      <c r="D537"/>
      <c r="E537"/>
      <c r="DS537" s="27" t="s">
        <v>8</v>
      </c>
      <c r="DT537" s="27" t="s">
        <v>7</v>
      </c>
      <c r="EY537" s="27" t="s">
        <v>8</v>
      </c>
      <c r="EZ537" s="27" t="s">
        <v>7</v>
      </c>
      <c r="FG537" s="27" t="s">
        <v>8</v>
      </c>
      <c r="FH537" s="27" t="s">
        <v>7</v>
      </c>
      <c r="FI537" s="27" t="s">
        <v>8</v>
      </c>
      <c r="FJ537" s="27" t="s">
        <v>7</v>
      </c>
      <c r="FK537" s="27" t="s">
        <v>8</v>
      </c>
      <c r="FL537" s="27" t="s">
        <v>7</v>
      </c>
      <c r="FM537" s="27" t="s">
        <v>8</v>
      </c>
      <c r="GC537" s="27" t="s">
        <v>8</v>
      </c>
      <c r="GD537" s="27" t="s">
        <v>7</v>
      </c>
      <c r="GE537" s="27" t="s">
        <v>8</v>
      </c>
      <c r="GF537" s="27" t="s">
        <v>7</v>
      </c>
    </row>
    <row r="538" spans="1:189" x14ac:dyDescent="0.25">
      <c r="A538" s="7">
        <v>2.6388117932094191</v>
      </c>
      <c r="B538"/>
      <c r="C538"/>
      <c r="D538"/>
      <c r="E538"/>
      <c r="DS538" s="27" t="s">
        <v>8</v>
      </c>
      <c r="DT538" s="27" t="s">
        <v>7</v>
      </c>
      <c r="EY538" s="27" t="s">
        <v>8</v>
      </c>
      <c r="EZ538" s="27" t="s">
        <v>7</v>
      </c>
      <c r="FE538" s="27" t="s">
        <v>8</v>
      </c>
      <c r="FG538" s="27" t="s">
        <v>8</v>
      </c>
      <c r="FH538" s="27" t="s">
        <v>7</v>
      </c>
      <c r="FI538" s="27" t="s">
        <v>8</v>
      </c>
      <c r="FJ538" s="27" t="s">
        <v>7</v>
      </c>
      <c r="FK538" s="27" t="s">
        <v>8</v>
      </c>
      <c r="FL538" s="27" t="s">
        <v>7</v>
      </c>
      <c r="FM538" s="27" t="s">
        <v>8</v>
      </c>
      <c r="FN538" s="27" t="s">
        <v>7</v>
      </c>
      <c r="GC538" s="27" t="s">
        <v>8</v>
      </c>
      <c r="GD538" s="27" t="s">
        <v>7</v>
      </c>
      <c r="GE538" s="27" t="s">
        <v>8</v>
      </c>
      <c r="GF538" s="27" t="s">
        <v>7</v>
      </c>
    </row>
    <row r="539" spans="1:189" x14ac:dyDescent="0.25">
      <c r="A539" s="7">
        <v>2.5870703854994304</v>
      </c>
      <c r="B539"/>
      <c r="C539"/>
      <c r="D539"/>
      <c r="E539"/>
      <c r="DS539" s="27" t="s">
        <v>8</v>
      </c>
      <c r="DT539" s="27" t="s">
        <v>7</v>
      </c>
      <c r="EA539" s="27" t="s">
        <v>8</v>
      </c>
      <c r="EY539" s="27" t="s">
        <v>8</v>
      </c>
      <c r="EZ539" s="27" t="s">
        <v>7</v>
      </c>
      <c r="FE539" s="27" t="s">
        <v>8</v>
      </c>
      <c r="FF539" s="27" t="s">
        <v>7</v>
      </c>
      <c r="FG539" s="27" t="s">
        <v>8</v>
      </c>
      <c r="FH539" s="27" t="s">
        <v>7</v>
      </c>
      <c r="FI539" s="27" t="s">
        <v>8</v>
      </c>
      <c r="FJ539" s="27" t="s">
        <v>7</v>
      </c>
      <c r="FK539" s="27" t="s">
        <v>8</v>
      </c>
      <c r="FL539" s="27" t="s">
        <v>7</v>
      </c>
      <c r="FM539" s="27" t="s">
        <v>8</v>
      </c>
      <c r="FN539" s="27" t="s">
        <v>7</v>
      </c>
      <c r="GC539" s="27" t="s">
        <v>8</v>
      </c>
      <c r="GD539" s="27" t="s">
        <v>7</v>
      </c>
      <c r="GE539" s="27" t="s">
        <v>8</v>
      </c>
      <c r="GF539" s="27" t="s">
        <v>7</v>
      </c>
    </row>
    <row r="540" spans="1:189" x14ac:dyDescent="0.25">
      <c r="A540" s="7">
        <v>2.53634351519552</v>
      </c>
      <c r="B540"/>
      <c r="C540"/>
      <c r="D540"/>
      <c r="E540"/>
      <c r="DS540" s="27" t="s">
        <v>8</v>
      </c>
      <c r="DT540" s="27" t="s">
        <v>7</v>
      </c>
      <c r="EA540" s="27" t="s">
        <v>8</v>
      </c>
      <c r="EB540" s="27" t="s">
        <v>7</v>
      </c>
      <c r="EY540" s="27" t="s">
        <v>8</v>
      </c>
      <c r="EZ540" s="27" t="s">
        <v>7</v>
      </c>
      <c r="FA540" s="27" t="s">
        <v>8</v>
      </c>
      <c r="FE540" s="27" t="s">
        <v>8</v>
      </c>
      <c r="FF540" s="27" t="s">
        <v>7</v>
      </c>
      <c r="FG540" s="27" t="s">
        <v>8</v>
      </c>
      <c r="FH540" s="27" t="s">
        <v>7</v>
      </c>
      <c r="FJ540" s="27" t="s">
        <v>7</v>
      </c>
      <c r="FK540" s="27" t="s">
        <v>8</v>
      </c>
      <c r="FL540" s="27" t="s">
        <v>7</v>
      </c>
      <c r="FM540" s="27" t="s">
        <v>8</v>
      </c>
      <c r="FN540" s="27" t="s">
        <v>7</v>
      </c>
      <c r="GC540" s="27" t="s">
        <v>8</v>
      </c>
      <c r="GD540" s="27" t="s">
        <v>7</v>
      </c>
      <c r="GE540" s="27" t="s">
        <v>8</v>
      </c>
      <c r="GF540" s="27" t="s">
        <v>7</v>
      </c>
    </row>
    <row r="541" spans="1:189" x14ac:dyDescent="0.25">
      <c r="A541" s="7">
        <v>2.4866112894073726</v>
      </c>
      <c r="B541"/>
      <c r="C541"/>
      <c r="D541"/>
      <c r="E541"/>
      <c r="DS541" s="27" t="s">
        <v>8</v>
      </c>
      <c r="DT541" s="27" t="s">
        <v>7</v>
      </c>
      <c r="EA541" s="27" t="s">
        <v>8</v>
      </c>
      <c r="EB541" s="27" t="s">
        <v>7</v>
      </c>
      <c r="EY541" s="27" t="s">
        <v>8</v>
      </c>
      <c r="EZ541" s="27" t="s">
        <v>7</v>
      </c>
      <c r="FA541" s="27" t="s">
        <v>8</v>
      </c>
      <c r="FB541" s="27" t="s">
        <v>7</v>
      </c>
      <c r="FE541" s="27" t="s">
        <v>8</v>
      </c>
      <c r="FF541" s="27" t="s">
        <v>7</v>
      </c>
      <c r="FG541" s="27" t="s">
        <v>8</v>
      </c>
      <c r="FJ541" s="27" t="s">
        <v>7</v>
      </c>
      <c r="FL541" s="27" t="s">
        <v>7</v>
      </c>
      <c r="FM541" s="27" t="s">
        <v>8</v>
      </c>
      <c r="FN541" s="27" t="s">
        <v>7</v>
      </c>
      <c r="GC541" s="27" t="s">
        <v>8</v>
      </c>
      <c r="GD541" s="27" t="s">
        <v>7</v>
      </c>
      <c r="GE541" s="27" t="s">
        <v>8</v>
      </c>
      <c r="GF541" s="27" t="s">
        <v>7</v>
      </c>
    </row>
    <row r="542" spans="1:189" x14ac:dyDescent="0.25">
      <c r="A542" s="7">
        <v>2.4378542053013459</v>
      </c>
      <c r="B542"/>
      <c r="C542"/>
      <c r="D542"/>
      <c r="E542"/>
      <c r="DS542" s="27" t="s">
        <v>8</v>
      </c>
      <c r="DT542" s="27" t="s">
        <v>7</v>
      </c>
      <c r="DY542" s="27" t="s">
        <v>8</v>
      </c>
      <c r="EA542" s="27" t="s">
        <v>8</v>
      </c>
      <c r="EB542" s="27" t="s">
        <v>7</v>
      </c>
      <c r="ES542" s="27" t="s">
        <v>8</v>
      </c>
      <c r="EY542" s="27" t="s">
        <v>8</v>
      </c>
      <c r="EZ542" s="27" t="s">
        <v>7</v>
      </c>
      <c r="FA542" s="27" t="s">
        <v>8</v>
      </c>
      <c r="FB542" s="27" t="s">
        <v>7</v>
      </c>
      <c r="FE542" s="27" t="s">
        <v>8</v>
      </c>
      <c r="FF542" s="27" t="s">
        <v>7</v>
      </c>
      <c r="FG542" s="27" t="s">
        <v>8</v>
      </c>
      <c r="FL542" s="27" t="s">
        <v>7</v>
      </c>
      <c r="FN542" s="27" t="s">
        <v>7</v>
      </c>
      <c r="GC542" s="27" t="s">
        <v>8</v>
      </c>
      <c r="GD542" s="27" t="s">
        <v>7</v>
      </c>
      <c r="GE542" s="27" t="s">
        <v>8</v>
      </c>
      <c r="GF542" s="27" t="s">
        <v>7</v>
      </c>
    </row>
    <row r="543" spans="1:189" x14ac:dyDescent="0.25">
      <c r="A543" s="7">
        <v>2.3900531424522997</v>
      </c>
      <c r="B543"/>
      <c r="C543"/>
      <c r="D543"/>
      <c r="E543"/>
      <c r="DS543" s="27" t="s">
        <v>8</v>
      </c>
      <c r="DT543" s="27" t="s">
        <v>7</v>
      </c>
      <c r="DY543" s="27" t="s">
        <v>8</v>
      </c>
      <c r="DZ543" s="27" t="s">
        <v>7</v>
      </c>
      <c r="EA543" s="27" t="s">
        <v>8</v>
      </c>
      <c r="EB543" s="27" t="s">
        <v>7</v>
      </c>
      <c r="ES543" s="27" t="s">
        <v>8</v>
      </c>
      <c r="ET543" s="27" t="s">
        <v>7</v>
      </c>
      <c r="EW543" s="27" t="s">
        <v>8</v>
      </c>
      <c r="EY543" s="27" t="s">
        <v>8</v>
      </c>
      <c r="EZ543" s="27" t="s">
        <v>7</v>
      </c>
      <c r="FA543" s="27" t="s">
        <v>8</v>
      </c>
      <c r="FB543" s="27" t="s">
        <v>7</v>
      </c>
      <c r="FE543" s="27" t="s">
        <v>8</v>
      </c>
      <c r="FF543" s="27" t="s">
        <v>7</v>
      </c>
      <c r="FG543" s="27" t="s">
        <v>8</v>
      </c>
      <c r="FN543" s="27" t="s">
        <v>7</v>
      </c>
      <c r="FO543" s="27" t="s">
        <v>8</v>
      </c>
      <c r="FQ543" s="27" t="s">
        <v>8</v>
      </c>
      <c r="GC543" s="27" t="s">
        <v>8</v>
      </c>
      <c r="GD543" s="27" t="s">
        <v>7</v>
      </c>
      <c r="GE543" s="27" t="s">
        <v>8</v>
      </c>
      <c r="GF543" s="27" t="s">
        <v>7</v>
      </c>
    </row>
    <row r="544" spans="1:189" x14ac:dyDescent="0.25">
      <c r="A544" s="7">
        <v>2.343189355345392</v>
      </c>
      <c r="B544"/>
      <c r="C544"/>
      <c r="D544"/>
      <c r="E544"/>
      <c r="DS544" s="27" t="s">
        <v>8</v>
      </c>
      <c r="DT544" s="27" t="s">
        <v>7</v>
      </c>
      <c r="DY544" s="27" t="s">
        <v>8</v>
      </c>
      <c r="DZ544" s="27" t="s">
        <v>7</v>
      </c>
      <c r="EA544" s="27" t="s">
        <v>8</v>
      </c>
      <c r="EB544" s="27" t="s">
        <v>7</v>
      </c>
      <c r="ES544" s="27" t="s">
        <v>8</v>
      </c>
      <c r="ET544" s="27" t="s">
        <v>7</v>
      </c>
      <c r="EW544" s="27" t="s">
        <v>8</v>
      </c>
      <c r="EX544" s="27" t="s">
        <v>7</v>
      </c>
      <c r="EY544" s="27" t="s">
        <v>8</v>
      </c>
      <c r="EZ544" s="27" t="s">
        <v>7</v>
      </c>
      <c r="FA544" s="27" t="s">
        <v>8</v>
      </c>
      <c r="FB544" s="27" t="s">
        <v>7</v>
      </c>
      <c r="FE544" s="27" t="s">
        <v>8</v>
      </c>
      <c r="FF544" s="27" t="s">
        <v>7</v>
      </c>
      <c r="FG544" s="27" t="s">
        <v>8</v>
      </c>
      <c r="FN544" s="27" t="s">
        <v>7</v>
      </c>
      <c r="FO544" s="27" t="s">
        <v>8</v>
      </c>
      <c r="FP544" s="27" t="s">
        <v>7</v>
      </c>
      <c r="FQ544" s="27" t="s">
        <v>8</v>
      </c>
      <c r="FR544" s="27" t="s">
        <v>7</v>
      </c>
      <c r="GC544" s="27" t="s">
        <v>8</v>
      </c>
      <c r="GD544" s="27" t="s">
        <v>7</v>
      </c>
      <c r="GE544" s="27" t="s">
        <v>8</v>
      </c>
      <c r="GF544" s="27" t="s">
        <v>7</v>
      </c>
      <c r="GG544" s="27" t="s">
        <v>8</v>
      </c>
    </row>
    <row r="545" spans="1:302" x14ac:dyDescent="0.25">
      <c r="A545" s="7">
        <v>2.2972444660248938</v>
      </c>
      <c r="B545"/>
      <c r="C545"/>
      <c r="D545"/>
      <c r="E545"/>
      <c r="DS545" s="27" t="s">
        <v>8</v>
      </c>
      <c r="DT545" s="27" t="s">
        <v>7</v>
      </c>
      <c r="DY545" s="27" t="s">
        <v>8</v>
      </c>
      <c r="DZ545" s="27" t="s">
        <v>7</v>
      </c>
      <c r="EA545" s="27" t="s">
        <v>8</v>
      </c>
      <c r="EB545" s="27" t="s">
        <v>7</v>
      </c>
      <c r="ES545" s="27" t="s">
        <v>8</v>
      </c>
      <c r="ET545" s="27" t="s">
        <v>7</v>
      </c>
      <c r="EW545" s="27" t="s">
        <v>8</v>
      </c>
      <c r="EX545" s="27" t="s">
        <v>7</v>
      </c>
      <c r="EY545" s="27" t="s">
        <v>8</v>
      </c>
      <c r="EZ545" s="27" t="s">
        <v>7</v>
      </c>
      <c r="FA545" s="27" t="s">
        <v>8</v>
      </c>
      <c r="FB545" s="27" t="s">
        <v>7</v>
      </c>
      <c r="FE545" s="27" t="s">
        <v>8</v>
      </c>
      <c r="FF545" s="27" t="s">
        <v>7</v>
      </c>
      <c r="FG545" s="27" t="s">
        <v>8</v>
      </c>
      <c r="FN545" s="27" t="s">
        <v>7</v>
      </c>
      <c r="FO545" s="27" t="s">
        <v>8</v>
      </c>
      <c r="FP545" s="27" t="s">
        <v>7</v>
      </c>
      <c r="FQ545" s="27" t="s">
        <v>8</v>
      </c>
      <c r="FR545" s="27" t="s">
        <v>7</v>
      </c>
      <c r="GC545" s="27" t="s">
        <v>8</v>
      </c>
      <c r="GD545" s="27" t="s">
        <v>7</v>
      </c>
      <c r="GE545" s="27" t="s">
        <v>8</v>
      </c>
      <c r="GF545" s="27" t="s">
        <v>7</v>
      </c>
      <c r="GG545" s="27" t="s">
        <v>8</v>
      </c>
      <c r="GH545" s="27" t="s">
        <v>7</v>
      </c>
    </row>
    <row r="546" spans="1:302" x14ac:dyDescent="0.25">
      <c r="A546" s="7">
        <v>2.252200456887151</v>
      </c>
      <c r="B546"/>
      <c r="C546"/>
      <c r="D546"/>
      <c r="E546"/>
      <c r="DS546" s="27" t="s">
        <v>8</v>
      </c>
      <c r="DT546" s="27" t="s">
        <v>7</v>
      </c>
      <c r="DY546" s="27" t="s">
        <v>8</v>
      </c>
      <c r="DZ546" s="27" t="s">
        <v>7</v>
      </c>
      <c r="EA546" s="27" t="s">
        <v>8</v>
      </c>
      <c r="EB546" s="27" t="s">
        <v>7</v>
      </c>
      <c r="ES546" s="27" t="s">
        <v>8</v>
      </c>
      <c r="ET546" s="27" t="s">
        <v>7</v>
      </c>
      <c r="EW546" s="27" t="s">
        <v>8</v>
      </c>
      <c r="EX546" s="27" t="s">
        <v>7</v>
      </c>
      <c r="EY546" s="27" t="s">
        <v>8</v>
      </c>
      <c r="EZ546" s="27" t="s">
        <v>7</v>
      </c>
      <c r="FA546" s="27" t="s">
        <v>8</v>
      </c>
      <c r="FB546" s="27" t="s">
        <v>7</v>
      </c>
      <c r="FE546" s="27" t="s">
        <v>8</v>
      </c>
      <c r="FF546" s="27" t="s">
        <v>7</v>
      </c>
      <c r="FG546" s="27" t="s">
        <v>8</v>
      </c>
      <c r="FN546" s="27" t="s">
        <v>7</v>
      </c>
      <c r="FO546" s="27" t="s">
        <v>8</v>
      </c>
      <c r="FP546" s="27" t="s">
        <v>7</v>
      </c>
      <c r="FQ546" s="27" t="s">
        <v>8</v>
      </c>
      <c r="FR546" s="27" t="s">
        <v>7</v>
      </c>
      <c r="GC546" s="27" t="s">
        <v>8</v>
      </c>
      <c r="GD546" s="27" t="s">
        <v>7</v>
      </c>
      <c r="GE546" s="27" t="s">
        <v>8</v>
      </c>
      <c r="GF546" s="27" t="s">
        <v>7</v>
      </c>
      <c r="GG546" s="27" t="s">
        <v>8</v>
      </c>
      <c r="GH546" s="27" t="s">
        <v>7</v>
      </c>
    </row>
    <row r="547" spans="1:302" x14ac:dyDescent="0.25">
      <c r="A547" s="7">
        <v>2.208039663614854</v>
      </c>
      <c r="B547"/>
      <c r="C547"/>
      <c r="D547"/>
      <c r="E547"/>
      <c r="DS547" s="27" t="s">
        <v>8</v>
      </c>
      <c r="DT547" s="27" t="s">
        <v>7</v>
      </c>
      <c r="DY547" s="27" t="s">
        <v>8</v>
      </c>
      <c r="DZ547" s="27" t="s">
        <v>7</v>
      </c>
      <c r="EA547" s="27" t="s">
        <v>8</v>
      </c>
      <c r="EB547" s="27" t="s">
        <v>7</v>
      </c>
      <c r="ES547" s="27" t="s">
        <v>8</v>
      </c>
      <c r="ET547" s="27" t="s">
        <v>7</v>
      </c>
      <c r="EU547" s="27" t="s">
        <v>8</v>
      </c>
      <c r="EW547" s="27" t="s">
        <v>8</v>
      </c>
      <c r="EX547" s="27" t="s">
        <v>7</v>
      </c>
      <c r="EY547" s="27" t="s">
        <v>8</v>
      </c>
      <c r="EZ547" s="27" t="s">
        <v>7</v>
      </c>
      <c r="FA547" s="27" t="s">
        <v>8</v>
      </c>
      <c r="FB547" s="27" t="s">
        <v>7</v>
      </c>
      <c r="FC547" s="27" t="s">
        <v>8</v>
      </c>
      <c r="FE547" s="27" t="s">
        <v>8</v>
      </c>
      <c r="FF547" s="27" t="s">
        <v>7</v>
      </c>
      <c r="FN547" s="27" t="s">
        <v>7</v>
      </c>
      <c r="FP547" s="27" t="s">
        <v>7</v>
      </c>
      <c r="FQ547" s="27" t="s">
        <v>8</v>
      </c>
      <c r="FR547" s="27" t="s">
        <v>7</v>
      </c>
      <c r="GC547" s="27" t="s">
        <v>8</v>
      </c>
      <c r="GD547" s="27" t="s">
        <v>7</v>
      </c>
      <c r="GF547" s="27" t="s">
        <v>7</v>
      </c>
      <c r="GG547" s="27" t="s">
        <v>8</v>
      </c>
      <c r="GH547" s="27" t="s">
        <v>7</v>
      </c>
    </row>
    <row r="548" spans="1:302" x14ac:dyDescent="0.25">
      <c r="A548" s="7">
        <v>2.1647447682498568</v>
      </c>
      <c r="B548"/>
      <c r="C548"/>
      <c r="D548"/>
      <c r="E548"/>
      <c r="DS548" s="27" t="s">
        <v>8</v>
      </c>
      <c r="DT548" s="27" t="s">
        <v>7</v>
      </c>
      <c r="DY548" s="27" t="s">
        <v>8</v>
      </c>
      <c r="DZ548" s="27" t="s">
        <v>7</v>
      </c>
      <c r="EA548" s="27" t="s">
        <v>8</v>
      </c>
      <c r="EB548" s="27" t="s">
        <v>7</v>
      </c>
      <c r="ES548" s="27" t="s">
        <v>8</v>
      </c>
      <c r="ET548" s="27" t="s">
        <v>7</v>
      </c>
      <c r="EU548" s="27" t="s">
        <v>8</v>
      </c>
      <c r="EV548" s="27" t="s">
        <v>7</v>
      </c>
      <c r="EW548" s="27" t="s">
        <v>8</v>
      </c>
      <c r="EX548" s="27" t="s">
        <v>7</v>
      </c>
      <c r="EY548" s="27" t="s">
        <v>8</v>
      </c>
      <c r="EZ548" s="27" t="s">
        <v>7</v>
      </c>
      <c r="FA548" s="27" t="s">
        <v>8</v>
      </c>
      <c r="FB548" s="27" t="s">
        <v>7</v>
      </c>
      <c r="FC548" s="27" t="s">
        <v>8</v>
      </c>
      <c r="FD548" s="27" t="s">
        <v>7</v>
      </c>
      <c r="FE548" s="27" t="s">
        <v>8</v>
      </c>
      <c r="FP548" s="27" t="s">
        <v>7</v>
      </c>
      <c r="FQ548" s="27" t="s">
        <v>8</v>
      </c>
      <c r="FR548" s="27" t="s">
        <v>7</v>
      </c>
      <c r="GC548" s="27" t="s">
        <v>8</v>
      </c>
      <c r="GF548" s="27" t="s">
        <v>7</v>
      </c>
      <c r="GG548" s="27" t="s">
        <v>8</v>
      </c>
      <c r="GH548" s="27" t="s">
        <v>7</v>
      </c>
    </row>
    <row r="549" spans="1:302" x14ac:dyDescent="0.25">
      <c r="A549" s="7">
        <v>2.1222987924018204</v>
      </c>
      <c r="B549"/>
      <c r="C549"/>
      <c r="D549"/>
      <c r="E549"/>
      <c r="DS549" s="27" t="s">
        <v>8</v>
      </c>
      <c r="DT549" s="27" t="s">
        <v>7</v>
      </c>
      <c r="DY549" s="27" t="s">
        <v>8</v>
      </c>
      <c r="DZ549" s="27" t="s">
        <v>7</v>
      </c>
      <c r="EA549" s="27" t="s">
        <v>8</v>
      </c>
      <c r="EB549" s="27" t="s">
        <v>7</v>
      </c>
      <c r="ES549" s="27" t="s">
        <v>8</v>
      </c>
      <c r="ET549" s="27" t="s">
        <v>7</v>
      </c>
      <c r="EU549" s="27" t="s">
        <v>8</v>
      </c>
      <c r="EV549" s="27" t="s">
        <v>7</v>
      </c>
      <c r="EW549" s="27" t="s">
        <v>8</v>
      </c>
      <c r="EX549" s="27" t="s">
        <v>7</v>
      </c>
      <c r="EY549" s="27" t="s">
        <v>8</v>
      </c>
      <c r="EZ549" s="27" t="s">
        <v>7</v>
      </c>
      <c r="FA549" s="27" t="s">
        <v>8</v>
      </c>
      <c r="FB549" s="27" t="s">
        <v>7</v>
      </c>
      <c r="FC549" s="27" t="s">
        <v>8</v>
      </c>
      <c r="FD549" s="27" t="s">
        <v>7</v>
      </c>
      <c r="FE549" s="27" t="s">
        <v>8</v>
      </c>
      <c r="FP549" s="27" t="s">
        <v>7</v>
      </c>
      <c r="FQ549" s="27" t="s">
        <v>8</v>
      </c>
      <c r="FR549" s="27" t="s">
        <v>7</v>
      </c>
      <c r="FY549" s="27" t="s">
        <v>8</v>
      </c>
      <c r="GC549" s="27" t="s">
        <v>8</v>
      </c>
      <c r="GF549" s="27" t="s">
        <v>7</v>
      </c>
      <c r="GG549" s="27" t="s">
        <v>8</v>
      </c>
      <c r="GH549" s="27" t="s">
        <v>7</v>
      </c>
    </row>
    <row r="550" spans="1:302" x14ac:dyDescent="0.25">
      <c r="A550" s="7">
        <v>2.0806850905900198</v>
      </c>
      <c r="B550"/>
      <c r="C550"/>
      <c r="D550"/>
      <c r="E550"/>
      <c r="DS550" s="27" t="s">
        <v>8</v>
      </c>
      <c r="DT550" s="27" t="s">
        <v>7</v>
      </c>
      <c r="DY550" s="27" t="s">
        <v>8</v>
      </c>
      <c r="DZ550" s="27" t="s">
        <v>7</v>
      </c>
      <c r="EA550" s="27" t="s">
        <v>8</v>
      </c>
      <c r="EB550" s="27" t="s">
        <v>7</v>
      </c>
      <c r="EC550" s="27" t="s">
        <v>8</v>
      </c>
      <c r="ES550" s="27" t="s">
        <v>8</v>
      </c>
      <c r="ET550" s="27" t="s">
        <v>7</v>
      </c>
      <c r="EU550" s="27" t="s">
        <v>8</v>
      </c>
      <c r="EV550" s="27" t="s">
        <v>7</v>
      </c>
      <c r="EW550" s="27" t="s">
        <v>8</v>
      </c>
      <c r="EX550" s="27" t="s">
        <v>7</v>
      </c>
      <c r="EY550" s="27" t="s">
        <v>8</v>
      </c>
      <c r="EZ550" s="27" t="s">
        <v>7</v>
      </c>
      <c r="FB550" s="27" t="s">
        <v>7</v>
      </c>
      <c r="FC550" s="27" t="s">
        <v>8</v>
      </c>
      <c r="FD550" s="27" t="s">
        <v>7</v>
      </c>
      <c r="FE550" s="27" t="s">
        <v>8</v>
      </c>
      <c r="FP550" s="27" t="s">
        <v>7</v>
      </c>
      <c r="FR550" s="27" t="s">
        <v>7</v>
      </c>
      <c r="FY550" s="27" t="s">
        <v>8</v>
      </c>
      <c r="FZ550" s="27" t="s">
        <v>7</v>
      </c>
      <c r="GC550" s="27" t="s">
        <v>8</v>
      </c>
      <c r="GF550" s="27" t="s">
        <v>7</v>
      </c>
      <c r="GG550" s="27" t="s">
        <v>8</v>
      </c>
      <c r="GH550" s="27" t="s">
        <v>7</v>
      </c>
    </row>
    <row r="551" spans="1:302" x14ac:dyDescent="0.25">
      <c r="A551" s="7">
        <v>2.0398873437157055</v>
      </c>
      <c r="B551"/>
      <c r="C551"/>
      <c r="D551"/>
      <c r="E551"/>
      <c r="DS551" s="27" t="s">
        <v>8</v>
      </c>
      <c r="DT551" s="27" t="s">
        <v>7</v>
      </c>
      <c r="DY551" s="27" t="s">
        <v>8</v>
      </c>
      <c r="DZ551" s="27" t="s">
        <v>7</v>
      </c>
      <c r="EA551" s="27" t="s">
        <v>8</v>
      </c>
      <c r="EB551" s="27" t="s">
        <v>7</v>
      </c>
      <c r="EC551" s="27" t="s">
        <v>8</v>
      </c>
      <c r="ED551" s="27" t="s">
        <v>7</v>
      </c>
      <c r="ES551" s="27" t="s">
        <v>8</v>
      </c>
      <c r="ET551" s="27" t="s">
        <v>7</v>
      </c>
      <c r="EU551" s="27" t="s">
        <v>8</v>
      </c>
      <c r="EV551" s="27" t="s">
        <v>7</v>
      </c>
      <c r="EW551" s="27" t="s">
        <v>8</v>
      </c>
      <c r="EX551" s="27" t="s">
        <v>7</v>
      </c>
      <c r="EY551" s="27" t="s">
        <v>8</v>
      </c>
      <c r="FB551" s="27" t="s">
        <v>7</v>
      </c>
      <c r="FC551" s="27" t="s">
        <v>8</v>
      </c>
      <c r="FD551" s="27" t="s">
        <v>7</v>
      </c>
      <c r="FR551" s="27" t="s">
        <v>7</v>
      </c>
      <c r="FY551" s="27" t="s">
        <v>8</v>
      </c>
      <c r="FZ551" s="27" t="s">
        <v>7</v>
      </c>
      <c r="GA551" s="27" t="s">
        <v>8</v>
      </c>
      <c r="GC551" s="27" t="s">
        <v>8</v>
      </c>
      <c r="GF551" s="27" t="s">
        <v>7</v>
      </c>
      <c r="GH551" s="27" t="s">
        <v>7</v>
      </c>
      <c r="GI551" s="27" t="s">
        <v>8</v>
      </c>
    </row>
    <row r="552" spans="1:302" x14ac:dyDescent="0.25">
      <c r="A552" s="7">
        <v>1.9998895526624565</v>
      </c>
      <c r="B552"/>
      <c r="C552"/>
      <c r="D552"/>
      <c r="E552"/>
      <c r="DS552" s="27" t="s">
        <v>8</v>
      </c>
      <c r="DT552" s="27" t="s">
        <v>7</v>
      </c>
      <c r="DY552" s="27" t="s">
        <v>8</v>
      </c>
      <c r="DZ552" s="27" t="s">
        <v>7</v>
      </c>
      <c r="EA552" s="27" t="s">
        <v>8</v>
      </c>
      <c r="EB552" s="27" t="s">
        <v>7</v>
      </c>
      <c r="EC552" s="27" t="s">
        <v>8</v>
      </c>
      <c r="ED552" s="27" t="s">
        <v>7</v>
      </c>
      <c r="ES552" s="27" t="s">
        <v>8</v>
      </c>
      <c r="ET552" s="27" t="s">
        <v>7</v>
      </c>
      <c r="EU552" s="27" t="s">
        <v>8</v>
      </c>
      <c r="EV552" s="27" t="s">
        <v>7</v>
      </c>
      <c r="EW552" s="27" t="s">
        <v>8</v>
      </c>
      <c r="EX552" s="27" t="s">
        <v>7</v>
      </c>
      <c r="FB552" s="27" t="s">
        <v>7</v>
      </c>
      <c r="FC552" s="27" t="s">
        <v>8</v>
      </c>
      <c r="FR552" s="27" t="s">
        <v>7</v>
      </c>
      <c r="FW552" s="27" t="s">
        <v>8</v>
      </c>
      <c r="FY552" s="27" t="s">
        <v>8</v>
      </c>
      <c r="FZ552" s="27" t="s">
        <v>7</v>
      </c>
      <c r="GA552" s="27" t="s">
        <v>8</v>
      </c>
      <c r="GB552" s="27" t="s">
        <v>7</v>
      </c>
      <c r="GC552" s="27" t="s">
        <v>8</v>
      </c>
      <c r="GH552" s="27" t="s">
        <v>7</v>
      </c>
      <c r="GI552" s="27" t="s">
        <v>8</v>
      </c>
      <c r="GJ552" s="27" t="s">
        <v>7</v>
      </c>
    </row>
    <row r="553" spans="1:302" x14ac:dyDescent="0.25">
      <c r="A553" s="7">
        <v>1.9606760320220162</v>
      </c>
      <c r="B553"/>
      <c r="C553"/>
      <c r="D553"/>
      <c r="E553"/>
      <c r="DS553" s="27" t="s">
        <v>8</v>
      </c>
      <c r="DT553" s="27" t="s">
        <v>7</v>
      </c>
      <c r="DY553" s="27" t="s">
        <v>8</v>
      </c>
      <c r="DZ553" s="27" t="s">
        <v>7</v>
      </c>
      <c r="EA553" s="27" t="s">
        <v>8</v>
      </c>
      <c r="EB553" s="27" t="s">
        <v>7</v>
      </c>
      <c r="EC553" s="27" t="s">
        <v>8</v>
      </c>
      <c r="ED553" s="27" t="s">
        <v>7</v>
      </c>
      <c r="ES553" s="27" t="s">
        <v>8</v>
      </c>
      <c r="ET553" s="27" t="s">
        <v>7</v>
      </c>
      <c r="EU553" s="27" t="s">
        <v>8</v>
      </c>
      <c r="EV553" s="27" t="s">
        <v>7</v>
      </c>
      <c r="EW553" s="27" t="s">
        <v>8</v>
      </c>
      <c r="FB553" s="27" t="s">
        <v>7</v>
      </c>
      <c r="FC553" s="27" t="s">
        <v>8</v>
      </c>
      <c r="FR553" s="27" t="s">
        <v>7</v>
      </c>
      <c r="FW553" s="27" t="s">
        <v>8</v>
      </c>
      <c r="FX553" s="27" t="s">
        <v>7</v>
      </c>
      <c r="FY553" s="27" t="s">
        <v>8</v>
      </c>
      <c r="FZ553" s="27" t="s">
        <v>7</v>
      </c>
      <c r="GA553" s="27" t="s">
        <v>8</v>
      </c>
      <c r="GB553" s="27" t="s">
        <v>7</v>
      </c>
      <c r="GC553" s="27" t="s">
        <v>8</v>
      </c>
      <c r="GH553" s="27" t="s">
        <v>7</v>
      </c>
      <c r="GI553" s="27" t="s">
        <v>8</v>
      </c>
      <c r="GJ553" s="27" t="s">
        <v>7</v>
      </c>
    </row>
    <row r="554" spans="1:302" x14ac:dyDescent="0.25">
      <c r="A554" s="7">
        <v>1.9222314039431532</v>
      </c>
      <c r="B554"/>
      <c r="C554"/>
      <c r="D554"/>
      <c r="E554"/>
      <c r="DS554" s="27" t="s">
        <v>8</v>
      </c>
      <c r="DT554" s="27" t="s">
        <v>7</v>
      </c>
      <c r="DY554" s="27" t="s">
        <v>8</v>
      </c>
      <c r="DZ554" s="27" t="s">
        <v>7</v>
      </c>
      <c r="EA554" s="27" t="s">
        <v>8</v>
      </c>
      <c r="EB554" s="27" t="s">
        <v>7</v>
      </c>
      <c r="EC554" s="27" t="s">
        <v>8</v>
      </c>
      <c r="ED554" s="27" t="s">
        <v>7</v>
      </c>
      <c r="EE554" s="27" t="s">
        <v>8</v>
      </c>
      <c r="EO554" s="27" t="s">
        <v>8</v>
      </c>
      <c r="EQ554" s="27" t="s">
        <v>8</v>
      </c>
      <c r="ES554" s="27" t="s">
        <v>8</v>
      </c>
      <c r="ET554" s="27" t="s">
        <v>7</v>
      </c>
      <c r="EU554" s="27" t="s">
        <v>8</v>
      </c>
      <c r="EV554" s="27" t="s">
        <v>7</v>
      </c>
      <c r="EW554" s="27" t="s">
        <v>8</v>
      </c>
      <c r="FB554" s="27" t="s">
        <v>7</v>
      </c>
      <c r="FC554" s="27" t="s">
        <v>8</v>
      </c>
      <c r="FR554" s="27" t="s">
        <v>7</v>
      </c>
      <c r="FS554" s="27" t="s">
        <v>8</v>
      </c>
      <c r="FU554" s="27" t="s">
        <v>8</v>
      </c>
      <c r="FW554" s="27" t="s">
        <v>8</v>
      </c>
      <c r="FX554" s="27" t="s">
        <v>7</v>
      </c>
      <c r="FY554" s="27" t="s">
        <v>8</v>
      </c>
      <c r="FZ554" s="27" t="s">
        <v>7</v>
      </c>
      <c r="GA554" s="27" t="s">
        <v>8</v>
      </c>
      <c r="GB554" s="27" t="s">
        <v>7</v>
      </c>
      <c r="GC554" s="27" t="s">
        <v>8</v>
      </c>
      <c r="GH554" s="27" t="s">
        <v>7</v>
      </c>
      <c r="GI554" s="27" t="s">
        <v>8</v>
      </c>
      <c r="GJ554" s="27" t="s">
        <v>7</v>
      </c>
    </row>
    <row r="555" spans="1:302" x14ac:dyDescent="0.25">
      <c r="A555" s="7">
        <v>1.8845405921011305</v>
      </c>
      <c r="B555"/>
      <c r="C555"/>
      <c r="D555"/>
      <c r="E555"/>
      <c r="DS555" s="27" t="s">
        <v>8</v>
      </c>
      <c r="DT555" s="27" t="s">
        <v>7</v>
      </c>
      <c r="DY555" s="27" t="s">
        <v>8</v>
      </c>
      <c r="DZ555" s="27" t="s">
        <v>7</v>
      </c>
      <c r="EA555" s="27" t="s">
        <v>8</v>
      </c>
      <c r="EB555" s="27" t="s">
        <v>7</v>
      </c>
      <c r="EC555" s="27" t="s">
        <v>8</v>
      </c>
      <c r="ED555" s="27" t="s">
        <v>7</v>
      </c>
      <c r="EE555" s="27" t="s">
        <v>8</v>
      </c>
      <c r="EF555" s="27" t="s">
        <v>7</v>
      </c>
      <c r="EO555" s="27" t="s">
        <v>8</v>
      </c>
      <c r="EP555" s="27" t="s">
        <v>7</v>
      </c>
      <c r="EQ555" s="27" t="s">
        <v>8</v>
      </c>
      <c r="ER555" s="27" t="s">
        <v>7</v>
      </c>
      <c r="ES555" s="27" t="s">
        <v>8</v>
      </c>
      <c r="ET555" s="27" t="s">
        <v>7</v>
      </c>
      <c r="EU555" s="27" t="s">
        <v>8</v>
      </c>
      <c r="EV555" s="27" t="s">
        <v>7</v>
      </c>
      <c r="FB555" s="27" t="s">
        <v>7</v>
      </c>
      <c r="FR555" s="27" t="s">
        <v>7</v>
      </c>
      <c r="FS555" s="27" t="s">
        <v>8</v>
      </c>
      <c r="FT555" s="27" t="s">
        <v>7</v>
      </c>
      <c r="FU555" s="27" t="s">
        <v>8</v>
      </c>
      <c r="FV555" s="27" t="s">
        <v>7</v>
      </c>
      <c r="FW555" s="27" t="s">
        <v>8</v>
      </c>
      <c r="FX555" s="27" t="s">
        <v>7</v>
      </c>
      <c r="FY555" s="27" t="s">
        <v>8</v>
      </c>
      <c r="FZ555" s="27" t="s">
        <v>7</v>
      </c>
      <c r="GA555" s="27" t="s">
        <v>8</v>
      </c>
      <c r="GB555" s="27" t="s">
        <v>7</v>
      </c>
      <c r="GC555" s="27" t="s">
        <v>8</v>
      </c>
      <c r="GH555" s="27" t="s">
        <v>7</v>
      </c>
      <c r="GI555" s="27" t="s">
        <v>8</v>
      </c>
      <c r="GJ555" s="27" t="s">
        <v>7</v>
      </c>
    </row>
    <row r="556" spans="1:302" x14ac:dyDescent="0.25">
      <c r="A556" s="7">
        <v>1.8475888157854219</v>
      </c>
      <c r="B556"/>
      <c r="C556"/>
      <c r="D556"/>
      <c r="E556"/>
      <c r="DS556" s="27" t="s">
        <v>8</v>
      </c>
      <c r="DT556" s="27" t="s">
        <v>7</v>
      </c>
      <c r="DY556" s="27" t="s">
        <v>8</v>
      </c>
      <c r="DZ556" s="27" t="s">
        <v>7</v>
      </c>
      <c r="EA556" s="27" t="s">
        <v>8</v>
      </c>
      <c r="EB556" s="27" t="s">
        <v>7</v>
      </c>
      <c r="EC556" s="27" t="s">
        <v>8</v>
      </c>
      <c r="ED556" s="27" t="s">
        <v>7</v>
      </c>
      <c r="EE556" s="27" t="s">
        <v>8</v>
      </c>
      <c r="EF556" s="27" t="s">
        <v>7</v>
      </c>
      <c r="EO556" s="27" t="s">
        <v>8</v>
      </c>
      <c r="EP556" s="27" t="s">
        <v>7</v>
      </c>
      <c r="EQ556" s="27" t="s">
        <v>8</v>
      </c>
      <c r="ER556" s="27" t="s">
        <v>7</v>
      </c>
      <c r="ES556" s="27" t="s">
        <v>8</v>
      </c>
      <c r="ET556" s="27" t="s">
        <v>7</v>
      </c>
      <c r="EU556" s="27" t="s">
        <v>8</v>
      </c>
      <c r="FR556" s="27" t="s">
        <v>7</v>
      </c>
      <c r="FS556" s="27" t="s">
        <v>8</v>
      </c>
      <c r="FT556" s="27" t="s">
        <v>7</v>
      </c>
      <c r="FU556" s="27" t="s">
        <v>8</v>
      </c>
      <c r="FV556" s="27" t="s">
        <v>7</v>
      </c>
      <c r="FW556" s="27" t="s">
        <v>8</v>
      </c>
      <c r="FX556" s="27" t="s">
        <v>7</v>
      </c>
      <c r="FY556" s="27" t="s">
        <v>8</v>
      </c>
      <c r="FZ556" s="27" t="s">
        <v>7</v>
      </c>
      <c r="GA556" s="27" t="s">
        <v>8</v>
      </c>
      <c r="GB556" s="27" t="s">
        <v>7</v>
      </c>
      <c r="GC556" s="27" t="s">
        <v>8</v>
      </c>
      <c r="GH556" s="27" t="s">
        <v>7</v>
      </c>
      <c r="GI556" s="27" t="s">
        <v>8</v>
      </c>
      <c r="GJ556" s="27" t="s">
        <v>7</v>
      </c>
      <c r="KO556" s="27" t="s">
        <v>8</v>
      </c>
    </row>
    <row r="557" spans="1:302" x14ac:dyDescent="0.25">
      <c r="A557" s="7">
        <v>1.8113615841033548</v>
      </c>
      <c r="B557"/>
      <c r="C557"/>
      <c r="D557"/>
      <c r="E557"/>
      <c r="DS557" s="27" t="s">
        <v>8</v>
      </c>
      <c r="DT557" s="27" t="s">
        <v>7</v>
      </c>
      <c r="DY557" s="27" t="s">
        <v>8</v>
      </c>
      <c r="DZ557" s="27" t="s">
        <v>7</v>
      </c>
      <c r="EA557" s="27" t="s">
        <v>8</v>
      </c>
      <c r="EB557" s="27" t="s">
        <v>7</v>
      </c>
      <c r="ED557" s="27" t="s">
        <v>7</v>
      </c>
      <c r="EE557" s="27" t="s">
        <v>8</v>
      </c>
      <c r="EF557" s="27" t="s">
        <v>7</v>
      </c>
      <c r="EO557" s="27" t="s">
        <v>8</v>
      </c>
      <c r="EP557" s="27" t="s">
        <v>7</v>
      </c>
      <c r="EQ557" s="27" t="s">
        <v>8</v>
      </c>
      <c r="ER557" s="27" t="s">
        <v>7</v>
      </c>
      <c r="ES557" s="27" t="s">
        <v>8</v>
      </c>
      <c r="ET557" s="27" t="s">
        <v>7</v>
      </c>
      <c r="FR557" s="27" t="s">
        <v>7</v>
      </c>
      <c r="FS557" s="27" t="s">
        <v>8</v>
      </c>
      <c r="FT557" s="27" t="s">
        <v>7</v>
      </c>
      <c r="FU557" s="27" t="s">
        <v>8</v>
      </c>
      <c r="FV557" s="27" t="s">
        <v>7</v>
      </c>
      <c r="FW557" s="27" t="s">
        <v>8</v>
      </c>
      <c r="FX557" s="27" t="s">
        <v>7</v>
      </c>
      <c r="FY557" s="27" t="s">
        <v>8</v>
      </c>
      <c r="FZ557" s="27" t="s">
        <v>7</v>
      </c>
      <c r="GA557" s="27" t="s">
        <v>8</v>
      </c>
      <c r="GB557" s="27" t="s">
        <v>7</v>
      </c>
      <c r="GC557" s="27" t="s">
        <v>8</v>
      </c>
      <c r="GH557" s="27" t="s">
        <v>7</v>
      </c>
      <c r="GI557" s="27" t="s">
        <v>8</v>
      </c>
      <c r="GJ557" s="27" t="s">
        <v>7</v>
      </c>
      <c r="GK557" s="27" t="s">
        <v>8</v>
      </c>
      <c r="IS557" s="27" t="s">
        <v>8</v>
      </c>
      <c r="KO557" s="27" t="s">
        <v>8</v>
      </c>
      <c r="KP557" s="27" t="s">
        <v>7</v>
      </c>
    </row>
    <row r="558" spans="1:302" x14ac:dyDescent="0.25">
      <c r="A558" s="7">
        <v>1.7758446902974065</v>
      </c>
      <c r="B558"/>
      <c r="C558"/>
      <c r="D558"/>
      <c r="E558"/>
      <c r="DS558" s="27" t="s">
        <v>8</v>
      </c>
      <c r="DT558" s="27" t="s">
        <v>7</v>
      </c>
      <c r="DY558" s="27" t="s">
        <v>8</v>
      </c>
      <c r="DZ558" s="27" t="s">
        <v>7</v>
      </c>
      <c r="EA558" s="27" t="s">
        <v>8</v>
      </c>
      <c r="ED558" s="27" t="s">
        <v>7</v>
      </c>
      <c r="EF558" s="27" t="s">
        <v>7</v>
      </c>
      <c r="EO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FR558" s="27" t="s">
        <v>7</v>
      </c>
      <c r="FS558" s="27" t="s">
        <v>8</v>
      </c>
      <c r="FT558" s="27" t="s">
        <v>7</v>
      </c>
      <c r="FU558" s="27" t="s">
        <v>8</v>
      </c>
      <c r="FV558" s="27" t="s">
        <v>7</v>
      </c>
      <c r="FW558" s="27" t="s">
        <v>8</v>
      </c>
      <c r="FX558" s="27" t="s">
        <v>7</v>
      </c>
      <c r="FY558" s="27" t="s">
        <v>8</v>
      </c>
      <c r="FZ558" s="27" t="s">
        <v>7</v>
      </c>
      <c r="GA558" s="27" t="s">
        <v>8</v>
      </c>
      <c r="GB558" s="27" t="s">
        <v>7</v>
      </c>
      <c r="GC558" s="27" t="s">
        <v>8</v>
      </c>
      <c r="GH558" s="27" t="s">
        <v>7</v>
      </c>
      <c r="GI558" s="27" t="s">
        <v>8</v>
      </c>
      <c r="GJ558" s="27" t="s">
        <v>7</v>
      </c>
      <c r="GK558" s="27" t="s">
        <v>8</v>
      </c>
      <c r="GL558" s="27" t="s">
        <v>7</v>
      </c>
      <c r="IS558" s="27" t="s">
        <v>8</v>
      </c>
      <c r="IT558" s="27" t="s">
        <v>7</v>
      </c>
      <c r="KO558" s="27" t="s">
        <v>8</v>
      </c>
      <c r="KP558" s="27" t="s">
        <v>7</v>
      </c>
    </row>
    <row r="559" spans="1:302" x14ac:dyDescent="0.25">
      <c r="A559" s="7">
        <v>1.7410242061739281</v>
      </c>
      <c r="B559"/>
      <c r="C559"/>
      <c r="D559"/>
      <c r="E559"/>
      <c r="DS559" s="27" t="s">
        <v>8</v>
      </c>
      <c r="DT559" s="27" t="s">
        <v>7</v>
      </c>
      <c r="DY559" s="27" t="s">
        <v>8</v>
      </c>
      <c r="DZ559" s="27" t="s">
        <v>7</v>
      </c>
      <c r="EA559" s="27" t="s">
        <v>8</v>
      </c>
      <c r="EF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FR559" s="27" t="s">
        <v>7</v>
      </c>
      <c r="FT559" s="27" t="s">
        <v>7</v>
      </c>
      <c r="FU559" s="27" t="s">
        <v>8</v>
      </c>
      <c r="FV559" s="27" t="s">
        <v>7</v>
      </c>
      <c r="FW559" s="27" t="s">
        <v>8</v>
      </c>
      <c r="FX559" s="27" t="s">
        <v>7</v>
      </c>
      <c r="FY559" s="27" t="s">
        <v>8</v>
      </c>
      <c r="FZ559" s="27" t="s">
        <v>7</v>
      </c>
      <c r="GB559" s="27" t="s">
        <v>7</v>
      </c>
      <c r="GC559" s="27" t="s">
        <v>8</v>
      </c>
      <c r="GH559" s="27" t="s">
        <v>7</v>
      </c>
      <c r="GI559" s="27" t="s">
        <v>8</v>
      </c>
      <c r="GJ559" s="27" t="s">
        <v>7</v>
      </c>
      <c r="GK559" s="27" t="s">
        <v>8</v>
      </c>
      <c r="GL559" s="27" t="s">
        <v>7</v>
      </c>
      <c r="IS559" s="27" t="s">
        <v>8</v>
      </c>
      <c r="IT559" s="27" t="s">
        <v>7</v>
      </c>
      <c r="KO559" s="27" t="s">
        <v>8</v>
      </c>
      <c r="KP559" s="27" t="s">
        <v>7</v>
      </c>
    </row>
    <row r="560" spans="1:302" x14ac:dyDescent="0.25">
      <c r="A560" s="7">
        <v>1.7068864766411058</v>
      </c>
      <c r="B560"/>
      <c r="C560"/>
      <c r="D560"/>
      <c r="E560"/>
      <c r="DS560" s="27" t="s">
        <v>8</v>
      </c>
      <c r="DT560" s="27" t="s">
        <v>7</v>
      </c>
      <c r="DY560" s="27" t="s">
        <v>8</v>
      </c>
      <c r="DZ560" s="27" t="s">
        <v>7</v>
      </c>
      <c r="EA560" s="27" t="s">
        <v>8</v>
      </c>
      <c r="EF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FT560" s="27" t="s">
        <v>7</v>
      </c>
      <c r="FU560" s="27" t="s">
        <v>8</v>
      </c>
      <c r="FV560" s="27" t="s">
        <v>7</v>
      </c>
      <c r="FW560" s="27" t="s">
        <v>8</v>
      </c>
      <c r="FX560" s="27" t="s">
        <v>7</v>
      </c>
      <c r="FY560" s="27" t="s">
        <v>8</v>
      </c>
      <c r="GB560" s="27" t="s">
        <v>7</v>
      </c>
      <c r="GC560" s="27" t="s">
        <v>8</v>
      </c>
      <c r="GH560" s="27" t="s">
        <v>7</v>
      </c>
      <c r="GJ560" s="27" t="s">
        <v>7</v>
      </c>
      <c r="GK560" s="27" t="s">
        <v>8</v>
      </c>
      <c r="GL560" s="27" t="s">
        <v>7</v>
      </c>
      <c r="IS560" s="27" t="s">
        <v>8</v>
      </c>
      <c r="IT560" s="27" t="s">
        <v>7</v>
      </c>
      <c r="KO560" s="27" t="s">
        <v>8</v>
      </c>
      <c r="KP560" s="27" t="s">
        <v>7</v>
      </c>
    </row>
    <row r="561" spans="1:306" x14ac:dyDescent="0.25">
      <c r="A561" s="7">
        <v>1.6734181143540252</v>
      </c>
      <c r="B561"/>
      <c r="C561"/>
      <c r="D561"/>
      <c r="E561"/>
      <c r="DS561" s="27" t="s">
        <v>8</v>
      </c>
      <c r="DT561" s="27" t="s">
        <v>7</v>
      </c>
      <c r="DY561" s="27" t="s">
        <v>8</v>
      </c>
      <c r="DZ561" s="27" t="s">
        <v>7</v>
      </c>
      <c r="EA561" s="27" t="s">
        <v>8</v>
      </c>
      <c r="EF561" s="27" t="s">
        <v>7</v>
      </c>
      <c r="EO561" s="27" t="s">
        <v>8</v>
      </c>
      <c r="EP561" s="27" t="s">
        <v>7</v>
      </c>
      <c r="ER561" s="27" t="s">
        <v>7</v>
      </c>
      <c r="FT561" s="27" t="s">
        <v>7</v>
      </c>
      <c r="FU561" s="27" t="s">
        <v>8</v>
      </c>
      <c r="FV561" s="27" t="s">
        <v>7</v>
      </c>
      <c r="FW561" s="27" t="s">
        <v>8</v>
      </c>
      <c r="FX561" s="27" t="s">
        <v>7</v>
      </c>
      <c r="FY561" s="27" t="s">
        <v>8</v>
      </c>
      <c r="GB561" s="27" t="s">
        <v>7</v>
      </c>
      <c r="GJ561" s="27" t="s">
        <v>7</v>
      </c>
      <c r="GK561" s="27" t="s">
        <v>8</v>
      </c>
      <c r="GL561" s="27" t="s">
        <v>7</v>
      </c>
      <c r="IS561" s="27" t="s">
        <v>8</v>
      </c>
      <c r="IT561" s="27" t="s">
        <v>7</v>
      </c>
      <c r="KO561" s="27" t="s">
        <v>8</v>
      </c>
      <c r="KP561" s="27" t="s">
        <v>7</v>
      </c>
    </row>
    <row r="562" spans="1:306" x14ac:dyDescent="0.25">
      <c r="A562" s="7">
        <v>1.6406059944647307</v>
      </c>
      <c r="B562"/>
      <c r="C562"/>
      <c r="D562"/>
      <c r="E562"/>
      <c r="DS562" s="27" t="s">
        <v>8</v>
      </c>
      <c r="DT562" s="27" t="s">
        <v>7</v>
      </c>
      <c r="DY562" s="27" t="s">
        <v>8</v>
      </c>
      <c r="DZ562" s="27" t="s">
        <v>7</v>
      </c>
      <c r="EA562" s="27" t="s">
        <v>8</v>
      </c>
      <c r="EF562" s="27" t="s">
        <v>7</v>
      </c>
      <c r="EO562" s="27" t="s">
        <v>8</v>
      </c>
      <c r="FT562" s="27" t="s">
        <v>7</v>
      </c>
      <c r="FU562" s="27" t="s">
        <v>8</v>
      </c>
      <c r="FV562" s="27" t="s">
        <v>7</v>
      </c>
      <c r="FW562" s="27" t="s">
        <v>8</v>
      </c>
      <c r="FX562" s="27" t="s">
        <v>7</v>
      </c>
      <c r="GJ562" s="27" t="s">
        <v>7</v>
      </c>
      <c r="GK562" s="27" t="s">
        <v>8</v>
      </c>
      <c r="GL562" s="27" t="s">
        <v>7</v>
      </c>
      <c r="IS562" s="27" t="s">
        <v>8</v>
      </c>
      <c r="IT562" s="27" t="s">
        <v>7</v>
      </c>
      <c r="JU562" s="27" t="s">
        <v>8</v>
      </c>
      <c r="KO562" s="27" t="s">
        <v>8</v>
      </c>
      <c r="KP562" s="27" t="s">
        <v>7</v>
      </c>
    </row>
    <row r="563" spans="1:306" x14ac:dyDescent="0.25">
      <c r="A563" s="7">
        <v>1.6084372494752261</v>
      </c>
      <c r="B563"/>
      <c r="C563"/>
      <c r="D563"/>
      <c r="E563"/>
      <c r="DS563" s="27" t="s">
        <v>8</v>
      </c>
      <c r="DT563" s="27" t="s">
        <v>7</v>
      </c>
      <c r="DY563" s="27" t="s">
        <v>8</v>
      </c>
      <c r="DZ563" s="27" t="s">
        <v>7</v>
      </c>
      <c r="EA563" s="27" t="s">
        <v>8</v>
      </c>
      <c r="EF563" s="27" t="s">
        <v>7</v>
      </c>
      <c r="EG563" s="27" t="s">
        <v>8</v>
      </c>
      <c r="EO563" s="27" t="s">
        <v>8</v>
      </c>
      <c r="FT563" s="27" t="s">
        <v>7</v>
      </c>
      <c r="FU563" s="27" t="s">
        <v>8</v>
      </c>
      <c r="FV563" s="27" t="s">
        <v>7</v>
      </c>
      <c r="FW563" s="27" t="s">
        <v>8</v>
      </c>
      <c r="GJ563" s="27" t="s">
        <v>7</v>
      </c>
      <c r="GK563" s="27" t="s">
        <v>8</v>
      </c>
      <c r="GL563" s="27" t="s">
        <v>7</v>
      </c>
      <c r="IS563" s="27" t="s">
        <v>8</v>
      </c>
      <c r="IT563" s="27" t="s">
        <v>7</v>
      </c>
      <c r="JU563" s="27" t="s">
        <v>8</v>
      </c>
      <c r="JV563" s="27" t="s">
        <v>7</v>
      </c>
      <c r="KO563" s="27" t="s">
        <v>8</v>
      </c>
      <c r="KP563" s="27" t="s">
        <v>7</v>
      </c>
    </row>
    <row r="564" spans="1:306" x14ac:dyDescent="0.25">
      <c r="A564" s="7">
        <v>1.5768992641913981</v>
      </c>
      <c r="B564"/>
      <c r="C564"/>
      <c r="D564"/>
      <c r="E564"/>
      <c r="DS564" s="27" t="s">
        <v>8</v>
      </c>
      <c r="DT564" s="27" t="s">
        <v>7</v>
      </c>
      <c r="DY564" s="27" t="s">
        <v>8</v>
      </c>
      <c r="DZ564" s="27" t="s">
        <v>7</v>
      </c>
      <c r="EF564" s="27" t="s">
        <v>7</v>
      </c>
      <c r="EG564" s="27" t="s">
        <v>8</v>
      </c>
      <c r="EH564" s="27" t="s">
        <v>7</v>
      </c>
      <c r="EM564" s="27" t="s">
        <v>8</v>
      </c>
      <c r="EO564" s="27" t="s">
        <v>8</v>
      </c>
      <c r="FT564" s="27" t="s">
        <v>7</v>
      </c>
      <c r="FU564" s="27" t="s">
        <v>8</v>
      </c>
      <c r="FV564" s="27" t="s">
        <v>7</v>
      </c>
      <c r="FW564" s="27" t="s">
        <v>8</v>
      </c>
      <c r="GJ564" s="27" t="s">
        <v>7</v>
      </c>
      <c r="GK564" s="27" t="s">
        <v>8</v>
      </c>
      <c r="GL564" s="27" t="s">
        <v>7</v>
      </c>
      <c r="IS564" s="27" t="s">
        <v>8</v>
      </c>
      <c r="IT564" s="27" t="s">
        <v>7</v>
      </c>
      <c r="JU564" s="27" t="s">
        <v>8</v>
      </c>
      <c r="JV564" s="27" t="s">
        <v>7</v>
      </c>
      <c r="KO564" s="27" t="s">
        <v>8</v>
      </c>
      <c r="KP564" s="27" t="s">
        <v>7</v>
      </c>
    </row>
    <row r="565" spans="1:306" x14ac:dyDescent="0.25">
      <c r="A565" s="7">
        <v>1.5459796707758806</v>
      </c>
      <c r="B565"/>
      <c r="C565"/>
      <c r="D565"/>
      <c r="E565"/>
      <c r="DS565" s="27" t="s">
        <v>8</v>
      </c>
      <c r="DT565" s="27" t="s">
        <v>7</v>
      </c>
      <c r="DY565" s="27" t="s">
        <v>8</v>
      </c>
      <c r="EF565" s="27" t="s">
        <v>7</v>
      </c>
      <c r="EG565" s="27" t="s">
        <v>8</v>
      </c>
      <c r="EH565" s="27" t="s">
        <v>7</v>
      </c>
      <c r="EM565" s="27" t="s">
        <v>8</v>
      </c>
      <c r="EN565" s="27" t="s">
        <v>7</v>
      </c>
      <c r="EO565" s="27" t="s">
        <v>8</v>
      </c>
      <c r="FT565" s="27" t="s">
        <v>7</v>
      </c>
      <c r="FU565" s="27" t="s">
        <v>8</v>
      </c>
      <c r="FV565" s="27" t="s">
        <v>7</v>
      </c>
      <c r="FW565" s="27" t="s">
        <v>8</v>
      </c>
      <c r="GJ565" s="27" t="s">
        <v>7</v>
      </c>
      <c r="GL565" s="27" t="s">
        <v>7</v>
      </c>
      <c r="IS565" s="27" t="s">
        <v>8</v>
      </c>
      <c r="IT565" s="27" t="s">
        <v>7</v>
      </c>
      <c r="JU565" s="27" t="s">
        <v>8</v>
      </c>
      <c r="JV565" s="27" t="s">
        <v>7</v>
      </c>
      <c r="KO565" s="27" t="s">
        <v>8</v>
      </c>
      <c r="KP565" s="27" t="s">
        <v>7</v>
      </c>
    </row>
    <row r="566" spans="1:306" x14ac:dyDescent="0.25">
      <c r="A566" s="7">
        <v>1.5156663438979221</v>
      </c>
      <c r="B566"/>
      <c r="C566"/>
      <c r="D566"/>
      <c r="E566"/>
      <c r="DS566" s="27" t="s">
        <v>8</v>
      </c>
      <c r="DT566" s="27" t="s">
        <v>7</v>
      </c>
      <c r="DY566" s="27" t="s">
        <v>8</v>
      </c>
      <c r="EF566" s="27" t="s">
        <v>7</v>
      </c>
      <c r="EG566" s="27" t="s">
        <v>8</v>
      </c>
      <c r="EH566" s="27" t="s">
        <v>7</v>
      </c>
      <c r="EM566" s="27" t="s">
        <v>8</v>
      </c>
      <c r="EN566" s="27" t="s">
        <v>7</v>
      </c>
      <c r="EO566" s="27" t="s">
        <v>8</v>
      </c>
      <c r="FT566" s="27" t="s">
        <v>7</v>
      </c>
      <c r="FU566" s="27" t="s">
        <v>8</v>
      </c>
      <c r="FV566" s="27" t="s">
        <v>7</v>
      </c>
      <c r="FW566" s="27" t="s">
        <v>8</v>
      </c>
      <c r="GL566" s="27" t="s">
        <v>7</v>
      </c>
      <c r="IS566" s="27" t="s">
        <v>8</v>
      </c>
      <c r="IT566" s="27" t="s">
        <v>7</v>
      </c>
      <c r="JU566" s="27" t="s">
        <v>8</v>
      </c>
      <c r="JV566" s="27" t="s">
        <v>7</v>
      </c>
      <c r="KO566" s="27" t="s">
        <v>8</v>
      </c>
      <c r="KP566" s="27" t="s">
        <v>7</v>
      </c>
    </row>
    <row r="567" spans="1:306" x14ac:dyDescent="0.25">
      <c r="A567" s="7">
        <v>1.4859473959783549</v>
      </c>
      <c r="B567"/>
      <c r="C567"/>
      <c r="D567"/>
      <c r="E567"/>
      <c r="DS567" s="27" t="s">
        <v>8</v>
      </c>
      <c r="DT567" s="27" t="s">
        <v>7</v>
      </c>
      <c r="DY567" s="27" t="s">
        <v>8</v>
      </c>
      <c r="EF567" s="27" t="s">
        <v>7</v>
      </c>
      <c r="EG567" s="27" t="s">
        <v>8</v>
      </c>
      <c r="EH567" s="27" t="s">
        <v>7</v>
      </c>
      <c r="EM567" s="27" t="s">
        <v>8</v>
      </c>
      <c r="EN567" s="27" t="s">
        <v>7</v>
      </c>
      <c r="EO567" s="27" t="s">
        <v>8</v>
      </c>
      <c r="FT567" s="27" t="s">
        <v>7</v>
      </c>
      <c r="FV567" s="27" t="s">
        <v>7</v>
      </c>
      <c r="FW567" s="27" t="s">
        <v>8</v>
      </c>
      <c r="GL567" s="27" t="s">
        <v>7</v>
      </c>
      <c r="IS567" s="27" t="s">
        <v>8</v>
      </c>
      <c r="IT567" s="27" t="s">
        <v>7</v>
      </c>
      <c r="JU567" s="27" t="s">
        <v>8</v>
      </c>
      <c r="JV567" s="27" t="s">
        <v>7</v>
      </c>
      <c r="KO567" s="27" t="s">
        <v>8</v>
      </c>
      <c r="KP567" s="27" t="s">
        <v>7</v>
      </c>
    </row>
    <row r="568" spans="1:306" x14ac:dyDescent="0.25">
      <c r="A568" s="7">
        <v>1.4568111725277988</v>
      </c>
      <c r="B568"/>
      <c r="C568"/>
      <c r="D568"/>
      <c r="E568"/>
      <c r="DS568" s="27" t="s">
        <v>8</v>
      </c>
      <c r="DT568" s="27" t="s">
        <v>7</v>
      </c>
      <c r="DY568" s="27" t="s">
        <v>8</v>
      </c>
      <c r="EF568" s="27" t="s">
        <v>7</v>
      </c>
      <c r="EG568" s="27" t="s">
        <v>8</v>
      </c>
      <c r="EH568" s="27" t="s">
        <v>7</v>
      </c>
      <c r="EI568" s="27" t="s">
        <v>8</v>
      </c>
      <c r="EM568" s="27" t="s">
        <v>8</v>
      </c>
      <c r="EN568" s="27" t="s">
        <v>7</v>
      </c>
      <c r="EO568" s="27" t="s">
        <v>8</v>
      </c>
      <c r="FV568" s="27" t="s">
        <v>7</v>
      </c>
      <c r="FW568" s="27" t="s">
        <v>8</v>
      </c>
      <c r="GL568" s="27" t="s">
        <v>7</v>
      </c>
      <c r="IS568" s="27" t="s">
        <v>8</v>
      </c>
      <c r="IT568" s="27" t="s">
        <v>7</v>
      </c>
      <c r="JU568" s="27" t="s">
        <v>8</v>
      </c>
      <c r="JV568" s="27" t="s">
        <v>7</v>
      </c>
      <c r="KO568" s="27" t="s">
        <v>8</v>
      </c>
      <c r="KP568" s="27" t="s">
        <v>7</v>
      </c>
    </row>
    <row r="569" spans="1:306" x14ac:dyDescent="0.25">
      <c r="A569" s="7">
        <v>1.4282462475762734</v>
      </c>
      <c r="B569"/>
      <c r="C569"/>
      <c r="D569"/>
      <c r="E569"/>
      <c r="DS569" s="27" t="s">
        <v>8</v>
      </c>
      <c r="DT569" s="27" t="s">
        <v>7</v>
      </c>
      <c r="DY569" s="27" t="s">
        <v>8</v>
      </c>
      <c r="EF569" s="27" t="s">
        <v>7</v>
      </c>
      <c r="EG569" s="27" t="s">
        <v>8</v>
      </c>
      <c r="EH569" s="27" t="s">
        <v>7</v>
      </c>
      <c r="EI569" s="27" t="s">
        <v>8</v>
      </c>
      <c r="EJ569" s="27" t="s">
        <v>7</v>
      </c>
      <c r="EM569" s="27" t="s">
        <v>8</v>
      </c>
      <c r="EN569" s="27" t="s">
        <v>7</v>
      </c>
      <c r="EO569" s="27" t="s">
        <v>8</v>
      </c>
      <c r="FV569" s="27" t="s">
        <v>7</v>
      </c>
      <c r="FW569" s="27" t="s">
        <v>8</v>
      </c>
      <c r="GL569" s="27" t="s">
        <v>7</v>
      </c>
      <c r="IG569" s="27" t="s">
        <v>8</v>
      </c>
      <c r="IS569" s="27" t="s">
        <v>8</v>
      </c>
      <c r="IT569" s="27" t="s">
        <v>7</v>
      </c>
      <c r="JU569" s="27" t="s">
        <v>8</v>
      </c>
      <c r="JV569" s="27" t="s">
        <v>7</v>
      </c>
      <c r="KO569" s="27" t="s">
        <v>8</v>
      </c>
      <c r="KP569" s="27" t="s">
        <v>7</v>
      </c>
    </row>
    <row r="570" spans="1:306" x14ac:dyDescent="0.25">
      <c r="A570" s="7">
        <v>1.4002414191924248</v>
      </c>
      <c r="B570"/>
      <c r="C570"/>
      <c r="D570"/>
      <c r="E570"/>
      <c r="DS570" s="27" t="s">
        <v>8</v>
      </c>
      <c r="DT570" s="27" t="s">
        <v>7</v>
      </c>
      <c r="DY570" s="27" t="s">
        <v>8</v>
      </c>
      <c r="EF570" s="27" t="s">
        <v>7</v>
      </c>
      <c r="EG570" s="27" t="s">
        <v>8</v>
      </c>
      <c r="EH570" s="27" t="s">
        <v>7</v>
      </c>
      <c r="EI570" s="27" t="s">
        <v>8</v>
      </c>
      <c r="EJ570" s="27" t="s">
        <v>7</v>
      </c>
      <c r="EK570" s="27" t="s">
        <v>8</v>
      </c>
      <c r="EM570" s="27" t="s">
        <v>8</v>
      </c>
      <c r="EN570" s="27" t="s">
        <v>7</v>
      </c>
      <c r="EO570" s="27" t="s">
        <v>8</v>
      </c>
      <c r="FV570" s="27" t="s">
        <v>7</v>
      </c>
      <c r="FW570" s="27" t="s">
        <v>8</v>
      </c>
      <c r="GL570" s="27" t="s">
        <v>7</v>
      </c>
      <c r="GM570" s="27" t="s">
        <v>8</v>
      </c>
      <c r="IG570" s="27" t="s">
        <v>8</v>
      </c>
      <c r="IH570" s="27" t="s">
        <v>7</v>
      </c>
      <c r="IS570" s="27" t="s">
        <v>8</v>
      </c>
      <c r="IT570" s="27" t="s">
        <v>7</v>
      </c>
      <c r="JU570" s="27" t="s">
        <v>8</v>
      </c>
      <c r="JV570" s="27" t="s">
        <v>7</v>
      </c>
      <c r="KO570" s="27" t="s">
        <v>8</v>
      </c>
      <c r="KP570" s="27" t="s">
        <v>7</v>
      </c>
    </row>
    <row r="571" spans="1:306" x14ac:dyDescent="0.25">
      <c r="A571" s="7">
        <v>1.3727857050906125</v>
      </c>
      <c r="B571"/>
      <c r="C571"/>
      <c r="D571"/>
      <c r="E571"/>
      <c r="Y571" s="27" t="s">
        <v>8</v>
      </c>
      <c r="AG571" s="27" t="s">
        <v>8</v>
      </c>
      <c r="DS571" s="27" t="s">
        <v>8</v>
      </c>
      <c r="DT571" s="27" t="s">
        <v>7</v>
      </c>
      <c r="DY571" s="27" t="s">
        <v>8</v>
      </c>
      <c r="EF571" s="27" t="s">
        <v>7</v>
      </c>
      <c r="EG571" s="27" t="s">
        <v>8</v>
      </c>
      <c r="EH571" s="27" t="s">
        <v>7</v>
      </c>
      <c r="EI571" s="27" t="s">
        <v>8</v>
      </c>
      <c r="EJ571" s="27" t="s">
        <v>7</v>
      </c>
      <c r="EK571" s="27" t="s">
        <v>8</v>
      </c>
      <c r="EL571" s="27" t="s">
        <v>7</v>
      </c>
      <c r="EM571" s="27" t="s">
        <v>8</v>
      </c>
      <c r="EN571" s="27" t="s">
        <v>7</v>
      </c>
      <c r="EO571" s="27" t="s">
        <v>8</v>
      </c>
      <c r="FV571" s="27" t="s">
        <v>7</v>
      </c>
      <c r="FW571" s="27" t="s">
        <v>8</v>
      </c>
      <c r="GL571" s="27" t="s">
        <v>7</v>
      </c>
      <c r="GM571" s="27" t="s">
        <v>8</v>
      </c>
      <c r="GN571" s="27" t="s">
        <v>7</v>
      </c>
      <c r="GU571" s="27" t="s">
        <v>8</v>
      </c>
      <c r="IG571" s="27" t="s">
        <v>8</v>
      </c>
      <c r="IH571" s="27" t="s">
        <v>7</v>
      </c>
      <c r="II571" s="27" t="s">
        <v>8</v>
      </c>
      <c r="IS571" s="27" t="s">
        <v>8</v>
      </c>
      <c r="IT571" s="27" t="s">
        <v>7</v>
      </c>
      <c r="JU571" s="27" t="s">
        <v>8</v>
      </c>
      <c r="JV571" s="27" t="s">
        <v>7</v>
      </c>
      <c r="KO571" s="27" t="s">
        <v>8</v>
      </c>
      <c r="KP571" s="27" t="s">
        <v>7</v>
      </c>
      <c r="KQ571" s="27" t="s">
        <v>8</v>
      </c>
    </row>
    <row r="572" spans="1:306" x14ac:dyDescent="0.25">
      <c r="A572" s="7">
        <v>1.3458683383241299</v>
      </c>
      <c r="B572"/>
      <c r="C572"/>
      <c r="D572"/>
      <c r="E572"/>
      <c r="Y572" s="27" t="s">
        <v>8</v>
      </c>
      <c r="Z572" s="27" t="s">
        <v>7</v>
      </c>
      <c r="AE572" s="27" t="s">
        <v>8</v>
      </c>
      <c r="AG572" s="27" t="s">
        <v>8</v>
      </c>
      <c r="AH572" s="27" t="s">
        <v>7</v>
      </c>
      <c r="DS572" s="27" t="s">
        <v>8</v>
      </c>
      <c r="DT572" s="27" t="s">
        <v>7</v>
      </c>
      <c r="DY572" s="27" t="s">
        <v>8</v>
      </c>
      <c r="EF572" s="27" t="s">
        <v>7</v>
      </c>
      <c r="EG572" s="27" t="s">
        <v>8</v>
      </c>
      <c r="EH572" s="27" t="s">
        <v>7</v>
      </c>
      <c r="EI572" s="27" t="s">
        <v>8</v>
      </c>
      <c r="EJ572" s="27" t="s">
        <v>7</v>
      </c>
      <c r="EK572" s="27" t="s">
        <v>8</v>
      </c>
      <c r="EL572" s="27" t="s">
        <v>7</v>
      </c>
      <c r="EM572" s="27" t="s">
        <v>8</v>
      </c>
      <c r="EN572" s="27" t="s">
        <v>7</v>
      </c>
      <c r="EO572" s="27" t="s">
        <v>8</v>
      </c>
      <c r="FV572" s="27" t="s">
        <v>7</v>
      </c>
      <c r="FW572" s="27" t="s">
        <v>8</v>
      </c>
      <c r="GL572" s="27" t="s">
        <v>7</v>
      </c>
      <c r="GM572" s="27" t="s">
        <v>8</v>
      </c>
      <c r="GN572" s="27" t="s">
        <v>7</v>
      </c>
      <c r="GU572" s="27" t="s">
        <v>8</v>
      </c>
      <c r="GV572" s="27" t="s">
        <v>7</v>
      </c>
      <c r="IG572" s="27" t="s">
        <v>8</v>
      </c>
      <c r="IH572" s="27" t="s">
        <v>7</v>
      </c>
      <c r="II572" s="27" t="s">
        <v>8</v>
      </c>
      <c r="IJ572" s="27" t="s">
        <v>7</v>
      </c>
      <c r="IQ572" s="27" t="s">
        <v>8</v>
      </c>
      <c r="IS572" s="27" t="s">
        <v>8</v>
      </c>
      <c r="IT572" s="27" t="s">
        <v>7</v>
      </c>
      <c r="JU572" s="27" t="s">
        <v>8</v>
      </c>
      <c r="JV572" s="27" t="s">
        <v>7</v>
      </c>
      <c r="KK572" s="27" t="s">
        <v>8</v>
      </c>
      <c r="KO572" s="27" t="s">
        <v>8</v>
      </c>
      <c r="KP572" s="27" t="s">
        <v>7</v>
      </c>
      <c r="KQ572" s="27" t="s">
        <v>8</v>
      </c>
      <c r="KR572" s="27" t="s">
        <v>7</v>
      </c>
      <c r="KS572" s="27" t="s">
        <v>8</v>
      </c>
    </row>
    <row r="573" spans="1:306" x14ac:dyDescent="0.25">
      <c r="A573" s="7">
        <v>1.3194787630628724</v>
      </c>
      <c r="B573"/>
      <c r="C573"/>
      <c r="D573"/>
      <c r="E573"/>
      <c r="Y573" s="27" t="s">
        <v>8</v>
      </c>
      <c r="Z573" s="27" t="s">
        <v>7</v>
      </c>
      <c r="AC573" s="27" t="s">
        <v>8</v>
      </c>
      <c r="AE573" s="27" t="s">
        <v>8</v>
      </c>
      <c r="AF573" s="27" t="s">
        <v>7</v>
      </c>
      <c r="AG573" s="27" t="s">
        <v>8</v>
      </c>
      <c r="AH573" s="27" t="s">
        <v>7</v>
      </c>
      <c r="DS573" s="27" t="s">
        <v>8</v>
      </c>
      <c r="DT573" s="27" t="s">
        <v>7</v>
      </c>
      <c r="DY573" s="27" t="s">
        <v>8</v>
      </c>
      <c r="EF573" s="27" t="s">
        <v>7</v>
      </c>
      <c r="EG573" s="27" t="s">
        <v>8</v>
      </c>
      <c r="EH573" s="27" t="s">
        <v>7</v>
      </c>
      <c r="EI573" s="27" t="s">
        <v>8</v>
      </c>
      <c r="EJ573" s="27" t="s">
        <v>7</v>
      </c>
      <c r="EK573" s="27" t="s">
        <v>8</v>
      </c>
      <c r="EL573" s="27" t="s">
        <v>7</v>
      </c>
      <c r="EM573" s="27" t="s">
        <v>8</v>
      </c>
      <c r="EN573" s="27" t="s">
        <v>7</v>
      </c>
      <c r="EO573" s="27" t="s">
        <v>8</v>
      </c>
      <c r="FV573" s="27" t="s">
        <v>7</v>
      </c>
      <c r="FW573" s="27" t="s">
        <v>8</v>
      </c>
      <c r="GL573" s="27" t="s">
        <v>7</v>
      </c>
      <c r="GM573" s="27" t="s">
        <v>8</v>
      </c>
      <c r="GN573" s="27" t="s">
        <v>7</v>
      </c>
      <c r="GU573" s="27" t="s">
        <v>8</v>
      </c>
      <c r="GV573" s="27" t="s">
        <v>7</v>
      </c>
      <c r="IG573" s="27" t="s">
        <v>8</v>
      </c>
      <c r="IH573" s="27" t="s">
        <v>7</v>
      </c>
      <c r="II573" s="27" t="s">
        <v>8</v>
      </c>
      <c r="IJ573" s="27" t="s">
        <v>7</v>
      </c>
      <c r="IQ573" s="27" t="s">
        <v>8</v>
      </c>
      <c r="IR573" s="27" t="s">
        <v>7</v>
      </c>
      <c r="IS573" s="27" t="s">
        <v>8</v>
      </c>
      <c r="IT573" s="27" t="s">
        <v>7</v>
      </c>
      <c r="JU573" s="27" t="s">
        <v>8</v>
      </c>
      <c r="JV573" s="27" t="s">
        <v>7</v>
      </c>
      <c r="KK573" s="27" t="s">
        <v>8</v>
      </c>
      <c r="KL573" s="27" t="s">
        <v>7</v>
      </c>
      <c r="KM573" s="27" t="s">
        <v>8</v>
      </c>
      <c r="KO573" s="27" t="s">
        <v>8</v>
      </c>
      <c r="KP573" s="27" t="s">
        <v>7</v>
      </c>
      <c r="KQ573" s="27" t="s">
        <v>8</v>
      </c>
      <c r="KR573" s="27" t="s">
        <v>7</v>
      </c>
      <c r="KS573" s="27" t="s">
        <v>8</v>
      </c>
      <c r="KT573" s="27" t="s">
        <v>7</v>
      </c>
    </row>
    <row r="574" spans="1:306" x14ac:dyDescent="0.25">
      <c r="A574" s="7">
        <v>1.2936066304537963</v>
      </c>
      <c r="B574"/>
      <c r="C574"/>
      <c r="D574"/>
      <c r="E574"/>
      <c r="W574" s="27" t="s">
        <v>8</v>
      </c>
      <c r="Y574" s="27" t="s">
        <v>8</v>
      </c>
      <c r="Z574" s="27" t="s">
        <v>7</v>
      </c>
      <c r="AA574" s="27" t="s">
        <v>8</v>
      </c>
      <c r="AC574" s="27" t="s">
        <v>8</v>
      </c>
      <c r="AD574" s="27" t="s">
        <v>7</v>
      </c>
      <c r="AE574" s="27" t="s">
        <v>8</v>
      </c>
      <c r="AF574" s="27" t="s">
        <v>7</v>
      </c>
      <c r="AG574" s="27" t="s">
        <v>8</v>
      </c>
      <c r="AH574" s="27" t="s">
        <v>7</v>
      </c>
      <c r="DS574" s="27" t="s">
        <v>8</v>
      </c>
      <c r="DT574" s="27" t="s">
        <v>7</v>
      </c>
      <c r="DY574" s="27" t="s">
        <v>8</v>
      </c>
      <c r="EF574" s="27" t="s">
        <v>7</v>
      </c>
      <c r="EG574" s="27" t="s">
        <v>8</v>
      </c>
      <c r="EH574" s="27" t="s">
        <v>7</v>
      </c>
      <c r="EI574" s="27" t="s">
        <v>8</v>
      </c>
      <c r="EJ574" s="27" t="s">
        <v>7</v>
      </c>
      <c r="EK574" s="27" t="s">
        <v>8</v>
      </c>
      <c r="EL574" s="27" t="s">
        <v>7</v>
      </c>
      <c r="EM574" s="27" t="s">
        <v>8</v>
      </c>
      <c r="EN574" s="27" t="s">
        <v>7</v>
      </c>
      <c r="EO574" s="27" t="s">
        <v>8</v>
      </c>
      <c r="FV574" s="27" t="s">
        <v>7</v>
      </c>
      <c r="FW574" s="27" t="s">
        <v>8</v>
      </c>
      <c r="GL574" s="27" t="s">
        <v>7</v>
      </c>
      <c r="GM574" s="27" t="s">
        <v>8</v>
      </c>
      <c r="GN574" s="27" t="s">
        <v>7</v>
      </c>
      <c r="GU574" s="27" t="s">
        <v>8</v>
      </c>
      <c r="GV574" s="27" t="s">
        <v>7</v>
      </c>
      <c r="IG574" s="27" t="s">
        <v>8</v>
      </c>
      <c r="IH574" s="27" t="s">
        <v>7</v>
      </c>
      <c r="II574" s="27" t="s">
        <v>8</v>
      </c>
      <c r="IJ574" s="27" t="s">
        <v>7</v>
      </c>
      <c r="IK574" s="27" t="s">
        <v>8</v>
      </c>
      <c r="IQ574" s="27" t="s">
        <v>8</v>
      </c>
      <c r="IR574" s="27" t="s">
        <v>7</v>
      </c>
      <c r="IS574" s="27" t="s">
        <v>8</v>
      </c>
      <c r="IT574" s="27" t="s">
        <v>7</v>
      </c>
      <c r="JU574" s="27" t="s">
        <v>8</v>
      </c>
      <c r="JV574" s="27" t="s">
        <v>7</v>
      </c>
      <c r="KK574" s="27" t="s">
        <v>8</v>
      </c>
      <c r="KL574" s="27" t="s">
        <v>7</v>
      </c>
      <c r="KM574" s="27" t="s">
        <v>8</v>
      </c>
      <c r="KN574" s="27" t="s">
        <v>7</v>
      </c>
      <c r="KO574" s="27" t="s">
        <v>8</v>
      </c>
      <c r="KP574" s="27" t="s">
        <v>7</v>
      </c>
      <c r="KQ574" s="27" t="s">
        <v>8</v>
      </c>
      <c r="KR574" s="27" t="s">
        <v>7</v>
      </c>
      <c r="KS574" s="27" t="s">
        <v>8</v>
      </c>
      <c r="KT574" s="27" t="s">
        <v>7</v>
      </c>
    </row>
    <row r="575" spans="1:306" x14ac:dyDescent="0.25">
      <c r="A575" s="7">
        <v>1.2682417945625455</v>
      </c>
      <c r="B575"/>
      <c r="C575"/>
      <c r="D575"/>
      <c r="E575"/>
      <c r="W575" s="27" t="s">
        <v>8</v>
      </c>
      <c r="X575" s="27" t="s">
        <v>7</v>
      </c>
      <c r="Y575" s="27" t="s">
        <v>8</v>
      </c>
      <c r="Z575" s="27" t="s">
        <v>7</v>
      </c>
      <c r="AA575" s="27" t="s">
        <v>8</v>
      </c>
      <c r="AB575" s="27" t="s">
        <v>7</v>
      </c>
      <c r="AC575" s="27" t="s">
        <v>8</v>
      </c>
      <c r="AD575" s="27" t="s">
        <v>7</v>
      </c>
      <c r="AE575" s="27" t="s">
        <v>8</v>
      </c>
      <c r="AF575" s="27" t="s">
        <v>7</v>
      </c>
      <c r="AG575" s="27" t="s">
        <v>8</v>
      </c>
      <c r="AH575" s="27" t="s">
        <v>7</v>
      </c>
      <c r="DS575" s="27" t="s">
        <v>8</v>
      </c>
      <c r="DT575" s="27" t="s">
        <v>7</v>
      </c>
      <c r="DY575" s="27" t="s">
        <v>8</v>
      </c>
      <c r="EF575" s="27" t="s">
        <v>7</v>
      </c>
      <c r="EG575" s="27" t="s">
        <v>8</v>
      </c>
      <c r="EH575" s="27" t="s">
        <v>7</v>
      </c>
      <c r="EI575" s="27" t="s">
        <v>8</v>
      </c>
      <c r="EJ575" s="27" t="s">
        <v>7</v>
      </c>
      <c r="EK575" s="27" t="s">
        <v>8</v>
      </c>
      <c r="EL575" s="27" t="s">
        <v>7</v>
      </c>
      <c r="EM575" s="27" t="s">
        <v>8</v>
      </c>
      <c r="EN575" s="27" t="s">
        <v>7</v>
      </c>
      <c r="EO575" s="27" t="s">
        <v>8</v>
      </c>
      <c r="FV575" s="27" t="s">
        <v>7</v>
      </c>
      <c r="FW575" s="27" t="s">
        <v>8</v>
      </c>
      <c r="GL575" s="27" t="s">
        <v>7</v>
      </c>
      <c r="GM575" s="27" t="s">
        <v>8</v>
      </c>
      <c r="GN575" s="27" t="s">
        <v>7</v>
      </c>
      <c r="GU575" s="27" t="s">
        <v>8</v>
      </c>
      <c r="GV575" s="27" t="s">
        <v>7</v>
      </c>
      <c r="IG575" s="27" t="s">
        <v>8</v>
      </c>
      <c r="IH575" s="27" t="s">
        <v>7</v>
      </c>
      <c r="II575" s="27" t="s">
        <v>8</v>
      </c>
      <c r="IJ575" s="27" t="s">
        <v>7</v>
      </c>
      <c r="IK575" s="27" t="s">
        <v>8</v>
      </c>
      <c r="IL575" s="27" t="s">
        <v>7</v>
      </c>
      <c r="IQ575" s="27" t="s">
        <v>8</v>
      </c>
      <c r="IR575" s="27" t="s">
        <v>7</v>
      </c>
      <c r="IS575" s="27" t="s">
        <v>8</v>
      </c>
      <c r="IT575" s="27" t="s">
        <v>7</v>
      </c>
      <c r="IY575" s="27" t="s">
        <v>8</v>
      </c>
      <c r="JS575" s="27" t="s">
        <v>8</v>
      </c>
      <c r="JU575" s="27" t="s">
        <v>8</v>
      </c>
      <c r="JV575" s="27" t="s">
        <v>7</v>
      </c>
      <c r="KK575" s="27" t="s">
        <v>8</v>
      </c>
      <c r="KL575" s="27" t="s">
        <v>7</v>
      </c>
      <c r="KM575" s="27" t="s">
        <v>8</v>
      </c>
      <c r="KN575" s="27" t="s">
        <v>7</v>
      </c>
      <c r="KO575" s="27" t="s">
        <v>8</v>
      </c>
      <c r="KP575" s="27" t="s">
        <v>7</v>
      </c>
      <c r="KQ575" s="27" t="s">
        <v>8</v>
      </c>
      <c r="KR575" s="27" t="s">
        <v>7</v>
      </c>
      <c r="KS575" s="27" t="s">
        <v>8</v>
      </c>
      <c r="KT575" s="27" t="s">
        <v>7</v>
      </c>
    </row>
    <row r="576" spans="1:306" x14ac:dyDescent="0.25">
      <c r="A576" s="7">
        <v>1.2433743083946525</v>
      </c>
      <c r="B576"/>
      <c r="C576"/>
      <c r="D576"/>
      <c r="E576"/>
      <c r="W576" s="27" t="s">
        <v>8</v>
      </c>
      <c r="X576" s="27" t="s">
        <v>7</v>
      </c>
      <c r="Y576" s="27" t="s">
        <v>8</v>
      </c>
      <c r="Z576" s="27" t="s">
        <v>7</v>
      </c>
      <c r="AA576" s="27" t="s">
        <v>8</v>
      </c>
      <c r="AB576" s="27" t="s">
        <v>7</v>
      </c>
      <c r="AC576" s="27" t="s">
        <v>8</v>
      </c>
      <c r="AD576" s="27" t="s">
        <v>7</v>
      </c>
      <c r="AF576" s="27" t="s">
        <v>7</v>
      </c>
      <c r="AG576" s="27" t="s">
        <v>8</v>
      </c>
      <c r="AH576" s="27" t="s">
        <v>7</v>
      </c>
      <c r="DS576" s="27" t="s">
        <v>8</v>
      </c>
      <c r="DT576" s="27" t="s">
        <v>7</v>
      </c>
      <c r="DY576" s="27" t="s">
        <v>8</v>
      </c>
      <c r="EF576" s="27" t="s">
        <v>7</v>
      </c>
      <c r="EG576" s="27" t="s">
        <v>8</v>
      </c>
      <c r="EH576" s="27" t="s">
        <v>7</v>
      </c>
      <c r="EI576" s="27" t="s">
        <v>8</v>
      </c>
      <c r="EJ576" s="27" t="s">
        <v>7</v>
      </c>
      <c r="EK576" s="27" t="s">
        <v>8</v>
      </c>
      <c r="EL576" s="27" t="s">
        <v>7</v>
      </c>
      <c r="EN576" s="27" t="s">
        <v>7</v>
      </c>
      <c r="FV576" s="27" t="s">
        <v>7</v>
      </c>
      <c r="FW576" s="27" t="s">
        <v>8</v>
      </c>
      <c r="GL576" s="27" t="s">
        <v>7</v>
      </c>
      <c r="GM576" s="27" t="s">
        <v>8</v>
      </c>
      <c r="GN576" s="27" t="s">
        <v>7</v>
      </c>
      <c r="GS576" s="27" t="s">
        <v>8</v>
      </c>
      <c r="GU576" s="27" t="s">
        <v>8</v>
      </c>
      <c r="GV576" s="27" t="s">
        <v>7</v>
      </c>
      <c r="GY576" s="27" t="s">
        <v>8</v>
      </c>
      <c r="HA576" s="27" t="s">
        <v>8</v>
      </c>
      <c r="IG576" s="27" t="s">
        <v>8</v>
      </c>
      <c r="IH576" s="27" t="s">
        <v>7</v>
      </c>
      <c r="II576" s="27" t="s">
        <v>8</v>
      </c>
      <c r="IJ576" s="27" t="s">
        <v>7</v>
      </c>
      <c r="IK576" s="27" t="s">
        <v>8</v>
      </c>
      <c r="IL576" s="27" t="s">
        <v>7</v>
      </c>
      <c r="IQ576" s="27" t="s">
        <v>8</v>
      </c>
      <c r="IR576" s="27" t="s">
        <v>7</v>
      </c>
      <c r="IS576" s="27" t="s">
        <v>8</v>
      </c>
      <c r="IT576" s="27" t="s">
        <v>7</v>
      </c>
      <c r="IY576" s="27" t="s">
        <v>8</v>
      </c>
      <c r="IZ576" s="27" t="s">
        <v>7</v>
      </c>
      <c r="JS576" s="27" t="s">
        <v>8</v>
      </c>
      <c r="JT576" s="27" t="s">
        <v>7</v>
      </c>
      <c r="JU576" s="27" t="s">
        <v>8</v>
      </c>
      <c r="JV576" s="27" t="s">
        <v>7</v>
      </c>
      <c r="KK576" s="27" t="s">
        <v>8</v>
      </c>
      <c r="KL576" s="27" t="s">
        <v>7</v>
      </c>
      <c r="KM576" s="27" t="s">
        <v>8</v>
      </c>
      <c r="KN576" s="27" t="s">
        <v>7</v>
      </c>
      <c r="KO576" s="27" t="s">
        <v>8</v>
      </c>
      <c r="KP576" s="27" t="s">
        <v>7</v>
      </c>
      <c r="KQ576" s="27" t="s">
        <v>8</v>
      </c>
      <c r="KR576" s="27" t="s">
        <v>7</v>
      </c>
      <c r="KS576" s="27" t="s">
        <v>8</v>
      </c>
      <c r="KT576" s="27" t="s">
        <v>7</v>
      </c>
    </row>
    <row r="577" spans="1:329" x14ac:dyDescent="0.25">
      <c r="A577" s="7">
        <v>1.2189944199947573</v>
      </c>
      <c r="B577"/>
      <c r="C577"/>
      <c r="D577"/>
      <c r="E577"/>
      <c r="W577" s="27" t="s">
        <v>8</v>
      </c>
      <c r="X577" s="27" t="s">
        <v>7</v>
      </c>
      <c r="Y577" s="27" t="s">
        <v>8</v>
      </c>
      <c r="Z577" s="27" t="s">
        <v>7</v>
      </c>
      <c r="AA577" s="27" t="s">
        <v>8</v>
      </c>
      <c r="AB577" s="27" t="s">
        <v>7</v>
      </c>
      <c r="AC577" s="27" t="s">
        <v>8</v>
      </c>
      <c r="AF577" s="27" t="s">
        <v>7</v>
      </c>
      <c r="AG577" s="27" t="s">
        <v>8</v>
      </c>
      <c r="AH577" s="27" t="s">
        <v>7</v>
      </c>
      <c r="DS577" s="27" t="s">
        <v>8</v>
      </c>
      <c r="DT577" s="27" t="s">
        <v>7</v>
      </c>
      <c r="DY577" s="27" t="s">
        <v>8</v>
      </c>
      <c r="EF577" s="27" t="s">
        <v>7</v>
      </c>
      <c r="EG577" s="27" t="s">
        <v>8</v>
      </c>
      <c r="EH577" s="27" t="s">
        <v>7</v>
      </c>
      <c r="EI577" s="27" t="s">
        <v>8</v>
      </c>
      <c r="EJ577" s="27" t="s">
        <v>7</v>
      </c>
      <c r="EK577" s="27" t="s">
        <v>8</v>
      </c>
      <c r="FV577" s="27" t="s">
        <v>7</v>
      </c>
      <c r="FW577" s="27" t="s">
        <v>8</v>
      </c>
      <c r="GL577" s="27" t="s">
        <v>7</v>
      </c>
      <c r="GM577" s="27" t="s">
        <v>8</v>
      </c>
      <c r="GN577" s="27" t="s">
        <v>7</v>
      </c>
      <c r="GS577" s="27" t="s">
        <v>8</v>
      </c>
      <c r="GT577" s="27" t="s">
        <v>7</v>
      </c>
      <c r="GU577" s="27" t="s">
        <v>8</v>
      </c>
      <c r="GV577" s="27" t="s">
        <v>7</v>
      </c>
      <c r="GY577" s="27" t="s">
        <v>8</v>
      </c>
      <c r="GZ577" s="27" t="s">
        <v>7</v>
      </c>
      <c r="HA577" s="27" t="s">
        <v>8</v>
      </c>
      <c r="HB577" s="27" t="s">
        <v>7</v>
      </c>
      <c r="IG577" s="27" t="s">
        <v>8</v>
      </c>
      <c r="IH577" s="27" t="s">
        <v>7</v>
      </c>
      <c r="II577" s="27" t="s">
        <v>8</v>
      </c>
      <c r="IJ577" s="27" t="s">
        <v>7</v>
      </c>
      <c r="IL577" s="27" t="s">
        <v>7</v>
      </c>
      <c r="IM577" s="27" t="s">
        <v>8</v>
      </c>
      <c r="IQ577" s="27" t="s">
        <v>8</v>
      </c>
      <c r="IR577" s="27" t="s">
        <v>7</v>
      </c>
      <c r="IS577" s="27" t="s">
        <v>8</v>
      </c>
      <c r="IT577" s="27" t="s">
        <v>7</v>
      </c>
      <c r="IY577" s="27" t="s">
        <v>8</v>
      </c>
      <c r="IZ577" s="27" t="s">
        <v>7</v>
      </c>
      <c r="JA577" s="27" t="s">
        <v>8</v>
      </c>
      <c r="JS577" s="27" t="s">
        <v>8</v>
      </c>
      <c r="JT577" s="27" t="s">
        <v>7</v>
      </c>
      <c r="JU577" s="27" t="s">
        <v>8</v>
      </c>
      <c r="JV577" s="27" t="s">
        <v>7</v>
      </c>
      <c r="KK577" s="27" t="s">
        <v>8</v>
      </c>
      <c r="KL577" s="27" t="s">
        <v>7</v>
      </c>
      <c r="KM577" s="27" t="s">
        <v>8</v>
      </c>
      <c r="KN577" s="27" t="s">
        <v>7</v>
      </c>
      <c r="KO577" s="27" t="s">
        <v>8</v>
      </c>
      <c r="KP577" s="27" t="s">
        <v>7</v>
      </c>
      <c r="KR577" s="27" t="s">
        <v>7</v>
      </c>
      <c r="KS577" s="27" t="s">
        <v>8</v>
      </c>
      <c r="KT577" s="27" t="s">
        <v>7</v>
      </c>
      <c r="LA577" s="27" t="s">
        <v>8</v>
      </c>
    </row>
    <row r="578" spans="1:329" x14ac:dyDescent="0.25">
      <c r="A578" s="7">
        <v>1.1950925686223111</v>
      </c>
      <c r="B578"/>
      <c r="C578"/>
      <c r="D578"/>
      <c r="E578"/>
      <c r="W578" s="27" t="s">
        <v>8</v>
      </c>
      <c r="X578" s="27" t="s">
        <v>7</v>
      </c>
      <c r="Y578" s="27" t="s">
        <v>8</v>
      </c>
      <c r="Z578" s="27" t="s">
        <v>7</v>
      </c>
      <c r="AA578" s="27" t="s">
        <v>8</v>
      </c>
      <c r="AB578" s="27" t="s">
        <v>7</v>
      </c>
      <c r="AF578" s="27" t="s">
        <v>7</v>
      </c>
      <c r="AG578" s="27" t="s">
        <v>8</v>
      </c>
      <c r="AH578" s="27" t="s">
        <v>7</v>
      </c>
      <c r="DS578" s="27" t="s">
        <v>8</v>
      </c>
      <c r="DT578" s="27" t="s">
        <v>7</v>
      </c>
      <c r="DY578" s="27" t="s">
        <v>8</v>
      </c>
      <c r="EF578" s="27" t="s">
        <v>7</v>
      </c>
      <c r="EG578" s="27" t="s">
        <v>8</v>
      </c>
      <c r="EH578" s="27" t="s">
        <v>7</v>
      </c>
      <c r="EI578" s="27" t="s">
        <v>8</v>
      </c>
      <c r="EJ578" s="27" t="s">
        <v>7</v>
      </c>
      <c r="EK578" s="27" t="s">
        <v>8</v>
      </c>
      <c r="FV578" s="27" t="s">
        <v>7</v>
      </c>
      <c r="GL578" s="27" t="s">
        <v>7</v>
      </c>
      <c r="GM578" s="27" t="s">
        <v>8</v>
      </c>
      <c r="GN578" s="27" t="s">
        <v>7</v>
      </c>
      <c r="GS578" s="27" t="s">
        <v>8</v>
      </c>
      <c r="GT578" s="27" t="s">
        <v>7</v>
      </c>
      <c r="GU578" s="27" t="s">
        <v>8</v>
      </c>
      <c r="GV578" s="27" t="s">
        <v>7</v>
      </c>
      <c r="GW578" s="27" t="s">
        <v>8</v>
      </c>
      <c r="GY578" s="27" t="s">
        <v>8</v>
      </c>
      <c r="GZ578" s="27" t="s">
        <v>7</v>
      </c>
      <c r="HA578" s="27" t="s">
        <v>8</v>
      </c>
      <c r="HB578" s="27" t="s">
        <v>7</v>
      </c>
      <c r="HC578" s="27" t="s">
        <v>8</v>
      </c>
      <c r="IG578" s="27" t="s">
        <v>8</v>
      </c>
      <c r="IH578" s="27" t="s">
        <v>7</v>
      </c>
      <c r="II578" s="27" t="s">
        <v>8</v>
      </c>
      <c r="IL578" s="27" t="s">
        <v>7</v>
      </c>
      <c r="IM578" s="27" t="s">
        <v>8</v>
      </c>
      <c r="IN578" s="27" t="s">
        <v>7</v>
      </c>
      <c r="IO578" s="27" t="s">
        <v>8</v>
      </c>
      <c r="IQ578" s="27" t="s">
        <v>8</v>
      </c>
      <c r="IR578" s="27" t="s">
        <v>7</v>
      </c>
      <c r="IS578" s="27" t="s">
        <v>8</v>
      </c>
      <c r="IT578" s="27" t="s">
        <v>7</v>
      </c>
      <c r="IY578" s="27" t="s">
        <v>8</v>
      </c>
      <c r="IZ578" s="27" t="s">
        <v>7</v>
      </c>
      <c r="JA578" s="27" t="s">
        <v>8</v>
      </c>
      <c r="JB578" s="27" t="s">
        <v>7</v>
      </c>
      <c r="JM578" s="27" t="s">
        <v>8</v>
      </c>
      <c r="JS578" s="27" t="s">
        <v>8</v>
      </c>
      <c r="JT578" s="27" t="s">
        <v>7</v>
      </c>
      <c r="JU578" s="27" t="s">
        <v>8</v>
      </c>
      <c r="JV578" s="27" t="s">
        <v>7</v>
      </c>
      <c r="KK578" s="27" t="s">
        <v>8</v>
      </c>
      <c r="KL578" s="27" t="s">
        <v>7</v>
      </c>
      <c r="KM578" s="27" t="s">
        <v>8</v>
      </c>
      <c r="KN578" s="27" t="s">
        <v>7</v>
      </c>
      <c r="KO578" s="27" t="s">
        <v>8</v>
      </c>
      <c r="KR578" s="27" t="s">
        <v>7</v>
      </c>
      <c r="KS578" s="27" t="s">
        <v>8</v>
      </c>
      <c r="KT578" s="27" t="s">
        <v>7</v>
      </c>
      <c r="LA578" s="27" t="s">
        <v>8</v>
      </c>
      <c r="LB578" s="27" t="s">
        <v>7</v>
      </c>
    </row>
    <row r="579" spans="1:329" x14ac:dyDescent="0.25">
      <c r="A579" s="7">
        <v>1.1716593810022657</v>
      </c>
      <c r="B579"/>
      <c r="C579"/>
      <c r="D579"/>
      <c r="E579"/>
      <c r="W579" s="27" t="s">
        <v>8</v>
      </c>
      <c r="X579" s="27" t="s">
        <v>7</v>
      </c>
      <c r="Y579" s="27" t="s">
        <v>8</v>
      </c>
      <c r="Z579" s="27" t="s">
        <v>7</v>
      </c>
      <c r="AA579" s="27" t="s">
        <v>8</v>
      </c>
      <c r="AF579" s="27" t="s">
        <v>7</v>
      </c>
      <c r="AG579" s="27" t="s">
        <v>8</v>
      </c>
      <c r="AH579" s="27" t="s">
        <v>7</v>
      </c>
      <c r="DS579" s="27" t="s">
        <v>8</v>
      </c>
      <c r="DT579" s="27" t="s">
        <v>7</v>
      </c>
      <c r="DY579" s="27" t="s">
        <v>8</v>
      </c>
      <c r="EF579" s="27" t="s">
        <v>7</v>
      </c>
      <c r="EG579" s="27" t="s">
        <v>8</v>
      </c>
      <c r="EH579" s="27" t="s">
        <v>7</v>
      </c>
      <c r="EI579" s="27" t="s">
        <v>8</v>
      </c>
      <c r="EJ579" s="27" t="s">
        <v>7</v>
      </c>
      <c r="EK579" s="27" t="s">
        <v>8</v>
      </c>
      <c r="GL579" s="27" t="s">
        <v>7</v>
      </c>
      <c r="GM579" s="27" t="s">
        <v>8</v>
      </c>
      <c r="GN579" s="27" t="s">
        <v>7</v>
      </c>
      <c r="GS579" s="27" t="s">
        <v>8</v>
      </c>
      <c r="GT579" s="27" t="s">
        <v>7</v>
      </c>
      <c r="GU579" s="27" t="s">
        <v>8</v>
      </c>
      <c r="GV579" s="27" t="s">
        <v>7</v>
      </c>
      <c r="GW579" s="27" t="s">
        <v>8</v>
      </c>
      <c r="GX579" s="27" t="s">
        <v>7</v>
      </c>
      <c r="GY579" s="27" t="s">
        <v>8</v>
      </c>
      <c r="GZ579" s="27" t="s">
        <v>7</v>
      </c>
      <c r="HA579" s="27" t="s">
        <v>8</v>
      </c>
      <c r="HB579" s="27" t="s">
        <v>7</v>
      </c>
      <c r="HC579" s="27" t="s">
        <v>8</v>
      </c>
      <c r="HD579" s="27" t="s">
        <v>7</v>
      </c>
      <c r="IG579" s="27" t="s">
        <v>8</v>
      </c>
      <c r="IH579" s="27" t="s">
        <v>7</v>
      </c>
      <c r="II579" s="27" t="s">
        <v>8</v>
      </c>
      <c r="IL579" s="27" t="s">
        <v>7</v>
      </c>
      <c r="IM579" s="27" t="s">
        <v>8</v>
      </c>
      <c r="IN579" s="27" t="s">
        <v>7</v>
      </c>
      <c r="IO579" s="27" t="s">
        <v>8</v>
      </c>
      <c r="IP579" s="27" t="s">
        <v>7</v>
      </c>
      <c r="IQ579" s="27" t="s">
        <v>8</v>
      </c>
      <c r="IR579" s="27" t="s">
        <v>7</v>
      </c>
      <c r="IS579" s="27" t="s">
        <v>8</v>
      </c>
      <c r="IT579" s="27" t="s">
        <v>7</v>
      </c>
      <c r="IU579" s="27" t="s">
        <v>8</v>
      </c>
      <c r="IY579" s="27" t="s">
        <v>8</v>
      </c>
      <c r="IZ579" s="27" t="s">
        <v>7</v>
      </c>
      <c r="JA579" s="27" t="s">
        <v>8</v>
      </c>
      <c r="JB579" s="27" t="s">
        <v>7</v>
      </c>
      <c r="JM579" s="27" t="s">
        <v>8</v>
      </c>
      <c r="JN579" s="27" t="s">
        <v>7</v>
      </c>
      <c r="JS579" s="27" t="s">
        <v>8</v>
      </c>
      <c r="JT579" s="27" t="s">
        <v>7</v>
      </c>
      <c r="JU579" s="27" t="s">
        <v>8</v>
      </c>
      <c r="JV579" s="27" t="s">
        <v>7</v>
      </c>
      <c r="JW579" s="27" t="s">
        <v>8</v>
      </c>
      <c r="KK579" s="27" t="s">
        <v>8</v>
      </c>
      <c r="KL579" s="27" t="s">
        <v>7</v>
      </c>
      <c r="KM579" s="27" t="s">
        <v>8</v>
      </c>
      <c r="KN579" s="27" t="s">
        <v>7</v>
      </c>
      <c r="KO579" s="27" t="s">
        <v>8</v>
      </c>
      <c r="KR579" s="27" t="s">
        <v>7</v>
      </c>
      <c r="KS579" s="27" t="s">
        <v>8</v>
      </c>
      <c r="KT579" s="27" t="s">
        <v>7</v>
      </c>
      <c r="LA579" s="27" t="s">
        <v>8</v>
      </c>
      <c r="LB579" s="27" t="s">
        <v>7</v>
      </c>
    </row>
    <row r="580" spans="1:329" x14ac:dyDescent="0.25">
      <c r="A580" s="7">
        <v>1.14868566764928</v>
      </c>
      <c r="B580"/>
      <c r="C580"/>
      <c r="D580"/>
      <c r="E580"/>
      <c r="W580" s="27" t="s">
        <v>8</v>
      </c>
      <c r="X580" s="27" t="s">
        <v>7</v>
      </c>
      <c r="Y580" s="27" t="s">
        <v>8</v>
      </c>
      <c r="Z580" s="27" t="s">
        <v>7</v>
      </c>
      <c r="AA580" s="27" t="s">
        <v>8</v>
      </c>
      <c r="AF580" s="27" t="s">
        <v>7</v>
      </c>
      <c r="AG580" s="27" t="s">
        <v>8</v>
      </c>
      <c r="AH580" s="27" t="s">
        <v>7</v>
      </c>
      <c r="DS580" s="27" t="s">
        <v>8</v>
      </c>
      <c r="DT580" s="27" t="s">
        <v>7</v>
      </c>
      <c r="DY580" s="27" t="s">
        <v>8</v>
      </c>
      <c r="EF580" s="27" t="s">
        <v>7</v>
      </c>
      <c r="EG580" s="27" t="s">
        <v>8</v>
      </c>
      <c r="EH580" s="27" t="s">
        <v>7</v>
      </c>
      <c r="EI580" s="27" t="s">
        <v>8</v>
      </c>
      <c r="EJ580" s="27" t="s">
        <v>7</v>
      </c>
      <c r="EK580" s="27" t="s">
        <v>8</v>
      </c>
      <c r="GL580" s="27" t="s">
        <v>7</v>
      </c>
      <c r="GM580" s="27" t="s">
        <v>8</v>
      </c>
      <c r="GN580" s="27" t="s">
        <v>7</v>
      </c>
      <c r="GS580" s="27" t="s">
        <v>8</v>
      </c>
      <c r="GT580" s="27" t="s">
        <v>7</v>
      </c>
      <c r="GU580" s="27" t="s">
        <v>8</v>
      </c>
      <c r="GV580" s="27" t="s">
        <v>7</v>
      </c>
      <c r="GW580" s="27" t="s">
        <v>8</v>
      </c>
      <c r="GX580" s="27" t="s">
        <v>7</v>
      </c>
      <c r="GY580" s="27" t="s">
        <v>8</v>
      </c>
      <c r="GZ580" s="27" t="s">
        <v>7</v>
      </c>
      <c r="HA580" s="27" t="s">
        <v>8</v>
      </c>
      <c r="HB580" s="27" t="s">
        <v>7</v>
      </c>
      <c r="HC580" s="27" t="s">
        <v>8</v>
      </c>
      <c r="HD580" s="27" t="s">
        <v>7</v>
      </c>
      <c r="IC580" s="27" t="s">
        <v>8</v>
      </c>
      <c r="IG580" s="27" t="s">
        <v>8</v>
      </c>
      <c r="IH580" s="27" t="s">
        <v>7</v>
      </c>
      <c r="II580" s="27" t="s">
        <v>8</v>
      </c>
      <c r="IL580" s="27" t="s">
        <v>7</v>
      </c>
      <c r="IM580" s="27" t="s">
        <v>8</v>
      </c>
      <c r="IN580" s="27" t="s">
        <v>7</v>
      </c>
      <c r="IO580" s="27" t="s">
        <v>8</v>
      </c>
      <c r="IP580" s="27" t="s">
        <v>7</v>
      </c>
      <c r="IQ580" s="27" t="s">
        <v>8</v>
      </c>
      <c r="IR580" s="27" t="s">
        <v>7</v>
      </c>
      <c r="IT580" s="27" t="s">
        <v>7</v>
      </c>
      <c r="IU580" s="27" t="s">
        <v>8</v>
      </c>
      <c r="IV580" s="27" t="s">
        <v>7</v>
      </c>
      <c r="IW580" s="27" t="s">
        <v>8</v>
      </c>
      <c r="IY580" s="27" t="s">
        <v>8</v>
      </c>
      <c r="IZ580" s="27" t="s">
        <v>7</v>
      </c>
      <c r="JA580" s="27" t="s">
        <v>8</v>
      </c>
      <c r="JB580" s="27" t="s">
        <v>7</v>
      </c>
      <c r="JM580" s="27" t="s">
        <v>8</v>
      </c>
      <c r="JN580" s="27" t="s">
        <v>7</v>
      </c>
      <c r="JO580" s="27" t="s">
        <v>8</v>
      </c>
      <c r="JS580" s="27" t="s">
        <v>8</v>
      </c>
      <c r="JT580" s="27" t="s">
        <v>7</v>
      </c>
      <c r="JU580" s="27" t="s">
        <v>8</v>
      </c>
      <c r="JV580" s="27" t="s">
        <v>7</v>
      </c>
      <c r="JW580" s="27" t="s">
        <v>8</v>
      </c>
      <c r="JX580" s="27" t="s">
        <v>7</v>
      </c>
      <c r="JY580" s="27" t="s">
        <v>8</v>
      </c>
      <c r="KC580" s="27" t="s">
        <v>8</v>
      </c>
      <c r="KI580" s="27" t="s">
        <v>8</v>
      </c>
      <c r="KK580" s="27" t="s">
        <v>8</v>
      </c>
      <c r="KL580" s="27" t="s">
        <v>7</v>
      </c>
      <c r="KM580" s="27" t="s">
        <v>8</v>
      </c>
      <c r="KN580" s="27" t="s">
        <v>7</v>
      </c>
      <c r="KO580" s="27" t="s">
        <v>8</v>
      </c>
      <c r="KR580" s="27" t="s">
        <v>7</v>
      </c>
      <c r="KT580" s="27" t="s">
        <v>7</v>
      </c>
      <c r="LA580" s="27" t="s">
        <v>8</v>
      </c>
      <c r="LB580" s="27" t="s">
        <v>7</v>
      </c>
    </row>
    <row r="581" spans="1:329" x14ac:dyDescent="0.25">
      <c r="A581" s="7">
        <v>1.1261624192640001</v>
      </c>
      <c r="B581"/>
      <c r="C581"/>
      <c r="D581"/>
      <c r="E581"/>
      <c r="W581" s="27" t="s">
        <v>8</v>
      </c>
      <c r="X581" s="27" t="s">
        <v>7</v>
      </c>
      <c r="Y581" s="27" t="s">
        <v>8</v>
      </c>
      <c r="Z581" s="27" t="s">
        <v>7</v>
      </c>
      <c r="AA581" s="27" t="s">
        <v>8</v>
      </c>
      <c r="AF581" s="27" t="s">
        <v>7</v>
      </c>
      <c r="AH581" s="27" t="s">
        <v>7</v>
      </c>
      <c r="DS581" s="27" t="s">
        <v>8</v>
      </c>
      <c r="DT581" s="27" t="s">
        <v>7</v>
      </c>
      <c r="DY581" s="27" t="s">
        <v>8</v>
      </c>
      <c r="EF581" s="27" t="s">
        <v>7</v>
      </c>
      <c r="EG581" s="27" t="s">
        <v>8</v>
      </c>
      <c r="EH581" s="27" t="s">
        <v>7</v>
      </c>
      <c r="EJ581" s="27" t="s">
        <v>7</v>
      </c>
      <c r="EK581" s="27" t="s">
        <v>8</v>
      </c>
      <c r="GL581" s="27" t="s">
        <v>7</v>
      </c>
      <c r="GM581" s="27" t="s">
        <v>8</v>
      </c>
      <c r="GN581" s="27" t="s">
        <v>7</v>
      </c>
      <c r="GS581" s="27" t="s">
        <v>8</v>
      </c>
      <c r="GT581" s="27" t="s">
        <v>7</v>
      </c>
      <c r="GU581" s="27" t="s">
        <v>8</v>
      </c>
      <c r="GV581" s="27" t="s">
        <v>7</v>
      </c>
      <c r="GW581" s="27" t="s">
        <v>8</v>
      </c>
      <c r="GX581" s="27" t="s">
        <v>7</v>
      </c>
      <c r="GY581" s="27" t="s">
        <v>8</v>
      </c>
      <c r="GZ581" s="27" t="s">
        <v>7</v>
      </c>
      <c r="HA581" s="27" t="s">
        <v>8</v>
      </c>
      <c r="HB581" s="27" t="s">
        <v>7</v>
      </c>
      <c r="HC581" s="27" t="s">
        <v>8</v>
      </c>
      <c r="HD581" s="27" t="s">
        <v>7</v>
      </c>
      <c r="IC581" s="27" t="s">
        <v>8</v>
      </c>
      <c r="ID581" s="27" t="s">
        <v>7</v>
      </c>
      <c r="IG581" s="27" t="s">
        <v>8</v>
      </c>
      <c r="IH581" s="27" t="s">
        <v>7</v>
      </c>
      <c r="II581" s="27" t="s">
        <v>8</v>
      </c>
      <c r="IL581" s="27" t="s">
        <v>7</v>
      </c>
      <c r="IN581" s="27" t="s">
        <v>7</v>
      </c>
      <c r="IO581" s="27" t="s">
        <v>8</v>
      </c>
      <c r="IP581" s="27" t="s">
        <v>7</v>
      </c>
      <c r="IQ581" s="27" t="s">
        <v>8</v>
      </c>
      <c r="IT581" s="27" t="s">
        <v>7</v>
      </c>
      <c r="IU581" s="27" t="s">
        <v>8</v>
      </c>
      <c r="IV581" s="27" t="s">
        <v>7</v>
      </c>
      <c r="IW581" s="27" t="s">
        <v>8</v>
      </c>
      <c r="IX581" s="27" t="s">
        <v>7</v>
      </c>
      <c r="IY581" s="27" t="s">
        <v>8</v>
      </c>
      <c r="IZ581" s="27" t="s">
        <v>7</v>
      </c>
      <c r="JB581" s="27" t="s">
        <v>7</v>
      </c>
      <c r="JM581" s="27" t="s">
        <v>8</v>
      </c>
      <c r="JN581" s="27" t="s">
        <v>7</v>
      </c>
      <c r="JO581" s="27" t="s">
        <v>8</v>
      </c>
      <c r="JP581" s="27" t="s">
        <v>7</v>
      </c>
      <c r="JS581" s="27" t="s">
        <v>8</v>
      </c>
      <c r="JT581" s="27" t="s">
        <v>7</v>
      </c>
      <c r="JU581" s="27" t="s">
        <v>8</v>
      </c>
      <c r="JV581" s="27" t="s">
        <v>7</v>
      </c>
      <c r="JW581" s="27" t="s">
        <v>8</v>
      </c>
      <c r="JX581" s="27" t="s">
        <v>7</v>
      </c>
      <c r="JY581" s="27" t="s">
        <v>8</v>
      </c>
      <c r="JZ581" s="27" t="s">
        <v>7</v>
      </c>
      <c r="KA581" s="27" t="s">
        <v>8</v>
      </c>
      <c r="KC581" s="27" t="s">
        <v>8</v>
      </c>
      <c r="KD581" s="27" t="s">
        <v>7</v>
      </c>
      <c r="KI581" s="27" t="s">
        <v>8</v>
      </c>
      <c r="KJ581" s="27" t="s">
        <v>7</v>
      </c>
      <c r="KK581" s="27" t="s">
        <v>8</v>
      </c>
      <c r="KL581" s="27" t="s">
        <v>7</v>
      </c>
      <c r="KM581" s="27" t="s">
        <v>8</v>
      </c>
      <c r="KN581" s="27" t="s">
        <v>7</v>
      </c>
      <c r="KO581" s="27" t="s">
        <v>8</v>
      </c>
      <c r="KT581" s="27" t="s">
        <v>7</v>
      </c>
      <c r="KU581" s="27" t="s">
        <v>8</v>
      </c>
      <c r="LA581" s="27" t="s">
        <v>8</v>
      </c>
      <c r="LB581" s="27" t="s">
        <v>7</v>
      </c>
    </row>
    <row r="582" spans="1:329" x14ac:dyDescent="0.25">
      <c r="A582" s="7">
        <v>1.1040808032</v>
      </c>
      <c r="B582"/>
      <c r="C582"/>
      <c r="D582"/>
      <c r="E582"/>
      <c r="W582" s="27" t="s">
        <v>8</v>
      </c>
      <c r="X582" s="27" t="s">
        <v>7</v>
      </c>
      <c r="Y582" s="27" t="s">
        <v>8</v>
      </c>
      <c r="Z582" s="27" t="s">
        <v>7</v>
      </c>
      <c r="AA582" s="27" t="s">
        <v>8</v>
      </c>
      <c r="AH582" s="27" t="s">
        <v>7</v>
      </c>
      <c r="DS582" s="27" t="s">
        <v>8</v>
      </c>
      <c r="DT582" s="27" t="s">
        <v>7</v>
      </c>
      <c r="DY582" s="27" t="s">
        <v>8</v>
      </c>
      <c r="EF582" s="27" t="s">
        <v>7</v>
      </c>
      <c r="EG582" s="27" t="s">
        <v>8</v>
      </c>
      <c r="EJ582" s="27" t="s">
        <v>7</v>
      </c>
      <c r="EK582" s="27" t="s">
        <v>8</v>
      </c>
      <c r="GL582" s="27" t="s">
        <v>7</v>
      </c>
      <c r="GM582" s="27" t="s">
        <v>8</v>
      </c>
      <c r="GN582" s="27" t="s">
        <v>7</v>
      </c>
      <c r="GO582" s="27" t="s">
        <v>8</v>
      </c>
      <c r="GS582" s="27" t="s">
        <v>8</v>
      </c>
      <c r="GT582" s="27" t="s">
        <v>7</v>
      </c>
      <c r="GU582" s="27" t="s">
        <v>8</v>
      </c>
      <c r="GV582" s="27" t="s">
        <v>7</v>
      </c>
      <c r="GX582" s="27" t="s">
        <v>7</v>
      </c>
      <c r="GY582" s="27" t="s">
        <v>8</v>
      </c>
      <c r="GZ582" s="27" t="s">
        <v>7</v>
      </c>
      <c r="HA582" s="27" t="s">
        <v>8</v>
      </c>
      <c r="HB582" s="27" t="s">
        <v>7</v>
      </c>
      <c r="HC582" s="27" t="s">
        <v>8</v>
      </c>
      <c r="HD582" s="27" t="s">
        <v>7</v>
      </c>
      <c r="IC582" s="27" t="s">
        <v>8</v>
      </c>
      <c r="ID582" s="27" t="s">
        <v>7</v>
      </c>
      <c r="IG582" s="27" t="s">
        <v>8</v>
      </c>
      <c r="IH582" s="27" t="s">
        <v>7</v>
      </c>
      <c r="IN582" s="27" t="s">
        <v>7</v>
      </c>
      <c r="IO582" s="27" t="s">
        <v>8</v>
      </c>
      <c r="IP582" s="27" t="s">
        <v>7</v>
      </c>
      <c r="IQ582" s="27" t="s">
        <v>8</v>
      </c>
      <c r="IT582" s="27" t="s">
        <v>7</v>
      </c>
      <c r="IU582" s="27" t="s">
        <v>8</v>
      </c>
      <c r="IV582" s="27" t="s">
        <v>7</v>
      </c>
      <c r="IW582" s="27" t="s">
        <v>8</v>
      </c>
      <c r="IX582" s="27" t="s">
        <v>7</v>
      </c>
      <c r="IY582" s="27" t="s">
        <v>8</v>
      </c>
      <c r="JB582" s="27" t="s">
        <v>7</v>
      </c>
      <c r="JM582" s="27" t="s">
        <v>8</v>
      </c>
      <c r="JN582" s="27" t="s">
        <v>7</v>
      </c>
      <c r="JO582" s="27" t="s">
        <v>8</v>
      </c>
      <c r="JP582" s="27" t="s">
        <v>7</v>
      </c>
      <c r="JQ582" s="27" t="s">
        <v>8</v>
      </c>
      <c r="JS582" s="27" t="s">
        <v>8</v>
      </c>
      <c r="JT582" s="27" t="s">
        <v>7</v>
      </c>
      <c r="JV582" s="27" t="s">
        <v>7</v>
      </c>
      <c r="JW582" s="27" t="s">
        <v>8</v>
      </c>
      <c r="JX582" s="27" t="s">
        <v>7</v>
      </c>
      <c r="JY582" s="27" t="s">
        <v>8</v>
      </c>
      <c r="JZ582" s="27" t="s">
        <v>7</v>
      </c>
      <c r="KA582" s="27" t="s">
        <v>8</v>
      </c>
      <c r="KB582" s="27" t="s">
        <v>7</v>
      </c>
      <c r="KC582" s="27" t="s">
        <v>8</v>
      </c>
      <c r="KD582" s="27" t="s">
        <v>7</v>
      </c>
      <c r="KI582" s="27" t="s">
        <v>8</v>
      </c>
      <c r="KJ582" s="27" t="s">
        <v>7</v>
      </c>
      <c r="KK582" s="27" t="s">
        <v>8</v>
      </c>
      <c r="KL582" s="27" t="s">
        <v>7</v>
      </c>
      <c r="KM582" s="27" t="s">
        <v>8</v>
      </c>
      <c r="KN582" s="27" t="s">
        <v>7</v>
      </c>
      <c r="KO582" s="27" t="s">
        <v>8</v>
      </c>
      <c r="KT582" s="27" t="s">
        <v>7</v>
      </c>
      <c r="KU582" s="27" t="s">
        <v>8</v>
      </c>
      <c r="KV582" s="27" t="s">
        <v>7</v>
      </c>
      <c r="LA582" s="27" t="s">
        <v>8</v>
      </c>
      <c r="LB582" s="27" t="s">
        <v>7</v>
      </c>
    </row>
    <row r="583" spans="1:329" x14ac:dyDescent="0.25">
      <c r="A583" s="7">
        <v>1.08243216</v>
      </c>
      <c r="B583"/>
      <c r="C583"/>
      <c r="D583"/>
      <c r="E583"/>
      <c r="U583" s="27" t="s">
        <v>8</v>
      </c>
      <c r="W583" s="27" t="s">
        <v>8</v>
      </c>
      <c r="X583" s="27" t="s">
        <v>7</v>
      </c>
      <c r="Y583" s="27" t="s">
        <v>8</v>
      </c>
      <c r="Z583" s="27" t="s">
        <v>7</v>
      </c>
      <c r="AA583" s="27" t="s">
        <v>8</v>
      </c>
      <c r="AH583" s="27" t="s">
        <v>7</v>
      </c>
      <c r="AM583" s="27" t="s">
        <v>8</v>
      </c>
      <c r="DS583" s="27" t="s">
        <v>8</v>
      </c>
      <c r="DT583" s="27" t="s">
        <v>7</v>
      </c>
      <c r="DY583" s="27" t="s">
        <v>8</v>
      </c>
      <c r="EF583" s="27" t="s">
        <v>7</v>
      </c>
      <c r="EG583" s="27" t="s">
        <v>8</v>
      </c>
      <c r="EJ583" s="27" t="s">
        <v>7</v>
      </c>
      <c r="GL583" s="27" t="s">
        <v>7</v>
      </c>
      <c r="GM583" s="27" t="s">
        <v>8</v>
      </c>
      <c r="GN583" s="27" t="s">
        <v>7</v>
      </c>
      <c r="GO583" s="27" t="s">
        <v>8</v>
      </c>
      <c r="GP583" s="27" t="s">
        <v>7</v>
      </c>
      <c r="GQ583" s="27" t="s">
        <v>8</v>
      </c>
      <c r="GS583" s="27" t="s">
        <v>8</v>
      </c>
      <c r="GT583" s="27" t="s">
        <v>7</v>
      </c>
      <c r="GU583" s="27" t="s">
        <v>8</v>
      </c>
      <c r="GX583" s="27" t="s">
        <v>7</v>
      </c>
      <c r="GY583" s="27" t="s">
        <v>8</v>
      </c>
      <c r="GZ583" s="27" t="s">
        <v>7</v>
      </c>
      <c r="HA583" s="27" t="s">
        <v>8</v>
      </c>
      <c r="HB583" s="27" t="s">
        <v>7</v>
      </c>
      <c r="HC583" s="27" t="s">
        <v>8</v>
      </c>
      <c r="HD583" s="27" t="s">
        <v>7</v>
      </c>
      <c r="IC583" s="27" t="s">
        <v>8</v>
      </c>
      <c r="ID583" s="27" t="s">
        <v>7</v>
      </c>
      <c r="IG583" s="27" t="s">
        <v>8</v>
      </c>
      <c r="IN583" s="27" t="s">
        <v>7</v>
      </c>
      <c r="IO583" s="27" t="s">
        <v>8</v>
      </c>
      <c r="IP583" s="27" t="s">
        <v>7</v>
      </c>
      <c r="IQ583" s="27" t="s">
        <v>8</v>
      </c>
      <c r="IT583" s="27" t="s">
        <v>7</v>
      </c>
      <c r="IU583" s="27" t="s">
        <v>8</v>
      </c>
      <c r="IV583" s="27" t="s">
        <v>7</v>
      </c>
      <c r="IW583" s="27" t="s">
        <v>8</v>
      </c>
      <c r="IX583" s="27" t="s">
        <v>7</v>
      </c>
      <c r="IY583" s="27" t="s">
        <v>8</v>
      </c>
      <c r="JB583" s="27" t="s">
        <v>7</v>
      </c>
      <c r="JM583" s="27" t="s">
        <v>8</v>
      </c>
      <c r="JN583" s="27" t="s">
        <v>7</v>
      </c>
      <c r="JO583" s="27" t="s">
        <v>8</v>
      </c>
      <c r="JP583" s="27" t="s">
        <v>7</v>
      </c>
      <c r="JQ583" s="27" t="s">
        <v>8</v>
      </c>
      <c r="JR583" s="27" t="s">
        <v>7</v>
      </c>
      <c r="JS583" s="27" t="s">
        <v>8</v>
      </c>
      <c r="JV583" s="27" t="s">
        <v>7</v>
      </c>
      <c r="JW583" s="27" t="s">
        <v>8</v>
      </c>
      <c r="JX583" s="27" t="s">
        <v>7</v>
      </c>
      <c r="JY583" s="27" t="s">
        <v>8</v>
      </c>
      <c r="JZ583" s="27" t="s">
        <v>7</v>
      </c>
      <c r="KA583" s="27" t="s">
        <v>8</v>
      </c>
      <c r="KB583" s="27" t="s">
        <v>7</v>
      </c>
      <c r="KC583" s="27" t="s">
        <v>8</v>
      </c>
      <c r="KD583" s="27" t="s">
        <v>7</v>
      </c>
      <c r="KE583" s="27" t="s">
        <v>8</v>
      </c>
      <c r="KG583" s="27" t="s">
        <v>8</v>
      </c>
      <c r="KI583" s="27" t="s">
        <v>8</v>
      </c>
      <c r="KJ583" s="27" t="s">
        <v>7</v>
      </c>
      <c r="KK583" s="27" t="s">
        <v>8</v>
      </c>
      <c r="KL583" s="27" t="s">
        <v>7</v>
      </c>
      <c r="KN583" s="27" t="s">
        <v>7</v>
      </c>
      <c r="KO583" s="27" t="s">
        <v>8</v>
      </c>
      <c r="KT583" s="27" t="s">
        <v>7</v>
      </c>
      <c r="KU583" s="27" t="s">
        <v>8</v>
      </c>
      <c r="KV583" s="27" t="s">
        <v>7</v>
      </c>
      <c r="LA583" s="27" t="s">
        <v>8</v>
      </c>
      <c r="LB583" s="27" t="s">
        <v>7</v>
      </c>
      <c r="LI583" s="27" t="s">
        <v>8</v>
      </c>
    </row>
    <row r="584" spans="1:329" x14ac:dyDescent="0.25">
      <c r="A584" s="7">
        <v>1.0612079999999999</v>
      </c>
      <c r="B584"/>
      <c r="C584"/>
      <c r="D584"/>
      <c r="E584"/>
      <c r="U584" s="27" t="s">
        <v>8</v>
      </c>
      <c r="V584" s="27" t="s">
        <v>7</v>
      </c>
      <c r="W584" s="27" t="s">
        <v>8</v>
      </c>
      <c r="X584" s="27" t="s">
        <v>7</v>
      </c>
      <c r="Y584" s="27" t="s">
        <v>8</v>
      </c>
      <c r="Z584" s="27" t="s">
        <v>7</v>
      </c>
      <c r="AA584" s="27" t="s">
        <v>8</v>
      </c>
      <c r="AH584" s="27" t="s">
        <v>7</v>
      </c>
      <c r="AM584" s="27" t="s">
        <v>8</v>
      </c>
      <c r="AN584" s="27" t="s">
        <v>7</v>
      </c>
      <c r="DS584" s="27" t="s">
        <v>8</v>
      </c>
      <c r="DT584" s="27" t="s">
        <v>7</v>
      </c>
      <c r="DY584" s="27" t="s">
        <v>8</v>
      </c>
      <c r="EF584" s="27" t="s">
        <v>7</v>
      </c>
      <c r="EG584" s="27" t="s">
        <v>8</v>
      </c>
      <c r="GL584" s="27" t="s">
        <v>7</v>
      </c>
      <c r="GM584" s="27" t="s">
        <v>8</v>
      </c>
      <c r="GN584" s="27" t="s">
        <v>7</v>
      </c>
      <c r="GO584" s="27" t="s">
        <v>8</v>
      </c>
      <c r="GP584" s="27" t="s">
        <v>7</v>
      </c>
      <c r="GQ584" s="27" t="s">
        <v>8</v>
      </c>
      <c r="GR584" s="27" t="s">
        <v>7</v>
      </c>
      <c r="GS584" s="27" t="s">
        <v>8</v>
      </c>
      <c r="GT584" s="27" t="s">
        <v>7</v>
      </c>
      <c r="GU584" s="27" t="s">
        <v>8</v>
      </c>
      <c r="GX584" s="27" t="s">
        <v>7</v>
      </c>
      <c r="GY584" s="27" t="s">
        <v>8</v>
      </c>
      <c r="GZ584" s="27" t="s">
        <v>7</v>
      </c>
      <c r="HA584" s="27" t="s">
        <v>8</v>
      </c>
      <c r="HB584" s="27" t="s">
        <v>7</v>
      </c>
      <c r="HC584" s="27" t="s">
        <v>8</v>
      </c>
      <c r="HD584" s="27" t="s">
        <v>7</v>
      </c>
      <c r="IC584" s="27" t="s">
        <v>8</v>
      </c>
      <c r="ID584" s="27" t="s">
        <v>7</v>
      </c>
      <c r="IE584" s="27" t="s">
        <v>8</v>
      </c>
      <c r="IG584" s="27" t="s">
        <v>8</v>
      </c>
      <c r="IN584" s="27" t="s">
        <v>7</v>
      </c>
      <c r="IO584" s="27" t="s">
        <v>8</v>
      </c>
      <c r="IP584" s="27" t="s">
        <v>7</v>
      </c>
      <c r="IQ584" s="27" t="s">
        <v>8</v>
      </c>
      <c r="IT584" s="27" t="s">
        <v>7</v>
      </c>
      <c r="IU584" s="27" t="s">
        <v>8</v>
      </c>
      <c r="IV584" s="27" t="s">
        <v>7</v>
      </c>
      <c r="IW584" s="27" t="s">
        <v>8</v>
      </c>
      <c r="IX584" s="27" t="s">
        <v>7</v>
      </c>
      <c r="IY584" s="27" t="s">
        <v>8</v>
      </c>
      <c r="JB584" s="27" t="s">
        <v>7</v>
      </c>
      <c r="JM584" s="27" t="s">
        <v>8</v>
      </c>
      <c r="JN584" s="27" t="s">
        <v>7</v>
      </c>
      <c r="JO584" s="27" t="s">
        <v>8</v>
      </c>
      <c r="JP584" s="27" t="s">
        <v>7</v>
      </c>
      <c r="JQ584" s="27" t="s">
        <v>8</v>
      </c>
      <c r="JR584" s="27" t="s">
        <v>7</v>
      </c>
      <c r="JS584" s="27" t="s">
        <v>8</v>
      </c>
      <c r="JV584" s="27" t="s">
        <v>7</v>
      </c>
      <c r="JW584" s="27" t="s">
        <v>8</v>
      </c>
      <c r="JX584" s="27" t="s">
        <v>7</v>
      </c>
      <c r="JZ584" s="27" t="s">
        <v>7</v>
      </c>
      <c r="KB584" s="27" t="s">
        <v>7</v>
      </c>
      <c r="KD584" s="27" t="s">
        <v>7</v>
      </c>
      <c r="KE584" s="27" t="s">
        <v>8</v>
      </c>
      <c r="KF584" s="27" t="s">
        <v>7</v>
      </c>
      <c r="KG584" s="27" t="s">
        <v>8</v>
      </c>
      <c r="KH584" s="27" t="s">
        <v>7</v>
      </c>
      <c r="KI584" s="27" t="s">
        <v>8</v>
      </c>
      <c r="KJ584" s="27" t="s">
        <v>7</v>
      </c>
      <c r="KK584" s="27" t="s">
        <v>8</v>
      </c>
      <c r="KN584" s="27" t="s">
        <v>7</v>
      </c>
      <c r="KO584" s="27" t="s">
        <v>8</v>
      </c>
      <c r="KT584" s="27" t="s">
        <v>7</v>
      </c>
      <c r="KU584" s="27" t="s">
        <v>8</v>
      </c>
      <c r="KV584" s="27" t="s">
        <v>7</v>
      </c>
      <c r="LA584" s="27" t="s">
        <v>8</v>
      </c>
      <c r="LB584" s="27" t="s">
        <v>7</v>
      </c>
      <c r="LE584" s="27" t="s">
        <v>8</v>
      </c>
      <c r="LI584" s="27" t="s">
        <v>8</v>
      </c>
      <c r="LJ584" s="27" t="s">
        <v>7</v>
      </c>
    </row>
    <row r="585" spans="1:329" x14ac:dyDescent="0.25">
      <c r="A585" s="7">
        <v>1.0404</v>
      </c>
      <c r="B585"/>
      <c r="C585"/>
      <c r="D585"/>
      <c r="E585"/>
      <c r="U585" s="27" t="s">
        <v>8</v>
      </c>
      <c r="V585" s="27" t="s">
        <v>7</v>
      </c>
      <c r="W585" s="27" t="s">
        <v>8</v>
      </c>
      <c r="X585" s="27" t="s">
        <v>7</v>
      </c>
      <c r="Y585" s="27" t="s">
        <v>8</v>
      </c>
      <c r="Z585" s="27" t="s">
        <v>7</v>
      </c>
      <c r="AH585" s="27" t="s">
        <v>7</v>
      </c>
      <c r="AM585" s="27" t="s">
        <v>8</v>
      </c>
      <c r="AN585" s="27" t="s">
        <v>7</v>
      </c>
      <c r="DS585" s="27" t="s">
        <v>8</v>
      </c>
      <c r="DT585" s="27" t="s">
        <v>7</v>
      </c>
      <c r="DY585" s="27" t="s">
        <v>8</v>
      </c>
      <c r="EF585" s="27" t="s">
        <v>7</v>
      </c>
      <c r="EG585" s="27" t="s">
        <v>8</v>
      </c>
      <c r="GL585" s="27" t="s">
        <v>7</v>
      </c>
      <c r="GM585" s="27" t="s">
        <v>8</v>
      </c>
      <c r="GN585" s="27" t="s">
        <v>7</v>
      </c>
      <c r="GO585" s="27" t="s">
        <v>8</v>
      </c>
      <c r="GP585" s="27" t="s">
        <v>7</v>
      </c>
      <c r="GQ585" s="27" t="s">
        <v>8</v>
      </c>
      <c r="GR585" s="27" t="s">
        <v>7</v>
      </c>
      <c r="GS585" s="27" t="s">
        <v>8</v>
      </c>
      <c r="GT585" s="27" t="s">
        <v>7</v>
      </c>
      <c r="GU585" s="27" t="s">
        <v>8</v>
      </c>
      <c r="GX585" s="27" t="s">
        <v>7</v>
      </c>
      <c r="GY585" s="27" t="s">
        <v>8</v>
      </c>
      <c r="GZ585" s="27" t="s">
        <v>7</v>
      </c>
      <c r="HA585" s="27" t="s">
        <v>8</v>
      </c>
      <c r="HB585" s="27" t="s">
        <v>7</v>
      </c>
      <c r="HC585" s="27" t="s">
        <v>8</v>
      </c>
      <c r="HD585" s="27" t="s">
        <v>7</v>
      </c>
      <c r="IC585" s="27" t="s">
        <v>8</v>
      </c>
      <c r="ID585" s="27" t="s">
        <v>7</v>
      </c>
      <c r="IE585" s="27" t="s">
        <v>8</v>
      </c>
      <c r="IF585" s="27" t="s">
        <v>7</v>
      </c>
      <c r="IG585" s="27" t="s">
        <v>8</v>
      </c>
      <c r="IN585" s="27" t="s">
        <v>7</v>
      </c>
      <c r="IP585" s="27" t="s">
        <v>7</v>
      </c>
      <c r="IT585" s="27" t="s">
        <v>7</v>
      </c>
      <c r="IU585" s="27" t="s">
        <v>8</v>
      </c>
      <c r="IV585" s="27" t="s">
        <v>7</v>
      </c>
      <c r="IW585" s="27" t="s">
        <v>8</v>
      </c>
      <c r="IX585" s="27" t="s">
        <v>7</v>
      </c>
      <c r="IY585" s="27" t="s">
        <v>8</v>
      </c>
      <c r="JB585" s="27" t="s">
        <v>7</v>
      </c>
      <c r="JE585" s="27" t="s">
        <v>8</v>
      </c>
      <c r="JG585" s="27" t="s">
        <v>8</v>
      </c>
      <c r="JK585" s="27" t="s">
        <v>8</v>
      </c>
      <c r="JM585" s="27" t="s">
        <v>8</v>
      </c>
      <c r="JN585" s="27" t="s">
        <v>7</v>
      </c>
      <c r="JO585" s="27" t="s">
        <v>8</v>
      </c>
      <c r="JP585" s="27" t="s">
        <v>7</v>
      </c>
      <c r="JQ585" s="27" t="s">
        <v>8</v>
      </c>
      <c r="JR585" s="27" t="s">
        <v>7</v>
      </c>
      <c r="JS585" s="27" t="s">
        <v>8</v>
      </c>
      <c r="JV585" s="27" t="s">
        <v>7</v>
      </c>
      <c r="KD585" s="27" t="s">
        <v>7</v>
      </c>
      <c r="KE585" s="27" t="s">
        <v>8</v>
      </c>
      <c r="KF585" s="27" t="s">
        <v>7</v>
      </c>
      <c r="KG585" s="27" t="s">
        <v>8</v>
      </c>
      <c r="KH585" s="27" t="s">
        <v>7</v>
      </c>
      <c r="KI585" s="27" t="s">
        <v>8</v>
      </c>
      <c r="KJ585" s="27" t="s">
        <v>7</v>
      </c>
      <c r="KK585" s="27" t="s">
        <v>8</v>
      </c>
      <c r="KN585" s="27" t="s">
        <v>7</v>
      </c>
      <c r="KT585" s="27" t="s">
        <v>7</v>
      </c>
      <c r="KU585" s="27" t="s">
        <v>8</v>
      </c>
      <c r="KV585" s="27" t="s">
        <v>7</v>
      </c>
      <c r="LA585" s="27" t="s">
        <v>8</v>
      </c>
      <c r="LB585" s="27" t="s">
        <v>7</v>
      </c>
      <c r="LC585" s="27" t="s">
        <v>8</v>
      </c>
      <c r="LE585" s="27" t="s">
        <v>8</v>
      </c>
      <c r="LF585" s="27" t="s">
        <v>7</v>
      </c>
      <c r="LI585" s="27" t="s">
        <v>8</v>
      </c>
      <c r="LJ585" s="27" t="s">
        <v>7</v>
      </c>
      <c r="LK585" s="27" t="s">
        <v>8</v>
      </c>
    </row>
    <row r="586" spans="1:329" x14ac:dyDescent="0.25">
      <c r="A586" s="7">
        <v>1.02</v>
      </c>
      <c r="B586"/>
      <c r="C586"/>
      <c r="D586"/>
      <c r="E586"/>
      <c r="U586" s="27" t="s">
        <v>8</v>
      </c>
      <c r="V586" s="27" t="s">
        <v>7</v>
      </c>
      <c r="W586" s="27" t="s">
        <v>8</v>
      </c>
      <c r="X586" s="27" t="s">
        <v>7</v>
      </c>
      <c r="Y586" s="27" t="s">
        <v>8</v>
      </c>
      <c r="AH586" s="27" t="s">
        <v>7</v>
      </c>
      <c r="AM586" s="27" t="s">
        <v>8</v>
      </c>
      <c r="AN586" s="27" t="s">
        <v>7</v>
      </c>
      <c r="DS586" s="27" t="s">
        <v>8</v>
      </c>
      <c r="DT586" s="27" t="s">
        <v>7</v>
      </c>
      <c r="DY586" s="27" t="s">
        <v>8</v>
      </c>
      <c r="EF586" s="27" t="s">
        <v>7</v>
      </c>
      <c r="EG586" s="27" t="s">
        <v>8</v>
      </c>
      <c r="GL586" s="27" t="s">
        <v>7</v>
      </c>
      <c r="GM586" s="27" t="s">
        <v>8</v>
      </c>
      <c r="GN586" s="27" t="s">
        <v>7</v>
      </c>
      <c r="GO586" s="27" t="s">
        <v>8</v>
      </c>
      <c r="GP586" s="27" t="s">
        <v>7</v>
      </c>
      <c r="GQ586" s="27" t="s">
        <v>8</v>
      </c>
      <c r="GR586" s="27" t="s">
        <v>7</v>
      </c>
      <c r="GS586" s="27" t="s">
        <v>8</v>
      </c>
      <c r="GT586" s="27" t="s">
        <v>7</v>
      </c>
      <c r="GU586" s="27" t="s">
        <v>8</v>
      </c>
      <c r="GX586" s="27" t="s">
        <v>7</v>
      </c>
      <c r="GY586" s="27" t="s">
        <v>8</v>
      </c>
      <c r="GZ586" s="27" t="s">
        <v>7</v>
      </c>
      <c r="HA586" s="27" t="s">
        <v>8</v>
      </c>
      <c r="HB586" s="27" t="s">
        <v>7</v>
      </c>
      <c r="HC586" s="27" t="s">
        <v>8</v>
      </c>
      <c r="HD586" s="27" t="s">
        <v>7</v>
      </c>
      <c r="IC586" s="27" t="s">
        <v>8</v>
      </c>
      <c r="ID586" s="27" t="s">
        <v>7</v>
      </c>
      <c r="IE586" s="27" t="s">
        <v>8</v>
      </c>
      <c r="IF586" s="27" t="s">
        <v>7</v>
      </c>
      <c r="IG586" s="27" t="s">
        <v>8</v>
      </c>
      <c r="IT586" s="27" t="s">
        <v>7</v>
      </c>
      <c r="IU586" s="27" t="s">
        <v>8</v>
      </c>
      <c r="IV586" s="27" t="s">
        <v>7</v>
      </c>
      <c r="IX586" s="27" t="s">
        <v>7</v>
      </c>
      <c r="IY586" s="27" t="s">
        <v>8</v>
      </c>
      <c r="JB586" s="27" t="s">
        <v>7</v>
      </c>
      <c r="JE586" s="27" t="s">
        <v>8</v>
      </c>
      <c r="JF586" s="27" t="s">
        <v>7</v>
      </c>
      <c r="JG586" s="27" t="s">
        <v>8</v>
      </c>
      <c r="JH586" s="27" t="s">
        <v>7</v>
      </c>
      <c r="JI586" s="27" t="s">
        <v>8</v>
      </c>
      <c r="JK586" s="27" t="s">
        <v>8</v>
      </c>
      <c r="JL586" s="27" t="s">
        <v>7</v>
      </c>
      <c r="JM586" s="27" t="s">
        <v>8</v>
      </c>
      <c r="JN586" s="27" t="s">
        <v>7</v>
      </c>
      <c r="JO586" s="27" t="s">
        <v>8</v>
      </c>
      <c r="JP586" s="27" t="s">
        <v>7</v>
      </c>
      <c r="JQ586" s="27" t="s">
        <v>8</v>
      </c>
      <c r="JR586" s="27" t="s">
        <v>7</v>
      </c>
      <c r="KD586" s="27" t="s">
        <v>7</v>
      </c>
      <c r="KE586" s="27" t="s">
        <v>8</v>
      </c>
      <c r="KF586" s="27" t="s">
        <v>7</v>
      </c>
      <c r="KG586" s="27" t="s">
        <v>8</v>
      </c>
      <c r="KH586" s="27" t="s">
        <v>7</v>
      </c>
      <c r="KJ586" s="27" t="s">
        <v>7</v>
      </c>
      <c r="KK586" s="27" t="s">
        <v>8</v>
      </c>
      <c r="KT586" s="27" t="s">
        <v>7</v>
      </c>
      <c r="KU586" s="27" t="s">
        <v>8</v>
      </c>
      <c r="KV586" s="27" t="s">
        <v>7</v>
      </c>
      <c r="LA586" s="27" t="s">
        <v>8</v>
      </c>
      <c r="LB586" s="27" t="s">
        <v>7</v>
      </c>
      <c r="LC586" s="27" t="s">
        <v>8</v>
      </c>
      <c r="LD586" s="27" t="s">
        <v>7</v>
      </c>
      <c r="LE586" s="27" t="s">
        <v>8</v>
      </c>
      <c r="LF586" s="27" t="s">
        <v>7</v>
      </c>
      <c r="LI586" s="27" t="s">
        <v>8</v>
      </c>
      <c r="LJ586" s="27" t="s">
        <v>7</v>
      </c>
      <c r="LK586" s="27" t="s">
        <v>8</v>
      </c>
      <c r="LL586" s="27" t="s">
        <v>7</v>
      </c>
    </row>
    <row r="587" spans="1:329" x14ac:dyDescent="0.25">
      <c r="A587" s="7">
        <v>1</v>
      </c>
      <c r="B587"/>
      <c r="C587"/>
      <c r="D587"/>
      <c r="E587" s="29" t="s">
        <v>8</v>
      </c>
      <c r="U587" s="27" t="s">
        <v>8</v>
      </c>
      <c r="V587" s="27" t="s">
        <v>7</v>
      </c>
      <c r="W587" s="27" t="s">
        <v>8</v>
      </c>
      <c r="X587" s="27" t="s">
        <v>7</v>
      </c>
      <c r="Y587" s="27" t="s">
        <v>8</v>
      </c>
      <c r="AH587" s="27" t="s">
        <v>7</v>
      </c>
      <c r="AM587" s="27" t="s">
        <v>8</v>
      </c>
      <c r="AN587" s="27" t="s">
        <v>7</v>
      </c>
      <c r="AO587" s="27" t="s">
        <v>8</v>
      </c>
      <c r="DS587" s="27" t="s">
        <v>8</v>
      </c>
      <c r="DT587" s="27" t="s">
        <v>7</v>
      </c>
      <c r="DY587" s="27" t="s">
        <v>8</v>
      </c>
      <c r="EF587" s="27" t="s">
        <v>7</v>
      </c>
      <c r="EG587" s="27" t="s">
        <v>8</v>
      </c>
      <c r="GL587" s="27" t="s">
        <v>7</v>
      </c>
      <c r="GM587" s="27" t="s">
        <v>8</v>
      </c>
      <c r="GN587" s="27" t="s">
        <v>7</v>
      </c>
      <c r="GO587" s="27" t="s">
        <v>8</v>
      </c>
      <c r="GP587" s="27" t="s">
        <v>7</v>
      </c>
      <c r="GQ587" s="27" t="s">
        <v>8</v>
      </c>
      <c r="GR587" s="27" t="s">
        <v>7</v>
      </c>
      <c r="GS587" s="27" t="s">
        <v>8</v>
      </c>
      <c r="GT587" s="27" t="s">
        <v>7</v>
      </c>
      <c r="GU587" s="27" t="s">
        <v>8</v>
      </c>
      <c r="GX587" s="27" t="s">
        <v>7</v>
      </c>
      <c r="GZ587" s="27" t="s">
        <v>7</v>
      </c>
      <c r="HA587" s="27" t="s">
        <v>8</v>
      </c>
      <c r="HB587" s="27" t="s">
        <v>7</v>
      </c>
      <c r="HC587" s="27" t="s">
        <v>8</v>
      </c>
      <c r="HD587" s="27" t="s">
        <v>7</v>
      </c>
      <c r="IC587" s="27" t="s">
        <v>8</v>
      </c>
      <c r="ID587" s="27" t="s">
        <v>7</v>
      </c>
      <c r="IE587" s="27" t="s">
        <v>8</v>
      </c>
      <c r="IF587" s="27" t="s">
        <v>7</v>
      </c>
      <c r="IG587" s="27" t="s">
        <v>8</v>
      </c>
      <c r="IT587" s="27" t="s">
        <v>7</v>
      </c>
      <c r="IU587" s="27" t="s">
        <v>8</v>
      </c>
      <c r="IX587" s="27" t="s">
        <v>7</v>
      </c>
      <c r="IY587" s="27" t="s">
        <v>8</v>
      </c>
      <c r="JB587" s="27" t="s">
        <v>7</v>
      </c>
      <c r="JE587" s="27" t="s">
        <v>8</v>
      </c>
      <c r="JF587" s="27" t="s">
        <v>7</v>
      </c>
      <c r="JG587" s="27" t="s">
        <v>8</v>
      </c>
      <c r="JH587" s="27" t="s">
        <v>7</v>
      </c>
      <c r="JI587" s="27" t="s">
        <v>8</v>
      </c>
      <c r="JJ587" s="27" t="s">
        <v>7</v>
      </c>
      <c r="JK587" s="27" t="s">
        <v>8</v>
      </c>
      <c r="JL587" s="27" t="s">
        <v>7</v>
      </c>
      <c r="JM587" s="27" t="s">
        <v>8</v>
      </c>
      <c r="JN587" s="27" t="s">
        <v>7</v>
      </c>
      <c r="JO587" s="27" t="s">
        <v>8</v>
      </c>
      <c r="JP587" s="27" t="s">
        <v>7</v>
      </c>
      <c r="KD587" s="27" t="s">
        <v>7</v>
      </c>
      <c r="KE587" s="27" t="s">
        <v>8</v>
      </c>
      <c r="KF587" s="27" t="s">
        <v>7</v>
      </c>
      <c r="KJ587" s="27" t="s">
        <v>7</v>
      </c>
      <c r="KK587" s="27" t="s">
        <v>8</v>
      </c>
      <c r="KT587" s="27" t="s">
        <v>7</v>
      </c>
      <c r="KU587" s="27" t="s">
        <v>8</v>
      </c>
      <c r="KV587" s="27" t="s">
        <v>7</v>
      </c>
      <c r="LA587" s="27" t="s">
        <v>8</v>
      </c>
      <c r="LB587" s="27" t="s">
        <v>7</v>
      </c>
      <c r="LC587" s="27" t="s">
        <v>8</v>
      </c>
      <c r="LD587" s="27" t="s">
        <v>7</v>
      </c>
      <c r="LE587" s="27" t="s">
        <v>8</v>
      </c>
      <c r="LF587" s="27" t="s">
        <v>7</v>
      </c>
      <c r="LI587" s="27" t="s">
        <v>8</v>
      </c>
      <c r="LJ587" s="27" t="s">
        <v>7</v>
      </c>
      <c r="LK587" s="27" t="s">
        <v>8</v>
      </c>
      <c r="LL587" s="27" t="s">
        <v>7</v>
      </c>
    </row>
    <row r="588" spans="1:329" x14ac:dyDescent="0.25">
      <c r="A588" s="7">
        <v>0.98039215686274506</v>
      </c>
      <c r="B588"/>
      <c r="C588"/>
      <c r="D588"/>
      <c r="E588"/>
      <c r="F588" s="27" t="s">
        <v>7</v>
      </c>
      <c r="U588" s="27" t="s">
        <v>8</v>
      </c>
      <c r="V588" s="27" t="s">
        <v>7</v>
      </c>
      <c r="W588" s="27" t="s">
        <v>8</v>
      </c>
      <c r="X588" s="27" t="s">
        <v>7</v>
      </c>
      <c r="Y588" s="27" t="s">
        <v>8</v>
      </c>
      <c r="AH588" s="27" t="s">
        <v>7</v>
      </c>
      <c r="AM588" s="27" t="s">
        <v>8</v>
      </c>
      <c r="AN588" s="27" t="s">
        <v>7</v>
      </c>
      <c r="AO588" s="27" t="s">
        <v>8</v>
      </c>
      <c r="AP588" s="27" t="s">
        <v>7</v>
      </c>
      <c r="DS588" s="27" t="s">
        <v>8</v>
      </c>
      <c r="DT588" s="27" t="s">
        <v>7</v>
      </c>
      <c r="DU588" s="27" t="s">
        <v>8</v>
      </c>
      <c r="DY588" s="27" t="s">
        <v>8</v>
      </c>
      <c r="EF588" s="27" t="s">
        <v>7</v>
      </c>
      <c r="GL588" s="27" t="s">
        <v>7</v>
      </c>
      <c r="GM588" s="27" t="s">
        <v>8</v>
      </c>
      <c r="GN588" s="27" t="s">
        <v>7</v>
      </c>
      <c r="GO588" s="27" t="s">
        <v>8</v>
      </c>
      <c r="GP588" s="27" t="s">
        <v>7</v>
      </c>
      <c r="GQ588" s="27" t="s">
        <v>8</v>
      </c>
      <c r="GR588" s="27" t="s">
        <v>7</v>
      </c>
      <c r="GS588" s="27" t="s">
        <v>8</v>
      </c>
      <c r="GT588" s="27" t="s">
        <v>7</v>
      </c>
      <c r="GU588" s="27" t="s">
        <v>8</v>
      </c>
      <c r="GZ588" s="27" t="s">
        <v>7</v>
      </c>
      <c r="HA588" s="27" t="s">
        <v>8</v>
      </c>
      <c r="HB588" s="27" t="s">
        <v>7</v>
      </c>
      <c r="HD588" s="27" t="s">
        <v>7</v>
      </c>
      <c r="HE588" s="27" t="s">
        <v>8</v>
      </c>
      <c r="IC588" s="27" t="s">
        <v>8</v>
      </c>
      <c r="ID588" s="27" t="s">
        <v>7</v>
      </c>
      <c r="IE588" s="27" t="s">
        <v>8</v>
      </c>
      <c r="IF588" s="27" t="s">
        <v>7</v>
      </c>
      <c r="IG588" s="27" t="s">
        <v>8</v>
      </c>
      <c r="IT588" s="27" t="s">
        <v>7</v>
      </c>
      <c r="IX588" s="27" t="s">
        <v>7</v>
      </c>
      <c r="JB588" s="27" t="s">
        <v>7</v>
      </c>
      <c r="JC588" s="27" t="s">
        <v>8</v>
      </c>
      <c r="JE588" s="27" t="s">
        <v>8</v>
      </c>
      <c r="JF588" s="27" t="s">
        <v>7</v>
      </c>
      <c r="JG588" s="27" t="s">
        <v>8</v>
      </c>
      <c r="JH588" s="27" t="s">
        <v>7</v>
      </c>
      <c r="JI588" s="27" t="s">
        <v>8</v>
      </c>
      <c r="JJ588" s="27" t="s">
        <v>7</v>
      </c>
      <c r="JK588" s="27" t="s">
        <v>8</v>
      </c>
      <c r="JL588" s="27" t="s">
        <v>7</v>
      </c>
      <c r="JM588" s="27" t="s">
        <v>8</v>
      </c>
      <c r="JN588" s="27" t="s">
        <v>7</v>
      </c>
      <c r="JO588" s="27" t="s">
        <v>8</v>
      </c>
      <c r="KD588" s="27" t="s">
        <v>7</v>
      </c>
      <c r="KJ588" s="27" t="s">
        <v>7</v>
      </c>
      <c r="KK588" s="27" t="s">
        <v>8</v>
      </c>
      <c r="KT588" s="27" t="s">
        <v>7</v>
      </c>
      <c r="KU588" s="27" t="s">
        <v>8</v>
      </c>
      <c r="KV588" s="27" t="s">
        <v>7</v>
      </c>
      <c r="LA588" s="27" t="s">
        <v>8</v>
      </c>
      <c r="LB588" s="27" t="s">
        <v>7</v>
      </c>
      <c r="LC588" s="27" t="s">
        <v>8</v>
      </c>
      <c r="LD588" s="27" t="s">
        <v>7</v>
      </c>
      <c r="LE588" s="27" t="s">
        <v>8</v>
      </c>
      <c r="LF588" s="27" t="s">
        <v>7</v>
      </c>
      <c r="LG588" s="27" t="s">
        <v>8</v>
      </c>
      <c r="LI588" s="27" t="s">
        <v>8</v>
      </c>
      <c r="LJ588" s="27" t="s">
        <v>7</v>
      </c>
      <c r="LK588" s="27" t="s">
        <v>8</v>
      </c>
      <c r="LL588" s="27" t="s">
        <v>7</v>
      </c>
    </row>
    <row r="589" spans="1:329" x14ac:dyDescent="0.25">
      <c r="A589" s="7">
        <v>0.96116878123798544</v>
      </c>
      <c r="B589"/>
      <c r="C589"/>
      <c r="D589"/>
      <c r="E589"/>
      <c r="F589" s="27" t="s">
        <v>7</v>
      </c>
      <c r="U589" s="27" t="s">
        <v>8</v>
      </c>
      <c r="V589" s="27" t="s">
        <v>7</v>
      </c>
      <c r="W589" s="27" t="s">
        <v>8</v>
      </c>
      <c r="X589" s="27" t="s">
        <v>7</v>
      </c>
      <c r="Y589" s="27" t="s">
        <v>8</v>
      </c>
      <c r="AH589" s="27" t="s">
        <v>7</v>
      </c>
      <c r="AM589" s="27" t="s">
        <v>8</v>
      </c>
      <c r="AN589" s="27" t="s">
        <v>7</v>
      </c>
      <c r="AO589" s="27" t="s">
        <v>8</v>
      </c>
      <c r="AP589" s="27" t="s">
        <v>7</v>
      </c>
      <c r="DS589" s="27" t="s">
        <v>8</v>
      </c>
      <c r="DT589" s="27" t="s">
        <v>7</v>
      </c>
      <c r="DU589" s="27" t="s">
        <v>8</v>
      </c>
      <c r="DV589" s="27" t="s">
        <v>7</v>
      </c>
      <c r="DY589" s="27" t="s">
        <v>8</v>
      </c>
      <c r="GL589" s="27" t="s">
        <v>7</v>
      </c>
      <c r="GM589" s="27" t="s">
        <v>8</v>
      </c>
      <c r="GN589" s="27" t="s">
        <v>7</v>
      </c>
      <c r="GO589" s="27" t="s">
        <v>8</v>
      </c>
      <c r="GP589" s="27" t="s">
        <v>7</v>
      </c>
      <c r="GQ589" s="27" t="s">
        <v>8</v>
      </c>
      <c r="GR589" s="27" t="s">
        <v>7</v>
      </c>
      <c r="GS589" s="27" t="s">
        <v>8</v>
      </c>
      <c r="GT589" s="27" t="s">
        <v>7</v>
      </c>
      <c r="GU589" s="27" t="s">
        <v>8</v>
      </c>
      <c r="GZ589" s="27" t="s">
        <v>7</v>
      </c>
      <c r="HA589" s="27" t="s">
        <v>8</v>
      </c>
      <c r="HD589" s="27" t="s">
        <v>7</v>
      </c>
      <c r="HE589" s="27" t="s">
        <v>8</v>
      </c>
      <c r="HF589" s="27" t="s">
        <v>7</v>
      </c>
      <c r="IC589" s="27" t="s">
        <v>8</v>
      </c>
      <c r="ID589" s="27" t="s">
        <v>7</v>
      </c>
      <c r="IE589" s="27" t="s">
        <v>8</v>
      </c>
      <c r="IF589" s="27" t="s">
        <v>7</v>
      </c>
      <c r="IG589" s="27" t="s">
        <v>8</v>
      </c>
      <c r="JB589" s="27" t="s">
        <v>7</v>
      </c>
      <c r="JC589" s="27" t="s">
        <v>8</v>
      </c>
      <c r="JD589" s="27" t="s">
        <v>7</v>
      </c>
      <c r="JE589" s="27" t="s">
        <v>8</v>
      </c>
      <c r="JF589" s="27" t="s">
        <v>7</v>
      </c>
      <c r="JG589" s="27" t="s">
        <v>8</v>
      </c>
      <c r="JH589" s="27" t="s">
        <v>7</v>
      </c>
      <c r="JI589" s="27" t="s">
        <v>8</v>
      </c>
      <c r="JJ589" s="27" t="s">
        <v>7</v>
      </c>
      <c r="JK589" s="27" t="s">
        <v>8</v>
      </c>
      <c r="JL589" s="27" t="s">
        <v>7</v>
      </c>
      <c r="JM589" s="27" t="s">
        <v>8</v>
      </c>
      <c r="JN589" s="27" t="s">
        <v>7</v>
      </c>
      <c r="JO589" s="27" t="s">
        <v>8</v>
      </c>
      <c r="KJ589" s="27" t="s">
        <v>7</v>
      </c>
      <c r="KK589" s="27" t="s">
        <v>8</v>
      </c>
      <c r="KT589" s="27" t="s">
        <v>7</v>
      </c>
      <c r="KU589" s="27" t="s">
        <v>8</v>
      </c>
      <c r="KV589" s="27" t="s">
        <v>7</v>
      </c>
      <c r="LA589" s="27" t="s">
        <v>8</v>
      </c>
      <c r="LB589" s="27" t="s">
        <v>7</v>
      </c>
      <c r="LC589" s="27" t="s">
        <v>8</v>
      </c>
      <c r="LD589" s="27" t="s">
        <v>7</v>
      </c>
      <c r="LE589" s="27" t="s">
        <v>8</v>
      </c>
      <c r="LF589" s="27" t="s">
        <v>7</v>
      </c>
      <c r="LG589" s="27" t="s">
        <v>8</v>
      </c>
      <c r="LH589" s="27" t="s">
        <v>7</v>
      </c>
      <c r="LI589" s="27" t="s">
        <v>8</v>
      </c>
      <c r="LJ589" s="27" t="s">
        <v>7</v>
      </c>
      <c r="LL589" s="27" t="s">
        <v>7</v>
      </c>
    </row>
    <row r="590" spans="1:329" x14ac:dyDescent="0.25">
      <c r="A590" s="7">
        <v>0.94232233454704462</v>
      </c>
      <c r="B590"/>
      <c r="C590"/>
      <c r="D590"/>
      <c r="E590"/>
      <c r="F590" s="27" t="s">
        <v>7</v>
      </c>
      <c r="U590" s="27" t="s">
        <v>8</v>
      </c>
      <c r="V590" s="27" t="s">
        <v>7</v>
      </c>
      <c r="X590" s="27" t="s">
        <v>7</v>
      </c>
      <c r="Y590" s="27" t="s">
        <v>8</v>
      </c>
      <c r="AH590" s="27" t="s">
        <v>7</v>
      </c>
      <c r="AI590" s="27" t="s">
        <v>8</v>
      </c>
      <c r="AK590" s="27" t="s">
        <v>8</v>
      </c>
      <c r="AM590" s="27" t="s">
        <v>8</v>
      </c>
      <c r="AN590" s="27" t="s">
        <v>7</v>
      </c>
      <c r="AP590" s="27" t="s">
        <v>7</v>
      </c>
      <c r="DS590" s="27" t="s">
        <v>8</v>
      </c>
      <c r="DT590" s="27" t="s">
        <v>7</v>
      </c>
      <c r="DU590" s="27" t="s">
        <v>8</v>
      </c>
      <c r="DV590" s="27" t="s">
        <v>7</v>
      </c>
      <c r="DY590" s="27" t="s">
        <v>8</v>
      </c>
      <c r="GL590" s="27" t="s">
        <v>7</v>
      </c>
      <c r="GM590" s="27" t="s">
        <v>8</v>
      </c>
      <c r="GN590" s="27" t="s">
        <v>7</v>
      </c>
      <c r="GO590" s="27" t="s">
        <v>8</v>
      </c>
      <c r="GP590" s="27" t="s">
        <v>7</v>
      </c>
      <c r="GQ590" s="27" t="s">
        <v>8</v>
      </c>
      <c r="GR590" s="27" t="s">
        <v>7</v>
      </c>
      <c r="GS590" s="27" t="s">
        <v>8</v>
      </c>
      <c r="GT590" s="27" t="s">
        <v>7</v>
      </c>
      <c r="GU590" s="27" t="s">
        <v>8</v>
      </c>
      <c r="GZ590" s="27" t="s">
        <v>7</v>
      </c>
      <c r="HA590" s="27" t="s">
        <v>8</v>
      </c>
      <c r="HD590" s="27" t="s">
        <v>7</v>
      </c>
      <c r="HE590" s="27" t="s">
        <v>8</v>
      </c>
      <c r="HF590" s="27" t="s">
        <v>7</v>
      </c>
      <c r="IC590" s="27" t="s">
        <v>8</v>
      </c>
      <c r="ID590" s="27" t="s">
        <v>7</v>
      </c>
      <c r="IE590" s="27" t="s">
        <v>8</v>
      </c>
      <c r="IF590" s="27" t="s">
        <v>7</v>
      </c>
      <c r="IG590" s="27" t="s">
        <v>8</v>
      </c>
      <c r="JB590" s="27" t="s">
        <v>7</v>
      </c>
      <c r="JC590" s="27" t="s">
        <v>8</v>
      </c>
      <c r="JD590" s="27" t="s">
        <v>7</v>
      </c>
      <c r="JE590" s="27" t="s">
        <v>8</v>
      </c>
      <c r="JF590" s="27" t="s">
        <v>7</v>
      </c>
      <c r="JG590" s="27" t="s">
        <v>8</v>
      </c>
      <c r="JH590" s="27" t="s">
        <v>7</v>
      </c>
      <c r="JI590" s="27" t="s">
        <v>8</v>
      </c>
      <c r="JJ590" s="27" t="s">
        <v>7</v>
      </c>
      <c r="JL590" s="27" t="s">
        <v>7</v>
      </c>
      <c r="JM590" s="27" t="s">
        <v>8</v>
      </c>
      <c r="JN590" s="27" t="s">
        <v>7</v>
      </c>
      <c r="JO590" s="27" t="s">
        <v>8</v>
      </c>
      <c r="KJ590" s="27" t="s">
        <v>7</v>
      </c>
      <c r="KK590" s="27" t="s">
        <v>8</v>
      </c>
      <c r="KT590" s="27" t="s">
        <v>7</v>
      </c>
      <c r="KU590" s="27" t="s">
        <v>8</v>
      </c>
      <c r="KV590" s="27" t="s">
        <v>7</v>
      </c>
      <c r="LA590" s="27" t="s">
        <v>8</v>
      </c>
      <c r="LB590" s="27" t="s">
        <v>7</v>
      </c>
      <c r="LC590" s="27" t="s">
        <v>8</v>
      </c>
      <c r="LD590" s="27" t="s">
        <v>7</v>
      </c>
      <c r="LE590" s="27" t="s">
        <v>8</v>
      </c>
      <c r="LF590" s="27" t="s">
        <v>7</v>
      </c>
      <c r="LG590" s="27" t="s">
        <v>8</v>
      </c>
      <c r="LH590" s="27" t="s">
        <v>7</v>
      </c>
      <c r="LI590" s="27" t="s">
        <v>8</v>
      </c>
      <c r="LL590" s="27" t="s">
        <v>7</v>
      </c>
    </row>
    <row r="591" spans="1:329" x14ac:dyDescent="0.25">
      <c r="A591" s="7">
        <v>0.92384542602651432</v>
      </c>
      <c r="B591"/>
      <c r="C591"/>
      <c r="D591"/>
      <c r="E591"/>
      <c r="F591" s="27" t="s">
        <v>7</v>
      </c>
      <c r="U591" s="27" t="s">
        <v>8</v>
      </c>
      <c r="X591" s="27" t="s">
        <v>7</v>
      </c>
      <c r="Y591" s="27" t="s">
        <v>8</v>
      </c>
      <c r="AH591" s="27" t="s">
        <v>7</v>
      </c>
      <c r="AI591" s="27" t="s">
        <v>8</v>
      </c>
      <c r="AJ591" s="27" t="s">
        <v>7</v>
      </c>
      <c r="AK591" s="27" t="s">
        <v>8</v>
      </c>
      <c r="AL591" s="27" t="s">
        <v>7</v>
      </c>
      <c r="AM591" s="27" t="s">
        <v>8</v>
      </c>
      <c r="AP591" s="27" t="s">
        <v>7</v>
      </c>
      <c r="DS591" s="27" t="s">
        <v>8</v>
      </c>
      <c r="DT591" s="27" t="s">
        <v>7</v>
      </c>
      <c r="DU591" s="27" t="s">
        <v>8</v>
      </c>
      <c r="DV591" s="27" t="s">
        <v>7</v>
      </c>
      <c r="DY591" s="27" t="s">
        <v>8</v>
      </c>
      <c r="GL591" s="27" t="s">
        <v>7</v>
      </c>
      <c r="GM591" s="27" t="s">
        <v>8</v>
      </c>
      <c r="GN591" s="27" t="s">
        <v>7</v>
      </c>
      <c r="GP591" s="27" t="s">
        <v>7</v>
      </c>
      <c r="GQ591" s="27" t="s">
        <v>8</v>
      </c>
      <c r="GR591" s="27" t="s">
        <v>7</v>
      </c>
      <c r="GS591" s="27" t="s">
        <v>8</v>
      </c>
      <c r="GT591" s="27" t="s">
        <v>7</v>
      </c>
      <c r="GU591" s="27" t="s">
        <v>8</v>
      </c>
      <c r="GZ591" s="27" t="s">
        <v>7</v>
      </c>
      <c r="HA591" s="27" t="s">
        <v>8</v>
      </c>
      <c r="HD591" s="27" t="s">
        <v>7</v>
      </c>
      <c r="HE591" s="27" t="s">
        <v>8</v>
      </c>
      <c r="HF591" s="27" t="s">
        <v>7</v>
      </c>
      <c r="IC591" s="27" t="s">
        <v>8</v>
      </c>
      <c r="ID591" s="27" t="s">
        <v>7</v>
      </c>
      <c r="IE591" s="27" t="s">
        <v>8</v>
      </c>
      <c r="IF591" s="27" t="s">
        <v>7</v>
      </c>
      <c r="IG591" s="27" t="s">
        <v>8</v>
      </c>
      <c r="JB591" s="27" t="s">
        <v>7</v>
      </c>
      <c r="JC591" s="27" t="s">
        <v>8</v>
      </c>
      <c r="JD591" s="27" t="s">
        <v>7</v>
      </c>
      <c r="JE591" s="27" t="s">
        <v>8</v>
      </c>
      <c r="JF591" s="27" t="s">
        <v>7</v>
      </c>
      <c r="JG591" s="27" t="s">
        <v>8</v>
      </c>
      <c r="JH591" s="27" t="s">
        <v>7</v>
      </c>
      <c r="JI591" s="27" t="s">
        <v>8</v>
      </c>
      <c r="JL591" s="27" t="s">
        <v>7</v>
      </c>
      <c r="JN591" s="27" t="s">
        <v>7</v>
      </c>
      <c r="JO591" s="27" t="s">
        <v>8</v>
      </c>
      <c r="KJ591" s="27" t="s">
        <v>7</v>
      </c>
      <c r="KK591" s="27" t="s">
        <v>8</v>
      </c>
      <c r="KT591" s="27" t="s">
        <v>7</v>
      </c>
      <c r="KU591" s="27" t="s">
        <v>8</v>
      </c>
      <c r="KV591" s="27" t="s">
        <v>7</v>
      </c>
      <c r="KW591" s="27" t="s">
        <v>8</v>
      </c>
      <c r="KY591" s="27" t="s">
        <v>8</v>
      </c>
      <c r="LA591" s="27" t="s">
        <v>8</v>
      </c>
      <c r="LB591" s="27" t="s">
        <v>7</v>
      </c>
      <c r="LC591" s="27" t="s">
        <v>8</v>
      </c>
      <c r="LD591" s="27" t="s">
        <v>7</v>
      </c>
      <c r="LF591" s="27" t="s">
        <v>7</v>
      </c>
      <c r="LG591" s="27" t="s">
        <v>8</v>
      </c>
      <c r="LH591" s="27" t="s">
        <v>7</v>
      </c>
      <c r="LI591" s="27" t="s">
        <v>8</v>
      </c>
      <c r="LL591" s="27" t="s">
        <v>7</v>
      </c>
      <c r="LO591" s="27" t="s">
        <v>8</v>
      </c>
    </row>
    <row r="592" spans="1:329" x14ac:dyDescent="0.25">
      <c r="A592" s="7">
        <v>0.90573080982991594</v>
      </c>
      <c r="B592"/>
      <c r="C592"/>
      <c r="D592"/>
      <c r="E592"/>
      <c r="F592" s="27" t="s">
        <v>7</v>
      </c>
      <c r="U592" s="27" t="s">
        <v>8</v>
      </c>
      <c r="X592" s="27" t="s">
        <v>7</v>
      </c>
      <c r="Y592" s="27" t="s">
        <v>8</v>
      </c>
      <c r="AH592" s="27" t="s">
        <v>7</v>
      </c>
      <c r="AI592" s="27" t="s">
        <v>8</v>
      </c>
      <c r="AJ592" s="27" t="s">
        <v>7</v>
      </c>
      <c r="AK592" s="27" t="s">
        <v>8</v>
      </c>
      <c r="AL592" s="27" t="s">
        <v>7</v>
      </c>
      <c r="AM592" s="27" t="s">
        <v>8</v>
      </c>
      <c r="AP592" s="27" t="s">
        <v>7</v>
      </c>
      <c r="DS592" s="27" t="s">
        <v>8</v>
      </c>
      <c r="DT592" s="27" t="s">
        <v>7</v>
      </c>
      <c r="DU592" s="27" t="s">
        <v>8</v>
      </c>
      <c r="DV592" s="27" t="s">
        <v>7</v>
      </c>
      <c r="DY592" s="27" t="s">
        <v>8</v>
      </c>
      <c r="GL592" s="27" t="s">
        <v>7</v>
      </c>
      <c r="GM592" s="27" t="s">
        <v>8</v>
      </c>
      <c r="GP592" s="27" t="s">
        <v>7</v>
      </c>
      <c r="GQ592" s="27" t="s">
        <v>8</v>
      </c>
      <c r="GR592" s="27" t="s">
        <v>7</v>
      </c>
      <c r="GS592" s="27" t="s">
        <v>8</v>
      </c>
      <c r="GT592" s="27" t="s">
        <v>7</v>
      </c>
      <c r="GU592" s="27" t="s">
        <v>8</v>
      </c>
      <c r="GZ592" s="27" t="s">
        <v>7</v>
      </c>
      <c r="HA592" s="27" t="s">
        <v>8</v>
      </c>
      <c r="HD592" s="27" t="s">
        <v>7</v>
      </c>
      <c r="HF592" s="27" t="s">
        <v>7</v>
      </c>
      <c r="IC592" s="27" t="s">
        <v>8</v>
      </c>
      <c r="ID592" s="27" t="s">
        <v>7</v>
      </c>
      <c r="IE592" s="27" t="s">
        <v>8</v>
      </c>
      <c r="IF592" s="27" t="s">
        <v>7</v>
      </c>
      <c r="IG592" s="27" t="s">
        <v>8</v>
      </c>
      <c r="JB592" s="27" t="s">
        <v>7</v>
      </c>
      <c r="JC592" s="27" t="s">
        <v>8</v>
      </c>
      <c r="JD592" s="27" t="s">
        <v>7</v>
      </c>
      <c r="JE592" s="27" t="s">
        <v>8</v>
      </c>
      <c r="JF592" s="27" t="s">
        <v>7</v>
      </c>
      <c r="JG592" s="27" t="s">
        <v>8</v>
      </c>
      <c r="JH592" s="27" t="s">
        <v>7</v>
      </c>
      <c r="JI592" s="27" t="s">
        <v>8</v>
      </c>
      <c r="JN592" s="27" t="s">
        <v>7</v>
      </c>
      <c r="JO592" s="27" t="s">
        <v>8</v>
      </c>
      <c r="KJ592" s="27" t="s">
        <v>7</v>
      </c>
      <c r="KT592" s="27" t="s">
        <v>7</v>
      </c>
      <c r="KU592" s="27" t="s">
        <v>8</v>
      </c>
      <c r="KV592" s="27" t="s">
        <v>7</v>
      </c>
      <c r="KW592" s="27" t="s">
        <v>8</v>
      </c>
      <c r="KX592" s="27" t="s">
        <v>7</v>
      </c>
      <c r="KY592" s="27" t="s">
        <v>8</v>
      </c>
      <c r="KZ592" s="27" t="s">
        <v>7</v>
      </c>
      <c r="LA592" s="27" t="s">
        <v>8</v>
      </c>
      <c r="LB592" s="27" t="s">
        <v>7</v>
      </c>
      <c r="LC592" s="27" t="s">
        <v>8</v>
      </c>
      <c r="LF592" s="27" t="s">
        <v>7</v>
      </c>
      <c r="LH592" s="27" t="s">
        <v>7</v>
      </c>
      <c r="LL592" s="27" t="s">
        <v>7</v>
      </c>
      <c r="LO592" s="27" t="s">
        <v>8</v>
      </c>
      <c r="LP592" s="27" t="s">
        <v>7</v>
      </c>
      <c r="LQ592" s="27" t="s">
        <v>8</v>
      </c>
    </row>
    <row r="593" spans="1:332" x14ac:dyDescent="0.25">
      <c r="A593" s="7">
        <v>0.8879713821861922</v>
      </c>
      <c r="B593"/>
      <c r="C593"/>
      <c r="D593"/>
      <c r="E593"/>
      <c r="F593" s="27" t="s">
        <v>7</v>
      </c>
      <c r="U593" s="27" t="s">
        <v>8</v>
      </c>
      <c r="X593" s="27" t="s">
        <v>7</v>
      </c>
      <c r="Y593" s="27" t="s">
        <v>8</v>
      </c>
      <c r="AH593" s="27" t="s">
        <v>7</v>
      </c>
      <c r="AI593" s="27" t="s">
        <v>8</v>
      </c>
      <c r="AJ593" s="27" t="s">
        <v>7</v>
      </c>
      <c r="AK593" s="27" t="s">
        <v>8</v>
      </c>
      <c r="AL593" s="27" t="s">
        <v>7</v>
      </c>
      <c r="AM593" s="27" t="s">
        <v>8</v>
      </c>
      <c r="AP593" s="27" t="s">
        <v>7</v>
      </c>
      <c r="DS593" s="27" t="s">
        <v>8</v>
      </c>
      <c r="DT593" s="27" t="s">
        <v>7</v>
      </c>
      <c r="DU593" s="27" t="s">
        <v>8</v>
      </c>
      <c r="DV593" s="27" t="s">
        <v>7</v>
      </c>
      <c r="DW593" s="27" t="s">
        <v>8</v>
      </c>
      <c r="DY593" s="27" t="s">
        <v>8</v>
      </c>
      <c r="GL593" s="27" t="s">
        <v>7</v>
      </c>
      <c r="GM593" s="27" t="s">
        <v>8</v>
      </c>
      <c r="GP593" s="27" t="s">
        <v>7</v>
      </c>
      <c r="GQ593" s="27" t="s">
        <v>8</v>
      </c>
      <c r="GR593" s="27" t="s">
        <v>7</v>
      </c>
      <c r="GT593" s="27" t="s">
        <v>7</v>
      </c>
      <c r="GU593" s="27" t="s">
        <v>8</v>
      </c>
      <c r="GZ593" s="27" t="s">
        <v>7</v>
      </c>
      <c r="HF593" s="27" t="s">
        <v>7</v>
      </c>
      <c r="IC593" s="27" t="s">
        <v>8</v>
      </c>
      <c r="ID593" s="27" t="s">
        <v>7</v>
      </c>
      <c r="IE593" s="27" t="s">
        <v>8</v>
      </c>
      <c r="IF593" s="27" t="s">
        <v>7</v>
      </c>
      <c r="JB593" s="27" t="s">
        <v>7</v>
      </c>
      <c r="JC593" s="27" t="s">
        <v>8</v>
      </c>
      <c r="JD593" s="27" t="s">
        <v>7</v>
      </c>
      <c r="JE593" s="27" t="s">
        <v>8</v>
      </c>
      <c r="JF593" s="27" t="s">
        <v>7</v>
      </c>
      <c r="JG593" s="27" t="s">
        <v>8</v>
      </c>
      <c r="JH593" s="27" t="s">
        <v>7</v>
      </c>
      <c r="JI593" s="27" t="s">
        <v>8</v>
      </c>
      <c r="JN593" s="27" t="s">
        <v>7</v>
      </c>
      <c r="KT593" s="27" t="s">
        <v>7</v>
      </c>
      <c r="KU593" s="27" t="s">
        <v>8</v>
      </c>
      <c r="KV593" s="27" t="s">
        <v>7</v>
      </c>
      <c r="KW593" s="27" t="s">
        <v>8</v>
      </c>
      <c r="KX593" s="27" t="s">
        <v>7</v>
      </c>
      <c r="KY593" s="27" t="s">
        <v>8</v>
      </c>
      <c r="KZ593" s="27" t="s">
        <v>7</v>
      </c>
      <c r="LA593" s="27" t="s">
        <v>8</v>
      </c>
      <c r="LB593" s="27" t="s">
        <v>7</v>
      </c>
      <c r="LL593" s="27" t="s">
        <v>7</v>
      </c>
      <c r="LO593" s="27" t="s">
        <v>8</v>
      </c>
      <c r="LP593" s="27" t="s">
        <v>7</v>
      </c>
      <c r="LQ593" s="27" t="s">
        <v>8</v>
      </c>
      <c r="LR593" s="27" t="s">
        <v>7</v>
      </c>
    </row>
    <row r="594" spans="1:332" x14ac:dyDescent="0.25">
      <c r="A594" s="7">
        <v>0.87056017861391399</v>
      </c>
      <c r="B594"/>
      <c r="C594"/>
      <c r="D594"/>
      <c r="E594"/>
      <c r="F594" s="27" t="s">
        <v>7</v>
      </c>
      <c r="U594" s="27" t="s">
        <v>8</v>
      </c>
      <c r="X594" s="27" t="s">
        <v>7</v>
      </c>
      <c r="AH594" s="27" t="s">
        <v>7</v>
      </c>
      <c r="AI594" s="27" t="s">
        <v>8</v>
      </c>
      <c r="AJ594" s="27" t="s">
        <v>7</v>
      </c>
      <c r="AK594" s="27" t="s">
        <v>8</v>
      </c>
      <c r="AL594" s="27" t="s">
        <v>7</v>
      </c>
      <c r="AM594" s="27" t="s">
        <v>8</v>
      </c>
      <c r="AP594" s="27" t="s">
        <v>7</v>
      </c>
      <c r="DS594" s="27" t="s">
        <v>8</v>
      </c>
      <c r="DT594" s="27" t="s">
        <v>7</v>
      </c>
      <c r="DU594" s="27" t="s">
        <v>8</v>
      </c>
      <c r="DV594" s="27" t="s">
        <v>7</v>
      </c>
      <c r="DW594" s="27" t="s">
        <v>8</v>
      </c>
      <c r="DX594" s="27" t="s">
        <v>7</v>
      </c>
      <c r="DY594" s="27" t="s">
        <v>8</v>
      </c>
      <c r="GL594" s="27" t="s">
        <v>7</v>
      </c>
      <c r="GP594" s="27" t="s">
        <v>7</v>
      </c>
      <c r="GQ594" s="27" t="s">
        <v>8</v>
      </c>
      <c r="GT594" s="27" t="s">
        <v>7</v>
      </c>
      <c r="GU594" s="27" t="s">
        <v>8</v>
      </c>
      <c r="HF594" s="27" t="s">
        <v>7</v>
      </c>
      <c r="IC594" s="27" t="s">
        <v>8</v>
      </c>
      <c r="ID594" s="27" t="s">
        <v>7</v>
      </c>
      <c r="JB594" s="27" t="s">
        <v>7</v>
      </c>
      <c r="JC594" s="27" t="s">
        <v>8</v>
      </c>
      <c r="JD594" s="27" t="s">
        <v>7</v>
      </c>
      <c r="JE594" s="27" t="s">
        <v>8</v>
      </c>
      <c r="JF594" s="27" t="s">
        <v>7</v>
      </c>
      <c r="JG594" s="27" t="s">
        <v>8</v>
      </c>
      <c r="JH594" s="27" t="s">
        <v>7</v>
      </c>
      <c r="JI594" s="27" t="s">
        <v>8</v>
      </c>
      <c r="KT594" s="27" t="s">
        <v>7</v>
      </c>
      <c r="KU594" s="27" t="s">
        <v>8</v>
      </c>
      <c r="KV594" s="27" t="s">
        <v>7</v>
      </c>
      <c r="KW594" s="27" t="s">
        <v>8</v>
      </c>
      <c r="KX594" s="27" t="s">
        <v>7</v>
      </c>
      <c r="KY594" s="27" t="s">
        <v>8</v>
      </c>
      <c r="KZ594" s="27" t="s">
        <v>7</v>
      </c>
      <c r="LA594" s="27" t="s">
        <v>8</v>
      </c>
      <c r="LL594" s="27" t="s">
        <v>7</v>
      </c>
      <c r="LM594" s="27" t="s">
        <v>8</v>
      </c>
      <c r="LO594" s="27" t="s">
        <v>8</v>
      </c>
      <c r="LP594" s="27" t="s">
        <v>7</v>
      </c>
      <c r="LQ594" s="27" t="s">
        <v>8</v>
      </c>
      <c r="LR594" s="27" t="s">
        <v>7</v>
      </c>
    </row>
    <row r="595" spans="1:332" x14ac:dyDescent="0.25">
      <c r="A595" s="7">
        <v>0.85349037119011173</v>
      </c>
      <c r="B595"/>
      <c r="C595"/>
      <c r="D595"/>
      <c r="E595"/>
      <c r="F595" s="27" t="s">
        <v>7</v>
      </c>
      <c r="U595" s="27" t="s">
        <v>8</v>
      </c>
      <c r="AH595" s="27" t="s">
        <v>7</v>
      </c>
      <c r="AJ595" s="27" t="s">
        <v>7</v>
      </c>
      <c r="AK595" s="27" t="s">
        <v>8</v>
      </c>
      <c r="AL595" s="27" t="s">
        <v>7</v>
      </c>
      <c r="AM595" s="27" t="s">
        <v>8</v>
      </c>
      <c r="AP595" s="27" t="s">
        <v>7</v>
      </c>
      <c r="DS595" s="27" t="s">
        <v>8</v>
      </c>
      <c r="DT595" s="27" t="s">
        <v>7</v>
      </c>
      <c r="DU595" s="27" t="s">
        <v>8</v>
      </c>
      <c r="DV595" s="27" t="s">
        <v>7</v>
      </c>
      <c r="DW595" s="27" t="s">
        <v>8</v>
      </c>
      <c r="DX595" s="27" t="s">
        <v>7</v>
      </c>
      <c r="DY595" s="27" t="s">
        <v>8</v>
      </c>
      <c r="GP595" s="27" t="s">
        <v>7</v>
      </c>
      <c r="GQ595" s="27" t="s">
        <v>8</v>
      </c>
      <c r="GT595" s="27" t="s">
        <v>7</v>
      </c>
      <c r="GU595" s="27" t="s">
        <v>8</v>
      </c>
      <c r="HF595" s="27" t="s">
        <v>7</v>
      </c>
      <c r="IC595" s="27" t="s">
        <v>8</v>
      </c>
      <c r="JB595" s="27" t="s">
        <v>7</v>
      </c>
      <c r="JC595" s="27" t="s">
        <v>8</v>
      </c>
      <c r="JD595" s="27" t="s">
        <v>7</v>
      </c>
      <c r="JE595" s="27" t="s">
        <v>8</v>
      </c>
      <c r="JF595" s="27" t="s">
        <v>7</v>
      </c>
      <c r="JG595" s="27" t="s">
        <v>8</v>
      </c>
      <c r="JH595" s="27" t="s">
        <v>7</v>
      </c>
      <c r="JI595" s="27" t="s">
        <v>8</v>
      </c>
      <c r="KT595" s="27" t="s">
        <v>7</v>
      </c>
      <c r="KU595" s="27" t="s">
        <v>8</v>
      </c>
      <c r="KV595" s="27" t="s">
        <v>7</v>
      </c>
      <c r="KW595" s="27" t="s">
        <v>8</v>
      </c>
      <c r="KX595" s="27" t="s">
        <v>7</v>
      </c>
      <c r="KY595" s="27" t="s">
        <v>8</v>
      </c>
      <c r="KZ595" s="27" t="s">
        <v>7</v>
      </c>
      <c r="LA595" s="27" t="s">
        <v>8</v>
      </c>
      <c r="LL595" s="27" t="s">
        <v>7</v>
      </c>
      <c r="LM595" s="27" t="s">
        <v>8</v>
      </c>
      <c r="LN595" s="27" t="s">
        <v>7</v>
      </c>
      <c r="LO595" s="27" t="s">
        <v>8</v>
      </c>
      <c r="LP595" s="27" t="s">
        <v>7</v>
      </c>
      <c r="LQ595" s="27" t="s">
        <v>8</v>
      </c>
      <c r="LR595" s="27" t="s">
        <v>7</v>
      </c>
    </row>
    <row r="596" spans="1:332" x14ac:dyDescent="0.25">
      <c r="A596" s="7">
        <v>0.83675526587265858</v>
      </c>
      <c r="B596"/>
      <c r="C596"/>
      <c r="D596"/>
      <c r="E596"/>
      <c r="F596" s="27" t="s">
        <v>7</v>
      </c>
      <c r="U596" s="27" t="s">
        <v>8</v>
      </c>
      <c r="AJ596" s="27" t="s">
        <v>7</v>
      </c>
      <c r="AK596" s="27" t="s">
        <v>8</v>
      </c>
      <c r="AL596" s="27" t="s">
        <v>7</v>
      </c>
      <c r="AP596" s="27" t="s">
        <v>7</v>
      </c>
      <c r="DS596" s="27" t="s">
        <v>8</v>
      </c>
      <c r="DT596" s="27" t="s">
        <v>7</v>
      </c>
      <c r="DU596" s="27" t="s">
        <v>8</v>
      </c>
      <c r="DV596" s="27" t="s">
        <v>7</v>
      </c>
      <c r="DW596" s="27" t="s">
        <v>8</v>
      </c>
      <c r="DX596" s="27" t="s">
        <v>7</v>
      </c>
      <c r="DY596" s="27" t="s">
        <v>8</v>
      </c>
      <c r="GP596" s="27" t="s">
        <v>7</v>
      </c>
      <c r="GQ596" s="27" t="s">
        <v>8</v>
      </c>
      <c r="GT596" s="27" t="s">
        <v>7</v>
      </c>
      <c r="HF596" s="27" t="s">
        <v>7</v>
      </c>
      <c r="IC596" s="27" t="s">
        <v>8</v>
      </c>
      <c r="JB596" s="27" t="s">
        <v>7</v>
      </c>
      <c r="JC596" s="27" t="s">
        <v>8</v>
      </c>
      <c r="JD596" s="27" t="s">
        <v>7</v>
      </c>
      <c r="JE596" s="27" t="s">
        <v>8</v>
      </c>
      <c r="JF596" s="27" t="s">
        <v>7</v>
      </c>
      <c r="JG596" s="27" t="s">
        <v>8</v>
      </c>
      <c r="JH596" s="27" t="s">
        <v>7</v>
      </c>
      <c r="KT596" s="27" t="s">
        <v>7</v>
      </c>
      <c r="KU596" s="27" t="s">
        <v>8</v>
      </c>
      <c r="KV596" s="27" t="s">
        <v>7</v>
      </c>
      <c r="KX596" s="27" t="s">
        <v>7</v>
      </c>
      <c r="KY596" s="27" t="s">
        <v>8</v>
      </c>
      <c r="KZ596" s="27" t="s">
        <v>7</v>
      </c>
      <c r="LA596" s="27" t="s">
        <v>8</v>
      </c>
      <c r="LL596" s="27" t="s">
        <v>7</v>
      </c>
      <c r="LM596" s="27" t="s">
        <v>8</v>
      </c>
      <c r="LN596" s="27" t="s">
        <v>7</v>
      </c>
      <c r="LO596" s="27" t="s">
        <v>8</v>
      </c>
      <c r="LP596" s="27" t="s">
        <v>7</v>
      </c>
      <c r="LR596" s="27" t="s">
        <v>7</v>
      </c>
    </row>
    <row r="597" spans="1:332" x14ac:dyDescent="0.25">
      <c r="A597" s="7">
        <v>0.82034829987515545</v>
      </c>
      <c r="B597"/>
      <c r="C597"/>
      <c r="D597"/>
      <c r="E597"/>
      <c r="F597" s="27" t="s">
        <v>7</v>
      </c>
      <c r="U597" s="27" t="s">
        <v>8</v>
      </c>
      <c r="AJ597" s="27" t="s">
        <v>7</v>
      </c>
      <c r="AP597" s="27" t="s">
        <v>7</v>
      </c>
      <c r="DS597" s="27" t="s">
        <v>8</v>
      </c>
      <c r="DT597" s="27" t="s">
        <v>7</v>
      </c>
      <c r="DU597" s="27" t="s">
        <v>8</v>
      </c>
      <c r="DV597" s="27" t="s">
        <v>7</v>
      </c>
      <c r="DW597" s="27" t="s">
        <v>8</v>
      </c>
      <c r="DX597" s="27" t="s">
        <v>7</v>
      </c>
      <c r="DY597" s="27" t="s">
        <v>8</v>
      </c>
      <c r="GP597" s="27" t="s">
        <v>7</v>
      </c>
      <c r="GQ597" s="27" t="s">
        <v>8</v>
      </c>
      <c r="HF597" s="27" t="s">
        <v>7</v>
      </c>
      <c r="IC597" s="27" t="s">
        <v>8</v>
      </c>
      <c r="JB597" s="27" t="s">
        <v>7</v>
      </c>
      <c r="JC597" s="27" t="s">
        <v>8</v>
      </c>
      <c r="JD597" s="27" t="s">
        <v>7</v>
      </c>
      <c r="JE597" s="27" t="s">
        <v>8</v>
      </c>
      <c r="JF597" s="27" t="s">
        <v>7</v>
      </c>
      <c r="JG597" s="27" t="s">
        <v>8</v>
      </c>
      <c r="KT597" s="27" t="s">
        <v>7</v>
      </c>
      <c r="KU597" s="27" t="s">
        <v>8</v>
      </c>
      <c r="KX597" s="27" t="s">
        <v>7</v>
      </c>
      <c r="KY597" s="27" t="s">
        <v>8</v>
      </c>
      <c r="KZ597" s="27" t="s">
        <v>7</v>
      </c>
      <c r="LA597" s="27" t="s">
        <v>8</v>
      </c>
      <c r="LL597" s="27" t="s">
        <v>7</v>
      </c>
      <c r="LM597" s="27" t="s">
        <v>8</v>
      </c>
      <c r="LN597" s="27" t="s">
        <v>7</v>
      </c>
      <c r="LO597" s="27" t="s">
        <v>8</v>
      </c>
      <c r="LR597" s="27" t="s">
        <v>7</v>
      </c>
    </row>
    <row r="598" spans="1:332" x14ac:dyDescent="0.25">
      <c r="A598" s="7">
        <v>0.80426303909328967</v>
      </c>
      <c r="B598"/>
      <c r="C598"/>
      <c r="D598"/>
      <c r="E598"/>
      <c r="F598" s="27" t="s">
        <v>7</v>
      </c>
      <c r="U598" s="27" t="s">
        <v>8</v>
      </c>
      <c r="AP598" s="27" t="s">
        <v>7</v>
      </c>
      <c r="DS598" s="27" t="s">
        <v>8</v>
      </c>
      <c r="DT598" s="27" t="s">
        <v>7</v>
      </c>
      <c r="DU598" s="27" t="s">
        <v>8</v>
      </c>
      <c r="DV598" s="27" t="s">
        <v>7</v>
      </c>
      <c r="DW598" s="27" t="s">
        <v>8</v>
      </c>
      <c r="DX598" s="27" t="s">
        <v>7</v>
      </c>
      <c r="DY598" s="27" t="s">
        <v>8</v>
      </c>
      <c r="GP598" s="27" t="s">
        <v>7</v>
      </c>
      <c r="GQ598" s="27" t="s">
        <v>8</v>
      </c>
      <c r="HF598" s="27" t="s">
        <v>7</v>
      </c>
      <c r="HG598" s="27" t="s">
        <v>8</v>
      </c>
      <c r="IC598" s="27" t="s">
        <v>8</v>
      </c>
      <c r="JB598" s="27" t="s">
        <v>7</v>
      </c>
      <c r="JC598" s="27" t="s">
        <v>8</v>
      </c>
      <c r="JD598" s="27" t="s">
        <v>7</v>
      </c>
      <c r="JE598" s="27" t="s">
        <v>8</v>
      </c>
      <c r="JF598" s="27" t="s">
        <v>7</v>
      </c>
      <c r="KT598" s="27" t="s">
        <v>7</v>
      </c>
      <c r="KU598" s="27" t="s">
        <v>8</v>
      </c>
      <c r="KX598" s="27" t="s">
        <v>7</v>
      </c>
      <c r="KY598" s="27" t="s">
        <v>8</v>
      </c>
      <c r="KZ598" s="27" t="s">
        <v>7</v>
      </c>
      <c r="LL598" s="27" t="s">
        <v>7</v>
      </c>
      <c r="LM598" s="27" t="s">
        <v>8</v>
      </c>
      <c r="LN598" s="27" t="s">
        <v>7</v>
      </c>
      <c r="LO598" s="27" t="s">
        <v>8</v>
      </c>
      <c r="LR598" s="27" t="s">
        <v>7</v>
      </c>
    </row>
    <row r="599" spans="1:332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O599" s="27" t="s">
        <v>8</v>
      </c>
      <c r="U599" s="27" t="s">
        <v>8</v>
      </c>
      <c r="AP599" s="27" t="s">
        <v>7</v>
      </c>
      <c r="DS599" s="27" t="s">
        <v>8</v>
      </c>
      <c r="DT599" s="27" t="s">
        <v>7</v>
      </c>
      <c r="DU599" s="27" t="s">
        <v>8</v>
      </c>
      <c r="DV599" s="27" t="s">
        <v>7</v>
      </c>
      <c r="DW599" s="27" t="s">
        <v>8</v>
      </c>
      <c r="DX599" s="27" t="s">
        <v>7</v>
      </c>
      <c r="GP599" s="27" t="s">
        <v>7</v>
      </c>
      <c r="GQ599" s="27" t="s">
        <v>8</v>
      </c>
      <c r="HF599" s="27" t="s">
        <v>7</v>
      </c>
      <c r="HG599" s="27" t="s">
        <v>8</v>
      </c>
      <c r="HH599" s="27" t="s">
        <v>7</v>
      </c>
      <c r="HQ599" s="27" t="s">
        <v>8</v>
      </c>
      <c r="IC599" s="27" t="s">
        <v>8</v>
      </c>
      <c r="JB599" s="27" t="s">
        <v>7</v>
      </c>
      <c r="JD599" s="27" t="s">
        <v>7</v>
      </c>
      <c r="JE599" s="27" t="s">
        <v>8</v>
      </c>
      <c r="KT599" s="27" t="s">
        <v>7</v>
      </c>
      <c r="KU599" s="27" t="s">
        <v>8</v>
      </c>
      <c r="KX599" s="27" t="s">
        <v>7</v>
      </c>
      <c r="LL599" s="27" t="s">
        <v>7</v>
      </c>
      <c r="LN599" s="27" t="s">
        <v>7</v>
      </c>
      <c r="LO599" s="27" t="s">
        <v>8</v>
      </c>
      <c r="LR599" s="27" t="s">
        <v>7</v>
      </c>
    </row>
    <row r="600" spans="1:332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O600" s="27" t="s">
        <v>8</v>
      </c>
      <c r="P600" s="27" t="s">
        <v>7</v>
      </c>
      <c r="S600" s="27" t="s">
        <v>8</v>
      </c>
      <c r="U600" s="27" t="s">
        <v>8</v>
      </c>
      <c r="AP600" s="27" t="s">
        <v>7</v>
      </c>
      <c r="DS600" s="27" t="s">
        <v>8</v>
      </c>
      <c r="DT600" s="27" t="s">
        <v>7</v>
      </c>
      <c r="DU600" s="27" t="s">
        <v>8</v>
      </c>
      <c r="DV600" s="27" t="s">
        <v>7</v>
      </c>
      <c r="DW600" s="27" t="s">
        <v>8</v>
      </c>
      <c r="GP600" s="27" t="s">
        <v>7</v>
      </c>
      <c r="GQ600" s="27" t="s">
        <v>8</v>
      </c>
      <c r="HF600" s="27" t="s">
        <v>7</v>
      </c>
      <c r="HG600" s="27" t="s">
        <v>8</v>
      </c>
      <c r="HH600" s="27" t="s">
        <v>7</v>
      </c>
      <c r="HI600" s="27" t="s">
        <v>8</v>
      </c>
      <c r="HK600" s="27" t="s">
        <v>8</v>
      </c>
      <c r="HQ600" s="27" t="s">
        <v>8</v>
      </c>
      <c r="HR600" s="27" t="s">
        <v>7</v>
      </c>
      <c r="HW600" s="27" t="s">
        <v>8</v>
      </c>
      <c r="IC600" s="27" t="s">
        <v>8</v>
      </c>
      <c r="JD600" s="27" t="s">
        <v>7</v>
      </c>
      <c r="JE600" s="27" t="s">
        <v>8</v>
      </c>
      <c r="KT600" s="27" t="s">
        <v>7</v>
      </c>
      <c r="KU600" s="27" t="s">
        <v>8</v>
      </c>
      <c r="LN600" s="27" t="s">
        <v>7</v>
      </c>
      <c r="LO600" s="27" t="s">
        <v>8</v>
      </c>
      <c r="LR600" s="27" t="s">
        <v>7</v>
      </c>
    </row>
    <row r="601" spans="1:332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O601" s="27" t="s">
        <v>8</v>
      </c>
      <c r="P601" s="27" t="s">
        <v>7</v>
      </c>
      <c r="S601" s="27" t="s">
        <v>8</v>
      </c>
      <c r="T601" s="27" t="s">
        <v>7</v>
      </c>
      <c r="U601" s="27" t="s">
        <v>8</v>
      </c>
      <c r="AP601" s="27" t="s">
        <v>7</v>
      </c>
      <c r="DS601" s="27" t="s">
        <v>8</v>
      </c>
      <c r="DT601" s="27" t="s">
        <v>7</v>
      </c>
      <c r="DU601" s="27" t="s">
        <v>8</v>
      </c>
      <c r="DV601" s="27" t="s">
        <v>7</v>
      </c>
      <c r="DW601" s="27" t="s">
        <v>8</v>
      </c>
      <c r="GP601" s="27" t="s">
        <v>7</v>
      </c>
      <c r="GQ601" s="27" t="s">
        <v>8</v>
      </c>
      <c r="HF601" s="27" t="s">
        <v>7</v>
      </c>
      <c r="HG601" s="27" t="s">
        <v>8</v>
      </c>
      <c r="HH601" s="27" t="s">
        <v>7</v>
      </c>
      <c r="HI601" s="27" t="s">
        <v>8</v>
      </c>
      <c r="HJ601" s="27" t="s">
        <v>7</v>
      </c>
      <c r="HK601" s="27" t="s">
        <v>8</v>
      </c>
      <c r="HL601" s="27" t="s">
        <v>7</v>
      </c>
      <c r="HM601" s="27" t="s">
        <v>8</v>
      </c>
      <c r="HQ601" s="27" t="s">
        <v>8</v>
      </c>
      <c r="HR601" s="27" t="s">
        <v>7</v>
      </c>
      <c r="HW601" s="27" t="s">
        <v>8</v>
      </c>
      <c r="HX601" s="27" t="s">
        <v>7</v>
      </c>
      <c r="HY601" s="27" t="s">
        <v>8</v>
      </c>
      <c r="IA601" s="27" t="s">
        <v>8</v>
      </c>
      <c r="IC601" s="27" t="s">
        <v>8</v>
      </c>
      <c r="JD601" s="27" t="s">
        <v>7</v>
      </c>
      <c r="KT601" s="27" t="s">
        <v>7</v>
      </c>
      <c r="LN601" s="27" t="s">
        <v>7</v>
      </c>
      <c r="LO601" s="27" t="s">
        <v>8</v>
      </c>
      <c r="LR601" s="27" t="s">
        <v>7</v>
      </c>
    </row>
    <row r="602" spans="1:332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O602" s="27" t="s">
        <v>8</v>
      </c>
      <c r="P602" s="27" t="s">
        <v>7</v>
      </c>
      <c r="Q602" s="27" t="s">
        <v>8</v>
      </c>
      <c r="S602" s="27" t="s">
        <v>8</v>
      </c>
      <c r="T602" s="27" t="s">
        <v>7</v>
      </c>
      <c r="U602" s="27" t="s">
        <v>8</v>
      </c>
      <c r="AP602" s="27" t="s">
        <v>7</v>
      </c>
      <c r="DS602" s="27" t="s">
        <v>8</v>
      </c>
      <c r="DT602" s="27" t="s">
        <v>7</v>
      </c>
      <c r="DU602" s="27" t="s">
        <v>8</v>
      </c>
      <c r="DV602" s="27" t="s">
        <v>7</v>
      </c>
      <c r="DW602" s="27" t="s">
        <v>8</v>
      </c>
      <c r="GP602" s="27" t="s">
        <v>7</v>
      </c>
      <c r="GQ602" s="27" t="s">
        <v>8</v>
      </c>
      <c r="HF602" s="27" t="s">
        <v>7</v>
      </c>
      <c r="HG602" s="27" t="s">
        <v>8</v>
      </c>
      <c r="HH602" s="27" t="s">
        <v>7</v>
      </c>
      <c r="HI602" s="27" t="s">
        <v>8</v>
      </c>
      <c r="HJ602" s="27" t="s">
        <v>7</v>
      </c>
      <c r="HK602" s="27" t="s">
        <v>8</v>
      </c>
      <c r="HL602" s="27" t="s">
        <v>7</v>
      </c>
      <c r="HM602" s="27" t="s">
        <v>8</v>
      </c>
      <c r="HN602" s="27" t="s">
        <v>7</v>
      </c>
      <c r="HO602" s="27" t="s">
        <v>8</v>
      </c>
      <c r="HQ602" s="27" t="s">
        <v>8</v>
      </c>
      <c r="HR602" s="27" t="s">
        <v>7</v>
      </c>
      <c r="HW602" s="27" t="s">
        <v>8</v>
      </c>
      <c r="HX602" s="27" t="s">
        <v>7</v>
      </c>
      <c r="HY602" s="27" t="s">
        <v>8</v>
      </c>
      <c r="HZ602" s="27" t="s">
        <v>7</v>
      </c>
      <c r="IA602" s="27" t="s">
        <v>8</v>
      </c>
      <c r="IB602" s="27" t="s">
        <v>7</v>
      </c>
      <c r="IC602" s="27" t="s">
        <v>8</v>
      </c>
      <c r="LN602" s="27" t="s">
        <v>7</v>
      </c>
      <c r="LO602" s="27" t="s">
        <v>8</v>
      </c>
      <c r="LR602" s="27" t="s">
        <v>7</v>
      </c>
    </row>
    <row r="603" spans="1:332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I603" s="27" t="s">
        <v>8</v>
      </c>
      <c r="O603" s="27" t="s">
        <v>8</v>
      </c>
      <c r="P603" s="27" t="s">
        <v>7</v>
      </c>
      <c r="Q603" s="27" t="s">
        <v>8</v>
      </c>
      <c r="R603" s="27" t="s">
        <v>7</v>
      </c>
      <c r="S603" s="27" t="s">
        <v>8</v>
      </c>
      <c r="T603" s="27" t="s">
        <v>7</v>
      </c>
      <c r="U603" s="27" t="s">
        <v>8</v>
      </c>
      <c r="AP603" s="27" t="s">
        <v>7</v>
      </c>
      <c r="AU603" s="27" t="s">
        <v>8</v>
      </c>
      <c r="AW603" s="27" t="s">
        <v>8</v>
      </c>
      <c r="DS603" s="27" t="s">
        <v>8</v>
      </c>
      <c r="DT603" s="27" t="s">
        <v>7</v>
      </c>
      <c r="DU603" s="27" t="s">
        <v>8</v>
      </c>
      <c r="DV603" s="27" t="s">
        <v>7</v>
      </c>
      <c r="DW603" s="27" t="s">
        <v>8</v>
      </c>
      <c r="GP603" s="27" t="s">
        <v>7</v>
      </c>
      <c r="GQ603" s="27" t="s">
        <v>8</v>
      </c>
      <c r="HF603" s="27" t="s">
        <v>7</v>
      </c>
      <c r="HG603" s="27" t="s">
        <v>8</v>
      </c>
      <c r="HH603" s="27" t="s">
        <v>7</v>
      </c>
      <c r="HI603" s="27" t="s">
        <v>8</v>
      </c>
      <c r="HJ603" s="27" t="s">
        <v>7</v>
      </c>
      <c r="HK603" s="27" t="s">
        <v>8</v>
      </c>
      <c r="HL603" s="27" t="s">
        <v>7</v>
      </c>
      <c r="HM603" s="27" t="s">
        <v>8</v>
      </c>
      <c r="HN603" s="27" t="s">
        <v>7</v>
      </c>
      <c r="HO603" s="27" t="s">
        <v>8</v>
      </c>
      <c r="HP603" s="27" t="s">
        <v>7</v>
      </c>
      <c r="HQ603" s="27" t="s">
        <v>8</v>
      </c>
      <c r="HR603" s="27" t="s">
        <v>7</v>
      </c>
      <c r="HW603" s="27" t="s">
        <v>8</v>
      </c>
      <c r="HX603" s="27" t="s">
        <v>7</v>
      </c>
      <c r="HY603" s="27" t="s">
        <v>8</v>
      </c>
      <c r="HZ603" s="27" t="s">
        <v>7</v>
      </c>
      <c r="IA603" s="27" t="s">
        <v>8</v>
      </c>
      <c r="IB603" s="27" t="s">
        <v>7</v>
      </c>
      <c r="IC603" s="27" t="s">
        <v>8</v>
      </c>
      <c r="LN603" s="27" t="s">
        <v>7</v>
      </c>
      <c r="LR603" s="27" t="s">
        <v>7</v>
      </c>
    </row>
    <row r="604" spans="1:332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I604" s="27" t="s">
        <v>8</v>
      </c>
      <c r="J604" s="27" t="s">
        <v>7</v>
      </c>
      <c r="O604" s="27" t="s">
        <v>8</v>
      </c>
      <c r="P604" s="27" t="s">
        <v>7</v>
      </c>
      <c r="Q604" s="27" t="s">
        <v>8</v>
      </c>
      <c r="R604" s="27" t="s">
        <v>7</v>
      </c>
      <c r="S604" s="27" t="s">
        <v>8</v>
      </c>
      <c r="T604" s="27" t="s">
        <v>7</v>
      </c>
      <c r="AP604" s="27" t="s">
        <v>7</v>
      </c>
      <c r="AS604" s="27" t="s">
        <v>8</v>
      </c>
      <c r="AU604" s="27" t="s">
        <v>8</v>
      </c>
      <c r="AV604" s="27" t="s">
        <v>7</v>
      </c>
      <c r="AW604" s="27" t="s">
        <v>8</v>
      </c>
      <c r="AX604" s="27" t="s">
        <v>7</v>
      </c>
      <c r="DS604" s="27" t="s">
        <v>8</v>
      </c>
      <c r="DT604" s="27" t="s">
        <v>7</v>
      </c>
      <c r="DV604" s="27" t="s">
        <v>7</v>
      </c>
      <c r="DW604" s="27" t="s">
        <v>8</v>
      </c>
      <c r="GP604" s="27" t="s">
        <v>7</v>
      </c>
      <c r="GQ604" s="27" t="s">
        <v>8</v>
      </c>
      <c r="HF604" s="27" t="s">
        <v>7</v>
      </c>
      <c r="HG604" s="27" t="s">
        <v>8</v>
      </c>
      <c r="HH604" s="27" t="s">
        <v>7</v>
      </c>
      <c r="HI604" s="27" t="s">
        <v>8</v>
      </c>
      <c r="HJ604" s="27" t="s">
        <v>7</v>
      </c>
      <c r="HK604" s="27" t="s">
        <v>8</v>
      </c>
      <c r="HL604" s="27" t="s">
        <v>7</v>
      </c>
      <c r="HM604" s="27" t="s">
        <v>8</v>
      </c>
      <c r="HN604" s="27" t="s">
        <v>7</v>
      </c>
      <c r="HO604" s="27" t="s">
        <v>8</v>
      </c>
      <c r="HP604" s="27" t="s">
        <v>7</v>
      </c>
      <c r="HQ604" s="27" t="s">
        <v>8</v>
      </c>
      <c r="HR604" s="27" t="s">
        <v>7</v>
      </c>
      <c r="HW604" s="27" t="s">
        <v>8</v>
      </c>
      <c r="HX604" s="27" t="s">
        <v>7</v>
      </c>
      <c r="HY604" s="27" t="s">
        <v>8</v>
      </c>
      <c r="HZ604" s="27" t="s">
        <v>7</v>
      </c>
      <c r="IB604" s="27" t="s">
        <v>7</v>
      </c>
      <c r="IC604" s="27" t="s">
        <v>8</v>
      </c>
      <c r="LR604" s="27" t="s">
        <v>7</v>
      </c>
    </row>
    <row r="605" spans="1:332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I605" s="27" t="s">
        <v>8</v>
      </c>
      <c r="J605" s="27" t="s">
        <v>7</v>
      </c>
      <c r="O605" s="27" t="s">
        <v>8</v>
      </c>
      <c r="P605" s="27" t="s">
        <v>7</v>
      </c>
      <c r="Q605" s="27" t="s">
        <v>8</v>
      </c>
      <c r="R605" s="27" t="s">
        <v>7</v>
      </c>
      <c r="S605" s="27" t="s">
        <v>8</v>
      </c>
      <c r="AP605" s="27" t="s">
        <v>7</v>
      </c>
      <c r="AQ605" s="27" t="s">
        <v>8</v>
      </c>
      <c r="AS605" s="27" t="s">
        <v>8</v>
      </c>
      <c r="AT605" s="27" t="s">
        <v>7</v>
      </c>
      <c r="AU605" s="27" t="s">
        <v>8</v>
      </c>
      <c r="AV605" s="27" t="s">
        <v>7</v>
      </c>
      <c r="AW605" s="27" t="s">
        <v>8</v>
      </c>
      <c r="AX605" s="27" t="s">
        <v>7</v>
      </c>
      <c r="DS605" s="27" t="s">
        <v>8</v>
      </c>
      <c r="DV605" s="27" t="s">
        <v>7</v>
      </c>
      <c r="DW605" s="27" t="s">
        <v>8</v>
      </c>
      <c r="GP605" s="27" t="s">
        <v>7</v>
      </c>
      <c r="GQ605" s="27" t="s">
        <v>8</v>
      </c>
      <c r="HF605" s="27" t="s">
        <v>7</v>
      </c>
      <c r="HG605" s="27" t="s">
        <v>8</v>
      </c>
      <c r="HH605" s="27" t="s">
        <v>7</v>
      </c>
      <c r="HI605" s="27" t="s">
        <v>8</v>
      </c>
      <c r="HJ605" s="27" t="s">
        <v>7</v>
      </c>
      <c r="HK605" s="27" t="s">
        <v>8</v>
      </c>
      <c r="HL605" s="27" t="s">
        <v>7</v>
      </c>
      <c r="HM605" s="27" t="s">
        <v>8</v>
      </c>
      <c r="HN605" s="27" t="s">
        <v>7</v>
      </c>
      <c r="HO605" s="27" t="s">
        <v>8</v>
      </c>
      <c r="HP605" s="27" t="s">
        <v>7</v>
      </c>
      <c r="HQ605" s="27" t="s">
        <v>8</v>
      </c>
      <c r="HR605" s="27" t="s">
        <v>7</v>
      </c>
      <c r="HS605" s="27" t="s">
        <v>8</v>
      </c>
      <c r="HW605" s="27" t="s">
        <v>8</v>
      </c>
      <c r="HX605" s="27" t="s">
        <v>7</v>
      </c>
      <c r="HY605" s="27" t="s">
        <v>8</v>
      </c>
      <c r="IB605" s="27" t="s">
        <v>7</v>
      </c>
      <c r="LR605" s="27" t="s">
        <v>7</v>
      </c>
    </row>
    <row r="606" spans="1:332" x14ac:dyDescent="0.25">
      <c r="A606" s="7">
        <v>0.68643075977021883</v>
      </c>
      <c r="B606"/>
      <c r="C606"/>
      <c r="D606"/>
      <c r="E606"/>
      <c r="F606" s="27" t="s">
        <v>7</v>
      </c>
      <c r="H606" s="27" t="s">
        <v>7</v>
      </c>
      <c r="I606" s="27" t="s">
        <v>8</v>
      </c>
      <c r="J606" s="27" t="s">
        <v>7</v>
      </c>
      <c r="K606" s="27" t="s">
        <v>8</v>
      </c>
      <c r="O606" s="27" t="s">
        <v>8</v>
      </c>
      <c r="P606" s="27" t="s">
        <v>7</v>
      </c>
      <c r="Q606" s="27" t="s">
        <v>8</v>
      </c>
      <c r="R606" s="27" t="s">
        <v>7</v>
      </c>
      <c r="S606" s="27" t="s">
        <v>8</v>
      </c>
      <c r="AP606" s="27" t="s">
        <v>7</v>
      </c>
      <c r="AQ606" s="27" t="s">
        <v>8</v>
      </c>
      <c r="AR606" s="27" t="s">
        <v>7</v>
      </c>
      <c r="AS606" s="27" t="s">
        <v>8</v>
      </c>
      <c r="AT606" s="27" t="s">
        <v>7</v>
      </c>
      <c r="AU606" s="27" t="s">
        <v>8</v>
      </c>
      <c r="AV606" s="27" t="s">
        <v>7</v>
      </c>
      <c r="AW606" s="27" t="s">
        <v>8</v>
      </c>
      <c r="AX606" s="27" t="s">
        <v>7</v>
      </c>
      <c r="DS606" s="27" t="s">
        <v>8</v>
      </c>
      <c r="DV606" s="27" t="s">
        <v>7</v>
      </c>
      <c r="GP606" s="27" t="s">
        <v>7</v>
      </c>
      <c r="GQ606" s="27" t="s">
        <v>8</v>
      </c>
      <c r="HF606" s="27" t="s">
        <v>7</v>
      </c>
      <c r="HG606" s="27" t="s">
        <v>8</v>
      </c>
      <c r="HH606" s="27" t="s">
        <v>7</v>
      </c>
      <c r="HI606" s="27" t="s">
        <v>8</v>
      </c>
      <c r="HJ606" s="27" t="s">
        <v>7</v>
      </c>
      <c r="HK606" s="27" t="s">
        <v>8</v>
      </c>
      <c r="HL606" s="27" t="s">
        <v>7</v>
      </c>
      <c r="HM606" s="27" t="s">
        <v>8</v>
      </c>
      <c r="HN606" s="27" t="s">
        <v>7</v>
      </c>
      <c r="HO606" s="27" t="s">
        <v>8</v>
      </c>
      <c r="HP606" s="27" t="s">
        <v>7</v>
      </c>
      <c r="HQ606" s="27" t="s">
        <v>8</v>
      </c>
      <c r="HR606" s="27" t="s">
        <v>7</v>
      </c>
      <c r="HS606" s="27" t="s">
        <v>8</v>
      </c>
      <c r="HT606" s="27" t="s">
        <v>7</v>
      </c>
      <c r="HU606" s="27" t="s">
        <v>8</v>
      </c>
      <c r="HW606" s="27" t="s">
        <v>8</v>
      </c>
      <c r="HX606" s="27" t="s">
        <v>7</v>
      </c>
      <c r="HY606" s="27" t="s">
        <v>8</v>
      </c>
      <c r="LR606" s="27" t="s">
        <v>7</v>
      </c>
      <c r="LS606" s="27" t="s">
        <v>8</v>
      </c>
    </row>
    <row r="607" spans="1:332" x14ac:dyDescent="0.25">
      <c r="A607" s="7">
        <v>0.67297133310805768</v>
      </c>
      <c r="B607"/>
      <c r="C607"/>
      <c r="D607"/>
      <c r="E607"/>
      <c r="H607" s="27" t="s">
        <v>7</v>
      </c>
      <c r="J607" s="27" t="s">
        <v>7</v>
      </c>
      <c r="K607" s="27" t="s">
        <v>8</v>
      </c>
      <c r="L607" s="27" t="s">
        <v>7</v>
      </c>
      <c r="M607" s="27" t="s">
        <v>8</v>
      </c>
      <c r="O607" s="27" t="s">
        <v>8</v>
      </c>
      <c r="P607" s="27" t="s">
        <v>7</v>
      </c>
      <c r="Q607" s="27" t="s">
        <v>8</v>
      </c>
      <c r="R607" s="27" t="s">
        <v>7</v>
      </c>
      <c r="AP607" s="27" t="s">
        <v>7</v>
      </c>
      <c r="AQ607" s="27" t="s">
        <v>8</v>
      </c>
      <c r="AR607" s="27" t="s">
        <v>7</v>
      </c>
      <c r="AS607" s="27" t="s">
        <v>8</v>
      </c>
      <c r="AT607" s="27" t="s">
        <v>7</v>
      </c>
      <c r="AU607" s="27" t="s">
        <v>8</v>
      </c>
      <c r="AV607" s="27" t="s">
        <v>7</v>
      </c>
      <c r="AW607" s="27" t="s">
        <v>8</v>
      </c>
      <c r="AX607" s="27" t="s">
        <v>7</v>
      </c>
      <c r="DS607" s="27" t="s">
        <v>8</v>
      </c>
      <c r="GP607" s="27" t="s">
        <v>7</v>
      </c>
      <c r="HF607" s="27" t="s">
        <v>7</v>
      </c>
      <c r="HG607" s="27" t="s">
        <v>8</v>
      </c>
      <c r="HH607" s="27" t="s">
        <v>7</v>
      </c>
      <c r="HI607" s="27" t="s">
        <v>8</v>
      </c>
      <c r="HJ607" s="27" t="s">
        <v>7</v>
      </c>
      <c r="HK607" s="27" t="s">
        <v>8</v>
      </c>
      <c r="HL607" s="27" t="s">
        <v>7</v>
      </c>
      <c r="HN607" s="27" t="s">
        <v>7</v>
      </c>
      <c r="HO607" s="27" t="s">
        <v>8</v>
      </c>
      <c r="HP607" s="27" t="s">
        <v>7</v>
      </c>
      <c r="HQ607" s="27" t="s">
        <v>8</v>
      </c>
      <c r="HR607" s="27" t="s">
        <v>7</v>
      </c>
      <c r="HS607" s="27" t="s">
        <v>8</v>
      </c>
      <c r="HT607" s="27" t="s">
        <v>7</v>
      </c>
      <c r="HU607" s="27" t="s">
        <v>8</v>
      </c>
      <c r="HV607" s="27" t="s">
        <v>7</v>
      </c>
      <c r="HW607" s="27" t="s">
        <v>8</v>
      </c>
      <c r="HX607" s="27" t="s">
        <v>7</v>
      </c>
      <c r="LR607" s="27" t="s">
        <v>7</v>
      </c>
      <c r="LS607" s="27" t="s">
        <v>8</v>
      </c>
      <c r="LT607" s="27" t="s">
        <v>7</v>
      </c>
    </row>
    <row r="608" spans="1:332" x14ac:dyDescent="0.25">
      <c r="A608" s="7">
        <v>0.65977581677260566</v>
      </c>
      <c r="B608"/>
      <c r="C608"/>
      <c r="D608"/>
      <c r="E608"/>
      <c r="J608" s="27" t="s">
        <v>7</v>
      </c>
      <c r="K608" s="27" t="s">
        <v>8</v>
      </c>
      <c r="L608" s="27" t="s">
        <v>7</v>
      </c>
      <c r="M608" s="27" t="s">
        <v>8</v>
      </c>
      <c r="N608" s="27" t="s">
        <v>7</v>
      </c>
      <c r="O608" s="27" t="s">
        <v>8</v>
      </c>
      <c r="P608" s="27" t="s">
        <v>7</v>
      </c>
      <c r="Q608" s="27" t="s">
        <v>8</v>
      </c>
      <c r="AP608" s="27" t="s">
        <v>7</v>
      </c>
      <c r="AQ608" s="27" t="s">
        <v>8</v>
      </c>
      <c r="AR608" s="27" t="s">
        <v>7</v>
      </c>
      <c r="AT608" s="27" t="s">
        <v>7</v>
      </c>
      <c r="AV608" s="27" t="s">
        <v>7</v>
      </c>
      <c r="AW608" s="27" t="s">
        <v>8</v>
      </c>
      <c r="AX608" s="27" t="s">
        <v>7</v>
      </c>
      <c r="DS608" s="27" t="s">
        <v>8</v>
      </c>
      <c r="HF608" s="27" t="s">
        <v>7</v>
      </c>
      <c r="HG608" s="27" t="s">
        <v>8</v>
      </c>
      <c r="HH608" s="27" t="s">
        <v>7</v>
      </c>
      <c r="HI608" s="27" t="s">
        <v>8</v>
      </c>
      <c r="HJ608" s="27" t="s">
        <v>7</v>
      </c>
      <c r="HN608" s="27" t="s">
        <v>7</v>
      </c>
      <c r="HO608" s="27" t="s">
        <v>8</v>
      </c>
      <c r="HP608" s="27" t="s">
        <v>7</v>
      </c>
      <c r="HQ608" s="27" t="s">
        <v>8</v>
      </c>
      <c r="HR608" s="27" t="s">
        <v>7</v>
      </c>
      <c r="HT608" s="27" t="s">
        <v>7</v>
      </c>
      <c r="HU608" s="27" t="s">
        <v>8</v>
      </c>
      <c r="HV608" s="27" t="s">
        <v>7</v>
      </c>
      <c r="HW608" s="27" t="s">
        <v>8</v>
      </c>
      <c r="LR608" s="27" t="s">
        <v>7</v>
      </c>
      <c r="LS608" s="27" t="s">
        <v>8</v>
      </c>
      <c r="LT608" s="27" t="s">
        <v>7</v>
      </c>
    </row>
    <row r="609" spans="1:334" x14ac:dyDescent="0.25">
      <c r="A609" s="7">
        <v>0.64683903605157422</v>
      </c>
      <c r="B609"/>
      <c r="C609"/>
      <c r="D609"/>
      <c r="E609"/>
      <c r="J609" s="27" t="s">
        <v>7</v>
      </c>
      <c r="K609" s="27" t="s">
        <v>8</v>
      </c>
      <c r="L609" s="27" t="s">
        <v>7</v>
      </c>
      <c r="M609" s="27" t="s">
        <v>8</v>
      </c>
      <c r="N609" s="27" t="s">
        <v>7</v>
      </c>
      <c r="O609" s="27" t="s">
        <v>8</v>
      </c>
      <c r="P609" s="27" t="s">
        <v>7</v>
      </c>
      <c r="AP609" s="27" t="s">
        <v>7</v>
      </c>
      <c r="AQ609" s="27" t="s">
        <v>8</v>
      </c>
      <c r="AV609" s="27" t="s">
        <v>7</v>
      </c>
      <c r="AW609" s="27" t="s">
        <v>8</v>
      </c>
      <c r="AX609" s="27" t="s">
        <v>7</v>
      </c>
      <c r="DS609" s="27" t="s">
        <v>8</v>
      </c>
      <c r="HF609" s="27" t="s">
        <v>7</v>
      </c>
      <c r="HG609" s="27" t="s">
        <v>8</v>
      </c>
      <c r="HH609" s="27" t="s">
        <v>7</v>
      </c>
      <c r="HI609" s="27" t="s">
        <v>8</v>
      </c>
      <c r="HN609" s="27" t="s">
        <v>7</v>
      </c>
      <c r="HP609" s="27" t="s">
        <v>7</v>
      </c>
      <c r="HQ609" s="27" t="s">
        <v>8</v>
      </c>
      <c r="HT609" s="27" t="s">
        <v>7</v>
      </c>
      <c r="HU609" s="27" t="s">
        <v>8</v>
      </c>
      <c r="HV609" s="27" t="s">
        <v>7</v>
      </c>
      <c r="HW609" s="27" t="s">
        <v>8</v>
      </c>
      <c r="LR609" s="27" t="s">
        <v>7</v>
      </c>
      <c r="LS609" s="27" t="s">
        <v>8</v>
      </c>
      <c r="LT609" s="27" t="s">
        <v>7</v>
      </c>
    </row>
    <row r="610" spans="1:334" x14ac:dyDescent="0.25">
      <c r="A610" s="7">
        <v>0.63415591769762181</v>
      </c>
      <c r="B610"/>
      <c r="C610"/>
      <c r="D610"/>
      <c r="E610"/>
      <c r="J610" s="27" t="s">
        <v>7</v>
      </c>
      <c r="K610" s="27" t="s">
        <v>8</v>
      </c>
      <c r="L610" s="27" t="s">
        <v>7</v>
      </c>
      <c r="M610" s="27" t="s">
        <v>8</v>
      </c>
      <c r="N610" s="27" t="s">
        <v>7</v>
      </c>
      <c r="O610" s="27" t="s">
        <v>8</v>
      </c>
      <c r="AP610" s="27" t="s">
        <v>7</v>
      </c>
      <c r="AQ610" s="27" t="s">
        <v>8</v>
      </c>
      <c r="AV610" s="27" t="s">
        <v>7</v>
      </c>
      <c r="AW610" s="27" t="s">
        <v>8</v>
      </c>
      <c r="AX610" s="27" t="s">
        <v>7</v>
      </c>
      <c r="DS610" s="27" t="s">
        <v>8</v>
      </c>
      <c r="HF610" s="27" t="s">
        <v>7</v>
      </c>
      <c r="HG610" s="27" t="s">
        <v>8</v>
      </c>
      <c r="HH610" s="27" t="s">
        <v>7</v>
      </c>
      <c r="HI610" s="27" t="s">
        <v>8</v>
      </c>
      <c r="HP610" s="27" t="s">
        <v>7</v>
      </c>
      <c r="HT610" s="27" t="s">
        <v>7</v>
      </c>
      <c r="HU610" s="27" t="s">
        <v>8</v>
      </c>
      <c r="HV610" s="27" t="s">
        <v>7</v>
      </c>
      <c r="LR610" s="27" t="s">
        <v>7</v>
      </c>
      <c r="LS610" s="27" t="s">
        <v>8</v>
      </c>
      <c r="LT610" s="27" t="s">
        <v>7</v>
      </c>
    </row>
    <row r="611" spans="1:334" x14ac:dyDescent="0.25">
      <c r="A611" s="7">
        <v>0.62172148793884496</v>
      </c>
      <c r="B611"/>
      <c r="C611"/>
      <c r="D611"/>
      <c r="E611"/>
      <c r="J611" s="27" t="s">
        <v>7</v>
      </c>
      <c r="K611" s="27" t="s">
        <v>8</v>
      </c>
      <c r="L611" s="27" t="s">
        <v>7</v>
      </c>
      <c r="N611" s="27" t="s">
        <v>7</v>
      </c>
      <c r="AP611" s="27" t="s">
        <v>7</v>
      </c>
      <c r="AQ611" s="27" t="s">
        <v>8</v>
      </c>
      <c r="AV611" s="27" t="s">
        <v>7</v>
      </c>
      <c r="AW611" s="27" t="s">
        <v>8</v>
      </c>
      <c r="AX611" s="27" t="s">
        <v>7</v>
      </c>
      <c r="AY611" s="27" t="s">
        <v>8</v>
      </c>
      <c r="DS611" s="27" t="s">
        <v>8</v>
      </c>
      <c r="HF611" s="27" t="s">
        <v>7</v>
      </c>
      <c r="HG611" s="27" t="s">
        <v>8</v>
      </c>
      <c r="HH611" s="27" t="s">
        <v>7</v>
      </c>
      <c r="HT611" s="27" t="s">
        <v>7</v>
      </c>
      <c r="HU611" s="27" t="s">
        <v>8</v>
      </c>
      <c r="LR611" s="27" t="s">
        <v>7</v>
      </c>
      <c r="LS611" s="27" t="s">
        <v>8</v>
      </c>
      <c r="LT611" s="27" t="s">
        <v>7</v>
      </c>
      <c r="LU611" s="27" t="s">
        <v>8</v>
      </c>
    </row>
    <row r="612" spans="1:334" x14ac:dyDescent="0.25">
      <c r="A612" s="7">
        <v>0.60953087052827937</v>
      </c>
      <c r="B612"/>
      <c r="C612"/>
      <c r="D612"/>
      <c r="E612"/>
      <c r="J612" s="27" t="s">
        <v>7</v>
      </c>
      <c r="AP612" s="27" t="s">
        <v>7</v>
      </c>
      <c r="AQ612" s="27" t="s">
        <v>8</v>
      </c>
      <c r="AV612" s="27" t="s">
        <v>7</v>
      </c>
      <c r="AW612" s="27" t="s">
        <v>8</v>
      </c>
      <c r="AX612" s="27" t="s">
        <v>7</v>
      </c>
      <c r="AY612" s="27" t="s">
        <v>8</v>
      </c>
      <c r="AZ612" s="27" t="s">
        <v>7</v>
      </c>
      <c r="DS612" s="27" t="s">
        <v>8</v>
      </c>
      <c r="HF612" s="27" t="s">
        <v>7</v>
      </c>
      <c r="HG612" s="27" t="s">
        <v>8</v>
      </c>
      <c r="HT612" s="27" t="s">
        <v>7</v>
      </c>
      <c r="HU612" s="27" t="s">
        <v>8</v>
      </c>
      <c r="LR612" s="27" t="s">
        <v>7</v>
      </c>
      <c r="LS612" s="27" t="s">
        <v>8</v>
      </c>
      <c r="LT612" s="27" t="s">
        <v>7</v>
      </c>
      <c r="LU612" s="27" t="s">
        <v>8</v>
      </c>
      <c r="LV612" s="27" t="s">
        <v>7</v>
      </c>
    </row>
    <row r="613" spans="1:334" x14ac:dyDescent="0.25">
      <c r="A613" s="7">
        <v>0.59757928483164646</v>
      </c>
      <c r="B613"/>
      <c r="C613"/>
      <c r="D613"/>
      <c r="E613"/>
      <c r="AP613" s="27" t="s">
        <v>7</v>
      </c>
      <c r="AQ613" s="27" t="s">
        <v>8</v>
      </c>
      <c r="AV613" s="27" t="s">
        <v>7</v>
      </c>
      <c r="AW613" s="27" t="s">
        <v>8</v>
      </c>
      <c r="AX613" s="27" t="s">
        <v>7</v>
      </c>
      <c r="AY613" s="27" t="s">
        <v>8</v>
      </c>
      <c r="AZ613" s="27" t="s">
        <v>7</v>
      </c>
      <c r="DS613" s="27" t="s">
        <v>8</v>
      </c>
      <c r="HF613" s="27" t="s">
        <v>7</v>
      </c>
      <c r="HT613" s="18" t="s">
        <v>7</v>
      </c>
      <c r="HU613" s="27" t="s">
        <v>8</v>
      </c>
      <c r="LR613" s="27" t="s">
        <v>7</v>
      </c>
      <c r="LS613" s="27" t="s">
        <v>8</v>
      </c>
      <c r="LT613" s="27" t="s">
        <v>7</v>
      </c>
      <c r="LU613" s="27" t="s">
        <v>8</v>
      </c>
      <c r="LV613" s="27" t="s">
        <v>7</v>
      </c>
    </row>
    <row r="614" spans="1:334" x14ac:dyDescent="0.25">
      <c r="A614" s="7">
        <v>0.58586204395259456</v>
      </c>
      <c r="B614"/>
      <c r="C614"/>
      <c r="D614"/>
      <c r="E614"/>
      <c r="AP614" s="27" t="s">
        <v>7</v>
      </c>
      <c r="AQ614" s="27" t="s">
        <v>8</v>
      </c>
      <c r="AV614" s="27" t="s">
        <v>7</v>
      </c>
      <c r="AW614" s="27" t="s">
        <v>8</v>
      </c>
      <c r="AX614" s="27" t="s">
        <v>7</v>
      </c>
      <c r="AY614" s="27" t="s">
        <v>8</v>
      </c>
      <c r="AZ614" s="27" t="s">
        <v>7</v>
      </c>
      <c r="CK614" s="27" t="s">
        <v>8</v>
      </c>
      <c r="DS614" s="27" t="s">
        <v>8</v>
      </c>
      <c r="HT614" s="27" t="s">
        <v>7</v>
      </c>
      <c r="HU614" s="27" t="s">
        <v>8</v>
      </c>
      <c r="LR614" s="27" t="s">
        <v>7</v>
      </c>
      <c r="LS614" s="27" t="s">
        <v>8</v>
      </c>
      <c r="LT614" s="27" t="s">
        <v>7</v>
      </c>
      <c r="LU614" s="27" t="s">
        <v>8</v>
      </c>
      <c r="LV614" s="27" t="s">
        <v>7</v>
      </c>
    </row>
    <row r="615" spans="1:334" x14ac:dyDescent="0.25">
      <c r="A615" s="7">
        <v>0.57437455289470052</v>
      </c>
      <c r="B615"/>
      <c r="C615"/>
      <c r="D615"/>
      <c r="E615"/>
      <c r="AP615" s="27" t="s">
        <v>7</v>
      </c>
      <c r="AQ615" s="27" t="s">
        <v>8</v>
      </c>
      <c r="AV615" s="27" t="s">
        <v>7</v>
      </c>
      <c r="AW615" s="27" t="s">
        <v>8</v>
      </c>
      <c r="AX615" s="27" t="s">
        <v>7</v>
      </c>
      <c r="AY615" s="27" t="s">
        <v>8</v>
      </c>
      <c r="AZ615" s="27" t="s">
        <v>7</v>
      </c>
      <c r="CK615" s="27" t="s">
        <v>8</v>
      </c>
      <c r="CL615" s="27" t="s">
        <v>7</v>
      </c>
      <c r="DS615" s="27" t="s">
        <v>8</v>
      </c>
      <c r="HT615" s="27" t="s">
        <v>7</v>
      </c>
      <c r="HU615" s="27" t="s">
        <v>8</v>
      </c>
      <c r="LR615" s="27" t="s">
        <v>7</v>
      </c>
      <c r="LS615" s="27" t="s">
        <v>8</v>
      </c>
      <c r="LT615" s="27" t="s">
        <v>7</v>
      </c>
      <c r="LU615" s="27" t="s">
        <v>8</v>
      </c>
      <c r="LV615" s="27" t="s">
        <v>7</v>
      </c>
    </row>
    <row r="616" spans="1:334" x14ac:dyDescent="0.25">
      <c r="A616" s="7">
        <v>0.56311230675951029</v>
      </c>
      <c r="B616"/>
      <c r="C616"/>
      <c r="D616"/>
      <c r="E616"/>
      <c r="AP616" s="27" t="s">
        <v>7</v>
      </c>
      <c r="AQ616" s="27" t="s">
        <v>8</v>
      </c>
      <c r="AV616" s="27" t="s">
        <v>7</v>
      </c>
      <c r="AW616" s="27" t="s">
        <v>8</v>
      </c>
      <c r="AX616" s="27" t="s">
        <v>7</v>
      </c>
      <c r="AY616" s="27" t="s">
        <v>8</v>
      </c>
      <c r="AZ616" s="27" t="s">
        <v>7</v>
      </c>
      <c r="BA616" s="27" t="s">
        <v>8</v>
      </c>
      <c r="CK616" s="27" t="s">
        <v>8</v>
      </c>
      <c r="CL616" s="27" t="s">
        <v>7</v>
      </c>
      <c r="CM616" s="27" t="s">
        <v>8</v>
      </c>
      <c r="DS616" s="27" t="s">
        <v>8</v>
      </c>
      <c r="HT616" s="27" t="s">
        <v>7</v>
      </c>
      <c r="HU616" s="27" t="s">
        <v>8</v>
      </c>
      <c r="LR616" s="27" t="s">
        <v>7</v>
      </c>
      <c r="LS616" s="27" t="s">
        <v>8</v>
      </c>
      <c r="LT616" s="27" t="s">
        <v>7</v>
      </c>
    </row>
    <row r="617" spans="1:334" x14ac:dyDescent="0.25">
      <c r="A617" s="7">
        <v>0.55207088897991208</v>
      </c>
      <c r="B617"/>
      <c r="C617"/>
      <c r="D617"/>
      <c r="E617"/>
      <c r="AP617" s="27" t="s">
        <v>7</v>
      </c>
      <c r="AQ617" s="27" t="s">
        <v>8</v>
      </c>
      <c r="AV617" s="27" t="s">
        <v>7</v>
      </c>
      <c r="AX617" s="27" t="s">
        <v>7</v>
      </c>
      <c r="AY617" s="27" t="s">
        <v>8</v>
      </c>
      <c r="AZ617" s="27" t="s">
        <v>7</v>
      </c>
      <c r="BA617" s="27" t="s">
        <v>8</v>
      </c>
      <c r="BB617" s="27" t="s">
        <v>7</v>
      </c>
      <c r="CK617" s="27" t="s">
        <v>8</v>
      </c>
      <c r="CL617" s="27" t="s">
        <v>7</v>
      </c>
      <c r="CM617" s="27" t="s">
        <v>8</v>
      </c>
      <c r="CN617" s="27" t="s">
        <v>7</v>
      </c>
      <c r="DS617" s="27" t="s">
        <v>8</v>
      </c>
      <c r="HT617" s="27" t="s">
        <v>7</v>
      </c>
      <c r="HU617" s="27" t="s">
        <v>8</v>
      </c>
      <c r="LR617" s="27" t="s">
        <v>7</v>
      </c>
    </row>
    <row r="618" spans="1:334" x14ac:dyDescent="0.25">
      <c r="A618" s="7">
        <v>0.54124596958814908</v>
      </c>
      <c r="B618"/>
      <c r="C618"/>
      <c r="D618"/>
      <c r="E618"/>
      <c r="AP618" s="27" t="s">
        <v>7</v>
      </c>
      <c r="AQ618" s="27" t="s">
        <v>8</v>
      </c>
      <c r="AX618" s="27" t="s">
        <v>7</v>
      </c>
      <c r="AZ618" s="27" t="s">
        <v>7</v>
      </c>
      <c r="BA618" s="27" t="s">
        <v>8</v>
      </c>
      <c r="BB618" s="27" t="s">
        <v>7</v>
      </c>
      <c r="CK618" s="27" t="s">
        <v>8</v>
      </c>
      <c r="CL618" s="27" t="s">
        <v>7</v>
      </c>
      <c r="CM618" s="27" t="s">
        <v>8</v>
      </c>
      <c r="CN618" s="27" t="s">
        <v>7</v>
      </c>
      <c r="CU618" s="27" t="s">
        <v>8</v>
      </c>
      <c r="DS618" s="27" t="s">
        <v>8</v>
      </c>
      <c r="HT618" s="27" t="s">
        <v>7</v>
      </c>
    </row>
    <row r="619" spans="1:334" x14ac:dyDescent="0.25">
      <c r="A619" s="7">
        <v>0.53063330351779314</v>
      </c>
      <c r="B619"/>
      <c r="C619"/>
      <c r="D619"/>
      <c r="E619"/>
      <c r="AP619" s="27" t="s">
        <v>7</v>
      </c>
      <c r="AQ619" s="27" t="s">
        <v>8</v>
      </c>
      <c r="AZ619" s="27" t="s">
        <v>7</v>
      </c>
      <c r="BA619" s="27" t="s">
        <v>8</v>
      </c>
      <c r="BB619" s="27" t="s">
        <v>7</v>
      </c>
      <c r="BC619" s="27" t="s">
        <v>8</v>
      </c>
      <c r="CK619" s="27" t="s">
        <v>8</v>
      </c>
      <c r="CL619" s="27" t="s">
        <v>7</v>
      </c>
      <c r="CM619" s="27" t="s">
        <v>8</v>
      </c>
      <c r="CN619" s="27" t="s">
        <v>7</v>
      </c>
      <c r="CU619" s="27" t="s">
        <v>8</v>
      </c>
      <c r="CV619" s="27" t="s">
        <v>7</v>
      </c>
      <c r="DS619" s="27" t="s">
        <v>8</v>
      </c>
    </row>
    <row r="620" spans="1:334" x14ac:dyDescent="0.25">
      <c r="A620" s="7">
        <v>0.52022872893901284</v>
      </c>
      <c r="B620"/>
      <c r="C620"/>
      <c r="D620"/>
      <c r="E620"/>
      <c r="AP620" s="27" t="s">
        <v>7</v>
      </c>
      <c r="AQ620" s="27" t="s">
        <v>8</v>
      </c>
      <c r="AZ620" s="27" t="s">
        <v>7</v>
      </c>
      <c r="BA620" s="27" t="s">
        <v>8</v>
      </c>
      <c r="BB620" s="27" t="s">
        <v>7</v>
      </c>
      <c r="BC620" s="27" t="s">
        <v>8</v>
      </c>
      <c r="BD620" s="27" t="s">
        <v>7</v>
      </c>
      <c r="BI620" s="27" t="s">
        <v>8</v>
      </c>
      <c r="CK620" s="27" t="s">
        <v>8</v>
      </c>
      <c r="CL620" s="27" t="s">
        <v>7</v>
      </c>
      <c r="CM620" s="27" t="s">
        <v>8</v>
      </c>
      <c r="CN620" s="27" t="s">
        <v>7</v>
      </c>
      <c r="CU620" s="27" t="s">
        <v>8</v>
      </c>
      <c r="CV620" s="27" t="s">
        <v>7</v>
      </c>
      <c r="DS620" s="27" t="s">
        <v>8</v>
      </c>
    </row>
    <row r="621" spans="1:334" x14ac:dyDescent="0.25">
      <c r="A621" s="7">
        <v>0.51002816562648323</v>
      </c>
      <c r="B621"/>
      <c r="C621"/>
      <c r="D621"/>
      <c r="E621"/>
      <c r="AP621" s="27" t="s">
        <v>7</v>
      </c>
      <c r="AQ621" s="27" t="s">
        <v>8</v>
      </c>
      <c r="AZ621" s="27" t="s">
        <v>7</v>
      </c>
      <c r="BA621" s="27" t="s">
        <v>8</v>
      </c>
      <c r="BB621" s="27" t="s">
        <v>7</v>
      </c>
      <c r="BC621" s="27" t="s">
        <v>8</v>
      </c>
      <c r="BD621" s="27" t="s">
        <v>7</v>
      </c>
      <c r="BI621" s="27" t="s">
        <v>8</v>
      </c>
      <c r="BJ621" s="27" t="s">
        <v>7</v>
      </c>
      <c r="CK621" s="27" t="s">
        <v>8</v>
      </c>
      <c r="CL621" s="27" t="s">
        <v>7</v>
      </c>
      <c r="CM621" s="27" t="s">
        <v>8</v>
      </c>
      <c r="CN621" s="27" t="s">
        <v>7</v>
      </c>
      <c r="CU621" s="27" t="s">
        <v>8</v>
      </c>
      <c r="CV621" s="27" t="s">
        <v>7</v>
      </c>
      <c r="DS621" s="27" t="s">
        <v>8</v>
      </c>
    </row>
    <row r="622" spans="1:334" x14ac:dyDescent="0.25">
      <c r="A622" s="7">
        <v>0.50002761335929735</v>
      </c>
      <c r="B622"/>
      <c r="C622"/>
      <c r="D622"/>
      <c r="E622"/>
      <c r="AP622" s="27" t="s">
        <v>7</v>
      </c>
      <c r="AZ622" s="27" t="s">
        <v>7</v>
      </c>
      <c r="BA622" s="27" t="s">
        <v>8</v>
      </c>
      <c r="BB622" s="27" t="s">
        <v>7</v>
      </c>
      <c r="BD622" s="27" t="s">
        <v>7</v>
      </c>
      <c r="BI622" s="27" t="s">
        <v>8</v>
      </c>
      <c r="BJ622" s="27" t="s">
        <v>7</v>
      </c>
      <c r="CK622" s="27" t="s">
        <v>8</v>
      </c>
      <c r="CL622" s="27" t="s">
        <v>7</v>
      </c>
      <c r="CM622" s="27" t="s">
        <v>8</v>
      </c>
      <c r="CN622" s="27" t="s">
        <v>7</v>
      </c>
      <c r="CU622" s="27" t="s">
        <v>8</v>
      </c>
      <c r="CV622" s="27" t="s">
        <v>7</v>
      </c>
      <c r="DS622" s="27" t="s">
        <v>8</v>
      </c>
    </row>
    <row r="623" spans="1:334" x14ac:dyDescent="0.25">
      <c r="A623" s="7">
        <v>0.49022315035225228</v>
      </c>
      <c r="B623"/>
      <c r="C623"/>
      <c r="D623"/>
      <c r="E623"/>
      <c r="AZ623" s="27" t="s">
        <v>7</v>
      </c>
      <c r="BD623" s="27" t="s">
        <v>7</v>
      </c>
      <c r="BI623" s="27" t="s">
        <v>8</v>
      </c>
      <c r="BJ623" s="27" t="s">
        <v>7</v>
      </c>
      <c r="CK623" s="27" t="s">
        <v>8</v>
      </c>
      <c r="CL623" s="27" t="s">
        <v>7</v>
      </c>
      <c r="CM623" s="27" t="s">
        <v>8</v>
      </c>
      <c r="CN623" s="27" t="s">
        <v>7</v>
      </c>
      <c r="CO623" s="27" t="s">
        <v>8</v>
      </c>
      <c r="CU623" s="27" t="s">
        <v>8</v>
      </c>
      <c r="CV623" s="27" t="s">
        <v>7</v>
      </c>
      <c r="DS623" s="27" t="s">
        <v>8</v>
      </c>
    </row>
    <row r="624" spans="1:334" x14ac:dyDescent="0.25">
      <c r="A624" s="7">
        <v>0.48061093171789437</v>
      </c>
      <c r="B624"/>
      <c r="C624"/>
      <c r="D624"/>
      <c r="E624"/>
      <c r="BD624" s="27" t="s">
        <v>7</v>
      </c>
      <c r="BI624" s="27" t="s">
        <v>8</v>
      </c>
      <c r="BJ624" s="27" t="s">
        <v>7</v>
      </c>
      <c r="BO624" s="27" t="s">
        <v>8</v>
      </c>
      <c r="CK624" s="27" t="s">
        <v>8</v>
      </c>
      <c r="CL624" s="27" t="s">
        <v>7</v>
      </c>
      <c r="CM624" s="27" t="s">
        <v>8</v>
      </c>
      <c r="CN624" s="27" t="s">
        <v>7</v>
      </c>
      <c r="CO624" s="27" t="s">
        <v>8</v>
      </c>
      <c r="CP624" s="27" t="s">
        <v>7</v>
      </c>
      <c r="CU624" s="27" t="s">
        <v>8</v>
      </c>
      <c r="CV624" s="27" t="s">
        <v>7</v>
      </c>
      <c r="DE624" s="27" t="s">
        <v>8</v>
      </c>
      <c r="DQ624" s="27" t="s">
        <v>8</v>
      </c>
      <c r="DS624" s="27" t="s">
        <v>8</v>
      </c>
    </row>
    <row r="625" spans="1:123" x14ac:dyDescent="0.25">
      <c r="A625" s="7">
        <v>0.47118718795871994</v>
      </c>
      <c r="B625"/>
      <c r="C625"/>
      <c r="D625"/>
      <c r="E625"/>
      <c r="BD625" s="27" t="s">
        <v>7</v>
      </c>
      <c r="BI625" s="27" t="s">
        <v>8</v>
      </c>
      <c r="BJ625" s="27" t="s">
        <v>7</v>
      </c>
      <c r="BO625" s="27" t="s">
        <v>8</v>
      </c>
      <c r="BP625" s="27" t="s">
        <v>7</v>
      </c>
      <c r="CK625" s="27" t="s">
        <v>8</v>
      </c>
      <c r="CL625" s="27" t="s">
        <v>7</v>
      </c>
      <c r="CM625" s="27" t="s">
        <v>8</v>
      </c>
      <c r="CN625" s="27" t="s">
        <v>7</v>
      </c>
      <c r="CO625" s="27" t="s">
        <v>8</v>
      </c>
      <c r="CP625" s="27" t="s">
        <v>7</v>
      </c>
      <c r="CU625" s="27" t="s">
        <v>8</v>
      </c>
      <c r="CV625" s="27" t="s">
        <v>7</v>
      </c>
      <c r="DE625" s="27" t="s">
        <v>8</v>
      </c>
      <c r="DF625" s="27" t="s">
        <v>7</v>
      </c>
      <c r="DM625" s="27" t="s">
        <v>8</v>
      </c>
      <c r="DQ625" s="27" t="s">
        <v>8</v>
      </c>
      <c r="DR625" s="27" t="s">
        <v>7</v>
      </c>
      <c r="DS625" s="27" t="s">
        <v>8</v>
      </c>
    </row>
    <row r="626" spans="1:123" x14ac:dyDescent="0.25">
      <c r="A626" s="7">
        <v>0.46194822348894116</v>
      </c>
      <c r="B626"/>
      <c r="C626"/>
      <c r="D626"/>
      <c r="E626"/>
      <c r="BD626" s="27" t="s">
        <v>7</v>
      </c>
      <c r="BI626" s="27" t="s">
        <v>8</v>
      </c>
      <c r="BJ626" s="27" t="s">
        <v>7</v>
      </c>
      <c r="BK626" s="27" t="s">
        <v>8</v>
      </c>
      <c r="BO626" s="27" t="s">
        <v>8</v>
      </c>
      <c r="BP626" s="27" t="s">
        <v>7</v>
      </c>
      <c r="CK626" s="27" t="s">
        <v>8</v>
      </c>
      <c r="CL626" s="27" t="s">
        <v>7</v>
      </c>
      <c r="CM626" s="27" t="s">
        <v>8</v>
      </c>
      <c r="CN626" s="27" t="s">
        <v>7</v>
      </c>
      <c r="CO626" s="27" t="s">
        <v>8</v>
      </c>
      <c r="CP626" s="27" t="s">
        <v>7</v>
      </c>
      <c r="CU626" s="27" t="s">
        <v>8</v>
      </c>
      <c r="CV626" s="27" t="s">
        <v>7</v>
      </c>
      <c r="DE626" s="27" t="s">
        <v>8</v>
      </c>
      <c r="DF626" s="27" t="s">
        <v>7</v>
      </c>
      <c r="DM626" s="27" t="s">
        <v>8</v>
      </c>
      <c r="DN626" s="27" t="s">
        <v>7</v>
      </c>
      <c r="DO626" s="27" t="s">
        <v>8</v>
      </c>
      <c r="DQ626" s="27" t="s">
        <v>8</v>
      </c>
      <c r="DR626" s="27" t="s">
        <v>7</v>
      </c>
      <c r="DS626" s="27" t="s">
        <v>8</v>
      </c>
    </row>
    <row r="627" spans="1:123" x14ac:dyDescent="0.25">
      <c r="A627" s="7">
        <v>0.45289041518523643</v>
      </c>
      <c r="B627"/>
      <c r="C627"/>
      <c r="D627"/>
      <c r="E627"/>
      <c r="BD627" s="27" t="s">
        <v>7</v>
      </c>
      <c r="BE627" s="27" t="s">
        <v>8</v>
      </c>
      <c r="BG627" s="27" t="s">
        <v>8</v>
      </c>
      <c r="BI627" s="27" t="s">
        <v>8</v>
      </c>
      <c r="BJ627" s="27" t="s">
        <v>7</v>
      </c>
      <c r="BK627" s="27" t="s">
        <v>8</v>
      </c>
      <c r="BL627" s="27" t="s">
        <v>7</v>
      </c>
      <c r="BO627" s="27" t="s">
        <v>8</v>
      </c>
      <c r="BP627" s="27" t="s">
        <v>7</v>
      </c>
      <c r="CK627" s="27" t="s">
        <v>8</v>
      </c>
      <c r="CL627" s="27" t="s">
        <v>7</v>
      </c>
      <c r="CM627" s="27" t="s">
        <v>8</v>
      </c>
      <c r="CN627" s="27" t="s">
        <v>7</v>
      </c>
      <c r="CO627" s="27" t="s">
        <v>8</v>
      </c>
      <c r="CP627" s="27" t="s">
        <v>7</v>
      </c>
      <c r="CU627" s="27" t="s">
        <v>8</v>
      </c>
      <c r="CV627" s="27" t="s">
        <v>7</v>
      </c>
      <c r="DE627" s="27" t="s">
        <v>8</v>
      </c>
      <c r="DF627" s="27" t="s">
        <v>7</v>
      </c>
      <c r="DM627" s="27" t="s">
        <v>8</v>
      </c>
      <c r="DN627" s="27" t="s">
        <v>7</v>
      </c>
      <c r="DO627" s="27" t="s">
        <v>8</v>
      </c>
      <c r="DP627" s="27" t="s">
        <v>7</v>
      </c>
      <c r="DQ627" s="27" t="s">
        <v>8</v>
      </c>
      <c r="DR627" s="27" t="s">
        <v>7</v>
      </c>
      <c r="DS627" s="27" t="s">
        <v>8</v>
      </c>
    </row>
    <row r="628" spans="1:123" x14ac:dyDescent="0.25">
      <c r="A628" s="7">
        <v>0.44401021096591808</v>
      </c>
      <c r="B628"/>
      <c r="C628"/>
      <c r="D628"/>
      <c r="E628"/>
      <c r="BD628" s="27" t="s">
        <v>7</v>
      </c>
      <c r="BE628" s="27" t="s">
        <v>8</v>
      </c>
      <c r="BF628" s="27" t="s">
        <v>7</v>
      </c>
      <c r="BG628" s="27" t="s">
        <v>8</v>
      </c>
      <c r="BH628" s="27" t="s">
        <v>7</v>
      </c>
      <c r="BI628" s="27" t="s">
        <v>8</v>
      </c>
      <c r="BJ628" s="27" t="s">
        <v>7</v>
      </c>
      <c r="BK628" s="27" t="s">
        <v>8</v>
      </c>
      <c r="BL628" s="27" t="s">
        <v>7</v>
      </c>
      <c r="BO628" s="27" t="s">
        <v>8</v>
      </c>
      <c r="BP628" s="27" t="s">
        <v>7</v>
      </c>
      <c r="CK628" s="27" t="s">
        <v>8</v>
      </c>
      <c r="CL628" s="27" t="s">
        <v>7</v>
      </c>
      <c r="CM628" s="27" t="s">
        <v>8</v>
      </c>
      <c r="CN628" s="27" t="s">
        <v>7</v>
      </c>
      <c r="CO628" s="27" t="s">
        <v>8</v>
      </c>
      <c r="CP628" s="27" t="s">
        <v>7</v>
      </c>
      <c r="CU628" s="27" t="s">
        <v>8</v>
      </c>
      <c r="CV628" s="27" t="s">
        <v>7</v>
      </c>
      <c r="DC628" s="27" t="s">
        <v>8</v>
      </c>
      <c r="DE628" s="27" t="s">
        <v>8</v>
      </c>
      <c r="DF628" s="27" t="s">
        <v>7</v>
      </c>
      <c r="DM628" s="27" t="s">
        <v>8</v>
      </c>
      <c r="DN628" s="27" t="s">
        <v>7</v>
      </c>
      <c r="DO628" s="27" t="s">
        <v>8</v>
      </c>
      <c r="DP628" s="27" t="s">
        <v>7</v>
      </c>
      <c r="DQ628" s="27" t="s">
        <v>8</v>
      </c>
      <c r="DR628" s="27" t="s">
        <v>7</v>
      </c>
      <c r="DS628" s="27" t="s">
        <v>8</v>
      </c>
    </row>
    <row r="629" spans="1:123" x14ac:dyDescent="0.25">
      <c r="A629" s="7">
        <v>0.4353041283979589</v>
      </c>
      <c r="B629"/>
      <c r="C629"/>
      <c r="D629"/>
      <c r="E629"/>
      <c r="BD629" s="27" t="s">
        <v>7</v>
      </c>
      <c r="BE629" s="27" t="s">
        <v>8</v>
      </c>
      <c r="BF629" s="27" t="s">
        <v>7</v>
      </c>
      <c r="BG629" s="27" t="s">
        <v>8</v>
      </c>
      <c r="BH629" s="27" t="s">
        <v>7</v>
      </c>
      <c r="BI629" s="27" t="s">
        <v>8</v>
      </c>
      <c r="BJ629" s="27" t="s">
        <v>7</v>
      </c>
      <c r="BK629" s="27" t="s">
        <v>8</v>
      </c>
      <c r="BL629" s="27" t="s">
        <v>7</v>
      </c>
      <c r="BM629" s="27" t="s">
        <v>8</v>
      </c>
      <c r="BO629" s="27" t="s">
        <v>8</v>
      </c>
      <c r="BP629" s="27" t="s">
        <v>7</v>
      </c>
      <c r="CE629" s="27" t="s">
        <v>8</v>
      </c>
      <c r="CK629" s="27" t="s">
        <v>8</v>
      </c>
      <c r="CL629" s="27" t="s">
        <v>7</v>
      </c>
      <c r="CM629" s="27" t="s">
        <v>8</v>
      </c>
      <c r="CN629" s="27" t="s">
        <v>7</v>
      </c>
      <c r="CO629" s="27" t="s">
        <v>8</v>
      </c>
      <c r="CP629" s="27" t="s">
        <v>7</v>
      </c>
      <c r="CQ629" s="27" t="s">
        <v>8</v>
      </c>
      <c r="CU629" s="27" t="s">
        <v>8</v>
      </c>
      <c r="CV629" s="27" t="s">
        <v>7</v>
      </c>
      <c r="DC629" s="27" t="s">
        <v>8</v>
      </c>
      <c r="DD629" s="27" t="s">
        <v>7</v>
      </c>
      <c r="DE629" s="27" t="s">
        <v>8</v>
      </c>
      <c r="DF629" s="27" t="s">
        <v>7</v>
      </c>
      <c r="DK629" s="27" t="s">
        <v>8</v>
      </c>
      <c r="DM629" s="27" t="s">
        <v>8</v>
      </c>
      <c r="DN629" s="27" t="s">
        <v>7</v>
      </c>
      <c r="DO629" s="27" t="s">
        <v>8</v>
      </c>
      <c r="DP629" s="27" t="s">
        <v>7</v>
      </c>
      <c r="DQ629" s="27" t="s">
        <v>8</v>
      </c>
      <c r="DR629" s="27" t="s">
        <v>7</v>
      </c>
      <c r="DS629" s="27" t="s">
        <v>8</v>
      </c>
    </row>
    <row r="630" spans="1:123" x14ac:dyDescent="0.25">
      <c r="A630" s="7">
        <v>0.4267687533313323</v>
      </c>
      <c r="B630"/>
      <c r="C630"/>
      <c r="D630"/>
      <c r="E630"/>
      <c r="BD630" s="27" t="s">
        <v>7</v>
      </c>
      <c r="BF630" s="27" t="s">
        <v>7</v>
      </c>
      <c r="BG630" s="27" t="s">
        <v>8</v>
      </c>
      <c r="BH630" s="27" t="s">
        <v>7</v>
      </c>
      <c r="BI630" s="27" t="s">
        <v>8</v>
      </c>
      <c r="BJ630" s="27" t="s">
        <v>7</v>
      </c>
      <c r="BK630" s="27" t="s">
        <v>8</v>
      </c>
      <c r="BL630" s="27" t="s">
        <v>7</v>
      </c>
      <c r="BM630" s="27" t="s">
        <v>8</v>
      </c>
      <c r="BN630" s="27" t="s">
        <v>7</v>
      </c>
      <c r="BO630" s="27" t="s">
        <v>8</v>
      </c>
      <c r="BP630" s="27" t="s">
        <v>7</v>
      </c>
      <c r="CE630" s="27" t="s">
        <v>8</v>
      </c>
      <c r="CF630" s="27" t="s">
        <v>7</v>
      </c>
      <c r="CK630" s="27" t="s">
        <v>8</v>
      </c>
      <c r="CL630" s="27" t="s">
        <v>7</v>
      </c>
      <c r="CM630" s="27" t="s">
        <v>8</v>
      </c>
      <c r="CN630" s="27" t="s">
        <v>7</v>
      </c>
      <c r="CO630" s="27" t="s">
        <v>8</v>
      </c>
      <c r="CP630" s="27" t="s">
        <v>7</v>
      </c>
      <c r="CQ630" s="27" t="s">
        <v>8</v>
      </c>
      <c r="CR630" s="27" t="s">
        <v>7</v>
      </c>
      <c r="CU630" s="27" t="s">
        <v>8</v>
      </c>
      <c r="CV630" s="27" t="s">
        <v>7</v>
      </c>
      <c r="DC630" s="27" t="s">
        <v>8</v>
      </c>
      <c r="DD630" s="27" t="s">
        <v>7</v>
      </c>
      <c r="DE630" s="27" t="s">
        <v>8</v>
      </c>
      <c r="DF630" s="27" t="s">
        <v>7</v>
      </c>
      <c r="DK630" s="27" t="s">
        <v>8</v>
      </c>
      <c r="DL630" s="27" t="s">
        <v>7</v>
      </c>
      <c r="DM630" s="27" t="s">
        <v>8</v>
      </c>
      <c r="DN630" s="27" t="s">
        <v>7</v>
      </c>
      <c r="DO630" s="27" t="s">
        <v>8</v>
      </c>
      <c r="DP630" s="27" t="s">
        <v>7</v>
      </c>
      <c r="DQ630" s="27" t="s">
        <v>8</v>
      </c>
      <c r="DR630" s="27" t="s">
        <v>7</v>
      </c>
      <c r="DS630" s="27" t="s">
        <v>8</v>
      </c>
    </row>
    <row r="631" spans="1:123" x14ac:dyDescent="0.25">
      <c r="A631" s="7">
        <v>0.41840073856012971</v>
      </c>
      <c r="B631"/>
      <c r="C631"/>
      <c r="D631"/>
      <c r="E631"/>
      <c r="BF631" s="27" t="s">
        <v>7</v>
      </c>
      <c r="BG631" s="27" t="s">
        <v>8</v>
      </c>
      <c r="BH631" s="27" t="s">
        <v>7</v>
      </c>
      <c r="BI631" s="27" t="s">
        <v>8</v>
      </c>
      <c r="BJ631" s="27" t="s">
        <v>7</v>
      </c>
      <c r="BK631" s="27" t="s">
        <v>8</v>
      </c>
      <c r="BL631" s="27" t="s">
        <v>7</v>
      </c>
      <c r="BM631" s="27" t="s">
        <v>8</v>
      </c>
      <c r="BN631" s="27" t="s">
        <v>7</v>
      </c>
      <c r="BO631" s="27" t="s">
        <v>8</v>
      </c>
      <c r="BP631" s="27" t="s">
        <v>7</v>
      </c>
      <c r="CC631" s="27" t="s">
        <v>8</v>
      </c>
      <c r="CE631" s="27" t="s">
        <v>8</v>
      </c>
      <c r="CF631" s="27" t="s">
        <v>7</v>
      </c>
      <c r="CK631" s="27" t="s">
        <v>8</v>
      </c>
      <c r="CL631" s="27" t="s">
        <v>7</v>
      </c>
      <c r="CM631" s="27" t="s">
        <v>8</v>
      </c>
      <c r="CN631" s="27" t="s">
        <v>7</v>
      </c>
      <c r="CO631" s="27" t="s">
        <v>8</v>
      </c>
      <c r="CP631" s="27" t="s">
        <v>7</v>
      </c>
      <c r="CQ631" s="27" t="s">
        <v>8</v>
      </c>
      <c r="CR631" s="27" t="s">
        <v>7</v>
      </c>
      <c r="CS631" s="27" t="s">
        <v>8</v>
      </c>
      <c r="CU631" s="27" t="s">
        <v>8</v>
      </c>
      <c r="CV631" s="27" t="s">
        <v>7</v>
      </c>
      <c r="CW631" s="27" t="s">
        <v>8</v>
      </c>
      <c r="DC631" s="27" t="s">
        <v>8</v>
      </c>
      <c r="DD631" s="27" t="s">
        <v>7</v>
      </c>
      <c r="DE631" s="27" t="s">
        <v>8</v>
      </c>
      <c r="DF631" s="27" t="s">
        <v>7</v>
      </c>
      <c r="DK631" s="27" t="s">
        <v>8</v>
      </c>
      <c r="DL631" s="27" t="s">
        <v>7</v>
      </c>
      <c r="DM631" s="27" t="s">
        <v>8</v>
      </c>
      <c r="DN631" s="27" t="s">
        <v>7</v>
      </c>
      <c r="DO631" s="27" t="s">
        <v>8</v>
      </c>
      <c r="DP631" s="27" t="s">
        <v>7</v>
      </c>
      <c r="DQ631" s="27" t="s">
        <v>8</v>
      </c>
      <c r="DR631" s="27" t="s">
        <v>7</v>
      </c>
      <c r="DS631" s="27" t="s">
        <v>8</v>
      </c>
    </row>
    <row r="632" spans="1:123" x14ac:dyDescent="0.25">
      <c r="A632" s="7">
        <v>0.41019680250993112</v>
      </c>
      <c r="B632"/>
      <c r="C632"/>
      <c r="D632"/>
      <c r="E632"/>
      <c r="BF632" s="27" t="s">
        <v>7</v>
      </c>
      <c r="BG632" s="27" t="s">
        <v>8</v>
      </c>
      <c r="BH632" s="27" t="s">
        <v>7</v>
      </c>
      <c r="BI632" s="27" t="s">
        <v>8</v>
      </c>
      <c r="BJ632" s="27" t="s">
        <v>7</v>
      </c>
      <c r="BK632" s="27" t="s">
        <v>8</v>
      </c>
      <c r="BL632" s="27" t="s">
        <v>7</v>
      </c>
      <c r="BM632" s="27" t="s">
        <v>8</v>
      </c>
      <c r="BN632" s="27" t="s">
        <v>7</v>
      </c>
      <c r="BO632" s="27" t="s">
        <v>8</v>
      </c>
      <c r="BP632" s="27" t="s">
        <v>7</v>
      </c>
      <c r="CC632" s="27" t="s">
        <v>8</v>
      </c>
      <c r="CD632" s="27" t="s">
        <v>7</v>
      </c>
      <c r="CE632" s="27" t="s">
        <v>8</v>
      </c>
      <c r="CF632" s="27" t="s">
        <v>7</v>
      </c>
      <c r="CK632" s="27" t="s">
        <v>8</v>
      </c>
      <c r="CL632" s="27" t="s">
        <v>7</v>
      </c>
      <c r="CM632" s="27" t="s">
        <v>8</v>
      </c>
      <c r="CN632" s="27" t="s">
        <v>7</v>
      </c>
      <c r="CO632" s="27" t="s">
        <v>8</v>
      </c>
      <c r="CP632" s="27" t="s">
        <v>7</v>
      </c>
      <c r="CQ632" s="27" t="s">
        <v>8</v>
      </c>
      <c r="CR632" s="27" t="s">
        <v>7</v>
      </c>
      <c r="CS632" s="27" t="s">
        <v>8</v>
      </c>
      <c r="CT632" s="27" t="s">
        <v>7</v>
      </c>
      <c r="CU632" s="27" t="s">
        <v>8</v>
      </c>
      <c r="CV632" s="27" t="s">
        <v>7</v>
      </c>
      <c r="CW632" s="27" t="s">
        <v>8</v>
      </c>
      <c r="CX632" s="27" t="s">
        <v>7</v>
      </c>
      <c r="DC632" s="27" t="s">
        <v>8</v>
      </c>
      <c r="DD632" s="27" t="s">
        <v>7</v>
      </c>
      <c r="DE632" s="27" t="s">
        <v>8</v>
      </c>
      <c r="DF632" s="27" t="s">
        <v>7</v>
      </c>
      <c r="DK632" s="27" t="s">
        <v>8</v>
      </c>
      <c r="DL632" s="27" t="s">
        <v>7</v>
      </c>
      <c r="DM632" s="27" t="s">
        <v>8</v>
      </c>
      <c r="DN632" s="27" t="s">
        <v>7</v>
      </c>
      <c r="DO632" s="27" t="s">
        <v>8</v>
      </c>
      <c r="DP632" s="27" t="s">
        <v>7</v>
      </c>
      <c r="DQ632" s="27" t="s">
        <v>8</v>
      </c>
      <c r="DR632" s="27" t="s">
        <v>7</v>
      </c>
      <c r="DS632" s="27" t="s">
        <v>8</v>
      </c>
    </row>
    <row r="633" spans="1:123" x14ac:dyDescent="0.25">
      <c r="A633" s="7">
        <v>0.40215372795091286</v>
      </c>
      <c r="B633"/>
      <c r="C633"/>
      <c r="D633"/>
      <c r="E633"/>
      <c r="BF633" s="27" t="s">
        <v>7</v>
      </c>
      <c r="BG633" s="27" t="s">
        <v>8</v>
      </c>
      <c r="BH633" s="27" t="s">
        <v>7</v>
      </c>
      <c r="BI633" s="27" t="s">
        <v>8</v>
      </c>
      <c r="BJ633" s="27" t="s">
        <v>7</v>
      </c>
      <c r="BK633" s="27" t="s">
        <v>8</v>
      </c>
      <c r="BL633" s="27" t="s">
        <v>7</v>
      </c>
      <c r="BM633" s="27" t="s">
        <v>8</v>
      </c>
      <c r="BN633" s="27" t="s">
        <v>7</v>
      </c>
      <c r="BP633" s="27" t="s">
        <v>7</v>
      </c>
      <c r="CC633" s="27" t="s">
        <v>8</v>
      </c>
      <c r="CD633" s="27" t="s">
        <v>7</v>
      </c>
      <c r="CE633" s="27" t="s">
        <v>8</v>
      </c>
      <c r="CF633" s="27" t="s">
        <v>7</v>
      </c>
      <c r="CK633" s="27" t="s">
        <v>8</v>
      </c>
      <c r="CL633" s="27" t="s">
        <v>7</v>
      </c>
      <c r="CM633" s="27" t="s">
        <v>8</v>
      </c>
      <c r="CN633" s="27" t="s">
        <v>7</v>
      </c>
      <c r="CO633" s="27" t="s">
        <v>8</v>
      </c>
      <c r="CP633" s="27" t="s">
        <v>7</v>
      </c>
      <c r="CQ633" s="27" t="s">
        <v>8</v>
      </c>
      <c r="CR633" s="27" t="s">
        <v>7</v>
      </c>
      <c r="CS633" s="27" t="s">
        <v>8</v>
      </c>
      <c r="CT633" s="27" t="s">
        <v>7</v>
      </c>
      <c r="CU633" s="27" t="s">
        <v>8</v>
      </c>
      <c r="CV633" s="27" t="s">
        <v>7</v>
      </c>
      <c r="CW633" s="27" t="s">
        <v>8</v>
      </c>
      <c r="CX633" s="27" t="s">
        <v>7</v>
      </c>
      <c r="CY633" s="27" t="s">
        <v>8</v>
      </c>
      <c r="DA633" s="27" t="s">
        <v>8</v>
      </c>
      <c r="DC633" s="27" t="s">
        <v>8</v>
      </c>
      <c r="DD633" s="27" t="s">
        <v>7</v>
      </c>
      <c r="DE633" s="27" t="s">
        <v>8</v>
      </c>
      <c r="DF633" s="27" t="s">
        <v>7</v>
      </c>
      <c r="DK633" s="27" t="s">
        <v>8</v>
      </c>
      <c r="DL633" s="27" t="s">
        <v>7</v>
      </c>
      <c r="DM633" s="27" t="s">
        <v>8</v>
      </c>
      <c r="DN633" s="27" t="s">
        <v>7</v>
      </c>
      <c r="DO633" s="27" t="s">
        <v>8</v>
      </c>
      <c r="DP633" s="27" t="s">
        <v>7</v>
      </c>
      <c r="DQ633" s="27" t="s">
        <v>8</v>
      </c>
      <c r="DR633" s="27" t="s">
        <v>7</v>
      </c>
    </row>
    <row r="634" spans="1:123" x14ac:dyDescent="0.25">
      <c r="A634" s="7">
        <v>0.39426836073618904</v>
      </c>
      <c r="B634"/>
      <c r="C634"/>
      <c r="D634"/>
      <c r="E634"/>
      <c r="BF634" s="27" t="s">
        <v>7</v>
      </c>
      <c r="BG634" s="27" t="s">
        <v>8</v>
      </c>
      <c r="BH634" s="27" t="s">
        <v>7</v>
      </c>
      <c r="BJ634" s="27" t="s">
        <v>7</v>
      </c>
      <c r="BK634" s="27" t="s">
        <v>8</v>
      </c>
      <c r="BL634" s="27" t="s">
        <v>7</v>
      </c>
      <c r="BM634" s="27" t="s">
        <v>8</v>
      </c>
      <c r="BP634" s="27" t="s">
        <v>7</v>
      </c>
      <c r="CC634" s="27" t="s">
        <v>8</v>
      </c>
      <c r="CD634" s="27" t="s">
        <v>7</v>
      </c>
      <c r="CE634" s="27" t="s">
        <v>8</v>
      </c>
      <c r="CF634" s="27" t="s">
        <v>7</v>
      </c>
      <c r="CK634" s="27" t="s">
        <v>8</v>
      </c>
      <c r="CL634" s="27" t="s">
        <v>7</v>
      </c>
      <c r="CM634" s="27" t="s">
        <v>8</v>
      </c>
      <c r="CN634" s="27" t="s">
        <v>7</v>
      </c>
      <c r="CO634" s="27" t="s">
        <v>8</v>
      </c>
      <c r="CP634" s="27" t="s">
        <v>7</v>
      </c>
      <c r="CQ634" s="27" t="s">
        <v>8</v>
      </c>
      <c r="CR634" s="27" t="s">
        <v>7</v>
      </c>
      <c r="CT634" s="27" t="s">
        <v>7</v>
      </c>
      <c r="CV634" s="27" t="s">
        <v>7</v>
      </c>
      <c r="CW634" s="27" t="s">
        <v>8</v>
      </c>
      <c r="CX634" s="27" t="s">
        <v>7</v>
      </c>
      <c r="CY634" s="27" t="s">
        <v>8</v>
      </c>
      <c r="CZ634" s="27" t="s">
        <v>7</v>
      </c>
      <c r="DA634" s="27" t="s">
        <v>8</v>
      </c>
      <c r="DB634" s="27" t="s">
        <v>7</v>
      </c>
      <c r="DC634" s="27" t="s">
        <v>8</v>
      </c>
      <c r="DD634" s="27" t="s">
        <v>7</v>
      </c>
      <c r="DE634" s="27" t="s">
        <v>8</v>
      </c>
      <c r="DF634" s="27" t="s">
        <v>7</v>
      </c>
      <c r="DG634" s="27" t="s">
        <v>8</v>
      </c>
      <c r="DI634" s="27" t="s">
        <v>8</v>
      </c>
      <c r="DK634" s="27" t="s">
        <v>8</v>
      </c>
      <c r="DL634" s="27" t="s">
        <v>7</v>
      </c>
      <c r="DM634" s="27" t="s">
        <v>8</v>
      </c>
      <c r="DN634" s="27" t="s">
        <v>7</v>
      </c>
      <c r="DP634" s="27" t="s">
        <v>7</v>
      </c>
      <c r="DQ634" s="27" t="s">
        <v>8</v>
      </c>
    </row>
    <row r="635" spans="1:123" x14ac:dyDescent="0.25">
      <c r="A635" s="7">
        <v>0.38653760856489122</v>
      </c>
      <c r="B635"/>
      <c r="C635"/>
      <c r="D635"/>
      <c r="E635"/>
      <c r="BF635" s="27" t="s">
        <v>7</v>
      </c>
      <c r="BG635" s="27" t="s">
        <v>8</v>
      </c>
      <c r="BJ635" s="27" t="s">
        <v>7</v>
      </c>
      <c r="BL635" s="27" t="s">
        <v>7</v>
      </c>
      <c r="BM635" s="27" t="s">
        <v>8</v>
      </c>
      <c r="BP635" s="27" t="s">
        <v>7</v>
      </c>
      <c r="CC635" s="27" t="s">
        <v>8</v>
      </c>
      <c r="CD635" s="27" t="s">
        <v>7</v>
      </c>
      <c r="CF635" s="27" t="s">
        <v>7</v>
      </c>
      <c r="CI635" s="27" t="s">
        <v>8</v>
      </c>
      <c r="CK635" s="27" t="s">
        <v>8</v>
      </c>
      <c r="CL635" s="27" t="s">
        <v>7</v>
      </c>
      <c r="CM635" s="27" t="s">
        <v>8</v>
      </c>
      <c r="CN635" s="27" t="s">
        <v>7</v>
      </c>
      <c r="CP635" s="27" t="s">
        <v>7</v>
      </c>
      <c r="CQ635" s="27" t="s">
        <v>8</v>
      </c>
      <c r="CV635" s="27" t="s">
        <v>7</v>
      </c>
      <c r="CW635" s="27" t="s">
        <v>8</v>
      </c>
      <c r="CX635" s="27" t="s">
        <v>7</v>
      </c>
      <c r="CY635" s="27" t="s">
        <v>8</v>
      </c>
      <c r="CZ635" s="27" t="s">
        <v>7</v>
      </c>
      <c r="DA635" s="27" t="s">
        <v>8</v>
      </c>
      <c r="DB635" s="27" t="s">
        <v>7</v>
      </c>
      <c r="DC635" s="27" t="s">
        <v>8</v>
      </c>
      <c r="DD635" s="27" t="s">
        <v>7</v>
      </c>
      <c r="DE635" s="27" t="s">
        <v>8</v>
      </c>
      <c r="DF635" s="27" t="s">
        <v>7</v>
      </c>
      <c r="DG635" s="27" t="s">
        <v>8</v>
      </c>
      <c r="DH635" s="27" t="s">
        <v>7</v>
      </c>
      <c r="DI635" s="27" t="s">
        <v>8</v>
      </c>
      <c r="DJ635" s="27" t="s">
        <v>7</v>
      </c>
      <c r="DK635" s="27" t="s">
        <v>8</v>
      </c>
      <c r="DL635" s="27" t="s">
        <v>7</v>
      </c>
      <c r="DP635" s="27" t="s">
        <v>7</v>
      </c>
      <c r="DQ635" s="27" t="s">
        <v>8</v>
      </c>
    </row>
    <row r="636" spans="1:123" x14ac:dyDescent="0.25">
      <c r="A636" s="7">
        <v>0.37895843976950117</v>
      </c>
      <c r="B636"/>
      <c r="C636"/>
      <c r="D636"/>
      <c r="E636"/>
      <c r="BF636" s="27" t="s">
        <v>7</v>
      </c>
      <c r="BG636" s="27" t="s">
        <v>8</v>
      </c>
      <c r="BL636" s="27" t="s">
        <v>7</v>
      </c>
      <c r="BP636" s="27" t="s">
        <v>7</v>
      </c>
      <c r="CC636" s="27" t="s">
        <v>8</v>
      </c>
      <c r="CF636" s="27" t="s">
        <v>7</v>
      </c>
      <c r="CG636" s="27" t="s">
        <v>8</v>
      </c>
      <c r="CI636" s="27" t="s">
        <v>8</v>
      </c>
      <c r="CJ636" s="27" t="s">
        <v>7</v>
      </c>
      <c r="CK636" s="27" t="s">
        <v>8</v>
      </c>
      <c r="CL636" s="27" t="s">
        <v>7</v>
      </c>
      <c r="CM636" s="27" t="s">
        <v>8</v>
      </c>
      <c r="CP636" s="27" t="s">
        <v>7</v>
      </c>
      <c r="CQ636" s="27" t="s">
        <v>8</v>
      </c>
      <c r="CV636" s="27" t="s">
        <v>7</v>
      </c>
      <c r="CW636" s="27" t="s">
        <v>8</v>
      </c>
      <c r="CX636" s="27" t="s">
        <v>7</v>
      </c>
      <c r="CY636" s="27" t="s">
        <v>8</v>
      </c>
      <c r="CZ636" s="27" t="s">
        <v>7</v>
      </c>
      <c r="DA636" s="27" t="s">
        <v>8</v>
      </c>
      <c r="DB636" s="27" t="s">
        <v>7</v>
      </c>
      <c r="DC636" s="27" t="s">
        <v>8</v>
      </c>
      <c r="DD636" s="27" t="s">
        <v>7</v>
      </c>
      <c r="DE636" s="27" t="s">
        <v>8</v>
      </c>
      <c r="DF636" s="27" t="s">
        <v>7</v>
      </c>
      <c r="DG636" s="27" t="s">
        <v>8</v>
      </c>
      <c r="DH636" s="27" t="s">
        <v>7</v>
      </c>
      <c r="DI636" s="27" t="s">
        <v>8</v>
      </c>
      <c r="DJ636" s="27" t="s">
        <v>7</v>
      </c>
      <c r="DK636" s="27" t="s">
        <v>8</v>
      </c>
      <c r="DP636" s="27" t="s">
        <v>7</v>
      </c>
      <c r="DQ636" s="27" t="s">
        <v>8</v>
      </c>
    </row>
    <row r="637" spans="1:123" x14ac:dyDescent="0.25">
      <c r="A637" s="7">
        <v>0.37152788212696197</v>
      </c>
      <c r="B637"/>
      <c r="C637"/>
      <c r="D637"/>
      <c r="E637"/>
      <c r="BF637" s="27" t="s">
        <v>7</v>
      </c>
      <c r="BG637" s="27" t="s">
        <v>8</v>
      </c>
      <c r="BP637" s="27" t="s">
        <v>7</v>
      </c>
      <c r="BS637" s="27" t="s">
        <v>8</v>
      </c>
      <c r="BW637" s="27" t="s">
        <v>8</v>
      </c>
      <c r="CC637" s="27" t="s">
        <v>8</v>
      </c>
      <c r="CF637" s="27" t="s">
        <v>7</v>
      </c>
      <c r="CG637" s="27" t="s">
        <v>8</v>
      </c>
      <c r="CH637" s="27" t="s">
        <v>7</v>
      </c>
      <c r="CI637" s="27" t="s">
        <v>8</v>
      </c>
      <c r="CJ637" s="27" t="s">
        <v>7</v>
      </c>
      <c r="CK637" s="27" t="s">
        <v>8</v>
      </c>
      <c r="CL637" s="27" t="s">
        <v>7</v>
      </c>
      <c r="CM637" s="27" t="s">
        <v>8</v>
      </c>
      <c r="CP637" s="27" t="s">
        <v>7</v>
      </c>
      <c r="CQ637" s="27" t="s">
        <v>8</v>
      </c>
      <c r="CV637" s="27" t="s">
        <v>7</v>
      </c>
      <c r="CW637" s="27" t="s">
        <v>8</v>
      </c>
      <c r="CX637" s="27" t="s">
        <v>7</v>
      </c>
      <c r="CY637" s="27" t="s">
        <v>8</v>
      </c>
      <c r="CZ637" s="27" t="s">
        <v>7</v>
      </c>
      <c r="DA637" s="27" t="s">
        <v>8</v>
      </c>
      <c r="DB637" s="27" t="s">
        <v>7</v>
      </c>
      <c r="DC637" s="27" t="s">
        <v>8</v>
      </c>
      <c r="DD637" s="27" t="s">
        <v>7</v>
      </c>
      <c r="DF637" s="27" t="s">
        <v>7</v>
      </c>
      <c r="DG637" s="27" t="s">
        <v>8</v>
      </c>
      <c r="DH637" s="27" t="s">
        <v>7</v>
      </c>
      <c r="DI637" s="27" t="s">
        <v>8</v>
      </c>
      <c r="DJ637" s="27" t="s">
        <v>7</v>
      </c>
      <c r="DK637" s="27" t="s">
        <v>8</v>
      </c>
      <c r="DP637" s="27" t="s">
        <v>7</v>
      </c>
    </row>
    <row r="638" spans="1:123" x14ac:dyDescent="0.25">
      <c r="A638" s="7">
        <v>0.36424302169310002</v>
      </c>
      <c r="B638"/>
      <c r="C638"/>
      <c r="D638"/>
      <c r="E638"/>
      <c r="BF638" s="27" t="s">
        <v>7</v>
      </c>
      <c r="BP638" s="27" t="s">
        <v>7</v>
      </c>
      <c r="BQ638" s="27" t="s">
        <v>8</v>
      </c>
      <c r="BS638" s="27" t="s">
        <v>8</v>
      </c>
      <c r="BT638" s="27" t="s">
        <v>7</v>
      </c>
      <c r="BW638" s="27" t="s">
        <v>8</v>
      </c>
      <c r="BX638" s="27" t="s">
        <v>7</v>
      </c>
      <c r="CA638" s="27" t="s">
        <v>8</v>
      </c>
      <c r="CC638" s="27" t="s">
        <v>8</v>
      </c>
      <c r="CF638" s="27" t="s">
        <v>7</v>
      </c>
      <c r="CG638" s="27" t="s">
        <v>8</v>
      </c>
      <c r="CH638" s="27" t="s">
        <v>7</v>
      </c>
      <c r="CI638" s="27" t="s">
        <v>8</v>
      </c>
      <c r="CJ638" s="27" t="s">
        <v>7</v>
      </c>
      <c r="CK638" s="27" t="s">
        <v>8</v>
      </c>
      <c r="CL638" s="27" t="s">
        <v>7</v>
      </c>
      <c r="CP638" s="27" t="s">
        <v>7</v>
      </c>
      <c r="CQ638" s="27" t="s">
        <v>8</v>
      </c>
      <c r="CV638" s="27" t="s">
        <v>7</v>
      </c>
      <c r="CX638" s="27" t="s">
        <v>7</v>
      </c>
      <c r="CZ638" s="27" t="s">
        <v>7</v>
      </c>
      <c r="DA638" s="27" t="s">
        <v>8</v>
      </c>
      <c r="DB638" s="27" t="s">
        <v>7</v>
      </c>
      <c r="DC638" s="27" t="s">
        <v>8</v>
      </c>
      <c r="DF638" s="27" t="s">
        <v>7</v>
      </c>
      <c r="DG638" s="27" t="s">
        <v>8</v>
      </c>
      <c r="DH638" s="27" t="s">
        <v>7</v>
      </c>
      <c r="DI638" s="27" t="s">
        <v>8</v>
      </c>
      <c r="DJ638" s="27" t="s">
        <v>7</v>
      </c>
    </row>
    <row r="639" spans="1:123" x14ac:dyDescent="0.25">
      <c r="A639" s="7">
        <v>0.35710100165990194</v>
      </c>
      <c r="B639"/>
      <c r="C639"/>
      <c r="D639"/>
      <c r="E639"/>
      <c r="BP639" s="27" t="s">
        <v>7</v>
      </c>
      <c r="BQ639" s="27" t="s">
        <v>8</v>
      </c>
      <c r="BR639" s="27" t="s">
        <v>7</v>
      </c>
      <c r="BS639" s="27" t="s">
        <v>8</v>
      </c>
      <c r="BT639" s="27" t="s">
        <v>7</v>
      </c>
      <c r="BW639" s="27" t="s">
        <v>8</v>
      </c>
      <c r="BX639" s="27" t="s">
        <v>7</v>
      </c>
      <c r="CA639" s="27" t="s">
        <v>8</v>
      </c>
      <c r="CB639" s="27" t="s">
        <v>7</v>
      </c>
      <c r="CC639" s="27" t="s">
        <v>8</v>
      </c>
      <c r="CF639" s="27" t="s">
        <v>7</v>
      </c>
      <c r="CG639" s="27" t="s">
        <v>8</v>
      </c>
      <c r="CH639" s="27" t="s">
        <v>7</v>
      </c>
      <c r="CI639" s="27" t="s">
        <v>8</v>
      </c>
      <c r="CJ639" s="27" t="s">
        <v>7</v>
      </c>
      <c r="CK639" s="27" t="s">
        <v>8</v>
      </c>
      <c r="CP639" s="27" t="s">
        <v>7</v>
      </c>
      <c r="CZ639" s="27" t="s">
        <v>7</v>
      </c>
      <c r="DA639" s="27" t="s">
        <v>8</v>
      </c>
      <c r="DB639" s="27" t="s">
        <v>7</v>
      </c>
      <c r="DF639" s="27" t="s">
        <v>7</v>
      </c>
      <c r="DG639" s="27" t="s">
        <v>8</v>
      </c>
      <c r="DH639" s="27" t="s">
        <v>7</v>
      </c>
    </row>
    <row r="640" spans="1:123" x14ac:dyDescent="0.25">
      <c r="A640" s="7">
        <v>0.35009902123519804</v>
      </c>
      <c r="B640"/>
      <c r="C640"/>
      <c r="D640"/>
      <c r="E640"/>
      <c r="BP640" s="27" t="s">
        <v>7</v>
      </c>
      <c r="BQ640" s="27" t="s">
        <v>8</v>
      </c>
      <c r="BR640" s="27" t="s">
        <v>7</v>
      </c>
      <c r="BS640" s="27" t="s">
        <v>8</v>
      </c>
      <c r="BT640" s="27" t="s">
        <v>7</v>
      </c>
      <c r="BW640" s="27" t="s">
        <v>8</v>
      </c>
      <c r="BX640" s="27" t="s">
        <v>7</v>
      </c>
      <c r="CA640" s="27" t="s">
        <v>8</v>
      </c>
      <c r="CB640" s="27" t="s">
        <v>7</v>
      </c>
      <c r="CC640" s="27" t="s">
        <v>8</v>
      </c>
      <c r="CF640" s="27" t="s">
        <v>7</v>
      </c>
      <c r="CG640" s="27" t="s">
        <v>8</v>
      </c>
      <c r="CH640" s="27" t="s">
        <v>7</v>
      </c>
      <c r="CJ640" s="27" t="s">
        <v>7</v>
      </c>
      <c r="CZ640" s="27" t="s">
        <v>7</v>
      </c>
      <c r="DA640" s="27" t="s">
        <v>8</v>
      </c>
      <c r="DF640" s="27" t="s">
        <v>7</v>
      </c>
      <c r="DG640" s="27" t="s">
        <v>8</v>
      </c>
    </row>
    <row r="641" spans="1:111" x14ac:dyDescent="0.25">
      <c r="A641" s="7">
        <v>0.34323433454431179</v>
      </c>
      <c r="B641"/>
      <c r="C641"/>
      <c r="D641"/>
      <c r="E641"/>
      <c r="BP641" s="27" t="s">
        <v>7</v>
      </c>
      <c r="BQ641" s="27" t="s">
        <v>8</v>
      </c>
      <c r="BR641" s="27" t="s">
        <v>7</v>
      </c>
      <c r="BS641" s="27" t="s">
        <v>8</v>
      </c>
      <c r="BT641" s="27" t="s">
        <v>7</v>
      </c>
      <c r="BU641" s="27" t="s">
        <v>8</v>
      </c>
      <c r="BW641" s="27" t="s">
        <v>8</v>
      </c>
      <c r="BX641" s="27" t="s">
        <v>7</v>
      </c>
      <c r="BY641" s="27" t="s">
        <v>8</v>
      </c>
      <c r="CA641" s="27" t="s">
        <v>8</v>
      </c>
      <c r="CB641" s="27" t="s">
        <v>7</v>
      </c>
      <c r="CC641" s="27" t="s">
        <v>8</v>
      </c>
      <c r="CF641" s="27" t="s">
        <v>7</v>
      </c>
      <c r="CG641" s="27" t="s">
        <v>8</v>
      </c>
      <c r="CZ641" s="27" t="s">
        <v>7</v>
      </c>
      <c r="DA641" s="27" t="s">
        <v>8</v>
      </c>
      <c r="DF641" s="27" t="s">
        <v>7</v>
      </c>
      <c r="DG641" s="27" t="s">
        <v>8</v>
      </c>
    </row>
    <row r="642" spans="1:111" x14ac:dyDescent="0.25">
      <c r="A642" s="7">
        <v>0.33650424955324681</v>
      </c>
      <c r="B642"/>
      <c r="C642"/>
      <c r="D642"/>
      <c r="E642"/>
      <c r="BP642" s="27" t="s">
        <v>7</v>
      </c>
      <c r="BQ642" s="27" t="s">
        <v>8</v>
      </c>
      <c r="BR642" s="27" t="s">
        <v>7</v>
      </c>
      <c r="BS642" s="27" t="s">
        <v>8</v>
      </c>
      <c r="BT642" s="27" t="s">
        <v>7</v>
      </c>
      <c r="BU642" s="27" t="s">
        <v>8</v>
      </c>
      <c r="BV642" s="27" t="s">
        <v>7</v>
      </c>
      <c r="BW642" s="27" t="s">
        <v>8</v>
      </c>
      <c r="BX642" s="27" t="s">
        <v>7</v>
      </c>
      <c r="BY642" s="27" t="s">
        <v>8</v>
      </c>
      <c r="BZ642" s="27" t="s">
        <v>7</v>
      </c>
      <c r="CA642" s="27" t="s">
        <v>8</v>
      </c>
      <c r="CB642" s="27" t="s">
        <v>7</v>
      </c>
      <c r="CC642" s="27" t="s">
        <v>8</v>
      </c>
      <c r="CF642" s="27" t="s">
        <v>7</v>
      </c>
      <c r="CG642" s="27" t="s">
        <v>8</v>
      </c>
      <c r="CZ642" s="27" t="s">
        <v>7</v>
      </c>
      <c r="DF642" s="27" t="s">
        <v>7</v>
      </c>
    </row>
    <row r="643" spans="1:111" x14ac:dyDescent="0.25">
      <c r="A643" s="7">
        <v>0.3299061270129871</v>
      </c>
      <c r="B643"/>
      <c r="C643"/>
      <c r="D643"/>
      <c r="E643"/>
      <c r="BP643" s="27" t="s">
        <v>7</v>
      </c>
      <c r="BQ643" s="27" t="s">
        <v>8</v>
      </c>
      <c r="BR643" s="27" t="s">
        <v>7</v>
      </c>
      <c r="BS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BX643" s="27" t="s">
        <v>7</v>
      </c>
      <c r="BY643" s="27" t="s">
        <v>8</v>
      </c>
      <c r="BZ643" s="27" t="s">
        <v>7</v>
      </c>
      <c r="CA643" s="27" t="s">
        <v>8</v>
      </c>
      <c r="CB643" s="27" t="s">
        <v>7</v>
      </c>
      <c r="CF643" s="27" t="s">
        <v>7</v>
      </c>
      <c r="CG643" s="27" t="s">
        <v>8</v>
      </c>
    </row>
    <row r="644" spans="1:111" x14ac:dyDescent="0.25">
      <c r="A644" s="7">
        <v>0.32343737942449713</v>
      </c>
      <c r="B644"/>
      <c r="C644"/>
      <c r="D644"/>
      <c r="E644"/>
      <c r="BP644" s="27" t="s">
        <v>7</v>
      </c>
      <c r="BQ644" s="27" t="s">
        <v>8</v>
      </c>
      <c r="BR644" s="27" t="s">
        <v>7</v>
      </c>
      <c r="BS644" s="27" t="s">
        <v>8</v>
      </c>
      <c r="BT644" s="27" t="s">
        <v>7</v>
      </c>
      <c r="BU644" s="27" t="s">
        <v>8</v>
      </c>
      <c r="BV644" s="27" t="s">
        <v>7</v>
      </c>
      <c r="BW644" s="27" t="s">
        <v>8</v>
      </c>
      <c r="BX644" s="27" t="s">
        <v>7</v>
      </c>
      <c r="BY644" s="27" t="s">
        <v>8</v>
      </c>
      <c r="BZ644" s="27" t="s">
        <v>7</v>
      </c>
      <c r="CF644" s="27" t="s">
        <v>7</v>
      </c>
      <c r="CG644" s="27" t="s">
        <v>8</v>
      </c>
    </row>
    <row r="645" spans="1:111" x14ac:dyDescent="0.25">
      <c r="A645" s="7">
        <v>0.31709547002401678</v>
      </c>
      <c r="B645"/>
      <c r="C645"/>
      <c r="D645"/>
      <c r="E645"/>
      <c r="BP645" s="27" t="s">
        <v>7</v>
      </c>
      <c r="BQ645" s="27" t="s">
        <v>8</v>
      </c>
      <c r="BR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BW645" s="27" t="s">
        <v>8</v>
      </c>
      <c r="BX645" s="27" t="s">
        <v>7</v>
      </c>
      <c r="BY645" s="27" t="s">
        <v>8</v>
      </c>
      <c r="CF645" s="27" t="s">
        <v>7</v>
      </c>
    </row>
    <row r="646" spans="1:111" x14ac:dyDescent="0.25">
      <c r="A646" s="7">
        <v>0.31087791178825175</v>
      </c>
      <c r="B646"/>
      <c r="C646"/>
      <c r="D646"/>
      <c r="E646"/>
      <c r="BP646" s="27" t="s">
        <v>7</v>
      </c>
      <c r="BQ646" s="27" t="s">
        <v>8</v>
      </c>
      <c r="BR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BW646" s="27" t="s">
        <v>8</v>
      </c>
      <c r="BX646" s="27" t="s">
        <v>7</v>
      </c>
    </row>
    <row r="647" spans="1:111" x14ac:dyDescent="0.25">
      <c r="A647" s="7">
        <v>0.30478226645907036</v>
      </c>
      <c r="B647"/>
      <c r="C647"/>
      <c r="D647"/>
      <c r="E647"/>
      <c r="BP647" s="27" t="s">
        <v>7</v>
      </c>
      <c r="BQ647" s="27" t="s">
        <v>8</v>
      </c>
      <c r="BR647" s="27" t="s">
        <v>7</v>
      </c>
      <c r="BS647" s="27" t="s">
        <v>8</v>
      </c>
      <c r="BT647" s="27" t="s">
        <v>7</v>
      </c>
      <c r="BU647" s="27" t="s">
        <v>8</v>
      </c>
      <c r="BV647" s="27" t="s">
        <v>7</v>
      </c>
    </row>
    <row r="648" spans="1:111" x14ac:dyDescent="0.25">
      <c r="A648" s="7">
        <v>0.29880614358732388</v>
      </c>
      <c r="B648"/>
      <c r="C648"/>
      <c r="D648"/>
      <c r="E648"/>
      <c r="BP648" s="27" t="s">
        <v>7</v>
      </c>
      <c r="BQ648" s="27" t="s">
        <v>8</v>
      </c>
      <c r="BR648" s="27" t="s">
        <v>7</v>
      </c>
      <c r="BT648" s="27" t="s">
        <v>7</v>
      </c>
    </row>
    <row r="649" spans="1:111" x14ac:dyDescent="0.25">
      <c r="A649" s="7">
        <v>0.2929471995954156</v>
      </c>
      <c r="B649"/>
      <c r="C649"/>
      <c r="D649"/>
      <c r="E649"/>
      <c r="BP649" s="27" t="s">
        <v>7</v>
      </c>
      <c r="BQ649" s="27" t="s">
        <v>8</v>
      </c>
    </row>
    <row r="650" spans="1:111" x14ac:dyDescent="0.25">
      <c r="A650" s="7">
        <v>0.28720313685825055</v>
      </c>
      <c r="B650"/>
      <c r="C650"/>
      <c r="D650"/>
      <c r="E650"/>
      <c r="BP650" s="27" t="s">
        <v>7</v>
      </c>
      <c r="BQ650" s="27" t="s">
        <v>8</v>
      </c>
    </row>
    <row r="651" spans="1:111" x14ac:dyDescent="0.25">
      <c r="A651" s="7">
        <v>0.28157170280220645</v>
      </c>
      <c r="B651"/>
      <c r="C651"/>
      <c r="D651"/>
      <c r="E651"/>
      <c r="BP651" s="27" t="s">
        <v>7</v>
      </c>
      <c r="BQ651" s="27" t="s">
        <v>8</v>
      </c>
    </row>
    <row r="652" spans="1:111" x14ac:dyDescent="0.25">
      <c r="A652" s="7">
        <v>0.27605068902177105</v>
      </c>
      <c r="B652"/>
      <c r="C652"/>
      <c r="D652"/>
      <c r="E652"/>
      <c r="BP652" s="27" t="s">
        <v>7</v>
      </c>
    </row>
    <row r="653" spans="1:111" x14ac:dyDescent="0.25">
      <c r="A653" s="7">
        <v>0.27063793041350104</v>
      </c>
      <c r="B653"/>
      <c r="C653"/>
      <c r="D653"/>
      <c r="E653"/>
    </row>
    <row r="654" spans="1:111" x14ac:dyDescent="0.25">
      <c r="A654" s="7">
        <v>0.26533130432696184</v>
      </c>
      <c r="B654"/>
      <c r="C654"/>
      <c r="D654"/>
      <c r="E654"/>
    </row>
    <row r="655" spans="1:111" x14ac:dyDescent="0.25">
      <c r="A655" s="7">
        <v>0.26012872973231554</v>
      </c>
      <c r="B655"/>
      <c r="C655"/>
      <c r="D655"/>
      <c r="E655"/>
    </row>
    <row r="656" spans="1:111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90" operator="equal">
      <formula>$U$1</formula>
    </cfRule>
    <cfRule type="cellIs" dxfId="89" priority="991" operator="equal">
      <formula>$S$1</formula>
    </cfRule>
  </conditionalFormatting>
  <conditionalFormatting sqref="D27">
    <cfRule type="cellIs" dxfId="88" priority="988" operator="equal">
      <formula>$S$1</formula>
    </cfRule>
    <cfRule type="cellIs" dxfId="87" priority="989" operator="equal">
      <formula>$U$1</formula>
    </cfRule>
  </conditionalFormatting>
  <conditionalFormatting sqref="C164">
    <cfRule type="cellIs" dxfId="86" priority="986" operator="equal">
      <formula>$U$1</formula>
    </cfRule>
    <cfRule type="cellIs" dxfId="85" priority="987" operator="equal">
      <formula>$S$1</formula>
    </cfRule>
  </conditionalFormatting>
  <conditionalFormatting sqref="D164">
    <cfRule type="cellIs" dxfId="84" priority="984" operator="equal">
      <formula>$S$1</formula>
    </cfRule>
    <cfRule type="cellIs" dxfId="83" priority="985" operator="equal">
      <formula>$U$1</formula>
    </cfRule>
  </conditionalFormatting>
  <conditionalFormatting sqref="C55">
    <cfRule type="cellIs" dxfId="82" priority="982" operator="equal">
      <formula>$U$1</formula>
    </cfRule>
    <cfRule type="cellIs" dxfId="81" priority="983" operator="equal">
      <formula>$S$1</formula>
    </cfRule>
  </conditionalFormatting>
  <conditionalFormatting sqref="D55">
    <cfRule type="cellIs" dxfId="80" priority="980" operator="equal">
      <formula>$S$1</formula>
    </cfRule>
    <cfRule type="cellIs" dxfId="79" priority="981" operator="equal">
      <formula>$U$1</formula>
    </cfRule>
  </conditionalFormatting>
  <conditionalFormatting sqref="C89">
    <cfRule type="cellIs" dxfId="78" priority="978" operator="equal">
      <formula>$U$1</formula>
    </cfRule>
    <cfRule type="cellIs" dxfId="77" priority="979" operator="equal">
      <formula>$S$1</formula>
    </cfRule>
  </conditionalFormatting>
  <conditionalFormatting sqref="D89">
    <cfRule type="cellIs" dxfId="76" priority="976" operator="equal">
      <formula>$S$1</formula>
    </cfRule>
    <cfRule type="cellIs" dxfId="75" priority="977" operator="equal">
      <formula>$U$1</formula>
    </cfRule>
  </conditionalFormatting>
  <conditionalFormatting sqref="C136">
    <cfRule type="cellIs" dxfId="74" priority="974" operator="equal">
      <formula>$U$1</formula>
    </cfRule>
    <cfRule type="cellIs" dxfId="73" priority="975" operator="equal">
      <formula>$S$1</formula>
    </cfRule>
  </conditionalFormatting>
  <conditionalFormatting sqref="D136">
    <cfRule type="cellIs" dxfId="72" priority="972" operator="equal">
      <formula>$S$1</formula>
    </cfRule>
    <cfRule type="cellIs" dxfId="71" priority="973" operator="equal">
      <formula>$U$1</formula>
    </cfRule>
  </conditionalFormatting>
  <conditionalFormatting sqref="C1">
    <cfRule type="cellIs" dxfId="70" priority="9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V252" sqref="FV2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$A$251</v>
      </c>
      <c r="D111" s="1" t="str">
        <f>ADDRESS(C121-1,D121,1,1)</f>
        <v>$FV$251</v>
      </c>
      <c r="E111"/>
    </row>
    <row r="112" spans="1:5" x14ac:dyDescent="0.25">
      <c r="A112" s="30">
        <v>515.50191262726139</v>
      </c>
      <c r="C112" s="1" t="str">
        <f>ADDRESS(C121,1,1,1)</f>
        <v>$A$252</v>
      </c>
      <c r="D112" s="1" t="str">
        <f>ADDRESS(C121,D121-1,1,1)</f>
        <v>$FU$252</v>
      </c>
      <c r="E112"/>
    </row>
    <row r="113" spans="1:5" x14ac:dyDescent="0.25">
      <c r="A113" s="30">
        <v>490.95420250215363</v>
      </c>
      <c r="C113" s="1" t="str">
        <f>ADDRESS(C121+1,1,1,1)</f>
        <v>$A$253</v>
      </c>
      <c r="D113" s="1" t="str">
        <f>ADDRESS(C121-1,D121+1,1,1)</f>
        <v>$FW$251</v>
      </c>
    </row>
    <row r="114" spans="1:5" x14ac:dyDescent="0.25">
      <c r="A114" s="30">
        <v>467.57543095443202</v>
      </c>
      <c r="C114" s="1" t="str">
        <f>ADDRESS(C121,D121,1,1)</f>
        <v>$FV$252</v>
      </c>
      <c r="D114" s="1" t="str">
        <f>ADDRESS(C121+1,D121+1,1,1)</f>
        <v>$FW$253</v>
      </c>
    </row>
    <row r="115" spans="1:5" x14ac:dyDescent="0.25">
      <c r="A115" s="30">
        <v>445.30993424231622</v>
      </c>
      <c r="C115" s="1" t="str">
        <f>ADDRESS(C121+1,D121,1,1)</f>
        <v>$FV$253</v>
      </c>
    </row>
    <row r="116" spans="1:5" x14ac:dyDescent="0.25">
      <c r="A116" s="30">
        <v>424.10469927839637</v>
      </c>
      <c r="C116" s="1">
        <f>C117-1</f>
        <v>251</v>
      </c>
    </row>
    <row r="117" spans="1:5" x14ac:dyDescent="0.25">
      <c r="A117" s="30">
        <v>403.9092374079965</v>
      </c>
      <c r="C117" s="1">
        <f>C121</f>
        <v>252</v>
      </c>
      <c r="D117" s="1">
        <f>D121</f>
        <v>178</v>
      </c>
    </row>
    <row r="118" spans="1:5" x14ac:dyDescent="0.25">
      <c r="A118" s="30">
        <v>384.6754641980919</v>
      </c>
      <c r="C118" s="1">
        <f>C117+1</f>
        <v>253</v>
      </c>
      <c r="D118" s="1">
        <f>D117+1</f>
        <v>179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252</v>
      </c>
      <c r="D121" s="19">
        <v>178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R252</v>
      </c>
      <c r="D123" s="1" t="str">
        <f>"C"&amp;D121</f>
        <v>C178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0.55683741817755672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62" x14ac:dyDescent="0.25">
      <c r="A193" s="30">
        <v>9.9059710923258422</v>
      </c>
      <c r="E193"/>
    </row>
    <row r="194" spans="1:62" x14ac:dyDescent="0.25">
      <c r="A194" s="30">
        <v>9.4342581831674686</v>
      </c>
      <c r="E194"/>
    </row>
    <row r="195" spans="1:62" x14ac:dyDescent="0.25">
      <c r="A195" s="30">
        <v>8.9850077934928265</v>
      </c>
      <c r="E195"/>
    </row>
    <row r="196" spans="1:62" x14ac:dyDescent="0.25">
      <c r="A196" s="30">
        <v>8.5571502795169767</v>
      </c>
      <c r="E196"/>
    </row>
    <row r="197" spans="1:62" x14ac:dyDescent="0.25">
      <c r="A197" s="30">
        <v>8.1496669328733109</v>
      </c>
      <c r="E197"/>
    </row>
    <row r="198" spans="1:62" x14ac:dyDescent="0.25">
      <c r="A198" s="30">
        <v>7.7615875551174378</v>
      </c>
      <c r="E198"/>
    </row>
    <row r="199" spans="1:62" x14ac:dyDescent="0.25">
      <c r="A199" s="30">
        <v>7.3919881477308929</v>
      </c>
      <c r="E199"/>
    </row>
    <row r="200" spans="1:62" x14ac:dyDescent="0.25">
      <c r="A200" s="30">
        <v>7.0399887121246598</v>
      </c>
      <c r="E200"/>
    </row>
    <row r="201" spans="1:62" x14ac:dyDescent="0.25">
      <c r="A201" s="30">
        <v>6.7047511544044376</v>
      </c>
      <c r="E201"/>
    </row>
    <row r="202" spans="1:62" x14ac:dyDescent="0.25">
      <c r="A202" s="30">
        <v>6.3854772899089882</v>
      </c>
      <c r="E202"/>
      <c r="BI202" s="27" t="s">
        <v>8</v>
      </c>
    </row>
    <row r="203" spans="1:62" x14ac:dyDescent="0.25">
      <c r="A203" s="30">
        <v>6.0814069427704647</v>
      </c>
      <c r="C203" s="7"/>
      <c r="D203"/>
      <c r="E203"/>
      <c r="BI203" s="27" t="s">
        <v>8</v>
      </c>
      <c r="BJ203" s="27" t="s">
        <v>7</v>
      </c>
    </row>
    <row r="204" spans="1:62" x14ac:dyDescent="0.25">
      <c r="A204" s="30">
        <v>5.7918161359718709</v>
      </c>
      <c r="E204"/>
      <c r="BI204" s="27" t="s">
        <v>8</v>
      </c>
      <c r="BJ204" s="27" t="s">
        <v>7</v>
      </c>
    </row>
    <row r="205" spans="1:62" x14ac:dyDescent="0.25">
      <c r="A205" s="30">
        <v>5.5160153675922574</v>
      </c>
      <c r="E205"/>
      <c r="BI205" s="27" t="s">
        <v>8</v>
      </c>
      <c r="BJ205" s="27" t="s">
        <v>7</v>
      </c>
    </row>
    <row r="206" spans="1:62" x14ac:dyDescent="0.25">
      <c r="A206" s="30">
        <v>5.2533479691354827</v>
      </c>
      <c r="C206"/>
      <c r="D206"/>
      <c r="E206"/>
      <c r="BI206" s="27" t="s">
        <v>8</v>
      </c>
      <c r="BJ206" s="27" t="s">
        <v>7</v>
      </c>
    </row>
    <row r="207" spans="1:62" x14ac:dyDescent="0.25">
      <c r="A207" s="30">
        <v>5.0031885420337927</v>
      </c>
      <c r="E207"/>
      <c r="BI207" s="27" t="s">
        <v>8</v>
      </c>
      <c r="BJ207" s="27" t="s">
        <v>7</v>
      </c>
    </row>
    <row r="208" spans="1:62" x14ac:dyDescent="0.25">
      <c r="A208" s="30">
        <v>4.7649414686036122</v>
      </c>
      <c r="E208"/>
      <c r="BI208" s="27" t="s">
        <v>8</v>
      </c>
      <c r="BJ208" s="27" t="s">
        <v>7</v>
      </c>
    </row>
    <row r="209" spans="1:100" x14ac:dyDescent="0.25">
      <c r="A209" s="30">
        <v>4.5380394939082018</v>
      </c>
      <c r="E209"/>
      <c r="BI209" s="27" t="s">
        <v>8</v>
      </c>
      <c r="BJ209" s="27" t="s">
        <v>7</v>
      </c>
    </row>
    <row r="210" spans="1:100" x14ac:dyDescent="0.25">
      <c r="A210" s="30">
        <v>4.3219423751506678</v>
      </c>
      <c r="C210"/>
      <c r="E210"/>
      <c r="BI210" s="27" t="s">
        <v>8</v>
      </c>
      <c r="BJ210" s="27" t="s">
        <v>7</v>
      </c>
    </row>
    <row r="211" spans="1:100" x14ac:dyDescent="0.25">
      <c r="A211" s="30">
        <v>4.1161355953815884</v>
      </c>
      <c r="E211"/>
      <c r="BI211" s="27" t="s">
        <v>8</v>
      </c>
      <c r="BJ211" s="27" t="s">
        <v>7</v>
      </c>
    </row>
    <row r="212" spans="1:100" x14ac:dyDescent="0.25">
      <c r="A212" s="30">
        <v>3.9201291384586554</v>
      </c>
      <c r="E212"/>
      <c r="BI212" s="27" t="s">
        <v>8</v>
      </c>
      <c r="BJ212" s="27" t="s">
        <v>7</v>
      </c>
    </row>
    <row r="213" spans="1:100" x14ac:dyDescent="0.25">
      <c r="A213" s="30">
        <v>3.7334563223415764</v>
      </c>
      <c r="E213"/>
      <c r="BI213" s="27" t="s">
        <v>8</v>
      </c>
      <c r="BJ213" s="27" t="s">
        <v>7</v>
      </c>
    </row>
    <row r="214" spans="1:100" x14ac:dyDescent="0.25">
      <c r="A214" s="30">
        <v>3.5556726879443583</v>
      </c>
      <c r="E214"/>
      <c r="BI214" s="27" t="s">
        <v>8</v>
      </c>
      <c r="BJ214" s="27" t="s">
        <v>7</v>
      </c>
      <c r="CS214" s="27" t="s">
        <v>8</v>
      </c>
    </row>
    <row r="215" spans="1:100" x14ac:dyDescent="0.25">
      <c r="A215" s="30">
        <v>3.3863549408993889</v>
      </c>
      <c r="E215"/>
      <c r="BI215" s="27" t="s">
        <v>8</v>
      </c>
      <c r="BJ215" s="27" t="s">
        <v>7</v>
      </c>
      <c r="CI215" s="27" t="s">
        <v>8</v>
      </c>
      <c r="CS215" s="27" t="s">
        <v>8</v>
      </c>
      <c r="CT215" s="27" t="s">
        <v>7</v>
      </c>
    </row>
    <row r="216" spans="1:100" x14ac:dyDescent="0.25">
      <c r="A216" s="30">
        <v>3.2250999437137038</v>
      </c>
      <c r="E216"/>
      <c r="BI216" s="27" t="s">
        <v>8</v>
      </c>
      <c r="BJ216" s="27" t="s">
        <v>7</v>
      </c>
      <c r="CI216" s="27" t="s">
        <v>8</v>
      </c>
      <c r="CJ216" s="27" t="s">
        <v>7</v>
      </c>
      <c r="CS216" s="27" t="s">
        <v>8</v>
      </c>
      <c r="CT216" s="27" t="s">
        <v>7</v>
      </c>
    </row>
    <row r="217" spans="1:100" x14ac:dyDescent="0.25">
      <c r="A217" s="30">
        <v>3.0715237559178128</v>
      </c>
      <c r="E217"/>
      <c r="BI217" s="27" t="s">
        <v>8</v>
      </c>
      <c r="BJ217" s="27" t="s">
        <v>7</v>
      </c>
      <c r="CI217" s="27" t="s">
        <v>8</v>
      </c>
      <c r="CJ217" s="27" t="s">
        <v>7</v>
      </c>
      <c r="CS217" s="27" t="s">
        <v>8</v>
      </c>
      <c r="CT217" s="27" t="s">
        <v>7</v>
      </c>
    </row>
    <row r="218" spans="1:100" x14ac:dyDescent="0.25">
      <c r="A218" s="30">
        <v>2.9252607199217264</v>
      </c>
      <c r="E218"/>
      <c r="BI218" s="27" t="s">
        <v>8</v>
      </c>
      <c r="BJ218" s="27" t="s">
        <v>7</v>
      </c>
      <c r="CI218" s="27" t="s">
        <v>8</v>
      </c>
      <c r="CJ218" s="27" t="s">
        <v>7</v>
      </c>
      <c r="CS218" s="27" t="s">
        <v>8</v>
      </c>
      <c r="CT218" s="27" t="s">
        <v>7</v>
      </c>
      <c r="CU218" s="27" t="s">
        <v>8</v>
      </c>
    </row>
    <row r="219" spans="1:100" x14ac:dyDescent="0.25">
      <c r="A219" s="30">
        <v>2.7859625904016441</v>
      </c>
      <c r="E219"/>
      <c r="BI219" s="27" t="s">
        <v>8</v>
      </c>
      <c r="BJ219" s="27" t="s">
        <v>7</v>
      </c>
      <c r="CE219" s="27" t="s">
        <v>8</v>
      </c>
      <c r="CI219" s="27" t="s">
        <v>8</v>
      </c>
      <c r="CJ219" s="27" t="s">
        <v>7</v>
      </c>
      <c r="CS219" s="27" t="s">
        <v>8</v>
      </c>
      <c r="CT219" s="27" t="s">
        <v>7</v>
      </c>
      <c r="CU219" s="27" t="s">
        <v>8</v>
      </c>
      <c r="CV219" s="27" t="s">
        <v>7</v>
      </c>
    </row>
    <row r="220" spans="1:100" x14ac:dyDescent="0.25">
      <c r="A220" s="30">
        <v>2.6532977051444226</v>
      </c>
      <c r="E220"/>
      <c r="BI220" s="27" t="s">
        <v>8</v>
      </c>
      <c r="BJ220" s="27" t="s">
        <v>7</v>
      </c>
      <c r="CE220" s="27" t="s">
        <v>8</v>
      </c>
      <c r="CF220" s="27" t="s">
        <v>7</v>
      </c>
      <c r="CG220" s="27" t="s">
        <v>8</v>
      </c>
      <c r="CI220" s="27" t="s">
        <v>8</v>
      </c>
      <c r="CJ220" s="27" t="s">
        <v>7</v>
      </c>
      <c r="CS220" s="27" t="s">
        <v>8</v>
      </c>
      <c r="CT220" s="27" t="s">
        <v>7</v>
      </c>
      <c r="CU220" s="27" t="s">
        <v>8</v>
      </c>
      <c r="CV220" s="27" t="s">
        <v>7</v>
      </c>
    </row>
    <row r="221" spans="1:100" x14ac:dyDescent="0.25">
      <c r="A221" s="30">
        <v>2.5269501953756404</v>
      </c>
      <c r="E221"/>
      <c r="BI221" s="27" t="s">
        <v>8</v>
      </c>
      <c r="BJ221" s="27" t="s">
        <v>7</v>
      </c>
      <c r="BO221" s="27" t="s">
        <v>8</v>
      </c>
      <c r="CE221" s="27" t="s">
        <v>8</v>
      </c>
      <c r="CF221" s="27" t="s">
        <v>7</v>
      </c>
      <c r="CG221" s="27" t="s">
        <v>8</v>
      </c>
      <c r="CH221" s="27" t="s">
        <v>7</v>
      </c>
      <c r="CI221" s="27" t="s">
        <v>8</v>
      </c>
      <c r="CJ221" s="27" t="s">
        <v>7</v>
      </c>
      <c r="CS221" s="27" t="s">
        <v>8</v>
      </c>
      <c r="CT221" s="27" t="s">
        <v>7</v>
      </c>
      <c r="CU221" s="27" t="s">
        <v>8</v>
      </c>
      <c r="CV221" s="27" t="s">
        <v>7</v>
      </c>
    </row>
    <row r="222" spans="1:100" x14ac:dyDescent="0.25">
      <c r="A222" s="30">
        <v>2.4066192336910861</v>
      </c>
      <c r="E222"/>
      <c r="BI222" s="27" t="s">
        <v>8</v>
      </c>
      <c r="BJ222" s="27" t="s">
        <v>7</v>
      </c>
      <c r="BM222" s="27" t="s">
        <v>8</v>
      </c>
      <c r="BO222" s="27" t="s">
        <v>8</v>
      </c>
      <c r="BP222" s="27" t="s">
        <v>7</v>
      </c>
      <c r="BY222" s="27" t="s">
        <v>8</v>
      </c>
      <c r="CC222" s="27" t="s">
        <v>8</v>
      </c>
      <c r="CE222" s="27" t="s">
        <v>8</v>
      </c>
      <c r="CF222" s="27" t="s">
        <v>7</v>
      </c>
      <c r="CG222" s="27" t="s">
        <v>8</v>
      </c>
      <c r="CH222" s="27" t="s">
        <v>7</v>
      </c>
      <c r="CI222" s="27" t="s">
        <v>8</v>
      </c>
      <c r="CJ222" s="27" t="s">
        <v>7</v>
      </c>
      <c r="CK222" s="27" t="s">
        <v>8</v>
      </c>
      <c r="CS222" s="27" t="s">
        <v>8</v>
      </c>
      <c r="CT222" s="27" t="s">
        <v>7</v>
      </c>
      <c r="CU222" s="27" t="s">
        <v>8</v>
      </c>
      <c r="CV222" s="27" t="s">
        <v>7</v>
      </c>
    </row>
    <row r="223" spans="1:100" x14ac:dyDescent="0.25">
      <c r="A223" s="30">
        <v>2.2920183178010345</v>
      </c>
      <c r="E223"/>
      <c r="BI223" s="27" t="s">
        <v>8</v>
      </c>
      <c r="BJ223" s="27" t="s">
        <v>7</v>
      </c>
      <c r="BM223" s="27" t="s">
        <v>8</v>
      </c>
      <c r="BN223" s="27" t="s">
        <v>7</v>
      </c>
      <c r="BO223" s="27" t="s">
        <v>8</v>
      </c>
      <c r="BP223" s="27" t="s">
        <v>7</v>
      </c>
      <c r="BY223" s="27" t="s">
        <v>8</v>
      </c>
      <c r="BZ223" s="27" t="s">
        <v>7</v>
      </c>
      <c r="CC223" s="27" t="s">
        <v>8</v>
      </c>
      <c r="CD223" s="27" t="s">
        <v>7</v>
      </c>
      <c r="CE223" s="27" t="s">
        <v>8</v>
      </c>
      <c r="CF223" s="27" t="s">
        <v>7</v>
      </c>
      <c r="CG223" s="27" t="s">
        <v>8</v>
      </c>
      <c r="CH223" s="27" t="s">
        <v>7</v>
      </c>
      <c r="CJ223" s="27" t="s">
        <v>7</v>
      </c>
      <c r="CK223" s="27" t="s">
        <v>8</v>
      </c>
      <c r="CL223" s="27" t="s">
        <v>7</v>
      </c>
      <c r="CS223" s="27" t="s">
        <v>8</v>
      </c>
      <c r="CT223" s="27" t="s">
        <v>7</v>
      </c>
      <c r="CV223" s="27" t="s">
        <v>7</v>
      </c>
    </row>
    <row r="224" spans="1:100" x14ac:dyDescent="0.25">
      <c r="A224" s="30">
        <v>2.1828745883819374</v>
      </c>
      <c r="E224"/>
      <c r="BI224" s="27" t="s">
        <v>8</v>
      </c>
      <c r="BJ224" s="27" t="s">
        <v>7</v>
      </c>
      <c r="BM224" s="27" t="s">
        <v>8</v>
      </c>
      <c r="BN224" s="27" t="s">
        <v>7</v>
      </c>
      <c r="BO224" s="27" t="s">
        <v>8</v>
      </c>
      <c r="BP224" s="27" t="s">
        <v>7</v>
      </c>
      <c r="BY224" s="27" t="s">
        <v>8</v>
      </c>
      <c r="BZ224" s="27" t="s">
        <v>7</v>
      </c>
      <c r="CA224" s="27" t="s">
        <v>8</v>
      </c>
      <c r="CC224" s="27" t="s">
        <v>8</v>
      </c>
      <c r="CD224" s="27" t="s">
        <v>7</v>
      </c>
      <c r="CE224" s="27" t="s">
        <v>8</v>
      </c>
      <c r="CF224" s="27" t="s">
        <v>7</v>
      </c>
      <c r="CG224" s="27" t="s">
        <v>8</v>
      </c>
      <c r="CJ224" s="27" t="s">
        <v>7</v>
      </c>
      <c r="CK224" s="27" t="s">
        <v>8</v>
      </c>
      <c r="CL224" s="27" t="s">
        <v>7</v>
      </c>
      <c r="CS224" s="27" t="s">
        <v>8</v>
      </c>
      <c r="CV224" s="27" t="s">
        <v>7</v>
      </c>
    </row>
    <row r="225" spans="1:174" x14ac:dyDescent="0.25">
      <c r="A225" s="30">
        <v>2.0789281794113688</v>
      </c>
      <c r="E225"/>
      <c r="BI225" s="27" t="s">
        <v>8</v>
      </c>
      <c r="BJ225" s="27" t="s">
        <v>7</v>
      </c>
      <c r="BM225" s="27" t="s">
        <v>8</v>
      </c>
      <c r="BN225" s="27" t="s">
        <v>7</v>
      </c>
      <c r="BO225" s="27" t="s">
        <v>8</v>
      </c>
      <c r="BP225" s="27" t="s">
        <v>7</v>
      </c>
      <c r="BQ225" s="27" t="s">
        <v>8</v>
      </c>
      <c r="BY225" s="27" t="s">
        <v>8</v>
      </c>
      <c r="BZ225" s="27" t="s">
        <v>7</v>
      </c>
      <c r="CA225" s="27" t="s">
        <v>8</v>
      </c>
      <c r="CB225" s="27" t="s">
        <v>7</v>
      </c>
      <c r="CC225" s="27" t="s">
        <v>8</v>
      </c>
      <c r="CD225" s="27" t="s">
        <v>7</v>
      </c>
      <c r="CE225" s="27" t="s">
        <v>8</v>
      </c>
      <c r="CF225" s="27" t="s">
        <v>7</v>
      </c>
      <c r="CG225" s="27" t="s">
        <v>8</v>
      </c>
      <c r="CJ225" s="27" t="s">
        <v>7</v>
      </c>
      <c r="CL225" s="27" t="s">
        <v>7</v>
      </c>
      <c r="CQ225" s="27" t="s">
        <v>8</v>
      </c>
      <c r="CS225" s="27" t="s">
        <v>8</v>
      </c>
      <c r="CV225" s="27" t="s">
        <v>7</v>
      </c>
    </row>
    <row r="226" spans="1:174" x14ac:dyDescent="0.25">
      <c r="A226" s="30">
        <v>1.9799315994393987</v>
      </c>
      <c r="E226"/>
      <c r="BI226" s="27" t="s">
        <v>8</v>
      </c>
      <c r="BJ226" s="27" t="s">
        <v>7</v>
      </c>
      <c r="BM226" s="27" t="s">
        <v>8</v>
      </c>
      <c r="BN226" s="27" t="s">
        <v>7</v>
      </c>
      <c r="BO226" s="27" t="s">
        <v>8</v>
      </c>
      <c r="BP226" s="27" t="s">
        <v>7</v>
      </c>
      <c r="BQ226" s="27" t="s">
        <v>8</v>
      </c>
      <c r="BR226" s="27" t="s">
        <v>7</v>
      </c>
      <c r="BY226" s="27" t="s">
        <v>8</v>
      </c>
      <c r="BZ226" s="27" t="s">
        <v>7</v>
      </c>
      <c r="CA226" s="27" t="s">
        <v>8</v>
      </c>
      <c r="CB226" s="27" t="s">
        <v>7</v>
      </c>
      <c r="CC226" s="27" t="s">
        <v>8</v>
      </c>
      <c r="CD226" s="27" t="s">
        <v>7</v>
      </c>
      <c r="CF226" s="27" t="s">
        <v>7</v>
      </c>
      <c r="CG226" s="27" t="s">
        <v>8</v>
      </c>
      <c r="CL226" s="27" t="s">
        <v>7</v>
      </c>
      <c r="CO226" s="27" t="s">
        <v>8</v>
      </c>
      <c r="CQ226" s="27" t="s">
        <v>8</v>
      </c>
      <c r="CR226" s="27" t="s">
        <v>7</v>
      </c>
      <c r="CS226" s="27" t="s">
        <v>8</v>
      </c>
      <c r="CV226" s="27" t="s">
        <v>7</v>
      </c>
      <c r="CW226" s="27" t="s">
        <v>8</v>
      </c>
    </row>
    <row r="227" spans="1:174" x14ac:dyDescent="0.25">
      <c r="A227" s="30">
        <v>1.8856491423232367</v>
      </c>
      <c r="E227"/>
      <c r="BI227" s="27" t="s">
        <v>8</v>
      </c>
      <c r="BJ227" s="27" t="s">
        <v>7</v>
      </c>
      <c r="BM227" s="27" t="s">
        <v>8</v>
      </c>
      <c r="BN227" s="27" t="s">
        <v>7</v>
      </c>
      <c r="BO227" s="27" t="s">
        <v>8</v>
      </c>
      <c r="BP227" s="27" t="s">
        <v>7</v>
      </c>
      <c r="BQ227" s="27" t="s">
        <v>8</v>
      </c>
      <c r="BR227" s="27" t="s">
        <v>7</v>
      </c>
      <c r="BY227" s="27" t="s">
        <v>8</v>
      </c>
      <c r="BZ227" s="27" t="s">
        <v>7</v>
      </c>
      <c r="CA227" s="27" t="s">
        <v>8</v>
      </c>
      <c r="CB227" s="27" t="s">
        <v>7</v>
      </c>
      <c r="CF227" s="27" t="s">
        <v>7</v>
      </c>
      <c r="CL227" s="27" t="s">
        <v>7</v>
      </c>
      <c r="CM227" s="27" t="s">
        <v>8</v>
      </c>
      <c r="CO227" s="27" t="s">
        <v>8</v>
      </c>
      <c r="CP227" s="27" t="s">
        <v>7</v>
      </c>
      <c r="CQ227" s="27" t="s">
        <v>8</v>
      </c>
      <c r="CR227" s="27" t="s">
        <v>7</v>
      </c>
      <c r="CS227" s="27" t="s">
        <v>8</v>
      </c>
      <c r="CV227" s="27" t="s">
        <v>7</v>
      </c>
      <c r="CW227" s="27" t="s">
        <v>8</v>
      </c>
      <c r="CX227" s="27" t="s">
        <v>7</v>
      </c>
    </row>
    <row r="228" spans="1:174" x14ac:dyDescent="0.25">
      <c r="A228" s="30">
        <v>1.7958563260221301</v>
      </c>
      <c r="C228" s="7"/>
      <c r="D228"/>
      <c r="E228"/>
      <c r="BI228" s="27" t="s">
        <v>8</v>
      </c>
      <c r="BJ228" s="27" t="s">
        <v>7</v>
      </c>
      <c r="BM228" s="27" t="s">
        <v>8</v>
      </c>
      <c r="BN228" s="27" t="s">
        <v>7</v>
      </c>
      <c r="BO228" s="27" t="s">
        <v>8</v>
      </c>
      <c r="BP228" s="27" t="s">
        <v>7</v>
      </c>
      <c r="BR228" s="27" t="s">
        <v>7</v>
      </c>
      <c r="BY228" s="27" t="s">
        <v>8</v>
      </c>
      <c r="BZ228" s="27" t="s">
        <v>7</v>
      </c>
      <c r="CL228" s="27" t="s">
        <v>7</v>
      </c>
      <c r="CM228" s="27" t="s">
        <v>8</v>
      </c>
      <c r="CN228" s="27" t="s">
        <v>7</v>
      </c>
      <c r="CO228" s="27" t="s">
        <v>8</v>
      </c>
      <c r="CP228" s="27" t="s">
        <v>7</v>
      </c>
      <c r="CQ228" s="27" t="s">
        <v>8</v>
      </c>
      <c r="CR228" s="27" t="s">
        <v>7</v>
      </c>
      <c r="CS228" s="27" t="s">
        <v>8</v>
      </c>
      <c r="CV228" s="27" t="s">
        <v>7</v>
      </c>
      <c r="CW228" s="27" t="s">
        <v>8</v>
      </c>
      <c r="CX228" s="27" t="s">
        <v>7</v>
      </c>
      <c r="CY228" s="27" t="s">
        <v>8</v>
      </c>
      <c r="EI228" s="27" t="s">
        <v>8</v>
      </c>
      <c r="FG228" s="27" t="s">
        <v>8</v>
      </c>
    </row>
    <row r="229" spans="1:174" x14ac:dyDescent="0.25">
      <c r="A229" s="30">
        <v>1.7103393581163142</v>
      </c>
      <c r="E229"/>
      <c r="BI229" s="27" t="s">
        <v>8</v>
      </c>
      <c r="BJ229" s="27" t="s">
        <v>7</v>
      </c>
      <c r="BM229" s="27" t="s">
        <v>8</v>
      </c>
      <c r="BN229" s="27" t="s">
        <v>7</v>
      </c>
      <c r="BO229" s="27" t="s">
        <v>8</v>
      </c>
      <c r="BR229" s="27" t="s">
        <v>7</v>
      </c>
      <c r="BY229" s="27" t="s">
        <v>8</v>
      </c>
      <c r="CL229" s="27" t="s">
        <v>7</v>
      </c>
      <c r="CM229" s="27" t="s">
        <v>8</v>
      </c>
      <c r="CN229" s="27" t="s">
        <v>7</v>
      </c>
      <c r="CO229" s="27" t="s">
        <v>8</v>
      </c>
      <c r="CP229" s="27" t="s">
        <v>7</v>
      </c>
      <c r="CQ229" s="27" t="s">
        <v>8</v>
      </c>
      <c r="CR229" s="27" t="s">
        <v>7</v>
      </c>
      <c r="CV229" s="27" t="s">
        <v>7</v>
      </c>
      <c r="CX229" s="27" t="s">
        <v>7</v>
      </c>
      <c r="CY229" s="27" t="s">
        <v>8</v>
      </c>
      <c r="CZ229" s="27" t="s">
        <v>7</v>
      </c>
      <c r="EI229" s="27" t="s">
        <v>8</v>
      </c>
      <c r="EJ229" s="27" t="s">
        <v>7</v>
      </c>
      <c r="FG229" s="27" t="s">
        <v>8</v>
      </c>
      <c r="FH229" s="27" t="s">
        <v>7</v>
      </c>
    </row>
    <row r="230" spans="1:174" x14ac:dyDescent="0.25">
      <c r="A230" s="30">
        <v>1.628894626777442</v>
      </c>
      <c r="E230"/>
      <c r="BI230" s="27" t="s">
        <v>8</v>
      </c>
      <c r="BJ230" s="27" t="s">
        <v>7</v>
      </c>
      <c r="BM230" s="27" t="s">
        <v>8</v>
      </c>
      <c r="BN230" s="27" t="s">
        <v>7</v>
      </c>
      <c r="BR230" s="27" t="s">
        <v>7</v>
      </c>
      <c r="BS230" s="27" t="s">
        <v>8</v>
      </c>
      <c r="BY230" s="27" t="s">
        <v>8</v>
      </c>
      <c r="CL230" s="27" t="s">
        <v>7</v>
      </c>
      <c r="CM230" s="27" t="s">
        <v>8</v>
      </c>
      <c r="CN230" s="27" t="s">
        <v>7</v>
      </c>
      <c r="CO230" s="27" t="s">
        <v>8</v>
      </c>
      <c r="CP230" s="27" t="s">
        <v>7</v>
      </c>
      <c r="CX230" s="27" t="s">
        <v>7</v>
      </c>
      <c r="CY230" s="27" t="s">
        <v>8</v>
      </c>
      <c r="CZ230" s="27" t="s">
        <v>7</v>
      </c>
      <c r="EI230" s="27" t="s">
        <v>8</v>
      </c>
      <c r="EJ230" s="27" t="s">
        <v>7</v>
      </c>
      <c r="EY230" s="27" t="s">
        <v>8</v>
      </c>
      <c r="FG230" s="27" t="s">
        <v>8</v>
      </c>
      <c r="FH230" s="27" t="s">
        <v>7</v>
      </c>
    </row>
    <row r="231" spans="1:174" x14ac:dyDescent="0.25">
      <c r="A231" s="30">
        <v>1.5513282159785162</v>
      </c>
      <c r="C231"/>
      <c r="D231"/>
      <c r="E231"/>
      <c r="BI231" s="27" t="s">
        <v>8</v>
      </c>
      <c r="BJ231" s="27" t="s">
        <v>7</v>
      </c>
      <c r="BM231" s="27" t="s">
        <v>8</v>
      </c>
      <c r="BR231" s="27" t="s">
        <v>7</v>
      </c>
      <c r="BS231" s="27" t="s">
        <v>8</v>
      </c>
      <c r="BT231" s="27" t="s">
        <v>7</v>
      </c>
      <c r="BW231" s="27" t="s">
        <v>8</v>
      </c>
      <c r="BY231" s="27" t="s">
        <v>8</v>
      </c>
      <c r="CL231" s="27" t="s">
        <v>7</v>
      </c>
      <c r="CN231" s="27" t="s">
        <v>7</v>
      </c>
      <c r="CO231" s="27" t="s">
        <v>8</v>
      </c>
      <c r="CX231" s="27" t="s">
        <v>7</v>
      </c>
      <c r="CZ231" s="27" t="s">
        <v>7</v>
      </c>
      <c r="EI231" s="27" t="s">
        <v>8</v>
      </c>
      <c r="EJ231" s="27" t="s">
        <v>7</v>
      </c>
      <c r="EY231" s="27" t="s">
        <v>8</v>
      </c>
      <c r="EZ231" s="27" t="s">
        <v>7</v>
      </c>
      <c r="FG231" s="27" t="s">
        <v>8</v>
      </c>
      <c r="FH231" s="27" t="s">
        <v>7</v>
      </c>
    </row>
    <row r="232" spans="1:174" x14ac:dyDescent="0.25">
      <c r="A232" s="30">
        <v>1.477455443789063</v>
      </c>
      <c r="E232"/>
      <c r="BI232" s="27" t="s">
        <v>8</v>
      </c>
      <c r="BJ232" s="27" t="s">
        <v>7</v>
      </c>
      <c r="BM232" s="27" t="s">
        <v>8</v>
      </c>
      <c r="BR232" s="27" t="s">
        <v>7</v>
      </c>
      <c r="BS232" s="27" t="s">
        <v>8</v>
      </c>
      <c r="BT232" s="27" t="s">
        <v>7</v>
      </c>
      <c r="BW232" s="27" t="s">
        <v>8</v>
      </c>
      <c r="BX232" s="27" t="s">
        <v>7</v>
      </c>
      <c r="BY232" s="27" t="s">
        <v>8</v>
      </c>
      <c r="CN232" s="27" t="s">
        <v>7</v>
      </c>
      <c r="CO232" s="27" t="s">
        <v>8</v>
      </c>
      <c r="CZ232" s="27" t="s">
        <v>7</v>
      </c>
      <c r="EI232" s="27" t="s">
        <v>8</v>
      </c>
      <c r="EJ232" s="27" t="s">
        <v>7</v>
      </c>
      <c r="EY232" s="27" t="s">
        <v>8</v>
      </c>
      <c r="EZ232" s="27" t="s">
        <v>7</v>
      </c>
      <c r="FG232" s="27" t="s">
        <v>8</v>
      </c>
      <c r="FH232" s="27" t="s">
        <v>7</v>
      </c>
    </row>
    <row r="233" spans="1:174" x14ac:dyDescent="0.25">
      <c r="A233" s="30">
        <v>1.4071004226562505</v>
      </c>
      <c r="E233"/>
      <c r="BI233" s="27" t="s">
        <v>8</v>
      </c>
      <c r="BJ233" s="27" t="s">
        <v>7</v>
      </c>
      <c r="BM233" s="27" t="s">
        <v>8</v>
      </c>
      <c r="BR233" s="27" t="s">
        <v>7</v>
      </c>
      <c r="BS233" s="27" t="s">
        <v>8</v>
      </c>
      <c r="BT233" s="27" t="s">
        <v>7</v>
      </c>
      <c r="BU233" s="27" t="s">
        <v>8</v>
      </c>
      <c r="BW233" s="27" t="s">
        <v>8</v>
      </c>
      <c r="BX233" s="27" t="s">
        <v>7</v>
      </c>
      <c r="BY233" s="27" t="s">
        <v>8</v>
      </c>
      <c r="CN233" s="27" t="s">
        <v>7</v>
      </c>
      <c r="CO233" s="27" t="s">
        <v>8</v>
      </c>
      <c r="CZ233" s="27" t="s">
        <v>7</v>
      </c>
      <c r="DA233" s="27" t="s">
        <v>8</v>
      </c>
      <c r="EC233" s="27" t="s">
        <v>8</v>
      </c>
      <c r="EI233" s="27" t="s">
        <v>8</v>
      </c>
      <c r="EJ233" s="27" t="s">
        <v>7</v>
      </c>
      <c r="EY233" s="27" t="s">
        <v>8</v>
      </c>
      <c r="EZ233" s="27" t="s">
        <v>7</v>
      </c>
      <c r="FG233" s="27" t="s">
        <v>8</v>
      </c>
      <c r="FH233" s="27" t="s">
        <v>7</v>
      </c>
    </row>
    <row r="234" spans="1:174" x14ac:dyDescent="0.25">
      <c r="A234" s="30">
        <v>1.3400956406250004</v>
      </c>
      <c r="E234"/>
      <c r="K234" s="27" t="s">
        <v>8</v>
      </c>
      <c r="M234" s="27" t="s">
        <v>8</v>
      </c>
      <c r="O234" s="27" t="s">
        <v>8</v>
      </c>
      <c r="BI234" s="27" t="s">
        <v>8</v>
      </c>
      <c r="BJ234" s="27" t="s">
        <v>7</v>
      </c>
      <c r="BM234" s="27" t="s">
        <v>8</v>
      </c>
      <c r="BR234" s="27" t="s">
        <v>7</v>
      </c>
      <c r="BS234" s="27" t="s">
        <v>8</v>
      </c>
      <c r="BT234" s="27" t="s">
        <v>7</v>
      </c>
      <c r="BU234" s="27" t="s">
        <v>8</v>
      </c>
      <c r="BV234" s="27" t="s">
        <v>7</v>
      </c>
      <c r="BW234" s="27" t="s">
        <v>8</v>
      </c>
      <c r="BX234" s="27" t="s">
        <v>7</v>
      </c>
      <c r="BY234" s="27" t="s">
        <v>8</v>
      </c>
      <c r="CN234" s="27" t="s">
        <v>7</v>
      </c>
      <c r="CO234" s="27" t="s">
        <v>8</v>
      </c>
      <c r="CZ234" s="27" t="s">
        <v>7</v>
      </c>
      <c r="DA234" s="27" t="s">
        <v>8</v>
      </c>
      <c r="DB234" s="27" t="s">
        <v>7</v>
      </c>
      <c r="DI234" s="27" t="s">
        <v>8</v>
      </c>
      <c r="EC234" s="27" t="s">
        <v>8</v>
      </c>
      <c r="ED234" s="27" t="s">
        <v>7</v>
      </c>
      <c r="EE234" s="27" t="s">
        <v>8</v>
      </c>
      <c r="EG234" s="27" t="s">
        <v>8</v>
      </c>
      <c r="EI234" s="27" t="s">
        <v>8</v>
      </c>
      <c r="EJ234" s="27" t="s">
        <v>7</v>
      </c>
      <c r="EY234" s="27" t="s">
        <v>8</v>
      </c>
      <c r="EZ234" s="27" t="s">
        <v>7</v>
      </c>
      <c r="FC234" s="27" t="s">
        <v>8</v>
      </c>
      <c r="FG234" s="27" t="s">
        <v>8</v>
      </c>
      <c r="FH234" s="27" t="s">
        <v>7</v>
      </c>
      <c r="FI234" s="27" t="s">
        <v>8</v>
      </c>
    </row>
    <row r="235" spans="1:174" x14ac:dyDescent="0.25">
      <c r="A235" s="30">
        <v>1.2762815625000004</v>
      </c>
      <c r="C235"/>
      <c r="E235"/>
      <c r="I235" s="27" t="s">
        <v>8</v>
      </c>
      <c r="K235" s="27" t="s">
        <v>8</v>
      </c>
      <c r="L235" s="27" t="s">
        <v>7</v>
      </c>
      <c r="M235" s="27" t="s">
        <v>8</v>
      </c>
      <c r="N235" s="27" t="s">
        <v>7</v>
      </c>
      <c r="O235" s="27" t="s">
        <v>8</v>
      </c>
      <c r="P235" s="27" t="s">
        <v>7</v>
      </c>
      <c r="BI235" s="27" t="s">
        <v>8</v>
      </c>
      <c r="BJ235" s="27" t="s">
        <v>7</v>
      </c>
      <c r="BM235" s="27" t="s">
        <v>8</v>
      </c>
      <c r="BR235" s="27" t="s">
        <v>7</v>
      </c>
      <c r="BS235" s="27" t="s">
        <v>8</v>
      </c>
      <c r="BT235" s="27" t="s">
        <v>7</v>
      </c>
      <c r="BU235" s="27" t="s">
        <v>8</v>
      </c>
      <c r="BV235" s="27" t="s">
        <v>7</v>
      </c>
      <c r="BW235" s="27" t="s">
        <v>8</v>
      </c>
      <c r="BX235" s="27" t="s">
        <v>7</v>
      </c>
      <c r="CN235" s="27" t="s">
        <v>7</v>
      </c>
      <c r="CO235" s="27" t="s">
        <v>8</v>
      </c>
      <c r="CZ235" s="27" t="s">
        <v>7</v>
      </c>
      <c r="DA235" s="27" t="s">
        <v>8</v>
      </c>
      <c r="DB235" s="27" t="s">
        <v>7</v>
      </c>
      <c r="DI235" s="27" t="s">
        <v>8</v>
      </c>
      <c r="DJ235" s="27" t="s">
        <v>7</v>
      </c>
      <c r="EC235" s="27" t="s">
        <v>8</v>
      </c>
      <c r="ED235" s="27" t="s">
        <v>7</v>
      </c>
      <c r="EE235" s="27" t="s">
        <v>8</v>
      </c>
      <c r="EF235" s="27" t="s">
        <v>7</v>
      </c>
      <c r="EG235" s="27" t="s">
        <v>8</v>
      </c>
      <c r="EH235" s="27" t="s">
        <v>7</v>
      </c>
      <c r="EI235" s="27" t="s">
        <v>8</v>
      </c>
      <c r="EJ235" s="27" t="s">
        <v>7</v>
      </c>
      <c r="EW235" s="27" t="s">
        <v>8</v>
      </c>
      <c r="EY235" s="27" t="s">
        <v>8</v>
      </c>
      <c r="EZ235" s="27" t="s">
        <v>7</v>
      </c>
      <c r="FC235" s="27" t="s">
        <v>8</v>
      </c>
      <c r="FD235" s="27" t="s">
        <v>7</v>
      </c>
      <c r="FE235" s="27" t="s">
        <v>8</v>
      </c>
      <c r="FG235" s="27" t="s">
        <v>8</v>
      </c>
      <c r="FH235" s="27" t="s">
        <v>7</v>
      </c>
      <c r="FI235" s="27" t="s">
        <v>8</v>
      </c>
      <c r="FJ235" s="27" t="s">
        <v>7</v>
      </c>
    </row>
    <row r="236" spans="1:174" x14ac:dyDescent="0.25">
      <c r="A236" s="30">
        <v>1.2155062500000002</v>
      </c>
      <c r="E236"/>
      <c r="I236" s="27" t="s">
        <v>8</v>
      </c>
      <c r="J236" s="27" t="s">
        <v>7</v>
      </c>
      <c r="K236" s="27" t="s">
        <v>8</v>
      </c>
      <c r="L236" s="27" t="s">
        <v>7</v>
      </c>
      <c r="M236" s="27" t="s">
        <v>8</v>
      </c>
      <c r="N236" s="27" t="s">
        <v>7</v>
      </c>
      <c r="O236" s="27" t="s">
        <v>8</v>
      </c>
      <c r="P236" s="27" t="s">
        <v>7</v>
      </c>
      <c r="BI236" s="27" t="s">
        <v>8</v>
      </c>
      <c r="BJ236" s="27" t="s">
        <v>7</v>
      </c>
      <c r="BM236" s="27" t="s">
        <v>8</v>
      </c>
      <c r="BR236" s="27" t="s">
        <v>7</v>
      </c>
      <c r="BS236" s="27" t="s">
        <v>8</v>
      </c>
      <c r="BT236" s="27" t="s">
        <v>7</v>
      </c>
      <c r="BU236" s="27" t="s">
        <v>8</v>
      </c>
      <c r="BV236" s="27" t="s">
        <v>7</v>
      </c>
      <c r="BW236" s="27" t="s">
        <v>8</v>
      </c>
      <c r="CN236" s="27" t="s">
        <v>7</v>
      </c>
      <c r="CZ236" s="27" t="s">
        <v>7</v>
      </c>
      <c r="DA236" s="27" t="s">
        <v>8</v>
      </c>
      <c r="DB236" s="27" t="s">
        <v>7</v>
      </c>
      <c r="DG236" s="27" t="s">
        <v>8</v>
      </c>
      <c r="DI236" s="27" t="s">
        <v>8</v>
      </c>
      <c r="DJ236" s="27" t="s">
        <v>7</v>
      </c>
      <c r="DK236" s="27" t="s">
        <v>8</v>
      </c>
      <c r="DM236" s="27" t="s">
        <v>8</v>
      </c>
      <c r="EC236" s="27" t="s">
        <v>8</v>
      </c>
      <c r="ED236" s="27" t="s">
        <v>7</v>
      </c>
      <c r="EE236" s="27" t="s">
        <v>8</v>
      </c>
      <c r="EF236" s="27" t="s">
        <v>7</v>
      </c>
      <c r="EG236" s="27" t="s">
        <v>8</v>
      </c>
      <c r="EH236" s="27" t="s">
        <v>7</v>
      </c>
      <c r="EI236" s="27" t="s">
        <v>8</v>
      </c>
      <c r="EJ236" s="27" t="s">
        <v>7</v>
      </c>
      <c r="EM236" s="27" t="s">
        <v>8</v>
      </c>
      <c r="EW236" s="27" t="s">
        <v>8</v>
      </c>
      <c r="EX236" s="27" t="s">
        <v>7</v>
      </c>
      <c r="EY236" s="27" t="s">
        <v>8</v>
      </c>
      <c r="EZ236" s="27" t="s">
        <v>7</v>
      </c>
      <c r="FC236" s="27" t="s">
        <v>8</v>
      </c>
      <c r="FD236" s="27" t="s">
        <v>7</v>
      </c>
      <c r="FE236" s="27" t="s">
        <v>8</v>
      </c>
      <c r="FF236" s="27" t="s">
        <v>7</v>
      </c>
      <c r="FG236" s="27" t="s">
        <v>8</v>
      </c>
      <c r="FH236" s="27" t="s">
        <v>7</v>
      </c>
      <c r="FI236" s="27" t="s">
        <v>8</v>
      </c>
      <c r="FJ236" s="27" t="s">
        <v>7</v>
      </c>
      <c r="FM236" s="27" t="s">
        <v>8</v>
      </c>
    </row>
    <row r="237" spans="1:17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I237" s="27" t="s">
        <v>8</v>
      </c>
      <c r="J237" s="27" t="s">
        <v>7</v>
      </c>
      <c r="K237" s="27" t="s">
        <v>8</v>
      </c>
      <c r="L237" s="27" t="s">
        <v>7</v>
      </c>
      <c r="M237" s="27" t="s">
        <v>8</v>
      </c>
      <c r="N237" s="27" t="s">
        <v>7</v>
      </c>
      <c r="P237" s="27" t="s">
        <v>7</v>
      </c>
      <c r="BI237" s="27" t="s">
        <v>8</v>
      </c>
      <c r="BJ237" s="27" t="s">
        <v>7</v>
      </c>
      <c r="BM237" s="27" t="s">
        <v>8</v>
      </c>
      <c r="BR237" s="27" t="s">
        <v>7</v>
      </c>
      <c r="BS237" s="27" t="s">
        <v>8</v>
      </c>
      <c r="BT237" s="27" t="s">
        <v>7</v>
      </c>
      <c r="BV237" s="27" t="s">
        <v>7</v>
      </c>
      <c r="BW237" s="27" t="s">
        <v>8</v>
      </c>
      <c r="CZ237" s="27" t="s">
        <v>7</v>
      </c>
      <c r="DA237" s="27" t="s">
        <v>8</v>
      </c>
      <c r="DB237" s="27" t="s">
        <v>7</v>
      </c>
      <c r="DG237" s="27" t="s">
        <v>8</v>
      </c>
      <c r="DH237" s="27" t="s">
        <v>7</v>
      </c>
      <c r="DI237" s="27" t="s">
        <v>8</v>
      </c>
      <c r="DJ237" s="27" t="s">
        <v>7</v>
      </c>
      <c r="DK237" s="27" t="s">
        <v>8</v>
      </c>
      <c r="DL237" s="27" t="s">
        <v>7</v>
      </c>
      <c r="DM237" s="27" t="s">
        <v>8</v>
      </c>
      <c r="DN237" s="27" t="s">
        <v>7</v>
      </c>
      <c r="DO237" s="27" t="s">
        <v>8</v>
      </c>
      <c r="EC237" s="27" t="s">
        <v>8</v>
      </c>
      <c r="ED237" s="27" t="s">
        <v>7</v>
      </c>
      <c r="EE237" s="27" t="s">
        <v>8</v>
      </c>
      <c r="EF237" s="27" t="s">
        <v>7</v>
      </c>
      <c r="EG237" s="27" t="s">
        <v>8</v>
      </c>
      <c r="EH237" s="27" t="s">
        <v>7</v>
      </c>
      <c r="EJ237" s="27" t="s">
        <v>7</v>
      </c>
      <c r="EK237" s="27" t="s">
        <v>8</v>
      </c>
      <c r="EM237" s="27" t="s">
        <v>8</v>
      </c>
      <c r="EN237" s="27" t="s">
        <v>7</v>
      </c>
      <c r="EU237" s="27" t="s">
        <v>8</v>
      </c>
      <c r="EW237" s="27" t="s">
        <v>8</v>
      </c>
      <c r="EX237" s="27" t="s">
        <v>7</v>
      </c>
      <c r="EY237" s="27" t="s">
        <v>8</v>
      </c>
      <c r="EZ237" s="27" t="s">
        <v>7</v>
      </c>
      <c r="FA237" s="27" t="s">
        <v>8</v>
      </c>
      <c r="FC237" s="27" t="s">
        <v>8</v>
      </c>
      <c r="FD237" s="27" t="s">
        <v>7</v>
      </c>
      <c r="FE237" s="27" t="s">
        <v>8</v>
      </c>
      <c r="FF237" s="27" t="s">
        <v>7</v>
      </c>
      <c r="FG237" s="27" t="s">
        <v>8</v>
      </c>
      <c r="FH237" s="27" t="s">
        <v>7</v>
      </c>
      <c r="FJ237" s="27" t="s">
        <v>7</v>
      </c>
      <c r="FM237" s="27" t="s">
        <v>8</v>
      </c>
      <c r="FN237" s="27" t="s">
        <v>7</v>
      </c>
    </row>
    <row r="238" spans="1:174" x14ac:dyDescent="0.25">
      <c r="A238" s="30">
        <v>1.1025</v>
      </c>
      <c r="E238"/>
      <c r="I238" s="27" t="s">
        <v>8</v>
      </c>
      <c r="J238" s="27" t="s">
        <v>7</v>
      </c>
      <c r="K238" s="27" t="s">
        <v>8</v>
      </c>
      <c r="L238" s="27" t="s">
        <v>7</v>
      </c>
      <c r="M238" s="27" t="s">
        <v>8</v>
      </c>
      <c r="P238" s="27" t="s">
        <v>7</v>
      </c>
      <c r="BI238" s="27" t="s">
        <v>8</v>
      </c>
      <c r="BJ238" s="27" t="s">
        <v>7</v>
      </c>
      <c r="BM238" s="27" t="s">
        <v>8</v>
      </c>
      <c r="BR238" s="27" t="s">
        <v>7</v>
      </c>
      <c r="BS238" s="27" t="s">
        <v>8</v>
      </c>
      <c r="BV238" s="27" t="s">
        <v>7</v>
      </c>
      <c r="CZ238" s="27" t="s">
        <v>7</v>
      </c>
      <c r="DA238" s="27" t="s">
        <v>8</v>
      </c>
      <c r="DB238" s="27" t="s">
        <v>7</v>
      </c>
      <c r="DC238" s="27" t="s">
        <v>8</v>
      </c>
      <c r="DG238" s="27" t="s">
        <v>8</v>
      </c>
      <c r="DH238" s="27" t="s">
        <v>7</v>
      </c>
      <c r="DI238" s="27" t="s">
        <v>8</v>
      </c>
      <c r="DJ238" s="27" t="s">
        <v>7</v>
      </c>
      <c r="DK238" s="27" t="s">
        <v>8</v>
      </c>
      <c r="DL238" s="27" t="s">
        <v>7</v>
      </c>
      <c r="DM238" s="27" t="s">
        <v>8</v>
      </c>
      <c r="DN238" s="27" t="s">
        <v>7</v>
      </c>
      <c r="DO238" s="27" t="s">
        <v>8</v>
      </c>
      <c r="DP238" s="27" t="s">
        <v>7</v>
      </c>
      <c r="DY238" s="27" t="s">
        <v>8</v>
      </c>
      <c r="EC238" s="27" t="s">
        <v>8</v>
      </c>
      <c r="ED238" s="27" t="s">
        <v>7</v>
      </c>
      <c r="EF238" s="27" t="s">
        <v>7</v>
      </c>
      <c r="EG238" s="27" t="s">
        <v>8</v>
      </c>
      <c r="EJ238" s="27" t="s">
        <v>7</v>
      </c>
      <c r="EK238" s="27" t="s">
        <v>8</v>
      </c>
      <c r="EL238" s="27" t="s">
        <v>7</v>
      </c>
      <c r="EM238" s="27" t="s">
        <v>8</v>
      </c>
      <c r="EN238" s="27" t="s">
        <v>7</v>
      </c>
      <c r="EU238" s="27" t="s">
        <v>8</v>
      </c>
      <c r="EV238" s="27" t="s">
        <v>7</v>
      </c>
      <c r="EW238" s="27" t="s">
        <v>8</v>
      </c>
      <c r="EX238" s="27" t="s">
        <v>7</v>
      </c>
      <c r="EZ238" s="27" t="s">
        <v>7</v>
      </c>
      <c r="FA238" s="27" t="s">
        <v>8</v>
      </c>
      <c r="FB238" s="27" t="s">
        <v>7</v>
      </c>
      <c r="FC238" s="27" t="s">
        <v>8</v>
      </c>
      <c r="FD238" s="27" t="s">
        <v>7</v>
      </c>
      <c r="FF238" s="27" t="s">
        <v>7</v>
      </c>
      <c r="FG238" s="27" t="s">
        <v>8</v>
      </c>
      <c r="FJ238" s="27" t="s">
        <v>7</v>
      </c>
      <c r="FK238" s="27" t="s">
        <v>8</v>
      </c>
      <c r="FM238" s="27" t="s">
        <v>8</v>
      </c>
      <c r="FN238" s="27" t="s">
        <v>7</v>
      </c>
    </row>
    <row r="239" spans="1:174" x14ac:dyDescent="0.25">
      <c r="A239" s="30">
        <v>1.05</v>
      </c>
      <c r="E239"/>
      <c r="I239" s="27" t="s">
        <v>8</v>
      </c>
      <c r="J239" s="27" t="s">
        <v>7</v>
      </c>
      <c r="K239" s="27" t="s">
        <v>8</v>
      </c>
      <c r="L239" s="27" t="s">
        <v>7</v>
      </c>
      <c r="P239" s="27" t="s">
        <v>7</v>
      </c>
      <c r="Q239" s="27" t="s">
        <v>8</v>
      </c>
      <c r="BI239" s="27" t="s">
        <v>8</v>
      </c>
      <c r="BJ239" s="27" t="s">
        <v>7</v>
      </c>
      <c r="BM239" s="27" t="s">
        <v>8</v>
      </c>
      <c r="BR239" s="27" t="s">
        <v>7</v>
      </c>
      <c r="BS239" s="27" t="s">
        <v>8</v>
      </c>
      <c r="CZ239" s="27" t="s">
        <v>7</v>
      </c>
      <c r="DA239" s="27" t="s">
        <v>8</v>
      </c>
      <c r="DB239" s="27" t="s">
        <v>7</v>
      </c>
      <c r="DC239" s="27" t="s">
        <v>8</v>
      </c>
      <c r="DD239" s="27" t="s">
        <v>7</v>
      </c>
      <c r="DE239" s="27" t="s">
        <v>8</v>
      </c>
      <c r="DG239" s="27" t="s">
        <v>8</v>
      </c>
      <c r="DH239" s="27" t="s">
        <v>7</v>
      </c>
      <c r="DI239" s="27" t="s">
        <v>8</v>
      </c>
      <c r="DJ239" s="27" t="s">
        <v>7</v>
      </c>
      <c r="DK239" s="27" t="s">
        <v>8</v>
      </c>
      <c r="DL239" s="27" t="s">
        <v>7</v>
      </c>
      <c r="DM239" s="27" t="s">
        <v>8</v>
      </c>
      <c r="DN239" s="27" t="s">
        <v>7</v>
      </c>
      <c r="DO239" s="27" t="s">
        <v>8</v>
      </c>
      <c r="DP239" s="27" t="s">
        <v>7</v>
      </c>
      <c r="DY239" s="27" t="s">
        <v>8</v>
      </c>
      <c r="DZ239" s="27" t="s">
        <v>7</v>
      </c>
      <c r="EA239" s="27" t="s">
        <v>8</v>
      </c>
      <c r="EC239" s="27" t="s">
        <v>8</v>
      </c>
      <c r="EF239" s="27" t="s">
        <v>7</v>
      </c>
      <c r="EJ239" s="27" t="s">
        <v>7</v>
      </c>
      <c r="EK239" s="27" t="s">
        <v>8</v>
      </c>
      <c r="EL239" s="27" t="s">
        <v>7</v>
      </c>
      <c r="EM239" s="27" t="s">
        <v>8</v>
      </c>
      <c r="EN239" s="27" t="s">
        <v>7</v>
      </c>
      <c r="EU239" s="27" t="s">
        <v>8</v>
      </c>
      <c r="EV239" s="27" t="s">
        <v>7</v>
      </c>
      <c r="EW239" s="27" t="s">
        <v>8</v>
      </c>
      <c r="EZ239" s="27" t="s">
        <v>7</v>
      </c>
      <c r="FA239" s="27" t="s">
        <v>8</v>
      </c>
      <c r="FB239" s="27" t="s">
        <v>7</v>
      </c>
      <c r="FC239" s="27" t="s">
        <v>8</v>
      </c>
      <c r="FF239" s="27" t="s">
        <v>7</v>
      </c>
      <c r="FJ239" s="27" t="s">
        <v>7</v>
      </c>
      <c r="FK239" s="27" t="s">
        <v>8</v>
      </c>
      <c r="FL239" s="27" t="s">
        <v>7</v>
      </c>
      <c r="FM239" s="27" t="s">
        <v>8</v>
      </c>
      <c r="FN239" s="27" t="s">
        <v>7</v>
      </c>
      <c r="FO239" s="27" t="s">
        <v>8</v>
      </c>
      <c r="FQ239" s="27" t="s">
        <v>8</v>
      </c>
    </row>
    <row r="240" spans="1:174" x14ac:dyDescent="0.25">
      <c r="A240" s="30">
        <v>1</v>
      </c>
      <c r="E240" s="29" t="s">
        <v>8</v>
      </c>
      <c r="I240" s="27" t="s">
        <v>8</v>
      </c>
      <c r="J240" s="27" t="s">
        <v>7</v>
      </c>
      <c r="K240" s="27" t="s">
        <v>8</v>
      </c>
      <c r="P240" s="27" t="s">
        <v>7</v>
      </c>
      <c r="Q240" s="27" t="s">
        <v>8</v>
      </c>
      <c r="R240" s="27" t="s">
        <v>7</v>
      </c>
      <c r="BI240" s="27" t="s">
        <v>8</v>
      </c>
      <c r="BJ240" s="27" t="s">
        <v>7</v>
      </c>
      <c r="BM240" s="27" t="s">
        <v>8</v>
      </c>
      <c r="BR240" s="27" t="s">
        <v>7</v>
      </c>
      <c r="CZ240" s="27" t="s">
        <v>7</v>
      </c>
      <c r="DA240" s="27" t="s">
        <v>8</v>
      </c>
      <c r="DB240" s="27" t="s">
        <v>7</v>
      </c>
      <c r="DC240" s="27" t="s">
        <v>8</v>
      </c>
      <c r="DD240" s="27" t="s">
        <v>7</v>
      </c>
      <c r="DE240" s="27" t="s">
        <v>8</v>
      </c>
      <c r="DF240" s="27" t="s">
        <v>7</v>
      </c>
      <c r="DG240" s="27" t="s">
        <v>8</v>
      </c>
      <c r="DH240" s="27" t="s">
        <v>7</v>
      </c>
      <c r="DI240" s="27" t="s">
        <v>8</v>
      </c>
      <c r="DJ240" s="27" t="s">
        <v>7</v>
      </c>
      <c r="DL240" s="27" t="s">
        <v>7</v>
      </c>
      <c r="DM240" s="27" t="s">
        <v>8</v>
      </c>
      <c r="DN240" s="27" t="s">
        <v>7</v>
      </c>
      <c r="DP240" s="27" t="s">
        <v>7</v>
      </c>
      <c r="DY240" s="27" t="s">
        <v>8</v>
      </c>
      <c r="DZ240" s="27" t="s">
        <v>7</v>
      </c>
      <c r="EA240" s="27" t="s">
        <v>8</v>
      </c>
      <c r="EB240" s="27" t="s">
        <v>7</v>
      </c>
      <c r="EC240" s="27" t="s">
        <v>8</v>
      </c>
      <c r="EJ240" s="27" t="s">
        <v>7</v>
      </c>
      <c r="EL240" s="27" t="s">
        <v>7</v>
      </c>
      <c r="EN240" s="27" t="s">
        <v>7</v>
      </c>
      <c r="EQ240" s="27" t="s">
        <v>8</v>
      </c>
      <c r="ES240" s="27" t="s">
        <v>8</v>
      </c>
      <c r="EU240" s="27" t="s">
        <v>8</v>
      </c>
      <c r="EV240" s="27" t="s">
        <v>7</v>
      </c>
      <c r="EW240" s="27" t="s">
        <v>8</v>
      </c>
      <c r="EZ240" s="27" t="s">
        <v>7</v>
      </c>
      <c r="FB240" s="27" t="s">
        <v>7</v>
      </c>
      <c r="FC240" s="27" t="s">
        <v>8</v>
      </c>
      <c r="FJ240" s="27" t="s">
        <v>7</v>
      </c>
      <c r="FK240" s="27" t="s">
        <v>8</v>
      </c>
      <c r="FL240" s="27" t="s">
        <v>7</v>
      </c>
      <c r="FM240" s="27" t="s">
        <v>8</v>
      </c>
      <c r="FN240" s="27" t="s">
        <v>7</v>
      </c>
      <c r="FO240" s="27" t="s">
        <v>8</v>
      </c>
      <c r="FP240" s="27" t="s">
        <v>7</v>
      </c>
      <c r="FQ240" s="27" t="s">
        <v>8</v>
      </c>
      <c r="FR240" s="27" t="s">
        <v>7</v>
      </c>
    </row>
    <row r="241" spans="1:178" x14ac:dyDescent="0.25">
      <c r="A241" s="30">
        <v>0.952380952380952</v>
      </c>
      <c r="B241"/>
      <c r="C241"/>
      <c r="D241"/>
      <c r="E241"/>
      <c r="F241" s="27" t="s">
        <v>7</v>
      </c>
      <c r="I241" s="27" t="s">
        <v>8</v>
      </c>
      <c r="J241" s="27" t="s">
        <v>7</v>
      </c>
      <c r="K241" s="27" t="s">
        <v>8</v>
      </c>
      <c r="P241" s="27" t="s">
        <v>7</v>
      </c>
      <c r="Q241" s="27" t="s">
        <v>8</v>
      </c>
      <c r="R241" s="27" t="s">
        <v>7</v>
      </c>
      <c r="BI241" s="27" t="s">
        <v>8</v>
      </c>
      <c r="BJ241" s="27" t="s">
        <v>7</v>
      </c>
      <c r="BK241" s="27" t="s">
        <v>8</v>
      </c>
      <c r="BM241" s="27" t="s">
        <v>8</v>
      </c>
      <c r="CZ241" s="27" t="s">
        <v>7</v>
      </c>
      <c r="DA241" s="27" t="s">
        <v>8</v>
      </c>
      <c r="DB241" s="27" t="s">
        <v>7</v>
      </c>
      <c r="DD241" s="27" t="s">
        <v>7</v>
      </c>
      <c r="DE241" s="27" t="s">
        <v>8</v>
      </c>
      <c r="DF241" s="27" t="s">
        <v>7</v>
      </c>
      <c r="DG241" s="27" t="s">
        <v>8</v>
      </c>
      <c r="DH241" s="27" t="s">
        <v>7</v>
      </c>
      <c r="DI241" s="27" t="s">
        <v>8</v>
      </c>
      <c r="DL241" s="27" t="s">
        <v>7</v>
      </c>
      <c r="DM241" s="27" t="s">
        <v>8</v>
      </c>
      <c r="DP241" s="27" t="s">
        <v>7</v>
      </c>
      <c r="DY241" s="27" t="s">
        <v>8</v>
      </c>
      <c r="DZ241" s="27" t="s">
        <v>7</v>
      </c>
      <c r="EA241" s="27" t="s">
        <v>8</v>
      </c>
      <c r="EB241" s="27" t="s">
        <v>7</v>
      </c>
      <c r="EC241" s="27" t="s">
        <v>8</v>
      </c>
      <c r="EN241" s="27" t="s">
        <v>7</v>
      </c>
      <c r="EO241" s="27" t="s">
        <v>8</v>
      </c>
      <c r="EQ241" s="27" t="s">
        <v>8</v>
      </c>
      <c r="ER241" s="27" t="s">
        <v>7</v>
      </c>
      <c r="ES241" s="27" t="s">
        <v>8</v>
      </c>
      <c r="ET241" s="27" t="s">
        <v>7</v>
      </c>
      <c r="EU241" s="27" t="s">
        <v>8</v>
      </c>
      <c r="EV241" s="27" t="s">
        <v>7</v>
      </c>
      <c r="EW241" s="27" t="s">
        <v>8</v>
      </c>
      <c r="FB241" s="27" t="s">
        <v>7</v>
      </c>
      <c r="FC241" s="27" t="s">
        <v>8</v>
      </c>
      <c r="FJ241" s="27" t="s">
        <v>7</v>
      </c>
      <c r="FK241" s="27" t="s">
        <v>8</v>
      </c>
      <c r="FL241" s="27" t="s">
        <v>7</v>
      </c>
      <c r="FM241" s="27" t="s">
        <v>8</v>
      </c>
      <c r="FN241" s="27" t="s">
        <v>7</v>
      </c>
      <c r="FO241" s="27" t="s">
        <v>8</v>
      </c>
      <c r="FP241" s="27" t="s">
        <v>7</v>
      </c>
      <c r="FQ241" s="27" t="s">
        <v>8</v>
      </c>
      <c r="FR241" s="27" t="s">
        <v>7</v>
      </c>
    </row>
    <row r="242" spans="1:178" x14ac:dyDescent="0.25">
      <c r="A242" s="30">
        <v>0.90702947845804915</v>
      </c>
      <c r="B242"/>
      <c r="C242"/>
      <c r="D242"/>
      <c r="E242"/>
      <c r="F242" s="27" t="s">
        <v>7</v>
      </c>
      <c r="I242" s="27" t="s">
        <v>8</v>
      </c>
      <c r="J242" s="27" t="s">
        <v>7</v>
      </c>
      <c r="K242" s="27" t="s">
        <v>8</v>
      </c>
      <c r="P242" s="27" t="s">
        <v>7</v>
      </c>
      <c r="Q242" s="27" t="s">
        <v>8</v>
      </c>
      <c r="R242" s="27" t="s">
        <v>7</v>
      </c>
      <c r="BI242" s="27" t="s">
        <v>8</v>
      </c>
      <c r="BJ242" s="27" t="s">
        <v>7</v>
      </c>
      <c r="BK242" s="27" t="s">
        <v>8</v>
      </c>
      <c r="BL242" s="27" t="s">
        <v>7</v>
      </c>
      <c r="BM242" s="27" t="s">
        <v>8</v>
      </c>
      <c r="CZ242" s="27" t="s">
        <v>7</v>
      </c>
      <c r="DD242" s="27" t="s">
        <v>7</v>
      </c>
      <c r="DE242" s="27" t="s">
        <v>8</v>
      </c>
      <c r="DF242" s="27" t="s">
        <v>7</v>
      </c>
      <c r="DH242" s="27" t="s">
        <v>7</v>
      </c>
      <c r="DI242" s="27" t="s">
        <v>8</v>
      </c>
      <c r="DL242" s="27" t="s">
        <v>7</v>
      </c>
      <c r="DP242" s="27" t="s">
        <v>7</v>
      </c>
      <c r="DY242" s="27" t="s">
        <v>8</v>
      </c>
      <c r="DZ242" s="27" t="s">
        <v>7</v>
      </c>
      <c r="EA242" s="27" t="s">
        <v>8</v>
      </c>
      <c r="EB242" s="27" t="s">
        <v>7</v>
      </c>
      <c r="EN242" s="27" t="s">
        <v>7</v>
      </c>
      <c r="EO242" s="27" t="s">
        <v>8</v>
      </c>
      <c r="EP242" s="27" t="s">
        <v>7</v>
      </c>
      <c r="EQ242" s="27" t="s">
        <v>8</v>
      </c>
      <c r="ER242" s="27" t="s">
        <v>7</v>
      </c>
      <c r="ES242" s="27" t="s">
        <v>8</v>
      </c>
      <c r="ET242" s="27" t="s">
        <v>7</v>
      </c>
      <c r="EU242" s="27" t="s">
        <v>8</v>
      </c>
      <c r="EV242" s="27" t="s">
        <v>7</v>
      </c>
      <c r="FB242" s="27" t="s">
        <v>7</v>
      </c>
      <c r="FJ242" s="27" t="s">
        <v>7</v>
      </c>
      <c r="FK242" s="27" t="s">
        <v>8</v>
      </c>
      <c r="FL242" s="27" t="s">
        <v>7</v>
      </c>
      <c r="FM242" s="27" t="s">
        <v>8</v>
      </c>
      <c r="FN242" s="27" t="s">
        <v>7</v>
      </c>
      <c r="FP242" s="27" t="s">
        <v>7</v>
      </c>
      <c r="FR242" s="27" t="s">
        <v>7</v>
      </c>
      <c r="FS242" s="27" t="s">
        <v>8</v>
      </c>
    </row>
    <row r="243" spans="1:178" x14ac:dyDescent="0.25">
      <c r="A243" s="30">
        <v>0.86383759853147501</v>
      </c>
      <c r="B243"/>
      <c r="C243"/>
      <c r="D243"/>
      <c r="E243"/>
      <c r="F243" s="27" t="s">
        <v>7</v>
      </c>
      <c r="I243" s="27" t="s">
        <v>8</v>
      </c>
      <c r="J243" s="27" t="s">
        <v>7</v>
      </c>
      <c r="P243" s="27" t="s">
        <v>7</v>
      </c>
      <c r="Q243" s="27" t="s">
        <v>8</v>
      </c>
      <c r="R243" s="27" t="s">
        <v>7</v>
      </c>
      <c r="BI243" s="27" t="s">
        <v>8</v>
      </c>
      <c r="BJ243" s="27" t="s">
        <v>7</v>
      </c>
      <c r="BK243" s="27" t="s">
        <v>8</v>
      </c>
      <c r="BL243" s="27" t="s">
        <v>7</v>
      </c>
      <c r="BM243" s="27" t="s">
        <v>8</v>
      </c>
      <c r="DD243" s="27" t="s">
        <v>7</v>
      </c>
      <c r="DE243" s="27" t="s">
        <v>8</v>
      </c>
      <c r="DH243" s="27" t="s">
        <v>7</v>
      </c>
      <c r="DP243" s="27" t="s">
        <v>7</v>
      </c>
      <c r="DY243" s="27" t="s">
        <v>8</v>
      </c>
      <c r="DZ243" s="27" t="s">
        <v>7</v>
      </c>
      <c r="EN243" s="27" t="s">
        <v>7</v>
      </c>
      <c r="EO243" s="27" t="s">
        <v>8</v>
      </c>
      <c r="EP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FJ243" s="27" t="s">
        <v>7</v>
      </c>
      <c r="FK243" s="27" t="s">
        <v>8</v>
      </c>
      <c r="FL243" s="27" t="s">
        <v>7</v>
      </c>
      <c r="FM243" s="27" t="s">
        <v>8</v>
      </c>
      <c r="FR243" s="27" t="s">
        <v>7</v>
      </c>
      <c r="FS243" s="27" t="s">
        <v>8</v>
      </c>
      <c r="FT243" s="27" t="s">
        <v>7</v>
      </c>
    </row>
    <row r="244" spans="1:178" x14ac:dyDescent="0.25">
      <c r="A244" s="30">
        <v>0.82270247479188063</v>
      </c>
      <c r="B244"/>
      <c r="C244"/>
      <c r="D244"/>
      <c r="E244"/>
      <c r="F244" s="27" t="s">
        <v>7</v>
      </c>
      <c r="I244" s="27" t="s">
        <v>8</v>
      </c>
      <c r="P244" s="27" t="s">
        <v>7</v>
      </c>
      <c r="R244" s="27" t="s">
        <v>7</v>
      </c>
      <c r="BI244" s="27" t="s">
        <v>8</v>
      </c>
      <c r="BJ244" s="27" t="s">
        <v>7</v>
      </c>
      <c r="BK244" s="27" t="s">
        <v>8</v>
      </c>
      <c r="BL244" s="27" t="s">
        <v>7</v>
      </c>
      <c r="BM244" s="27" t="s">
        <v>8</v>
      </c>
      <c r="DD244" s="27" t="s">
        <v>7</v>
      </c>
      <c r="DE244" s="27" t="s">
        <v>8</v>
      </c>
      <c r="DP244" s="27" t="s">
        <v>7</v>
      </c>
      <c r="DY244" s="27" t="s">
        <v>8</v>
      </c>
      <c r="EN244" s="27" t="s">
        <v>7</v>
      </c>
      <c r="EO244" s="27" t="s">
        <v>8</v>
      </c>
      <c r="EP244" s="27" t="s">
        <v>7</v>
      </c>
      <c r="EQ244" s="27" t="s">
        <v>8</v>
      </c>
      <c r="ER244" s="27" t="s">
        <v>7</v>
      </c>
      <c r="FJ244" s="27" t="s">
        <v>7</v>
      </c>
      <c r="FK244" s="27" t="s">
        <v>8</v>
      </c>
      <c r="FL244" s="27" t="s">
        <v>7</v>
      </c>
      <c r="FR244" s="27" t="s">
        <v>7</v>
      </c>
      <c r="FS244" s="27" t="s">
        <v>8</v>
      </c>
      <c r="FT244" s="27" t="s">
        <v>7</v>
      </c>
    </row>
    <row r="245" spans="1:178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I245" s="27" t="s">
        <v>8</v>
      </c>
      <c r="R245" s="27" t="s">
        <v>7</v>
      </c>
      <c r="BI245" s="27" t="s">
        <v>8</v>
      </c>
      <c r="BJ245" s="27" t="s">
        <v>7</v>
      </c>
      <c r="BK245" s="27" t="s">
        <v>8</v>
      </c>
      <c r="BL245" s="27" t="s">
        <v>7</v>
      </c>
      <c r="BM245" s="27" t="s">
        <v>8</v>
      </c>
      <c r="DD245" s="27" t="s">
        <v>7</v>
      </c>
      <c r="DE245" s="27" t="s">
        <v>8</v>
      </c>
      <c r="DP245" s="27" t="s">
        <v>7</v>
      </c>
      <c r="DQ245" s="27" t="s">
        <v>8</v>
      </c>
      <c r="DS245" s="27" t="s">
        <v>8</v>
      </c>
      <c r="DW245" s="27" t="s">
        <v>8</v>
      </c>
      <c r="DY245" s="27" t="s">
        <v>8</v>
      </c>
      <c r="EN245" s="27" t="s">
        <v>7</v>
      </c>
      <c r="EP245" s="27" t="s">
        <v>7</v>
      </c>
      <c r="FJ245" s="27" t="s">
        <v>7</v>
      </c>
      <c r="FR245" s="27" t="s">
        <v>7</v>
      </c>
      <c r="FS245" s="27" t="s">
        <v>8</v>
      </c>
      <c r="FT245" s="27" t="s">
        <v>7</v>
      </c>
    </row>
    <row r="246" spans="1:178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R246" s="27" t="s">
        <v>7</v>
      </c>
      <c r="BI246" s="27" t="s">
        <v>8</v>
      </c>
      <c r="BJ246" s="27" t="s">
        <v>7</v>
      </c>
      <c r="BK246" s="27" t="s">
        <v>8</v>
      </c>
      <c r="BL246" s="27" t="s">
        <v>7</v>
      </c>
      <c r="BM246" s="27" t="s">
        <v>8</v>
      </c>
      <c r="DD246" s="27" t="s">
        <v>7</v>
      </c>
      <c r="DE246" s="27" t="s">
        <v>8</v>
      </c>
      <c r="DP246" s="27" t="s">
        <v>7</v>
      </c>
      <c r="DQ246" s="27" t="s">
        <v>8</v>
      </c>
      <c r="DR246" s="27" t="s">
        <v>7</v>
      </c>
      <c r="DS246" s="27" t="s">
        <v>8</v>
      </c>
      <c r="DT246" s="27" t="s">
        <v>7</v>
      </c>
      <c r="DU246" s="27" t="s">
        <v>8</v>
      </c>
      <c r="DW246" s="27" t="s">
        <v>8</v>
      </c>
      <c r="DX246" s="27" t="s">
        <v>7</v>
      </c>
      <c r="DY246" s="27" t="s">
        <v>8</v>
      </c>
      <c r="FR246" s="27" t="s">
        <v>7</v>
      </c>
      <c r="FT246" s="27" t="s">
        <v>7</v>
      </c>
    </row>
    <row r="247" spans="1:178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I247" s="27" t="s">
        <v>8</v>
      </c>
      <c r="R247" s="27" t="s">
        <v>7</v>
      </c>
      <c r="S247" s="27" t="s">
        <v>8</v>
      </c>
      <c r="U247" s="27" t="s">
        <v>8</v>
      </c>
      <c r="BI247" s="27" t="s">
        <v>8</v>
      </c>
      <c r="BJ247" s="27" t="s">
        <v>7</v>
      </c>
      <c r="BL247" s="27" t="s">
        <v>7</v>
      </c>
      <c r="DD247" s="27" t="s">
        <v>7</v>
      </c>
      <c r="DE247" s="27" t="s">
        <v>8</v>
      </c>
      <c r="DP247" s="27" t="s">
        <v>7</v>
      </c>
      <c r="DQ247" s="27" t="s">
        <v>8</v>
      </c>
      <c r="DR247" s="27" t="s">
        <v>7</v>
      </c>
      <c r="DS247" s="27" t="s">
        <v>8</v>
      </c>
      <c r="DT247" s="27" t="s">
        <v>7</v>
      </c>
      <c r="DU247" s="27" t="s">
        <v>8</v>
      </c>
      <c r="DV247" s="27" t="s">
        <v>7</v>
      </c>
      <c r="DW247" s="27" t="s">
        <v>8</v>
      </c>
      <c r="DX247" s="27" t="s">
        <v>7</v>
      </c>
      <c r="DY247" s="27" t="s">
        <v>8</v>
      </c>
      <c r="FT247" s="27" t="s">
        <v>7</v>
      </c>
    </row>
    <row r="248" spans="1:178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I248" s="27" t="s">
        <v>8</v>
      </c>
      <c r="R248" s="27" t="s">
        <v>7</v>
      </c>
      <c r="S248" s="27" t="s">
        <v>8</v>
      </c>
      <c r="T248" s="27" t="s">
        <v>7</v>
      </c>
      <c r="U248" s="27" t="s">
        <v>8</v>
      </c>
      <c r="V248" s="27" t="s">
        <v>7</v>
      </c>
      <c r="BI248" s="27" t="s">
        <v>8</v>
      </c>
      <c r="DD248" s="27" t="s">
        <v>7</v>
      </c>
      <c r="DP248" s="27" t="s">
        <v>7</v>
      </c>
      <c r="DQ248" s="27" t="s">
        <v>8</v>
      </c>
      <c r="DR248" s="27" t="s">
        <v>7</v>
      </c>
      <c r="DS248" s="27" t="s">
        <v>8</v>
      </c>
      <c r="DT248" s="27" t="s">
        <v>7</v>
      </c>
      <c r="DU248" s="27" t="s">
        <v>8</v>
      </c>
      <c r="DV248" s="27" t="s">
        <v>7</v>
      </c>
      <c r="DW248" s="27" t="s">
        <v>8</v>
      </c>
      <c r="DX248" s="27" t="s">
        <v>7</v>
      </c>
      <c r="DY248" s="27" t="s">
        <v>8</v>
      </c>
      <c r="FT248" s="27" t="s">
        <v>7</v>
      </c>
      <c r="FU248" s="27" t="s">
        <v>8</v>
      </c>
    </row>
    <row r="249" spans="1:178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R249" s="27" t="s">
        <v>7</v>
      </c>
      <c r="S249" s="27" t="s">
        <v>8</v>
      </c>
      <c r="T249" s="27" t="s">
        <v>7</v>
      </c>
      <c r="U249" s="27" t="s">
        <v>8</v>
      </c>
      <c r="V249" s="27" t="s">
        <v>7</v>
      </c>
      <c r="BI249" s="27" t="s">
        <v>8</v>
      </c>
      <c r="DP249" s="27" t="s">
        <v>7</v>
      </c>
      <c r="DQ249" s="27" t="s">
        <v>8</v>
      </c>
      <c r="DR249" s="27" t="s">
        <v>7</v>
      </c>
      <c r="DS249" s="27" t="s">
        <v>8</v>
      </c>
      <c r="DT249" s="27" t="s">
        <v>7</v>
      </c>
      <c r="DV249" s="27" t="s">
        <v>7</v>
      </c>
      <c r="DX249" s="27" t="s">
        <v>7</v>
      </c>
      <c r="DY249" s="27" t="s">
        <v>8</v>
      </c>
      <c r="FT249" s="27" t="s">
        <v>7</v>
      </c>
      <c r="FU249" s="27" t="s">
        <v>8</v>
      </c>
      <c r="FV249" s="27" t="s">
        <v>7</v>
      </c>
    </row>
    <row r="250" spans="1:178" x14ac:dyDescent="0.25">
      <c r="A250" s="30">
        <v>0.61391325354075688</v>
      </c>
      <c r="B250"/>
      <c r="C250"/>
      <c r="D250"/>
      <c r="E250"/>
      <c r="F250" s="27" t="s">
        <v>7</v>
      </c>
      <c r="R250" s="27" t="s">
        <v>7</v>
      </c>
      <c r="S250" s="27" t="s">
        <v>8</v>
      </c>
      <c r="T250" s="27" t="s">
        <v>7</v>
      </c>
      <c r="U250" s="27" t="s">
        <v>8</v>
      </c>
      <c r="V250" s="27" t="s">
        <v>7</v>
      </c>
      <c r="BI250" s="27" t="s">
        <v>8</v>
      </c>
      <c r="DP250" s="27" t="s">
        <v>7</v>
      </c>
      <c r="DR250" s="27" t="s">
        <v>7</v>
      </c>
      <c r="DX250" s="18" t="s">
        <v>7</v>
      </c>
      <c r="DY250" s="27" t="s">
        <v>8</v>
      </c>
      <c r="FT250" s="27" t="s">
        <v>7</v>
      </c>
      <c r="FU250" s="27" t="s">
        <v>8</v>
      </c>
      <c r="FV250" s="27" t="s">
        <v>7</v>
      </c>
    </row>
    <row r="251" spans="1:178" x14ac:dyDescent="0.25">
      <c r="A251" s="30">
        <v>0.58467928908643485</v>
      </c>
      <c r="B251"/>
      <c r="C251"/>
      <c r="D251"/>
      <c r="E251"/>
      <c r="R251" s="27" t="s">
        <v>7</v>
      </c>
      <c r="S251" s="27" t="s">
        <v>8</v>
      </c>
      <c r="T251" s="27" t="s">
        <v>7</v>
      </c>
      <c r="U251" s="27" t="s">
        <v>8</v>
      </c>
      <c r="V251" s="27" t="s">
        <v>7</v>
      </c>
      <c r="AM251" s="27" t="s">
        <v>8</v>
      </c>
      <c r="BI251" s="27" t="s">
        <v>8</v>
      </c>
      <c r="DX251" s="27" t="s">
        <v>7</v>
      </c>
      <c r="DY251" s="27" t="s">
        <v>8</v>
      </c>
      <c r="FT251" s="27" t="s">
        <v>7</v>
      </c>
      <c r="FU251" s="27" t="s">
        <v>8</v>
      </c>
      <c r="FV251" s="27" t="s">
        <v>7</v>
      </c>
    </row>
    <row r="252" spans="1:178" x14ac:dyDescent="0.25">
      <c r="A252" s="30">
        <v>0.55683741817755672</v>
      </c>
      <c r="B252"/>
      <c r="C252"/>
      <c r="D252"/>
      <c r="E252"/>
      <c r="R252" s="27" t="s">
        <v>7</v>
      </c>
      <c r="S252" s="27" t="s">
        <v>8</v>
      </c>
      <c r="T252" s="27" t="s">
        <v>7</v>
      </c>
      <c r="V252" s="27" t="s">
        <v>7</v>
      </c>
      <c r="AM252" s="27" t="s">
        <v>8</v>
      </c>
      <c r="AN252" s="27" t="s">
        <v>7</v>
      </c>
      <c r="AO252" s="27" t="s">
        <v>8</v>
      </c>
      <c r="BI252" s="27" t="s">
        <v>8</v>
      </c>
      <c r="DX252" s="27" t="s">
        <v>7</v>
      </c>
      <c r="FT252" s="27" t="s">
        <v>7</v>
      </c>
      <c r="FV252" s="27" t="s">
        <v>7</v>
      </c>
    </row>
    <row r="253" spans="1:178" x14ac:dyDescent="0.25">
      <c r="A253" s="30">
        <v>0.53032135064529184</v>
      </c>
      <c r="B253"/>
      <c r="C253"/>
      <c r="D253"/>
      <c r="E253"/>
      <c r="R253" s="27" t="s">
        <v>7</v>
      </c>
      <c r="S253" s="27" t="s">
        <v>8</v>
      </c>
      <c r="V253" s="27" t="s">
        <v>7</v>
      </c>
      <c r="AM253" s="27" t="s">
        <v>8</v>
      </c>
      <c r="AN253" s="27" t="s">
        <v>7</v>
      </c>
      <c r="AO253" s="27" t="s">
        <v>8</v>
      </c>
      <c r="AP253" s="27" t="s">
        <v>7</v>
      </c>
      <c r="AU253" s="27" t="s">
        <v>8</v>
      </c>
      <c r="BI253" s="27" t="s">
        <v>8</v>
      </c>
    </row>
    <row r="254" spans="1:178" x14ac:dyDescent="0.25">
      <c r="A254" s="30">
        <v>0.50506795299551588</v>
      </c>
      <c r="B254"/>
      <c r="C254"/>
      <c r="D254"/>
      <c r="E254"/>
      <c r="R254" s="27" t="s">
        <v>7</v>
      </c>
      <c r="V254" s="27" t="s">
        <v>7</v>
      </c>
      <c r="Y254" s="27" t="s">
        <v>8</v>
      </c>
      <c r="AM254" s="27" t="s">
        <v>8</v>
      </c>
      <c r="AN254" s="27" t="s">
        <v>7</v>
      </c>
      <c r="AO254" s="27" t="s">
        <v>8</v>
      </c>
      <c r="AP254" s="27" t="s">
        <v>7</v>
      </c>
      <c r="AU254" s="27" t="s">
        <v>8</v>
      </c>
      <c r="AV254" s="27" t="s">
        <v>7</v>
      </c>
      <c r="BI254" s="27" t="s">
        <v>8</v>
      </c>
    </row>
    <row r="255" spans="1:178" x14ac:dyDescent="0.25">
      <c r="A255" s="30">
        <v>0.48101709809096732</v>
      </c>
      <c r="E255"/>
      <c r="V255" s="27" t="s">
        <v>7</v>
      </c>
      <c r="Y255" s="27" t="s">
        <v>8</v>
      </c>
      <c r="Z255" s="27" t="s">
        <v>7</v>
      </c>
      <c r="AC255" s="27" t="s">
        <v>8</v>
      </c>
      <c r="AM255" s="27" t="s">
        <v>8</v>
      </c>
      <c r="AN255" s="27" t="s">
        <v>7</v>
      </c>
      <c r="AO255" s="27" t="s">
        <v>8</v>
      </c>
      <c r="AP255" s="27" t="s">
        <v>7</v>
      </c>
      <c r="AQ255" s="27" t="s">
        <v>8</v>
      </c>
      <c r="AU255" s="27" t="s">
        <v>8</v>
      </c>
      <c r="AV255" s="27" t="s">
        <v>7</v>
      </c>
      <c r="BA255" s="27" t="s">
        <v>8</v>
      </c>
      <c r="BG255" s="27" t="s">
        <v>8</v>
      </c>
      <c r="BI255" s="27" t="s">
        <v>8</v>
      </c>
    </row>
    <row r="256" spans="1:178" x14ac:dyDescent="0.25">
      <c r="A256" s="30">
        <v>0.45811152199139726</v>
      </c>
      <c r="E256"/>
      <c r="V256" s="27" t="s">
        <v>7</v>
      </c>
      <c r="W256" s="27" t="s">
        <v>8</v>
      </c>
      <c r="Y256" s="27" t="s">
        <v>8</v>
      </c>
      <c r="Z256" s="27" t="s">
        <v>7</v>
      </c>
      <c r="AA256" s="27" t="s">
        <v>8</v>
      </c>
      <c r="AC256" s="27" t="s">
        <v>8</v>
      </c>
      <c r="AD256" s="27" t="s">
        <v>7</v>
      </c>
      <c r="AM256" s="27" t="s">
        <v>8</v>
      </c>
      <c r="AN256" s="27" t="s">
        <v>7</v>
      </c>
      <c r="AO256" s="27" t="s">
        <v>8</v>
      </c>
      <c r="AP256" s="27" t="s">
        <v>7</v>
      </c>
      <c r="AQ256" s="27" t="s">
        <v>8</v>
      </c>
      <c r="AR256" s="27" t="s">
        <v>7</v>
      </c>
      <c r="AU256" s="27" t="s">
        <v>8</v>
      </c>
      <c r="AV256" s="27" t="s">
        <v>7</v>
      </c>
      <c r="AW256" s="27" t="s">
        <v>8</v>
      </c>
      <c r="BA256" s="27" t="s">
        <v>8</v>
      </c>
      <c r="BB256" s="27" t="s">
        <v>7</v>
      </c>
      <c r="BC256" s="27" t="s">
        <v>8</v>
      </c>
      <c r="BE256" s="27" t="s">
        <v>8</v>
      </c>
      <c r="BG256" s="27" t="s">
        <v>8</v>
      </c>
      <c r="BH256" s="27" t="s">
        <v>7</v>
      </c>
      <c r="BI256" s="27" t="s">
        <v>8</v>
      </c>
    </row>
    <row r="257" spans="1:61" x14ac:dyDescent="0.25">
      <c r="A257" s="30">
        <v>0.43629668761085438</v>
      </c>
      <c r="B257"/>
      <c r="C257"/>
      <c r="D257"/>
      <c r="E257"/>
      <c r="V257" s="27" t="s">
        <v>7</v>
      </c>
      <c r="W257" s="27" t="s">
        <v>8</v>
      </c>
      <c r="X257" s="27" t="s">
        <v>7</v>
      </c>
      <c r="Y257" s="27" t="s">
        <v>8</v>
      </c>
      <c r="Z257" s="27" t="s">
        <v>7</v>
      </c>
      <c r="AA257" s="27" t="s">
        <v>8</v>
      </c>
      <c r="AB257" s="27" t="s">
        <v>7</v>
      </c>
      <c r="AC257" s="27" t="s">
        <v>8</v>
      </c>
      <c r="AD257" s="27" t="s">
        <v>7</v>
      </c>
      <c r="AK257" s="27" t="s">
        <v>8</v>
      </c>
      <c r="AM257" s="27" t="s">
        <v>8</v>
      </c>
      <c r="AN257" s="27" t="s">
        <v>7</v>
      </c>
      <c r="AO257" s="27" t="s">
        <v>8</v>
      </c>
      <c r="AP257" s="27" t="s">
        <v>7</v>
      </c>
      <c r="AQ257" s="27" t="s">
        <v>8</v>
      </c>
      <c r="AR257" s="27" t="s">
        <v>7</v>
      </c>
      <c r="AS257" s="27" t="s">
        <v>8</v>
      </c>
      <c r="AU257" s="27" t="s">
        <v>8</v>
      </c>
      <c r="AV257" s="27" t="s">
        <v>7</v>
      </c>
      <c r="AW257" s="27" t="s">
        <v>8</v>
      </c>
      <c r="AX257" s="27" t="s">
        <v>7</v>
      </c>
      <c r="AY257" s="27" t="s">
        <v>8</v>
      </c>
      <c r="BA257" s="27" t="s">
        <v>8</v>
      </c>
      <c r="BB257" s="27" t="s">
        <v>7</v>
      </c>
      <c r="BC257" s="27" t="s">
        <v>8</v>
      </c>
      <c r="BD257" s="27" t="s">
        <v>7</v>
      </c>
      <c r="BE257" s="27" t="s">
        <v>8</v>
      </c>
      <c r="BF257" s="27" t="s">
        <v>7</v>
      </c>
      <c r="BG257" s="27" t="s">
        <v>8</v>
      </c>
      <c r="BH257" s="27" t="s">
        <v>7</v>
      </c>
      <c r="BI257" s="27" t="s">
        <v>8</v>
      </c>
    </row>
    <row r="258" spans="1:61" x14ac:dyDescent="0.25">
      <c r="A258" s="30">
        <v>0.41552065486748019</v>
      </c>
      <c r="B258"/>
      <c r="C258"/>
      <c r="D258"/>
      <c r="E258"/>
      <c r="V258" s="27" t="s">
        <v>7</v>
      </c>
      <c r="W258" s="27" t="s">
        <v>8</v>
      </c>
      <c r="X258" s="27" t="s">
        <v>7</v>
      </c>
      <c r="Y258" s="27" t="s">
        <v>8</v>
      </c>
      <c r="Z258" s="27" t="s">
        <v>7</v>
      </c>
      <c r="AA258" s="27" t="s">
        <v>8</v>
      </c>
      <c r="AB258" s="27" t="s">
        <v>7</v>
      </c>
      <c r="AC258" s="27" t="s">
        <v>8</v>
      </c>
      <c r="AD258" s="27" t="s">
        <v>7</v>
      </c>
      <c r="AK258" s="27" t="s">
        <v>8</v>
      </c>
      <c r="AL258" s="27" t="s">
        <v>7</v>
      </c>
      <c r="AM258" s="27" t="s">
        <v>8</v>
      </c>
      <c r="AN258" s="27" t="s">
        <v>7</v>
      </c>
      <c r="AO258" s="27" t="s">
        <v>8</v>
      </c>
      <c r="AP258" s="27" t="s">
        <v>7</v>
      </c>
      <c r="AQ258" s="27" t="s">
        <v>8</v>
      </c>
      <c r="AR258" s="27" t="s">
        <v>7</v>
      </c>
      <c r="AS258" s="27" t="s">
        <v>8</v>
      </c>
      <c r="AT258" s="27" t="s">
        <v>7</v>
      </c>
      <c r="AU258" s="27" t="s">
        <v>8</v>
      </c>
      <c r="AV258" s="27" t="s">
        <v>7</v>
      </c>
      <c r="AW258" s="27" t="s">
        <v>8</v>
      </c>
      <c r="AX258" s="27" t="s">
        <v>7</v>
      </c>
      <c r="AY258" s="27" t="s">
        <v>8</v>
      </c>
      <c r="AZ258" s="27" t="s">
        <v>7</v>
      </c>
      <c r="BA258" s="27" t="s">
        <v>8</v>
      </c>
      <c r="BB258" s="27" t="s">
        <v>7</v>
      </c>
      <c r="BC258" s="27" t="s">
        <v>8</v>
      </c>
      <c r="BD258" s="27" t="s">
        <v>7</v>
      </c>
      <c r="BE258" s="27" t="s">
        <v>8</v>
      </c>
      <c r="BF258" s="27" t="s">
        <v>7</v>
      </c>
      <c r="BG258" s="27" t="s">
        <v>8</v>
      </c>
      <c r="BH258" s="27" t="s">
        <v>7</v>
      </c>
    </row>
    <row r="259" spans="1:61" x14ac:dyDescent="0.25">
      <c r="A259" s="30">
        <v>0.39573395701664765</v>
      </c>
      <c r="B259"/>
      <c r="C259"/>
      <c r="D259"/>
      <c r="E259"/>
      <c r="V259" s="27" t="s">
        <v>7</v>
      </c>
      <c r="W259" s="27" t="s">
        <v>8</v>
      </c>
      <c r="X259" s="27" t="s">
        <v>7</v>
      </c>
      <c r="Z259" s="27" t="s">
        <v>7</v>
      </c>
      <c r="AB259" s="27" t="s">
        <v>7</v>
      </c>
      <c r="AD259" s="27" t="s">
        <v>7</v>
      </c>
      <c r="AK259" s="27" t="s">
        <v>8</v>
      </c>
      <c r="AL259" s="27" t="s">
        <v>7</v>
      </c>
      <c r="AM259" s="27" t="s">
        <v>8</v>
      </c>
      <c r="AN259" s="27" t="s">
        <v>7</v>
      </c>
      <c r="AO259" s="27" t="s">
        <v>8</v>
      </c>
      <c r="AP259" s="27" t="s">
        <v>7</v>
      </c>
      <c r="AR259" s="27" t="s">
        <v>7</v>
      </c>
      <c r="AS259" s="27" t="s">
        <v>8</v>
      </c>
      <c r="AT259" s="27" t="s">
        <v>7</v>
      </c>
      <c r="AU259" s="27" t="s">
        <v>8</v>
      </c>
      <c r="AV259" s="27" t="s">
        <v>7</v>
      </c>
      <c r="AW259" s="27" t="s">
        <v>8</v>
      </c>
      <c r="AX259" s="27" t="s">
        <v>7</v>
      </c>
      <c r="AY259" s="27" t="s">
        <v>8</v>
      </c>
      <c r="AZ259" s="27" t="s">
        <v>7</v>
      </c>
      <c r="BA259" s="27" t="s">
        <v>8</v>
      </c>
      <c r="BB259" s="27" t="s">
        <v>7</v>
      </c>
      <c r="BC259" s="27" t="s">
        <v>8</v>
      </c>
      <c r="BD259" s="27" t="s">
        <v>7</v>
      </c>
      <c r="BF259" s="27" t="s">
        <v>7</v>
      </c>
      <c r="BG259" s="27" t="s">
        <v>8</v>
      </c>
    </row>
    <row r="260" spans="1:61" x14ac:dyDescent="0.25">
      <c r="A260" s="30">
        <v>0.37688948287299762</v>
      </c>
      <c r="B260"/>
      <c r="C260"/>
      <c r="D260"/>
      <c r="E260"/>
      <c r="V260" s="27" t="s">
        <v>7</v>
      </c>
      <c r="AD260" s="27" t="s">
        <v>7</v>
      </c>
      <c r="AG260" s="27" t="s">
        <v>8</v>
      </c>
      <c r="AK260" s="27" t="s">
        <v>8</v>
      </c>
      <c r="AL260" s="27" t="s">
        <v>7</v>
      </c>
      <c r="AM260" s="27" t="s">
        <v>8</v>
      </c>
      <c r="AN260" s="27" t="s">
        <v>7</v>
      </c>
      <c r="AR260" s="27" t="s">
        <v>7</v>
      </c>
      <c r="AS260" s="27" t="s">
        <v>8</v>
      </c>
      <c r="AT260" s="27" t="s">
        <v>7</v>
      </c>
      <c r="AV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B260" s="27" t="s">
        <v>7</v>
      </c>
      <c r="BC260" s="27" t="s">
        <v>8</v>
      </c>
      <c r="BF260" s="27" t="s">
        <v>7</v>
      </c>
    </row>
    <row r="261" spans="1:61" x14ac:dyDescent="0.25">
      <c r="A261" s="30">
        <v>0.35894236464094997</v>
      </c>
      <c r="B261"/>
      <c r="C261"/>
      <c r="D261"/>
      <c r="E261"/>
      <c r="AD261" s="27" t="s">
        <v>7</v>
      </c>
      <c r="AE261" s="27" t="s">
        <v>8</v>
      </c>
      <c r="AG261" s="27" t="s">
        <v>8</v>
      </c>
      <c r="AH261" s="27" t="s">
        <v>7</v>
      </c>
      <c r="AI261" s="27" t="s">
        <v>8</v>
      </c>
      <c r="AK261" s="27" t="s">
        <v>8</v>
      </c>
      <c r="AL261" s="27" t="s">
        <v>7</v>
      </c>
      <c r="AM261" s="27" t="s">
        <v>8</v>
      </c>
      <c r="AR261" s="27" t="s">
        <v>7</v>
      </c>
      <c r="AV261" s="27" t="s">
        <v>7</v>
      </c>
      <c r="AX261" s="27" t="s">
        <v>7</v>
      </c>
      <c r="AY261" s="27" t="s">
        <v>8</v>
      </c>
      <c r="BB261" s="27" t="s">
        <v>7</v>
      </c>
      <c r="BC261" s="27" t="s">
        <v>8</v>
      </c>
    </row>
    <row r="262" spans="1:61" x14ac:dyDescent="0.25">
      <c r="A262" s="30">
        <v>0.34184987108661891</v>
      </c>
      <c r="B262"/>
      <c r="C262"/>
      <c r="D262"/>
      <c r="E262"/>
      <c r="AD262" s="27" t="s">
        <v>7</v>
      </c>
      <c r="AE262" s="27" t="s">
        <v>8</v>
      </c>
      <c r="AF262" s="27" t="s">
        <v>7</v>
      </c>
      <c r="AG262" s="27" t="s">
        <v>8</v>
      </c>
      <c r="AH262" s="27" t="s">
        <v>7</v>
      </c>
      <c r="AI262" s="27" t="s">
        <v>8</v>
      </c>
      <c r="AJ262" s="27" t="s">
        <v>7</v>
      </c>
      <c r="AK262" s="27" t="s">
        <v>8</v>
      </c>
      <c r="AL262" s="27" t="s">
        <v>7</v>
      </c>
      <c r="AM262" s="27" t="s">
        <v>8</v>
      </c>
      <c r="AX262" s="27" t="s">
        <v>7</v>
      </c>
      <c r="BB262" s="27" t="s">
        <v>7</v>
      </c>
    </row>
    <row r="263" spans="1:61" x14ac:dyDescent="0.25">
      <c r="A263" s="30">
        <v>0.32557130579677979</v>
      </c>
      <c r="B263"/>
      <c r="C263"/>
      <c r="D263"/>
      <c r="E263"/>
      <c r="AD263" s="27" t="s">
        <v>7</v>
      </c>
      <c r="AE263" s="27" t="s">
        <v>8</v>
      </c>
      <c r="AF263" s="27" t="s">
        <v>7</v>
      </c>
      <c r="AG263" s="27" t="s">
        <v>8</v>
      </c>
      <c r="AH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</row>
    <row r="264" spans="1:61" x14ac:dyDescent="0.25">
      <c r="A264" s="30">
        <v>0.3100679102826473</v>
      </c>
      <c r="B264"/>
      <c r="C264"/>
      <c r="D264"/>
      <c r="E264"/>
      <c r="AD264" s="27" t="s">
        <v>7</v>
      </c>
      <c r="AE264" s="27" t="s">
        <v>8</v>
      </c>
      <c r="AF264" s="27" t="s">
        <v>7</v>
      </c>
      <c r="AH264" s="27" t="s">
        <v>7</v>
      </c>
      <c r="AJ264" s="27" t="s">
        <v>7</v>
      </c>
    </row>
    <row r="265" spans="1:61" x14ac:dyDescent="0.25">
      <c r="A265" s="30">
        <v>0.2953027716977592</v>
      </c>
      <c r="B265"/>
      <c r="C265"/>
      <c r="D265"/>
      <c r="E265"/>
      <c r="AD265" s="27" t="s">
        <v>7</v>
      </c>
      <c r="AE265" s="27" t="s">
        <v>8</v>
      </c>
    </row>
    <row r="266" spans="1:61" x14ac:dyDescent="0.25">
      <c r="A266" s="30">
        <v>0.28124073495024676</v>
      </c>
      <c r="B266"/>
      <c r="C266"/>
      <c r="D266"/>
      <c r="E266"/>
      <c r="AD266" s="27" t="s">
        <v>7</v>
      </c>
    </row>
    <row r="267" spans="1:61" x14ac:dyDescent="0.25">
      <c r="A267" s="30">
        <v>0.26784831900023492</v>
      </c>
      <c r="B267"/>
      <c r="C267"/>
      <c r="D267"/>
      <c r="E267"/>
    </row>
    <row r="268" spans="1:61" x14ac:dyDescent="0.25">
      <c r="A268" s="30">
        <v>0.25509363714308075</v>
      </c>
      <c r="B268"/>
      <c r="C268"/>
      <c r="D268"/>
      <c r="E268"/>
    </row>
    <row r="269" spans="1:61" x14ac:dyDescent="0.25">
      <c r="A269" s="30">
        <v>0.24294632108864825</v>
      </c>
      <c r="B269"/>
      <c r="C269"/>
      <c r="D269"/>
      <c r="E269"/>
    </row>
    <row r="270" spans="1:61" x14ac:dyDescent="0.25">
      <c r="A270" s="30">
        <v>0.23137744865585538</v>
      </c>
      <c r="B270"/>
      <c r="C270"/>
      <c r="D270"/>
      <c r="E270"/>
    </row>
    <row r="271" spans="1:61" x14ac:dyDescent="0.25">
      <c r="A271" s="30">
        <v>0.22035947491033836</v>
      </c>
      <c r="B271"/>
      <c r="C271"/>
      <c r="D271"/>
      <c r="E271"/>
    </row>
    <row r="272" spans="1:61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05" operator="equal">
      <formula>$U$1</formula>
    </cfRule>
    <cfRule type="cellIs" dxfId="67" priority="1006" operator="equal">
      <formula>$S$1</formula>
    </cfRule>
  </conditionalFormatting>
  <conditionalFormatting sqref="D136">
    <cfRule type="cellIs" dxfId="66" priority="1003" operator="equal">
      <formula>$S$1</formula>
    </cfRule>
    <cfRule type="cellIs" dxfId="65" priority="1004" operator="equal">
      <formula>$U$1</formula>
    </cfRule>
  </conditionalFormatting>
  <conditionalFormatting sqref="C162">
    <cfRule type="cellIs" dxfId="64" priority="1001" operator="equal">
      <formula>$U$1</formula>
    </cfRule>
    <cfRule type="cellIs" dxfId="63" priority="1002" operator="equal">
      <formula>$S$1</formula>
    </cfRule>
  </conditionalFormatting>
  <conditionalFormatting sqref="D162">
    <cfRule type="cellIs" dxfId="62" priority="999" operator="equal">
      <formula>$S$1</formula>
    </cfRule>
    <cfRule type="cellIs" dxfId="61" priority="1000" operator="equal">
      <formula>$U$1</formula>
    </cfRule>
  </conditionalFormatting>
  <conditionalFormatting sqref="C187">
    <cfRule type="cellIs" dxfId="60" priority="997" operator="equal">
      <formula>$U$1</formula>
    </cfRule>
    <cfRule type="cellIs" dxfId="59" priority="998" operator="equal">
      <formula>$S$1</formula>
    </cfRule>
  </conditionalFormatting>
  <conditionalFormatting sqref="D187">
    <cfRule type="cellIs" dxfId="58" priority="995" operator="equal">
      <formula>$S$1</formula>
    </cfRule>
    <cfRule type="cellIs" dxfId="57" priority="996" operator="equal">
      <formula>$U$1</formula>
    </cfRule>
  </conditionalFormatting>
  <conditionalFormatting sqref="C212">
    <cfRule type="cellIs" dxfId="56" priority="993" operator="equal">
      <formula>$U$1</formula>
    </cfRule>
    <cfRule type="cellIs" dxfId="55" priority="994" operator="equal">
      <formula>$S$1</formula>
    </cfRule>
  </conditionalFormatting>
  <conditionalFormatting sqref="D212">
    <cfRule type="cellIs" dxfId="54" priority="991" operator="equal">
      <formula>$S$1</formula>
    </cfRule>
    <cfRule type="cellIs" dxfId="53" priority="992" operator="equal">
      <formula>$U$1</formula>
    </cfRule>
  </conditionalFormatting>
  <conditionalFormatting sqref="C237">
    <cfRule type="cellIs" dxfId="52" priority="989" operator="equal">
      <formula>$U$1</formula>
    </cfRule>
    <cfRule type="cellIs" dxfId="51" priority="990" operator="equal">
      <formula>$S$1</formula>
    </cfRule>
  </conditionalFormatting>
  <conditionalFormatting sqref="D237">
    <cfRule type="cellIs" dxfId="50" priority="987" operator="equal">
      <formula>$S$1</formula>
    </cfRule>
    <cfRule type="cellIs" dxfId="49" priority="988" operator="equal">
      <formula>$U$1</formula>
    </cfRule>
  </conditionalFormatting>
  <conditionalFormatting sqref="C106">
    <cfRule type="cellIs" dxfId="48" priority="985" operator="equal">
      <formula>$U$1</formula>
    </cfRule>
    <cfRule type="cellIs" dxfId="47" priority="986" operator="equal">
      <formula>$S$1</formula>
    </cfRule>
  </conditionalFormatting>
  <conditionalFormatting sqref="D106">
    <cfRule type="cellIs" dxfId="46" priority="983" operator="equal">
      <formula>$S$1</formula>
    </cfRule>
    <cfRule type="cellIs" dxfId="45" priority="984" operator="equal">
      <formula>$U$1</formula>
    </cfRule>
  </conditionalFormatting>
  <conditionalFormatting sqref="C81">
    <cfRule type="cellIs" dxfId="44" priority="981" operator="equal">
      <formula>$U$1</formula>
    </cfRule>
    <cfRule type="cellIs" dxfId="43" priority="982" operator="equal">
      <formula>$S$1</formula>
    </cfRule>
  </conditionalFormatting>
  <conditionalFormatting sqref="D81">
    <cfRule type="cellIs" dxfId="42" priority="979" operator="equal">
      <formula>$S$1</formula>
    </cfRule>
    <cfRule type="cellIs" dxfId="41" priority="980" operator="equal">
      <formula>$U$1</formula>
    </cfRule>
  </conditionalFormatting>
  <conditionalFormatting sqref="C56">
    <cfRule type="cellIs" dxfId="40" priority="977" operator="equal">
      <formula>$U$1</formula>
    </cfRule>
    <cfRule type="cellIs" dxfId="39" priority="978" operator="equal">
      <formula>$S$1</formula>
    </cfRule>
  </conditionalFormatting>
  <conditionalFormatting sqref="D56">
    <cfRule type="cellIs" dxfId="38" priority="975" operator="equal">
      <formula>$S$1</formula>
    </cfRule>
    <cfRule type="cellIs" dxfId="37" priority="976" operator="equal">
      <formula>$U$1</formula>
    </cfRule>
  </conditionalFormatting>
  <conditionalFormatting sqref="C31">
    <cfRule type="cellIs" dxfId="36" priority="973" operator="equal">
      <formula>$U$1</formula>
    </cfRule>
    <cfRule type="cellIs" dxfId="35" priority="974" operator="equal">
      <formula>$S$1</formula>
    </cfRule>
  </conditionalFormatting>
  <conditionalFormatting sqref="D31">
    <cfRule type="cellIs" dxfId="34" priority="971" operator="equal">
      <formula>$S$1</formula>
    </cfRule>
    <cfRule type="cellIs" dxfId="33" priority="9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127" sqref="BD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8" x14ac:dyDescent="0.25">
      <c r="A97" s="30">
        <v>9.849732675807628</v>
      </c>
      <c r="E97"/>
    </row>
    <row r="98" spans="1:38" x14ac:dyDescent="0.25">
      <c r="A98" s="30">
        <v>8.9543024325523888</v>
      </c>
      <c r="C98" s="1" t="s">
        <v>13</v>
      </c>
      <c r="E98"/>
    </row>
    <row r="99" spans="1:38" x14ac:dyDescent="0.25">
      <c r="A99" s="30">
        <v>8.140274938683989</v>
      </c>
      <c r="C99" s="1">
        <f>C88</f>
        <v>0</v>
      </c>
      <c r="E99"/>
    </row>
    <row r="100" spans="1:38" x14ac:dyDescent="0.25">
      <c r="A100" s="30">
        <v>7.4002499442581717</v>
      </c>
      <c r="C100"/>
      <c r="D100"/>
      <c r="E100"/>
    </row>
    <row r="101" spans="1:38" x14ac:dyDescent="0.25">
      <c r="A101" s="30">
        <v>6.72749994932561</v>
      </c>
      <c r="C101" s="1" t="s">
        <v>14</v>
      </c>
      <c r="E101"/>
    </row>
    <row r="102" spans="1:3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Y102" s="27" t="s">
        <v>8</v>
      </c>
    </row>
    <row r="103" spans="1:38" x14ac:dyDescent="0.25">
      <c r="A103" s="30">
        <v>5.5599173134922388</v>
      </c>
      <c r="E103"/>
      <c r="Y103" s="27" t="s">
        <v>8</v>
      </c>
      <c r="Z103" s="27" t="s">
        <v>7</v>
      </c>
    </row>
    <row r="104" spans="1:38" x14ac:dyDescent="0.25">
      <c r="A104" s="30">
        <v>5.0544702849929442</v>
      </c>
      <c r="E104"/>
      <c r="Y104" s="27" t="s">
        <v>8</v>
      </c>
      <c r="Z104" s="27" t="s">
        <v>7</v>
      </c>
    </row>
    <row r="105" spans="1:38" x14ac:dyDescent="0.25">
      <c r="A105" s="30">
        <v>4.594972986357222</v>
      </c>
      <c r="E105"/>
      <c r="Y105" s="27" t="s">
        <v>8</v>
      </c>
      <c r="Z105" s="27" t="s">
        <v>7</v>
      </c>
    </row>
    <row r="106" spans="1:38" x14ac:dyDescent="0.25">
      <c r="A106" s="30">
        <v>4.1772481694156562</v>
      </c>
      <c r="E106"/>
      <c r="Y106" s="27" t="s">
        <v>8</v>
      </c>
      <c r="Z106" s="27" t="s">
        <v>7</v>
      </c>
    </row>
    <row r="107" spans="1:38" x14ac:dyDescent="0.25">
      <c r="A107" s="30">
        <v>3.7974983358324148</v>
      </c>
      <c r="E107"/>
      <c r="Y107" s="27" t="s">
        <v>8</v>
      </c>
      <c r="Z107" s="27" t="s">
        <v>7</v>
      </c>
    </row>
    <row r="108" spans="1:38" x14ac:dyDescent="0.25">
      <c r="A108" s="30">
        <v>3.4522712143931042</v>
      </c>
      <c r="E108"/>
      <c r="Y108" s="27" t="s">
        <v>8</v>
      </c>
      <c r="Z108" s="27" t="s">
        <v>7</v>
      </c>
      <c r="AI108" s="27" t="s">
        <v>8</v>
      </c>
      <c r="AK108" s="27" t="s">
        <v>8</v>
      </c>
    </row>
    <row r="109" spans="1:38" x14ac:dyDescent="0.25">
      <c r="A109" s="30">
        <v>3.1384283767210035</v>
      </c>
      <c r="E109"/>
      <c r="Y109" s="27" t="s">
        <v>8</v>
      </c>
      <c r="Z109" s="27" t="s">
        <v>7</v>
      </c>
      <c r="AI109" s="27" t="s">
        <v>8</v>
      </c>
      <c r="AJ109" s="27" t="s">
        <v>7</v>
      </c>
      <c r="AK109" s="27" t="s">
        <v>8</v>
      </c>
      <c r="AL109" s="27" t="s">
        <v>7</v>
      </c>
    </row>
    <row r="110" spans="1:38" x14ac:dyDescent="0.25">
      <c r="A110" s="30">
        <v>2.8531167061100029</v>
      </c>
      <c r="E110"/>
      <c r="Y110" s="27" t="s">
        <v>8</v>
      </c>
      <c r="Z110" s="27" t="s">
        <v>7</v>
      </c>
      <c r="AI110" s="27" t="s">
        <v>8</v>
      </c>
      <c r="AJ110" s="27" t="s">
        <v>7</v>
      </c>
      <c r="AK110" s="27" t="s">
        <v>8</v>
      </c>
      <c r="AL110" s="27" t="s">
        <v>7</v>
      </c>
    </row>
    <row r="111" spans="1:38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$BD$126</v>
      </c>
      <c r="E111"/>
      <c r="Y111" s="27" t="s">
        <v>8</v>
      </c>
      <c r="Z111" s="27" t="s">
        <v>7</v>
      </c>
      <c r="AC111" s="27" t="s">
        <v>8</v>
      </c>
      <c r="AG111" s="27" t="s">
        <v>8</v>
      </c>
      <c r="AI111" s="27" t="s">
        <v>8</v>
      </c>
      <c r="AJ111" s="27" t="s">
        <v>7</v>
      </c>
      <c r="AK111" s="27" t="s">
        <v>8</v>
      </c>
      <c r="AL111" s="27" t="s">
        <v>7</v>
      </c>
    </row>
    <row r="112" spans="1:38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$BC$127</v>
      </c>
      <c r="E112"/>
      <c r="Y112" s="27" t="s">
        <v>8</v>
      </c>
      <c r="Z112" s="27" t="s">
        <v>7</v>
      </c>
      <c r="AA112" s="27" t="s">
        <v>8</v>
      </c>
      <c r="AC112" s="27" t="s">
        <v>8</v>
      </c>
      <c r="AD112" s="27" t="s">
        <v>7</v>
      </c>
      <c r="AG112" s="27" t="s">
        <v>8</v>
      </c>
      <c r="AH112" s="27" t="s">
        <v>7</v>
      </c>
      <c r="AI112" s="27" t="s">
        <v>8</v>
      </c>
      <c r="AJ112" s="27" t="s">
        <v>7</v>
      </c>
      <c r="AK112" s="27" t="s">
        <v>8</v>
      </c>
      <c r="AL112" s="27" t="s">
        <v>7</v>
      </c>
    </row>
    <row r="113" spans="1:56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$BE$126</v>
      </c>
      <c r="Y113" s="27" t="s">
        <v>8</v>
      </c>
      <c r="Z113" s="27" t="s">
        <v>7</v>
      </c>
      <c r="AA113" s="27" t="s">
        <v>8</v>
      </c>
      <c r="AB113" s="27" t="s">
        <v>7</v>
      </c>
      <c r="AC113" s="27" t="s">
        <v>8</v>
      </c>
      <c r="AD113" s="27" t="s">
        <v>7</v>
      </c>
      <c r="AG113" s="27" t="s">
        <v>8</v>
      </c>
      <c r="AH113" s="27" t="s">
        <v>7</v>
      </c>
      <c r="AI113" s="27" t="s">
        <v>8</v>
      </c>
      <c r="AJ113" s="27" t="s">
        <v>7</v>
      </c>
      <c r="AK113" s="27" t="s">
        <v>8</v>
      </c>
      <c r="AL113" s="27" t="s">
        <v>7</v>
      </c>
    </row>
    <row r="114" spans="1:56" x14ac:dyDescent="0.25">
      <c r="A114" s="30">
        <v>1.9487171000000014</v>
      </c>
      <c r="C114" s="1" t="str">
        <f>ADDRESS(C121,D121,1,1)</f>
        <v>$BD$127</v>
      </c>
      <c r="D114" s="1" t="str">
        <f>ADDRESS(C121+1,D121+1,1,1)</f>
        <v>$BE$128</v>
      </c>
      <c r="Y114" s="27" t="s">
        <v>8</v>
      </c>
      <c r="Z114" s="27" t="s">
        <v>7</v>
      </c>
      <c r="AA114" s="27" t="s">
        <v>8</v>
      </c>
      <c r="AB114" s="27" t="s">
        <v>7</v>
      </c>
      <c r="AC114" s="27" t="s">
        <v>8</v>
      </c>
      <c r="AD114" s="27" t="s">
        <v>7</v>
      </c>
      <c r="AG114" s="27" t="s">
        <v>8</v>
      </c>
      <c r="AH114" s="27" t="s">
        <v>7</v>
      </c>
      <c r="AJ114" s="27" t="s">
        <v>7</v>
      </c>
      <c r="AK114" s="27" t="s">
        <v>8</v>
      </c>
      <c r="AL114" s="27" t="s">
        <v>7</v>
      </c>
    </row>
    <row r="115" spans="1:56" x14ac:dyDescent="0.25">
      <c r="A115" s="30">
        <v>1.7715610000000011</v>
      </c>
      <c r="C115" s="1" t="str">
        <f>ADDRESS(C121+1,D121,1,1)</f>
        <v>$BD$128</v>
      </c>
      <c r="Y115" s="27" t="s">
        <v>8</v>
      </c>
      <c r="Z115" s="27" t="s">
        <v>7</v>
      </c>
      <c r="AA115" s="27" t="s">
        <v>8</v>
      </c>
      <c r="AB115" s="27" t="s">
        <v>7</v>
      </c>
      <c r="AC115" s="27" t="s">
        <v>8</v>
      </c>
      <c r="AD115" s="27" t="s">
        <v>7</v>
      </c>
      <c r="AG115" s="27" t="s">
        <v>8</v>
      </c>
      <c r="AJ115" s="27" t="s">
        <v>7</v>
      </c>
      <c r="AK115" s="27" t="s">
        <v>8</v>
      </c>
      <c r="AL115" s="27" t="s">
        <v>7</v>
      </c>
      <c r="AU115" s="27" t="s">
        <v>8</v>
      </c>
      <c r="AY115" s="27" t="s">
        <v>8</v>
      </c>
    </row>
    <row r="116" spans="1:56" x14ac:dyDescent="0.25">
      <c r="A116" s="30">
        <v>1.6105100000000008</v>
      </c>
      <c r="C116" s="1">
        <f>C117-1</f>
        <v>126</v>
      </c>
      <c r="Y116" s="27" t="s">
        <v>8</v>
      </c>
      <c r="Z116" s="27" t="s">
        <v>7</v>
      </c>
      <c r="AA116" s="27" t="s">
        <v>8</v>
      </c>
      <c r="AB116" s="27" t="s">
        <v>7</v>
      </c>
      <c r="AD116" s="27" t="s">
        <v>7</v>
      </c>
      <c r="AE116" s="27" t="s">
        <v>8</v>
      </c>
      <c r="AG116" s="27" t="s">
        <v>8</v>
      </c>
      <c r="AJ116" s="27" t="s">
        <v>7</v>
      </c>
      <c r="AK116" s="27" t="s">
        <v>8</v>
      </c>
      <c r="AL116" s="27" t="s">
        <v>7</v>
      </c>
      <c r="AU116" s="27" t="s">
        <v>8</v>
      </c>
      <c r="AV116" s="27" t="s">
        <v>7</v>
      </c>
      <c r="AW116" s="27" t="s">
        <v>8</v>
      </c>
      <c r="AY116" s="27" t="s">
        <v>8</v>
      </c>
      <c r="AZ116" s="27" t="s">
        <v>7</v>
      </c>
    </row>
    <row r="117" spans="1:56" x14ac:dyDescent="0.25">
      <c r="A117" s="30">
        <v>1.4641000000000006</v>
      </c>
      <c r="C117" s="1">
        <f>C121</f>
        <v>127</v>
      </c>
      <c r="D117" s="1">
        <f>D121</f>
        <v>56</v>
      </c>
      <c r="Y117" s="27" t="s">
        <v>8</v>
      </c>
      <c r="Z117" s="27" t="s">
        <v>7</v>
      </c>
      <c r="AA117" s="27" t="s">
        <v>8</v>
      </c>
      <c r="AD117" s="27" t="s">
        <v>7</v>
      </c>
      <c r="AE117" s="27" t="s">
        <v>8</v>
      </c>
      <c r="AF117" s="27" t="s">
        <v>7</v>
      </c>
      <c r="AG117" s="27" t="s">
        <v>8</v>
      </c>
      <c r="AJ117" s="27" t="s">
        <v>7</v>
      </c>
      <c r="AK117" s="27" t="s">
        <v>8</v>
      </c>
      <c r="AL117" s="27" t="s">
        <v>7</v>
      </c>
      <c r="AU117" s="27" t="s">
        <v>8</v>
      </c>
      <c r="AV117" s="27" t="s">
        <v>7</v>
      </c>
      <c r="AW117" s="27" t="s">
        <v>8</v>
      </c>
      <c r="AX117" s="27" t="s">
        <v>7</v>
      </c>
      <c r="AY117" s="27" t="s">
        <v>8</v>
      </c>
      <c r="AZ117" s="27" t="s">
        <v>7</v>
      </c>
    </row>
    <row r="118" spans="1:56" x14ac:dyDescent="0.25">
      <c r="A118" s="30">
        <v>1.3310000000000004</v>
      </c>
      <c r="C118" s="1">
        <f>C117+1</f>
        <v>128</v>
      </c>
      <c r="D118" s="1">
        <f>D117+1</f>
        <v>57</v>
      </c>
      <c r="I118" s="27" t="s">
        <v>8</v>
      </c>
      <c r="Y118" s="27" t="s">
        <v>8</v>
      </c>
      <c r="Z118" s="27" t="s">
        <v>7</v>
      </c>
      <c r="AA118" s="27" t="s">
        <v>8</v>
      </c>
      <c r="AD118" s="27" t="s">
        <v>7</v>
      </c>
      <c r="AE118" s="27" t="s">
        <v>8</v>
      </c>
      <c r="AF118" s="27" t="s">
        <v>7</v>
      </c>
      <c r="AG118" s="27" t="s">
        <v>8</v>
      </c>
      <c r="AJ118" s="27" t="s">
        <v>7</v>
      </c>
      <c r="AK118" s="27" t="s">
        <v>8</v>
      </c>
      <c r="AL118" s="27" t="s">
        <v>7</v>
      </c>
      <c r="AM118" s="27" t="s">
        <v>8</v>
      </c>
      <c r="AQ118" s="27" t="s">
        <v>8</v>
      </c>
      <c r="AU118" s="27" t="s">
        <v>8</v>
      </c>
      <c r="AV118" s="27" t="s">
        <v>7</v>
      </c>
      <c r="AW118" s="27" t="s">
        <v>8</v>
      </c>
      <c r="AX118" s="27" t="s">
        <v>7</v>
      </c>
      <c r="AY118" s="27" t="s">
        <v>8</v>
      </c>
      <c r="AZ118" s="27" t="s">
        <v>7</v>
      </c>
    </row>
    <row r="119" spans="1:56" x14ac:dyDescent="0.25">
      <c r="A119" s="30">
        <v>1.2100000000000002</v>
      </c>
      <c r="G119" s="27" t="s">
        <v>8</v>
      </c>
      <c r="I119" s="27" t="s">
        <v>8</v>
      </c>
      <c r="J119" s="27" t="s">
        <v>7</v>
      </c>
      <c r="Y119" s="27" t="s">
        <v>8</v>
      </c>
      <c r="Z119" s="27" t="s">
        <v>7</v>
      </c>
      <c r="AA119" s="27" t="s">
        <v>8</v>
      </c>
      <c r="AD119" s="27" t="s">
        <v>7</v>
      </c>
      <c r="AE119" s="27" t="s">
        <v>8</v>
      </c>
      <c r="AF119" s="27" t="s">
        <v>7</v>
      </c>
      <c r="AG119" s="27" t="s">
        <v>8</v>
      </c>
      <c r="AJ119" s="27" t="s">
        <v>7</v>
      </c>
      <c r="AL119" s="27" t="s">
        <v>7</v>
      </c>
      <c r="AM119" s="27" t="s">
        <v>8</v>
      </c>
      <c r="AN119" s="27" t="s">
        <v>7</v>
      </c>
      <c r="AO119" s="27" t="s">
        <v>8</v>
      </c>
      <c r="AQ119" s="27" t="s">
        <v>8</v>
      </c>
      <c r="AR119" s="27" t="s">
        <v>7</v>
      </c>
      <c r="AS119" s="27" t="s">
        <v>8</v>
      </c>
      <c r="AU119" s="27" t="s">
        <v>8</v>
      </c>
      <c r="AV119" s="27" t="s">
        <v>7</v>
      </c>
      <c r="AW119" s="27" t="s">
        <v>8</v>
      </c>
      <c r="AX119" s="27" t="s">
        <v>7</v>
      </c>
      <c r="AY119" s="27" t="s">
        <v>8</v>
      </c>
      <c r="AZ119" s="27" t="s">
        <v>7</v>
      </c>
      <c r="BC119" s="27" t="s">
        <v>8</v>
      </c>
    </row>
    <row r="120" spans="1:56" x14ac:dyDescent="0.25">
      <c r="A120" s="30">
        <v>1.1000000000000001</v>
      </c>
      <c r="C120" s="1" t="s">
        <v>9</v>
      </c>
      <c r="G120" s="27" t="s">
        <v>8</v>
      </c>
      <c r="H120" s="27" t="s">
        <v>7</v>
      </c>
      <c r="I120" s="27" t="s">
        <v>8</v>
      </c>
      <c r="J120" s="27" t="s">
        <v>7</v>
      </c>
      <c r="Y120" s="27" t="s">
        <v>8</v>
      </c>
      <c r="Z120" s="27" t="s">
        <v>7</v>
      </c>
      <c r="AA120" s="27" t="s">
        <v>8</v>
      </c>
      <c r="AD120" s="27" t="s">
        <v>7</v>
      </c>
      <c r="AE120" s="27" t="s">
        <v>8</v>
      </c>
      <c r="AF120" s="27" t="s">
        <v>7</v>
      </c>
      <c r="AL120" s="27" t="s">
        <v>7</v>
      </c>
      <c r="AM120" s="27" t="s">
        <v>8</v>
      </c>
      <c r="AN120" s="27" t="s">
        <v>7</v>
      </c>
      <c r="AO120" s="27" t="s">
        <v>8</v>
      </c>
      <c r="AP120" s="27" t="s">
        <v>7</v>
      </c>
      <c r="AQ120" s="27" t="s">
        <v>8</v>
      </c>
      <c r="AR120" s="27" t="s">
        <v>7</v>
      </c>
      <c r="AS120" s="27" t="s">
        <v>8</v>
      </c>
      <c r="AT120" s="27" t="s">
        <v>7</v>
      </c>
      <c r="AU120" s="27" t="s">
        <v>8</v>
      </c>
      <c r="AV120" s="27" t="s">
        <v>7</v>
      </c>
      <c r="AW120" s="27" t="s">
        <v>8</v>
      </c>
      <c r="AX120" s="27" t="s">
        <v>7</v>
      </c>
      <c r="AY120" s="27" t="s">
        <v>8</v>
      </c>
      <c r="AZ120" s="27" t="s">
        <v>7</v>
      </c>
      <c r="BA120" s="27" t="s">
        <v>8</v>
      </c>
      <c r="BC120" s="27" t="s">
        <v>8</v>
      </c>
      <c r="BD120" s="27" t="s">
        <v>7</v>
      </c>
    </row>
    <row r="121" spans="1:56" x14ac:dyDescent="0.25">
      <c r="A121" s="30">
        <v>1</v>
      </c>
      <c r="C121" s="18">
        <v>127</v>
      </c>
      <c r="D121" s="19">
        <v>56</v>
      </c>
      <c r="E121" s="18" t="s">
        <v>8</v>
      </c>
      <c r="G121" s="27" t="s">
        <v>8</v>
      </c>
      <c r="H121" s="27" t="s">
        <v>7</v>
      </c>
      <c r="I121" s="27" t="s">
        <v>8</v>
      </c>
      <c r="J121" s="27" t="s">
        <v>7</v>
      </c>
      <c r="Y121" s="27" t="s">
        <v>8</v>
      </c>
      <c r="Z121" s="27" t="s">
        <v>7</v>
      </c>
      <c r="AA121" s="27" t="s">
        <v>8</v>
      </c>
      <c r="AD121" s="27" t="s">
        <v>7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  <c r="AY121" s="27" t="s">
        <v>8</v>
      </c>
      <c r="AZ121" s="27" t="s">
        <v>7</v>
      </c>
      <c r="BA121" s="27" t="s">
        <v>8</v>
      </c>
      <c r="BB121" s="27" t="s">
        <v>7</v>
      </c>
      <c r="BC121" s="27" t="s">
        <v>8</v>
      </c>
      <c r="BD121" s="27" t="s">
        <v>7</v>
      </c>
    </row>
    <row r="122" spans="1:56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J122" s="27" t="s">
        <v>7</v>
      </c>
      <c r="Y122" s="27" t="s">
        <v>8</v>
      </c>
      <c r="Z122" s="27" t="s">
        <v>7</v>
      </c>
      <c r="AA122" s="27" t="s">
        <v>8</v>
      </c>
      <c r="AL122" s="27" t="s">
        <v>7</v>
      </c>
      <c r="AN122" s="27" t="s">
        <v>7</v>
      </c>
      <c r="AO122" s="27" t="s">
        <v>8</v>
      </c>
      <c r="AP122" s="27" t="s">
        <v>7</v>
      </c>
      <c r="AR122" s="27" t="s">
        <v>7</v>
      </c>
      <c r="AT122" s="27" t="s">
        <v>7</v>
      </c>
      <c r="AU122" s="27" t="s">
        <v>8</v>
      </c>
      <c r="AV122" s="27" t="s">
        <v>7</v>
      </c>
      <c r="AW122" s="27" t="s">
        <v>8</v>
      </c>
      <c r="AX122" s="27" t="s">
        <v>7</v>
      </c>
      <c r="AZ122" s="27" t="s">
        <v>7</v>
      </c>
      <c r="BA122" s="27" t="s">
        <v>8</v>
      </c>
      <c r="BB122" s="27" t="s">
        <v>7</v>
      </c>
      <c r="BC122" s="27" t="s">
        <v>8</v>
      </c>
      <c r="BD122" s="27" t="s">
        <v>7</v>
      </c>
    </row>
    <row r="123" spans="1:56" x14ac:dyDescent="0.25">
      <c r="A123" s="30">
        <v>0.82644628099173523</v>
      </c>
      <c r="C123" s="1" t="str">
        <f>"R"&amp;C121</f>
        <v>R127</v>
      </c>
      <c r="D123" s="1" t="str">
        <f>"C"&amp;D121</f>
        <v>C56</v>
      </c>
      <c r="F123" s="27" t="s">
        <v>7</v>
      </c>
      <c r="G123" s="27" t="s">
        <v>8</v>
      </c>
      <c r="J123" s="27" t="s">
        <v>7</v>
      </c>
      <c r="Y123" s="27" t="s">
        <v>8</v>
      </c>
      <c r="Z123" s="27" t="s">
        <v>7</v>
      </c>
      <c r="AA123" s="27" t="s">
        <v>8</v>
      </c>
      <c r="AN123" s="27" t="s">
        <v>7</v>
      </c>
      <c r="AO123" s="27" t="s">
        <v>8</v>
      </c>
      <c r="AT123" s="27" t="s">
        <v>7</v>
      </c>
      <c r="AU123" s="27" t="s">
        <v>8</v>
      </c>
      <c r="AV123" s="27" t="s">
        <v>7</v>
      </c>
      <c r="AZ123" s="27" t="s">
        <v>7</v>
      </c>
      <c r="BB123" s="27" t="s">
        <v>7</v>
      </c>
      <c r="BD123" s="27" t="s">
        <v>7</v>
      </c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J124" s="27" t="s">
        <v>7</v>
      </c>
      <c r="Y124" s="27" t="s">
        <v>8</v>
      </c>
      <c r="Z124" s="27" t="s">
        <v>7</v>
      </c>
      <c r="AA124" s="27" t="s">
        <v>8</v>
      </c>
      <c r="AN124" s="27" t="s">
        <v>7</v>
      </c>
      <c r="AO124" s="27" t="s">
        <v>8</v>
      </c>
      <c r="AT124" s="27" t="s">
        <v>7</v>
      </c>
      <c r="AU124" s="27" t="s">
        <v>8</v>
      </c>
      <c r="BD124" s="27" t="s">
        <v>7</v>
      </c>
    </row>
    <row r="125" spans="1:56" x14ac:dyDescent="0.25">
      <c r="A125" s="30">
        <v>0.68301345536507019</v>
      </c>
      <c r="F125" s="27" t="s">
        <v>7</v>
      </c>
      <c r="G125" s="27" t="s">
        <v>8</v>
      </c>
      <c r="J125" s="27" t="s">
        <v>7</v>
      </c>
      <c r="K125" s="27" t="s">
        <v>8</v>
      </c>
      <c r="Y125" s="27" t="s">
        <v>8</v>
      </c>
      <c r="Z125" s="27" t="s">
        <v>7</v>
      </c>
      <c r="AN125" s="27" t="s">
        <v>7</v>
      </c>
      <c r="AT125" s="27" t="s">
        <v>7</v>
      </c>
      <c r="AU125" s="27" t="s">
        <v>8</v>
      </c>
      <c r="BD125" s="27" t="s">
        <v>7</v>
      </c>
    </row>
    <row r="126" spans="1:56" x14ac:dyDescent="0.25">
      <c r="A126" s="30">
        <v>0.6209213230591546</v>
      </c>
      <c r="C126" s="1" t="s">
        <v>10</v>
      </c>
      <c r="F126" s="27" t="s">
        <v>7</v>
      </c>
      <c r="J126" s="27" t="s">
        <v>7</v>
      </c>
      <c r="K126" s="27" t="s">
        <v>8</v>
      </c>
      <c r="L126" s="27" t="s">
        <v>7</v>
      </c>
      <c r="Y126" s="27" t="s">
        <v>8</v>
      </c>
      <c r="AT126" s="18" t="s">
        <v>7</v>
      </c>
      <c r="AU126" s="27" t="s">
        <v>8</v>
      </c>
      <c r="BD126" s="27" t="s">
        <v>7</v>
      </c>
    </row>
    <row r="127" spans="1:56" x14ac:dyDescent="0.25">
      <c r="A127" s="30">
        <v>0.56447393005377677</v>
      </c>
      <c r="C127" s="30">
        <v>0.56447393005377677</v>
      </c>
      <c r="D127"/>
      <c r="J127" s="27" t="s">
        <v>7</v>
      </c>
      <c r="K127" s="27" t="s">
        <v>8</v>
      </c>
      <c r="L127" s="27" t="s">
        <v>7</v>
      </c>
      <c r="Q127" s="27" t="s">
        <v>8</v>
      </c>
      <c r="S127" s="27" t="s">
        <v>8</v>
      </c>
      <c r="Y127" s="27" t="s">
        <v>8</v>
      </c>
      <c r="AT127" s="27" t="s">
        <v>7</v>
      </c>
      <c r="BD127" s="27" t="s">
        <v>7</v>
      </c>
    </row>
    <row r="128" spans="1:56" x14ac:dyDescent="0.25">
      <c r="A128" s="30">
        <v>0.51315811823070612</v>
      </c>
      <c r="J128" s="27" t="s">
        <v>7</v>
      </c>
      <c r="L128" s="27" t="s">
        <v>7</v>
      </c>
      <c r="M128" s="27" t="s">
        <v>8</v>
      </c>
      <c r="Q128" s="27" t="s">
        <v>8</v>
      </c>
      <c r="R128" s="27" t="s">
        <v>7</v>
      </c>
      <c r="S128" s="27" t="s">
        <v>8</v>
      </c>
      <c r="T128" s="27" t="s">
        <v>7</v>
      </c>
      <c r="U128" s="27" t="s">
        <v>8</v>
      </c>
      <c r="Y128" s="27" t="s">
        <v>8</v>
      </c>
    </row>
    <row r="129" spans="1:25" x14ac:dyDescent="0.25">
      <c r="A129" s="30">
        <v>0.46650738020973276</v>
      </c>
      <c r="C129" s="1" t="s">
        <v>11</v>
      </c>
      <c r="D129" s="1" t="s">
        <v>12</v>
      </c>
      <c r="E129"/>
      <c r="L129" s="27" t="s">
        <v>7</v>
      </c>
      <c r="M129" s="27" t="s">
        <v>8</v>
      </c>
      <c r="N129" s="27" t="s">
        <v>7</v>
      </c>
      <c r="Q129" s="27" t="s">
        <v>8</v>
      </c>
      <c r="R129" s="27" t="s">
        <v>7</v>
      </c>
      <c r="S129" s="27" t="s">
        <v>8</v>
      </c>
      <c r="T129" s="27" t="s">
        <v>7</v>
      </c>
      <c r="U129" s="27" t="s">
        <v>8</v>
      </c>
      <c r="V129" s="27" t="s">
        <v>7</v>
      </c>
      <c r="W129" s="27" t="s">
        <v>8</v>
      </c>
      <c r="Y129" s="27" t="s">
        <v>8</v>
      </c>
    </row>
    <row r="130" spans="1:25" x14ac:dyDescent="0.25">
      <c r="A130" s="30">
        <v>0.42409761837248428</v>
      </c>
      <c r="C130" s="6"/>
      <c r="D130" s="6"/>
      <c r="E130"/>
      <c r="L130" s="27" t="s">
        <v>7</v>
      </c>
      <c r="M130" s="27" t="s">
        <v>8</v>
      </c>
      <c r="N130" s="27" t="s">
        <v>7</v>
      </c>
      <c r="O130" s="27" t="s">
        <v>8</v>
      </c>
      <c r="Q130" s="27" t="s">
        <v>8</v>
      </c>
      <c r="R130" s="27" t="s">
        <v>7</v>
      </c>
      <c r="S130" s="27" t="s">
        <v>8</v>
      </c>
      <c r="T130" s="27" t="s">
        <v>7</v>
      </c>
      <c r="U130" s="27" t="s">
        <v>8</v>
      </c>
      <c r="V130" s="27" t="s">
        <v>7</v>
      </c>
      <c r="W130" s="27" t="s">
        <v>8</v>
      </c>
      <c r="X130" s="27" t="s">
        <v>7</v>
      </c>
      <c r="Y130" s="27" t="s">
        <v>8</v>
      </c>
    </row>
    <row r="131" spans="1:25" x14ac:dyDescent="0.25">
      <c r="A131" s="30">
        <v>0.38554328942953109</v>
      </c>
      <c r="E131"/>
      <c r="L131" s="27" t="s">
        <v>7</v>
      </c>
      <c r="N131" s="27" t="s">
        <v>7</v>
      </c>
      <c r="O131" s="27" t="s">
        <v>8</v>
      </c>
      <c r="P131" s="27" t="s">
        <v>7</v>
      </c>
      <c r="Q131" s="27" t="s">
        <v>8</v>
      </c>
      <c r="R131" s="27" t="s">
        <v>7</v>
      </c>
      <c r="T131" s="27" t="s">
        <v>7</v>
      </c>
      <c r="V131" s="27" t="s">
        <v>7</v>
      </c>
      <c r="W131" s="27" t="s">
        <v>8</v>
      </c>
      <c r="X131" s="27" t="s">
        <v>7</v>
      </c>
      <c r="Y131" s="27" t="s">
        <v>8</v>
      </c>
    </row>
    <row r="132" spans="1:25" x14ac:dyDescent="0.25">
      <c r="A132" s="30">
        <v>0.35049389948139187</v>
      </c>
      <c r="C132" s="1" t="s">
        <v>13</v>
      </c>
      <c r="E132"/>
      <c r="N132" s="27" t="s">
        <v>7</v>
      </c>
      <c r="O132" s="27" t="s">
        <v>8</v>
      </c>
      <c r="P132" s="27" t="s">
        <v>7</v>
      </c>
      <c r="Q132" s="27" t="s">
        <v>8</v>
      </c>
      <c r="V132" s="27" t="s">
        <v>7</v>
      </c>
      <c r="X132" s="27" t="s">
        <v>7</v>
      </c>
    </row>
    <row r="133" spans="1:25" x14ac:dyDescent="0.25">
      <c r="A133" s="30">
        <v>0.31863081771035617</v>
      </c>
      <c r="C133" s="1" t="str">
        <f>C122</f>
        <v>O</v>
      </c>
      <c r="E133"/>
      <c r="N133" s="27" t="s">
        <v>7</v>
      </c>
      <c r="O133" s="27" t="s">
        <v>8</v>
      </c>
      <c r="P133" s="27" t="s">
        <v>7</v>
      </c>
    </row>
    <row r="134" spans="1:25" x14ac:dyDescent="0.25">
      <c r="A134" s="30">
        <v>0.28966437973668741</v>
      </c>
      <c r="C134"/>
      <c r="D134"/>
      <c r="E134"/>
      <c r="N134" s="27" t="s">
        <v>7</v>
      </c>
    </row>
    <row r="135" spans="1:25" x14ac:dyDescent="0.25">
      <c r="A135" s="30">
        <v>0.2633312543060794</v>
      </c>
      <c r="C135" s="1" t="s">
        <v>14</v>
      </c>
      <c r="E135"/>
    </row>
    <row r="136" spans="1:2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25" x14ac:dyDescent="0.25">
      <c r="A137" s="30">
        <v>0.2176291357901482</v>
      </c>
      <c r="E137"/>
    </row>
    <row r="138" spans="1:2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25" x14ac:dyDescent="0.25">
      <c r="A139" s="30">
        <v>0.17985878990921333</v>
      </c>
      <c r="E139"/>
    </row>
    <row r="140" spans="1:25" x14ac:dyDescent="0.25">
      <c r="A140" s="30">
        <v>0.16350799082655756</v>
      </c>
      <c r="C140" s="1">
        <v>0</v>
      </c>
      <c r="E140"/>
    </row>
    <row r="141" spans="1:25" x14ac:dyDescent="0.25">
      <c r="A141" s="30">
        <v>0.14864362802414322</v>
      </c>
      <c r="C141" s="1">
        <v>1</v>
      </c>
      <c r="E141"/>
    </row>
    <row r="142" spans="1:25" x14ac:dyDescent="0.25">
      <c r="A142" s="30">
        <v>0.13513057093103928</v>
      </c>
      <c r="C142" s="1">
        <v>2</v>
      </c>
      <c r="E142"/>
    </row>
    <row r="143" spans="1:25" x14ac:dyDescent="0.25">
      <c r="A143" s="30">
        <v>0.12284597357367205</v>
      </c>
      <c r="C143" s="1">
        <v>3</v>
      </c>
      <c r="E143"/>
    </row>
    <row r="144" spans="1:2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89" operator="equal">
      <formula>$U$1</formula>
    </cfRule>
    <cfRule type="cellIs" dxfId="30" priority="990" operator="equal">
      <formula>$S$1</formula>
    </cfRule>
  </conditionalFormatting>
  <conditionalFormatting sqref="D136">
    <cfRule type="cellIs" dxfId="29" priority="987" operator="equal">
      <formula>$S$1</formula>
    </cfRule>
    <cfRule type="cellIs" dxfId="28" priority="988" operator="equal">
      <formula>$U$1</formula>
    </cfRule>
  </conditionalFormatting>
  <conditionalFormatting sqref="C102">
    <cfRule type="cellIs" dxfId="27" priority="985" operator="equal">
      <formula>$U$1</formula>
    </cfRule>
    <cfRule type="cellIs" dxfId="26" priority="986" operator="equal">
      <formula>$S$1</formula>
    </cfRule>
  </conditionalFormatting>
  <conditionalFormatting sqref="D102">
    <cfRule type="cellIs" dxfId="25" priority="983" operator="equal">
      <formula>$S$1</formula>
    </cfRule>
    <cfRule type="cellIs" dxfId="24" priority="984" operator="equal">
      <formula>$U$1</formula>
    </cfRule>
  </conditionalFormatting>
  <conditionalFormatting sqref="C77">
    <cfRule type="cellIs" dxfId="23" priority="981" operator="equal">
      <formula>$U$1</formula>
    </cfRule>
    <cfRule type="cellIs" dxfId="22" priority="982" operator="equal">
      <formula>$S$1</formula>
    </cfRule>
  </conditionalFormatting>
  <conditionalFormatting sqref="D77">
    <cfRule type="cellIs" dxfId="21" priority="979" operator="equal">
      <formula>$S$1</formula>
    </cfRule>
    <cfRule type="cellIs" dxfId="20" priority="980" operator="equal">
      <formula>$U$1</formula>
    </cfRule>
  </conditionalFormatting>
  <conditionalFormatting sqref="C52">
    <cfRule type="cellIs" dxfId="19" priority="977" operator="equal">
      <formula>$U$1</formula>
    </cfRule>
    <cfRule type="cellIs" dxfId="18" priority="978" operator="equal">
      <formula>$S$1</formula>
    </cfRule>
  </conditionalFormatting>
  <conditionalFormatting sqref="D52">
    <cfRule type="cellIs" dxfId="17" priority="975" operator="equal">
      <formula>$S$1</formula>
    </cfRule>
    <cfRule type="cellIs" dxfId="16" priority="976" operator="equal">
      <formula>$U$1</formula>
    </cfRule>
  </conditionalFormatting>
  <conditionalFormatting sqref="C26">
    <cfRule type="cellIs" dxfId="15" priority="973" operator="equal">
      <formula>$U$1</formula>
    </cfRule>
    <cfRule type="cellIs" dxfId="14" priority="974" operator="equal">
      <formula>$S$1</formula>
    </cfRule>
  </conditionalFormatting>
  <conditionalFormatting sqref="D26">
    <cfRule type="cellIs" dxfId="13" priority="971" operator="equal">
      <formula>$S$1</formula>
    </cfRule>
    <cfRule type="cellIs" dxfId="12" priority="9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2022-01-28T01:20:11Z</dcterms:modified>
</cp:coreProperties>
</file>