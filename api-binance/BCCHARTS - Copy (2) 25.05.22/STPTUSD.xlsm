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679033D-DED6-4C57-B9FA-5ADE83CE969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D136" i="4" s="1"/>
  <c r="C116" i="3"/>
  <c r="C116" i="4"/>
  <c r="C118" i="4"/>
  <c r="R765" i="1"/>
  <c r="S765" i="1" s="1"/>
  <c r="T765" i="1" s="1"/>
  <c r="S766" i="1"/>
  <c r="T766" i="1" s="1"/>
  <c r="C122" i="3"/>
  <c r="C133" i="3" s="1"/>
  <c r="D136" i="3" s="1"/>
  <c r="R764" i="1"/>
  <c r="C136" i="5" l="1"/>
  <c r="C138" i="5" s="1"/>
  <c r="C136" i="4"/>
  <c r="C138" i="4" s="1"/>
  <c r="C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<sst xmlns="http://schemas.openxmlformats.org/spreadsheetml/2006/main" count="7702" uniqueCount="34">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</sst>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6.5390000000000004E-2</c:v>
                </c:pt>
                <c:pt idx="1">
                  <c:v>6.7470000000000002E-2</c:v>
                </c:pt>
                <c:pt idx="2">
                  <c:v>6.4280000000000004E-2</c:v>
                </c:pt>
                <c:pt idx="3">
                  <c:v>6.5060000000000007E-2</c:v>
                </c:pt>
                <c:pt idx="4">
                  <c:v>6.7250000000000004E-2</c:v>
                </c:pt>
                <c:pt idx="5">
                  <c:v>6.4750000000000002E-2</c:v>
                </c:pt>
                <c:pt idx="6">
                  <c:v>7.4270000000000003E-2</c:v>
                </c:pt>
                <c:pt idx="7">
                  <c:v>8.7349999999999997E-2</c:v>
                </c:pt>
                <c:pt idx="8">
                  <c:v>9.1869999999999993E-2</c:v>
                </c:pt>
                <c:pt idx="9">
                  <c:v>9.2950000000000005E-2</c:v>
                </c:pt>
                <c:pt idx="10">
                  <c:v>9.282E-2</c:v>
                </c:pt>
                <c:pt idx="11">
                  <c:v>9.7000000000000003E-2</c:v>
                </c:pt>
                <c:pt idx="12">
                  <c:v>9.6909999999999996E-2</c:v>
                </c:pt>
                <c:pt idx="13">
                  <c:v>9.6369999999999997E-2</c:v>
                </c:pt>
                <c:pt idx="14">
                  <c:v>9.4399999999999998E-2</c:v>
                </c:pt>
                <c:pt idx="15">
                  <c:v>9.733E-2</c:v>
                </c:pt>
                <c:pt idx="16">
                  <c:v>9.2969999999999997E-2</c:v>
                </c:pt>
                <c:pt idx="17">
                  <c:v>9.2420000000000002E-2</c:v>
                </c:pt>
                <c:pt idx="18">
                  <c:v>9.8100000000000007E-2</c:v>
                </c:pt>
                <c:pt idx="19">
                  <c:v>9.3270000000000006E-2</c:v>
                </c:pt>
                <c:pt idx="20">
                  <c:v>9.3789999999999998E-2</c:v>
                </c:pt>
                <c:pt idx="21">
                  <c:v>9.8680000000000004E-2</c:v>
                </c:pt>
                <c:pt idx="22">
                  <c:v>9.9669999999999995E-2</c:v>
                </c:pt>
                <c:pt idx="23">
                  <c:v>0.10798000000000001</c:v>
                </c:pt>
                <c:pt idx="24">
                  <c:v>0.11216</c:v>
                </c:pt>
                <c:pt idx="25">
                  <c:v>0.11414000000000001</c:v>
                </c:pt>
                <c:pt idx="26">
                  <c:v>0.10502</c:v>
                </c:pt>
                <c:pt idx="27">
                  <c:v>0.10199999999999999</c:v>
                </c:pt>
                <c:pt idx="28">
                  <c:v>0.10452</c:v>
                </c:pt>
                <c:pt idx="29">
                  <c:v>0.10179000000000001</c:v>
                </c:pt>
                <c:pt idx="30">
                  <c:v>0.10808</c:v>
                </c:pt>
                <c:pt idx="31">
                  <c:v>0.11377</c:v>
                </c:pt>
                <c:pt idx="32">
                  <c:v>0.11426</c:v>
                </c:pt>
                <c:pt idx="33">
                  <c:v>0.11393</c:v>
                </c:pt>
                <c:pt idx="34">
                  <c:v>0.11325</c:v>
                </c:pt>
                <c:pt idx="35">
                  <c:v>0.11461</c:v>
                </c:pt>
                <c:pt idx="36">
                  <c:v>0.10811</c:v>
                </c:pt>
                <c:pt idx="37">
                  <c:v>0.10716000000000001</c:v>
                </c:pt>
                <c:pt idx="38">
                  <c:v>0.10319</c:v>
                </c:pt>
                <c:pt idx="39">
                  <c:v>0.10804999999999999</c:v>
                </c:pt>
                <c:pt idx="40">
                  <c:v>0.1099</c:v>
                </c:pt>
                <c:pt idx="41">
                  <c:v>0.10672</c:v>
                </c:pt>
                <c:pt idx="42">
                  <c:v>0.10226</c:v>
                </c:pt>
                <c:pt idx="43">
                  <c:v>0.10356</c:v>
                </c:pt>
                <c:pt idx="44">
                  <c:v>9.8710000000000006E-2</c:v>
                </c:pt>
                <c:pt idx="45">
                  <c:v>9.6909999999999996E-2</c:v>
                </c:pt>
                <c:pt idx="46">
                  <c:v>0.10911</c:v>
                </c:pt>
                <c:pt idx="47">
                  <c:v>0.10525</c:v>
                </c:pt>
                <c:pt idx="48">
                  <c:v>0.10484</c:v>
                </c:pt>
                <c:pt idx="49">
                  <c:v>0.10617</c:v>
                </c:pt>
                <c:pt idx="50">
                  <c:v>0.11675000000000001</c:v>
                </c:pt>
                <c:pt idx="51">
                  <c:v>0.12187000000000001</c:v>
                </c:pt>
                <c:pt idx="52">
                  <c:v>0.10741000000000001</c:v>
                </c:pt>
                <c:pt idx="53">
                  <c:v>0.10446999999999999</c:v>
                </c:pt>
                <c:pt idx="54">
                  <c:v>0.11784</c:v>
                </c:pt>
                <c:pt idx="55">
                  <c:v>0.13811000000000001</c:v>
                </c:pt>
                <c:pt idx="56">
                  <c:v>0.14435000000000001</c:v>
                </c:pt>
                <c:pt idx="57">
                  <c:v>0.15151999999999999</c:v>
                </c:pt>
                <c:pt idx="58">
                  <c:v>0.14307</c:v>
                </c:pt>
                <c:pt idx="59">
                  <c:v>0.15475</c:v>
                </c:pt>
                <c:pt idx="60">
                  <c:v>0.16585</c:v>
                </c:pt>
                <c:pt idx="61">
                  <c:v>0.15165999999999999</c:v>
                </c:pt>
                <c:pt idx="62">
                  <c:v>0.14976999999999999</c:v>
                </c:pt>
                <c:pt idx="63">
                  <c:v>0.14216999999999999</c:v>
                </c:pt>
                <c:pt idx="64">
                  <c:v>0.13882</c:v>
                </c:pt>
                <c:pt idx="65">
                  <c:v>0.14652999999999999</c:v>
                </c:pt>
                <c:pt idx="66">
                  <c:v>0.14504</c:v>
                </c:pt>
                <c:pt idx="67">
                  <c:v>0.14349999999999999</c:v>
                </c:pt>
                <c:pt idx="68">
                  <c:v>0.13619999999999999</c:v>
                </c:pt>
                <c:pt idx="69">
                  <c:v>0.12773000000000001</c:v>
                </c:pt>
                <c:pt idx="70">
                  <c:v>0.12180000000000001</c:v>
                </c:pt>
                <c:pt idx="71">
                  <c:v>0.15118999999999999</c:v>
                </c:pt>
                <c:pt idx="72">
                  <c:v>0.13489999999999999</c:v>
                </c:pt>
                <c:pt idx="73">
                  <c:v>0.13711999999999999</c:v>
                </c:pt>
                <c:pt idx="74">
                  <c:v>0.13597999999999999</c:v>
                </c:pt>
                <c:pt idx="75">
                  <c:v>0.12883</c:v>
                </c:pt>
                <c:pt idx="76">
                  <c:v>0.12035</c:v>
                </c:pt>
                <c:pt idx="77">
                  <c:v>0.12414</c:v>
                </c:pt>
                <c:pt idx="78">
                  <c:v>0.1216</c:v>
                </c:pt>
                <c:pt idx="79">
                  <c:v>0.12686</c:v>
                </c:pt>
                <c:pt idx="80">
                  <c:v>0.12848999999999999</c:v>
                </c:pt>
                <c:pt idx="81">
                  <c:v>0.12962000000000001</c:v>
                </c:pt>
                <c:pt idx="82">
                  <c:v>0.12937000000000001</c:v>
                </c:pt>
                <c:pt idx="83">
                  <c:v>0.13117999999999999</c:v>
                </c:pt>
                <c:pt idx="84">
                  <c:v>0.13435</c:v>
                </c:pt>
                <c:pt idx="85">
                  <c:v>0.1341</c:v>
                </c:pt>
                <c:pt idx="86">
                  <c:v>0.13317000000000001</c:v>
                </c:pt>
                <c:pt idx="87">
                  <c:v>0.13188</c:v>
                </c:pt>
                <c:pt idx="88">
                  <c:v>0.13344</c:v>
                </c:pt>
                <c:pt idx="89">
                  <c:v>0.13544</c:v>
                </c:pt>
                <c:pt idx="90">
                  <c:v>0.14016000000000001</c:v>
                </c:pt>
                <c:pt idx="91">
                  <c:v>0.13464999999999999</c:v>
                </c:pt>
                <c:pt idx="92">
                  <c:v>0.12873000000000001</c:v>
                </c:pt>
                <c:pt idx="93">
                  <c:v>0.14746999999999999</c:v>
                </c:pt>
                <c:pt idx="94">
                  <c:v>0.15065999999999999</c:v>
                </c:pt>
                <c:pt idx="95">
                  <c:v>0.14871999999999999</c:v>
                </c:pt>
                <c:pt idx="96">
                  <c:v>0.15676999999999999</c:v>
                </c:pt>
                <c:pt idx="97">
                  <c:v>0.15386</c:v>
                </c:pt>
                <c:pt idx="98">
                  <c:v>0.15328</c:v>
                </c:pt>
                <c:pt idx="99">
                  <c:v>0.16758999999999999</c:v>
                </c:pt>
                <c:pt idx="100">
                  <c:v>0.15154000000000001</c:v>
                </c:pt>
                <c:pt idx="101">
                  <c:v>0.13875000000000001</c:v>
                </c:pt>
                <c:pt idx="102">
                  <c:v>0.1447</c:v>
                </c:pt>
                <c:pt idx="103">
                  <c:v>0.14985000000000001</c:v>
                </c:pt>
                <c:pt idx="104">
                  <c:v>0.14935000000000001</c:v>
                </c:pt>
                <c:pt idx="105">
                  <c:v>0.17144999999999999</c:v>
                </c:pt>
                <c:pt idx="106">
                  <c:v>0.18473999999999999</c:v>
                </c:pt>
                <c:pt idx="107">
                  <c:v>0.14330999999999999</c:v>
                </c:pt>
                <c:pt idx="108">
                  <c:v>0.14047999999999999</c:v>
                </c:pt>
                <c:pt idx="109">
                  <c:v>0.13389000000000001</c:v>
                </c:pt>
                <c:pt idx="110">
                  <c:v>0.14413000000000001</c:v>
                </c:pt>
                <c:pt idx="111">
                  <c:v>0.16250999999999999</c:v>
                </c:pt>
                <c:pt idx="112">
                  <c:v>0.19558</c:v>
                </c:pt>
                <c:pt idx="113">
                  <c:v>0.19070000000000001</c:v>
                </c:pt>
                <c:pt idx="114">
                  <c:v>0.14813999999999999</c:v>
                </c:pt>
                <c:pt idx="115">
                  <c:v>5.602E-2</c:v>
                </c:pt>
                <c:pt idx="116">
                  <c:v>5.7910000000000003E-2</c:v>
                </c:pt>
                <c:pt idx="117">
                  <c:v>5.9110000000000003E-2</c:v>
                </c:pt>
                <c:pt idx="118">
                  <c:v>6.089E-2</c:v>
                </c:pt>
                <c:pt idx="119">
                  <c:v>5.892E-2</c:v>
                </c:pt>
                <c:pt idx="120">
                  <c:v>4.5609999999999998E-2</c:v>
                </c:pt>
                <c:pt idx="121">
                  <c:v>4.5199999999999997E-2</c:v>
                </c:pt>
                <c:pt idx="122">
                  <c:v>4.8230000000000002E-2</c:v>
                </c:pt>
                <c:pt idx="123">
                  <c:v>4.7129999999999998E-2</c:v>
                </c:pt>
                <c:pt idx="124">
                  <c:v>4.9329999999999999E-2</c:v>
                </c:pt>
                <c:pt idx="125">
                  <c:v>4.8259999999999997E-2</c:v>
                </c:pt>
                <c:pt idx="126">
                  <c:v>5.2630000000000003E-2</c:v>
                </c:pt>
                <c:pt idx="127">
                  <c:v>5.0520000000000002E-2</c:v>
                </c:pt>
                <c:pt idx="128">
                  <c:v>4.5199999999999997E-2</c:v>
                </c:pt>
                <c:pt idx="129">
                  <c:v>5.2859999999999997E-2</c:v>
                </c:pt>
                <c:pt idx="130">
                  <c:v>5.8630000000000002E-2</c:v>
                </c:pt>
                <c:pt idx="131">
                  <c:v>6.1539999999999997E-2</c:v>
                </c:pt>
                <c:pt idx="132">
                  <c:v>6.182E-2</c:v>
                </c:pt>
                <c:pt idx="133">
                  <c:v>6.1159999999999999E-2</c:v>
                </c:pt>
                <c:pt idx="134">
                  <c:v>6.1559999999999997E-2</c:v>
                </c:pt>
                <c:pt idx="135">
                  <c:v>0.06</c:v>
                </c:pt>
                <c:pt idx="136">
                  <c:v>5.8270000000000002E-2</c:v>
                </c:pt>
                <c:pt idx="137">
                  <c:v>6.0729999999999999E-2</c:v>
                </c:pt>
                <c:pt idx="138">
                  <c:v>5.9520000000000003E-2</c:v>
                </c:pt>
                <c:pt idx="139">
                  <c:v>5.9659999999999998E-2</c:v>
                </c:pt>
                <c:pt idx="140">
                  <c:v>6.2649999999999997E-2</c:v>
                </c:pt>
                <c:pt idx="141">
                  <c:v>5.9299999999999999E-2</c:v>
                </c:pt>
                <c:pt idx="142">
                  <c:v>5.8779999999999999E-2</c:v>
                </c:pt>
                <c:pt idx="143">
                  <c:v>7.1749999999999994E-2</c:v>
                </c:pt>
                <c:pt idx="144">
                  <c:v>7.1300000000000002E-2</c:v>
                </c:pt>
                <c:pt idx="145">
                  <c:v>7.3580000000000007E-2</c:v>
                </c:pt>
                <c:pt idx="146">
                  <c:v>6.8860000000000005E-2</c:v>
                </c:pt>
                <c:pt idx="147">
                  <c:v>6.5390000000000004E-2</c:v>
                </c:pt>
                <c:pt idx="148">
                  <c:v>6.5199999999999994E-2</c:v>
                </c:pt>
                <c:pt idx="149">
                  <c:v>6.2370000000000002E-2</c:v>
                </c:pt>
                <c:pt idx="150">
                  <c:v>6.0859999999999997E-2</c:v>
                </c:pt>
                <c:pt idx="151">
                  <c:v>6.2659999999999993E-2</c:v>
                </c:pt>
                <c:pt idx="152">
                  <c:v>6.3899999999999998E-2</c:v>
                </c:pt>
                <c:pt idx="153">
                  <c:v>6.4659999999999995E-2</c:v>
                </c:pt>
                <c:pt idx="154">
                  <c:v>6.1740000000000003E-2</c:v>
                </c:pt>
                <c:pt idx="155">
                  <c:v>6.6059999999999994E-2</c:v>
                </c:pt>
                <c:pt idx="156">
                  <c:v>6.3759999999999997E-2</c:v>
                </c:pt>
                <c:pt idx="157">
                  <c:v>6.5310000000000007E-2</c:v>
                </c:pt>
                <c:pt idx="158">
                  <c:v>6.3100000000000003E-2</c:v>
                </c:pt>
                <c:pt idx="159">
                  <c:v>6.3049999999999995E-2</c:v>
                </c:pt>
                <c:pt idx="160">
                  <c:v>6.4339999999999994E-2</c:v>
                </c:pt>
                <c:pt idx="161">
                  <c:v>6.2909999999999994E-2</c:v>
                </c:pt>
                <c:pt idx="162">
                  <c:v>6.089E-2</c:v>
                </c:pt>
                <c:pt idx="163">
                  <c:v>6.1400000000000003E-2</c:v>
                </c:pt>
                <c:pt idx="164">
                  <c:v>6.5040000000000001E-2</c:v>
                </c:pt>
                <c:pt idx="165">
                  <c:v>6.7320000000000005E-2</c:v>
                </c:pt>
                <c:pt idx="166">
                  <c:v>6.9180000000000005E-2</c:v>
                </c:pt>
                <c:pt idx="167">
                  <c:v>7.1379999999999999E-2</c:v>
                </c:pt>
                <c:pt idx="168">
                  <c:v>6.3060000000000005E-2</c:v>
                </c:pt>
                <c:pt idx="169">
                  <c:v>5.9200000000000003E-2</c:v>
                </c:pt>
                <c:pt idx="170">
                  <c:v>5.9400000000000001E-2</c:v>
                </c:pt>
                <c:pt idx="171">
                  <c:v>5.7320000000000003E-2</c:v>
                </c:pt>
                <c:pt idx="172">
                  <c:v>5.491E-2</c:v>
                </c:pt>
                <c:pt idx="173">
                  <c:v>5.6250000000000001E-2</c:v>
                </c:pt>
                <c:pt idx="174">
                  <c:v>5.5629999999999999E-2</c:v>
                </c:pt>
                <c:pt idx="175">
                  <c:v>5.2810000000000003E-2</c:v>
                </c:pt>
                <c:pt idx="176">
                  <c:v>5.1400000000000001E-2</c:v>
                </c:pt>
                <c:pt idx="177">
                  <c:v>5.0599999999999999E-2</c:v>
                </c:pt>
                <c:pt idx="178">
                  <c:v>4.9979999999999997E-2</c:v>
                </c:pt>
                <c:pt idx="179">
                  <c:v>5.049E-2</c:v>
                </c:pt>
                <c:pt idx="180">
                  <c:v>5.1950000000000003E-2</c:v>
                </c:pt>
                <c:pt idx="181">
                  <c:v>5.1200000000000002E-2</c:v>
                </c:pt>
                <c:pt idx="182">
                  <c:v>5.0869999999999999E-2</c:v>
                </c:pt>
                <c:pt idx="183">
                  <c:v>4.5940000000000002E-2</c:v>
                </c:pt>
                <c:pt idx="184">
                  <c:v>4.5940000000000002E-2</c:v>
                </c:pt>
                <c:pt idx="185">
                  <c:v>4.4479999999999999E-2</c:v>
                </c:pt>
                <c:pt idx="186">
                  <c:v>4.3779999999999999E-2</c:v>
                </c:pt>
                <c:pt idx="187">
                  <c:v>4.1230000000000003E-2</c:v>
                </c:pt>
                <c:pt idx="188">
                  <c:v>4.0809999999999999E-2</c:v>
                </c:pt>
                <c:pt idx="189">
                  <c:v>3.9699999999999999E-2</c:v>
                </c:pt>
                <c:pt idx="190">
                  <c:v>3.8550000000000001E-2</c:v>
                </c:pt>
                <c:pt idx="191">
                  <c:v>3.5549999999999998E-2</c:v>
                </c:pt>
                <c:pt idx="192">
                  <c:v>3.7589999999999998E-2</c:v>
                </c:pt>
                <c:pt idx="193">
                  <c:v>4.0189999999999997E-2</c:v>
                </c:pt>
                <c:pt idx="194">
                  <c:v>4.0669999999999998E-2</c:v>
                </c:pt>
                <c:pt idx="195">
                  <c:v>4.036E-2</c:v>
                </c:pt>
                <c:pt idx="196">
                  <c:v>4.3200000000000002E-2</c:v>
                </c:pt>
                <c:pt idx="197">
                  <c:v>4.5370000000000001E-2</c:v>
                </c:pt>
                <c:pt idx="198">
                  <c:v>4.6690000000000002E-2</c:v>
                </c:pt>
                <c:pt idx="199">
                  <c:v>4.573E-2</c:v>
                </c:pt>
                <c:pt idx="200">
                  <c:v>4.6940000000000003E-2</c:v>
                </c:pt>
                <c:pt idx="201">
                  <c:v>4.6530000000000002E-2</c:v>
                </c:pt>
                <c:pt idx="202">
                  <c:v>4.274E-2</c:v>
                </c:pt>
                <c:pt idx="203">
                  <c:v>4.2229999999999997E-2</c:v>
                </c:pt>
                <c:pt idx="204">
                  <c:v>4.8129999999999999E-2</c:v>
                </c:pt>
                <c:pt idx="205">
                  <c:v>4.9509999999999998E-2</c:v>
                </c:pt>
                <c:pt idx="206">
                  <c:v>4.7840000000000001E-2</c:v>
                </c:pt>
                <c:pt idx="207">
                  <c:v>4.7359999999999999E-2</c:v>
                </c:pt>
                <c:pt idx="208">
                  <c:v>4.6379999999999998E-2</c:v>
                </c:pt>
                <c:pt idx="209">
                  <c:v>4.5580000000000002E-2</c:v>
                </c:pt>
                <c:pt idx="210">
                  <c:v>4.4499999999999998E-2</c:v>
                </c:pt>
                <c:pt idx="211">
                  <c:v>4.2810000000000001E-2</c:v>
                </c:pt>
                <c:pt idx="212">
                  <c:v>4.2410000000000003E-2</c:v>
                </c:pt>
                <c:pt idx="213">
                  <c:v>3.9219999999999998E-2</c:v>
                </c:pt>
                <c:pt idx="214">
                  <c:v>3.637E-2</c:v>
                </c:pt>
                <c:pt idx="215">
                  <c:v>3.4630000000000001E-2</c:v>
                </c:pt>
                <c:pt idx="216">
                  <c:v>3.5589999999999997E-2</c:v>
                </c:pt>
                <c:pt idx="217">
                  <c:v>3.1980000000000001E-2</c:v>
                </c:pt>
                <c:pt idx="218">
                  <c:v>2.9270000000000001E-2</c:v>
                </c:pt>
                <c:pt idx="219">
                  <c:v>2.6329999999999999E-2</c:v>
                </c:pt>
                <c:pt idx="220">
                  <c:v>2.76E-2</c:v>
                </c:pt>
                <c:pt idx="221">
                  <c:v>3.9019999999999999E-2</c:v>
                </c:pt>
                <c:pt idx="222">
                  <c:v>4.0219999999999999E-2</c:v>
                </c:pt>
                <c:pt idx="223">
                  <c:v>4.265E-2</c:v>
                </c:pt>
                <c:pt idx="224">
                  <c:v>4.6460000000000001E-2</c:v>
                </c:pt>
                <c:pt idx="225">
                  <c:v>4.5650000000000003E-2</c:v>
                </c:pt>
                <c:pt idx="226">
                  <c:v>4.9549999999999997E-2</c:v>
                </c:pt>
                <c:pt idx="227">
                  <c:v>4.7289999999999999E-2</c:v>
                </c:pt>
                <c:pt idx="228">
                  <c:v>4.734E-2</c:v>
                </c:pt>
                <c:pt idx="229">
                  <c:v>4.7539999999999999E-2</c:v>
                </c:pt>
                <c:pt idx="230">
                  <c:v>6.3560000000000005E-2</c:v>
                </c:pt>
                <c:pt idx="231">
                  <c:v>4.8669999999999998E-2</c:v>
                </c:pt>
                <c:pt idx="232">
                  <c:v>4.582E-2</c:v>
                </c:pt>
                <c:pt idx="233">
                  <c:v>4.4940000000000001E-2</c:v>
                </c:pt>
                <c:pt idx="234">
                  <c:v>4.7550000000000002E-2</c:v>
                </c:pt>
                <c:pt idx="235">
                  <c:v>5.0590000000000003E-2</c:v>
                </c:pt>
                <c:pt idx="236">
                  <c:v>4.8680000000000001E-2</c:v>
                </c:pt>
                <c:pt idx="237">
                  <c:v>5.0009999999999999E-2</c:v>
                </c:pt>
                <c:pt idx="238">
                  <c:v>5.4019999999999999E-2</c:v>
                </c:pt>
                <c:pt idx="239">
                  <c:v>5.2409999999999998E-2</c:v>
                </c:pt>
                <c:pt idx="240">
                  <c:v>4.9340000000000002E-2</c:v>
                </c:pt>
                <c:pt idx="241">
                  <c:v>5.1639999999999998E-2</c:v>
                </c:pt>
                <c:pt idx="242">
                  <c:v>4.9869999999999998E-2</c:v>
                </c:pt>
                <c:pt idx="243">
                  <c:v>4.8520000000000001E-2</c:v>
                </c:pt>
                <c:pt idx="244">
                  <c:v>5.2380000000000003E-2</c:v>
                </c:pt>
                <c:pt idx="245">
                  <c:v>5.577E-2</c:v>
                </c:pt>
                <c:pt idx="246">
                  <c:v>5.765E-2</c:v>
                </c:pt>
                <c:pt idx="247">
                  <c:v>5.5E-2</c:v>
                </c:pt>
                <c:pt idx="248">
                  <c:v>5.5449999999999999E-2</c:v>
                </c:pt>
                <c:pt idx="249">
                  <c:v>5.194E-2</c:v>
                </c:pt>
                <c:pt idx="250">
                  <c:v>5.9360000000000003E-2</c:v>
                </c:pt>
                <c:pt idx="251">
                  <c:v>5.8860000000000003E-2</c:v>
                </c:pt>
                <c:pt idx="252">
                  <c:v>5.4399999999999997E-2</c:v>
                </c:pt>
                <c:pt idx="253">
                  <c:v>4.3069999999999997E-2</c:v>
                </c:pt>
                <c:pt idx="254">
                  <c:v>6.2039999999999998E-2</c:v>
                </c:pt>
                <c:pt idx="255">
                  <c:v>5.9679999999999997E-2</c:v>
                </c:pt>
                <c:pt idx="256">
                  <c:v>6.6710000000000005E-2</c:v>
                </c:pt>
                <c:pt idx="257">
                  <c:v>6.7890000000000006E-2</c:v>
                </c:pt>
                <c:pt idx="258">
                  <c:v>7.4300000000000005E-2</c:v>
                </c:pt>
                <c:pt idx="259">
                  <c:v>6.7110000000000003E-2</c:v>
                </c:pt>
                <c:pt idx="260">
                  <c:v>6.4890000000000003E-2</c:v>
                </c:pt>
                <c:pt idx="261">
                  <c:v>7.5749999999999998E-2</c:v>
                </c:pt>
                <c:pt idx="262">
                  <c:v>7.0559999999999998E-2</c:v>
                </c:pt>
                <c:pt idx="263">
                  <c:v>7.6999999999999999E-2</c:v>
                </c:pt>
                <c:pt idx="264">
                  <c:v>7.6240000000000002E-2</c:v>
                </c:pt>
                <c:pt idx="265">
                  <c:v>7.7929999999999999E-2</c:v>
                </c:pt>
                <c:pt idx="266">
                  <c:v>7.9070000000000001E-2</c:v>
                </c:pt>
                <c:pt idx="267">
                  <c:v>8.5220000000000004E-2</c:v>
                </c:pt>
                <c:pt idx="268">
                  <c:v>8.0030000000000004E-2</c:v>
                </c:pt>
                <c:pt idx="269">
                  <c:v>7.9949999999999993E-2</c:v>
                </c:pt>
                <c:pt idx="270">
                  <c:v>7.9269999999999993E-2</c:v>
                </c:pt>
                <c:pt idx="271">
                  <c:v>8.0810000000000007E-2</c:v>
                </c:pt>
                <c:pt idx="272">
                  <c:v>8.1030000000000005E-2</c:v>
                </c:pt>
                <c:pt idx="273">
                  <c:v>7.8659999999999994E-2</c:v>
                </c:pt>
                <c:pt idx="274">
                  <c:v>8.2479999999999998E-2</c:v>
                </c:pt>
                <c:pt idx="275">
                  <c:v>8.7929999999999994E-2</c:v>
                </c:pt>
                <c:pt idx="276">
                  <c:v>8.4010000000000001E-2</c:v>
                </c:pt>
                <c:pt idx="277">
                  <c:v>7.2359999999999994E-2</c:v>
                </c:pt>
                <c:pt idx="278">
                  <c:v>7.3039999999999994E-2</c:v>
                </c:pt>
                <c:pt idx="279">
                  <c:v>7.1629999999999999E-2</c:v>
                </c:pt>
                <c:pt idx="280">
                  <c:v>6.5000000000000002E-2</c:v>
                </c:pt>
                <c:pt idx="281">
                  <c:v>8.0299999999999996E-2</c:v>
                </c:pt>
                <c:pt idx="282">
                  <c:v>9.3820000000000001E-2</c:v>
                </c:pt>
                <c:pt idx="283">
                  <c:v>6.726E-2</c:v>
                </c:pt>
                <c:pt idx="284">
                  <c:v>7.2650000000000006E-2</c:v>
                </c:pt>
                <c:pt idx="285">
                  <c:v>7.9189999999999997E-2</c:v>
                </c:pt>
                <c:pt idx="286">
                  <c:v>7.8060000000000004E-2</c:v>
                </c:pt>
                <c:pt idx="287">
                  <c:v>8.6209999999999995E-2</c:v>
                </c:pt>
                <c:pt idx="288">
                  <c:v>7.9699999999999993E-2</c:v>
                </c:pt>
                <c:pt idx="289">
                  <c:v>8.3419999999999994E-2</c:v>
                </c:pt>
                <c:pt idx="290">
                  <c:v>8.4790000000000004E-2</c:v>
                </c:pt>
                <c:pt idx="291">
                  <c:v>8.6889999999999995E-2</c:v>
                </c:pt>
                <c:pt idx="292">
                  <c:v>9.2609999999999998E-2</c:v>
                </c:pt>
                <c:pt idx="293">
                  <c:v>9.2119999999999994E-2</c:v>
                </c:pt>
                <c:pt idx="294">
                  <c:v>8.6129999999999998E-2</c:v>
                </c:pt>
                <c:pt idx="295">
                  <c:v>7.4450000000000002E-2</c:v>
                </c:pt>
                <c:pt idx="296">
                  <c:v>9.1249999999999998E-2</c:v>
                </c:pt>
                <c:pt idx="297">
                  <c:v>9.9159999999999998E-2</c:v>
                </c:pt>
                <c:pt idx="298">
                  <c:v>0.11082</c:v>
                </c:pt>
                <c:pt idx="299">
                  <c:v>9.9239999999999995E-2</c:v>
                </c:pt>
                <c:pt idx="300">
                  <c:v>0.11796</c:v>
                </c:pt>
                <c:pt idx="301">
                  <c:v>0.11022999999999999</c:v>
                </c:pt>
                <c:pt idx="302">
                  <c:v>0.1076</c:v>
                </c:pt>
                <c:pt idx="303">
                  <c:v>9.0889999999999999E-2</c:v>
                </c:pt>
                <c:pt idx="304">
                  <c:v>8.7160000000000001E-2</c:v>
                </c:pt>
                <c:pt idx="305">
                  <c:v>8.7129999999999999E-2</c:v>
                </c:pt>
                <c:pt idx="306">
                  <c:v>8.3659999999999998E-2</c:v>
                </c:pt>
                <c:pt idx="307">
                  <c:v>7.9299999999999995E-2</c:v>
                </c:pt>
                <c:pt idx="308">
                  <c:v>7.1590000000000001E-2</c:v>
                </c:pt>
                <c:pt idx="309">
                  <c:v>7.4520000000000003E-2</c:v>
                </c:pt>
                <c:pt idx="310">
                  <c:v>8.2799999999999999E-2</c:v>
                </c:pt>
                <c:pt idx="311">
                  <c:v>8.8010000000000005E-2</c:v>
                </c:pt>
                <c:pt idx="312">
                  <c:v>9.5350000000000004E-2</c:v>
                </c:pt>
                <c:pt idx="313">
                  <c:v>8.7330000000000005E-2</c:v>
                </c:pt>
                <c:pt idx="314">
                  <c:v>8.5319999999999993E-2</c:v>
                </c:pt>
                <c:pt idx="315">
                  <c:v>7.4969999999999995E-2</c:v>
                </c:pt>
                <c:pt idx="316">
                  <c:v>7.3330000000000006E-2</c:v>
                </c:pt>
                <c:pt idx="317">
                  <c:v>7.2489999999999999E-2</c:v>
                </c:pt>
                <c:pt idx="318">
                  <c:v>7.3510000000000006E-2</c:v>
                </c:pt>
                <c:pt idx="319">
                  <c:v>7.2859999999999994E-2</c:v>
                </c:pt>
                <c:pt idx="320">
                  <c:v>6.9279999999999994E-2</c:v>
                </c:pt>
                <c:pt idx="321">
                  <c:v>6.139E-2</c:v>
                </c:pt>
                <c:pt idx="322">
                  <c:v>6.2199999999999998E-2</c:v>
                </c:pt>
                <c:pt idx="323">
                  <c:v>6.105E-2</c:v>
                </c:pt>
                <c:pt idx="324">
                  <c:v>6.5119999999999997E-2</c:v>
                </c:pt>
                <c:pt idx="325">
                  <c:v>5.4629999999999998E-2</c:v>
                </c:pt>
                <c:pt idx="326">
                  <c:v>4.616E-2</c:v>
                </c:pt>
                <c:pt idx="327">
                  <c:v>4.4450000000000003E-2</c:v>
                </c:pt>
                <c:pt idx="328">
                  <c:v>4.4179999999999997E-2</c:v>
                </c:pt>
                <c:pt idx="329">
                  <c:v>4.4519999999999997E-2</c:v>
                </c:pt>
                <c:pt idx="330">
                  <c:v>4.6539999999999998E-2</c:v>
                </c:pt>
                <c:pt idx="331">
                  <c:v>4.2279999999999998E-2</c:v>
                </c:pt>
                <c:pt idx="332">
                  <c:v>4.018E-2</c:v>
                </c:pt>
                <c:pt idx="333">
                  <c:v>3.8550000000000001E-2</c:v>
                </c:pt>
                <c:pt idx="334">
                  <c:v>4.0030000000000003E-2</c:v>
                </c:pt>
                <c:pt idx="335">
                  <c:v>3.8460000000000001E-2</c:v>
                </c:pt>
                <c:pt idx="336">
                  <c:v>3.5009999999999999E-2</c:v>
                </c:pt>
                <c:pt idx="337">
                  <c:v>3.5950000000000003E-2</c:v>
                </c:pt>
                <c:pt idx="338">
                  <c:v>3.3259999999999998E-2</c:v>
                </c:pt>
                <c:pt idx="339">
                  <c:v>4.4549999999999999E-2</c:v>
                </c:pt>
                <c:pt idx="340">
                  <c:v>5.0250000000000003E-2</c:v>
                </c:pt>
                <c:pt idx="341">
                  <c:v>4.3959999999999999E-2</c:v>
                </c:pt>
                <c:pt idx="342">
                  <c:v>4.6699999999999998E-2</c:v>
                </c:pt>
                <c:pt idx="343">
                  <c:v>4.5289999999999997E-2</c:v>
                </c:pt>
                <c:pt idx="344">
                  <c:v>3.8800000000000001E-2</c:v>
                </c:pt>
                <c:pt idx="345">
                  <c:v>3.6760000000000001E-2</c:v>
                </c:pt>
                <c:pt idx="346">
                  <c:v>3.805E-2</c:v>
                </c:pt>
                <c:pt idx="347">
                  <c:v>3.5459999999999998E-2</c:v>
                </c:pt>
                <c:pt idx="348">
                  <c:v>3.6650000000000002E-2</c:v>
                </c:pt>
                <c:pt idx="349">
                  <c:v>3.347E-2</c:v>
                </c:pt>
                <c:pt idx="350">
                  <c:v>3.0190000000000002E-2</c:v>
                </c:pt>
                <c:pt idx="351">
                  <c:v>2.7609999999999999E-2</c:v>
                </c:pt>
                <c:pt idx="352">
                  <c:v>2.7470000000000001E-2</c:v>
                </c:pt>
                <c:pt idx="353">
                  <c:v>2.6239999999999999E-2</c:v>
                </c:pt>
                <c:pt idx="354">
                  <c:v>2.4309999999999998E-2</c:v>
                </c:pt>
                <c:pt idx="355">
                  <c:v>2.5420000000000002E-2</c:v>
                </c:pt>
                <c:pt idx="356">
                  <c:v>2.741E-2</c:v>
                </c:pt>
                <c:pt idx="357">
                  <c:v>2.615E-2</c:v>
                </c:pt>
                <c:pt idx="358">
                  <c:v>2.4320000000000001E-2</c:v>
                </c:pt>
                <c:pt idx="359">
                  <c:v>2.1950000000000001E-2</c:v>
                </c:pt>
                <c:pt idx="360">
                  <c:v>2.0750000000000001E-2</c:v>
                </c:pt>
                <c:pt idx="361">
                  <c:v>2.1600000000000001E-2</c:v>
                </c:pt>
                <c:pt idx="362">
                  <c:v>2.2859999999999998E-2</c:v>
                </c:pt>
                <c:pt idx="363">
                  <c:v>2.325E-2</c:v>
                </c:pt>
                <c:pt idx="364">
                  <c:v>2.375E-2</c:v>
                </c:pt>
                <c:pt idx="365">
                  <c:v>2.0979999999999999E-2</c:v>
                </c:pt>
                <c:pt idx="366">
                  <c:v>2.3290000000000002E-2</c:v>
                </c:pt>
                <c:pt idx="367">
                  <c:v>2.2419999999999999E-2</c:v>
                </c:pt>
                <c:pt idx="368">
                  <c:v>2.2179999999999998E-2</c:v>
                </c:pt>
                <c:pt idx="369">
                  <c:v>2.0140000000000002E-2</c:v>
                </c:pt>
                <c:pt idx="370">
                  <c:v>1.9310000000000001E-2</c:v>
                </c:pt>
                <c:pt idx="371">
                  <c:v>1.9130000000000001E-2</c:v>
                </c:pt>
                <c:pt idx="372">
                  <c:v>2.1770000000000001E-2</c:v>
                </c:pt>
                <c:pt idx="373">
                  <c:v>1.992E-2</c:v>
                </c:pt>
                <c:pt idx="374">
                  <c:v>2.026E-2</c:v>
                </c:pt>
                <c:pt idx="375">
                  <c:v>1.941E-2</c:v>
                </c:pt>
                <c:pt idx="376">
                  <c:v>1.9529999999999999E-2</c:v>
                </c:pt>
                <c:pt idx="377">
                  <c:v>1.89E-2</c:v>
                </c:pt>
                <c:pt idx="378">
                  <c:v>1.8849999999999999E-2</c:v>
                </c:pt>
                <c:pt idx="379">
                  <c:v>1.721E-2</c:v>
                </c:pt>
                <c:pt idx="380">
                  <c:v>1.6379999999999999E-2</c:v>
                </c:pt>
                <c:pt idx="381">
                  <c:v>1.6559999999999998E-2</c:v>
                </c:pt>
                <c:pt idx="382">
                  <c:v>1.814E-2</c:v>
                </c:pt>
                <c:pt idx="383">
                  <c:v>1.9550000000000001E-2</c:v>
                </c:pt>
                <c:pt idx="384">
                  <c:v>1.83E-2</c:v>
                </c:pt>
                <c:pt idx="385">
                  <c:v>1.7330000000000002E-2</c:v>
                </c:pt>
                <c:pt idx="386">
                  <c:v>1.7000000000000001E-2</c:v>
                </c:pt>
                <c:pt idx="387">
                  <c:v>1.6410000000000001E-2</c:v>
                </c:pt>
                <c:pt idx="388">
                  <c:v>1.5990000000000001E-2</c:v>
                </c:pt>
                <c:pt idx="389">
                  <c:v>1.6969999999999999E-2</c:v>
                </c:pt>
                <c:pt idx="390">
                  <c:v>1.77E-2</c:v>
                </c:pt>
                <c:pt idx="391">
                  <c:v>1.7129999999999999E-2</c:v>
                </c:pt>
                <c:pt idx="392">
                  <c:v>1.6670000000000001E-2</c:v>
                </c:pt>
                <c:pt idx="393">
                  <c:v>1.643E-2</c:v>
                </c:pt>
                <c:pt idx="394">
                  <c:v>1.6670000000000001E-2</c:v>
                </c:pt>
                <c:pt idx="395">
                  <c:v>1.7129999999999999E-2</c:v>
                </c:pt>
                <c:pt idx="396">
                  <c:v>1.7049999999999999E-2</c:v>
                </c:pt>
                <c:pt idx="397">
                  <c:v>1.5910000000000001E-2</c:v>
                </c:pt>
                <c:pt idx="398">
                  <c:v>1.6070000000000001E-2</c:v>
                </c:pt>
                <c:pt idx="399">
                  <c:v>1.6500000000000001E-2</c:v>
                </c:pt>
                <c:pt idx="400">
                  <c:v>1.508E-2</c:v>
                </c:pt>
                <c:pt idx="401">
                  <c:v>1.839E-2</c:v>
                </c:pt>
                <c:pt idx="402">
                  <c:v>1.881E-2</c:v>
                </c:pt>
                <c:pt idx="403">
                  <c:v>1.8710000000000001E-2</c:v>
                </c:pt>
                <c:pt idx="404">
                  <c:v>1.9789999999999999E-2</c:v>
                </c:pt>
                <c:pt idx="405">
                  <c:v>1.8319999999999999E-2</c:v>
                </c:pt>
                <c:pt idx="406">
                  <c:v>1.839E-2</c:v>
                </c:pt>
                <c:pt idx="407">
                  <c:v>1.917E-2</c:v>
                </c:pt>
                <c:pt idx="408">
                  <c:v>1.9210000000000001E-2</c:v>
                </c:pt>
                <c:pt idx="409">
                  <c:v>1.8419999999999999E-2</c:v>
                </c:pt>
                <c:pt idx="410">
                  <c:v>1.7559999999999999E-2</c:v>
                </c:pt>
                <c:pt idx="411">
                  <c:v>1.7309999999999999E-2</c:v>
                </c:pt>
                <c:pt idx="412">
                  <c:v>1.602E-2</c:v>
                </c:pt>
                <c:pt idx="413">
                  <c:v>1.6480000000000002E-2</c:v>
                </c:pt>
                <c:pt idx="414">
                  <c:v>1.6160000000000001E-2</c:v>
                </c:pt>
                <c:pt idx="415">
                  <c:v>1.5559999999999999E-2</c:v>
                </c:pt>
                <c:pt idx="416">
                  <c:v>1.695E-2</c:v>
                </c:pt>
                <c:pt idx="417">
                  <c:v>1.6639999999999999E-2</c:v>
                </c:pt>
                <c:pt idx="418">
                  <c:v>1.6500000000000001E-2</c:v>
                </c:pt>
                <c:pt idx="419">
                  <c:v>1.567E-2</c:v>
                </c:pt>
                <c:pt idx="420">
                  <c:v>1.7309999999999999E-2</c:v>
                </c:pt>
                <c:pt idx="421">
                  <c:v>1.7999999999999999E-2</c:v>
                </c:pt>
                <c:pt idx="422">
                  <c:v>1.704E-2</c:v>
                </c:pt>
                <c:pt idx="423">
                  <c:v>1.8329999999999999E-2</c:v>
                </c:pt>
                <c:pt idx="424">
                  <c:v>1.516E-2</c:v>
                </c:pt>
                <c:pt idx="425">
                  <c:v>1.5049999999999999E-2</c:v>
                </c:pt>
                <c:pt idx="426">
                  <c:v>1.4760000000000001E-2</c:v>
                </c:pt>
                <c:pt idx="427">
                  <c:v>1.4800000000000001E-2</c:v>
                </c:pt>
                <c:pt idx="428">
                  <c:v>1.7420000000000001E-2</c:v>
                </c:pt>
                <c:pt idx="429">
                  <c:v>1.6500000000000001E-2</c:v>
                </c:pt>
                <c:pt idx="430">
                  <c:v>1.5599999999999999E-2</c:v>
                </c:pt>
                <c:pt idx="431">
                  <c:v>1.5469999999999999E-2</c:v>
                </c:pt>
                <c:pt idx="432">
                  <c:v>1.6299999999999999E-2</c:v>
                </c:pt>
                <c:pt idx="433">
                  <c:v>1.5270000000000001E-2</c:v>
                </c:pt>
                <c:pt idx="434">
                  <c:v>1.508E-2</c:v>
                </c:pt>
                <c:pt idx="435">
                  <c:v>1.532E-2</c:v>
                </c:pt>
                <c:pt idx="436">
                  <c:v>1.602E-2</c:v>
                </c:pt>
                <c:pt idx="437">
                  <c:v>1.5949999999999999E-2</c:v>
                </c:pt>
                <c:pt idx="438">
                  <c:v>1.585E-2</c:v>
                </c:pt>
                <c:pt idx="439">
                  <c:v>1.651E-2</c:v>
                </c:pt>
                <c:pt idx="440">
                  <c:v>1.7129999999999999E-2</c:v>
                </c:pt>
                <c:pt idx="441">
                  <c:v>1.549E-2</c:v>
                </c:pt>
                <c:pt idx="442">
                  <c:v>1.6320000000000001E-2</c:v>
                </c:pt>
                <c:pt idx="443">
                  <c:v>1.6140000000000002E-2</c:v>
                </c:pt>
                <c:pt idx="444">
                  <c:v>1.5010000000000001E-2</c:v>
                </c:pt>
                <c:pt idx="445">
                  <c:v>1.524E-2</c:v>
                </c:pt>
                <c:pt idx="446">
                  <c:v>1.4319999999999999E-2</c:v>
                </c:pt>
                <c:pt idx="447">
                  <c:v>1.5689999999999999E-2</c:v>
                </c:pt>
                <c:pt idx="448">
                  <c:v>1.481E-2</c:v>
                </c:pt>
                <c:pt idx="449">
                  <c:v>1.389E-2</c:v>
                </c:pt>
                <c:pt idx="450">
                  <c:v>1.388E-2</c:v>
                </c:pt>
                <c:pt idx="451">
                  <c:v>1.4189999999999999E-2</c:v>
                </c:pt>
                <c:pt idx="452">
                  <c:v>1.457E-2</c:v>
                </c:pt>
                <c:pt idx="453">
                  <c:v>1.464E-2</c:v>
                </c:pt>
                <c:pt idx="454">
                  <c:v>1.47E-2</c:v>
                </c:pt>
                <c:pt idx="455">
                  <c:v>1.6209999999999999E-2</c:v>
                </c:pt>
                <c:pt idx="456">
                  <c:v>1.6490000000000001E-2</c:v>
                </c:pt>
                <c:pt idx="457">
                  <c:v>1.7000000000000001E-2</c:v>
                </c:pt>
                <c:pt idx="458">
                  <c:v>1.712E-2</c:v>
                </c:pt>
                <c:pt idx="459">
                  <c:v>1.7489999999999999E-2</c:v>
                </c:pt>
                <c:pt idx="460">
                  <c:v>1.8339999999999999E-2</c:v>
                </c:pt>
                <c:pt idx="461">
                  <c:v>1.7319999999999999E-2</c:v>
                </c:pt>
                <c:pt idx="462">
                  <c:v>1.7340000000000001E-2</c:v>
                </c:pt>
                <c:pt idx="463">
                  <c:v>1.6750000000000001E-2</c:v>
                </c:pt>
                <c:pt idx="464">
                  <c:v>1.677E-2</c:v>
                </c:pt>
                <c:pt idx="465">
                  <c:v>1.719E-2</c:v>
                </c:pt>
                <c:pt idx="466">
                  <c:v>1.7659999999999999E-2</c:v>
                </c:pt>
                <c:pt idx="467">
                  <c:v>1.7780000000000001E-2</c:v>
                </c:pt>
                <c:pt idx="468">
                  <c:v>1.746E-2</c:v>
                </c:pt>
                <c:pt idx="469">
                  <c:v>1.8440000000000002E-2</c:v>
                </c:pt>
                <c:pt idx="470">
                  <c:v>1.9380000000000001E-2</c:v>
                </c:pt>
                <c:pt idx="471">
                  <c:v>2.002E-2</c:v>
                </c:pt>
                <c:pt idx="472">
                  <c:v>1.9390000000000001E-2</c:v>
                </c:pt>
                <c:pt idx="473">
                  <c:v>1.9550000000000001E-2</c:v>
                </c:pt>
                <c:pt idx="474">
                  <c:v>2.085E-2</c:v>
                </c:pt>
                <c:pt idx="475">
                  <c:v>1.9390000000000001E-2</c:v>
                </c:pt>
                <c:pt idx="476">
                  <c:v>1.8630000000000001E-2</c:v>
                </c:pt>
                <c:pt idx="477">
                  <c:v>1.7930000000000001E-2</c:v>
                </c:pt>
                <c:pt idx="478">
                  <c:v>1.7399999999999999E-2</c:v>
                </c:pt>
                <c:pt idx="479">
                  <c:v>1.8950000000000002E-2</c:v>
                </c:pt>
                <c:pt idx="480">
                  <c:v>1.6480000000000002E-2</c:v>
                </c:pt>
                <c:pt idx="481">
                  <c:v>1.6549999999999999E-2</c:v>
                </c:pt>
                <c:pt idx="482">
                  <c:v>1.636E-2</c:v>
                </c:pt>
                <c:pt idx="483">
                  <c:v>1.7180000000000001E-2</c:v>
                </c:pt>
                <c:pt idx="484">
                  <c:v>1.8249999999999999E-2</c:v>
                </c:pt>
                <c:pt idx="485">
                  <c:v>1.814E-2</c:v>
                </c:pt>
                <c:pt idx="486">
                  <c:v>1.8259999999999998E-2</c:v>
                </c:pt>
                <c:pt idx="487">
                  <c:v>1.8929999999999999E-2</c:v>
                </c:pt>
                <c:pt idx="488">
                  <c:v>1.9040000000000001E-2</c:v>
                </c:pt>
                <c:pt idx="489">
                  <c:v>1.8249999999999999E-2</c:v>
                </c:pt>
                <c:pt idx="490">
                  <c:v>1.721E-2</c:v>
                </c:pt>
                <c:pt idx="491">
                  <c:v>1.6080000000000001E-2</c:v>
                </c:pt>
                <c:pt idx="492">
                  <c:v>1.728E-2</c:v>
                </c:pt>
                <c:pt idx="493">
                  <c:v>1.7690000000000001E-2</c:v>
                </c:pt>
                <c:pt idx="494">
                  <c:v>1.9189999999999999E-2</c:v>
                </c:pt>
                <c:pt idx="495">
                  <c:v>1.9800000000000002E-2</c:v>
                </c:pt>
                <c:pt idx="496">
                  <c:v>1.934E-2</c:v>
                </c:pt>
                <c:pt idx="497">
                  <c:v>1.8249999999999999E-2</c:v>
                </c:pt>
                <c:pt idx="498">
                  <c:v>1.8749999999999999E-2</c:v>
                </c:pt>
                <c:pt idx="499">
                  <c:v>1.9140000000000001E-2</c:v>
                </c:pt>
                <c:pt idx="500">
                  <c:v>2.0070000000000001E-2</c:v>
                </c:pt>
                <c:pt idx="501">
                  <c:v>2.0129999999999999E-2</c:v>
                </c:pt>
                <c:pt idx="502">
                  <c:v>2.146E-2</c:v>
                </c:pt>
                <c:pt idx="503">
                  <c:v>2.1749999999999999E-2</c:v>
                </c:pt>
                <c:pt idx="504">
                  <c:v>2.248E-2</c:v>
                </c:pt>
                <c:pt idx="505">
                  <c:v>2.2579999999999999E-2</c:v>
                </c:pt>
                <c:pt idx="506">
                  <c:v>2.2450000000000001E-2</c:v>
                </c:pt>
                <c:pt idx="507">
                  <c:v>2.036E-2</c:v>
                </c:pt>
                <c:pt idx="508">
                  <c:v>1.9060000000000001E-2</c:v>
                </c:pt>
                <c:pt idx="509">
                  <c:v>1.8409999999999999E-2</c:v>
                </c:pt>
                <c:pt idx="510">
                  <c:v>2.0670000000000001E-2</c:v>
                </c:pt>
                <c:pt idx="511">
                  <c:v>2.1690000000000001E-2</c:v>
                </c:pt>
                <c:pt idx="512">
                  <c:v>2.7380000000000002E-2</c:v>
                </c:pt>
                <c:pt idx="513">
                  <c:v>2.9499999999999998E-2</c:v>
                </c:pt>
                <c:pt idx="514">
                  <c:v>3.1699999999999999E-2</c:v>
                </c:pt>
                <c:pt idx="515">
                  <c:v>3.415E-2</c:v>
                </c:pt>
                <c:pt idx="516">
                  <c:v>3.0759999999999999E-2</c:v>
                </c:pt>
                <c:pt idx="517">
                  <c:v>3.0200000000000001E-2</c:v>
                </c:pt>
                <c:pt idx="518">
                  <c:v>2.937E-2</c:v>
                </c:pt>
                <c:pt idx="519">
                  <c:v>3.1260000000000003E-2</c:v>
                </c:pt>
                <c:pt idx="520">
                  <c:v>3.32E-2</c:v>
                </c:pt>
                <c:pt idx="521">
                  <c:v>3.6389999999999999E-2</c:v>
                </c:pt>
                <c:pt idx="522">
                  <c:v>3.6900000000000002E-2</c:v>
                </c:pt>
                <c:pt idx="523">
                  <c:v>3.4799999999999998E-2</c:v>
                </c:pt>
                <c:pt idx="524">
                  <c:v>3.44E-2</c:v>
                </c:pt>
                <c:pt idx="525">
                  <c:v>3.567E-2</c:v>
                </c:pt>
                <c:pt idx="526">
                  <c:v>3.279E-2</c:v>
                </c:pt>
                <c:pt idx="527">
                  <c:v>3.0769999999999999E-2</c:v>
                </c:pt>
                <c:pt idx="528">
                  <c:v>2.9989999999999999E-2</c:v>
                </c:pt>
                <c:pt idx="529">
                  <c:v>2.9669999999999998E-2</c:v>
                </c:pt>
                <c:pt idx="530">
                  <c:v>3.0269999999999998E-2</c:v>
                </c:pt>
                <c:pt idx="531">
                  <c:v>2.597E-2</c:v>
                </c:pt>
                <c:pt idx="532">
                  <c:v>2.426E-2</c:v>
                </c:pt>
                <c:pt idx="533">
                  <c:v>2.4209999999999999E-2</c:v>
                </c:pt>
                <c:pt idx="534">
                  <c:v>2.3699999999999999E-2</c:v>
                </c:pt>
                <c:pt idx="535">
                  <c:v>2.2100000000000002E-2</c:v>
                </c:pt>
                <c:pt idx="536">
                  <c:v>1.9380000000000001E-2</c:v>
                </c:pt>
                <c:pt idx="537">
                  <c:v>1.9529999999999999E-2</c:v>
                </c:pt>
                <c:pt idx="538">
                  <c:v>1.924E-2</c:v>
                </c:pt>
                <c:pt idx="539">
                  <c:v>1.89E-2</c:v>
                </c:pt>
                <c:pt idx="540">
                  <c:v>1.8169999999999999E-2</c:v>
                </c:pt>
                <c:pt idx="541">
                  <c:v>1.6799999999999999E-2</c:v>
                </c:pt>
                <c:pt idx="542">
                  <c:v>1.6480000000000002E-2</c:v>
                </c:pt>
                <c:pt idx="543">
                  <c:v>1.6459999999999999E-2</c:v>
                </c:pt>
                <c:pt idx="544">
                  <c:v>1.72E-2</c:v>
                </c:pt>
                <c:pt idx="545">
                  <c:v>1.6709999999999999E-2</c:v>
                </c:pt>
                <c:pt idx="546">
                  <c:v>1.6389999999999998E-2</c:v>
                </c:pt>
                <c:pt idx="547">
                  <c:v>1.6469999999999999E-2</c:v>
                </c:pt>
                <c:pt idx="548">
                  <c:v>1.6389999999999998E-2</c:v>
                </c:pt>
                <c:pt idx="549">
                  <c:v>1.593E-2</c:v>
                </c:pt>
                <c:pt idx="550">
                  <c:v>1.8159999999999999E-2</c:v>
                </c:pt>
                <c:pt idx="551">
                  <c:v>2.087E-2</c:v>
                </c:pt>
                <c:pt idx="552">
                  <c:v>1.8790000000000001E-2</c:v>
                </c:pt>
                <c:pt idx="553">
                  <c:v>2.0029999999999999E-2</c:v>
                </c:pt>
                <c:pt idx="554">
                  <c:v>1.7819999999999999E-2</c:v>
                </c:pt>
                <c:pt idx="555">
                  <c:v>1.644E-2</c:v>
                </c:pt>
                <c:pt idx="556">
                  <c:v>1.6969999999999999E-2</c:v>
                </c:pt>
                <c:pt idx="557">
                  <c:v>1.6459999999999999E-2</c:v>
                </c:pt>
                <c:pt idx="558">
                  <c:v>1.61E-2</c:v>
                </c:pt>
                <c:pt idx="559">
                  <c:v>1.54E-2</c:v>
                </c:pt>
                <c:pt idx="560">
                  <c:v>1.5980000000000001E-2</c:v>
                </c:pt>
                <c:pt idx="561">
                  <c:v>1.6889999999999999E-2</c:v>
                </c:pt>
                <c:pt idx="562">
                  <c:v>1.6899999999999998E-2</c:v>
                </c:pt>
                <c:pt idx="563">
                  <c:v>1.704E-2</c:v>
                </c:pt>
                <c:pt idx="564">
                  <c:v>1.6750000000000001E-2</c:v>
                </c:pt>
                <c:pt idx="565">
                  <c:v>1.7440000000000001E-2</c:v>
                </c:pt>
                <c:pt idx="566">
                  <c:v>1.7389999999999999E-2</c:v>
                </c:pt>
                <c:pt idx="567">
                  <c:v>1.545E-2</c:v>
                </c:pt>
                <c:pt idx="568">
                  <c:v>1.567E-2</c:v>
                </c:pt>
                <c:pt idx="569">
                  <c:v>1.4619999999999999E-2</c:v>
                </c:pt>
                <c:pt idx="570">
                  <c:v>1.495E-2</c:v>
                </c:pt>
                <c:pt idx="571">
                  <c:v>1.3809999999999999E-2</c:v>
                </c:pt>
                <c:pt idx="572">
                  <c:v>1.3559999999999999E-2</c:v>
                </c:pt>
                <c:pt idx="573">
                  <c:v>1.308E-2</c:v>
                </c:pt>
                <c:pt idx="574">
                  <c:v>1.3440000000000001E-2</c:v>
                </c:pt>
                <c:pt idx="575">
                  <c:v>1.3769999999999999E-2</c:v>
                </c:pt>
                <c:pt idx="576">
                  <c:v>1.3820000000000001E-2</c:v>
                </c:pt>
                <c:pt idx="577">
                  <c:v>1.324E-2</c:v>
                </c:pt>
                <c:pt idx="578">
                  <c:v>1.307E-2</c:v>
                </c:pt>
                <c:pt idx="579">
                  <c:v>1.2919999999999999E-2</c:v>
                </c:pt>
                <c:pt idx="580">
                  <c:v>1.346E-2</c:v>
                </c:pt>
                <c:pt idx="581">
                  <c:v>1.3860000000000001E-2</c:v>
                </c:pt>
                <c:pt idx="582">
                  <c:v>1.3769999999999999E-2</c:v>
                </c:pt>
                <c:pt idx="583">
                  <c:v>1.4840000000000001E-2</c:v>
                </c:pt>
                <c:pt idx="584">
                  <c:v>1.5049999999999999E-2</c:v>
                </c:pt>
                <c:pt idx="585">
                  <c:v>1.455E-2</c:v>
                </c:pt>
                <c:pt idx="586">
                  <c:v>1.451E-2</c:v>
                </c:pt>
                <c:pt idx="587">
                  <c:v>1.4919999999999999E-2</c:v>
                </c:pt>
                <c:pt idx="588">
                  <c:v>1.52E-2</c:v>
                </c:pt>
                <c:pt idx="589">
                  <c:v>1.5800000000000002E-2</c:v>
                </c:pt>
                <c:pt idx="590">
                  <c:v>1.5689999999999999E-2</c:v>
                </c:pt>
                <c:pt idx="591">
                  <c:v>1.653E-2</c:v>
                </c:pt>
                <c:pt idx="592">
                  <c:v>1.4319999999999999E-2</c:v>
                </c:pt>
                <c:pt idx="593">
                  <c:v>1.4749999999999999E-2</c:v>
                </c:pt>
                <c:pt idx="594">
                  <c:v>1.3440000000000001E-2</c:v>
                </c:pt>
                <c:pt idx="595">
                  <c:v>1.1990000000000001E-2</c:v>
                </c:pt>
                <c:pt idx="596">
                  <c:v>1.376E-2</c:v>
                </c:pt>
                <c:pt idx="597">
                  <c:v>1.357E-2</c:v>
                </c:pt>
                <c:pt idx="598">
                  <c:v>1.3990000000000001E-2</c:v>
                </c:pt>
                <c:pt idx="599">
                  <c:v>1.388E-2</c:v>
                </c:pt>
                <c:pt idx="600">
                  <c:v>1.423E-2</c:v>
                </c:pt>
                <c:pt idx="601">
                  <c:v>1.316E-2</c:v>
                </c:pt>
                <c:pt idx="602">
                  <c:v>1.345E-2</c:v>
                </c:pt>
                <c:pt idx="603">
                  <c:v>1.3639999999999999E-2</c:v>
                </c:pt>
                <c:pt idx="604">
                  <c:v>1.268E-2</c:v>
                </c:pt>
                <c:pt idx="605">
                  <c:v>1.2489999999999999E-2</c:v>
                </c:pt>
                <c:pt idx="606">
                  <c:v>1.18E-2</c:v>
                </c:pt>
                <c:pt idx="607">
                  <c:v>1.2019999999999999E-2</c:v>
                </c:pt>
                <c:pt idx="608">
                  <c:v>1.166E-2</c:v>
                </c:pt>
                <c:pt idx="609">
                  <c:v>1.149E-2</c:v>
                </c:pt>
                <c:pt idx="610">
                  <c:v>1.141E-2</c:v>
                </c:pt>
                <c:pt idx="611">
                  <c:v>1.2160000000000001E-2</c:v>
                </c:pt>
                <c:pt idx="612">
                  <c:v>1.1990000000000001E-2</c:v>
                </c:pt>
                <c:pt idx="613">
                  <c:v>1.0670000000000001E-2</c:v>
                </c:pt>
                <c:pt idx="614">
                  <c:v>1.0869999999999999E-2</c:v>
                </c:pt>
                <c:pt idx="615">
                  <c:v>1.073E-2</c:v>
                </c:pt>
                <c:pt idx="616">
                  <c:v>1.034E-2</c:v>
                </c:pt>
                <c:pt idx="617">
                  <c:v>1.047E-2</c:v>
                </c:pt>
                <c:pt idx="618">
                  <c:v>1.085E-2</c:v>
                </c:pt>
                <c:pt idx="619">
                  <c:v>1.0659999999999999E-2</c:v>
                </c:pt>
                <c:pt idx="620">
                  <c:v>1.0319999999999999E-2</c:v>
                </c:pt>
                <c:pt idx="621">
                  <c:v>1.023E-2</c:v>
                </c:pt>
                <c:pt idx="622">
                  <c:v>9.9600000000000001E-3</c:v>
                </c:pt>
                <c:pt idx="623">
                  <c:v>1.023E-2</c:v>
                </c:pt>
                <c:pt idx="624">
                  <c:v>1.03E-2</c:v>
                </c:pt>
                <c:pt idx="625">
                  <c:v>1.018E-2</c:v>
                </c:pt>
                <c:pt idx="626">
                  <c:v>9.9299999999999996E-3</c:v>
                </c:pt>
                <c:pt idx="627">
                  <c:v>1.005E-2</c:v>
                </c:pt>
                <c:pt idx="628">
                  <c:v>1.163E-2</c:v>
                </c:pt>
                <c:pt idx="629">
                  <c:v>1.183E-2</c:v>
                </c:pt>
                <c:pt idx="630">
                  <c:v>1.1900000000000001E-2</c:v>
                </c:pt>
                <c:pt idx="631">
                  <c:v>1.1639999999999999E-2</c:v>
                </c:pt>
                <c:pt idx="632">
                  <c:v>1.209E-2</c:v>
                </c:pt>
                <c:pt idx="633">
                  <c:v>1.174E-2</c:v>
                </c:pt>
                <c:pt idx="634">
                  <c:v>1.175E-2</c:v>
                </c:pt>
                <c:pt idx="635">
                  <c:v>1.214E-2</c:v>
                </c:pt>
                <c:pt idx="636">
                  <c:v>1.1809999999999999E-2</c:v>
                </c:pt>
                <c:pt idx="637">
                  <c:v>1.141E-2</c:v>
                </c:pt>
                <c:pt idx="638">
                  <c:v>1.18E-2</c:v>
                </c:pt>
                <c:pt idx="639">
                  <c:v>1.1299999999999999E-2</c:v>
                </c:pt>
                <c:pt idx="640">
                  <c:v>1.145E-2</c:v>
                </c:pt>
                <c:pt idx="641">
                  <c:v>1.171E-2</c:v>
                </c:pt>
                <c:pt idx="642">
                  <c:v>1.17E-2</c:v>
                </c:pt>
                <c:pt idx="643">
                  <c:v>1.1560000000000001E-2</c:v>
                </c:pt>
                <c:pt idx="644">
                  <c:v>1.1520000000000001E-2</c:v>
                </c:pt>
                <c:pt idx="645">
                  <c:v>1.1599999999999999E-2</c:v>
                </c:pt>
                <c:pt idx="646">
                  <c:v>1.1180000000000001E-2</c:v>
                </c:pt>
                <c:pt idx="647">
                  <c:v>1.154E-2</c:v>
                </c:pt>
                <c:pt idx="648">
                  <c:v>1.2019999999999999E-2</c:v>
                </c:pt>
                <c:pt idx="649">
                  <c:v>1.222E-2</c:v>
                </c:pt>
                <c:pt idx="650">
                  <c:v>1.1610000000000001E-2</c:v>
                </c:pt>
                <c:pt idx="651">
                  <c:v>1.2E-2</c:v>
                </c:pt>
                <c:pt idx="652">
                  <c:v>1.172E-2</c:v>
                </c:pt>
                <c:pt idx="653">
                  <c:v>1.208E-2</c:v>
                </c:pt>
                <c:pt idx="654">
                  <c:v>1.179E-2</c:v>
                </c:pt>
                <c:pt idx="655">
                  <c:v>1.24E-2</c:v>
                </c:pt>
                <c:pt idx="656">
                  <c:v>1.218E-2</c:v>
                </c:pt>
                <c:pt idx="657">
                  <c:v>1.221E-2</c:v>
                </c:pt>
                <c:pt idx="658">
                  <c:v>1.3639999999999999E-2</c:v>
                </c:pt>
                <c:pt idx="659">
                  <c:v>1.417E-2</c:v>
                </c:pt>
                <c:pt idx="660">
                  <c:v>1.4109999999999999E-2</c:v>
                </c:pt>
                <c:pt idx="661">
                  <c:v>1.473E-2</c:v>
                </c:pt>
                <c:pt idx="662">
                  <c:v>1.4579999999999999E-2</c:v>
                </c:pt>
                <c:pt idx="663">
                  <c:v>1.4590000000000001E-2</c:v>
                </c:pt>
                <c:pt idx="664">
                  <c:v>1.4489999999999999E-2</c:v>
                </c:pt>
                <c:pt idx="665">
                  <c:v>1.5100000000000001E-2</c:v>
                </c:pt>
                <c:pt idx="666">
                  <c:v>1.485E-2</c:v>
                </c:pt>
                <c:pt idx="667">
                  <c:v>1.498E-2</c:v>
                </c:pt>
                <c:pt idx="668">
                  <c:v>1.474E-2</c:v>
                </c:pt>
                <c:pt idx="669">
                  <c:v>1.468E-2</c:v>
                </c:pt>
                <c:pt idx="670">
                  <c:v>1.6E-2</c:v>
                </c:pt>
                <c:pt idx="671">
                  <c:v>1.47E-2</c:v>
                </c:pt>
                <c:pt idx="672">
                  <c:v>1.6639999999999999E-2</c:v>
                </c:pt>
                <c:pt idx="673">
                  <c:v>1.915E-2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1CD-ABA8-2602010371D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-46.248034546950585</c:v>
                </c:pt>
                <c:pt idx="1">
                  <c:v>-46.237884585366835</c:v>
                </c:pt>
                <c:pt idx="2">
                  <c:v>-46.215369809852717</c:v>
                </c:pt>
                <c:pt idx="3">
                  <c:v>-46.260847787912759</c:v>
                </c:pt>
                <c:pt idx="4">
                  <c:v>-46.406144685442172</c:v>
                </c:pt>
                <c:pt idx="5">
                  <c:v>-46.45799099863487</c:v>
                </c:pt>
                <c:pt idx="6">
                  <c:v>-46.412757208278393</c:v>
                </c:pt>
                <c:pt idx="7">
                  <c:v>-46.328710310583311</c:v>
                </c:pt>
                <c:pt idx="8">
                  <c:v>-46.259022587129309</c:v>
                </c:pt>
                <c:pt idx="9">
                  <c:v>-46.271926620517398</c:v>
                </c:pt>
                <c:pt idx="10">
                  <c:v>-46.279713000710942</c:v>
                </c:pt>
                <c:pt idx="11">
                  <c:v>-46.268554529870151</c:v>
                </c:pt>
                <c:pt idx="12">
                  <c:v>-46.247491929280805</c:v>
                </c:pt>
                <c:pt idx="13">
                  <c:v>-46.26488796263822</c:v>
                </c:pt>
                <c:pt idx="14">
                  <c:v>-46.290481468541124</c:v>
                </c:pt>
                <c:pt idx="15">
                  <c:v>-46.208348481622046</c:v>
                </c:pt>
                <c:pt idx="16">
                  <c:v>-46.262368513791998</c:v>
                </c:pt>
                <c:pt idx="17">
                  <c:v>-46.374228383696213</c:v>
                </c:pt>
                <c:pt idx="18">
                  <c:v>-46.38050537097395</c:v>
                </c:pt>
                <c:pt idx="19">
                  <c:v>-46.377715593111461</c:v>
                </c:pt>
                <c:pt idx="20">
                  <c:v>-46.368241044308853</c:v>
                </c:pt>
                <c:pt idx="21">
                  <c:v>-46.348251964538925</c:v>
                </c:pt>
                <c:pt idx="22">
                  <c:v>-46.392438341650866</c:v>
                </c:pt>
                <c:pt idx="23">
                  <c:v>-46.327860273156425</c:v>
                </c:pt>
                <c:pt idx="24">
                  <c:v>-46.263898639412737</c:v>
                </c:pt>
                <c:pt idx="25">
                  <c:v>-46.090443324870087</c:v>
                </c:pt>
                <c:pt idx="26">
                  <c:v>-46.020511507717856</c:v>
                </c:pt>
                <c:pt idx="27">
                  <c:v>-46.028556378989649</c:v>
                </c:pt>
                <c:pt idx="28">
                  <c:v>-45.973716366279625</c:v>
                </c:pt>
                <c:pt idx="29">
                  <c:v>-46.014004415908488</c:v>
                </c:pt>
                <c:pt idx="30">
                  <c:v>-45.932958512296935</c:v>
                </c:pt>
                <c:pt idx="31">
                  <c:v>-45.859742308802737</c:v>
                </c:pt>
                <c:pt idx="32">
                  <c:v>-45.77065947085584</c:v>
                </c:pt>
                <c:pt idx="33">
                  <c:v>-45.782258825892448</c:v>
                </c:pt>
                <c:pt idx="34">
                  <c:v>-45.798965118414841</c:v>
                </c:pt>
                <c:pt idx="35">
                  <c:v>-45.772955196585208</c:v>
                </c:pt>
                <c:pt idx="36">
                  <c:v>-45.829937854579477</c:v>
                </c:pt>
                <c:pt idx="37">
                  <c:v>-45.821458601264617</c:v>
                </c:pt>
                <c:pt idx="38">
                  <c:v>-45.876883386806405</c:v>
                </c:pt>
                <c:pt idx="39">
                  <c:v>-45.874678373715497</c:v>
                </c:pt>
                <c:pt idx="40">
                  <c:v>-45.859515843631456</c:v>
                </c:pt>
                <c:pt idx="41">
                  <c:v>-45.899377474031851</c:v>
                </c:pt>
                <c:pt idx="42">
                  <c:v>-45.862037320761857</c:v>
                </c:pt>
                <c:pt idx="43">
                  <c:v>-45.835175645562352</c:v>
                </c:pt>
                <c:pt idx="44">
                  <c:v>-45.940907041415564</c:v>
                </c:pt>
                <c:pt idx="45">
                  <c:v>-46.033920852446961</c:v>
                </c:pt>
                <c:pt idx="46">
                  <c:v>-45.907596736258</c:v>
                </c:pt>
                <c:pt idx="47">
                  <c:v>-45.947947759808301</c:v>
                </c:pt>
                <c:pt idx="48">
                  <c:v>-45.947822507001284</c:v>
                </c:pt>
                <c:pt idx="49">
                  <c:v>-45.868693890338868</c:v>
                </c:pt>
                <c:pt idx="50">
                  <c:v>-45.734423321364417</c:v>
                </c:pt>
                <c:pt idx="51">
                  <c:v>-45.734264727353406</c:v>
                </c:pt>
                <c:pt idx="52">
                  <c:v>-45.900060442144138</c:v>
                </c:pt>
                <c:pt idx="53">
                  <c:v>-46.231418508422493</c:v>
                </c:pt>
                <c:pt idx="54">
                  <c:v>-46.059899343635379</c:v>
                </c:pt>
                <c:pt idx="55">
                  <c:v>-46.2128682870121</c:v>
                </c:pt>
                <c:pt idx="56">
                  <c:v>-45.724579249512097</c:v>
                </c:pt>
                <c:pt idx="57">
                  <c:v>-45.622213768188573</c:v>
                </c:pt>
                <c:pt idx="58">
                  <c:v>-45.781087888063908</c:v>
                </c:pt>
                <c:pt idx="59">
                  <c:v>-45.566679301502184</c:v>
                </c:pt>
                <c:pt idx="60">
                  <c:v>-45.338082467936687</c:v>
                </c:pt>
                <c:pt idx="61">
                  <c:v>-45.237111558633572</c:v>
                </c:pt>
                <c:pt idx="62">
                  <c:v>-45.209951646830262</c:v>
                </c:pt>
                <c:pt idx="63">
                  <c:v>-45.677288151381013</c:v>
                </c:pt>
                <c:pt idx="64">
                  <c:v>-45.834576291761017</c:v>
                </c:pt>
                <c:pt idx="65">
                  <c:v>-45.737860259429226</c:v>
                </c:pt>
                <c:pt idx="66">
                  <c:v>-46.295142386833128</c:v>
                </c:pt>
                <c:pt idx="67">
                  <c:v>-44.696238023199271</c:v>
                </c:pt>
                <c:pt idx="68">
                  <c:v>-44.566965246959363</c:v>
                </c:pt>
                <c:pt idx="69">
                  <c:v>-44.902592677823534</c:v>
                </c:pt>
                <c:pt idx="70">
                  <c:v>-45.232448140697549</c:v>
                </c:pt>
                <c:pt idx="71">
                  <c:v>-44.229760409255249</c:v>
                </c:pt>
                <c:pt idx="72">
                  <c:v>-44.095016965983447</c:v>
                </c:pt>
                <c:pt idx="73">
                  <c:v>-44.575654092184642</c:v>
                </c:pt>
                <c:pt idx="74">
                  <c:v>-44.65521490400856</c:v>
                </c:pt>
                <c:pt idx="75">
                  <c:v>-44.622370957761731</c:v>
                </c:pt>
                <c:pt idx="76">
                  <c:v>-43.393266225728084</c:v>
                </c:pt>
                <c:pt idx="77">
                  <c:v>-43.365374613723105</c:v>
                </c:pt>
                <c:pt idx="78">
                  <c:v>-43.446173260591401</c:v>
                </c:pt>
                <c:pt idx="79">
                  <c:v>-43.303329861633962</c:v>
                </c:pt>
                <c:pt idx="80">
                  <c:v>-43.301915971052075</c:v>
                </c:pt>
                <c:pt idx="81">
                  <c:v>-43.353048457589715</c:v>
                </c:pt>
                <c:pt idx="82">
                  <c:v>-43.445368724337285</c:v>
                </c:pt>
                <c:pt idx="83">
                  <c:v>-43.548890950844587</c:v>
                </c:pt>
                <c:pt idx="84">
                  <c:v>-43.528104683993156</c:v>
                </c:pt>
                <c:pt idx="85">
                  <c:v>-43.649055503247489</c:v>
                </c:pt>
                <c:pt idx="86">
                  <c:v>-43.669706015900644</c:v>
                </c:pt>
                <c:pt idx="87">
                  <c:v>-43.842605869731663</c:v>
                </c:pt>
                <c:pt idx="88">
                  <c:v>-43.968676541626749</c:v>
                </c:pt>
                <c:pt idx="89">
                  <c:v>-44.122553071856565</c:v>
                </c:pt>
                <c:pt idx="90">
                  <c:v>-44.070589593943886</c:v>
                </c:pt>
                <c:pt idx="91">
                  <c:v>-44.399740811030213</c:v>
                </c:pt>
                <c:pt idx="92">
                  <c:v>-44.819686643484928</c:v>
                </c:pt>
                <c:pt idx="93">
                  <c:v>-44.342589525154885</c:v>
                </c:pt>
                <c:pt idx="94">
                  <c:v>-44.240876507746883</c:v>
                </c:pt>
                <c:pt idx="95">
                  <c:v>-44.355679766442755</c:v>
                </c:pt>
                <c:pt idx="96">
                  <c:v>-44.204605956084116</c:v>
                </c:pt>
                <c:pt idx="97">
                  <c:v>-44.32860292032742</c:v>
                </c:pt>
                <c:pt idx="98">
                  <c:v>-44.428218697888006</c:v>
                </c:pt>
                <c:pt idx="99">
                  <c:v>-43.825090388339042</c:v>
                </c:pt>
                <c:pt idx="100">
                  <c:v>-43.63040835707416</c:v>
                </c:pt>
                <c:pt idx="101">
                  <c:v>-44.836615369548575</c:v>
                </c:pt>
                <c:pt idx="102">
                  <c:v>-44.77520840584527</c:v>
                </c:pt>
                <c:pt idx="103">
                  <c:v>-44.755696042245859</c:v>
                </c:pt>
                <c:pt idx="104">
                  <c:v>-44.952715268342246</c:v>
                </c:pt>
                <c:pt idx="105">
                  <c:v>-43.225954552710633</c:v>
                </c:pt>
                <c:pt idx="106">
                  <c:v>-40.622313060756881</c:v>
                </c:pt>
                <c:pt idx="107">
                  <c:v>-39.538679956289172</c:v>
                </c:pt>
                <c:pt idx="108">
                  <c:v>-39.64173874684235</c:v>
                </c:pt>
                <c:pt idx="109">
                  <c:v>-37.337376991836756</c:v>
                </c:pt>
                <c:pt idx="110">
                  <c:v>-36.302911088397913</c:v>
                </c:pt>
                <c:pt idx="111">
                  <c:v>-34.994231587732365</c:v>
                </c:pt>
                <c:pt idx="112">
                  <c:v>-32.260200408855972</c:v>
                </c:pt>
                <c:pt idx="113">
                  <c:v>-26.440921429379621</c:v>
                </c:pt>
                <c:pt idx="114">
                  <c:v>-22.268325906821261</c:v>
                </c:pt>
                <c:pt idx="115">
                  <c:v>-23.492815156150201</c:v>
                </c:pt>
                <c:pt idx="116">
                  <c:v>-23.403983971435117</c:v>
                </c:pt>
                <c:pt idx="117">
                  <c:v>-23.377129898665888</c:v>
                </c:pt>
                <c:pt idx="118">
                  <c:v>-23.295010829833586</c:v>
                </c:pt>
                <c:pt idx="119">
                  <c:v>-24.169481690283753</c:v>
                </c:pt>
                <c:pt idx="120">
                  <c:v>-21.709150218305133</c:v>
                </c:pt>
                <c:pt idx="121">
                  <c:v>-21.643062616676158</c:v>
                </c:pt>
                <c:pt idx="122">
                  <c:v>-21.227915237140984</c:v>
                </c:pt>
                <c:pt idx="123">
                  <c:v>-21.179645018167012</c:v>
                </c:pt>
                <c:pt idx="124">
                  <c:v>-21.175331486667012</c:v>
                </c:pt>
                <c:pt idx="125">
                  <c:v>-21.235992739876124</c:v>
                </c:pt>
                <c:pt idx="126">
                  <c:v>-21.229779817161496</c:v>
                </c:pt>
                <c:pt idx="127">
                  <c:v>-21.269051264293072</c:v>
                </c:pt>
                <c:pt idx="128">
                  <c:v>-21.541695575641722</c:v>
                </c:pt>
                <c:pt idx="129">
                  <c:v>-21.323949986173165</c:v>
                </c:pt>
                <c:pt idx="130">
                  <c:v>-21.224689655735183</c:v>
                </c:pt>
                <c:pt idx="131">
                  <c:v>-21.012747339651149</c:v>
                </c:pt>
                <c:pt idx="132">
                  <c:v>-20.975366808076565</c:v>
                </c:pt>
                <c:pt idx="133">
                  <c:v>-20.976382176314551</c:v>
                </c:pt>
                <c:pt idx="134">
                  <c:v>-21.017995286123245</c:v>
                </c:pt>
                <c:pt idx="135">
                  <c:v>-21.082292125723246</c:v>
                </c:pt>
                <c:pt idx="136">
                  <c:v>-21.133737704809132</c:v>
                </c:pt>
                <c:pt idx="137">
                  <c:v>-21.145940560772488</c:v>
                </c:pt>
                <c:pt idx="138">
                  <c:v>-21.189887415772485</c:v>
                </c:pt>
                <c:pt idx="139">
                  <c:v>-21.211379988944405</c:v>
                </c:pt>
                <c:pt idx="140">
                  <c:v>-21.154324184783412</c:v>
                </c:pt>
                <c:pt idx="141">
                  <c:v>-21.300994780336197</c:v>
                </c:pt>
                <c:pt idx="142">
                  <c:v>-21.475347484201258</c:v>
                </c:pt>
                <c:pt idx="143">
                  <c:v>-21.334300986333194</c:v>
                </c:pt>
                <c:pt idx="144">
                  <c:v>-21.445140575026741</c:v>
                </c:pt>
                <c:pt idx="145">
                  <c:v>-20.477929622011288</c:v>
                </c:pt>
                <c:pt idx="146">
                  <c:v>-20.767579996464821</c:v>
                </c:pt>
                <c:pt idx="147">
                  <c:v>-20.963708787991514</c:v>
                </c:pt>
                <c:pt idx="148">
                  <c:v>-21.069917379991516</c:v>
                </c:pt>
                <c:pt idx="149">
                  <c:v>-21.24015690644606</c:v>
                </c:pt>
                <c:pt idx="150">
                  <c:v>-21.349481804420744</c:v>
                </c:pt>
                <c:pt idx="151">
                  <c:v>-21.224742626342142</c:v>
                </c:pt>
                <c:pt idx="152">
                  <c:v>-21.234733173955433</c:v>
                </c:pt>
                <c:pt idx="153">
                  <c:v>-21.263673030278962</c:v>
                </c:pt>
                <c:pt idx="154">
                  <c:v>-21.354843114035518</c:v>
                </c:pt>
                <c:pt idx="155">
                  <c:v>-21.303220835656706</c:v>
                </c:pt>
                <c:pt idx="156">
                  <c:v>-21.49673583344801</c:v>
                </c:pt>
                <c:pt idx="157">
                  <c:v>-21.113785375572231</c:v>
                </c:pt>
                <c:pt idx="158">
                  <c:v>-21.145672020083271</c:v>
                </c:pt>
                <c:pt idx="159">
                  <c:v>-21.172022670749939</c:v>
                </c:pt>
                <c:pt idx="160">
                  <c:v>-21.058039260410315</c:v>
                </c:pt>
                <c:pt idx="161">
                  <c:v>-21.286965251748242</c:v>
                </c:pt>
                <c:pt idx="162">
                  <c:v>-21.483488499463881</c:v>
                </c:pt>
                <c:pt idx="163">
                  <c:v>-21.578319209274824</c:v>
                </c:pt>
                <c:pt idx="164">
                  <c:v>-21.276142287201118</c:v>
                </c:pt>
                <c:pt idx="165">
                  <c:v>-21.134767131647923</c:v>
                </c:pt>
                <c:pt idx="166">
                  <c:v>-21.141201303632961</c:v>
                </c:pt>
                <c:pt idx="167">
                  <c:v>-21.009028742278126</c:v>
                </c:pt>
                <c:pt idx="168">
                  <c:v>-21.377379884000757</c:v>
                </c:pt>
                <c:pt idx="169">
                  <c:v>-20.60821801024893</c:v>
                </c:pt>
                <c:pt idx="170">
                  <c:v>-20.088015644815378</c:v>
                </c:pt>
                <c:pt idx="171">
                  <c:v>-19.929563902590029</c:v>
                </c:pt>
                <c:pt idx="172">
                  <c:v>-19.595367358039574</c:v>
                </c:pt>
                <c:pt idx="173">
                  <c:v>-19.301969055178382</c:v>
                </c:pt>
                <c:pt idx="174">
                  <c:v>-19.356978146611716</c:v>
                </c:pt>
                <c:pt idx="175">
                  <c:v>-19.408402210089978</c:v>
                </c:pt>
                <c:pt idx="176">
                  <c:v>-19.437392819604518</c:v>
                </c:pt>
                <c:pt idx="177">
                  <c:v>-19.5232546687878</c:v>
                </c:pt>
                <c:pt idx="178">
                  <c:v>-19.566522920008271</c:v>
                </c:pt>
                <c:pt idx="179">
                  <c:v>-19.656003144144442</c:v>
                </c:pt>
                <c:pt idx="180">
                  <c:v>-19.461882945158202</c:v>
                </c:pt>
                <c:pt idx="181">
                  <c:v>-19.601235222966203</c:v>
                </c:pt>
                <c:pt idx="182">
                  <c:v>-19.712625425069294</c:v>
                </c:pt>
                <c:pt idx="183">
                  <c:v>-19.276068629367931</c:v>
                </c:pt>
                <c:pt idx="184">
                  <c:v>-19.450331519808344</c:v>
                </c:pt>
                <c:pt idx="185">
                  <c:v>-19.43090749976561</c:v>
                </c:pt>
                <c:pt idx="186">
                  <c:v>-19.370555983577137</c:v>
                </c:pt>
                <c:pt idx="187">
                  <c:v>-19.621626126577141</c:v>
                </c:pt>
                <c:pt idx="188">
                  <c:v>-19.704182320490183</c:v>
                </c:pt>
                <c:pt idx="189">
                  <c:v>-19.783059626126544</c:v>
                </c:pt>
                <c:pt idx="190">
                  <c:v>-19.870873340600234</c:v>
                </c:pt>
                <c:pt idx="191">
                  <c:v>-20.143018262783066</c:v>
                </c:pt>
                <c:pt idx="192">
                  <c:v>-20.174190183195329</c:v>
                </c:pt>
                <c:pt idx="193">
                  <c:v>-20.113518105373295</c:v>
                </c:pt>
                <c:pt idx="194">
                  <c:v>-20.066309262103253</c:v>
                </c:pt>
                <c:pt idx="195">
                  <c:v>-19.790218618182749</c:v>
                </c:pt>
                <c:pt idx="196">
                  <c:v>-19.756768721217686</c:v>
                </c:pt>
                <c:pt idx="197">
                  <c:v>-19.694620024144204</c:v>
                </c:pt>
                <c:pt idx="198">
                  <c:v>-19.77554021555185</c:v>
                </c:pt>
                <c:pt idx="199">
                  <c:v>-19.902308525696775</c:v>
                </c:pt>
                <c:pt idx="200">
                  <c:v>-19.929883959102469</c:v>
                </c:pt>
                <c:pt idx="201">
                  <c:v>-20.505550528663917</c:v>
                </c:pt>
                <c:pt idx="202">
                  <c:v>-20.024108703265764</c:v>
                </c:pt>
                <c:pt idx="203">
                  <c:v>-20.086829874764788</c:v>
                </c:pt>
                <c:pt idx="204">
                  <c:v>-19.897186300699726</c:v>
                </c:pt>
                <c:pt idx="205">
                  <c:v>-19.837379608403431</c:v>
                </c:pt>
                <c:pt idx="206">
                  <c:v>-20.009097209667537</c:v>
                </c:pt>
                <c:pt idx="207">
                  <c:v>-20.212821491293223</c:v>
                </c:pt>
                <c:pt idx="208">
                  <c:v>-20.221578939080935</c:v>
                </c:pt>
                <c:pt idx="209">
                  <c:v>-20.495410812011166</c:v>
                </c:pt>
                <c:pt idx="210">
                  <c:v>-20.954910909043036</c:v>
                </c:pt>
                <c:pt idx="211">
                  <c:v>-19.791220972891612</c:v>
                </c:pt>
                <c:pt idx="212">
                  <c:v>-20.351934633932174</c:v>
                </c:pt>
                <c:pt idx="213">
                  <c:v>-19.848707812928655</c:v>
                </c:pt>
                <c:pt idx="214">
                  <c:v>-20.405686677792684</c:v>
                </c:pt>
                <c:pt idx="215">
                  <c:v>-20.309874458426531</c:v>
                </c:pt>
                <c:pt idx="216">
                  <c:v>-20.871887938006683</c:v>
                </c:pt>
                <c:pt idx="217">
                  <c:v>-18.863654991674117</c:v>
                </c:pt>
                <c:pt idx="218">
                  <c:v>-18.955763279815439</c:v>
                </c:pt>
                <c:pt idx="219">
                  <c:v>-19.343443615881014</c:v>
                </c:pt>
                <c:pt idx="220">
                  <c:v>-19.380812824866304</c:v>
                </c:pt>
                <c:pt idx="221">
                  <c:v>-18.911524710674225</c:v>
                </c:pt>
                <c:pt idx="222">
                  <c:v>-19.119099874604697</c:v>
                </c:pt>
                <c:pt idx="223">
                  <c:v>-19.032757463929372</c:v>
                </c:pt>
                <c:pt idx="224">
                  <c:v>-18.877367619143246</c:v>
                </c:pt>
                <c:pt idx="225">
                  <c:v>-18.99910828352786</c:v>
                </c:pt>
                <c:pt idx="226">
                  <c:v>-18.688017297228541</c:v>
                </c:pt>
                <c:pt idx="227">
                  <c:v>-18.008160922008063</c:v>
                </c:pt>
                <c:pt idx="228">
                  <c:v>-18.703947269432309</c:v>
                </c:pt>
                <c:pt idx="229">
                  <c:v>-20.030903671586323</c:v>
                </c:pt>
                <c:pt idx="230">
                  <c:v>-17.475648789804946</c:v>
                </c:pt>
                <c:pt idx="231">
                  <c:v>-15.277744507849945</c:v>
                </c:pt>
                <c:pt idx="232">
                  <c:v>-13.959050998246887</c:v>
                </c:pt>
                <c:pt idx="233">
                  <c:v>-14.125725834713007</c:v>
                </c:pt>
                <c:pt idx="234">
                  <c:v>-14.131565798181885</c:v>
                </c:pt>
                <c:pt idx="235">
                  <c:v>-13.797066459435619</c:v>
                </c:pt>
                <c:pt idx="236">
                  <c:v>-12.683688286915233</c:v>
                </c:pt>
                <c:pt idx="237">
                  <c:v>-12.568019582637543</c:v>
                </c:pt>
                <c:pt idx="238">
                  <c:v>-12.50695877049581</c:v>
                </c:pt>
                <c:pt idx="239">
                  <c:v>-11.951889370753184</c:v>
                </c:pt>
                <c:pt idx="240">
                  <c:v>-11.911900508295352</c:v>
                </c:pt>
                <c:pt idx="241">
                  <c:v>-11.838022735797518</c:v>
                </c:pt>
                <c:pt idx="242">
                  <c:v>-11.848746957675511</c:v>
                </c:pt>
                <c:pt idx="243">
                  <c:v>-11.933207682444184</c:v>
                </c:pt>
                <c:pt idx="244">
                  <c:v>-11.790455134774982</c:v>
                </c:pt>
                <c:pt idx="245">
                  <c:v>-11.787612324401806</c:v>
                </c:pt>
                <c:pt idx="246">
                  <c:v>-11.780693322364289</c:v>
                </c:pt>
                <c:pt idx="247">
                  <c:v>-12.10286590336429</c:v>
                </c:pt>
                <c:pt idx="248">
                  <c:v>-11.48220540823977</c:v>
                </c:pt>
                <c:pt idx="249">
                  <c:v>-11.853340521706565</c:v>
                </c:pt>
                <c:pt idx="250">
                  <c:v>-11.976797324925363</c:v>
                </c:pt>
                <c:pt idx="251">
                  <c:v>-10.461445703976713</c:v>
                </c:pt>
                <c:pt idx="252">
                  <c:v>-10.82639157435147</c:v>
                </c:pt>
                <c:pt idx="253">
                  <c:v>-11.11232188535147</c:v>
                </c:pt>
                <c:pt idx="254">
                  <c:v>-10.920852912741713</c:v>
                </c:pt>
                <c:pt idx="255">
                  <c:v>-10.912605223911552</c:v>
                </c:pt>
                <c:pt idx="256">
                  <c:v>-10.479606091593341</c:v>
                </c:pt>
                <c:pt idx="257">
                  <c:v>-9.9821968335597759</c:v>
                </c:pt>
                <c:pt idx="258">
                  <c:v>-9.6712761556557254</c:v>
                </c:pt>
                <c:pt idx="259">
                  <c:v>-9.8721473346493198</c:v>
                </c:pt>
                <c:pt idx="260">
                  <c:v>-9.8870985621556677</c:v>
                </c:pt>
                <c:pt idx="261">
                  <c:v>-9.4335288955296015</c:v>
                </c:pt>
                <c:pt idx="262">
                  <c:v>-9.5138241128243219</c:v>
                </c:pt>
                <c:pt idx="263">
                  <c:v>-9.3662254436426426</c:v>
                </c:pt>
                <c:pt idx="264">
                  <c:v>-9.5288407225287184</c:v>
                </c:pt>
                <c:pt idx="265">
                  <c:v>-9.4138479383367564</c:v>
                </c:pt>
                <c:pt idx="266">
                  <c:v>-9.3690556793055304</c:v>
                </c:pt>
                <c:pt idx="267">
                  <c:v>-8.9689318115897301</c:v>
                </c:pt>
                <c:pt idx="268">
                  <c:v>-9.6735793348322243</c:v>
                </c:pt>
                <c:pt idx="269">
                  <c:v>-7.2196587193415764</c:v>
                </c:pt>
                <c:pt idx="270">
                  <c:v>-6.86608162475141</c:v>
                </c:pt>
                <c:pt idx="271">
                  <c:v>-6.7455229565208903</c:v>
                </c:pt>
                <c:pt idx="272">
                  <c:v>-6.780487254435398</c:v>
                </c:pt>
                <c:pt idx="273">
                  <c:v>-7.1316188065578849</c:v>
                </c:pt>
                <c:pt idx="274">
                  <c:v>-7.087659128872934</c:v>
                </c:pt>
                <c:pt idx="275">
                  <c:v>-7.0184771600849194</c:v>
                </c:pt>
                <c:pt idx="276">
                  <c:v>-7.6415680120849192</c:v>
                </c:pt>
                <c:pt idx="277">
                  <c:v>-8.2249820201870953</c:v>
                </c:pt>
                <c:pt idx="278">
                  <c:v>-8.2315835233930645</c:v>
                </c:pt>
                <c:pt idx="279">
                  <c:v>-7.6475311693683024</c:v>
                </c:pt>
                <c:pt idx="280">
                  <c:v>-4.8047303589059442</c:v>
                </c:pt>
                <c:pt idx="281">
                  <c:v>-3.399718576156102</c:v>
                </c:pt>
                <c:pt idx="282">
                  <c:v>-1.1674793378656692</c:v>
                </c:pt>
                <c:pt idx="283">
                  <c:v>0.7416245533031548</c:v>
                </c:pt>
                <c:pt idx="284">
                  <c:v>0.87279081057167318</c:v>
                </c:pt>
                <c:pt idx="285">
                  <c:v>0.81072042263274158</c:v>
                </c:pt>
                <c:pt idx="286">
                  <c:v>0.71607751592661173</c:v>
                </c:pt>
                <c:pt idx="287">
                  <c:v>0.87506482368307204</c:v>
                </c:pt>
                <c:pt idx="288">
                  <c:v>0.49635414369544956</c:v>
                </c:pt>
                <c:pt idx="289">
                  <c:v>0.57982307661143939</c:v>
                </c:pt>
                <c:pt idx="290">
                  <c:v>0.5780093720914401</c:v>
                </c:pt>
                <c:pt idx="291">
                  <c:v>0.5276619863193116</c:v>
                </c:pt>
                <c:pt idx="292">
                  <c:v>0.49631709976641658</c:v>
                </c:pt>
                <c:pt idx="293">
                  <c:v>0.67230300074793692</c:v>
                </c:pt>
                <c:pt idx="294">
                  <c:v>0.45169120449462791</c:v>
                </c:pt>
                <c:pt idx="295">
                  <c:v>-0.19772649788191154</c:v>
                </c:pt>
                <c:pt idx="296">
                  <c:v>0.26889698322685157</c:v>
                </c:pt>
                <c:pt idx="297">
                  <c:v>0.42022185577592336</c:v>
                </c:pt>
                <c:pt idx="298">
                  <c:v>0.74640433726471578</c:v>
                </c:pt>
                <c:pt idx="299">
                  <c:v>0.31655690506792866</c:v>
                </c:pt>
                <c:pt idx="300">
                  <c:v>0.66739255360520278</c:v>
                </c:pt>
                <c:pt idx="301">
                  <c:v>0.76992680906465227</c:v>
                </c:pt>
                <c:pt idx="302">
                  <c:v>1.4528420044411863</c:v>
                </c:pt>
                <c:pt idx="303">
                  <c:v>1.1589279636643555</c:v>
                </c:pt>
                <c:pt idx="304">
                  <c:v>1.0359526103249539</c:v>
                </c:pt>
                <c:pt idx="305">
                  <c:v>1.10455169251543</c:v>
                </c:pt>
                <c:pt idx="306">
                  <c:v>0.94120171516435081</c:v>
                </c:pt>
                <c:pt idx="307">
                  <c:v>0.91824773825096528</c:v>
                </c:pt>
                <c:pt idx="308">
                  <c:v>0.66407734955949993</c:v>
                </c:pt>
                <c:pt idx="309">
                  <c:v>0.84238216823388667</c:v>
                </c:pt>
                <c:pt idx="310">
                  <c:v>1.1345798529988267</c:v>
                </c:pt>
                <c:pt idx="311">
                  <c:v>1.2347928771389884</c:v>
                </c:pt>
                <c:pt idx="312">
                  <c:v>1.461589823485401</c:v>
                </c:pt>
                <c:pt idx="313">
                  <c:v>1.2239368294022177</c:v>
                </c:pt>
                <c:pt idx="314">
                  <c:v>1.9326434167371083</c:v>
                </c:pt>
                <c:pt idx="315">
                  <c:v>1.7347582945146556</c:v>
                </c:pt>
                <c:pt idx="316">
                  <c:v>1.6139367081858886</c:v>
                </c:pt>
                <c:pt idx="317">
                  <c:v>1.3623503081288386</c:v>
                </c:pt>
                <c:pt idx="318">
                  <c:v>1.1576425767580254</c:v>
                </c:pt>
                <c:pt idx="319">
                  <c:v>1.0633754802836348</c:v>
                </c:pt>
                <c:pt idx="320">
                  <c:v>1.5725072300532406</c:v>
                </c:pt>
                <c:pt idx="321">
                  <c:v>1.4918184411753539</c:v>
                </c:pt>
                <c:pt idx="322">
                  <c:v>1.3651427699107297</c:v>
                </c:pt>
                <c:pt idx="323">
                  <c:v>2.1268404221107304</c:v>
                </c:pt>
                <c:pt idx="324">
                  <c:v>2.1050882056556675</c:v>
                </c:pt>
                <c:pt idx="325">
                  <c:v>3.208849509357897</c:v>
                </c:pt>
                <c:pt idx="326">
                  <c:v>2.9686180899546368</c:v>
                </c:pt>
                <c:pt idx="327">
                  <c:v>2.9184928428857666</c:v>
                </c:pt>
                <c:pt idx="328">
                  <c:v>2.7582590849033104</c:v>
                </c:pt>
                <c:pt idx="329">
                  <c:v>2.5904192365717047</c:v>
                </c:pt>
                <c:pt idx="330">
                  <c:v>3.1165026643173737</c:v>
                </c:pt>
                <c:pt idx="331">
                  <c:v>2.861622495429049</c:v>
                </c:pt>
                <c:pt idx="332">
                  <c:v>2.7540858252437639</c:v>
                </c:pt>
                <c:pt idx="333">
                  <c:v>2.4385444447822255</c:v>
                </c:pt>
                <c:pt idx="334">
                  <c:v>3.4261148176703937</c:v>
                </c:pt>
                <c:pt idx="335">
                  <c:v>3.4355543774836224</c:v>
                </c:pt>
                <c:pt idx="336">
                  <c:v>2.9363919634836226</c:v>
                </c:pt>
                <c:pt idx="337">
                  <c:v>3.4413922442160167</c:v>
                </c:pt>
                <c:pt idx="338">
                  <c:v>3.5222191866132069</c:v>
                </c:pt>
                <c:pt idx="339">
                  <c:v>3.8918115106923032</c:v>
                </c:pt>
                <c:pt idx="340">
                  <c:v>3.9706253408717491</c:v>
                </c:pt>
                <c:pt idx="341">
                  <c:v>3.6044919663980641</c:v>
                </c:pt>
                <c:pt idx="342">
                  <c:v>3.6147969579847312</c:v>
                </c:pt>
                <c:pt idx="343">
                  <c:v>3.9782247340018748</c:v>
                </c:pt>
                <c:pt idx="344">
                  <c:v>3.5673141193395836</c:v>
                </c:pt>
                <c:pt idx="345">
                  <c:v>3.0588655134428095</c:v>
                </c:pt>
                <c:pt idx="346">
                  <c:v>3.9775809315742259</c:v>
                </c:pt>
                <c:pt idx="347">
                  <c:v>3.2457185273811424</c:v>
                </c:pt>
                <c:pt idx="348">
                  <c:v>3.8942576098930295</c:v>
                </c:pt>
                <c:pt idx="349">
                  <c:v>3.0438774745934385</c:v>
                </c:pt>
                <c:pt idx="350">
                  <c:v>2.3723037077852398</c:v>
                </c:pt>
                <c:pt idx="351">
                  <c:v>2.037480399222213</c:v>
                </c:pt>
                <c:pt idx="352">
                  <c:v>1.8761662263233374</c:v>
                </c:pt>
                <c:pt idx="353">
                  <c:v>1.5511307348953709</c:v>
                </c:pt>
                <c:pt idx="354">
                  <c:v>1.3517522713714274</c:v>
                </c:pt>
                <c:pt idx="355">
                  <c:v>1.3206689853519726</c:v>
                </c:pt>
                <c:pt idx="356">
                  <c:v>1.3618143359905266</c:v>
                </c:pt>
                <c:pt idx="357">
                  <c:v>1.1464418611891571</c:v>
                </c:pt>
                <c:pt idx="358">
                  <c:v>1.0801997720382137</c:v>
                </c:pt>
                <c:pt idx="359">
                  <c:v>2.9083063183211402</c:v>
                </c:pt>
                <c:pt idx="360">
                  <c:v>2.7781724683211406</c:v>
                </c:pt>
                <c:pt idx="361">
                  <c:v>2.8558580810384173</c:v>
                </c:pt>
                <c:pt idx="362">
                  <c:v>2.9010256255762319</c:v>
                </c:pt>
                <c:pt idx="363">
                  <c:v>3.052978188379206</c:v>
                </c:pt>
                <c:pt idx="364">
                  <c:v>3.1115293353919942</c:v>
                </c:pt>
                <c:pt idx="365">
                  <c:v>3.0210426897161042</c:v>
                </c:pt>
                <c:pt idx="366">
                  <c:v>3.0992719755269156</c:v>
                </c:pt>
                <c:pt idx="367">
                  <c:v>3.090059293234606</c:v>
                </c:pt>
                <c:pt idx="368">
                  <c:v>3.9017084473333714</c:v>
                </c:pt>
                <c:pt idx="369">
                  <c:v>-2.6350358542835202</c:v>
                </c:pt>
                <c:pt idx="370">
                  <c:v>-2.7977694559078592</c:v>
                </c:pt>
                <c:pt idx="371">
                  <c:v>-2.932123382785826</c:v>
                </c:pt>
                <c:pt idx="372">
                  <c:v>-2.0851958156121646</c:v>
                </c:pt>
                <c:pt idx="373">
                  <c:v>-2.0793176081361504</c:v>
                </c:pt>
                <c:pt idx="374">
                  <c:v>-2.0329616551223575</c:v>
                </c:pt>
                <c:pt idx="375">
                  <c:v>-2.356283069106484</c:v>
                </c:pt>
                <c:pt idx="376">
                  <c:v>-2.4974403602562165</c:v>
                </c:pt>
                <c:pt idx="377">
                  <c:v>-2.2211483999038357</c:v>
                </c:pt>
                <c:pt idx="378">
                  <c:v>-2.298960052599488</c:v>
                </c:pt>
                <c:pt idx="379">
                  <c:v>-2.3993349394494876</c:v>
                </c:pt>
                <c:pt idx="380">
                  <c:v>-2.4556503971417949</c:v>
                </c:pt>
                <c:pt idx="381">
                  <c:v>-2.4540461841930767</c:v>
                </c:pt>
                <c:pt idx="382">
                  <c:v>-2.4602147358910633</c:v>
                </c:pt>
                <c:pt idx="383">
                  <c:v>-2.4014669980072463</c:v>
                </c:pt>
                <c:pt idx="384">
                  <c:v>-2.5494276702448699</c:v>
                </c:pt>
                <c:pt idx="385">
                  <c:v>-2.6936859332406504</c:v>
                </c:pt>
                <c:pt idx="386">
                  <c:v>-2.7307128111606507</c:v>
                </c:pt>
                <c:pt idx="387">
                  <c:v>-2.7516903386823905</c:v>
                </c:pt>
                <c:pt idx="388">
                  <c:v>-2.8178611541717524</c:v>
                </c:pt>
                <c:pt idx="389">
                  <c:v>-2.8197782766889938</c:v>
                </c:pt>
                <c:pt idx="390">
                  <c:v>-2.8155555407877588</c:v>
                </c:pt>
                <c:pt idx="391">
                  <c:v>-2.8431126941833633</c:v>
                </c:pt>
                <c:pt idx="392">
                  <c:v>-2.884038580572676</c:v>
                </c:pt>
                <c:pt idx="393">
                  <c:v>-2.9296659952533481</c:v>
                </c:pt>
                <c:pt idx="394">
                  <c:v>-2.9477876993231162</c:v>
                </c:pt>
                <c:pt idx="395">
                  <c:v>-2.9791386577420349</c:v>
                </c:pt>
                <c:pt idx="396">
                  <c:v>-2.977873725225368</c:v>
                </c:pt>
                <c:pt idx="397">
                  <c:v>-2.9970342461077206</c:v>
                </c:pt>
                <c:pt idx="398">
                  <c:v>-2.9950508749940843</c:v>
                </c:pt>
                <c:pt idx="399">
                  <c:v>-2.9948639266401025</c:v>
                </c:pt>
                <c:pt idx="400">
                  <c:v>-3.0581115725919741</c:v>
                </c:pt>
                <c:pt idx="401">
                  <c:v>-2.9600701099180609</c:v>
                </c:pt>
                <c:pt idx="402">
                  <c:v>-2.9386615425006695</c:v>
                </c:pt>
                <c:pt idx="403">
                  <c:v>-2.9433737937547955</c:v>
                </c:pt>
                <c:pt idx="404">
                  <c:v>-2.822164431502368</c:v>
                </c:pt>
                <c:pt idx="405">
                  <c:v>-2.9302636244309386</c:v>
                </c:pt>
                <c:pt idx="406">
                  <c:v>-3.0033698003059386</c:v>
                </c:pt>
                <c:pt idx="407">
                  <c:v>-2.93432568359361</c:v>
                </c:pt>
                <c:pt idx="408">
                  <c:v>-3.0567856195527936</c:v>
                </c:pt>
                <c:pt idx="409">
                  <c:v>-3.0934057101265644</c:v>
                </c:pt>
                <c:pt idx="410">
                  <c:v>-3.1009647402680733</c:v>
                </c:pt>
                <c:pt idx="411">
                  <c:v>-3.1391281071876138</c:v>
                </c:pt>
                <c:pt idx="412">
                  <c:v>-3.2105361654376137</c:v>
                </c:pt>
                <c:pt idx="413">
                  <c:v>-3.2319399293337177</c:v>
                </c:pt>
                <c:pt idx="414">
                  <c:v>-3.2403378648698009</c:v>
                </c:pt>
                <c:pt idx="415">
                  <c:v>-3.444648617034185</c:v>
                </c:pt>
                <c:pt idx="416">
                  <c:v>-3.3660045587008516</c:v>
                </c:pt>
                <c:pt idx="417">
                  <c:v>-3.4741486151111078</c:v>
                </c:pt>
                <c:pt idx="418">
                  <c:v>-3.568508307552968</c:v>
                </c:pt>
                <c:pt idx="419">
                  <c:v>-3.6189561533512875</c:v>
                </c:pt>
                <c:pt idx="420">
                  <c:v>-3.4790774717208524</c:v>
                </c:pt>
                <c:pt idx="421">
                  <c:v>-3.4394552720518865</c:v>
                </c:pt>
                <c:pt idx="422">
                  <c:v>-3.6677028081867165</c:v>
                </c:pt>
                <c:pt idx="423">
                  <c:v>-3.4707101780491705</c:v>
                </c:pt>
                <c:pt idx="424">
                  <c:v>-2.58913756969404</c:v>
                </c:pt>
                <c:pt idx="425">
                  <c:v>-2.592293721046981</c:v>
                </c:pt>
                <c:pt idx="426">
                  <c:v>-2.6202404095744538</c:v>
                </c:pt>
                <c:pt idx="427">
                  <c:v>-2.6319740463601677</c:v>
                </c:pt>
                <c:pt idx="428">
                  <c:v>-2.5219491002829146</c:v>
                </c:pt>
                <c:pt idx="429">
                  <c:v>-2.6582604347829153</c:v>
                </c:pt>
                <c:pt idx="430">
                  <c:v>-2.8694937498766655</c:v>
                </c:pt>
                <c:pt idx="431">
                  <c:v>-2.8955762305278276</c:v>
                </c:pt>
                <c:pt idx="432">
                  <c:v>-2.84624306370893</c:v>
                </c:pt>
                <c:pt idx="433">
                  <c:v>-2.8980611147505959</c:v>
                </c:pt>
                <c:pt idx="434">
                  <c:v>-2.9162463532960512</c:v>
                </c:pt>
                <c:pt idx="435">
                  <c:v>-2.9144461792115441</c:v>
                </c:pt>
                <c:pt idx="436">
                  <c:v>-2.869052616065848</c:v>
                </c:pt>
                <c:pt idx="437">
                  <c:v>-2.7681397002538826</c:v>
                </c:pt>
                <c:pt idx="438">
                  <c:v>-2.7825572209395966</c:v>
                </c:pt>
                <c:pt idx="439">
                  <c:v>-2.7670642270990164</c:v>
                </c:pt>
                <c:pt idx="440">
                  <c:v>-2.7672581157150162</c:v>
                </c:pt>
                <c:pt idx="441">
                  <c:v>-2.8549973603946275</c:v>
                </c:pt>
                <c:pt idx="442">
                  <c:v>-2.8272524775751831</c:v>
                </c:pt>
                <c:pt idx="443">
                  <c:v>-2.7865575223024557</c:v>
                </c:pt>
                <c:pt idx="444">
                  <c:v>-2.8879710828738845</c:v>
                </c:pt>
                <c:pt idx="445">
                  <c:v>-2.912252169961604</c:v>
                </c:pt>
                <c:pt idx="446">
                  <c:v>-2.9694558059616041</c:v>
                </c:pt>
                <c:pt idx="447">
                  <c:v>-2.8375672790903592</c:v>
                </c:pt>
                <c:pt idx="448">
                  <c:v>-2.8926115265721104</c:v>
                </c:pt>
                <c:pt idx="449">
                  <c:v>-2.9415457627485813</c:v>
                </c:pt>
                <c:pt idx="450">
                  <c:v>-2.9495692011420238</c:v>
                </c:pt>
                <c:pt idx="451">
                  <c:v>-2.9522152822348069</c:v>
                </c:pt>
                <c:pt idx="452">
                  <c:v>-2.918092596495677</c:v>
                </c:pt>
                <c:pt idx="453">
                  <c:v>-2.9337069681478507</c:v>
                </c:pt>
                <c:pt idx="454">
                  <c:v>-2.8951539103202641</c:v>
                </c:pt>
                <c:pt idx="455">
                  <c:v>-2.8403193970332272</c:v>
                </c:pt>
                <c:pt idx="456">
                  <c:v>-2.8127474370332268</c:v>
                </c:pt>
                <c:pt idx="457">
                  <c:v>-2.790237014896475</c:v>
                </c:pt>
                <c:pt idx="458">
                  <c:v>-2.7893248339267784</c:v>
                </c:pt>
                <c:pt idx="459">
                  <c:v>-2.783094817926778</c:v>
                </c:pt>
                <c:pt idx="460">
                  <c:v>-2.762893387281617</c:v>
                </c:pt>
                <c:pt idx="461">
                  <c:v>-2.788100655166232</c:v>
                </c:pt>
                <c:pt idx="462">
                  <c:v>-2.779195575449251</c:v>
                </c:pt>
                <c:pt idx="463">
                  <c:v>-2.7913343090563938</c:v>
                </c:pt>
                <c:pt idx="464">
                  <c:v>-2.8097370890563944</c:v>
                </c:pt>
                <c:pt idx="465">
                  <c:v>-2.8008270857487019</c:v>
                </c:pt>
                <c:pt idx="466">
                  <c:v>-2.786608305830669</c:v>
                </c:pt>
                <c:pt idx="467">
                  <c:v>-2.7831858190915382</c:v>
                </c:pt>
                <c:pt idx="468">
                  <c:v>-2.7690066207947641</c:v>
                </c:pt>
                <c:pt idx="469">
                  <c:v>-2.7603525170322647</c:v>
                </c:pt>
                <c:pt idx="470">
                  <c:v>-2.7464145511940297</c:v>
                </c:pt>
                <c:pt idx="471">
                  <c:v>-2.7206821369357512</c:v>
                </c:pt>
                <c:pt idx="472">
                  <c:v>-2.3877638272026269</c:v>
                </c:pt>
                <c:pt idx="473">
                  <c:v>-2.397021028482627</c:v>
                </c:pt>
                <c:pt idx="474">
                  <c:v>-2.3345489608426271</c:v>
                </c:pt>
                <c:pt idx="475">
                  <c:v>-2.3842334787410229</c:v>
                </c:pt>
                <c:pt idx="476">
                  <c:v>-2.4407532548243558</c:v>
                </c:pt>
                <c:pt idx="477">
                  <c:v>-2.4437656743481653</c:v>
                </c:pt>
                <c:pt idx="478">
                  <c:v>-2.475581981903721</c:v>
                </c:pt>
                <c:pt idx="479">
                  <c:v>-2.3775007270261694</c:v>
                </c:pt>
                <c:pt idx="480">
                  <c:v>-2.5766873521818585</c:v>
                </c:pt>
                <c:pt idx="481">
                  <c:v>-2.5784751579755092</c:v>
                </c:pt>
                <c:pt idx="482">
                  <c:v>-2.5773558530624654</c:v>
                </c:pt>
                <c:pt idx="483">
                  <c:v>-2.5243461589015461</c:v>
                </c:pt>
                <c:pt idx="484">
                  <c:v>-2.48883989384094</c:v>
                </c:pt>
                <c:pt idx="485">
                  <c:v>-2.5435344865909397</c:v>
                </c:pt>
                <c:pt idx="486">
                  <c:v>-2.5687578395779527</c:v>
                </c:pt>
                <c:pt idx="487">
                  <c:v>-2.4824121189361614</c:v>
                </c:pt>
                <c:pt idx="488">
                  <c:v>-2.4208249621065789</c:v>
                </c:pt>
                <c:pt idx="489">
                  <c:v>-2.5255933803253292</c:v>
                </c:pt>
                <c:pt idx="490">
                  <c:v>-2.6836655740242539</c:v>
                </c:pt>
                <c:pt idx="491">
                  <c:v>-2.8341412082595481</c:v>
                </c:pt>
                <c:pt idx="492">
                  <c:v>-2.7296299433970481</c:v>
                </c:pt>
                <c:pt idx="493">
                  <c:v>-2.799030792904365</c:v>
                </c:pt>
                <c:pt idx="494">
                  <c:v>-2.0654026776960319</c:v>
                </c:pt>
                <c:pt idx="495">
                  <c:v>-2.0402733014460317</c:v>
                </c:pt>
                <c:pt idx="496">
                  <c:v>-2.0956416528430908</c:v>
                </c:pt>
                <c:pt idx="497">
                  <c:v>-1.9994723579076903</c:v>
                </c:pt>
                <c:pt idx="498">
                  <c:v>-1.9649724486914737</c:v>
                </c:pt>
                <c:pt idx="499">
                  <c:v>-2.0515588195335788</c:v>
                </c:pt>
                <c:pt idx="500">
                  <c:v>-1.9453122868824164</c:v>
                </c:pt>
                <c:pt idx="501">
                  <c:v>-2.0179671476481822</c:v>
                </c:pt>
                <c:pt idx="502">
                  <c:v>-1.9428677466988149</c:v>
                </c:pt>
                <c:pt idx="503">
                  <c:v>-1.8870851802097637</c:v>
                </c:pt>
                <c:pt idx="504">
                  <c:v>-1.8761689198251479</c:v>
                </c:pt>
                <c:pt idx="505">
                  <c:v>-1.7914231908451479</c:v>
                </c:pt>
                <c:pt idx="506">
                  <c:v>-1.6909920579284807</c:v>
                </c:pt>
                <c:pt idx="507">
                  <c:v>-1.1034442251259333</c:v>
                </c:pt>
                <c:pt idx="508">
                  <c:v>-1.4469899437223088</c:v>
                </c:pt>
                <c:pt idx="509">
                  <c:v>-1.6608776041030622</c:v>
                </c:pt>
                <c:pt idx="510">
                  <c:v>-1.500144911269037</c:v>
                </c:pt>
                <c:pt idx="511">
                  <c:v>-1.0749359781999013</c:v>
                </c:pt>
                <c:pt idx="512">
                  <c:v>-0.71579926640990166</c:v>
                </c:pt>
                <c:pt idx="513">
                  <c:v>-0.66637170226704467</c:v>
                </c:pt>
                <c:pt idx="514">
                  <c:v>-0.52500180877321734</c:v>
                </c:pt>
                <c:pt idx="515">
                  <c:v>-4.2043528352163587E-2</c:v>
                </c:pt>
                <c:pt idx="516">
                  <c:v>-0.20811626364367683</c:v>
                </c:pt>
                <c:pt idx="517">
                  <c:v>-0.24404093128587864</c:v>
                </c:pt>
                <c:pt idx="518">
                  <c:v>-0.3210956572099295</c:v>
                </c:pt>
                <c:pt idx="519">
                  <c:v>-0.2258203073666461</c:v>
                </c:pt>
                <c:pt idx="520">
                  <c:v>-0.1604836867350678</c:v>
                </c:pt>
                <c:pt idx="521">
                  <c:v>-1.462101896450504E-2</c:v>
                </c:pt>
                <c:pt idx="522">
                  <c:v>-3.8780528525926171E-4</c:v>
                </c:pt>
                <c:pt idx="523">
                  <c:v>-0.1518244482890623</c:v>
                </c:pt>
                <c:pt idx="524">
                  <c:v>-0.44072754610645276</c:v>
                </c:pt>
                <c:pt idx="525">
                  <c:v>0.20514270040358798</c:v>
                </c:pt>
                <c:pt idx="526">
                  <c:v>8.8055789750170702E-3</c:v>
                </c:pt>
                <c:pt idx="527">
                  <c:v>-0.16630712300855566</c:v>
                </c:pt>
                <c:pt idx="528">
                  <c:v>-5.4510461341889006E-2</c:v>
                </c:pt>
                <c:pt idx="529">
                  <c:v>-3.4665343355587672E-2</c:v>
                </c:pt>
                <c:pt idx="530">
                  <c:v>3.0222514703818447E-2</c:v>
                </c:pt>
                <c:pt idx="531">
                  <c:v>0.12267217319190278</c:v>
                </c:pt>
                <c:pt idx="532">
                  <c:v>-3.5769058532929131E-2</c:v>
                </c:pt>
                <c:pt idx="533">
                  <c:v>-5.4440438121164593E-2</c:v>
                </c:pt>
                <c:pt idx="534">
                  <c:v>-0.24305268071620595</c:v>
                </c:pt>
                <c:pt idx="535">
                  <c:v>-0.42938462312778153</c:v>
                </c:pt>
                <c:pt idx="536">
                  <c:v>-0.76883783243274628</c:v>
                </c:pt>
                <c:pt idx="537">
                  <c:v>-0.688823542415406</c:v>
                </c:pt>
                <c:pt idx="538">
                  <c:v>-0.688823542415406</c:v>
                </c:pt>
                <c:pt idx="539">
                  <c:v>-0.67154535678577632</c:v>
                </c:pt>
                <c:pt idx="540">
                  <c:v>-0.89501580215891119</c:v>
                </c:pt>
                <c:pt idx="541">
                  <c:v>-1.2561793375946646</c:v>
                </c:pt>
                <c:pt idx="542">
                  <c:v>-1.286187484254794</c:v>
                </c:pt>
                <c:pt idx="543">
                  <c:v>-1.2344976458157704</c:v>
                </c:pt>
                <c:pt idx="544">
                  <c:v>-1.1313667527871984</c:v>
                </c:pt>
                <c:pt idx="545">
                  <c:v>-1.2907220407157696</c:v>
                </c:pt>
                <c:pt idx="546">
                  <c:v>-1.2966944836231766</c:v>
                </c:pt>
                <c:pt idx="547">
                  <c:v>-1.3066953571895468</c:v>
                </c:pt>
                <c:pt idx="548">
                  <c:v>-0.98006291170174098</c:v>
                </c:pt>
                <c:pt idx="549">
                  <c:v>-1.1985269663354035</c:v>
                </c:pt>
                <c:pt idx="550">
                  <c:v>-0.68387126199244319</c:v>
                </c:pt>
                <c:pt idx="551">
                  <c:v>-0.42362681240474359</c:v>
                </c:pt>
                <c:pt idx="552">
                  <c:v>-0.95445954497559393</c:v>
                </c:pt>
                <c:pt idx="553">
                  <c:v>-0.77275460862317136</c:v>
                </c:pt>
                <c:pt idx="554">
                  <c:v>-1.2560598189953387</c:v>
                </c:pt>
                <c:pt idx="555">
                  <c:v>-1.4174487397762907</c:v>
                </c:pt>
                <c:pt idx="556">
                  <c:v>-1.4352682413096232</c:v>
                </c:pt>
                <c:pt idx="557">
                  <c:v>-1.5530830357009275</c:v>
                </c:pt>
                <c:pt idx="558">
                  <c:v>-1.7019778864216477</c:v>
                </c:pt>
                <c:pt idx="559">
                  <c:v>-1.8148321728253174</c:v>
                </c:pt>
                <c:pt idx="560">
                  <c:v>-1.7642550019162269</c:v>
                </c:pt>
                <c:pt idx="561">
                  <c:v>-1.7343605047945339</c:v>
                </c:pt>
                <c:pt idx="562">
                  <c:v>-1.7245023912545325</c:v>
                </c:pt>
                <c:pt idx="563">
                  <c:v>-1.6422409302608216</c:v>
                </c:pt>
                <c:pt idx="564">
                  <c:v>-1.4987757369029262</c:v>
                </c:pt>
                <c:pt idx="565">
                  <c:v>-1.3376165237137374</c:v>
                </c:pt>
                <c:pt idx="566">
                  <c:v>-1.098748634127531</c:v>
                </c:pt>
                <c:pt idx="567">
                  <c:v>-1.6394305547386416</c:v>
                </c:pt>
                <c:pt idx="568">
                  <c:v>-1.6124208527386421</c:v>
                </c:pt>
                <c:pt idx="569">
                  <c:v>-1.8424340064309501</c:v>
                </c:pt>
                <c:pt idx="570">
                  <c:v>-1.8010095899661609</c:v>
                </c:pt>
                <c:pt idx="571">
                  <c:v>-2.005227198126466</c:v>
                </c:pt>
                <c:pt idx="572">
                  <c:v>-1.9436334291446471</c:v>
                </c:pt>
                <c:pt idx="573">
                  <c:v>-2.0279678853480365</c:v>
                </c:pt>
                <c:pt idx="574">
                  <c:v>-1.9839615516813696</c:v>
                </c:pt>
                <c:pt idx="575">
                  <c:v>-1.9405197290542513</c:v>
                </c:pt>
                <c:pt idx="576">
                  <c:v>-1.8989330620388662</c:v>
                </c:pt>
                <c:pt idx="577">
                  <c:v>-1.9763019219757085</c:v>
                </c:pt>
                <c:pt idx="578">
                  <c:v>-1.9993758740557086</c:v>
                </c:pt>
                <c:pt idx="579">
                  <c:v>-2.0285922634005362</c:v>
                </c:pt>
                <c:pt idx="580">
                  <c:v>-1.9670883139159998</c:v>
                </c:pt>
                <c:pt idx="581">
                  <c:v>-1.8894612247179801</c:v>
                </c:pt>
                <c:pt idx="582">
                  <c:v>-1.9496956623585031</c:v>
                </c:pt>
                <c:pt idx="583">
                  <c:v>-1.8319209493727888</c:v>
                </c:pt>
                <c:pt idx="584">
                  <c:v>-1.7807308412775511</c:v>
                </c:pt>
                <c:pt idx="585">
                  <c:v>-1.7652947782267039</c:v>
                </c:pt>
                <c:pt idx="586">
                  <c:v>-1.6546395742267044</c:v>
                </c:pt>
                <c:pt idx="587">
                  <c:v>-1.6116853145343968</c:v>
                </c:pt>
                <c:pt idx="588">
                  <c:v>-1.5156760261143967</c:v>
                </c:pt>
                <c:pt idx="589">
                  <c:v>-1.3823581565369318</c:v>
                </c:pt>
                <c:pt idx="590">
                  <c:v>-1.5707648778576875</c:v>
                </c:pt>
                <c:pt idx="591">
                  <c:v>-1.4096415245945286</c:v>
                </c:pt>
                <c:pt idx="592">
                  <c:v>-1.6413247375483746</c:v>
                </c:pt>
                <c:pt idx="593">
                  <c:v>-1.3779018982912314</c:v>
                </c:pt>
                <c:pt idx="594">
                  <c:v>-1.5680373030457222</c:v>
                </c:pt>
                <c:pt idx="595">
                  <c:v>-1.7621572308918763</c:v>
                </c:pt>
                <c:pt idx="596">
                  <c:v>-1.5224547225077301</c:v>
                </c:pt>
                <c:pt idx="597">
                  <c:v>-1.5508738205963375</c:v>
                </c:pt>
                <c:pt idx="598">
                  <c:v>-1.4897192490794842</c:v>
                </c:pt>
                <c:pt idx="599">
                  <c:v>-1.4735723966509133</c:v>
                </c:pt>
                <c:pt idx="600">
                  <c:v>-1.4902625647223422</c:v>
                </c:pt>
                <c:pt idx="601">
                  <c:v>-1.5521264129890087</c:v>
                </c:pt>
                <c:pt idx="602">
                  <c:v>-1.4366744548486576</c:v>
                </c:pt>
                <c:pt idx="603">
                  <c:v>-1.4739968266101258</c:v>
                </c:pt>
                <c:pt idx="604">
                  <c:v>-1.7153101779520052</c:v>
                </c:pt>
                <c:pt idx="605">
                  <c:v>-1.9120699079520052</c:v>
                </c:pt>
                <c:pt idx="606">
                  <c:v>-1.9727883075417489</c:v>
                </c:pt>
                <c:pt idx="607">
                  <c:v>-1.8403549272331068</c:v>
                </c:pt>
                <c:pt idx="608">
                  <c:v>-1.8493502870331064</c:v>
                </c:pt>
                <c:pt idx="609">
                  <c:v>-1.9215078253586875</c:v>
                </c:pt>
                <c:pt idx="610">
                  <c:v>-1.7356478326827098</c:v>
                </c:pt>
                <c:pt idx="611">
                  <c:v>-1.6615057441658558</c:v>
                </c:pt>
                <c:pt idx="612">
                  <c:v>-1.81342080481201</c:v>
                </c:pt>
                <c:pt idx="613">
                  <c:v>-1.9521776502080497</c:v>
                </c:pt>
                <c:pt idx="614">
                  <c:v>-1.8166258148405285</c:v>
                </c:pt>
                <c:pt idx="615">
                  <c:v>-1.8227903585738618</c:v>
                </c:pt>
                <c:pt idx="616">
                  <c:v>-1.8926165175982519</c:v>
                </c:pt>
                <c:pt idx="617">
                  <c:v>-1.8085109478065851</c:v>
                </c:pt>
                <c:pt idx="618">
                  <c:v>-1.7728703534642427</c:v>
                </c:pt>
                <c:pt idx="619">
                  <c:v>-1.7427473498642427</c:v>
                </c:pt>
                <c:pt idx="620">
                  <c:v>-1.7548669588101884</c:v>
                </c:pt>
                <c:pt idx="621">
                  <c:v>-1.7907915903101881</c:v>
                </c:pt>
                <c:pt idx="622">
                  <c:v>-1.8133019955185212</c:v>
                </c:pt>
                <c:pt idx="623">
                  <c:v>-1.6818088337157042</c:v>
                </c:pt>
                <c:pt idx="624">
                  <c:v>-1.6684845946459361</c:v>
                </c:pt>
                <c:pt idx="625">
                  <c:v>-1.7186265373382441</c:v>
                </c:pt>
                <c:pt idx="626">
                  <c:v>-1.7461174397741415</c:v>
                </c:pt>
                <c:pt idx="627">
                  <c:v>-1.7136858844982794</c:v>
                </c:pt>
                <c:pt idx="628">
                  <c:v>-1.5981109245704443</c:v>
                </c:pt>
                <c:pt idx="629">
                  <c:v>-1.445764768984237</c:v>
                </c:pt>
                <c:pt idx="630">
                  <c:v>-1.4224401202885852</c:v>
                </c:pt>
                <c:pt idx="631">
                  <c:v>-1.5291188769552526</c:v>
                </c:pt>
                <c:pt idx="632">
                  <c:v>-1.3943519344846642</c:v>
                </c:pt>
                <c:pt idx="633">
                  <c:v>-1.4940632463327652</c:v>
                </c:pt>
                <c:pt idx="634">
                  <c:v>-1.5664437480044071</c:v>
                </c:pt>
                <c:pt idx="635">
                  <c:v>-1.495478853004407</c:v>
                </c:pt>
                <c:pt idx="636">
                  <c:v>-1.5446475562985242</c:v>
                </c:pt>
                <c:pt idx="637">
                  <c:v>-1.584781567389433</c:v>
                </c:pt>
                <c:pt idx="638">
                  <c:v>-1.4871633924370515</c:v>
                </c:pt>
                <c:pt idx="639">
                  <c:v>-1.6106415889887753</c:v>
                </c:pt>
                <c:pt idx="640">
                  <c:v>-1.5569511173079242</c:v>
                </c:pt>
                <c:pt idx="641">
                  <c:v>-1.5065967902338502</c:v>
                </c:pt>
                <c:pt idx="642">
                  <c:v>-1.5253856189729806</c:v>
                </c:pt>
                <c:pt idx="643">
                  <c:v>-1.5281641956751084</c:v>
                </c:pt>
                <c:pt idx="644">
                  <c:v>-1.507359920494781</c:v>
                </c:pt>
                <c:pt idx="645">
                  <c:v>-1.5209743726671949</c:v>
                </c:pt>
                <c:pt idx="646">
                  <c:v>-1.5749765425671944</c:v>
                </c:pt>
                <c:pt idx="647">
                  <c:v>-1.5621403370019771</c:v>
                </c:pt>
                <c:pt idx="648">
                  <c:v>-1.512818313001977</c:v>
                </c:pt>
                <c:pt idx="649">
                  <c:v>-1.4501788244653913</c:v>
                </c:pt>
                <c:pt idx="650">
                  <c:v>-1.5113131479072517</c:v>
                </c:pt>
                <c:pt idx="651">
                  <c:v>-1.4649423106121702</c:v>
                </c:pt>
                <c:pt idx="652">
                  <c:v>-1.4841020455606238</c:v>
                </c:pt>
                <c:pt idx="653">
                  <c:v>-1.42870328247659</c:v>
                </c:pt>
                <c:pt idx="654">
                  <c:v>-1.412078618624738</c:v>
                </c:pt>
                <c:pt idx="655">
                  <c:v>-1.4019939936247381</c:v>
                </c:pt>
                <c:pt idx="656">
                  <c:v>-1.4232562222173306</c:v>
                </c:pt>
                <c:pt idx="657">
                  <c:v>-1.4181240585416548</c:v>
                </c:pt>
                <c:pt idx="658">
                  <c:v>-1.2933785707371859</c:v>
                </c:pt>
                <c:pt idx="659">
                  <c:v>-1.2237872956462763</c:v>
                </c:pt>
                <c:pt idx="660">
                  <c:v>-1.2294353395319906</c:v>
                </c:pt>
                <c:pt idx="661">
                  <c:v>-1.1652711557941264</c:v>
                </c:pt>
                <c:pt idx="662">
                  <c:v>-1.4164695503681999</c:v>
                </c:pt>
                <c:pt idx="663">
                  <c:v>-1.3781383850544742</c:v>
                </c:pt>
                <c:pt idx="664">
                  <c:v>-1.4210238559870585</c:v>
                </c:pt>
                <c:pt idx="665">
                  <c:v>-1.3294257373429907</c:v>
                </c:pt>
                <c:pt idx="666">
                  <c:v>-0.72919206772394329</c:v>
                </c:pt>
                <c:pt idx="667">
                  <c:v>-0.81991021090912863</c:v>
                </c:pt>
                <c:pt idx="668">
                  <c:v>-0.79047906177459937</c:v>
                </c:pt>
                <c:pt idx="669">
                  <c:v>-0.80587698815141096</c:v>
                </c:pt>
                <c:pt idx="670">
                  <c:v>-0.66486679932532411</c:v>
                </c:pt>
                <c:pt idx="671">
                  <c:v>-0.77192720738864895</c:v>
                </c:pt>
                <c:pt idx="672">
                  <c:v>-0.60070833726669759</c:v>
                </c:pt>
                <c:pt idx="673">
                  <c:v>-0.42037076771830995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6-41CD-ABA8-260201037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639840"/>
        <c:axId val="581640256"/>
      </c:lineChart>
      <c:dateAx>
        <c:axId val="581639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40256"/>
        <c:crosses val="autoZero"/>
        <c:auto val="1"/>
        <c:lblOffset val="100"/>
        <c:baseTimeUnit val="days"/>
      </c:dateAx>
      <c:valAx>
        <c:axId val="581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3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28F818F-25C0-4A54-B0E7-B961DE9C74C3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608121-BF5D-4BE1-99F4-9ADF4AC3D2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0.29375000000000001</v>
      </c>
      <c r="D2" s="4">
        <f>MIN(D3:D1912)</f>
        <v>9.6100000000000005E-3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6.7540000000000003E-2</v>
      </c>
      <c r="C5">
        <v>6.9239999999999996E-2</v>
      </c>
      <c r="D5">
        <v>6.5299999999999997E-2</v>
      </c>
      <c r="E5">
        <v>6.5390000000000004E-2</v>
      </c>
      <c r="F5">
        <v>1063586.3999999999</v>
      </c>
      <c r="G5">
        <v>6.5390000000000004E-2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-0.95431472081217927</v>
      </c>
      <c r="Q5">
        <f t="shared" ref="Q5" si="1">F5*P5</f>
        <v>-1014996.1583756307</v>
      </c>
      <c r="R5">
        <f t="shared" ref="R5" si="2">R6+Q5</f>
        <v>-4624803454.6950588</v>
      </c>
      <c r="S5">
        <f t="shared" ref="S5" si="3">R5/100000</f>
        <v>-46248.034546950585</v>
      </c>
      <c r="T5">
        <f t="shared" ref="T5" si="4">S5/1000</f>
        <v>-46.248034546950585</v>
      </c>
    </row>
    <row r="6" spans="1:20" x14ac:dyDescent="0.25">
      <c r="A6" s="5">
        <v>44587</v>
      </c>
      <c r="B6">
        <v>6.4170000000000005E-2</v>
      </c>
      <c r="C6">
        <v>7.306E-2</v>
      </c>
      <c r="D6">
        <v>6.3140000000000002E-2</v>
      </c>
      <c r="E6">
        <v>6.7470000000000002E-2</v>
      </c>
      <c r="F6">
        <v>17725918.5</v>
      </c>
      <c r="G6">
        <v>6.7470000000000002E-2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-0.12701612903225781</v>
      </c>
      <c r="Q6">
        <f t="shared" ref="Q6" si="6">F6*P6</f>
        <v>-2251477.551411286</v>
      </c>
      <c r="R6">
        <f t="shared" ref="R6" si="7">R7+Q6</f>
        <v>-4623788458.5366831</v>
      </c>
      <c r="S6">
        <f t="shared" ref="S6" si="8">R6/100000</f>
        <v>-46237.884585366832</v>
      </c>
      <c r="T6">
        <f t="shared" ref="T6" si="9">S6/1000</f>
        <v>-46.237884585366835</v>
      </c>
    </row>
    <row r="7" spans="1:20" x14ac:dyDescent="0.25">
      <c r="A7" s="5">
        <v>44586</v>
      </c>
      <c r="B7">
        <v>6.4890000000000003E-2</v>
      </c>
      <c r="C7">
        <v>6.5119999999999997E-2</v>
      </c>
      <c r="D7">
        <v>6.0789999999999997E-2</v>
      </c>
      <c r="E7">
        <v>6.4280000000000004E-2</v>
      </c>
      <c r="F7">
        <v>7430930</v>
      </c>
      <c r="G7">
        <v>6.4280000000000004E-2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0.61200923787529171</v>
      </c>
      <c r="Q7">
        <f t="shared" ref="Q7" si="11">F7*P7</f>
        <v>4547797.8060046416</v>
      </c>
      <c r="R7">
        <f t="shared" ref="R7" si="12">R8+Q7</f>
        <v>-4621536980.9852715</v>
      </c>
      <c r="S7">
        <f t="shared" ref="S7" si="13">R7/100000</f>
        <v>-46215.369809852717</v>
      </c>
      <c r="T7">
        <f t="shared" ref="T7" si="14">S7/1000</f>
        <v>-46.215369809852717</v>
      </c>
    </row>
    <row r="8" spans="1:20" x14ac:dyDescent="0.25">
      <c r="A8" s="5">
        <v>44585</v>
      </c>
      <c r="B8">
        <v>6.7140000000000005E-2</v>
      </c>
      <c r="C8">
        <v>6.7140000000000005E-2</v>
      </c>
      <c r="D8">
        <v>5.6259999999999998E-2</v>
      </c>
      <c r="E8">
        <v>6.5060000000000007E-2</v>
      </c>
      <c r="F8">
        <v>23524259.600000001</v>
      </c>
      <c r="G8">
        <v>6.5060000000000007E-2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0.61764705882352999</v>
      </c>
      <c r="Q8">
        <f t="shared" ref="Q8" si="16">F8*P8</f>
        <v>14529689.752941191</v>
      </c>
      <c r="R8">
        <f t="shared" ref="R8" si="17">R9+Q8</f>
        <v>-4626084778.791276</v>
      </c>
      <c r="S8">
        <f t="shared" ref="S8" si="18">R8/100000</f>
        <v>-46260.84778791276</v>
      </c>
      <c r="T8">
        <f t="shared" ref="T8" si="19">S8/1000</f>
        <v>-46.260847787912759</v>
      </c>
    </row>
    <row r="9" spans="1:20" x14ac:dyDescent="0.25">
      <c r="A9" s="5">
        <v>44584</v>
      </c>
      <c r="B9">
        <v>6.4729999999999996E-2</v>
      </c>
      <c r="C9">
        <v>6.8000000000000005E-2</v>
      </c>
      <c r="D9">
        <v>6.3070000000000001E-2</v>
      </c>
      <c r="E9">
        <v>6.7250000000000004E-2</v>
      </c>
      <c r="F9">
        <v>7451962.7999999998</v>
      </c>
      <c r="G9">
        <v>6.7250000000000004E-2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0.69574036511156179</v>
      </c>
      <c r="Q9">
        <f t="shared" ref="Q9" si="21">F9*P9</f>
        <v>5184631.3192697763</v>
      </c>
      <c r="R9">
        <f t="shared" ref="R9" si="22">R10+Q9</f>
        <v>-4640614468.5442171</v>
      </c>
      <c r="S9">
        <f t="shared" ref="S9" si="23">R9/100000</f>
        <v>-46406.144685442174</v>
      </c>
      <c r="T9">
        <f t="shared" ref="T9" si="24">S9/1000</f>
        <v>-46.406144685442172</v>
      </c>
    </row>
    <row r="10" spans="1:20" x14ac:dyDescent="0.25">
      <c r="A10" s="5">
        <v>44583</v>
      </c>
      <c r="B10">
        <v>7.4329999999999993E-2</v>
      </c>
      <c r="C10">
        <v>7.5380000000000003E-2</v>
      </c>
      <c r="D10">
        <v>5.8380000000000001E-2</v>
      </c>
      <c r="E10">
        <v>6.4750000000000002E-2</v>
      </c>
      <c r="F10">
        <v>18051043.100000001</v>
      </c>
      <c r="G10">
        <v>6.4750000000000002E-2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-0.25058823529411761</v>
      </c>
      <c r="Q10">
        <f t="shared" ref="Q10" si="26">F10*P10</f>
        <v>-4523379.0356470589</v>
      </c>
      <c r="R10">
        <f t="shared" ref="R10" si="27">R11+Q10</f>
        <v>-4645799099.8634872</v>
      </c>
      <c r="S10">
        <f t="shared" ref="S10" si="28">R10/100000</f>
        <v>-46457.990998634872</v>
      </c>
      <c r="T10">
        <f t="shared" ref="T10" si="29">S10/1000</f>
        <v>-46.45799099863487</v>
      </c>
    </row>
    <row r="11" spans="1:20" x14ac:dyDescent="0.25">
      <c r="A11" s="5">
        <v>44582</v>
      </c>
      <c r="B11">
        <v>8.7349999999999997E-2</v>
      </c>
      <c r="C11">
        <v>8.8539999999999994E-2</v>
      </c>
      <c r="D11">
        <v>7.306E-2</v>
      </c>
      <c r="E11">
        <v>7.4270000000000003E-2</v>
      </c>
      <c r="F11">
        <v>9962067.1999999993</v>
      </c>
      <c r="G11">
        <v>7.4270000000000003E-2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-0.84366925064599441</v>
      </c>
      <c r="Q11">
        <f t="shared" ref="Q11" si="31">F11*P11</f>
        <v>-8404689.7695090398</v>
      </c>
      <c r="R11">
        <f t="shared" ref="R11" si="32">R12+Q11</f>
        <v>-4641275720.8278399</v>
      </c>
      <c r="S11">
        <f t="shared" ref="S11" si="33">R11/100000</f>
        <v>-46412.757208278395</v>
      </c>
      <c r="T11">
        <f t="shared" ref="T11" si="34">S11/1000</f>
        <v>-46.412757208278393</v>
      </c>
    </row>
    <row r="12" spans="1:20" x14ac:dyDescent="0.25">
      <c r="A12" s="5">
        <v>44581</v>
      </c>
      <c r="B12">
        <v>9.1910000000000006E-2</v>
      </c>
      <c r="C12">
        <v>9.3689999999999996E-2</v>
      </c>
      <c r="D12">
        <v>8.7059999999999998E-2</v>
      </c>
      <c r="E12">
        <v>8.7349999999999997E-2</v>
      </c>
      <c r="F12">
        <v>7636853</v>
      </c>
      <c r="G12">
        <v>8.7349999999999997E-2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-0.91251885369532471</v>
      </c>
      <c r="Q12">
        <f t="shared" ref="Q12" si="36">F12*P12</f>
        <v>-6968772.345399702</v>
      </c>
      <c r="R12">
        <f t="shared" ref="R12" si="37">R13+Q12</f>
        <v>-4632871031.0583305</v>
      </c>
      <c r="S12">
        <f t="shared" ref="S12" si="38">R12/100000</f>
        <v>-46328.710310583308</v>
      </c>
      <c r="T12">
        <f t="shared" ref="T12" si="39">S12/1000</f>
        <v>-46.328710310583311</v>
      </c>
    </row>
    <row r="13" spans="1:20" x14ac:dyDescent="0.25">
      <c r="A13" s="5">
        <v>44580</v>
      </c>
      <c r="B13">
        <v>9.3030000000000002E-2</v>
      </c>
      <c r="C13">
        <v>9.3380000000000005E-2</v>
      </c>
      <c r="D13">
        <v>8.8510000000000005E-2</v>
      </c>
      <c r="E13">
        <v>9.1869999999999993E-2</v>
      </c>
      <c r="F13">
        <v>3396899.6</v>
      </c>
      <c r="G13">
        <v>9.1869999999999993E-2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0.37987679671457431</v>
      </c>
      <c r="Q13">
        <f t="shared" ref="Q13" si="41">F13*P13</f>
        <v>1290403.3388090187</v>
      </c>
      <c r="R13">
        <f t="shared" ref="R13" si="42">R14+Q13</f>
        <v>-4625902258.7129307</v>
      </c>
      <c r="S13">
        <f t="shared" ref="S13" si="43">R13/100000</f>
        <v>-46259.022587129308</v>
      </c>
      <c r="T13">
        <f t="shared" ref="T13" si="44">S13/1000</f>
        <v>-46.259022587129309</v>
      </c>
    </row>
    <row r="14" spans="1:20" x14ac:dyDescent="0.25">
      <c r="A14" s="5">
        <v>44579</v>
      </c>
      <c r="B14">
        <v>9.282E-2</v>
      </c>
      <c r="C14">
        <v>9.529E-2</v>
      </c>
      <c r="D14">
        <v>8.9090000000000003E-2</v>
      </c>
      <c r="E14">
        <v>9.2950000000000005E-2</v>
      </c>
      <c r="F14">
        <v>3176023.5</v>
      </c>
      <c r="G14">
        <v>9.2950000000000005E-2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0.24516129032258197</v>
      </c>
      <c r="Q14">
        <f t="shared" ref="Q14" si="46">F14*P14</f>
        <v>778638.01935484295</v>
      </c>
      <c r="R14">
        <f t="shared" ref="R14" si="47">R15+Q14</f>
        <v>-4627192662.0517397</v>
      </c>
      <c r="S14">
        <f t="shared" ref="S14" si="48">R14/100000</f>
        <v>-46271.926620517399</v>
      </c>
      <c r="T14">
        <f t="shared" ref="T14" si="49">S14/1000</f>
        <v>-46.271926620517398</v>
      </c>
    </row>
    <row r="15" spans="1:20" x14ac:dyDescent="0.25">
      <c r="A15" s="5">
        <v>44578</v>
      </c>
      <c r="B15">
        <v>9.6979999999999997E-2</v>
      </c>
      <c r="C15">
        <v>9.6990000000000007E-2</v>
      </c>
      <c r="D15">
        <v>9.1399999999999995E-2</v>
      </c>
      <c r="E15">
        <v>9.282E-2</v>
      </c>
      <c r="F15">
        <v>2268212.7999999998</v>
      </c>
      <c r="G15">
        <v>9.282E-2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-0.49194991055456111</v>
      </c>
      <c r="Q15">
        <f t="shared" ref="Q15" si="51">F15*P15</f>
        <v>-1115847.0840787105</v>
      </c>
      <c r="R15">
        <f t="shared" ref="R15" si="52">R16+Q15</f>
        <v>-4627971300.0710945</v>
      </c>
      <c r="S15">
        <f t="shared" ref="S15" si="53">R15/100000</f>
        <v>-46279.713000710944</v>
      </c>
      <c r="T15">
        <f t="shared" ref="T15" si="54">S15/1000</f>
        <v>-46.279713000710942</v>
      </c>
    </row>
    <row r="16" spans="1:20" x14ac:dyDescent="0.25">
      <c r="A16" s="5">
        <v>44577</v>
      </c>
      <c r="B16">
        <v>9.6909999999999996E-2</v>
      </c>
      <c r="C16">
        <v>0.10326</v>
      </c>
      <c r="D16">
        <v>9.5369999999999996E-2</v>
      </c>
      <c r="E16">
        <v>9.7000000000000003E-2</v>
      </c>
      <c r="F16">
        <v>3589285.5</v>
      </c>
      <c r="G16">
        <v>9.7000000000000003E-2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-0.58681875792141835</v>
      </c>
      <c r="Q16">
        <f t="shared" ref="Q16" si="56">F16*P16</f>
        <v>-2106260.0589353573</v>
      </c>
      <c r="R16">
        <f t="shared" ref="R16" si="57">R17+Q16</f>
        <v>-4626855452.9870157</v>
      </c>
      <c r="S16">
        <f t="shared" ref="S16" si="58">R16/100000</f>
        <v>-46268.554529870155</v>
      </c>
      <c r="T16">
        <f t="shared" ref="T16" si="59">S16/1000</f>
        <v>-46.268554529870151</v>
      </c>
    </row>
    <row r="17" spans="1:20" x14ac:dyDescent="0.25">
      <c r="A17" s="5">
        <v>44576</v>
      </c>
      <c r="B17">
        <v>9.6100000000000005E-2</v>
      </c>
      <c r="C17">
        <v>9.7019999999999995E-2</v>
      </c>
      <c r="D17">
        <v>9.4390000000000002E-2</v>
      </c>
      <c r="E17">
        <v>9.6909999999999996E-2</v>
      </c>
      <c r="F17">
        <v>1898405.3</v>
      </c>
      <c r="G17">
        <v>9.6909999999999996E-2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0.91634980988593218</v>
      </c>
      <c r="Q17">
        <f t="shared" ref="Q17" si="61">F17*P17</f>
        <v>1739603.3357414461</v>
      </c>
      <c r="R17">
        <f t="shared" ref="R17" si="62">R18+Q17</f>
        <v>-4624749192.9280806</v>
      </c>
      <c r="S17">
        <f t="shared" ref="S17" si="63">R17/100000</f>
        <v>-46247.491929280804</v>
      </c>
      <c r="T17">
        <f t="shared" ref="T17" si="64">S17/1000</f>
        <v>-46.247491929280805</v>
      </c>
    </row>
    <row r="18" spans="1:20" x14ac:dyDescent="0.25">
      <c r="A18" s="5">
        <v>44575</v>
      </c>
      <c r="B18">
        <v>9.4280000000000003E-2</v>
      </c>
      <c r="C18">
        <v>9.6680000000000002E-2</v>
      </c>
      <c r="D18">
        <v>9.0499999999999997E-2</v>
      </c>
      <c r="E18">
        <v>9.6369999999999997E-2</v>
      </c>
      <c r="F18">
        <v>2844745.8</v>
      </c>
      <c r="G18">
        <v>9.6369999999999997E-2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0.89967637540452927</v>
      </c>
      <c r="Q18">
        <f t="shared" ref="Q18" si="66">F18*P18</f>
        <v>2559350.5902912579</v>
      </c>
      <c r="R18">
        <f t="shared" ref="R18" si="67">R19+Q18</f>
        <v>-4626488796.2638216</v>
      </c>
      <c r="S18">
        <f t="shared" ref="S18" si="68">R18/100000</f>
        <v>-46264.887962638219</v>
      </c>
      <c r="T18">
        <f t="shared" ref="T18" si="69">S18/1000</f>
        <v>-46.26488796263822</v>
      </c>
    </row>
    <row r="19" spans="1:20" x14ac:dyDescent="0.25">
      <c r="A19" s="5">
        <v>44574</v>
      </c>
      <c r="B19">
        <v>9.733E-2</v>
      </c>
      <c r="C19">
        <v>0.10206999999999999</v>
      </c>
      <c r="D19">
        <v>9.3420000000000003E-2</v>
      </c>
      <c r="E19">
        <v>9.4399999999999998E-2</v>
      </c>
      <c r="F19">
        <v>10619586.5</v>
      </c>
      <c r="G19">
        <v>9.4399999999999998E-2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-0.77341040462427846</v>
      </c>
      <c r="Q19">
        <f t="shared" ref="Q19" si="71">F19*P19</f>
        <v>-8213298.6919075251</v>
      </c>
      <c r="R19">
        <f t="shared" ref="R19" si="72">R20+Q19</f>
        <v>-4629048146.8541126</v>
      </c>
      <c r="S19">
        <f t="shared" ref="S19" si="73">R19/100000</f>
        <v>-46290.481468541126</v>
      </c>
      <c r="T19">
        <f t="shared" ref="T19" si="74">S19/1000</f>
        <v>-46.290481468541124</v>
      </c>
    </row>
    <row r="20" spans="1:20" x14ac:dyDescent="0.25">
      <c r="A20" s="5">
        <v>44573</v>
      </c>
      <c r="B20">
        <v>9.2990000000000003E-2</v>
      </c>
      <c r="C20">
        <v>9.7549999999999998E-2</v>
      </c>
      <c r="D20">
        <v>9.0959999999999999E-2</v>
      </c>
      <c r="E20">
        <v>9.733E-2</v>
      </c>
      <c r="F20">
        <v>5788488</v>
      </c>
      <c r="G20">
        <v>9.733E-2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0.93323216995447711</v>
      </c>
      <c r="Q20">
        <f t="shared" ref="Q20" si="76">F20*P20</f>
        <v>5402003.2169954516</v>
      </c>
      <c r="R20">
        <f t="shared" ref="R20" si="77">R21+Q20</f>
        <v>-4620834848.1622047</v>
      </c>
      <c r="S20">
        <f t="shared" ref="S20" si="78">R20/100000</f>
        <v>-46208.348481622044</v>
      </c>
      <c r="T20">
        <f t="shared" ref="T20" si="79">S20/1000</f>
        <v>-46.208348481622046</v>
      </c>
    </row>
    <row r="21" spans="1:20" x14ac:dyDescent="0.25">
      <c r="A21" s="5">
        <v>44572</v>
      </c>
      <c r="B21">
        <v>9.264E-2</v>
      </c>
      <c r="C21">
        <v>9.3600000000000003E-2</v>
      </c>
      <c r="D21">
        <v>8.6709999999999995E-2</v>
      </c>
      <c r="E21">
        <v>9.2969999999999997E-2</v>
      </c>
      <c r="F21">
        <v>13689422.800000001</v>
      </c>
      <c r="G21">
        <v>9.2969999999999997E-2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0.81712626995645721</v>
      </c>
      <c r="Q21">
        <f t="shared" ref="Q21" si="81">F21*P21</f>
        <v>11185986.990420882</v>
      </c>
      <c r="R21">
        <f t="shared" ref="R21" si="82">R22+Q21</f>
        <v>-4626236851.3792</v>
      </c>
      <c r="S21">
        <f t="shared" ref="S21" si="83">R21/100000</f>
        <v>-46262.368513791997</v>
      </c>
      <c r="T21">
        <f t="shared" ref="T21" si="84">S21/1000</f>
        <v>-46.262368513791998</v>
      </c>
    </row>
    <row r="22" spans="1:20" x14ac:dyDescent="0.25">
      <c r="A22" s="5">
        <v>44571</v>
      </c>
      <c r="B22">
        <v>9.7949999999999995E-2</v>
      </c>
      <c r="C22">
        <v>9.8500000000000004E-2</v>
      </c>
      <c r="D22">
        <v>8.5430000000000006E-2</v>
      </c>
      <c r="E22">
        <v>9.2420000000000002E-2</v>
      </c>
      <c r="F22">
        <v>9015409.1999999993</v>
      </c>
      <c r="G22">
        <v>9.2420000000000002E-2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6.9625095638867193E-2</v>
      </c>
      <c r="Q22">
        <f t="shared" ref="Q22" si="86">F22*P22</f>
        <v>627698.72777352307</v>
      </c>
      <c r="R22">
        <f t="shared" ref="R22" si="87">R23+Q22</f>
        <v>-4637422838.3696213</v>
      </c>
      <c r="S22">
        <f t="shared" ref="S22" si="88">R22/100000</f>
        <v>-46374.228383696216</v>
      </c>
      <c r="T22">
        <f t="shared" ref="T22" si="89">S22/1000</f>
        <v>-46.374228383696213</v>
      </c>
    </row>
    <row r="23" spans="1:20" x14ac:dyDescent="0.25">
      <c r="A23" s="5">
        <v>44570</v>
      </c>
      <c r="B23">
        <v>9.3369999999999995E-2</v>
      </c>
      <c r="C23">
        <v>0.10349999999999999</v>
      </c>
      <c r="D23">
        <v>9.2810000000000004E-2</v>
      </c>
      <c r="E23">
        <v>9.8100000000000007E-2</v>
      </c>
      <c r="F23">
        <v>27111568.5</v>
      </c>
      <c r="G23">
        <v>9.8100000000000007E-2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-1.0289990645461666E-2</v>
      </c>
      <c r="Q23">
        <f t="shared" ref="Q23" si="91">F23*P23</f>
        <v>-278977.78624879319</v>
      </c>
      <c r="R23">
        <f t="shared" ref="R23" si="92">R24+Q23</f>
        <v>-4638050537.0973949</v>
      </c>
      <c r="S23">
        <f t="shared" ref="S23" si="93">R23/100000</f>
        <v>-46380.505370973951</v>
      </c>
      <c r="T23">
        <f t="shared" ref="T23" si="94">S23/1000</f>
        <v>-46.38050537097395</v>
      </c>
    </row>
    <row r="24" spans="1:20" x14ac:dyDescent="0.25">
      <c r="A24" s="5">
        <v>44569</v>
      </c>
      <c r="B24">
        <v>9.3789999999999998E-2</v>
      </c>
      <c r="C24">
        <v>9.665E-2</v>
      </c>
      <c r="D24">
        <v>9.128E-2</v>
      </c>
      <c r="E24">
        <v>9.3270000000000006E-2</v>
      </c>
      <c r="F24">
        <v>3660311.3</v>
      </c>
      <c r="G24">
        <v>9.3270000000000006E-2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-0.25884543761638518</v>
      </c>
      <c r="Q24">
        <f t="shared" ref="Q24" si="96">F24*P24</f>
        <v>-947454.88026069966</v>
      </c>
      <c r="R24">
        <f t="shared" ref="R24" si="97">R25+Q24</f>
        <v>-4637771559.3111458</v>
      </c>
      <c r="S24">
        <f t="shared" ref="S24" si="98">R24/100000</f>
        <v>-46377.715593111461</v>
      </c>
      <c r="T24">
        <f t="shared" ref="T24" si="99">S24/1000</f>
        <v>-46.377715593111461</v>
      </c>
    </row>
    <row r="25" spans="1:20" x14ac:dyDescent="0.25">
      <c r="A25" s="5">
        <v>44568</v>
      </c>
      <c r="B25">
        <v>9.8519999999999996E-2</v>
      </c>
      <c r="C25">
        <v>9.8650000000000002E-2</v>
      </c>
      <c r="D25">
        <v>9.1999999999999998E-2</v>
      </c>
      <c r="E25">
        <v>9.3789999999999998E-2</v>
      </c>
      <c r="F25">
        <v>4329882.0999999996</v>
      </c>
      <c r="G25">
        <v>9.3789999999999998E-2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-0.46165413533834615</v>
      </c>
      <c r="Q25">
        <f t="shared" ref="Q25" si="101">F25*P25</f>
        <v>-1998907.9769924823</v>
      </c>
      <c r="R25">
        <f t="shared" ref="R25" si="102">R26+Q25</f>
        <v>-4636824104.4308853</v>
      </c>
      <c r="S25">
        <f t="shared" ref="S25" si="103">R25/100000</f>
        <v>-46368.241044308852</v>
      </c>
      <c r="T25">
        <f t="shared" ref="T25" si="104">S25/1000</f>
        <v>-46.368241044308853</v>
      </c>
    </row>
    <row r="26" spans="1:20" x14ac:dyDescent="0.25">
      <c r="A26" s="5">
        <v>44567</v>
      </c>
      <c r="B26">
        <v>9.9669999999999995E-2</v>
      </c>
      <c r="C26">
        <v>0.10054</v>
      </c>
      <c r="D26">
        <v>9.5180000000000001E-2</v>
      </c>
      <c r="E26">
        <v>9.8680000000000004E-2</v>
      </c>
      <c r="F26">
        <v>14441401.300000001</v>
      </c>
      <c r="G26">
        <v>9.8680000000000004E-2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0.30597014925373162</v>
      </c>
      <c r="Q26">
        <f t="shared" ref="Q26" si="106">F26*P26</f>
        <v>4418637.7111940337</v>
      </c>
      <c r="R26">
        <f t="shared" ref="R26" si="107">R27+Q26</f>
        <v>-4634825196.4538927</v>
      </c>
      <c r="S26">
        <f t="shared" ref="S26" si="108">R26/100000</f>
        <v>-46348.251964538926</v>
      </c>
      <c r="T26">
        <f t="shared" ref="T26" si="109">S26/1000</f>
        <v>-46.348251964538925</v>
      </c>
    </row>
    <row r="27" spans="1:20" x14ac:dyDescent="0.25">
      <c r="A27" s="5">
        <v>44566</v>
      </c>
      <c r="B27">
        <v>0.10797</v>
      </c>
      <c r="C27">
        <v>0.11119</v>
      </c>
      <c r="D27">
        <v>9.5880000000000007E-2</v>
      </c>
      <c r="E27">
        <v>9.9669999999999995E-2</v>
      </c>
      <c r="F27">
        <v>12790300.5</v>
      </c>
      <c r="G27">
        <v>9.9669999999999995E-2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-0.5048987589810594</v>
      </c>
      <c r="Q27">
        <f t="shared" ref="Q27" si="111">F27*P27</f>
        <v>-6457806.8494448233</v>
      </c>
      <c r="R27">
        <f t="shared" ref="R27" si="112">R28+Q27</f>
        <v>-4639243834.1650867</v>
      </c>
      <c r="S27">
        <f t="shared" ref="S27" si="113">R27/100000</f>
        <v>-46392.438341650864</v>
      </c>
      <c r="T27">
        <f t="shared" ref="T27" si="114">S27/1000</f>
        <v>-46.392438341650866</v>
      </c>
    </row>
    <row r="28" spans="1:20" x14ac:dyDescent="0.25">
      <c r="A28" s="5">
        <v>44565</v>
      </c>
      <c r="B28">
        <v>0.11215</v>
      </c>
      <c r="C28">
        <v>0.11259</v>
      </c>
      <c r="D28">
        <v>0.10743999999999999</v>
      </c>
      <c r="E28">
        <v>0.10798000000000001</v>
      </c>
      <c r="F28">
        <v>8093425.4000000004</v>
      </c>
      <c r="G28">
        <v>0.10798000000000001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-0.79029126213591749</v>
      </c>
      <c r="Q28">
        <f t="shared" ref="Q28" si="116">F28*P28</f>
        <v>-6396163.374368893</v>
      </c>
      <c r="R28">
        <f t="shared" ref="R28" si="117">R29+Q28</f>
        <v>-4632786027.3156424</v>
      </c>
      <c r="S28">
        <f t="shared" ref="S28" si="118">R28/100000</f>
        <v>-46327.860273156424</v>
      </c>
      <c r="T28">
        <f t="shared" ref="T28" si="119">S28/1000</f>
        <v>-46.327860273156425</v>
      </c>
    </row>
    <row r="29" spans="1:20" x14ac:dyDescent="0.25">
      <c r="A29" s="5">
        <v>44564</v>
      </c>
      <c r="B29">
        <v>0.1142</v>
      </c>
      <c r="C29">
        <v>0.12081</v>
      </c>
      <c r="D29">
        <v>0.11014</v>
      </c>
      <c r="E29">
        <v>0.11216</v>
      </c>
      <c r="F29">
        <v>27915055.899999999</v>
      </c>
      <c r="G29">
        <v>0.11216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-0.62136832239925133</v>
      </c>
      <c r="Q29">
        <f t="shared" ref="Q29" si="121">F29*P29</f>
        <v>-17345531.45426432</v>
      </c>
      <c r="R29">
        <f t="shared" ref="R29" si="122">R30+Q29</f>
        <v>-4626389863.9412737</v>
      </c>
      <c r="S29">
        <f t="shared" ref="S29" si="123">R29/100000</f>
        <v>-46263.898639412735</v>
      </c>
      <c r="T29">
        <f t="shared" ref="T29" si="124">S29/1000</f>
        <v>-46.263898639412737</v>
      </c>
    </row>
    <row r="30" spans="1:20" x14ac:dyDescent="0.25">
      <c r="A30" s="5">
        <v>44563</v>
      </c>
      <c r="B30">
        <v>0.10528999999999999</v>
      </c>
      <c r="C30">
        <v>0.12690000000000001</v>
      </c>
      <c r="D30">
        <v>0.10403999999999999</v>
      </c>
      <c r="E30">
        <v>0.11414000000000001</v>
      </c>
      <c r="F30">
        <v>60099298.5</v>
      </c>
      <c r="G30">
        <v>0.11414000000000001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-0.11636045494313182</v>
      </c>
      <c r="Q30">
        <f t="shared" ref="Q30" si="126">F30*P30</f>
        <v>-6993181.7152230805</v>
      </c>
      <c r="R30">
        <f t="shared" ref="R30" si="127">R31+Q30</f>
        <v>-4609044332.487009</v>
      </c>
      <c r="S30">
        <f t="shared" ref="S30" si="128">R30/100000</f>
        <v>-46090.443324870088</v>
      </c>
      <c r="T30">
        <f t="shared" ref="T30" si="129">S30/1000</f>
        <v>-46.090443324870087</v>
      </c>
    </row>
    <row r="31" spans="1:20" x14ac:dyDescent="0.25">
      <c r="A31" s="5">
        <v>44562</v>
      </c>
      <c r="B31">
        <v>0.10199999999999999</v>
      </c>
      <c r="C31">
        <v>0.10589999999999999</v>
      </c>
      <c r="D31">
        <v>0.10199999999999999</v>
      </c>
      <c r="E31">
        <v>0.10502</v>
      </c>
      <c r="F31">
        <v>1466121.4</v>
      </c>
      <c r="G31">
        <v>0.10502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0.54871794871795299</v>
      </c>
      <c r="Q31">
        <f t="shared" ref="Q31" si="131">F31*P31</f>
        <v>804487.12717949343</v>
      </c>
      <c r="R31">
        <f t="shared" ref="R31" si="132">R32+Q31</f>
        <v>-4602051150.7717857</v>
      </c>
      <c r="S31">
        <f t="shared" ref="S31" si="133">R31/100000</f>
        <v>-46020.511507717856</v>
      </c>
      <c r="T31">
        <f t="shared" ref="T31" si="134">S31/1000</f>
        <v>-46.020511507717856</v>
      </c>
    </row>
    <row r="32" spans="1:20" x14ac:dyDescent="0.25">
      <c r="A32" s="5">
        <v>44561</v>
      </c>
      <c r="B32">
        <v>0.10441</v>
      </c>
      <c r="C32">
        <v>0.11076</v>
      </c>
      <c r="D32">
        <v>9.9690000000000001E-2</v>
      </c>
      <c r="E32">
        <v>0.10199999999999999</v>
      </c>
      <c r="F32">
        <v>9412076.5999999996</v>
      </c>
      <c r="G32">
        <v>0.10199999999999999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-0.58265582655826675</v>
      </c>
      <c r="Q32">
        <f t="shared" ref="Q32" si="136">F32*P32</f>
        <v>-5484001.271002721</v>
      </c>
      <c r="R32">
        <f t="shared" ref="R32" si="137">R33+Q32</f>
        <v>-4602855637.8989649</v>
      </c>
      <c r="S32">
        <f t="shared" ref="S32" si="138">R32/100000</f>
        <v>-46028.556378989648</v>
      </c>
      <c r="T32">
        <f t="shared" ref="T32" si="139">S32/1000</f>
        <v>-46.028556378989649</v>
      </c>
    </row>
    <row r="33" spans="1:20" x14ac:dyDescent="0.25">
      <c r="A33" s="5">
        <v>44560</v>
      </c>
      <c r="B33">
        <v>0.10149</v>
      </c>
      <c r="C33">
        <v>0.10521</v>
      </c>
      <c r="D33">
        <v>9.9390000000000006E-2</v>
      </c>
      <c r="E33">
        <v>0.10452</v>
      </c>
      <c r="F33">
        <v>5281001.0999999996</v>
      </c>
      <c r="G33">
        <v>0.10452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0.76288659793814528</v>
      </c>
      <c r="Q33">
        <f t="shared" ref="Q33" si="141">F33*P33</f>
        <v>4028804.9628866026</v>
      </c>
      <c r="R33">
        <f t="shared" ref="R33" si="142">R34+Q33</f>
        <v>-4597371636.6279621</v>
      </c>
      <c r="S33">
        <f t="shared" ref="S33" si="143">R33/100000</f>
        <v>-45973.716366279623</v>
      </c>
      <c r="T33">
        <f t="shared" ref="T33" si="144">S33/1000</f>
        <v>-45.973716366279625</v>
      </c>
    </row>
    <row r="34" spans="1:20" x14ac:dyDescent="0.25">
      <c r="A34" s="5">
        <v>44559</v>
      </c>
      <c r="B34">
        <v>0.10809000000000001</v>
      </c>
      <c r="C34">
        <v>0.11252</v>
      </c>
      <c r="D34">
        <v>0.10006</v>
      </c>
      <c r="E34">
        <v>0.10179000000000001</v>
      </c>
      <c r="F34">
        <v>11220355.1</v>
      </c>
      <c r="G34">
        <v>0.10179000000000001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-0.72231139646869835</v>
      </c>
      <c r="Q34">
        <f t="shared" ref="Q34" si="146">F34*P34</f>
        <v>-8104590.3611556813</v>
      </c>
      <c r="R34">
        <f t="shared" ref="R34" si="147">R35+Q34</f>
        <v>-4601400441.5908489</v>
      </c>
      <c r="S34">
        <f t="shared" ref="S34" si="148">R34/100000</f>
        <v>-46014.004415908486</v>
      </c>
      <c r="T34">
        <f t="shared" ref="T34" si="149">S34/1000</f>
        <v>-46.014004415908488</v>
      </c>
    </row>
    <row r="35" spans="1:20" x14ac:dyDescent="0.25">
      <c r="A35" s="5">
        <v>44558</v>
      </c>
      <c r="B35">
        <v>0.11377</v>
      </c>
      <c r="C35">
        <v>0.11581</v>
      </c>
      <c r="D35">
        <v>0.10718999999999999</v>
      </c>
      <c r="E35">
        <v>0.10808</v>
      </c>
      <c r="F35">
        <v>9226954.3000000007</v>
      </c>
      <c r="G35">
        <v>0.10808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-0.79350348027842188</v>
      </c>
      <c r="Q35">
        <f t="shared" ref="Q35" si="151">F35*P35</f>
        <v>-7321620.3494199505</v>
      </c>
      <c r="R35">
        <f t="shared" ref="R35" si="152">R36+Q35</f>
        <v>-4593295851.2296934</v>
      </c>
      <c r="S35">
        <f t="shared" ref="S35" si="153">R35/100000</f>
        <v>-45932.958512296937</v>
      </c>
      <c r="T35">
        <f t="shared" ref="T35" si="154">S35/1000</f>
        <v>-45.932958512296935</v>
      </c>
    </row>
    <row r="36" spans="1:20" x14ac:dyDescent="0.25">
      <c r="A36" s="5">
        <v>44557</v>
      </c>
      <c r="B36">
        <v>0.11426</v>
      </c>
      <c r="C36">
        <v>0.11734</v>
      </c>
      <c r="D36">
        <v>0.11282</v>
      </c>
      <c r="E36">
        <v>0.11377</v>
      </c>
      <c r="F36">
        <v>15368489.6</v>
      </c>
      <c r="G36">
        <v>0.11377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-0.57964601769911805</v>
      </c>
      <c r="Q36">
        <f t="shared" ref="Q36" si="156">F36*P36</f>
        <v>-8908283.794690311</v>
      </c>
      <c r="R36">
        <f t="shared" ref="R36" si="157">R37+Q36</f>
        <v>-4585974230.8802738</v>
      </c>
      <c r="S36">
        <f t="shared" ref="S36" si="158">R36/100000</f>
        <v>-45859.742308802735</v>
      </c>
      <c r="T36">
        <f t="shared" ref="T36" si="159">S36/1000</f>
        <v>-45.859742308802737</v>
      </c>
    </row>
    <row r="37" spans="1:20" x14ac:dyDescent="0.25">
      <c r="A37" s="5">
        <v>44556</v>
      </c>
      <c r="B37">
        <v>0.11389000000000001</v>
      </c>
      <c r="C37">
        <v>0.11589000000000001</v>
      </c>
      <c r="D37">
        <v>0.11070000000000001</v>
      </c>
      <c r="E37">
        <v>0.11426</v>
      </c>
      <c r="F37">
        <v>3119204.8</v>
      </c>
      <c r="G37">
        <v>0.11426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0.37186897880539255</v>
      </c>
      <c r="Q37">
        <f t="shared" ref="Q37" si="161">F37*P37</f>
        <v>1159935.5036608786</v>
      </c>
      <c r="R37">
        <f t="shared" ref="R37" si="162">R38+Q37</f>
        <v>-4577065947.0855837</v>
      </c>
      <c r="S37">
        <f t="shared" ref="S37" si="163">R37/100000</f>
        <v>-45770.65947085584</v>
      </c>
      <c r="T37">
        <f t="shared" ref="T37" si="164">S37/1000</f>
        <v>-45.77065947085584</v>
      </c>
    </row>
    <row r="38" spans="1:20" x14ac:dyDescent="0.25">
      <c r="A38" s="5">
        <v>44555</v>
      </c>
      <c r="B38">
        <v>0.11268</v>
      </c>
      <c r="C38">
        <v>0.11466999999999999</v>
      </c>
      <c r="D38">
        <v>0.11132</v>
      </c>
      <c r="E38">
        <v>0.11393</v>
      </c>
      <c r="F38">
        <v>2992838.5</v>
      </c>
      <c r="G38">
        <v>0.11393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0.55820895522388514</v>
      </c>
      <c r="Q38">
        <f t="shared" ref="Q38" si="166">F38*P38</f>
        <v>1670629.2522388196</v>
      </c>
      <c r="R38">
        <f t="shared" ref="R38" si="167">R39+Q38</f>
        <v>-4578225882.5892448</v>
      </c>
      <c r="S38">
        <f t="shared" ref="S38" si="168">R38/100000</f>
        <v>-45782.258825892452</v>
      </c>
      <c r="T38">
        <f t="shared" ref="T38" si="169">S38/1000</f>
        <v>-45.782258825892448</v>
      </c>
    </row>
    <row r="39" spans="1:20" x14ac:dyDescent="0.25">
      <c r="A39" s="5">
        <v>44554</v>
      </c>
      <c r="B39">
        <v>0.11483</v>
      </c>
      <c r="C39">
        <v>0.11749</v>
      </c>
      <c r="D39">
        <v>0.11209</v>
      </c>
      <c r="E39">
        <v>0.11325</v>
      </c>
      <c r="F39">
        <v>4560181.0999999996</v>
      </c>
      <c r="G39">
        <v>0.11325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-0.57037037037036753</v>
      </c>
      <c r="Q39">
        <f t="shared" ref="Q39" si="171">F39*P39</f>
        <v>-2600992.1829629499</v>
      </c>
      <c r="R39">
        <f t="shared" ref="R39" si="172">R40+Q39</f>
        <v>-4579896511.8414841</v>
      </c>
      <c r="S39">
        <f t="shared" ref="S39" si="173">R39/100000</f>
        <v>-45798.965118414839</v>
      </c>
      <c r="T39">
        <f t="shared" ref="T39" si="174">S39/1000</f>
        <v>-45.798965118414841</v>
      </c>
    </row>
    <row r="40" spans="1:20" x14ac:dyDescent="0.25">
      <c r="A40" s="5">
        <v>44553</v>
      </c>
      <c r="B40">
        <v>0.10836999999999999</v>
      </c>
      <c r="C40">
        <v>0.115</v>
      </c>
      <c r="D40">
        <v>0.10802</v>
      </c>
      <c r="E40">
        <v>0.11461</v>
      </c>
      <c r="F40">
        <v>6415144.4000000004</v>
      </c>
      <c r="G40">
        <v>0.11461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0.88825214899713423</v>
      </c>
      <c r="Q40">
        <f t="shared" ref="Q40" si="176">F40*P40</f>
        <v>5698265.7994269319</v>
      </c>
      <c r="R40">
        <f t="shared" ref="R40" si="177">R41+Q40</f>
        <v>-4577295519.6585207</v>
      </c>
      <c r="S40">
        <f t="shared" ref="S40" si="178">R40/100000</f>
        <v>-45772.955196585208</v>
      </c>
      <c r="T40">
        <f t="shared" ref="T40" si="179">S40/1000</f>
        <v>-45.772955196585208</v>
      </c>
    </row>
    <row r="41" spans="1:20" x14ac:dyDescent="0.25">
      <c r="A41" s="5">
        <v>44552</v>
      </c>
      <c r="B41">
        <v>0.10728</v>
      </c>
      <c r="C41">
        <v>0.11078</v>
      </c>
      <c r="D41">
        <v>0.10627</v>
      </c>
      <c r="E41">
        <v>0.10811</v>
      </c>
      <c r="F41">
        <v>4607401.5</v>
      </c>
      <c r="G41">
        <v>0.10811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-0.18403547671840603</v>
      </c>
      <c r="Q41">
        <f t="shared" ref="Q41" si="181">F41*P41</f>
        <v>-847925.33148559905</v>
      </c>
      <c r="R41">
        <f t="shared" ref="R41" si="182">R42+Q41</f>
        <v>-4582993785.4579477</v>
      </c>
      <c r="S41">
        <f t="shared" ref="S41" si="183">R41/100000</f>
        <v>-45829.937854579475</v>
      </c>
      <c r="T41">
        <f t="shared" ref="T41" si="184">S41/1000</f>
        <v>-45.829937854579477</v>
      </c>
    </row>
    <row r="42" spans="1:20" x14ac:dyDescent="0.25">
      <c r="A42" s="5">
        <v>44551</v>
      </c>
      <c r="B42">
        <v>0.10353</v>
      </c>
      <c r="C42">
        <v>0.10743999999999999</v>
      </c>
      <c r="D42">
        <v>0.10050000000000001</v>
      </c>
      <c r="E42">
        <v>0.10716000000000001</v>
      </c>
      <c r="F42">
        <v>6028965.7000000002</v>
      </c>
      <c r="G42">
        <v>0.10716000000000001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0.91930835734870631</v>
      </c>
      <c r="Q42">
        <f t="shared" ref="Q42" si="186">F42*P42</f>
        <v>5542478.5541786933</v>
      </c>
      <c r="R42">
        <f t="shared" ref="R42" si="187">R43+Q42</f>
        <v>-4582145860.126462</v>
      </c>
      <c r="S42">
        <f t="shared" ref="S42" si="188">R42/100000</f>
        <v>-45821.458601264618</v>
      </c>
      <c r="T42">
        <f t="shared" ref="T42" si="189">S42/1000</f>
        <v>-45.821458601264617</v>
      </c>
    </row>
    <row r="43" spans="1:20" x14ac:dyDescent="0.25">
      <c r="A43" s="5">
        <v>44550</v>
      </c>
      <c r="B43">
        <v>0.10804</v>
      </c>
      <c r="C43">
        <v>0.10804999999999999</v>
      </c>
      <c r="D43">
        <v>9.8809999999999995E-2</v>
      </c>
      <c r="E43">
        <v>0.10319</v>
      </c>
      <c r="F43">
        <v>4244650.2</v>
      </c>
      <c r="G43">
        <v>0.10319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-5.1948051948049842E-2</v>
      </c>
      <c r="Q43">
        <f t="shared" ref="Q43" si="191">F43*P43</f>
        <v>-220501.30909090015</v>
      </c>
      <c r="R43">
        <f t="shared" ref="R43" si="192">R44+Q43</f>
        <v>-4587688338.6806402</v>
      </c>
      <c r="S43">
        <f t="shared" ref="S43" si="193">R43/100000</f>
        <v>-45876.883386806403</v>
      </c>
      <c r="T43">
        <f t="shared" ref="T43" si="194">S43/1000</f>
        <v>-45.876883386806405</v>
      </c>
    </row>
    <row r="44" spans="1:20" x14ac:dyDescent="0.25">
      <c r="A44" s="5">
        <v>44549</v>
      </c>
      <c r="B44">
        <v>0.10990999999999999</v>
      </c>
      <c r="C44">
        <v>0.11138000000000001</v>
      </c>
      <c r="D44">
        <v>0.10662000000000001</v>
      </c>
      <c r="E44">
        <v>0.10804999999999999</v>
      </c>
      <c r="F44">
        <v>3798612.8</v>
      </c>
      <c r="G44">
        <v>0.10804999999999999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-0.39915966386555179</v>
      </c>
      <c r="Q44">
        <f t="shared" ref="Q44" si="196">F44*P44</f>
        <v>-1516253.0084033825</v>
      </c>
      <c r="R44">
        <f t="shared" ref="R44" si="197">R45+Q44</f>
        <v>-4587467837.3715496</v>
      </c>
      <c r="S44">
        <f t="shared" ref="S44" si="198">R44/100000</f>
        <v>-45874.678373715498</v>
      </c>
      <c r="T44">
        <f t="shared" ref="T44" si="199">S44/1000</f>
        <v>-45.874678373715497</v>
      </c>
    </row>
    <row r="45" spans="1:20" x14ac:dyDescent="0.25">
      <c r="A45" s="5">
        <v>44548</v>
      </c>
      <c r="B45">
        <v>0.10672</v>
      </c>
      <c r="C45">
        <v>0.10997999999999999</v>
      </c>
      <c r="D45">
        <v>0.10501000000000001</v>
      </c>
      <c r="E45">
        <v>0.1099</v>
      </c>
      <c r="F45">
        <v>4118758.9</v>
      </c>
      <c r="G45">
        <v>0.1099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0.9678068410462789</v>
      </c>
      <c r="Q45">
        <f t="shared" ref="Q45" si="201">F45*P45</f>
        <v>3986163.0400402462</v>
      </c>
      <c r="R45">
        <f t="shared" ref="R45" si="202">R46+Q45</f>
        <v>-4585951584.3631458</v>
      </c>
      <c r="S45">
        <f t="shared" ref="S45" si="203">R45/100000</f>
        <v>-45859.51584363146</v>
      </c>
      <c r="T45">
        <f t="shared" ref="T45" si="204">S45/1000</f>
        <v>-45.859515843631456</v>
      </c>
    </row>
    <row r="46" spans="1:20" x14ac:dyDescent="0.25">
      <c r="A46" s="5">
        <v>44547</v>
      </c>
      <c r="B46">
        <v>0.10241</v>
      </c>
      <c r="C46">
        <v>0.11445</v>
      </c>
      <c r="D46">
        <v>0.10208</v>
      </c>
      <c r="E46">
        <v>0.10672</v>
      </c>
      <c r="F46">
        <v>14948145.5</v>
      </c>
      <c r="G46">
        <v>0.10672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-0.2497978981406638</v>
      </c>
      <c r="Q46">
        <f t="shared" ref="Q46" si="206">F46*P46</f>
        <v>-3734015.3270008219</v>
      </c>
      <c r="R46">
        <f t="shared" ref="R46" si="207">R47+Q46</f>
        <v>-4589937747.4031858</v>
      </c>
      <c r="S46">
        <f t="shared" ref="S46" si="208">R46/100000</f>
        <v>-45899.377474031855</v>
      </c>
      <c r="T46">
        <f t="shared" ref="T46" si="209">S46/1000</f>
        <v>-45.899377474031851</v>
      </c>
    </row>
    <row r="47" spans="1:20" x14ac:dyDescent="0.25">
      <c r="A47" s="5">
        <v>44546</v>
      </c>
      <c r="B47">
        <v>0.10314</v>
      </c>
      <c r="C47">
        <v>0.10553999999999999</v>
      </c>
      <c r="D47">
        <v>0.10153</v>
      </c>
      <c r="E47">
        <v>0.10226</v>
      </c>
      <c r="F47">
        <v>4224130.0999999996</v>
      </c>
      <c r="G47">
        <v>0.10226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-0.63591022443889855</v>
      </c>
      <c r="Q47">
        <f t="shared" ref="Q47" si="211">F47*P47</f>
        <v>-2686167.5199501067</v>
      </c>
      <c r="R47">
        <f t="shared" ref="R47" si="212">R48+Q47</f>
        <v>-4586203732.0761852</v>
      </c>
      <c r="S47">
        <f t="shared" ref="S47" si="213">R47/100000</f>
        <v>-45862.037320761854</v>
      </c>
      <c r="T47">
        <f t="shared" ref="T47" si="214">S47/1000</f>
        <v>-45.862037320761857</v>
      </c>
    </row>
    <row r="48" spans="1:20" x14ac:dyDescent="0.25">
      <c r="A48" s="5">
        <v>44545</v>
      </c>
      <c r="B48">
        <v>9.894E-2</v>
      </c>
      <c r="C48">
        <v>0.10403999999999999</v>
      </c>
      <c r="D48">
        <v>9.6409999999999996E-2</v>
      </c>
      <c r="E48">
        <v>0.10356</v>
      </c>
      <c r="F48">
        <v>12094910.800000001</v>
      </c>
      <c r="G48">
        <v>0.10356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0.87418086500655456</v>
      </c>
      <c r="Q48">
        <f t="shared" ref="Q48" si="216">F48*P48</f>
        <v>10573139.585321119</v>
      </c>
      <c r="R48">
        <f t="shared" ref="R48" si="217">R49+Q48</f>
        <v>-4583517564.5562353</v>
      </c>
      <c r="S48">
        <f t="shared" ref="S48" si="218">R48/100000</f>
        <v>-45835.175645562354</v>
      </c>
      <c r="T48">
        <f t="shared" ref="T48" si="219">S48/1000</f>
        <v>-45.835175645562352</v>
      </c>
    </row>
    <row r="49" spans="1:20" x14ac:dyDescent="0.25">
      <c r="A49" s="5">
        <v>44544</v>
      </c>
      <c r="B49">
        <v>9.6619999999999998E-2</v>
      </c>
      <c r="C49">
        <v>9.912E-2</v>
      </c>
      <c r="D49">
        <v>9.0200000000000002E-2</v>
      </c>
      <c r="E49">
        <v>9.8710000000000006E-2</v>
      </c>
      <c r="F49">
        <v>10243002.4</v>
      </c>
      <c r="G49">
        <v>9.8710000000000006E-2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0.90807174887892517</v>
      </c>
      <c r="Q49">
        <f t="shared" ref="Q49" si="221">F49*P49</f>
        <v>9301381.103139028</v>
      </c>
      <c r="R49">
        <f t="shared" ref="R49" si="222">R50+Q49</f>
        <v>-4594090704.1415567</v>
      </c>
      <c r="S49">
        <f t="shared" ref="S49" si="223">R49/100000</f>
        <v>-45940.907041415565</v>
      </c>
      <c r="T49">
        <f t="shared" ref="T49" si="224">S49/1000</f>
        <v>-45.940907041415564</v>
      </c>
    </row>
    <row r="50" spans="1:20" x14ac:dyDescent="0.25">
      <c r="A50" s="5">
        <v>44543</v>
      </c>
      <c r="B50">
        <v>0.10911</v>
      </c>
      <c r="C50">
        <v>0.10940999999999999</v>
      </c>
      <c r="D50">
        <v>9.4380000000000006E-2</v>
      </c>
      <c r="E50">
        <v>9.6909999999999996E-2</v>
      </c>
      <c r="F50">
        <v>19043645.600000001</v>
      </c>
      <c r="G50">
        <v>9.6909999999999996E-2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-0.66333998669328109</v>
      </c>
      <c r="Q50">
        <f t="shared" ref="Q50" si="226">F50*P50</f>
        <v>-12632411.618895562</v>
      </c>
      <c r="R50">
        <f t="shared" ref="R50" si="227">R51+Q50</f>
        <v>-4603392085.2446957</v>
      </c>
      <c r="S50">
        <f t="shared" ref="S50" si="228">R50/100000</f>
        <v>-46033.920852446958</v>
      </c>
      <c r="T50">
        <f t="shared" ref="T50" si="229">S50/1000</f>
        <v>-46.033920852446961</v>
      </c>
    </row>
    <row r="51" spans="1:20" x14ac:dyDescent="0.25">
      <c r="A51" s="5">
        <v>44542</v>
      </c>
      <c r="B51">
        <v>0.10927000000000001</v>
      </c>
      <c r="C51">
        <v>0.11012</v>
      </c>
      <c r="D51">
        <v>0.10505</v>
      </c>
      <c r="E51">
        <v>0.10911</v>
      </c>
      <c r="F51">
        <v>6707530.7999999998</v>
      </c>
      <c r="G51">
        <v>0.10911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0.60157790927021748</v>
      </c>
      <c r="Q51">
        <f t="shared" ref="Q51" si="231">F51*P51</f>
        <v>4035102.355029589</v>
      </c>
      <c r="R51">
        <f t="shared" ref="R51" si="232">R52+Q51</f>
        <v>-4590759673.6258001</v>
      </c>
      <c r="S51">
        <f t="shared" ref="S51" si="233">R51/100000</f>
        <v>-45907.596736257998</v>
      </c>
      <c r="T51">
        <f t="shared" ref="T51" si="234">S51/1000</f>
        <v>-45.907596736258</v>
      </c>
    </row>
    <row r="52" spans="1:20" x14ac:dyDescent="0.25">
      <c r="A52" s="5">
        <v>44541</v>
      </c>
      <c r="B52">
        <v>0.10484</v>
      </c>
      <c r="C52">
        <v>0.10755000000000001</v>
      </c>
      <c r="D52">
        <v>0.10299</v>
      </c>
      <c r="E52">
        <v>0.10525</v>
      </c>
      <c r="F52">
        <v>1427882</v>
      </c>
      <c r="G52">
        <v>0.10525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-8.7719298245640728E-3</v>
      </c>
      <c r="Q52">
        <f t="shared" ref="Q52" si="236">F52*P52</f>
        <v>-12525.280701758198</v>
      </c>
      <c r="R52">
        <f t="shared" ref="R52" si="237">R53+Q52</f>
        <v>-4594794775.9808302</v>
      </c>
      <c r="S52">
        <f t="shared" ref="S52" si="238">R52/100000</f>
        <v>-45947.947759808303</v>
      </c>
      <c r="T52">
        <f t="shared" ref="T52" si="239">S52/1000</f>
        <v>-45.947947759808301</v>
      </c>
    </row>
    <row r="53" spans="1:20" x14ac:dyDescent="0.25">
      <c r="A53" s="5">
        <v>44540</v>
      </c>
      <c r="B53">
        <v>0.1062</v>
      </c>
      <c r="C53">
        <v>0.11251</v>
      </c>
      <c r="D53">
        <v>0.10309</v>
      </c>
      <c r="E53">
        <v>0.10484</v>
      </c>
      <c r="F53">
        <v>12591073.800000001</v>
      </c>
      <c r="G53">
        <v>0.10484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-0.62845010615711216</v>
      </c>
      <c r="Q53">
        <f t="shared" ref="Q53" si="241">F53*P53</f>
        <v>-7912861.6662420342</v>
      </c>
      <c r="R53">
        <f t="shared" ref="R53" si="242">R54+Q53</f>
        <v>-4594782250.7001286</v>
      </c>
      <c r="S53">
        <f t="shared" ref="S53" si="243">R53/100000</f>
        <v>-45947.822507001285</v>
      </c>
      <c r="T53">
        <f t="shared" ref="T53" si="244">S53/1000</f>
        <v>-45.947822507001284</v>
      </c>
    </row>
    <row r="54" spans="1:20" x14ac:dyDescent="0.25">
      <c r="A54" s="5">
        <v>44539</v>
      </c>
      <c r="B54">
        <v>0.11669</v>
      </c>
      <c r="C54">
        <v>0.12068</v>
      </c>
      <c r="D54">
        <v>0.10581</v>
      </c>
      <c r="E54">
        <v>0.10617</v>
      </c>
      <c r="F54">
        <v>14110271.1</v>
      </c>
      <c r="G54">
        <v>0.10617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-0.95158036314727645</v>
      </c>
      <c r="Q54">
        <f t="shared" ref="Q54" si="246">F54*P54</f>
        <v>-13427056.89744452</v>
      </c>
      <c r="R54">
        <f t="shared" ref="R54" si="247">R55+Q54</f>
        <v>-4586869389.0338869</v>
      </c>
      <c r="S54">
        <f t="shared" ref="S54" si="248">R54/100000</f>
        <v>-45868.693890338865</v>
      </c>
      <c r="T54">
        <f t="shared" ref="T54" si="249">S54/1000</f>
        <v>-45.868693890338868</v>
      </c>
    </row>
    <row r="55" spans="1:20" x14ac:dyDescent="0.25">
      <c r="A55" s="5">
        <v>44538</v>
      </c>
      <c r="B55">
        <v>0.1216</v>
      </c>
      <c r="C55">
        <v>0.1222</v>
      </c>
      <c r="D55">
        <v>0.11131000000000001</v>
      </c>
      <c r="E55">
        <v>0.11675000000000001</v>
      </c>
      <c r="F55">
        <v>17270887.800000001</v>
      </c>
      <c r="G55">
        <v>0.11675000000000001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-9.1827364554601708E-4</v>
      </c>
      <c r="Q55">
        <f t="shared" ref="Q55" si="251">F55*P55</f>
        <v>-15859.401101922231</v>
      </c>
      <c r="R55">
        <f t="shared" ref="R55" si="252">R56+Q55</f>
        <v>-4573442332.1364422</v>
      </c>
      <c r="S55">
        <f t="shared" ref="S55" si="253">R55/100000</f>
        <v>-45734.423321364418</v>
      </c>
      <c r="T55">
        <f t="shared" ref="T55" si="254">S55/1000</f>
        <v>-45.734423321364417</v>
      </c>
    </row>
    <row r="56" spans="1:20" x14ac:dyDescent="0.25">
      <c r="A56" s="5">
        <v>44537</v>
      </c>
      <c r="B56">
        <v>0.10743999999999999</v>
      </c>
      <c r="C56">
        <v>0.13113</v>
      </c>
      <c r="D56">
        <v>0.10695</v>
      </c>
      <c r="E56">
        <v>0.12187000000000001</v>
      </c>
      <c r="F56">
        <v>70829335.400000006</v>
      </c>
      <c r="G56">
        <v>0.12187000000000001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0.23407775020678304</v>
      </c>
      <c r="Q56">
        <f t="shared" ref="Q56" si="256">F56*P56</f>
        <v>16579571.479073657</v>
      </c>
      <c r="R56">
        <f t="shared" ref="R56" si="257">R57+Q56</f>
        <v>-4573426472.7353401</v>
      </c>
      <c r="S56">
        <f t="shared" ref="S56" si="258">R56/100000</f>
        <v>-45734.264727353402</v>
      </c>
      <c r="T56">
        <f t="shared" ref="T56" si="259">S56/1000</f>
        <v>-45.734264727353406</v>
      </c>
    </row>
    <row r="57" spans="1:20" x14ac:dyDescent="0.25">
      <c r="A57" s="5">
        <v>44536</v>
      </c>
      <c r="B57">
        <v>0.10476000000000001</v>
      </c>
      <c r="C57">
        <v>0.10856</v>
      </c>
      <c r="D57">
        <v>9.3399999999999997E-2</v>
      </c>
      <c r="E57">
        <v>0.10741000000000001</v>
      </c>
      <c r="F57">
        <v>39062117.299999997</v>
      </c>
      <c r="G57">
        <v>0.10741000000000001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0.84828496042216384</v>
      </c>
      <c r="Q57">
        <f t="shared" ref="Q57" si="261">F57*P57</f>
        <v>33135806.627836417</v>
      </c>
      <c r="R57">
        <f t="shared" ref="R57" si="262">R58+Q57</f>
        <v>-4590006044.2144136</v>
      </c>
      <c r="S57">
        <f t="shared" ref="S57" si="263">R57/100000</f>
        <v>-45900.060442144139</v>
      </c>
      <c r="T57">
        <f t="shared" ref="T57" si="264">S57/1000</f>
        <v>-45.900060442144138</v>
      </c>
    </row>
    <row r="58" spans="1:20" x14ac:dyDescent="0.25">
      <c r="A58" s="5">
        <v>44535</v>
      </c>
      <c r="B58">
        <v>0.11781999999999999</v>
      </c>
      <c r="C58">
        <v>0.12081</v>
      </c>
      <c r="D58">
        <v>0.1</v>
      </c>
      <c r="E58">
        <v>0.10446999999999999</v>
      </c>
      <c r="F58">
        <v>30070040.600000001</v>
      </c>
      <c r="G58">
        <v>0.10446999999999999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-0.57039884670831442</v>
      </c>
      <c r="Q58">
        <f t="shared" ref="Q58" si="266">F58*P58</f>
        <v>-17151916.478712194</v>
      </c>
      <c r="R58">
        <f t="shared" ref="R58" si="267">R59+Q58</f>
        <v>-4623141850.8422499</v>
      </c>
      <c r="S58">
        <f t="shared" ref="S58" si="268">R58/100000</f>
        <v>-46231.418508422496</v>
      </c>
      <c r="T58">
        <f t="shared" ref="T58" si="269">S58/1000</f>
        <v>-46.231418508422493</v>
      </c>
    </row>
    <row r="59" spans="1:20" x14ac:dyDescent="0.25">
      <c r="A59" s="5">
        <v>44534</v>
      </c>
      <c r="B59">
        <v>0.13821</v>
      </c>
      <c r="C59">
        <v>0.13836999999999999</v>
      </c>
      <c r="D59">
        <v>8.8889999999999997E-2</v>
      </c>
      <c r="E59">
        <v>0.11784</v>
      </c>
      <c r="F59">
        <v>89891963.400000006</v>
      </c>
      <c r="G59">
        <v>0.11784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0.17016976556184341</v>
      </c>
      <c r="Q59">
        <f t="shared" ref="Q59" si="271">F59*P59</f>
        <v>15296894.337671809</v>
      </c>
      <c r="R59">
        <f t="shared" ref="R59" si="272">R60+Q59</f>
        <v>-4605989934.3635378</v>
      </c>
      <c r="S59">
        <f t="shared" ref="S59" si="273">R59/100000</f>
        <v>-46059.899343635378</v>
      </c>
      <c r="T59">
        <f t="shared" ref="T59" si="274">S59/1000</f>
        <v>-46.059899343635379</v>
      </c>
    </row>
    <row r="60" spans="1:20" x14ac:dyDescent="0.25">
      <c r="A60" s="5">
        <v>44533</v>
      </c>
      <c r="B60">
        <v>0.14446000000000001</v>
      </c>
      <c r="C60">
        <v>0.15357999999999999</v>
      </c>
      <c r="D60">
        <v>0.13650000000000001</v>
      </c>
      <c r="E60">
        <v>0.13811000000000001</v>
      </c>
      <c r="F60">
        <v>60172992.5</v>
      </c>
      <c r="G60">
        <v>0.13811000000000001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-0.81147540983606536</v>
      </c>
      <c r="Q60">
        <f t="shared" ref="Q60" si="276">F60*P60</f>
        <v>-48828903.749999985</v>
      </c>
      <c r="R60">
        <f t="shared" ref="R60" si="277">R61+Q60</f>
        <v>-4621286828.70121</v>
      </c>
      <c r="S60">
        <f t="shared" ref="S60" si="278">R60/100000</f>
        <v>-46212.868287012097</v>
      </c>
      <c r="T60">
        <f t="shared" ref="T60" si="279">S60/1000</f>
        <v>-46.2128682870121</v>
      </c>
    </row>
    <row r="61" spans="1:20" x14ac:dyDescent="0.25">
      <c r="A61" s="5">
        <v>44532</v>
      </c>
      <c r="B61">
        <v>0.15160999999999999</v>
      </c>
      <c r="C61">
        <v>0.15229999999999999</v>
      </c>
      <c r="D61">
        <v>0.1421</v>
      </c>
      <c r="E61">
        <v>0.14435000000000001</v>
      </c>
      <c r="F61">
        <v>18318033.5</v>
      </c>
      <c r="G61">
        <v>0.14435000000000001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-0.55882352941176372</v>
      </c>
      <c r="Q61">
        <f t="shared" ref="Q61" si="281">F61*P61</f>
        <v>-10236548.132352924</v>
      </c>
      <c r="R61">
        <f t="shared" ref="R61" si="282">R62+Q61</f>
        <v>-4572457924.95121</v>
      </c>
      <c r="S61">
        <f t="shared" ref="S61" si="283">R61/100000</f>
        <v>-45724.579249512099</v>
      </c>
      <c r="T61">
        <f t="shared" ref="T61" si="284">S61/1000</f>
        <v>-45.724579249512097</v>
      </c>
    </row>
    <row r="62" spans="1:20" x14ac:dyDescent="0.25">
      <c r="A62" s="5">
        <v>44531</v>
      </c>
      <c r="B62">
        <v>0.1434</v>
      </c>
      <c r="C62">
        <v>0.15340999999999999</v>
      </c>
      <c r="D62">
        <v>0.14218</v>
      </c>
      <c r="E62">
        <v>0.15151999999999999</v>
      </c>
      <c r="F62">
        <v>23948407.600000001</v>
      </c>
      <c r="G62">
        <v>0.15151999999999999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0.66340160284950944</v>
      </c>
      <c r="Q62">
        <f t="shared" ref="Q62" si="286">F62*P62</f>
        <v>15887411.987533374</v>
      </c>
      <c r="R62">
        <f t="shared" ref="R62" si="287">R63+Q62</f>
        <v>-4562221376.8188572</v>
      </c>
      <c r="S62">
        <f t="shared" ref="S62" si="288">R62/100000</f>
        <v>-45622.213768188572</v>
      </c>
      <c r="T62">
        <f t="shared" ref="T62" si="289">S62/1000</f>
        <v>-45.622213768188573</v>
      </c>
    </row>
    <row r="63" spans="1:20" x14ac:dyDescent="0.25">
      <c r="A63" s="5">
        <v>44530</v>
      </c>
      <c r="B63">
        <v>0.15487000000000001</v>
      </c>
      <c r="C63">
        <v>0.15487000000000001</v>
      </c>
      <c r="D63">
        <v>0.14191000000000001</v>
      </c>
      <c r="E63">
        <v>0.14307</v>
      </c>
      <c r="F63">
        <v>26115933.100000001</v>
      </c>
      <c r="G63">
        <v>0.14307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-0.82098765432098852</v>
      </c>
      <c r="Q63">
        <f t="shared" ref="Q63" si="291">F63*P63</f>
        <v>-21440858.656172864</v>
      </c>
      <c r="R63">
        <f t="shared" ref="R63" si="292">R64+Q63</f>
        <v>-4578108788.8063908</v>
      </c>
      <c r="S63">
        <f t="shared" ref="S63" si="293">R63/100000</f>
        <v>-45781.087888063907</v>
      </c>
      <c r="T63">
        <f t="shared" ref="T63" si="294">S63/1000</f>
        <v>-45.781087888063908</v>
      </c>
    </row>
    <row r="64" spans="1:20" x14ac:dyDescent="0.25">
      <c r="A64" s="5">
        <v>44529</v>
      </c>
      <c r="B64">
        <v>0.16581000000000001</v>
      </c>
      <c r="C64">
        <v>0.16627</v>
      </c>
      <c r="D64">
        <v>0.15184</v>
      </c>
      <c r="E64">
        <v>0.15475</v>
      </c>
      <c r="F64">
        <v>38311873.5</v>
      </c>
      <c r="G64">
        <v>0.15475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-0.59667359667359721</v>
      </c>
      <c r="Q64">
        <f t="shared" ref="Q64" si="296">F64*P64</f>
        <v>-22859683.356548876</v>
      </c>
      <c r="R64">
        <f t="shared" ref="R64" si="297">R65+Q64</f>
        <v>-4556667930.150218</v>
      </c>
      <c r="S64">
        <f t="shared" ref="S64" si="298">R64/100000</f>
        <v>-45566.679301502183</v>
      </c>
      <c r="T64">
        <f t="shared" ref="T64" si="299">S64/1000</f>
        <v>-45.566679301502184</v>
      </c>
    </row>
    <row r="65" spans="1:20" x14ac:dyDescent="0.25">
      <c r="A65" s="5">
        <v>44528</v>
      </c>
      <c r="B65">
        <v>0.15146999999999999</v>
      </c>
      <c r="C65">
        <v>0.18472</v>
      </c>
      <c r="D65">
        <v>0.14899000000000001</v>
      </c>
      <c r="E65">
        <v>0.16585</v>
      </c>
      <c r="F65">
        <v>179487094</v>
      </c>
      <c r="G65">
        <v>0.16585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-5.6255247691016308E-2</v>
      </c>
      <c r="Q65">
        <f t="shared" ref="Q65" si="301">F65*P65</f>
        <v>-10097090.930310726</v>
      </c>
      <c r="R65">
        <f t="shared" ref="R65" si="302">R66+Q65</f>
        <v>-4533808246.7936687</v>
      </c>
      <c r="S65">
        <f t="shared" ref="S65" si="303">R65/100000</f>
        <v>-45338.082467936685</v>
      </c>
      <c r="T65">
        <f t="shared" ref="T65" si="304">S65/1000</f>
        <v>-45.338082467936687</v>
      </c>
    </row>
    <row r="66" spans="1:20" x14ac:dyDescent="0.25">
      <c r="A66" s="5">
        <v>44527</v>
      </c>
      <c r="B66">
        <v>0.14967</v>
      </c>
      <c r="C66">
        <v>0.16128999999999999</v>
      </c>
      <c r="D66">
        <v>0.14319000000000001</v>
      </c>
      <c r="E66">
        <v>0.15165999999999999</v>
      </c>
      <c r="F66">
        <v>42378827.899999999</v>
      </c>
      <c r="G66">
        <v>0.15165999999999999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-6.4088397790056553E-2</v>
      </c>
      <c r="Q66">
        <f t="shared" ref="Q66" si="306">F66*P66</f>
        <v>-2715991.1803315468</v>
      </c>
      <c r="R66">
        <f t="shared" ref="R66" si="307">R67+Q66</f>
        <v>-4523711155.8633575</v>
      </c>
      <c r="S66">
        <f t="shared" ref="S66" si="308">R66/100000</f>
        <v>-45237.111558633573</v>
      </c>
      <c r="T66">
        <f t="shared" ref="T66" si="309">S66/1000</f>
        <v>-45.237111558633572</v>
      </c>
    </row>
    <row r="67" spans="1:20" x14ac:dyDescent="0.25">
      <c r="A67" s="5">
        <v>44526</v>
      </c>
      <c r="B67">
        <v>0.14187</v>
      </c>
      <c r="C67">
        <v>0.15332999999999999</v>
      </c>
      <c r="D67">
        <v>0.13342999999999999</v>
      </c>
      <c r="E67">
        <v>0.14976999999999999</v>
      </c>
      <c r="F67">
        <v>72769925.200000003</v>
      </c>
      <c r="G67">
        <v>0.14976999999999999</v>
      </c>
      <c r="L67" t="s">
        <v>8</v>
      </c>
      <c r="M67" t="s">
        <v>7</v>
      </c>
      <c r="N67" t="s">
        <v>8</v>
      </c>
      <c r="P67">
        <f t="shared" ref="P67" si="310">IF(C67=D67,0,((E67-D67)-(C67-E67))/(C67-D67))</f>
        <v>0.64221105527638112</v>
      </c>
      <c r="Q67">
        <f t="shared" ref="Q67" si="311">F67*P67</f>
        <v>46733650.455075324</v>
      </c>
      <c r="R67">
        <f t="shared" ref="R67" si="312">R68+Q67</f>
        <v>-4520995164.6830263</v>
      </c>
      <c r="S67">
        <f t="shared" ref="S67" si="313">R67/100000</f>
        <v>-45209.951646830261</v>
      </c>
      <c r="T67">
        <f t="shared" ref="T67" si="314">S67/1000</f>
        <v>-45.209951646830262</v>
      </c>
    </row>
    <row r="68" spans="1:20" x14ac:dyDescent="0.25">
      <c r="A68" s="5">
        <v>44525</v>
      </c>
      <c r="B68">
        <v>0.14005000000000001</v>
      </c>
      <c r="C68">
        <v>0.14599999999999999</v>
      </c>
      <c r="D68">
        <v>0.13400000000000001</v>
      </c>
      <c r="E68">
        <v>0.14216999999999999</v>
      </c>
      <c r="F68">
        <v>43489808.399999999</v>
      </c>
      <c r="G68">
        <v>0.14216999999999999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0.36166666666666575</v>
      </c>
      <c r="Q68">
        <f t="shared" ref="Q68" si="316">F68*P68</f>
        <v>15728814.03799996</v>
      </c>
      <c r="R68">
        <f t="shared" ref="R68" si="317">R69+Q68</f>
        <v>-4567728815.1381016</v>
      </c>
      <c r="S68">
        <f t="shared" ref="S68" si="318">R68/100000</f>
        <v>-45677.288151381013</v>
      </c>
      <c r="T68">
        <f t="shared" ref="T68" si="319">S68/1000</f>
        <v>-45.677288151381013</v>
      </c>
    </row>
    <row r="69" spans="1:20" x14ac:dyDescent="0.25">
      <c r="A69" s="5">
        <v>44524</v>
      </c>
      <c r="B69">
        <v>0.14654</v>
      </c>
      <c r="C69">
        <v>0.14654</v>
      </c>
      <c r="D69">
        <v>0.13789000000000001</v>
      </c>
      <c r="E69">
        <v>0.13882</v>
      </c>
      <c r="F69">
        <v>12320967.300000001</v>
      </c>
      <c r="G69">
        <v>0.13882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-0.78497109826589884</v>
      </c>
      <c r="Q69">
        <f t="shared" ref="Q69" si="321">F69*P69</f>
        <v>-9671603.2331792265</v>
      </c>
      <c r="R69">
        <f t="shared" ref="R69" si="322">R70+Q69</f>
        <v>-4583457629.1761017</v>
      </c>
      <c r="S69">
        <f t="shared" ref="S69" si="323">R69/100000</f>
        <v>-45834.576291761019</v>
      </c>
      <c r="T69">
        <f t="shared" ref="T69" si="324">S69/1000</f>
        <v>-45.834576291761017</v>
      </c>
    </row>
    <row r="70" spans="1:20" x14ac:dyDescent="0.25">
      <c r="A70" s="5">
        <v>44523</v>
      </c>
      <c r="B70">
        <v>0.14516000000000001</v>
      </c>
      <c r="C70">
        <v>0.14799999999999999</v>
      </c>
      <c r="D70">
        <v>0.13364000000000001</v>
      </c>
      <c r="E70">
        <v>0.14652999999999999</v>
      </c>
      <c r="F70">
        <v>70075055.599999994</v>
      </c>
      <c r="G70">
        <v>0.14652999999999999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0.79526462395543163</v>
      </c>
      <c r="Q70">
        <f t="shared" ref="Q70" si="326">F70*P70</f>
        <v>55728212.740389958</v>
      </c>
      <c r="R70">
        <f t="shared" ref="R70" si="327">R71+Q70</f>
        <v>-4573786025.9429226</v>
      </c>
      <c r="S70">
        <f t="shared" ref="S70" si="328">R70/100000</f>
        <v>-45737.860259429224</v>
      </c>
      <c r="T70">
        <f t="shared" ref="T70" si="329">S70/1000</f>
        <v>-45.737860259429226</v>
      </c>
    </row>
    <row r="71" spans="1:20" x14ac:dyDescent="0.25">
      <c r="A71" s="5">
        <v>44522</v>
      </c>
      <c r="B71">
        <v>0.14335999999999999</v>
      </c>
      <c r="C71">
        <v>0.17199999999999999</v>
      </c>
      <c r="D71">
        <v>0.14305000000000001</v>
      </c>
      <c r="E71">
        <v>0.14504</v>
      </c>
      <c r="F71">
        <v>185375576</v>
      </c>
      <c r="G71">
        <v>0.14504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-0.86252158894645992</v>
      </c>
      <c r="Q71">
        <f t="shared" ref="Q71" si="331">F71*P71</f>
        <v>-159890436.36338523</v>
      </c>
      <c r="R71">
        <f t="shared" ref="R71" si="332">R72+Q71</f>
        <v>-4629514238.6833124</v>
      </c>
      <c r="S71">
        <f t="shared" ref="S71" si="333">R71/100000</f>
        <v>-46295.142386833126</v>
      </c>
      <c r="T71">
        <f t="shared" ref="T71" si="334">S71/1000</f>
        <v>-46.295142386833128</v>
      </c>
    </row>
    <row r="72" spans="1:20" x14ac:dyDescent="0.25">
      <c r="A72" s="5">
        <v>44521</v>
      </c>
      <c r="B72">
        <v>0.13608999999999999</v>
      </c>
      <c r="C72">
        <v>0.15342</v>
      </c>
      <c r="D72">
        <v>0.13608000000000001</v>
      </c>
      <c r="E72">
        <v>0.14349999999999999</v>
      </c>
      <c r="F72">
        <v>89663597.599999994</v>
      </c>
      <c r="G72">
        <v>0.14349999999999999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-0.14417531718569959</v>
      </c>
      <c r="Q72">
        <f t="shared" ref="Q72" si="336">F72*P72</f>
        <v>-12927277.623990932</v>
      </c>
      <c r="R72">
        <f t="shared" ref="R72" si="337">R73+Q72</f>
        <v>-4469623802.3199272</v>
      </c>
      <c r="S72">
        <f t="shared" ref="S72" si="338">R72/100000</f>
        <v>-44696.238023199272</v>
      </c>
      <c r="T72">
        <f t="shared" ref="T72" si="339">S72/1000</f>
        <v>-44.696238023199271</v>
      </c>
    </row>
    <row r="73" spans="1:20" x14ac:dyDescent="0.25">
      <c r="A73" s="5">
        <v>44520</v>
      </c>
      <c r="B73">
        <v>0.12783</v>
      </c>
      <c r="C73">
        <v>0.13797999999999999</v>
      </c>
      <c r="D73">
        <v>0.12701000000000001</v>
      </c>
      <c r="E73">
        <v>0.13619999999999999</v>
      </c>
      <c r="F73">
        <v>49687353.799999997</v>
      </c>
      <c r="G73">
        <v>0.13619999999999999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0.67547857793983468</v>
      </c>
      <c r="Q73">
        <f t="shared" ref="Q73" si="341">F73*P73</f>
        <v>33562743.086417437</v>
      </c>
      <c r="R73">
        <f t="shared" ref="R73" si="342">R74+Q73</f>
        <v>-4456696524.6959362</v>
      </c>
      <c r="S73">
        <f t="shared" ref="S73" si="343">R73/100000</f>
        <v>-44566.965246959364</v>
      </c>
      <c r="T73">
        <f t="shared" ref="T73" si="344">S73/1000</f>
        <v>-44.566965246959363</v>
      </c>
    </row>
    <row r="74" spans="1:20" x14ac:dyDescent="0.25">
      <c r="A74" s="5">
        <v>44519</v>
      </c>
      <c r="B74">
        <v>0.12164</v>
      </c>
      <c r="C74">
        <v>0.12959000000000001</v>
      </c>
      <c r="D74">
        <v>0.11816</v>
      </c>
      <c r="E74">
        <v>0.12773000000000001</v>
      </c>
      <c r="F74">
        <v>48900751.5</v>
      </c>
      <c r="G74">
        <v>0.12773000000000001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0.67454068241469833</v>
      </c>
      <c r="Q74">
        <f t="shared" ref="Q74" si="346">F74*P74</f>
        <v>32985546.287401583</v>
      </c>
      <c r="R74">
        <f t="shared" ref="R74" si="347">R75+Q74</f>
        <v>-4490259267.7823534</v>
      </c>
      <c r="S74">
        <f t="shared" ref="S74" si="348">R74/100000</f>
        <v>-44902.592677823537</v>
      </c>
      <c r="T74">
        <f t="shared" ref="T74" si="349">S74/1000</f>
        <v>-44.902592677823534</v>
      </c>
    </row>
    <row r="75" spans="1:20" x14ac:dyDescent="0.25">
      <c r="A75" s="5">
        <v>44518</v>
      </c>
      <c r="B75">
        <v>0.15096000000000001</v>
      </c>
      <c r="C75">
        <v>0.15254000000000001</v>
      </c>
      <c r="D75">
        <v>0.12039</v>
      </c>
      <c r="E75">
        <v>0.12180000000000001</v>
      </c>
      <c r="F75">
        <v>109909343.90000001</v>
      </c>
      <c r="G75">
        <v>0.12180000000000001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-0.91228615863141471</v>
      </c>
      <c r="Q75">
        <f t="shared" ref="Q75" si="351">F75*P75</f>
        <v>-100268773.14423011</v>
      </c>
      <c r="R75">
        <f t="shared" ref="R75" si="352">R76+Q75</f>
        <v>-4523244814.0697546</v>
      </c>
      <c r="S75">
        <f t="shared" ref="S75" si="353">R75/100000</f>
        <v>-45232.448140697546</v>
      </c>
      <c r="T75">
        <f t="shared" ref="T75" si="354">S75/1000</f>
        <v>-45.232448140697549</v>
      </c>
    </row>
    <row r="76" spans="1:20" x14ac:dyDescent="0.25">
      <c r="A76" s="5">
        <v>44517</v>
      </c>
      <c r="B76">
        <v>0.1348</v>
      </c>
      <c r="C76">
        <v>0.17588999999999999</v>
      </c>
      <c r="D76">
        <v>0.12887000000000001</v>
      </c>
      <c r="E76">
        <v>0.15118999999999999</v>
      </c>
      <c r="F76">
        <v>266203222.80000001</v>
      </c>
      <c r="G76">
        <v>0.15118999999999999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-5.0616758826031942E-2</v>
      </c>
      <c r="Q76">
        <f t="shared" ref="Q76" si="356">F76*P76</f>
        <v>-13474344.327180048</v>
      </c>
      <c r="R76">
        <f t="shared" ref="R76" si="357">R77+Q76</f>
        <v>-4422976040.9255247</v>
      </c>
      <c r="S76">
        <f t="shared" ref="S76" si="358">R76/100000</f>
        <v>-44229.76040925525</v>
      </c>
      <c r="T76">
        <f t="shared" ref="T76" si="359">S76/1000</f>
        <v>-44.229760409255249</v>
      </c>
    </row>
    <row r="77" spans="1:20" x14ac:dyDescent="0.25">
      <c r="A77" s="5">
        <v>44516</v>
      </c>
      <c r="B77">
        <v>0.13711999999999999</v>
      </c>
      <c r="C77">
        <v>0.13713</v>
      </c>
      <c r="D77">
        <v>0.12202</v>
      </c>
      <c r="E77">
        <v>0.13489999999999999</v>
      </c>
      <c r="F77">
        <v>68191802.599999994</v>
      </c>
      <c r="G77">
        <v>0.13489999999999999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0.70483123759099797</v>
      </c>
      <c r="Q77">
        <f t="shared" ref="Q77" si="361">F77*P77</f>
        <v>48063712.620119028</v>
      </c>
      <c r="R77">
        <f t="shared" ref="R77" si="362">R78+Q77</f>
        <v>-4409501696.5983448</v>
      </c>
      <c r="S77">
        <f t="shared" ref="S77" si="363">R77/100000</f>
        <v>-44095.01696598345</v>
      </c>
      <c r="T77">
        <f t="shared" ref="T77" si="364">S77/1000</f>
        <v>-44.095016965983447</v>
      </c>
    </row>
    <row r="78" spans="1:20" x14ac:dyDescent="0.25">
      <c r="A78" s="5">
        <v>44515</v>
      </c>
      <c r="B78">
        <v>0.13603999999999999</v>
      </c>
      <c r="C78">
        <v>0.14396999999999999</v>
      </c>
      <c r="D78">
        <v>0.12892000000000001</v>
      </c>
      <c r="E78">
        <v>0.13711999999999999</v>
      </c>
      <c r="F78">
        <v>88695571.700000003</v>
      </c>
      <c r="G78">
        <v>0.13711999999999999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8.9700996677740327E-2</v>
      </c>
      <c r="Q78">
        <f t="shared" ref="Q78" si="366">F78*P78</f>
        <v>7956081.1823919788</v>
      </c>
      <c r="R78">
        <f t="shared" ref="R78" si="367">R79+Q78</f>
        <v>-4457565409.2184639</v>
      </c>
      <c r="S78">
        <f t="shared" ref="S78" si="368">R78/100000</f>
        <v>-44575.654092184639</v>
      </c>
      <c r="T78">
        <f t="shared" ref="T78" si="369">S78/1000</f>
        <v>-44.575654092184642</v>
      </c>
    </row>
    <row r="79" spans="1:20" x14ac:dyDescent="0.25">
      <c r="A79" s="5">
        <v>44514</v>
      </c>
      <c r="B79">
        <v>0.12859999999999999</v>
      </c>
      <c r="C79">
        <v>0.14599999999999999</v>
      </c>
      <c r="D79">
        <v>0.12631000000000001</v>
      </c>
      <c r="E79">
        <v>0.13597999999999999</v>
      </c>
      <c r="F79">
        <v>184770657.59999999</v>
      </c>
      <c r="G79">
        <v>0.13597999999999999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-1.7775520568817534E-2</v>
      </c>
      <c r="Q79">
        <f t="shared" ref="Q79" si="371">F79*P79</f>
        <v>-3284394.6246827417</v>
      </c>
      <c r="R79">
        <f t="shared" ref="R79" si="372">R80+Q79</f>
        <v>-4465521490.400856</v>
      </c>
      <c r="S79">
        <f t="shared" ref="S79" si="373">R79/100000</f>
        <v>-44655.214904008557</v>
      </c>
      <c r="T79">
        <f t="shared" ref="T79" si="374">S79/1000</f>
        <v>-44.65521490400856</v>
      </c>
    </row>
    <row r="80" spans="1:20" x14ac:dyDescent="0.25">
      <c r="A80" s="5">
        <v>44513</v>
      </c>
      <c r="B80">
        <v>0.12039999999999999</v>
      </c>
      <c r="C80">
        <v>0.15426999999999999</v>
      </c>
      <c r="D80">
        <v>0.12039999999999999</v>
      </c>
      <c r="E80">
        <v>0.12883</v>
      </c>
      <c r="F80">
        <v>244737079.80000001</v>
      </c>
      <c r="G80">
        <v>0.12883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-0.50221434898139905</v>
      </c>
      <c r="Q80">
        <f t="shared" ref="Q80" si="376">F80*P80</f>
        <v>-122910473.20336571</v>
      </c>
      <c r="R80">
        <f t="shared" ref="R80" si="377">R81+Q80</f>
        <v>-4462237095.7761736</v>
      </c>
      <c r="S80">
        <f t="shared" ref="S80" si="378">R80/100000</f>
        <v>-44622.370957761734</v>
      </c>
      <c r="T80">
        <f t="shared" ref="T80" si="379">S80/1000</f>
        <v>-44.622370957761731</v>
      </c>
    </row>
    <row r="81" spans="1:20" x14ac:dyDescent="0.25">
      <c r="A81" s="5">
        <v>44512</v>
      </c>
      <c r="B81">
        <v>0.12414</v>
      </c>
      <c r="C81">
        <v>0.12418</v>
      </c>
      <c r="D81">
        <v>0.11815000000000001</v>
      </c>
      <c r="E81">
        <v>0.12035</v>
      </c>
      <c r="F81">
        <v>10318185.300000001</v>
      </c>
      <c r="G81">
        <v>0.12035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-0.27031509121061498</v>
      </c>
      <c r="Q81">
        <f t="shared" ref="Q81" si="381">F81*P81</f>
        <v>-2789161.2004975267</v>
      </c>
      <c r="R81">
        <f t="shared" ref="R81" si="382">R82+Q81</f>
        <v>-4339326622.5728083</v>
      </c>
      <c r="S81">
        <f t="shared" ref="S81" si="383">R81/100000</f>
        <v>-43393.266225728083</v>
      </c>
      <c r="T81">
        <f t="shared" ref="T81" si="384">S81/1000</f>
        <v>-43.393266225728084</v>
      </c>
    </row>
    <row r="82" spans="1:20" x14ac:dyDescent="0.25">
      <c r="A82" s="5">
        <v>44511</v>
      </c>
      <c r="B82">
        <v>0.12146</v>
      </c>
      <c r="C82">
        <v>0.12506</v>
      </c>
      <c r="D82">
        <v>0.12096</v>
      </c>
      <c r="E82">
        <v>0.12414</v>
      </c>
      <c r="F82">
        <v>14658161.6</v>
      </c>
      <c r="G82">
        <v>0.12414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0.55121951219512066</v>
      </c>
      <c r="Q82">
        <f t="shared" ref="Q82" si="386">F82*P82</f>
        <v>8079864.6868292494</v>
      </c>
      <c r="R82">
        <f t="shared" ref="R82" si="387">R83+Q82</f>
        <v>-4336537461.3723106</v>
      </c>
      <c r="S82">
        <f t="shared" ref="S82" si="388">R82/100000</f>
        <v>-43365.374613723106</v>
      </c>
      <c r="T82">
        <f t="shared" ref="T82" si="389">S82/1000</f>
        <v>-43.365374613723105</v>
      </c>
    </row>
    <row r="83" spans="1:20" x14ac:dyDescent="0.25">
      <c r="A83" s="5">
        <v>44510</v>
      </c>
      <c r="B83">
        <v>0.12686</v>
      </c>
      <c r="C83">
        <v>0.12997</v>
      </c>
      <c r="D83">
        <v>0.11869</v>
      </c>
      <c r="E83">
        <v>0.1216</v>
      </c>
      <c r="F83">
        <v>29510504.399999999</v>
      </c>
      <c r="G83">
        <v>0.1216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-0.48404255319149003</v>
      </c>
      <c r="Q83">
        <f t="shared" ref="Q83" si="391">F83*P83</f>
        <v>-14284339.8957447</v>
      </c>
      <c r="R83">
        <f t="shared" ref="R83" si="392">R84+Q83</f>
        <v>-4344617326.0591402</v>
      </c>
      <c r="S83">
        <f t="shared" ref="S83" si="393">R83/100000</f>
        <v>-43446.1732605914</v>
      </c>
      <c r="T83">
        <f t="shared" ref="T83" si="394">S83/1000</f>
        <v>-43.446173260591401</v>
      </c>
    </row>
    <row r="84" spans="1:20" x14ac:dyDescent="0.25">
      <c r="A84" s="5">
        <v>44509</v>
      </c>
      <c r="B84">
        <v>0.12828999999999999</v>
      </c>
      <c r="C84">
        <v>0.12831000000000001</v>
      </c>
      <c r="D84">
        <v>0.12544</v>
      </c>
      <c r="E84">
        <v>0.12686</v>
      </c>
      <c r="F84">
        <v>13526219.9</v>
      </c>
      <c r="G84">
        <v>0.12686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-1.0452961672474609E-2</v>
      </c>
      <c r="Q84">
        <f t="shared" ref="Q84" si="396">F84*P84</f>
        <v>-141389.05818816336</v>
      </c>
      <c r="R84">
        <f t="shared" ref="R84" si="397">R85+Q84</f>
        <v>-4330332986.1633959</v>
      </c>
      <c r="S84">
        <f t="shared" ref="S84" si="398">R84/100000</f>
        <v>-43303.32986163396</v>
      </c>
      <c r="T84">
        <f t="shared" ref="T84" si="399">S84/1000</f>
        <v>-43.303329861633962</v>
      </c>
    </row>
    <row r="85" spans="1:20" x14ac:dyDescent="0.25">
      <c r="A85" s="5">
        <v>44508</v>
      </c>
      <c r="B85">
        <v>0.12950999999999999</v>
      </c>
      <c r="C85">
        <v>0.12967999999999999</v>
      </c>
      <c r="D85">
        <v>0.12595999999999999</v>
      </c>
      <c r="E85">
        <v>0.12848999999999999</v>
      </c>
      <c r="F85">
        <v>14194988.800000001</v>
      </c>
      <c r="G85">
        <v>0.12848999999999999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0.36021505376344287</v>
      </c>
      <c r="Q85">
        <f t="shared" ref="Q85" si="401">F85*P85</f>
        <v>5113248.6537634693</v>
      </c>
      <c r="R85">
        <f t="shared" ref="R85" si="402">R86+Q85</f>
        <v>-4330191597.1052074</v>
      </c>
      <c r="S85">
        <f t="shared" ref="S85" si="403">R85/100000</f>
        <v>-43301.915971052076</v>
      </c>
      <c r="T85">
        <f t="shared" ref="T85" si="404">S85/1000</f>
        <v>-43.301915971052075</v>
      </c>
    </row>
    <row r="86" spans="1:20" x14ac:dyDescent="0.25">
      <c r="A86" s="5">
        <v>44507</v>
      </c>
      <c r="B86">
        <v>0.12948000000000001</v>
      </c>
      <c r="C86">
        <v>0.13019</v>
      </c>
      <c r="D86">
        <v>0.12709999999999999</v>
      </c>
      <c r="E86">
        <v>0.12962000000000001</v>
      </c>
      <c r="F86">
        <v>14629211.5</v>
      </c>
      <c r="G86">
        <v>0.12962000000000001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0.63106796116505792</v>
      </c>
      <c r="Q86">
        <f t="shared" ref="Q86" si="406">F86*P86</f>
        <v>9232026.6747574192</v>
      </c>
      <c r="R86">
        <f t="shared" ref="R86" si="407">R87+Q86</f>
        <v>-4335304845.7589712</v>
      </c>
      <c r="S86">
        <f t="shared" ref="S86" si="408">R86/100000</f>
        <v>-43353.048457589714</v>
      </c>
      <c r="T86">
        <f t="shared" ref="T86" si="409">S86/1000</f>
        <v>-43.353048457589715</v>
      </c>
    </row>
    <row r="87" spans="1:20" x14ac:dyDescent="0.25">
      <c r="A87" s="5">
        <v>44506</v>
      </c>
      <c r="B87">
        <v>0.13119</v>
      </c>
      <c r="C87">
        <v>0.13159999999999999</v>
      </c>
      <c r="D87">
        <v>0.12407</v>
      </c>
      <c r="E87">
        <v>0.12937000000000001</v>
      </c>
      <c r="F87">
        <v>25391608</v>
      </c>
      <c r="G87">
        <v>0.12937000000000001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0.40770252324037626</v>
      </c>
      <c r="Q87">
        <f t="shared" ref="Q87" si="411">F87*P87</f>
        <v>10352222.650730524</v>
      </c>
      <c r="R87">
        <f t="shared" ref="R87" si="412">R88+Q87</f>
        <v>-4344536872.4337282</v>
      </c>
      <c r="S87">
        <f t="shared" ref="S87" si="413">R87/100000</f>
        <v>-43445.368724337284</v>
      </c>
      <c r="T87">
        <f t="shared" ref="T87" si="414">S87/1000</f>
        <v>-43.445368724337285</v>
      </c>
    </row>
    <row r="88" spans="1:20" x14ac:dyDescent="0.25">
      <c r="A88" s="5">
        <v>44505</v>
      </c>
      <c r="B88">
        <v>0.13411999999999999</v>
      </c>
      <c r="C88">
        <v>0.13427</v>
      </c>
      <c r="D88">
        <v>0.12902</v>
      </c>
      <c r="E88">
        <v>0.13117999999999999</v>
      </c>
      <c r="F88">
        <v>11734182.9</v>
      </c>
      <c r="G88">
        <v>0.13117999999999999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-0.17714285714285968</v>
      </c>
      <c r="Q88">
        <f t="shared" ref="Q88" si="416">F88*P88</f>
        <v>-2078626.6851428871</v>
      </c>
      <c r="R88">
        <f t="shared" ref="R88" si="417">R89+Q88</f>
        <v>-4354889095.0844584</v>
      </c>
      <c r="S88">
        <f t="shared" ref="S88" si="418">R88/100000</f>
        <v>-43548.890950844587</v>
      </c>
      <c r="T88">
        <f t="shared" ref="T88" si="419">S88/1000</f>
        <v>-43.548890950844587</v>
      </c>
    </row>
    <row r="89" spans="1:20" x14ac:dyDescent="0.25">
      <c r="A89" s="5">
        <v>44504</v>
      </c>
      <c r="B89">
        <v>0.13419</v>
      </c>
      <c r="C89">
        <v>0.1348</v>
      </c>
      <c r="D89">
        <v>0.12961</v>
      </c>
      <c r="E89">
        <v>0.13435</v>
      </c>
      <c r="F89">
        <v>14632511.699999999</v>
      </c>
      <c r="G89">
        <v>0.13435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0.8265895953757203</v>
      </c>
      <c r="Q89">
        <f t="shared" ref="Q89" si="421">F89*P89</f>
        <v>12095081.925433492</v>
      </c>
      <c r="R89">
        <f t="shared" ref="R89" si="422">R90+Q89</f>
        <v>-4352810468.3993158</v>
      </c>
      <c r="S89">
        <f t="shared" ref="S89" si="423">R89/100000</f>
        <v>-43528.104683993159</v>
      </c>
      <c r="T89">
        <f t="shared" ref="T89" si="424">S89/1000</f>
        <v>-43.528104683993156</v>
      </c>
    </row>
    <row r="90" spans="1:20" x14ac:dyDescent="0.25">
      <c r="A90" s="5">
        <v>44503</v>
      </c>
      <c r="B90">
        <v>0.13317000000000001</v>
      </c>
      <c r="C90">
        <v>0.13858999999999999</v>
      </c>
      <c r="D90">
        <v>0.12922</v>
      </c>
      <c r="E90">
        <v>0.1341</v>
      </c>
      <c r="F90">
        <v>49614180.399999999</v>
      </c>
      <c r="G90">
        <v>0.1341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4.1622198505869998E-2</v>
      </c>
      <c r="Q90">
        <f t="shared" ref="Q90" si="426">F90*P90</f>
        <v>2065051.2653148444</v>
      </c>
      <c r="R90">
        <f t="shared" ref="R90" si="427">R91+Q90</f>
        <v>-4364905550.324749</v>
      </c>
      <c r="S90">
        <f t="shared" ref="S90" si="428">R90/100000</f>
        <v>-43649.055503247488</v>
      </c>
      <c r="T90">
        <f t="shared" ref="T90" si="429">S90/1000</f>
        <v>-43.649055503247489</v>
      </c>
    </row>
    <row r="91" spans="1:20" x14ac:dyDescent="0.25">
      <c r="A91" s="5">
        <v>44502</v>
      </c>
      <c r="B91">
        <v>0.13188</v>
      </c>
      <c r="C91">
        <v>0.13508999999999999</v>
      </c>
      <c r="D91">
        <v>0.12787000000000001</v>
      </c>
      <c r="E91">
        <v>0.13317000000000001</v>
      </c>
      <c r="F91">
        <v>36933045.700000003</v>
      </c>
      <c r="G91">
        <v>0.13317000000000001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0.46814404432133422</v>
      </c>
      <c r="Q91">
        <f t="shared" ref="Q91" si="431">F91*P91</f>
        <v>17289985.383102663</v>
      </c>
      <c r="R91">
        <f t="shared" ref="R91" si="432">R92+Q91</f>
        <v>-4366970601.590064</v>
      </c>
      <c r="S91">
        <f t="shared" ref="S91" si="433">R91/100000</f>
        <v>-43669.706015900643</v>
      </c>
      <c r="T91">
        <f t="shared" ref="T91" si="434">S91/1000</f>
        <v>-43.669706015900644</v>
      </c>
    </row>
    <row r="92" spans="1:20" x14ac:dyDescent="0.25">
      <c r="A92" s="5">
        <v>44501</v>
      </c>
      <c r="B92">
        <v>0.13378000000000001</v>
      </c>
      <c r="C92">
        <v>0.13385</v>
      </c>
      <c r="D92">
        <v>0.12775</v>
      </c>
      <c r="E92">
        <v>0.13188</v>
      </c>
      <c r="F92">
        <v>35603291.600000001</v>
      </c>
      <c r="G92">
        <v>0.13188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0.35409836065573724</v>
      </c>
      <c r="Q92">
        <f t="shared" ref="Q92" si="436">F92*P92</f>
        <v>12607067.189508181</v>
      </c>
      <c r="R92">
        <f t="shared" ref="R92" si="437">R93+Q92</f>
        <v>-4384260586.9731665</v>
      </c>
      <c r="S92">
        <f t="shared" ref="S92" si="438">R92/100000</f>
        <v>-43842.605869731662</v>
      </c>
      <c r="T92">
        <f t="shared" ref="T92" si="439">S92/1000</f>
        <v>-43.842605869731663</v>
      </c>
    </row>
    <row r="93" spans="1:20" x14ac:dyDescent="0.25">
      <c r="A93" s="5">
        <v>44500</v>
      </c>
      <c r="B93">
        <v>0.13549</v>
      </c>
      <c r="C93">
        <v>0.13549</v>
      </c>
      <c r="D93">
        <v>0.12744</v>
      </c>
      <c r="E93">
        <v>0.13344</v>
      </c>
      <c r="F93">
        <v>31359647.300000001</v>
      </c>
      <c r="G93">
        <v>0.13344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0.49068322981366563</v>
      </c>
      <c r="Q93">
        <f t="shared" ref="Q93" si="441">F93*P93</f>
        <v>15387653.0229814</v>
      </c>
      <c r="R93">
        <f t="shared" ref="R93" si="442">R94+Q93</f>
        <v>-4396867654.1626749</v>
      </c>
      <c r="S93">
        <f t="shared" ref="S93" si="443">R93/100000</f>
        <v>-43968.676541626752</v>
      </c>
      <c r="T93">
        <f t="shared" ref="T93" si="444">S93/1000</f>
        <v>-43.968676541626749</v>
      </c>
    </row>
    <row r="94" spans="1:20" x14ac:dyDescent="0.25">
      <c r="A94" s="5">
        <v>44499</v>
      </c>
      <c r="B94">
        <v>0.13988999999999999</v>
      </c>
      <c r="C94">
        <v>0.14002999999999999</v>
      </c>
      <c r="D94">
        <v>0.13270000000000001</v>
      </c>
      <c r="E94">
        <v>0.13544</v>
      </c>
      <c r="F94">
        <v>20588772.600000001</v>
      </c>
      <c r="G94">
        <v>0.13544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-0.25238744884038156</v>
      </c>
      <c r="Q94">
        <f t="shared" ref="Q94" si="446">F94*P94</f>
        <v>-5196347.7912687501</v>
      </c>
      <c r="R94">
        <f t="shared" ref="R94" si="447">R95+Q94</f>
        <v>-4412255307.1856565</v>
      </c>
      <c r="S94">
        <f t="shared" ref="S94" si="448">R94/100000</f>
        <v>-44122.553071856564</v>
      </c>
      <c r="T94">
        <f t="shared" ref="T94" si="449">S94/1000</f>
        <v>-44.122553071856565</v>
      </c>
    </row>
    <row r="95" spans="1:20" x14ac:dyDescent="0.25">
      <c r="A95" s="5">
        <v>44498</v>
      </c>
      <c r="B95">
        <v>0.13464000000000001</v>
      </c>
      <c r="C95">
        <v>0.14088000000000001</v>
      </c>
      <c r="D95">
        <v>0.13253999999999999</v>
      </c>
      <c r="E95">
        <v>0.14016000000000001</v>
      </c>
      <c r="F95">
        <v>39784364.5</v>
      </c>
      <c r="G95">
        <v>0.14016000000000001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0.82733812949640351</v>
      </c>
      <c r="Q95">
        <f t="shared" ref="Q95" si="451">F95*P95</f>
        <v>32915121.708633117</v>
      </c>
      <c r="R95">
        <f t="shared" ref="R95" si="452">R96+Q95</f>
        <v>-4407058959.3943882</v>
      </c>
      <c r="S95">
        <f t="shared" ref="S95" si="453">R95/100000</f>
        <v>-44070.589593943885</v>
      </c>
      <c r="T95">
        <f t="shared" ref="T95" si="454">S95/1000</f>
        <v>-44.070589593943886</v>
      </c>
    </row>
    <row r="96" spans="1:20" x14ac:dyDescent="0.25">
      <c r="A96" s="5">
        <v>44497</v>
      </c>
      <c r="B96">
        <v>0.12867999999999999</v>
      </c>
      <c r="C96">
        <v>0.13489999999999999</v>
      </c>
      <c r="D96">
        <v>0.12364</v>
      </c>
      <c r="E96">
        <v>0.13464999999999999</v>
      </c>
      <c r="F96">
        <v>43946004.399999999</v>
      </c>
      <c r="G96">
        <v>0.13464999999999999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0.9555950266429839</v>
      </c>
      <c r="Q96">
        <f t="shared" ref="Q96" si="456">F96*P96</f>
        <v>41994583.245470688</v>
      </c>
      <c r="R96">
        <f t="shared" ref="R96" si="457">R97+Q96</f>
        <v>-4439974081.1030216</v>
      </c>
      <c r="S96">
        <f t="shared" ref="S96" si="458">R96/100000</f>
        <v>-44399.740811030213</v>
      </c>
      <c r="T96">
        <f t="shared" ref="T96" si="459">S96/1000</f>
        <v>-44.399740811030213</v>
      </c>
    </row>
    <row r="97" spans="1:20" x14ac:dyDescent="0.25">
      <c r="A97" s="5">
        <v>44496</v>
      </c>
      <c r="B97">
        <v>0.14742</v>
      </c>
      <c r="C97">
        <v>0.15146000000000001</v>
      </c>
      <c r="D97">
        <v>0.12213</v>
      </c>
      <c r="E97">
        <v>0.12873000000000001</v>
      </c>
      <c r="F97">
        <v>86752997.400000006</v>
      </c>
      <c r="G97">
        <v>0.12873000000000001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-0.54994885782475234</v>
      </c>
      <c r="Q97">
        <f t="shared" ref="Q97" si="461">F97*P97</f>
        <v>-47709711.833003715</v>
      </c>
      <c r="R97">
        <f t="shared" ref="R97" si="462">R98+Q97</f>
        <v>-4481968664.3484926</v>
      </c>
      <c r="S97">
        <f t="shared" ref="S97" si="463">R97/100000</f>
        <v>-44819.686643484929</v>
      </c>
      <c r="T97">
        <f t="shared" ref="T97" si="464">S97/1000</f>
        <v>-44.819686643484928</v>
      </c>
    </row>
    <row r="98" spans="1:20" x14ac:dyDescent="0.25">
      <c r="A98" s="5">
        <v>44495</v>
      </c>
      <c r="B98">
        <v>0.15068000000000001</v>
      </c>
      <c r="C98">
        <v>0.15103</v>
      </c>
      <c r="D98">
        <v>0.14602999999999999</v>
      </c>
      <c r="E98">
        <v>0.14746999999999999</v>
      </c>
      <c r="F98">
        <v>23988919.199999999</v>
      </c>
      <c r="G98">
        <v>0.14746999999999999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-0.42400000000000176</v>
      </c>
      <c r="Q98">
        <f t="shared" ref="Q98" si="466">F98*P98</f>
        <v>-10171301.740800042</v>
      </c>
      <c r="R98">
        <f t="shared" ref="R98" si="467">R99+Q98</f>
        <v>-4434258952.5154886</v>
      </c>
      <c r="S98">
        <f t="shared" ref="S98" si="468">R98/100000</f>
        <v>-44342.589525154886</v>
      </c>
      <c r="T98">
        <f t="shared" ref="T98" si="469">S98/1000</f>
        <v>-44.342589525154885</v>
      </c>
    </row>
    <row r="99" spans="1:20" x14ac:dyDescent="0.25">
      <c r="A99" s="5">
        <v>44494</v>
      </c>
      <c r="B99">
        <v>0.14898</v>
      </c>
      <c r="C99">
        <v>0.15290000000000001</v>
      </c>
      <c r="D99">
        <v>0.14685000000000001</v>
      </c>
      <c r="E99">
        <v>0.15065999999999999</v>
      </c>
      <c r="F99">
        <v>44239472.299999997</v>
      </c>
      <c r="G99">
        <v>0.15065999999999999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0.2595041322313984</v>
      </c>
      <c r="Q99">
        <f t="shared" ref="Q99" si="471">F99*P99</f>
        <v>11480325.869586486</v>
      </c>
      <c r="R99">
        <f t="shared" ref="R99" si="472">R100+Q99</f>
        <v>-4424087650.7746887</v>
      </c>
      <c r="S99">
        <f t="shared" ref="S99" si="473">R99/100000</f>
        <v>-44240.876507746885</v>
      </c>
      <c r="T99">
        <f t="shared" ref="T99" si="474">S99/1000</f>
        <v>-44.240876507746883</v>
      </c>
    </row>
    <row r="100" spans="1:20" x14ac:dyDescent="0.25">
      <c r="A100" s="5">
        <v>44493</v>
      </c>
      <c r="B100">
        <v>0.157</v>
      </c>
      <c r="C100">
        <v>0.15873000000000001</v>
      </c>
      <c r="D100">
        <v>0.14582000000000001</v>
      </c>
      <c r="E100">
        <v>0.14871999999999999</v>
      </c>
      <c r="F100">
        <v>27431264.300000001</v>
      </c>
      <c r="G100">
        <v>0.14871999999999999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-0.55073586367157479</v>
      </c>
      <c r="Q100">
        <f t="shared" ref="Q100" si="476">F100*P100</f>
        <v>-15107381.035863737</v>
      </c>
      <c r="R100">
        <f t="shared" ref="R100" si="477">R101+Q100</f>
        <v>-4435567976.6442757</v>
      </c>
      <c r="S100">
        <f t="shared" ref="S100" si="478">R100/100000</f>
        <v>-44355.679766442758</v>
      </c>
      <c r="T100">
        <f t="shared" ref="T100" si="479">S100/1000</f>
        <v>-44.355679766442755</v>
      </c>
    </row>
    <row r="101" spans="1:20" x14ac:dyDescent="0.25">
      <c r="A101" s="5">
        <v>44492</v>
      </c>
      <c r="B101">
        <v>0.15351999999999999</v>
      </c>
      <c r="C101">
        <v>0.15975</v>
      </c>
      <c r="D101">
        <v>0.15153</v>
      </c>
      <c r="E101">
        <v>0.15676999999999999</v>
      </c>
      <c r="F101">
        <v>45099780.799999997</v>
      </c>
      <c r="G101">
        <v>0.15676999999999999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0.27493917274938962</v>
      </c>
      <c r="Q101">
        <f t="shared" ref="Q101" si="481">F101*P101</f>
        <v>12399696.424330804</v>
      </c>
      <c r="R101">
        <f t="shared" ref="R101" si="482">R102+Q101</f>
        <v>-4420460595.6084118</v>
      </c>
      <c r="S101">
        <f t="shared" ref="S101" si="483">R101/100000</f>
        <v>-44204.605956084117</v>
      </c>
      <c r="T101">
        <f t="shared" ref="T101" si="484">S101/1000</f>
        <v>-44.204605956084116</v>
      </c>
    </row>
    <row r="102" spans="1:20" x14ac:dyDescent="0.25">
      <c r="A102" s="5">
        <v>44491</v>
      </c>
      <c r="B102">
        <v>0.15323000000000001</v>
      </c>
      <c r="C102">
        <v>0.15773999999999999</v>
      </c>
      <c r="D102">
        <v>0.14799999999999999</v>
      </c>
      <c r="E102">
        <v>0.15386</v>
      </c>
      <c r="F102">
        <v>49002912.799999997</v>
      </c>
      <c r="G102">
        <v>0.15386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0.20328542094455954</v>
      </c>
      <c r="Q102">
        <f t="shared" ref="Q102" si="486">F102*P102</f>
        <v>9961577.7560575437</v>
      </c>
      <c r="R102">
        <f t="shared" ref="R102" si="487">R103+Q102</f>
        <v>-4432860292.0327425</v>
      </c>
      <c r="S102">
        <f t="shared" ref="S102" si="488">R102/100000</f>
        <v>-44328.602920327423</v>
      </c>
      <c r="T102">
        <f t="shared" ref="T102" si="489">S102/1000</f>
        <v>-44.32860292032742</v>
      </c>
    </row>
    <row r="103" spans="1:20" x14ac:dyDescent="0.25">
      <c r="A103" s="5">
        <v>44490</v>
      </c>
      <c r="B103">
        <v>0.16739999999999999</v>
      </c>
      <c r="C103">
        <v>0.16814999999999999</v>
      </c>
      <c r="D103">
        <v>0.15129999999999999</v>
      </c>
      <c r="E103">
        <v>0.15328</v>
      </c>
      <c r="F103">
        <v>78841831</v>
      </c>
      <c r="G103">
        <v>0.15328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-0.76498516320474674</v>
      </c>
      <c r="Q103">
        <f t="shared" ref="Q103" si="491">F103*P103</f>
        <v>-60312830.954896063</v>
      </c>
      <c r="R103">
        <f t="shared" ref="R103" si="492">R104+Q103</f>
        <v>-4442821869.7888002</v>
      </c>
      <c r="S103">
        <f t="shared" ref="S103" si="493">R103/100000</f>
        <v>-44428.218697888005</v>
      </c>
      <c r="T103">
        <f t="shared" ref="T103" si="494">S103/1000</f>
        <v>-44.428218697888006</v>
      </c>
    </row>
    <row r="104" spans="1:20" x14ac:dyDescent="0.25">
      <c r="A104" s="5">
        <v>44489</v>
      </c>
      <c r="B104">
        <v>0.15156</v>
      </c>
      <c r="C104">
        <v>0.18592</v>
      </c>
      <c r="D104">
        <v>0.15065999999999999</v>
      </c>
      <c r="E104">
        <v>0.16758999999999999</v>
      </c>
      <c r="F104">
        <v>490320601.60000002</v>
      </c>
      <c r="G104">
        <v>0.16758999999999999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-3.9705048213273163E-2</v>
      </c>
      <c r="Q104">
        <f t="shared" ref="Q104" si="496">F104*P104</f>
        <v>-19468203.126489103</v>
      </c>
      <c r="R104">
        <f t="shared" ref="R104" si="497">R105+Q104</f>
        <v>-4382509038.8339043</v>
      </c>
      <c r="S104">
        <f t="shared" ref="S104" si="498">R104/100000</f>
        <v>-43825.090388339042</v>
      </c>
      <c r="T104">
        <f t="shared" ref="T104" si="499">S104/1000</f>
        <v>-43.825090388339042</v>
      </c>
    </row>
    <row r="105" spans="1:20" x14ac:dyDescent="0.25">
      <c r="A105" s="5">
        <v>44488</v>
      </c>
      <c r="B105">
        <v>0.13866999999999999</v>
      </c>
      <c r="C105">
        <v>0.1575</v>
      </c>
      <c r="D105">
        <v>0.13600000000000001</v>
      </c>
      <c r="E105">
        <v>0.15154000000000001</v>
      </c>
      <c r="F105">
        <v>270704079</v>
      </c>
      <c r="G105">
        <v>0.15154000000000001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0.44558139534883762</v>
      </c>
      <c r="Q105">
        <f t="shared" ref="Q105" si="501">F105*P105</f>
        <v>120620701.24744198</v>
      </c>
      <c r="R105">
        <f t="shared" ref="R105" si="502">R106+Q105</f>
        <v>-4363040835.7074156</v>
      </c>
      <c r="S105">
        <f t="shared" ref="S105" si="503">R105/100000</f>
        <v>-43630.408357074157</v>
      </c>
      <c r="T105">
        <f t="shared" ref="T105" si="504">S105/1000</f>
        <v>-43.63040835707416</v>
      </c>
    </row>
    <row r="106" spans="1:20" x14ac:dyDescent="0.25">
      <c r="A106" s="5">
        <v>44487</v>
      </c>
      <c r="B106">
        <v>0.1447</v>
      </c>
      <c r="C106">
        <v>0.14491000000000001</v>
      </c>
      <c r="D106">
        <v>0.13372000000000001</v>
      </c>
      <c r="E106">
        <v>0.13875000000000001</v>
      </c>
      <c r="F106">
        <v>60809196.799999997</v>
      </c>
      <c r="G106">
        <v>0.13875000000000001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-0.10098302055406538</v>
      </c>
      <c r="Q106">
        <f t="shared" ref="Q106" si="506">F106*P106</f>
        <v>-6140696.3703306066</v>
      </c>
      <c r="R106">
        <f t="shared" ref="R106" si="507">R107+Q106</f>
        <v>-4483661536.9548578</v>
      </c>
      <c r="S106">
        <f t="shared" ref="S106" si="508">R106/100000</f>
        <v>-44836.615369548577</v>
      </c>
      <c r="T106">
        <f t="shared" ref="T106" si="509">S106/1000</f>
        <v>-44.836615369548575</v>
      </c>
    </row>
    <row r="107" spans="1:20" x14ac:dyDescent="0.25">
      <c r="A107" s="5">
        <v>44486</v>
      </c>
      <c r="B107">
        <v>0.14968000000000001</v>
      </c>
      <c r="C107">
        <v>0.14998</v>
      </c>
      <c r="D107">
        <v>0.13977000000000001</v>
      </c>
      <c r="E107">
        <v>0.1447</v>
      </c>
      <c r="F107">
        <v>56920352.100000001</v>
      </c>
      <c r="G107">
        <v>0.1447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-3.4280117531833208E-2</v>
      </c>
      <c r="Q107">
        <f t="shared" ref="Q107" si="511">F107*P107</f>
        <v>-1951236.3599413291</v>
      </c>
      <c r="R107">
        <f t="shared" ref="R107" si="512">R108+Q107</f>
        <v>-4477520840.584527</v>
      </c>
      <c r="S107">
        <f t="shared" ref="S107" si="513">R107/100000</f>
        <v>-44775.208405845267</v>
      </c>
      <c r="T107">
        <f t="shared" ref="T107" si="514">S107/1000</f>
        <v>-44.77520840584527</v>
      </c>
    </row>
    <row r="108" spans="1:20" x14ac:dyDescent="0.25">
      <c r="A108" s="5">
        <v>44485</v>
      </c>
      <c r="B108">
        <v>0.14937</v>
      </c>
      <c r="C108">
        <v>0.15512999999999999</v>
      </c>
      <c r="D108">
        <v>0.14185</v>
      </c>
      <c r="E108">
        <v>0.14985000000000001</v>
      </c>
      <c r="F108">
        <v>96191739.799999997</v>
      </c>
      <c r="G108">
        <v>0.14985000000000001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0.20481927710843606</v>
      </c>
      <c r="Q108">
        <f t="shared" ref="Q108" si="516">F108*P108</f>
        <v>19701922.609638777</v>
      </c>
      <c r="R108">
        <f t="shared" ref="R108" si="517">R109+Q108</f>
        <v>-4475569604.2245855</v>
      </c>
      <c r="S108">
        <f t="shared" ref="S108" si="518">R108/100000</f>
        <v>-44755.696042245858</v>
      </c>
      <c r="T108">
        <f t="shared" ref="T108" si="519">S108/1000</f>
        <v>-44.755696042245859</v>
      </c>
    </row>
    <row r="109" spans="1:20" x14ac:dyDescent="0.25">
      <c r="A109" s="5">
        <v>44484</v>
      </c>
      <c r="B109">
        <v>0.17141999999999999</v>
      </c>
      <c r="C109">
        <v>0.18018000000000001</v>
      </c>
      <c r="D109">
        <v>0.14602999999999999</v>
      </c>
      <c r="E109">
        <v>0.14935000000000001</v>
      </c>
      <c r="F109">
        <v>214354338.19999999</v>
      </c>
      <c r="G109">
        <v>0.14935000000000001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-0.80556368960468427</v>
      </c>
      <c r="Q109">
        <f t="shared" ref="Q109" si="521">F109*P109</f>
        <v>-172676071.5631623</v>
      </c>
      <c r="R109">
        <f t="shared" ref="R109" si="522">R110+Q109</f>
        <v>-4495271526.8342247</v>
      </c>
      <c r="S109">
        <f t="shared" ref="S109" si="523">R109/100000</f>
        <v>-44952.715268342246</v>
      </c>
      <c r="T109">
        <f t="shared" ref="T109" si="524">S109/1000</f>
        <v>-44.952715268342246</v>
      </c>
    </row>
    <row r="110" spans="1:20" x14ac:dyDescent="0.25">
      <c r="A110" s="5">
        <v>44483</v>
      </c>
      <c r="B110">
        <v>0.18472</v>
      </c>
      <c r="C110">
        <v>0.21401999999999999</v>
      </c>
      <c r="D110">
        <v>0.16472999999999999</v>
      </c>
      <c r="E110">
        <v>0.17144999999999999</v>
      </c>
      <c r="F110">
        <v>357973470.39999998</v>
      </c>
      <c r="G110">
        <v>0.17144999999999999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-0.72732805842970161</v>
      </c>
      <c r="Q110">
        <f t="shared" ref="Q110" si="526">F110*P110</f>
        <v>-260364149.19537425</v>
      </c>
      <c r="R110">
        <f t="shared" ref="R110" si="527">R111+Q110</f>
        <v>-4322595455.2710629</v>
      </c>
      <c r="S110">
        <f t="shared" ref="S110" si="528">R110/100000</f>
        <v>-43225.954552710631</v>
      </c>
      <c r="T110">
        <f t="shared" ref="T110" si="529">S110/1000</f>
        <v>-43.225954552710633</v>
      </c>
    </row>
    <row r="111" spans="1:20" x14ac:dyDescent="0.25">
      <c r="A111" s="5">
        <v>44482</v>
      </c>
      <c r="B111">
        <v>0.14321999999999999</v>
      </c>
      <c r="C111">
        <v>0.2379</v>
      </c>
      <c r="D111">
        <v>0.14036000000000001</v>
      </c>
      <c r="E111">
        <v>0.18473999999999999</v>
      </c>
      <c r="F111">
        <v>1203844795.0999999</v>
      </c>
      <c r="G111">
        <v>0.18473999999999999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-9.0014353085913865E-2</v>
      </c>
      <c r="Q111">
        <f t="shared" ref="Q111" si="531">F111*P111</f>
        <v>-108363310.44677103</v>
      </c>
      <c r="R111">
        <f t="shared" ref="R111" si="532">R112+Q111</f>
        <v>-4062231306.0756884</v>
      </c>
      <c r="S111">
        <f t="shared" ref="S111" si="533">R111/100000</f>
        <v>-40622.313060756882</v>
      </c>
      <c r="T111">
        <f t="shared" ref="T111" si="534">S111/1000</f>
        <v>-40.622313060756881</v>
      </c>
    </row>
    <row r="112" spans="1:20" x14ac:dyDescent="0.25">
      <c r="A112" s="5">
        <v>44481</v>
      </c>
      <c r="B112">
        <v>0.14047999999999999</v>
      </c>
      <c r="C112">
        <v>0.15587000000000001</v>
      </c>
      <c r="D112">
        <v>0.12973000000000001</v>
      </c>
      <c r="E112">
        <v>0.14330999999999999</v>
      </c>
      <c r="F112">
        <v>264113410.30000001</v>
      </c>
      <c r="G112">
        <v>0.14330999999999999</v>
      </c>
      <c r="L112" t="s">
        <v>8</v>
      </c>
      <c r="M112" t="s">
        <v>8</v>
      </c>
      <c r="N112" t="s">
        <v>7</v>
      </c>
      <c r="P112">
        <f t="shared" ref="P112" si="535">IF(C112=D112,0,((E112-D112)-(C112-E112))/(C112-D112))</f>
        <v>3.9020657995408013E-2</v>
      </c>
      <c r="Q112">
        <f t="shared" ref="Q112" si="536">F112*P112</f>
        <v>10305879.055317173</v>
      </c>
      <c r="R112">
        <f t="shared" ref="R112" si="537">R113+Q112</f>
        <v>-3953867995.6289172</v>
      </c>
      <c r="S112">
        <f t="shared" ref="S112" si="538">R112/100000</f>
        <v>-39538.679956289176</v>
      </c>
      <c r="T112">
        <f t="shared" ref="T112" si="539">S112/1000</f>
        <v>-39.538679956289172</v>
      </c>
    </row>
    <row r="113" spans="1:20" x14ac:dyDescent="0.25">
      <c r="A113" s="5">
        <v>44480</v>
      </c>
      <c r="B113">
        <v>0.13386000000000001</v>
      </c>
      <c r="C113">
        <v>0.17558000000000001</v>
      </c>
      <c r="D113">
        <v>0.1255</v>
      </c>
      <c r="E113">
        <v>0.14047999999999999</v>
      </c>
      <c r="F113">
        <v>573570758.89999998</v>
      </c>
      <c r="G113">
        <v>0.14047999999999999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-0.40175718849840297</v>
      </c>
      <c r="Q113">
        <f t="shared" ref="Q113" si="541">F113*P113</f>
        <v>-230436175.50055933</v>
      </c>
      <c r="R113">
        <f t="shared" ref="R113" si="542">R114+Q113</f>
        <v>-3964173874.6842346</v>
      </c>
      <c r="S113">
        <f t="shared" ref="S113" si="543">R113/100000</f>
        <v>-39641.738746842348</v>
      </c>
      <c r="T113">
        <f t="shared" ref="T113" si="544">S113/1000</f>
        <v>-39.64173874684235</v>
      </c>
    </row>
    <row r="114" spans="1:20" x14ac:dyDescent="0.25">
      <c r="A114" s="5">
        <v>44479</v>
      </c>
      <c r="B114">
        <v>0.14418</v>
      </c>
      <c r="C114">
        <v>0.15001999999999999</v>
      </c>
      <c r="D114">
        <v>0.12901000000000001</v>
      </c>
      <c r="E114">
        <v>0.13389000000000001</v>
      </c>
      <c r="F114">
        <v>193192254.5</v>
      </c>
      <c r="G114">
        <v>0.13389000000000001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-0.53545930509281281</v>
      </c>
      <c r="Q114">
        <f t="shared" ref="Q114" si="546">F114*P114</f>
        <v>-103446590.34388384</v>
      </c>
      <c r="R114">
        <f t="shared" ref="R114" si="547">R115+Q114</f>
        <v>-3733737699.1836753</v>
      </c>
      <c r="S114">
        <f t="shared" ref="S114" si="548">R114/100000</f>
        <v>-37337.376991836754</v>
      </c>
      <c r="T114">
        <f t="shared" ref="T114" si="549">S114/1000</f>
        <v>-37.337376991836756</v>
      </c>
    </row>
    <row r="115" spans="1:20" x14ac:dyDescent="0.25">
      <c r="A115" s="5">
        <v>44478</v>
      </c>
      <c r="B115">
        <v>0.16248000000000001</v>
      </c>
      <c r="C115">
        <v>0.16700000000000001</v>
      </c>
      <c r="D115">
        <v>0.14002999999999999</v>
      </c>
      <c r="E115">
        <v>0.14413000000000001</v>
      </c>
      <c r="F115">
        <v>188039883.5</v>
      </c>
      <c r="G115">
        <v>0.14413000000000001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-0.6959584723767136</v>
      </c>
      <c r="Q115">
        <f t="shared" ref="Q115" si="551">F115*P115</f>
        <v>-130867950.06655519</v>
      </c>
      <c r="R115">
        <f t="shared" ref="R115" si="552">R116+Q115</f>
        <v>-3630291108.8397913</v>
      </c>
      <c r="S115">
        <f t="shared" ref="S115" si="553">R115/100000</f>
        <v>-36302.911088397916</v>
      </c>
      <c r="T115">
        <f t="shared" ref="T115" si="554">S115/1000</f>
        <v>-36.302911088397913</v>
      </c>
    </row>
    <row r="116" spans="1:20" x14ac:dyDescent="0.25">
      <c r="A116" s="5">
        <v>44477</v>
      </c>
      <c r="B116">
        <v>0.19552</v>
      </c>
      <c r="C116">
        <v>0.20674999999999999</v>
      </c>
      <c r="D116">
        <v>0.15909999999999999</v>
      </c>
      <c r="E116">
        <v>0.16250999999999999</v>
      </c>
      <c r="F116">
        <v>319070746.19999999</v>
      </c>
      <c r="G116">
        <v>0.16250999999999999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-0.85687303252885638</v>
      </c>
      <c r="Q116">
        <f t="shared" ref="Q116" si="556">F116*P116</f>
        <v>-273403117.88763905</v>
      </c>
      <c r="R116">
        <f t="shared" ref="R116" si="557">R117+Q116</f>
        <v>-3499423158.7732363</v>
      </c>
      <c r="S116">
        <f t="shared" ref="S116" si="558">R116/100000</f>
        <v>-34994.231587732364</v>
      </c>
      <c r="T116">
        <f t="shared" ref="T116" si="559">S116/1000</f>
        <v>-34.994231587732365</v>
      </c>
    </row>
    <row r="117" spans="1:20" x14ac:dyDescent="0.25">
      <c r="A117" s="5">
        <v>44476</v>
      </c>
      <c r="B117">
        <v>0.19086</v>
      </c>
      <c r="C117">
        <v>0.26455000000000001</v>
      </c>
      <c r="D117">
        <v>0.18271999999999999</v>
      </c>
      <c r="E117">
        <v>0.19558</v>
      </c>
      <c r="F117">
        <v>848675100.5</v>
      </c>
      <c r="G117">
        <v>0.19558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-0.68568984480019535</v>
      </c>
      <c r="Q117">
        <f t="shared" ref="Q117" si="561">F117*P117</f>
        <v>-581927897.94763517</v>
      </c>
      <c r="R117">
        <f t="shared" ref="R117" si="562">R118+Q117</f>
        <v>-3226020040.8855972</v>
      </c>
      <c r="S117">
        <f t="shared" ref="S117" si="563">R117/100000</f>
        <v>-32260.200408855973</v>
      </c>
      <c r="T117">
        <f t="shared" ref="T117" si="564">S117/1000</f>
        <v>-32.260200408855972</v>
      </c>
    </row>
    <row r="118" spans="1:20" x14ac:dyDescent="0.25">
      <c r="A118" s="5">
        <v>44475</v>
      </c>
      <c r="B118">
        <v>0.14813000000000001</v>
      </c>
      <c r="C118">
        <v>0.29375000000000001</v>
      </c>
      <c r="D118">
        <v>0.11598</v>
      </c>
      <c r="E118">
        <v>0.19070000000000001</v>
      </c>
      <c r="F118">
        <v>2618292644</v>
      </c>
      <c r="G118">
        <v>0.19070000000000001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-0.15936322214096862</v>
      </c>
      <c r="Q118">
        <f t="shared" ref="Q118" si="566">F118*P118</f>
        <v>-417259552.25583607</v>
      </c>
      <c r="R118">
        <f t="shared" ref="R118" si="567">R119+Q118</f>
        <v>-2644092142.9379621</v>
      </c>
      <c r="S118">
        <f t="shared" ref="S118" si="568">R118/100000</f>
        <v>-26440.921429379621</v>
      </c>
      <c r="T118">
        <f t="shared" ref="T118" si="569">S118/1000</f>
        <v>-26.440921429379621</v>
      </c>
    </row>
    <row r="119" spans="1:20" x14ac:dyDescent="0.25">
      <c r="A119" s="5">
        <v>44474</v>
      </c>
      <c r="B119">
        <v>5.5919999999999997E-2</v>
      </c>
      <c r="C119">
        <v>0.23279</v>
      </c>
      <c r="D119">
        <v>5.5160000000000001E-2</v>
      </c>
      <c r="E119">
        <v>0.14813999999999999</v>
      </c>
      <c r="F119">
        <v>2611116751</v>
      </c>
      <c r="G119">
        <v>0.14813999999999999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4.6895231661318412E-2</v>
      </c>
      <c r="Q119">
        <f t="shared" ref="Q119" si="571">F119*P119</f>
        <v>122448924.93289407</v>
      </c>
      <c r="R119">
        <f t="shared" ref="R119" si="572">R120+Q119</f>
        <v>-2226832590.682126</v>
      </c>
      <c r="S119">
        <f t="shared" ref="S119" si="573">R119/100000</f>
        <v>-22268.325906821261</v>
      </c>
      <c r="T119">
        <f t="shared" ref="T119" si="574">S119/1000</f>
        <v>-22.268325906821261</v>
      </c>
    </row>
    <row r="120" spans="1:20" x14ac:dyDescent="0.25">
      <c r="A120" s="5">
        <v>44473</v>
      </c>
      <c r="B120">
        <v>5.79E-2</v>
      </c>
      <c r="C120">
        <v>5.8290000000000002E-2</v>
      </c>
      <c r="D120">
        <v>5.4710000000000002E-2</v>
      </c>
      <c r="E120">
        <v>5.602E-2</v>
      </c>
      <c r="F120">
        <v>33126629.300000001</v>
      </c>
      <c r="G120">
        <v>5.602E-2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-0.2681564245810063</v>
      </c>
      <c r="Q120">
        <f t="shared" ref="Q120" si="576">F120*P120</f>
        <v>-8883118.4715084042</v>
      </c>
      <c r="R120">
        <f t="shared" ref="R120" si="577">R121+Q120</f>
        <v>-2349281515.6150203</v>
      </c>
      <c r="S120">
        <f t="shared" ref="S120" si="578">R120/100000</f>
        <v>-23492.815156150202</v>
      </c>
      <c r="T120">
        <f t="shared" ref="T120" si="579">S120/1000</f>
        <v>-23.492815156150201</v>
      </c>
    </row>
    <row r="121" spans="1:20" x14ac:dyDescent="0.25">
      <c r="A121" s="5">
        <v>44472</v>
      </c>
      <c r="B121">
        <v>5.9110000000000003E-2</v>
      </c>
      <c r="C121">
        <v>5.9110000000000003E-2</v>
      </c>
      <c r="D121">
        <v>5.7029999999999997E-2</v>
      </c>
      <c r="E121">
        <v>5.7910000000000003E-2</v>
      </c>
      <c r="F121">
        <v>17455147.300000001</v>
      </c>
      <c r="G121">
        <v>5.7910000000000003E-2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-0.15384615384615052</v>
      </c>
      <c r="Q121">
        <f t="shared" ref="Q121" si="581">F121*P121</f>
        <v>-2685407.276923019</v>
      </c>
      <c r="R121">
        <f t="shared" ref="R121" si="582">R122+Q121</f>
        <v>-2340398397.1435118</v>
      </c>
      <c r="S121">
        <f t="shared" ref="S121" si="583">R121/100000</f>
        <v>-23403.983971435118</v>
      </c>
      <c r="T121">
        <f t="shared" ref="T121" si="584">S121/1000</f>
        <v>-23.403983971435117</v>
      </c>
    </row>
    <row r="122" spans="1:20" x14ac:dyDescent="0.25">
      <c r="A122" s="5">
        <v>44471</v>
      </c>
      <c r="B122">
        <v>6.089E-2</v>
      </c>
      <c r="C122">
        <v>6.0990000000000003E-2</v>
      </c>
      <c r="D122">
        <v>5.7770000000000002E-2</v>
      </c>
      <c r="E122">
        <v>5.9110000000000003E-2</v>
      </c>
      <c r="F122">
        <v>48967296.600000001</v>
      </c>
      <c r="G122">
        <v>5.9110000000000003E-2</v>
      </c>
      <c r="L122" t="s">
        <v>7</v>
      </c>
      <c r="M122" t="s">
        <v>7</v>
      </c>
      <c r="N122" t="s">
        <v>7</v>
      </c>
      <c r="P122">
        <f t="shared" ref="P122" si="585">IF(C122=D122,0,((E122-D122)-(C122-E122))/(C122-D122))</f>
        <v>-0.16770186335403686</v>
      </c>
      <c r="Q122">
        <f t="shared" ref="Q122" si="586">F122*P122</f>
        <v>-8211906.883229794</v>
      </c>
      <c r="R122">
        <f t="shared" ref="R122" si="587">R123+Q122</f>
        <v>-2337712989.8665886</v>
      </c>
      <c r="S122">
        <f t="shared" ref="S122" si="588">R122/100000</f>
        <v>-23377.129898665888</v>
      </c>
      <c r="T122">
        <f t="shared" ref="T122" si="589">S122/1000</f>
        <v>-23.377129898665888</v>
      </c>
    </row>
    <row r="123" spans="1:20" x14ac:dyDescent="0.25">
      <c r="A123" s="5">
        <v>44470</v>
      </c>
      <c r="B123">
        <v>5.892E-2</v>
      </c>
      <c r="C123">
        <v>6.3E-2</v>
      </c>
      <c r="D123">
        <v>5.6779999999999997E-2</v>
      </c>
      <c r="E123">
        <v>6.089E-2</v>
      </c>
      <c r="F123">
        <v>271960437.60000002</v>
      </c>
      <c r="G123">
        <v>6.089E-2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0.32154340836012874</v>
      </c>
      <c r="Q123">
        <f t="shared" ref="Q123" si="591">F123*P123</f>
        <v>87447086.04501611</v>
      </c>
      <c r="R123">
        <f t="shared" ref="R123" si="592">R124+Q123</f>
        <v>-2329501082.9833589</v>
      </c>
      <c r="S123">
        <f t="shared" ref="S123" si="593">R123/100000</f>
        <v>-23295.010829833587</v>
      </c>
      <c r="T123">
        <f t="shared" ref="T123" si="594">S123/1000</f>
        <v>-23.295010829833586</v>
      </c>
    </row>
    <row r="124" spans="1:20" x14ac:dyDescent="0.25">
      <c r="A124" s="5">
        <v>44469</v>
      </c>
      <c r="B124">
        <v>4.5449999999999997E-2</v>
      </c>
      <c r="C124">
        <v>8.1199999999999994E-2</v>
      </c>
      <c r="D124">
        <v>4.5190000000000001E-2</v>
      </c>
      <c r="E124">
        <v>5.892E-2</v>
      </c>
      <c r="F124">
        <v>1036216798.9</v>
      </c>
      <c r="G124">
        <v>5.892E-2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-0.23743404609830593</v>
      </c>
      <c r="Q124">
        <f t="shared" ref="Q124" si="596">F124*P124</f>
        <v>-246033147.19786161</v>
      </c>
      <c r="R124">
        <f t="shared" ref="R124" si="597">R125+Q124</f>
        <v>-2416948169.0283751</v>
      </c>
      <c r="S124">
        <f t="shared" ref="S124" si="598">R124/100000</f>
        <v>-24169.481690283752</v>
      </c>
      <c r="T124">
        <f t="shared" ref="T124" si="599">S124/1000</f>
        <v>-24.169481690283753</v>
      </c>
    </row>
    <row r="125" spans="1:20" x14ac:dyDescent="0.25">
      <c r="A125" s="5">
        <v>44468</v>
      </c>
      <c r="B125">
        <v>4.5260000000000002E-2</v>
      </c>
      <c r="C125">
        <v>4.7410000000000001E-2</v>
      </c>
      <c r="D125">
        <v>4.4580000000000002E-2</v>
      </c>
      <c r="E125">
        <v>4.5609999999999998E-2</v>
      </c>
      <c r="F125">
        <v>24289339.300000001</v>
      </c>
      <c r="G125">
        <v>4.5609999999999998E-2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-0.27208480565371274</v>
      </c>
      <c r="Q125">
        <f t="shared" ref="Q125" si="601">F125*P125</f>
        <v>-6608760.1628975868</v>
      </c>
      <c r="R125">
        <f t="shared" ref="R125" si="602">R126+Q125</f>
        <v>-2170915021.8305135</v>
      </c>
      <c r="S125">
        <f t="shared" ref="S125" si="603">R125/100000</f>
        <v>-21709.150218305134</v>
      </c>
      <c r="T125">
        <f t="shared" ref="T125" si="604">S125/1000</f>
        <v>-21.709150218305133</v>
      </c>
    </row>
    <row r="126" spans="1:20" x14ac:dyDescent="0.25">
      <c r="A126" s="5">
        <v>44467</v>
      </c>
      <c r="B126">
        <v>4.8079999999999998E-2</v>
      </c>
      <c r="C126">
        <v>5.3030000000000001E-2</v>
      </c>
      <c r="D126">
        <v>4.5069999999999999E-2</v>
      </c>
      <c r="E126">
        <v>4.5199999999999997E-2</v>
      </c>
      <c r="F126">
        <v>42916534.299999997</v>
      </c>
      <c r="G126">
        <v>4.5199999999999997E-2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-0.9673366834170859</v>
      </c>
      <c r="Q126">
        <f t="shared" ref="Q126" si="606">F126*P126</f>
        <v>-41514737.953517608</v>
      </c>
      <c r="R126">
        <f t="shared" ref="R126" si="607">R127+Q126</f>
        <v>-2164306261.6676159</v>
      </c>
      <c r="S126">
        <f t="shared" ref="S126" si="608">R126/100000</f>
        <v>-21643.062616676158</v>
      </c>
      <c r="T126">
        <f t="shared" ref="T126" si="609">S126/1000</f>
        <v>-21.643062616676158</v>
      </c>
    </row>
    <row r="127" spans="1:20" x14ac:dyDescent="0.25">
      <c r="A127" s="5">
        <v>44466</v>
      </c>
      <c r="B127">
        <v>4.7260000000000003E-2</v>
      </c>
      <c r="C127">
        <v>5.0900000000000001E-2</v>
      </c>
      <c r="D127">
        <v>4.6289999999999998E-2</v>
      </c>
      <c r="E127">
        <v>4.8230000000000002E-2</v>
      </c>
      <c r="F127">
        <v>30482973.899999999</v>
      </c>
      <c r="G127">
        <v>4.8230000000000002E-2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-0.15835140997830674</v>
      </c>
      <c r="Q127">
        <f t="shared" ref="Q127" si="611">F127*P127</f>
        <v>-4827021.897396924</v>
      </c>
      <c r="R127">
        <f t="shared" ref="R127" si="612">R128+Q127</f>
        <v>-2122791523.7140982</v>
      </c>
      <c r="S127">
        <f t="shared" ref="S127" si="613">R127/100000</f>
        <v>-21227.915237140984</v>
      </c>
      <c r="T127">
        <f t="shared" ref="T127" si="614">S127/1000</f>
        <v>-21.227915237140984</v>
      </c>
    </row>
    <row r="128" spans="1:20" x14ac:dyDescent="0.25">
      <c r="A128" s="5">
        <v>44465</v>
      </c>
      <c r="B128">
        <v>4.9410000000000003E-2</v>
      </c>
      <c r="C128">
        <v>5.0900000000000001E-2</v>
      </c>
      <c r="D128">
        <v>4.3619999999999999E-2</v>
      </c>
      <c r="E128">
        <v>4.7129999999999998E-2</v>
      </c>
      <c r="F128">
        <v>12077888.199999999</v>
      </c>
      <c r="G128">
        <v>4.7129999999999998E-2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-3.5714285714286156E-2</v>
      </c>
      <c r="Q128">
        <f t="shared" ref="Q128" si="616">F128*P128</f>
        <v>-431353.15000000532</v>
      </c>
      <c r="R128">
        <f t="shared" ref="R128" si="617">R129+Q128</f>
        <v>-2117964501.8167012</v>
      </c>
      <c r="S128">
        <f t="shared" ref="S128" si="618">R128/100000</f>
        <v>-21179.645018167012</v>
      </c>
      <c r="T128">
        <f t="shared" ref="T128" si="619">S128/1000</f>
        <v>-21.179645018167012</v>
      </c>
    </row>
    <row r="129" spans="1:20" x14ac:dyDescent="0.25">
      <c r="A129" s="5">
        <v>44464</v>
      </c>
      <c r="B129">
        <v>4.8050000000000002E-2</v>
      </c>
      <c r="C129">
        <v>5.006E-2</v>
      </c>
      <c r="D129">
        <v>4.6330000000000003E-2</v>
      </c>
      <c r="E129">
        <v>4.9329999999999999E-2</v>
      </c>
      <c r="F129">
        <v>9967686.0999999996</v>
      </c>
      <c r="G129">
        <v>4.9329999999999999E-2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0.60857908847184883</v>
      </c>
      <c r="Q129">
        <f t="shared" ref="Q129" si="621">F129*P129</f>
        <v>6066125.3209115174</v>
      </c>
      <c r="R129">
        <f t="shared" ref="R129" si="622">R130+Q129</f>
        <v>-2117533148.6667011</v>
      </c>
      <c r="S129">
        <f t="shared" ref="S129" si="623">R129/100000</f>
        <v>-21175.331486667012</v>
      </c>
      <c r="T129">
        <f t="shared" ref="T129" si="624">S129/1000</f>
        <v>-21.175331486667012</v>
      </c>
    </row>
    <row r="130" spans="1:20" x14ac:dyDescent="0.25">
      <c r="A130" s="5">
        <v>44463</v>
      </c>
      <c r="B130">
        <v>5.2429999999999997E-2</v>
      </c>
      <c r="C130">
        <v>5.2560000000000003E-2</v>
      </c>
      <c r="D130">
        <v>4.4220000000000002E-2</v>
      </c>
      <c r="E130">
        <v>4.8259999999999997E-2</v>
      </c>
      <c r="F130">
        <v>19929144.399999999</v>
      </c>
      <c r="G130">
        <v>4.8259999999999997E-2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-3.1175059952039594E-2</v>
      </c>
      <c r="Q130">
        <f t="shared" ref="Q130" si="626">F130*P130</f>
        <v>-621292.27146285411</v>
      </c>
      <c r="R130">
        <f t="shared" ref="R130" si="627">R131+Q130</f>
        <v>-2123599273.9876125</v>
      </c>
      <c r="S130">
        <f t="shared" ref="S130" si="628">R130/100000</f>
        <v>-21235.992739876125</v>
      </c>
      <c r="T130">
        <f t="shared" ref="T130" si="629">S130/1000</f>
        <v>-21.235992739876124</v>
      </c>
    </row>
    <row r="131" spans="1:20" x14ac:dyDescent="0.25">
      <c r="A131" s="5">
        <v>44462</v>
      </c>
      <c r="B131">
        <v>5.0459999999999998E-2</v>
      </c>
      <c r="C131">
        <v>5.4960000000000002E-2</v>
      </c>
      <c r="D131">
        <v>4.888E-2</v>
      </c>
      <c r="E131">
        <v>5.2630000000000003E-2</v>
      </c>
      <c r="F131">
        <v>16814816.800000001</v>
      </c>
      <c r="G131">
        <v>5.2630000000000003E-2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0.23355263157894804</v>
      </c>
      <c r="Q131">
        <f t="shared" ref="Q131" si="631">F131*P131</f>
        <v>3927144.7131579062</v>
      </c>
      <c r="R131">
        <f t="shared" ref="R131" si="632">R132+Q131</f>
        <v>-2122977981.7161496</v>
      </c>
      <c r="S131">
        <f t="shared" ref="S131" si="633">R131/100000</f>
        <v>-21229.779817161496</v>
      </c>
      <c r="T131">
        <f t="shared" ref="T131" si="634">S131/1000</f>
        <v>-21.229779817161496</v>
      </c>
    </row>
    <row r="132" spans="1:20" x14ac:dyDescent="0.25">
      <c r="A132" s="5">
        <v>44461</v>
      </c>
      <c r="B132">
        <v>4.5339999999999998E-2</v>
      </c>
      <c r="C132">
        <v>5.1330000000000001E-2</v>
      </c>
      <c r="D132">
        <v>4.3929999999999997E-2</v>
      </c>
      <c r="E132">
        <v>5.0520000000000002E-2</v>
      </c>
      <c r="F132">
        <v>34906019.100000001</v>
      </c>
      <c r="G132">
        <v>5.0520000000000002E-2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0.78108108108108165</v>
      </c>
      <c r="Q132">
        <f t="shared" ref="Q132" si="636">F132*P132</f>
        <v>27264431.134864885</v>
      </c>
      <c r="R132">
        <f t="shared" ref="R132" si="637">R133+Q132</f>
        <v>-2126905126.4293075</v>
      </c>
      <c r="S132">
        <f t="shared" ref="S132" si="638">R132/100000</f>
        <v>-21269.051264293073</v>
      </c>
      <c r="T132">
        <f t="shared" ref="T132" si="639">S132/1000</f>
        <v>-21.269051264293072</v>
      </c>
    </row>
    <row r="133" spans="1:20" x14ac:dyDescent="0.25">
      <c r="A133" s="5">
        <v>44460</v>
      </c>
      <c r="B133">
        <v>5.0119999999999998E-2</v>
      </c>
      <c r="C133">
        <v>5.355E-2</v>
      </c>
      <c r="D133">
        <v>4.369E-2</v>
      </c>
      <c r="E133">
        <v>4.5199999999999997E-2</v>
      </c>
      <c r="F133">
        <v>31388472.399999999</v>
      </c>
      <c r="G133">
        <v>4.5199999999999997E-2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-0.69371196754563946</v>
      </c>
      <c r="Q133">
        <f t="shared" ref="Q133" si="641">F133*P133</f>
        <v>-21774558.946856</v>
      </c>
      <c r="R133">
        <f t="shared" ref="R133" si="642">R134+Q133</f>
        <v>-2154169557.5641723</v>
      </c>
      <c r="S133">
        <f t="shared" ref="S133" si="643">R133/100000</f>
        <v>-21541.695575641723</v>
      </c>
      <c r="T133">
        <f t="shared" ref="T133" si="644">S133/1000</f>
        <v>-21.541695575641722</v>
      </c>
    </row>
    <row r="134" spans="1:20" x14ac:dyDescent="0.25">
      <c r="A134" s="5">
        <v>44459</v>
      </c>
      <c r="B134">
        <v>5.851E-2</v>
      </c>
      <c r="C134">
        <v>5.8790000000000002E-2</v>
      </c>
      <c r="D134">
        <v>5.2260000000000001E-2</v>
      </c>
      <c r="E134">
        <v>5.2859999999999997E-2</v>
      </c>
      <c r="F134">
        <v>12160787.199999999</v>
      </c>
      <c r="G134">
        <v>5.2859999999999997E-2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-0.81623277182235954</v>
      </c>
      <c r="Q134">
        <f t="shared" ref="Q134" si="646">F134*P134</f>
        <v>-9926033.0437978692</v>
      </c>
      <c r="R134">
        <f t="shared" ref="R134" si="647">R135+Q134</f>
        <v>-2132394998.6173162</v>
      </c>
      <c r="S134">
        <f t="shared" ref="S134" si="648">R134/100000</f>
        <v>-21323.949986173164</v>
      </c>
      <c r="T134">
        <f t="shared" ref="T134" si="649">S134/1000</f>
        <v>-21.323949986173165</v>
      </c>
    </row>
    <row r="135" spans="1:20" x14ac:dyDescent="0.25">
      <c r="A135" s="5">
        <v>44458</v>
      </c>
      <c r="B135">
        <v>6.1440000000000002E-2</v>
      </c>
      <c r="C135">
        <v>6.2E-2</v>
      </c>
      <c r="D135">
        <v>5.8430000000000003E-2</v>
      </c>
      <c r="E135">
        <v>5.8630000000000002E-2</v>
      </c>
      <c r="F135">
        <v>23868582.600000001</v>
      </c>
      <c r="G135">
        <v>5.8630000000000002E-2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-0.88795518207282975</v>
      </c>
      <c r="Q135">
        <f t="shared" ref="Q135" si="651">F135*P135</f>
        <v>-21194231.608403377</v>
      </c>
      <c r="R135">
        <f t="shared" ref="R135" si="652">R136+Q135</f>
        <v>-2122468965.5735183</v>
      </c>
      <c r="S135">
        <f t="shared" ref="S135" si="653">R135/100000</f>
        <v>-21224.689655735183</v>
      </c>
      <c r="T135">
        <f t="shared" ref="T135" si="654">S135/1000</f>
        <v>-21.224689655735183</v>
      </c>
    </row>
    <row r="136" spans="1:20" x14ac:dyDescent="0.25">
      <c r="A136" s="5">
        <v>44457</v>
      </c>
      <c r="B136">
        <v>6.182E-2</v>
      </c>
      <c r="C136">
        <v>6.3700000000000007E-2</v>
      </c>
      <c r="D136">
        <v>6.0080000000000001E-2</v>
      </c>
      <c r="E136">
        <v>6.1539999999999997E-2</v>
      </c>
      <c r="F136">
        <v>19331074.899999999</v>
      </c>
      <c r="G136">
        <v>6.1539999999999997E-2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-0.19337016574585969</v>
      </c>
      <c r="Q136">
        <f t="shared" ref="Q136" si="656">F136*P136</f>
        <v>-3738053.1574586276</v>
      </c>
      <c r="R136">
        <f t="shared" ref="R136" si="657">R137+Q136</f>
        <v>-2101274733.9651148</v>
      </c>
      <c r="S136">
        <f t="shared" ref="S136" si="658">R136/100000</f>
        <v>-21012.747339651149</v>
      </c>
      <c r="T136">
        <f t="shared" ref="T136" si="659">S136/1000</f>
        <v>-21.012747339651149</v>
      </c>
    </row>
    <row r="137" spans="1:20" x14ac:dyDescent="0.25">
      <c r="A137" s="5">
        <v>44456</v>
      </c>
      <c r="B137">
        <v>6.114E-2</v>
      </c>
      <c r="C137">
        <v>6.4000000000000001E-2</v>
      </c>
      <c r="D137">
        <v>5.9630000000000002E-2</v>
      </c>
      <c r="E137">
        <v>6.182E-2</v>
      </c>
      <c r="F137">
        <v>44371592</v>
      </c>
      <c r="G137">
        <v>6.182E-2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2.2883295194499145E-3</v>
      </c>
      <c r="Q137">
        <f t="shared" ref="Q137" si="661">F137*P137</f>
        <v>101536.82379858768</v>
      </c>
      <c r="R137">
        <f t="shared" ref="R137" si="662">R138+Q137</f>
        <v>-2097536680.8076563</v>
      </c>
      <c r="S137">
        <f t="shared" ref="S137" si="663">R137/100000</f>
        <v>-20975.366808076564</v>
      </c>
      <c r="T137">
        <f t="shared" ref="T137" si="664">S137/1000</f>
        <v>-20.975366808076565</v>
      </c>
    </row>
    <row r="138" spans="1:20" x14ac:dyDescent="0.25">
      <c r="A138" s="5">
        <v>44455</v>
      </c>
      <c r="B138">
        <v>6.1359999999999998E-2</v>
      </c>
      <c r="C138">
        <v>6.157E-2</v>
      </c>
      <c r="D138">
        <v>5.9270000000000003E-2</v>
      </c>
      <c r="E138">
        <v>6.1159999999999999E-2</v>
      </c>
      <c r="F138">
        <v>6466902.2000000002</v>
      </c>
      <c r="G138">
        <v>6.1159999999999999E-2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0.64347826086956417</v>
      </c>
      <c r="Q138">
        <f t="shared" ref="Q138" si="666">F138*P138</f>
        <v>4161310.9808695586</v>
      </c>
      <c r="R138">
        <f t="shared" ref="R138" si="667">R139+Q138</f>
        <v>-2097638217.6314549</v>
      </c>
      <c r="S138">
        <f t="shared" ref="S138" si="668">R138/100000</f>
        <v>-20976.38217631455</v>
      </c>
      <c r="T138">
        <f t="shared" ref="T138" si="669">S138/1000</f>
        <v>-20.976382176314551</v>
      </c>
    </row>
    <row r="139" spans="1:20" x14ac:dyDescent="0.25">
      <c r="A139" s="5">
        <v>44454</v>
      </c>
      <c r="B139">
        <v>6.0139999999999999E-2</v>
      </c>
      <c r="C139">
        <v>6.216E-2</v>
      </c>
      <c r="D139">
        <v>5.8909999999999997E-2</v>
      </c>
      <c r="E139">
        <v>6.1559999999999997E-2</v>
      </c>
      <c r="F139">
        <v>10193401.4</v>
      </c>
      <c r="G139">
        <v>6.1559999999999997E-2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0.63076923076922908</v>
      </c>
      <c r="Q139">
        <f t="shared" ref="Q139" si="671">F139*P139</f>
        <v>6429683.9599999832</v>
      </c>
      <c r="R139">
        <f t="shared" ref="R139" si="672">R140+Q139</f>
        <v>-2101799528.6123245</v>
      </c>
      <c r="S139">
        <f t="shared" ref="S139" si="673">R139/100000</f>
        <v>-21017.995286123245</v>
      </c>
      <c r="T139">
        <f t="shared" ref="T139" si="674">S139/1000</f>
        <v>-21.017995286123245</v>
      </c>
    </row>
    <row r="140" spans="1:20" x14ac:dyDescent="0.25">
      <c r="A140" s="5">
        <v>44453</v>
      </c>
      <c r="B140">
        <v>5.8270000000000002E-2</v>
      </c>
      <c r="C140">
        <v>6.0240000000000002E-2</v>
      </c>
      <c r="D140">
        <v>5.6980000000000003E-2</v>
      </c>
      <c r="E140">
        <v>0.06</v>
      </c>
      <c r="F140">
        <v>6032826.9000000004</v>
      </c>
      <c r="G140">
        <v>0.06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0.85276073619631643</v>
      </c>
      <c r="Q140">
        <f t="shared" ref="Q140" si="676">F140*P140</f>
        <v>5144557.9085889421</v>
      </c>
      <c r="R140">
        <f t="shared" ref="R140" si="677">R141+Q140</f>
        <v>-2108229212.5723245</v>
      </c>
      <c r="S140">
        <f t="shared" ref="S140" si="678">R140/100000</f>
        <v>-21082.292125723245</v>
      </c>
      <c r="T140">
        <f t="shared" ref="T140" si="679">S140/1000</f>
        <v>-21.082292125723246</v>
      </c>
    </row>
    <row r="141" spans="1:20" x14ac:dyDescent="0.25">
      <c r="A141" s="5">
        <v>44452</v>
      </c>
      <c r="B141">
        <v>6.071E-2</v>
      </c>
      <c r="C141">
        <v>6.0729999999999999E-2</v>
      </c>
      <c r="D141">
        <v>5.5E-2</v>
      </c>
      <c r="E141">
        <v>5.8270000000000002E-2</v>
      </c>
      <c r="F141">
        <v>8632390.6999999993</v>
      </c>
      <c r="G141">
        <v>5.8270000000000002E-2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0.14136125654450354</v>
      </c>
      <c r="Q141">
        <f t="shared" ref="Q141" si="681">F141*P141</f>
        <v>1220285.5963350865</v>
      </c>
      <c r="R141">
        <f t="shared" ref="R141" si="682">R142+Q141</f>
        <v>-2113373770.4809134</v>
      </c>
      <c r="S141">
        <f t="shared" ref="S141" si="683">R141/100000</f>
        <v>-21133.737704809133</v>
      </c>
      <c r="T141">
        <f t="shared" ref="T141" si="684">S141/1000</f>
        <v>-21.133737704809132</v>
      </c>
    </row>
    <row r="142" spans="1:20" x14ac:dyDescent="0.25">
      <c r="A142" s="5">
        <v>44451</v>
      </c>
      <c r="B142">
        <v>5.953E-2</v>
      </c>
      <c r="C142">
        <v>6.164E-2</v>
      </c>
      <c r="D142">
        <v>5.8000000000000003E-2</v>
      </c>
      <c r="E142">
        <v>6.0729999999999999E-2</v>
      </c>
      <c r="F142">
        <v>8789371</v>
      </c>
      <c r="G142">
        <v>6.0729999999999999E-2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0.49999999999999906</v>
      </c>
      <c r="Q142">
        <f t="shared" ref="Q142" si="686">F142*P142</f>
        <v>4394685.4999999916</v>
      </c>
      <c r="R142">
        <f t="shared" ref="R142" si="687">R143+Q142</f>
        <v>-2114594056.0772486</v>
      </c>
      <c r="S142">
        <f t="shared" ref="S142" si="688">R142/100000</f>
        <v>-21145.940560772488</v>
      </c>
      <c r="T142">
        <f t="shared" ref="T142" si="689">S142/1000</f>
        <v>-21.145940560772488</v>
      </c>
    </row>
    <row r="143" spans="1:20" x14ac:dyDescent="0.25">
      <c r="A143" s="5">
        <v>44450</v>
      </c>
      <c r="B143">
        <v>5.9400000000000001E-2</v>
      </c>
      <c r="C143">
        <v>6.087E-2</v>
      </c>
      <c r="D143">
        <v>5.738E-2</v>
      </c>
      <c r="E143">
        <v>5.9520000000000003E-2</v>
      </c>
      <c r="F143">
        <v>9494820.3000000007</v>
      </c>
      <c r="G143">
        <v>5.9520000000000003E-2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0.22636103151862635</v>
      </c>
      <c r="Q143">
        <f t="shared" ref="Q143" si="691">F143*P143</f>
        <v>2149257.3171919934</v>
      </c>
      <c r="R143">
        <f t="shared" ref="R143" si="692">R144+Q143</f>
        <v>-2118988741.5772486</v>
      </c>
      <c r="S143">
        <f t="shared" ref="S143" si="693">R143/100000</f>
        <v>-21189.887415772486</v>
      </c>
      <c r="T143">
        <f t="shared" ref="T143" si="694">S143/1000</f>
        <v>-21.189887415772485</v>
      </c>
    </row>
    <row r="144" spans="1:20" x14ac:dyDescent="0.25">
      <c r="A144" s="5">
        <v>44449</v>
      </c>
      <c r="B144">
        <v>6.2649999999999997E-2</v>
      </c>
      <c r="C144">
        <v>6.4060000000000006E-2</v>
      </c>
      <c r="D144">
        <v>5.7599999999999998E-2</v>
      </c>
      <c r="E144">
        <v>5.9659999999999998E-2</v>
      </c>
      <c r="F144">
        <v>15751303.199999999</v>
      </c>
      <c r="G144">
        <v>5.9659999999999998E-2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-0.36222910216718363</v>
      </c>
      <c r="Q144">
        <f t="shared" ref="Q144" si="696">F144*P144</f>
        <v>-5705580.4160990864</v>
      </c>
      <c r="R144">
        <f t="shared" ref="R144" si="697">R145+Q144</f>
        <v>-2121137998.8944407</v>
      </c>
      <c r="S144">
        <f t="shared" ref="S144" si="698">R144/100000</f>
        <v>-21211.379988944405</v>
      </c>
      <c r="T144">
        <f t="shared" ref="T144" si="699">S144/1000</f>
        <v>-21.211379988944405</v>
      </c>
    </row>
    <row r="145" spans="1:20" x14ac:dyDescent="0.25">
      <c r="A145" s="5">
        <v>44448</v>
      </c>
      <c r="B145">
        <v>5.9520000000000003E-2</v>
      </c>
      <c r="C145">
        <v>6.3E-2</v>
      </c>
      <c r="D145">
        <v>5.7790000000000001E-2</v>
      </c>
      <c r="E145">
        <v>6.2649999999999997E-2</v>
      </c>
      <c r="F145">
        <v>16943543.300000001</v>
      </c>
      <c r="G145">
        <v>6.2649999999999997E-2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0.86564299424184143</v>
      </c>
      <c r="Q145">
        <f t="shared" ref="Q145" si="701">F145*P145</f>
        <v>14667059.555278292</v>
      </c>
      <c r="R145">
        <f t="shared" ref="R145" si="702">R146+Q145</f>
        <v>-2115432418.4783416</v>
      </c>
      <c r="S145">
        <f t="shared" ref="S145" si="703">R145/100000</f>
        <v>-21154.324184783414</v>
      </c>
      <c r="T145">
        <f t="shared" ref="T145" si="704">S145/1000</f>
        <v>-21.154324184783412</v>
      </c>
    </row>
    <row r="146" spans="1:20" x14ac:dyDescent="0.25">
      <c r="A146" s="5">
        <v>44447</v>
      </c>
      <c r="B146">
        <v>5.8700000000000002E-2</v>
      </c>
      <c r="C146">
        <v>6.0010000000000001E-2</v>
      </c>
      <c r="D146">
        <v>5.1709999999999999E-2</v>
      </c>
      <c r="E146">
        <v>5.9299999999999999E-2</v>
      </c>
      <c r="F146">
        <v>21033829.100000001</v>
      </c>
      <c r="G146">
        <v>5.9299999999999999E-2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0.8289156626506019</v>
      </c>
      <c r="Q146">
        <f t="shared" ref="Q146" si="706">F146*P146</f>
        <v>17435270.386506014</v>
      </c>
      <c r="R146">
        <f t="shared" ref="R146" si="707">R147+Q146</f>
        <v>-2130099478.0336199</v>
      </c>
      <c r="S146">
        <f t="shared" ref="S146" si="708">R146/100000</f>
        <v>-21300.994780336197</v>
      </c>
      <c r="T146">
        <f t="shared" ref="T146" si="709">S146/1000</f>
        <v>-21.300994780336197</v>
      </c>
    </row>
    <row r="147" spans="1:20" x14ac:dyDescent="0.25">
      <c r="A147" s="5">
        <v>44446</v>
      </c>
      <c r="B147">
        <v>7.1599999999999997E-2</v>
      </c>
      <c r="C147">
        <v>7.1999999999999995E-2</v>
      </c>
      <c r="D147">
        <v>5.5780000000000003E-2</v>
      </c>
      <c r="E147">
        <v>5.8779999999999999E-2</v>
      </c>
      <c r="F147">
        <v>22385266.100000001</v>
      </c>
      <c r="G147">
        <v>5.8779999999999999E-2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-0.63008631319358854</v>
      </c>
      <c r="Q147">
        <f t="shared" ref="Q147" si="711">F147*P147</f>
        <v>-14104649.786806421</v>
      </c>
      <c r="R147">
        <f t="shared" ref="R147" si="712">R148+Q147</f>
        <v>-2147534748.420126</v>
      </c>
      <c r="S147">
        <f t="shared" ref="S147" si="713">R147/100000</f>
        <v>-21475.347484201258</v>
      </c>
      <c r="T147">
        <f t="shared" ref="T147" si="714">S147/1000</f>
        <v>-21.475347484201258</v>
      </c>
    </row>
    <row r="148" spans="1:20" x14ac:dyDescent="0.25">
      <c r="A148" s="5">
        <v>44445</v>
      </c>
      <c r="B148">
        <v>7.1330000000000005E-2</v>
      </c>
      <c r="C148">
        <v>7.3419999999999999E-2</v>
      </c>
      <c r="D148">
        <v>6.8459999999999993E-2</v>
      </c>
      <c r="E148">
        <v>7.1749999999999994E-2</v>
      </c>
      <c r="F148">
        <v>33936071.600000001</v>
      </c>
      <c r="G148">
        <v>7.1749999999999994E-2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0.32661290322580533</v>
      </c>
      <c r="Q148">
        <f t="shared" ref="Q148" si="716">F148*P148</f>
        <v>11083958.869354801</v>
      </c>
      <c r="R148">
        <f t="shared" ref="R148" si="717">R149+Q148</f>
        <v>-2133430098.6333194</v>
      </c>
      <c r="S148">
        <f t="shared" ref="S148" si="718">R148/100000</f>
        <v>-21334.300986333194</v>
      </c>
      <c r="T148">
        <f t="shared" ref="T148" si="719">S148/1000</f>
        <v>-21.334300986333194</v>
      </c>
    </row>
    <row r="149" spans="1:20" x14ac:dyDescent="0.25">
      <c r="A149" s="5">
        <v>44444</v>
      </c>
      <c r="B149">
        <v>7.3510000000000006E-2</v>
      </c>
      <c r="C149">
        <v>8.7599999999999997E-2</v>
      </c>
      <c r="D149">
        <v>6.948E-2</v>
      </c>
      <c r="E149">
        <v>7.1300000000000002E-2</v>
      </c>
      <c r="F149">
        <v>121034961.8</v>
      </c>
      <c r="G149">
        <v>7.1300000000000002E-2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-0.79911699779249423</v>
      </c>
      <c r="Q149">
        <f t="shared" ref="Q149" si="721">F149*P149</f>
        <v>-96721095.301545218</v>
      </c>
      <c r="R149">
        <f t="shared" ref="R149" si="722">R150+Q149</f>
        <v>-2144514057.5026741</v>
      </c>
      <c r="S149">
        <f t="shared" ref="S149" si="723">R149/100000</f>
        <v>-21445.14057502674</v>
      </c>
      <c r="T149">
        <f t="shared" ref="T149" si="724">S149/1000</f>
        <v>-21.445140575026741</v>
      </c>
    </row>
    <row r="150" spans="1:20" x14ac:dyDescent="0.25">
      <c r="A150" s="5">
        <v>44443</v>
      </c>
      <c r="B150">
        <v>6.8820000000000006E-2</v>
      </c>
      <c r="C150">
        <v>7.3630000000000001E-2</v>
      </c>
      <c r="D150">
        <v>6.8250000000000005E-2</v>
      </c>
      <c r="E150">
        <v>7.3580000000000007E-2</v>
      </c>
      <c r="F150">
        <v>29513617.699999999</v>
      </c>
      <c r="G150">
        <v>7.3580000000000007E-2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0.98141263940520651</v>
      </c>
      <c r="Q150">
        <f t="shared" ref="Q150" si="726">F150*P150</f>
        <v>28965037.445353221</v>
      </c>
      <c r="R150">
        <f t="shared" ref="R150" si="727">R151+Q150</f>
        <v>-2047792962.201129</v>
      </c>
      <c r="S150">
        <f t="shared" ref="S150" si="728">R150/100000</f>
        <v>-20477.929622011288</v>
      </c>
      <c r="T150">
        <f t="shared" ref="T150" si="729">S150/1000</f>
        <v>-20.477929622011288</v>
      </c>
    </row>
    <row r="151" spans="1:20" x14ac:dyDescent="0.25">
      <c r="A151" s="5">
        <v>44442</v>
      </c>
      <c r="B151">
        <v>6.5449999999999994E-2</v>
      </c>
      <c r="C151">
        <v>6.9199999999999998E-2</v>
      </c>
      <c r="D151">
        <v>6.3579999999999998E-2</v>
      </c>
      <c r="E151">
        <v>6.8860000000000005E-2</v>
      </c>
      <c r="F151">
        <v>22312627.699999999</v>
      </c>
      <c r="G151">
        <v>6.8860000000000005E-2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0.87900355871886371</v>
      </c>
      <c r="Q151">
        <f t="shared" ref="Q151" si="731">F151*P151</f>
        <v>19612879.152669095</v>
      </c>
      <c r="R151">
        <f t="shared" ref="R151" si="732">R152+Q151</f>
        <v>-2076757999.6464822</v>
      </c>
      <c r="S151">
        <f t="shared" ref="S151" si="733">R151/100000</f>
        <v>-20767.579996464821</v>
      </c>
      <c r="T151">
        <f t="shared" ref="T151" si="734">S151/1000</f>
        <v>-20.767579996464821</v>
      </c>
    </row>
    <row r="152" spans="1:20" x14ac:dyDescent="0.25">
      <c r="A152" s="5">
        <v>44441</v>
      </c>
      <c r="B152">
        <v>6.5070000000000003E-2</v>
      </c>
      <c r="C152">
        <v>6.6159999999999997E-2</v>
      </c>
      <c r="D152">
        <v>6.3500000000000001E-2</v>
      </c>
      <c r="E152">
        <v>6.5390000000000004E-2</v>
      </c>
      <c r="F152">
        <v>25224540.600000001</v>
      </c>
      <c r="G152">
        <v>6.5390000000000004E-2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0.42105263157895179</v>
      </c>
      <c r="Q152">
        <f t="shared" ref="Q152" si="736">F152*P152</f>
        <v>10620859.200000113</v>
      </c>
      <c r="R152">
        <f t="shared" ref="R152" si="737">R153+Q152</f>
        <v>-2096370878.7991514</v>
      </c>
      <c r="S152">
        <f t="shared" ref="S152" si="738">R152/100000</f>
        <v>-20963.708787991513</v>
      </c>
      <c r="T152">
        <f t="shared" ref="T152" si="739">S152/1000</f>
        <v>-20.963708787991514</v>
      </c>
    </row>
    <row r="153" spans="1:20" x14ac:dyDescent="0.25">
      <c r="A153" s="5">
        <v>44440</v>
      </c>
      <c r="B153">
        <v>6.2489999999999997E-2</v>
      </c>
      <c r="C153">
        <v>6.5229999999999996E-2</v>
      </c>
      <c r="D153">
        <v>6.028E-2</v>
      </c>
      <c r="E153">
        <v>6.5199999999999994E-2</v>
      </c>
      <c r="F153">
        <v>17232835.5</v>
      </c>
      <c r="G153">
        <v>6.5199999999999994E-2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0.98787878787878691</v>
      </c>
      <c r="Q153">
        <f t="shared" ref="Q153" si="741">F153*P153</f>
        <v>17023952.64545453</v>
      </c>
      <c r="R153">
        <f t="shared" ref="R153" si="742">R154+Q153</f>
        <v>-2106991737.9991515</v>
      </c>
      <c r="S153">
        <f t="shared" ref="S153" si="743">R153/100000</f>
        <v>-21069.917379991515</v>
      </c>
      <c r="T153">
        <f t="shared" ref="T153" si="744">S153/1000</f>
        <v>-21.069917379991516</v>
      </c>
    </row>
    <row r="154" spans="1:20" x14ac:dyDescent="0.25">
      <c r="A154" s="5">
        <v>44439</v>
      </c>
      <c r="B154">
        <v>6.0850000000000001E-2</v>
      </c>
      <c r="C154">
        <v>6.2630000000000005E-2</v>
      </c>
      <c r="D154">
        <v>5.9470000000000002E-2</v>
      </c>
      <c r="E154">
        <v>6.2370000000000002E-2</v>
      </c>
      <c r="F154">
        <v>13085859</v>
      </c>
      <c r="G154">
        <v>6.2370000000000002E-2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0.83544303797468167</v>
      </c>
      <c r="Q154">
        <f t="shared" ref="Q154" si="746">F154*P154</f>
        <v>10932489.797468331</v>
      </c>
      <c r="R154">
        <f t="shared" ref="R154" si="747">R155+Q154</f>
        <v>-2124015690.6446061</v>
      </c>
      <c r="S154">
        <f t="shared" ref="S154" si="748">R154/100000</f>
        <v>-21240.15690644606</v>
      </c>
      <c r="T154">
        <f t="shared" ref="T154" si="749">S154/1000</f>
        <v>-21.24015690644606</v>
      </c>
    </row>
    <row r="155" spans="1:20" x14ac:dyDescent="0.25">
      <c r="A155" s="5">
        <v>44438</v>
      </c>
      <c r="B155">
        <v>6.2780000000000002E-2</v>
      </c>
      <c r="C155">
        <v>6.2780000000000002E-2</v>
      </c>
      <c r="D155">
        <v>6.0490000000000002E-2</v>
      </c>
      <c r="E155">
        <v>6.0859999999999997E-2</v>
      </c>
      <c r="F155">
        <v>18429207.600000001</v>
      </c>
      <c r="G155">
        <v>6.0859999999999997E-2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-0.67685589519651068</v>
      </c>
      <c r="Q155">
        <f t="shared" ref="Q155" si="751">F155*P155</f>
        <v>-12473917.807860339</v>
      </c>
      <c r="R155">
        <f t="shared" ref="R155" si="752">R156+Q155</f>
        <v>-2134948180.4420745</v>
      </c>
      <c r="S155">
        <f t="shared" ref="S155" si="753">R155/100000</f>
        <v>-21349.481804420746</v>
      </c>
      <c r="T155">
        <f t="shared" ref="T155" si="754">S155/1000</f>
        <v>-21.349481804420744</v>
      </c>
    </row>
    <row r="156" spans="1:20" x14ac:dyDescent="0.25">
      <c r="A156" s="5">
        <v>44437</v>
      </c>
      <c r="B156">
        <v>6.3899999999999998E-2</v>
      </c>
      <c r="C156">
        <v>6.4210000000000003E-2</v>
      </c>
      <c r="D156">
        <v>6.0900000000000003E-2</v>
      </c>
      <c r="E156">
        <v>6.2659999999999993E-2</v>
      </c>
      <c r="F156">
        <v>15747006</v>
      </c>
      <c r="G156">
        <v>6.2659999999999993E-2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6.3444108761323573E-2</v>
      </c>
      <c r="Q156">
        <f t="shared" ref="Q156" si="756">F156*P156</f>
        <v>999054.7613292149</v>
      </c>
      <c r="R156">
        <f t="shared" ref="R156" si="757">R157+Q156</f>
        <v>-2122474262.6342142</v>
      </c>
      <c r="S156">
        <f t="shared" ref="S156" si="758">R156/100000</f>
        <v>-21224.74262634214</v>
      </c>
      <c r="T156">
        <f t="shared" ref="T156" si="759">S156/1000</f>
        <v>-21.224742626342142</v>
      </c>
    </row>
    <row r="157" spans="1:20" x14ac:dyDescent="0.25">
      <c r="A157" s="5">
        <v>44436</v>
      </c>
      <c r="B157">
        <v>6.4420000000000005E-2</v>
      </c>
      <c r="C157">
        <v>6.4820000000000003E-2</v>
      </c>
      <c r="D157">
        <v>6.2100000000000002E-2</v>
      </c>
      <c r="E157">
        <v>6.3899999999999998E-2</v>
      </c>
      <c r="F157">
        <v>8945046.5</v>
      </c>
      <c r="G157">
        <v>6.3899999999999998E-2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0.3235294117647029</v>
      </c>
      <c r="Q157">
        <f t="shared" ref="Q157" si="761">F157*P157</f>
        <v>2893985.6323529147</v>
      </c>
      <c r="R157">
        <f t="shared" ref="R157" si="762">R158+Q157</f>
        <v>-2123473317.3955433</v>
      </c>
      <c r="S157">
        <f t="shared" ref="S157" si="763">R157/100000</f>
        <v>-21234.733173955432</v>
      </c>
      <c r="T157">
        <f t="shared" ref="T157" si="764">S157/1000</f>
        <v>-21.234733173955433</v>
      </c>
    </row>
    <row r="158" spans="1:20" x14ac:dyDescent="0.25">
      <c r="A158" s="5">
        <v>44435</v>
      </c>
      <c r="B158">
        <v>6.1429999999999998E-2</v>
      </c>
      <c r="C158">
        <v>6.4699999999999994E-2</v>
      </c>
      <c r="D158">
        <v>5.9360000000000003E-2</v>
      </c>
      <c r="E158">
        <v>6.4659999999999995E-2</v>
      </c>
      <c r="F158">
        <v>9255670.0999999996</v>
      </c>
      <c r="G158">
        <v>6.4659999999999995E-2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0.98501872659176093</v>
      </c>
      <c r="Q158">
        <f t="shared" ref="Q158" si="766">F158*P158</f>
        <v>9117008.3756554369</v>
      </c>
      <c r="R158">
        <f t="shared" ref="R158" si="767">R159+Q158</f>
        <v>-2126367303.0278962</v>
      </c>
      <c r="S158">
        <f t="shared" ref="S158" si="768">R158/100000</f>
        <v>-21263.673030278962</v>
      </c>
      <c r="T158">
        <f t="shared" ref="T158" si="769">S158/1000</f>
        <v>-21.263673030278962</v>
      </c>
    </row>
    <row r="159" spans="1:20" x14ac:dyDescent="0.25">
      <c r="A159" s="5">
        <v>44434</v>
      </c>
      <c r="B159">
        <v>6.5930000000000002E-2</v>
      </c>
      <c r="C159">
        <v>6.6119999999999998E-2</v>
      </c>
      <c r="D159">
        <v>5.9889999999999999E-2</v>
      </c>
      <c r="E159">
        <v>6.1740000000000003E-2</v>
      </c>
      <c r="F159">
        <v>12711731</v>
      </c>
      <c r="G159">
        <v>6.1740000000000003E-2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-0.40609951845906755</v>
      </c>
      <c r="Q159">
        <f t="shared" ref="Q159" si="771">F159*P159</f>
        <v>-5162227.8378812009</v>
      </c>
      <c r="R159">
        <f t="shared" ref="R159" si="772">R160+Q159</f>
        <v>-2135484311.4035516</v>
      </c>
      <c r="S159">
        <f t="shared" ref="S159" si="773">R159/100000</f>
        <v>-21354.843114035517</v>
      </c>
      <c r="T159">
        <f t="shared" ref="T159" si="774">S159/1000</f>
        <v>-21.354843114035518</v>
      </c>
    </row>
    <row r="160" spans="1:20" x14ac:dyDescent="0.25">
      <c r="A160" s="5">
        <v>44433</v>
      </c>
      <c r="B160">
        <v>6.3780000000000003E-2</v>
      </c>
      <c r="C160">
        <v>6.6110000000000002E-2</v>
      </c>
      <c r="D160">
        <v>6.0359999999999997E-2</v>
      </c>
      <c r="E160">
        <v>6.6059999999999994E-2</v>
      </c>
      <c r="F160">
        <v>19694004.199999999</v>
      </c>
      <c r="G160">
        <v>6.6059999999999994E-2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0.98260869565217102</v>
      </c>
      <c r="Q160">
        <f t="shared" ref="Q160" si="776">F160*P160</f>
        <v>19351499.779130377</v>
      </c>
      <c r="R160">
        <f t="shared" ref="R160" si="777">R161+Q160</f>
        <v>-2130322083.5656705</v>
      </c>
      <c r="S160">
        <f t="shared" ref="S160" si="778">R160/100000</f>
        <v>-21303.220835656706</v>
      </c>
      <c r="T160">
        <f t="shared" ref="T160" si="779">S160/1000</f>
        <v>-21.303220835656706</v>
      </c>
    </row>
    <row r="161" spans="1:20" x14ac:dyDescent="0.25">
      <c r="A161" s="5">
        <v>44432</v>
      </c>
      <c r="B161">
        <v>6.5549999999999997E-2</v>
      </c>
      <c r="C161">
        <v>7.213E-2</v>
      </c>
      <c r="D161">
        <v>6.2469999999999998E-2</v>
      </c>
      <c r="E161">
        <v>6.3759999999999997E-2</v>
      </c>
      <c r="F161">
        <v>52250020.100000001</v>
      </c>
      <c r="G161">
        <v>6.3759999999999997E-2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-0.73291925465838526</v>
      </c>
      <c r="Q161">
        <f t="shared" ref="Q161" si="781">F161*P161</f>
        <v>-38295045.787577651</v>
      </c>
      <c r="R161">
        <f t="shared" ref="R161" si="782">R162+Q161</f>
        <v>-2149673583.3448009</v>
      </c>
      <c r="S161">
        <f t="shared" ref="S161" si="783">R161/100000</f>
        <v>-21496.735833448009</v>
      </c>
      <c r="T161">
        <f t="shared" ref="T161" si="784">S161/1000</f>
        <v>-21.49673583344801</v>
      </c>
    </row>
    <row r="162" spans="1:20" x14ac:dyDescent="0.25">
      <c r="A162" s="5">
        <v>44431</v>
      </c>
      <c r="B162">
        <v>6.2489999999999997E-2</v>
      </c>
      <c r="C162">
        <v>6.8099999999999994E-2</v>
      </c>
      <c r="D162">
        <v>6.1760000000000002E-2</v>
      </c>
      <c r="E162">
        <v>6.5310000000000007E-2</v>
      </c>
      <c r="F162">
        <v>26600174.5</v>
      </c>
      <c r="G162">
        <v>6.5310000000000007E-2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0.11987381703470325</v>
      </c>
      <c r="Q162">
        <f t="shared" ref="Q162" si="786">F162*P162</f>
        <v>3188664.451104179</v>
      </c>
      <c r="R162">
        <f t="shared" ref="R162" si="787">R163+Q162</f>
        <v>-2111378537.5572231</v>
      </c>
      <c r="S162">
        <f t="shared" ref="S162" si="788">R162/100000</f>
        <v>-21113.785375572232</v>
      </c>
      <c r="T162">
        <f t="shared" ref="T162" si="789">S162/1000</f>
        <v>-21.113785375572231</v>
      </c>
    </row>
    <row r="163" spans="1:20" x14ac:dyDescent="0.25">
      <c r="A163" s="5">
        <v>44430</v>
      </c>
      <c r="B163">
        <v>6.3049999999999995E-2</v>
      </c>
      <c r="C163">
        <v>6.3200000000000006E-2</v>
      </c>
      <c r="D163">
        <v>6.2359999999999999E-2</v>
      </c>
      <c r="E163">
        <v>6.3100000000000003E-2</v>
      </c>
      <c r="F163">
        <v>3458522.9</v>
      </c>
      <c r="G163">
        <v>6.3100000000000003E-2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0.7619047619047572</v>
      </c>
      <c r="Q163">
        <f t="shared" ref="Q163" si="791">F163*P163</f>
        <v>2635065.0666666501</v>
      </c>
      <c r="R163">
        <f t="shared" ref="R163" si="792">R164+Q163</f>
        <v>-2114567202.0083272</v>
      </c>
      <c r="S163">
        <f t="shared" ref="S163" si="793">R163/100000</f>
        <v>-21145.672020083271</v>
      </c>
      <c r="T163">
        <f t="shared" ref="T163" si="794">S163/1000</f>
        <v>-21.145672020083271</v>
      </c>
    </row>
    <row r="164" spans="1:20" x14ac:dyDescent="0.25">
      <c r="A164" s="5">
        <v>44429</v>
      </c>
      <c r="B164">
        <v>6.4339999999999994E-2</v>
      </c>
      <c r="C164">
        <v>6.4500000000000002E-2</v>
      </c>
      <c r="D164">
        <v>6.2379999999999998E-2</v>
      </c>
      <c r="E164">
        <v>6.3049999999999995E-2</v>
      </c>
      <c r="F164">
        <v>30980106.399999999</v>
      </c>
      <c r="G164">
        <v>6.3049999999999995E-2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-0.36792452830189076</v>
      </c>
      <c r="Q164">
        <f t="shared" ref="Q164" si="796">F164*P164</f>
        <v>-11398341.033962386</v>
      </c>
      <c r="R164">
        <f t="shared" ref="R164" si="797">R165+Q164</f>
        <v>-2117202267.0749938</v>
      </c>
      <c r="S164">
        <f t="shared" ref="S164" si="798">R164/100000</f>
        <v>-21172.022670749939</v>
      </c>
      <c r="T164">
        <f t="shared" ref="T164" si="799">S164/1000</f>
        <v>-21.172022670749939</v>
      </c>
    </row>
    <row r="165" spans="1:20" x14ac:dyDescent="0.25">
      <c r="A165" s="5">
        <v>44428</v>
      </c>
      <c r="B165">
        <v>6.2810000000000005E-2</v>
      </c>
      <c r="C165">
        <v>6.4460000000000003E-2</v>
      </c>
      <c r="D165">
        <v>6.1559999999999997E-2</v>
      </c>
      <c r="E165">
        <v>6.4339999999999994E-2</v>
      </c>
      <c r="F165">
        <v>24958096.800000001</v>
      </c>
      <c r="G165">
        <v>6.4339999999999994E-2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0.91724137931033878</v>
      </c>
      <c r="Q165">
        <f t="shared" ref="Q165" si="801">F165*P165</f>
        <v>22892599.133792952</v>
      </c>
      <c r="R165">
        <f t="shared" ref="R165" si="802">R166+Q165</f>
        <v>-2105803926.0410314</v>
      </c>
      <c r="S165">
        <f t="shared" ref="S165" si="803">R165/100000</f>
        <v>-21058.039260410314</v>
      </c>
      <c r="T165">
        <f t="shared" ref="T165" si="804">S165/1000</f>
        <v>-21.058039260410315</v>
      </c>
    </row>
    <row r="166" spans="1:20" x14ac:dyDescent="0.25">
      <c r="A166" s="5">
        <v>44427</v>
      </c>
      <c r="B166">
        <v>6.087E-2</v>
      </c>
      <c r="C166">
        <v>6.3E-2</v>
      </c>
      <c r="D166">
        <v>5.8779999999999999E-2</v>
      </c>
      <c r="E166">
        <v>6.2909999999999994E-2</v>
      </c>
      <c r="F166">
        <v>20527923.399999999</v>
      </c>
      <c r="G166">
        <v>6.2909999999999994E-2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0.95734597156397783</v>
      </c>
      <c r="Q166">
        <f t="shared" ref="Q166" si="806">F166*P166</f>
        <v>19652324.771563914</v>
      </c>
      <c r="R166">
        <f t="shared" ref="R166" si="807">R167+Q166</f>
        <v>-2128696525.1748242</v>
      </c>
      <c r="S166">
        <f t="shared" ref="S166" si="808">R166/100000</f>
        <v>-21286.965251748243</v>
      </c>
      <c r="T166">
        <f t="shared" ref="T166" si="809">S166/1000</f>
        <v>-21.286965251748242</v>
      </c>
    </row>
    <row r="167" spans="1:20" x14ac:dyDescent="0.25">
      <c r="A167" s="5">
        <v>44426</v>
      </c>
      <c r="B167">
        <v>6.1519999999999998E-2</v>
      </c>
      <c r="C167">
        <v>6.2140000000000001E-2</v>
      </c>
      <c r="D167">
        <v>5.8119999999999998E-2</v>
      </c>
      <c r="E167">
        <v>6.089E-2</v>
      </c>
      <c r="F167">
        <v>25080227.199999999</v>
      </c>
      <c r="G167">
        <v>6.089E-2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0.3781094527363183</v>
      </c>
      <c r="Q167">
        <f t="shared" ref="Q167" si="811">F167*P167</f>
        <v>9483070.9810945243</v>
      </c>
      <c r="R167">
        <f t="shared" ref="R167" si="812">R168+Q167</f>
        <v>-2148348849.9463882</v>
      </c>
      <c r="S167">
        <f t="shared" ref="S167" si="813">R167/100000</f>
        <v>-21483.488499463881</v>
      </c>
      <c r="T167">
        <f t="shared" ref="T167" si="814">S167/1000</f>
        <v>-21.483488499463881</v>
      </c>
    </row>
    <row r="168" spans="1:20" x14ac:dyDescent="0.25">
      <c r="A168" s="5">
        <v>44425</v>
      </c>
      <c r="B168">
        <v>6.5000000000000002E-2</v>
      </c>
      <c r="C168">
        <v>6.515E-2</v>
      </c>
      <c r="D168">
        <v>6.1080000000000002E-2</v>
      </c>
      <c r="E168">
        <v>6.1400000000000003E-2</v>
      </c>
      <c r="F168">
        <v>35855978.799999997</v>
      </c>
      <c r="G168">
        <v>6.1400000000000003E-2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-0.84275184275184223</v>
      </c>
      <c r="Q168">
        <f t="shared" ref="Q168" si="816">F168*P168</f>
        <v>-30217692.207370985</v>
      </c>
      <c r="R168">
        <f t="shared" ref="R168" si="817">R169+Q168</f>
        <v>-2157831920.9274826</v>
      </c>
      <c r="S168">
        <f t="shared" ref="S168" si="818">R168/100000</f>
        <v>-21578.319209274825</v>
      </c>
      <c r="T168">
        <f t="shared" ref="T168" si="819">S168/1000</f>
        <v>-21.578319209274824</v>
      </c>
    </row>
    <row r="169" spans="1:20" x14ac:dyDescent="0.25">
      <c r="A169" s="5">
        <v>44424</v>
      </c>
      <c r="B169">
        <v>6.7430000000000004E-2</v>
      </c>
      <c r="C169">
        <v>6.8540000000000004E-2</v>
      </c>
      <c r="D169">
        <v>6.3839999999999994E-2</v>
      </c>
      <c r="E169">
        <v>6.5040000000000001E-2</v>
      </c>
      <c r="F169">
        <v>28889705.699999999</v>
      </c>
      <c r="G169">
        <v>6.5040000000000001E-2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-0.48936170212765784</v>
      </c>
      <c r="Q169">
        <f t="shared" ref="Q169" si="821">F169*P169</f>
        <v>-14137515.555319099</v>
      </c>
      <c r="R169">
        <f t="shared" ref="R169" si="822">R170+Q169</f>
        <v>-2127614228.7201116</v>
      </c>
      <c r="S169">
        <f t="shared" ref="S169" si="823">R169/100000</f>
        <v>-21276.142287201117</v>
      </c>
      <c r="T169">
        <f t="shared" ref="T169" si="824">S169/1000</f>
        <v>-21.276142287201118</v>
      </c>
    </row>
    <row r="170" spans="1:20" x14ac:dyDescent="0.25">
      <c r="A170" s="5">
        <v>44423</v>
      </c>
      <c r="B170">
        <v>6.9250000000000006E-2</v>
      </c>
      <c r="C170">
        <v>6.9290000000000004E-2</v>
      </c>
      <c r="D170">
        <v>6.5280000000000005E-2</v>
      </c>
      <c r="E170">
        <v>6.7320000000000005E-2</v>
      </c>
      <c r="F170">
        <v>36858613.799999997</v>
      </c>
      <c r="G170">
        <v>6.7320000000000005E-2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1.7456359102244544E-2</v>
      </c>
      <c r="Q170">
        <f t="shared" ref="Q170" si="826">F170*P170</f>
        <v>643417.1985037463</v>
      </c>
      <c r="R170">
        <f t="shared" ref="R170" si="827">R171+Q170</f>
        <v>-2113476713.1647925</v>
      </c>
      <c r="S170">
        <f t="shared" ref="S170" si="828">R170/100000</f>
        <v>-21134.767131647925</v>
      </c>
      <c r="T170">
        <f t="shared" ref="T170" si="829">S170/1000</f>
        <v>-21.134767131647923</v>
      </c>
    </row>
    <row r="171" spans="1:20" x14ac:dyDescent="0.25">
      <c r="A171" s="5">
        <v>44422</v>
      </c>
      <c r="B171">
        <v>7.1379999999999999E-2</v>
      </c>
      <c r="C171">
        <v>7.4459999999999998E-2</v>
      </c>
      <c r="D171">
        <v>6.6089999999999996E-2</v>
      </c>
      <c r="E171">
        <v>6.9180000000000005E-2</v>
      </c>
      <c r="F171">
        <v>50515266.600000001</v>
      </c>
      <c r="G171">
        <v>6.9180000000000005E-2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-0.26164874551971123</v>
      </c>
      <c r="Q171">
        <f t="shared" ref="Q171" si="831">F171*P171</f>
        <v>-13217256.13548377</v>
      </c>
      <c r="R171">
        <f t="shared" ref="R171" si="832">R172+Q171</f>
        <v>-2114120130.3632963</v>
      </c>
      <c r="S171">
        <f t="shared" ref="S171" si="833">R171/100000</f>
        <v>-21141.201303632963</v>
      </c>
      <c r="T171">
        <f t="shared" ref="T171" si="834">S171/1000</f>
        <v>-21.141201303632961</v>
      </c>
    </row>
    <row r="172" spans="1:20" x14ac:dyDescent="0.25">
      <c r="A172" s="5">
        <v>44421</v>
      </c>
      <c r="B172">
        <v>6.3079999999999997E-2</v>
      </c>
      <c r="C172">
        <v>7.3899999999999993E-2</v>
      </c>
      <c r="D172">
        <v>6.2939999999999996E-2</v>
      </c>
      <c r="E172">
        <v>7.1379999999999999E-2</v>
      </c>
      <c r="F172">
        <v>68194738.400000006</v>
      </c>
      <c r="G172">
        <v>7.1379999999999999E-2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0.54014598540146075</v>
      </c>
      <c r="Q172">
        <f t="shared" ref="Q172" si="836">F172*P172</f>
        <v>36835114.17226284</v>
      </c>
      <c r="R172">
        <f t="shared" ref="R172" si="837">R173+Q172</f>
        <v>-2100902874.2278125</v>
      </c>
      <c r="S172">
        <f t="shared" ref="S172" si="838">R172/100000</f>
        <v>-21009.028742278126</v>
      </c>
      <c r="T172">
        <f t="shared" ref="T172" si="839">S172/1000</f>
        <v>-21.009028742278126</v>
      </c>
    </row>
    <row r="173" spans="1:20" x14ac:dyDescent="0.25">
      <c r="A173" s="5">
        <v>44420</v>
      </c>
      <c r="B173">
        <v>5.919E-2</v>
      </c>
      <c r="C173">
        <v>7.4200000000000002E-2</v>
      </c>
      <c r="D173">
        <v>5.9130000000000002E-2</v>
      </c>
      <c r="E173">
        <v>6.3060000000000005E-2</v>
      </c>
      <c r="F173">
        <v>160766566.40000001</v>
      </c>
      <c r="G173">
        <v>6.3060000000000005E-2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-0.47843397478433936</v>
      </c>
      <c r="Q173">
        <f t="shared" ref="Q173" si="841">F173*P173</f>
        <v>-76916187.37518242</v>
      </c>
      <c r="R173">
        <f t="shared" ref="R173" si="842">R174+Q173</f>
        <v>-2137737988.4000754</v>
      </c>
      <c r="S173">
        <f t="shared" ref="S173" si="843">R173/100000</f>
        <v>-21377.379884000755</v>
      </c>
      <c r="T173">
        <f t="shared" ref="T173" si="844">S173/1000</f>
        <v>-21.377379884000757</v>
      </c>
    </row>
    <row r="174" spans="1:20" x14ac:dyDescent="0.25">
      <c r="A174" s="5">
        <v>44419</v>
      </c>
      <c r="B174">
        <v>5.9499999999999997E-2</v>
      </c>
      <c r="C174">
        <v>6.2399999999999997E-2</v>
      </c>
      <c r="D174">
        <v>5.781E-2</v>
      </c>
      <c r="E174">
        <v>5.9200000000000003E-2</v>
      </c>
      <c r="F174">
        <v>131918721.40000001</v>
      </c>
      <c r="G174">
        <v>5.9200000000000003E-2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-0.39433551198256939</v>
      </c>
      <c r="Q174">
        <f t="shared" ref="Q174" si="846">F174*P174</f>
        <v>-52020236.543354936</v>
      </c>
      <c r="R174">
        <f t="shared" ref="R174" si="847">R175+Q174</f>
        <v>-2060821801.024893</v>
      </c>
      <c r="S174">
        <f t="shared" ref="S174" si="848">R174/100000</f>
        <v>-20608.218010248929</v>
      </c>
      <c r="T174">
        <f t="shared" ref="T174" si="849">S174/1000</f>
        <v>-20.60821801024893</v>
      </c>
    </row>
    <row r="175" spans="1:20" x14ac:dyDescent="0.25">
      <c r="A175" s="5">
        <v>44418</v>
      </c>
      <c r="B175">
        <v>5.7320000000000003E-2</v>
      </c>
      <c r="C175">
        <v>6.3E-2</v>
      </c>
      <c r="D175">
        <v>5.7320000000000003E-2</v>
      </c>
      <c r="E175">
        <v>5.9400000000000001E-2</v>
      </c>
      <c r="F175">
        <v>59210914.200000003</v>
      </c>
      <c r="G175">
        <v>5.9400000000000001E-2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-0.2676056338028171</v>
      </c>
      <c r="Q175">
        <f t="shared" ref="Q175" si="851">F175*P175</f>
        <v>-15845174.222535225</v>
      </c>
      <c r="R175">
        <f t="shared" ref="R175" si="852">R176+Q175</f>
        <v>-2008801564.4815381</v>
      </c>
      <c r="S175">
        <f t="shared" ref="S175" si="853">R175/100000</f>
        <v>-20088.015644815379</v>
      </c>
      <c r="T175">
        <f t="shared" ref="T175" si="854">S175/1000</f>
        <v>-20.088015644815378</v>
      </c>
    </row>
    <row r="176" spans="1:20" x14ac:dyDescent="0.25">
      <c r="A176" s="5">
        <v>44417</v>
      </c>
      <c r="B176">
        <v>5.4780000000000002E-2</v>
      </c>
      <c r="C176">
        <v>6.3299999999999995E-2</v>
      </c>
      <c r="D176">
        <v>5.4579999999999997E-2</v>
      </c>
      <c r="E176">
        <v>5.7320000000000003E-2</v>
      </c>
      <c r="F176">
        <v>89944255.200000003</v>
      </c>
      <c r="G176">
        <v>5.7320000000000003E-2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-0.37155963302752137</v>
      </c>
      <c r="Q176">
        <f t="shared" ref="Q176" si="856">F176*P176</f>
        <v>-33419654.455045734</v>
      </c>
      <c r="R176">
        <f t="shared" ref="R176" si="857">R177+Q176</f>
        <v>-1992956390.2590029</v>
      </c>
      <c r="S176">
        <f t="shared" ref="S176" si="858">R176/100000</f>
        <v>-19929.563902590031</v>
      </c>
      <c r="T176">
        <f t="shared" ref="T176" si="859">S176/1000</f>
        <v>-19.929563902590029</v>
      </c>
    </row>
    <row r="177" spans="1:20" x14ac:dyDescent="0.25">
      <c r="A177" s="5">
        <v>44416</v>
      </c>
      <c r="B177">
        <v>5.6250000000000001E-2</v>
      </c>
      <c r="C177">
        <v>6.1490000000000003E-2</v>
      </c>
      <c r="D177">
        <v>5.4429999999999999E-2</v>
      </c>
      <c r="E177">
        <v>5.491E-2</v>
      </c>
      <c r="F177">
        <v>33957246.200000003</v>
      </c>
      <c r="G177">
        <v>5.491E-2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-0.86402266288951812</v>
      </c>
      <c r="Q177">
        <f t="shared" ref="Q177" si="861">F177*P177</f>
        <v>-29339830.286118973</v>
      </c>
      <c r="R177">
        <f t="shared" ref="R177" si="862">R178+Q177</f>
        <v>-1959536735.8039572</v>
      </c>
      <c r="S177">
        <f t="shared" ref="S177" si="863">R177/100000</f>
        <v>-19595.367358039573</v>
      </c>
      <c r="T177">
        <f t="shared" ref="T177" si="864">S177/1000</f>
        <v>-19.595367358039574</v>
      </c>
    </row>
    <row r="178" spans="1:20" x14ac:dyDescent="0.25">
      <c r="A178" s="5">
        <v>44415</v>
      </c>
      <c r="B178">
        <v>5.561E-2</v>
      </c>
      <c r="C178">
        <v>5.74E-2</v>
      </c>
      <c r="D178">
        <v>5.4399999999999997E-2</v>
      </c>
      <c r="E178">
        <v>5.6250000000000001E-2</v>
      </c>
      <c r="F178">
        <v>23575324.899999999</v>
      </c>
      <c r="G178">
        <v>5.6250000000000001E-2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0.2333333333333352</v>
      </c>
      <c r="Q178">
        <f t="shared" ref="Q178" si="866">F178*P178</f>
        <v>5500909.1433333773</v>
      </c>
      <c r="R178">
        <f t="shared" ref="R178" si="867">R179+Q178</f>
        <v>-1930196905.5178382</v>
      </c>
      <c r="S178">
        <f t="shared" ref="S178" si="868">R178/100000</f>
        <v>-19301.969055178382</v>
      </c>
      <c r="T178">
        <f t="shared" ref="T178" si="869">S178/1000</f>
        <v>-19.301969055178382</v>
      </c>
    </row>
    <row r="179" spans="1:20" x14ac:dyDescent="0.25">
      <c r="A179" s="5">
        <v>44414</v>
      </c>
      <c r="B179">
        <v>5.2929999999999998E-2</v>
      </c>
      <c r="C179">
        <v>5.7970000000000001E-2</v>
      </c>
      <c r="D179">
        <v>5.2449999999999997E-2</v>
      </c>
      <c r="E179">
        <v>5.5629999999999999E-2</v>
      </c>
      <c r="F179">
        <v>33792956</v>
      </c>
      <c r="G179">
        <v>5.5629999999999999E-2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0.15217391304347824</v>
      </c>
      <c r="Q179">
        <f t="shared" ref="Q179" si="871">F179*P179</f>
        <v>5142406.347826086</v>
      </c>
      <c r="R179">
        <f t="shared" ref="R179" si="872">R180+Q179</f>
        <v>-1935697814.6611717</v>
      </c>
      <c r="S179">
        <f t="shared" ref="S179" si="873">R179/100000</f>
        <v>-19356.978146611717</v>
      </c>
      <c r="T179">
        <f t="shared" ref="T179" si="874">S179/1000</f>
        <v>-19.356978146611716</v>
      </c>
    </row>
    <row r="180" spans="1:20" x14ac:dyDescent="0.25">
      <c r="A180" s="5">
        <v>44413</v>
      </c>
      <c r="B180">
        <v>5.1400000000000001E-2</v>
      </c>
      <c r="C180">
        <v>5.4899999999999997E-2</v>
      </c>
      <c r="D180">
        <v>5.0430000000000003E-2</v>
      </c>
      <c r="E180">
        <v>5.2810000000000003E-2</v>
      </c>
      <c r="F180">
        <v>44685525.700000003</v>
      </c>
      <c r="G180">
        <v>5.2810000000000003E-2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6.4876957494408471E-2</v>
      </c>
      <c r="Q180">
        <f t="shared" ref="Q180" si="876">F180*P180</f>
        <v>2899060.9514541975</v>
      </c>
      <c r="R180">
        <f t="shared" ref="R180" si="877">R181+Q180</f>
        <v>-1940840221.0089977</v>
      </c>
      <c r="S180">
        <f t="shared" ref="S180" si="878">R180/100000</f>
        <v>-19408.402210089978</v>
      </c>
      <c r="T180">
        <f t="shared" ref="T180" si="879">S180/1000</f>
        <v>-19.408402210089978</v>
      </c>
    </row>
    <row r="181" spans="1:20" x14ac:dyDescent="0.25">
      <c r="A181" s="5">
        <v>44412</v>
      </c>
      <c r="B181">
        <v>5.0599999999999999E-2</v>
      </c>
      <c r="C181">
        <v>5.1839999999999997E-2</v>
      </c>
      <c r="D181">
        <v>4.8730000000000002E-2</v>
      </c>
      <c r="E181">
        <v>5.1400000000000001E-2</v>
      </c>
      <c r="F181">
        <v>11974455.199999999</v>
      </c>
      <c r="G181">
        <v>5.1400000000000001E-2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0.71704180064308898</v>
      </c>
      <c r="Q181">
        <f t="shared" ref="Q181" si="881">F181*P181</f>
        <v>8586184.9183280002</v>
      </c>
      <c r="R181">
        <f t="shared" ref="R181" si="882">R182+Q181</f>
        <v>-1943739281.9604518</v>
      </c>
      <c r="S181">
        <f t="shared" ref="S181" si="883">R181/100000</f>
        <v>-19437.39281960452</v>
      </c>
      <c r="T181">
        <f t="shared" ref="T181" si="884">S181/1000</f>
        <v>-19.437392819604518</v>
      </c>
    </row>
    <row r="182" spans="1:20" x14ac:dyDescent="0.25">
      <c r="A182" s="5">
        <v>44411</v>
      </c>
      <c r="B182">
        <v>4.9880000000000001E-2</v>
      </c>
      <c r="C182">
        <v>5.2040000000000003E-2</v>
      </c>
      <c r="D182">
        <v>4.8230000000000002E-2</v>
      </c>
      <c r="E182">
        <v>5.0599999999999999E-2</v>
      </c>
      <c r="F182">
        <v>17726025.5</v>
      </c>
      <c r="G182">
        <v>5.0599999999999999E-2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0.24409448818897458</v>
      </c>
      <c r="Q182">
        <f t="shared" ref="Q182" si="886">F182*P182</f>
        <v>4326825.122047212</v>
      </c>
      <c r="R182">
        <f t="shared" ref="R182" si="887">R183+Q182</f>
        <v>-1952325466.8787799</v>
      </c>
      <c r="S182">
        <f t="shared" ref="S182" si="888">R182/100000</f>
        <v>-19523.254668787798</v>
      </c>
      <c r="T182">
        <f t="shared" ref="T182" si="889">S182/1000</f>
        <v>-19.5232546687878</v>
      </c>
    </row>
    <row r="183" spans="1:20" x14ac:dyDescent="0.25">
      <c r="A183" s="5">
        <v>44410</v>
      </c>
      <c r="B183">
        <v>5.04E-2</v>
      </c>
      <c r="C183">
        <v>5.0410000000000003E-2</v>
      </c>
      <c r="D183">
        <v>4.8059999999999999E-2</v>
      </c>
      <c r="E183">
        <v>4.9979999999999997E-2</v>
      </c>
      <c r="F183">
        <v>14112652.800000001</v>
      </c>
      <c r="G183">
        <v>4.9979999999999997E-2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0.63404255319148439</v>
      </c>
      <c r="Q183">
        <f t="shared" ref="Q183" si="891">F183*P183</f>
        <v>8948022.4136169516</v>
      </c>
      <c r="R183">
        <f t="shared" ref="R183" si="892">R184+Q183</f>
        <v>-1956652292.0008271</v>
      </c>
      <c r="S183">
        <f t="shared" ref="S183" si="893">R183/100000</f>
        <v>-19566.522920008272</v>
      </c>
      <c r="T183">
        <f t="shared" ref="T183" si="894">S183/1000</f>
        <v>-19.566522920008271</v>
      </c>
    </row>
    <row r="184" spans="1:20" x14ac:dyDescent="0.25">
      <c r="A184" s="5">
        <v>44409</v>
      </c>
      <c r="B184">
        <v>5.1889999999999999E-2</v>
      </c>
      <c r="C184">
        <v>5.45E-2</v>
      </c>
      <c r="D184">
        <v>5.0139999999999997E-2</v>
      </c>
      <c r="E184">
        <v>5.049E-2</v>
      </c>
      <c r="F184">
        <v>23124701.300000001</v>
      </c>
      <c r="G184">
        <v>5.049E-2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-0.8394495412844023</v>
      </c>
      <c r="Q184">
        <f t="shared" ref="Q184" si="896">F184*P184</f>
        <v>-19412019.89862382</v>
      </c>
      <c r="R184">
        <f t="shared" ref="R184" si="897">R185+Q184</f>
        <v>-1965600314.414444</v>
      </c>
      <c r="S184">
        <f t="shared" ref="S184" si="898">R184/100000</f>
        <v>-19656.003144144441</v>
      </c>
      <c r="T184">
        <f t="shared" ref="T184" si="899">S184/1000</f>
        <v>-19.656003144144442</v>
      </c>
    </row>
    <row r="185" spans="1:20" x14ac:dyDescent="0.25">
      <c r="A185" s="5">
        <v>44408</v>
      </c>
      <c r="B185">
        <v>5.1290000000000002E-2</v>
      </c>
      <c r="C185">
        <v>5.2170000000000001E-2</v>
      </c>
      <c r="D185">
        <v>4.9669999999999999E-2</v>
      </c>
      <c r="E185">
        <v>5.1950000000000003E-2</v>
      </c>
      <c r="F185">
        <v>16911684.199999999</v>
      </c>
      <c r="G185">
        <v>5.1950000000000003E-2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0.82400000000000173</v>
      </c>
      <c r="Q185">
        <f t="shared" ref="Q185" si="901">F185*P185</f>
        <v>13935227.780800028</v>
      </c>
      <c r="R185">
        <f t="shared" ref="R185" si="902">R186+Q185</f>
        <v>-1946188294.5158203</v>
      </c>
      <c r="S185">
        <f t="shared" ref="S185" si="903">R185/100000</f>
        <v>-19461.882945158202</v>
      </c>
      <c r="T185">
        <f t="shared" ref="T185" si="904">S185/1000</f>
        <v>-19.461882945158202</v>
      </c>
    </row>
    <row r="186" spans="1:20" x14ac:dyDescent="0.25">
      <c r="A186" s="5">
        <v>44407</v>
      </c>
      <c r="B186">
        <v>5.0840000000000003E-2</v>
      </c>
      <c r="C186">
        <v>5.3440000000000001E-2</v>
      </c>
      <c r="D186">
        <v>4.7620000000000003E-2</v>
      </c>
      <c r="E186">
        <v>5.1200000000000002E-2</v>
      </c>
      <c r="F186">
        <v>48379923.600000001</v>
      </c>
      <c r="G186">
        <v>5.1200000000000002E-2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0.2302405498281789</v>
      </c>
      <c r="Q186">
        <f t="shared" ref="Q186" si="906">F186*P186</f>
        <v>11139020.210309289</v>
      </c>
      <c r="R186">
        <f t="shared" ref="R186" si="907">R187+Q186</f>
        <v>-1960123522.2966204</v>
      </c>
      <c r="S186">
        <f t="shared" ref="S186" si="908">R186/100000</f>
        <v>-19601.235222966203</v>
      </c>
      <c r="T186">
        <f t="shared" ref="T186" si="909">S186/1000</f>
        <v>-19.601235222966203</v>
      </c>
    </row>
    <row r="187" spans="1:20" x14ac:dyDescent="0.25">
      <c r="A187" s="5">
        <v>44406</v>
      </c>
      <c r="B187">
        <v>4.5870000000000001E-2</v>
      </c>
      <c r="C187">
        <v>5.8939999999999999E-2</v>
      </c>
      <c r="D187">
        <v>4.5010000000000001E-2</v>
      </c>
      <c r="E187">
        <v>5.0869999999999999E-2</v>
      </c>
      <c r="F187">
        <v>275169057.19999999</v>
      </c>
      <c r="G187">
        <v>5.0869999999999999E-2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-0.15865039483129964</v>
      </c>
      <c r="Q187">
        <f t="shared" ref="Q187" si="911">F187*P187</f>
        <v>-43655679.570136473</v>
      </c>
      <c r="R187">
        <f t="shared" ref="R187" si="912">R188+Q187</f>
        <v>-1971262542.5069296</v>
      </c>
      <c r="S187">
        <f t="shared" ref="S187" si="913">R187/100000</f>
        <v>-19712.625425069295</v>
      </c>
      <c r="T187">
        <f t="shared" ref="T187" si="914">S187/1000</f>
        <v>-19.712625425069294</v>
      </c>
    </row>
    <row r="188" spans="1:20" x14ac:dyDescent="0.25">
      <c r="A188" s="5">
        <v>44405</v>
      </c>
      <c r="B188">
        <v>4.5949999999999998E-2</v>
      </c>
      <c r="C188">
        <v>4.598E-2</v>
      </c>
      <c r="D188">
        <v>4.4049999999999999E-2</v>
      </c>
      <c r="E188">
        <v>4.5940000000000002E-2</v>
      </c>
      <c r="F188">
        <v>18179858.300000001</v>
      </c>
      <c r="G188">
        <v>4.5940000000000002E-2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0.9585492227979292</v>
      </c>
      <c r="Q188">
        <f t="shared" ref="Q188" si="916">F188*P188</f>
        <v>17426289.044041485</v>
      </c>
      <c r="R188">
        <f t="shared" ref="R188" si="917">R189+Q188</f>
        <v>-1927606862.9367931</v>
      </c>
      <c r="S188">
        <f t="shared" ref="S188" si="918">R188/100000</f>
        <v>-19276.068629367932</v>
      </c>
      <c r="T188">
        <f t="shared" ref="T188" si="919">S188/1000</f>
        <v>-19.276068629367931</v>
      </c>
    </row>
    <row r="189" spans="1:20" x14ac:dyDescent="0.25">
      <c r="A189" s="5">
        <v>44404</v>
      </c>
      <c r="B189">
        <v>4.4589999999999998E-2</v>
      </c>
      <c r="C189">
        <v>4.8989999999999999E-2</v>
      </c>
      <c r="D189">
        <v>4.3139999999999998E-2</v>
      </c>
      <c r="E189">
        <v>4.5940000000000002E-2</v>
      </c>
      <c r="F189">
        <v>45452206.899999999</v>
      </c>
      <c r="G189">
        <v>4.5940000000000002E-2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-4.2735042735041577E-2</v>
      </c>
      <c r="Q189">
        <f t="shared" ref="Q189" si="921">F189*P189</f>
        <v>-1942402.0042734516</v>
      </c>
      <c r="R189">
        <f t="shared" ref="R189" si="922">R190+Q189</f>
        <v>-1945033151.9808345</v>
      </c>
      <c r="S189">
        <f t="shared" ref="S189" si="923">R189/100000</f>
        <v>-19450.331519808344</v>
      </c>
      <c r="T189">
        <f t="shared" ref="T189" si="924">S189/1000</f>
        <v>-19.450331519808344</v>
      </c>
    </row>
    <row r="190" spans="1:20" x14ac:dyDescent="0.25">
      <c r="A190" s="5">
        <v>44403</v>
      </c>
      <c r="B190">
        <v>4.3779999999999999E-2</v>
      </c>
      <c r="C190">
        <v>4.709E-2</v>
      </c>
      <c r="D190">
        <v>4.258E-2</v>
      </c>
      <c r="E190">
        <v>4.4479999999999999E-2</v>
      </c>
      <c r="F190">
        <v>38335963.100000001</v>
      </c>
      <c r="G190">
        <v>4.4479999999999999E-2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-0.1574279379157433</v>
      </c>
      <c r="Q190">
        <f t="shared" ref="Q190" si="926">F190*P190</f>
        <v>-6035151.6188470265</v>
      </c>
      <c r="R190">
        <f t="shared" ref="R190" si="927">R191+Q190</f>
        <v>-1943090749.9765611</v>
      </c>
      <c r="S190">
        <f t="shared" ref="S190" si="928">R190/100000</f>
        <v>-19430.90749976561</v>
      </c>
      <c r="T190">
        <f t="shared" ref="T190" si="929">S190/1000</f>
        <v>-19.43090749976561</v>
      </c>
    </row>
    <row r="191" spans="1:20" x14ac:dyDescent="0.25">
      <c r="A191" s="5">
        <v>44402</v>
      </c>
      <c r="B191">
        <v>4.1279999999999997E-2</v>
      </c>
      <c r="C191">
        <v>4.3779999999999999E-2</v>
      </c>
      <c r="D191">
        <v>4.0620000000000003E-2</v>
      </c>
      <c r="E191">
        <v>4.3779999999999999E-2</v>
      </c>
      <c r="F191">
        <v>25107014.300000001</v>
      </c>
      <c r="G191">
        <v>4.3779999999999999E-2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1</v>
      </c>
      <c r="Q191">
        <f t="shared" ref="Q191" si="931">F191*P191</f>
        <v>25107014.300000001</v>
      </c>
      <c r="R191">
        <f t="shared" ref="R191" si="932">R192+Q191</f>
        <v>-1937055598.3577139</v>
      </c>
      <c r="S191">
        <f t="shared" ref="S191" si="933">R191/100000</f>
        <v>-19370.555983577138</v>
      </c>
      <c r="T191">
        <f t="shared" ref="T191:T197" si="934">S191/1000</f>
        <v>-19.370555983577137</v>
      </c>
    </row>
    <row r="192" spans="1:20" x14ac:dyDescent="0.25">
      <c r="A192" s="5">
        <v>44401</v>
      </c>
      <c r="B192">
        <v>4.0759999999999998E-2</v>
      </c>
      <c r="C192">
        <v>4.1779999999999998E-2</v>
      </c>
      <c r="D192">
        <v>3.9480000000000001E-2</v>
      </c>
      <c r="E192">
        <v>4.1230000000000003E-2</v>
      </c>
      <c r="F192">
        <v>15823270.5</v>
      </c>
      <c r="G192">
        <v>4.1230000000000003E-2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0.52173913043478626</v>
      </c>
      <c r="Q192">
        <f t="shared" ref="Q192" si="936">F192*P192</f>
        <v>8255619.3913044054</v>
      </c>
      <c r="R192">
        <f t="shared" ref="R192" si="937">R193+Q192</f>
        <v>-1962162612.6577139</v>
      </c>
      <c r="S192">
        <f t="shared" ref="S192" si="938">R192/100000</f>
        <v>-19621.626126577139</v>
      </c>
      <c r="T192">
        <f t="shared" si="934"/>
        <v>-19.621626126577141</v>
      </c>
    </row>
    <row r="193" spans="1:20" x14ac:dyDescent="0.25">
      <c r="A193" s="5">
        <v>44400</v>
      </c>
      <c r="B193">
        <v>3.9789999999999999E-2</v>
      </c>
      <c r="C193">
        <v>4.1410000000000002E-2</v>
      </c>
      <c r="D193">
        <v>3.8330000000000003E-2</v>
      </c>
      <c r="E193">
        <v>4.0809999999999999E-2</v>
      </c>
      <c r="F193">
        <v>12922452.199999999</v>
      </c>
      <c r="G193">
        <v>4.0809999999999999E-2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0.61038961038960815</v>
      </c>
      <c r="Q193">
        <f t="shared" ref="Q193" si="940">F193*P193</f>
        <v>7887730.5636363346</v>
      </c>
      <c r="R193">
        <f t="shared" ref="R193" si="941">R194+Q193</f>
        <v>-1970418232.0490184</v>
      </c>
      <c r="S193">
        <f t="shared" ref="S193" si="942">R193/100000</f>
        <v>-19704.182320490185</v>
      </c>
      <c r="T193">
        <f t="shared" si="934"/>
        <v>-19.704182320490183</v>
      </c>
    </row>
    <row r="194" spans="1:20" x14ac:dyDescent="0.25">
      <c r="A194" s="5">
        <v>44399</v>
      </c>
      <c r="B194">
        <v>3.8550000000000001E-2</v>
      </c>
      <c r="C194">
        <v>3.9980000000000002E-2</v>
      </c>
      <c r="D194">
        <v>3.7319999999999999E-2</v>
      </c>
      <c r="E194">
        <v>3.9699999999999999E-2</v>
      </c>
      <c r="F194">
        <v>11123070.5</v>
      </c>
      <c r="G194">
        <v>3.9699999999999999E-2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0.78947368421052466</v>
      </c>
      <c r="Q194">
        <f t="shared" ref="Q194" si="944">F194*P194</f>
        <v>8781371.447368402</v>
      </c>
      <c r="R194">
        <f t="shared" ref="R194" si="945">R195+Q194</f>
        <v>-1978305962.6126547</v>
      </c>
      <c r="S194">
        <f t="shared" ref="S194" si="946">R194/100000</f>
        <v>-19783.059626126545</v>
      </c>
      <c r="T194">
        <f t="shared" si="934"/>
        <v>-19.783059626126544</v>
      </c>
    </row>
    <row r="195" spans="1:20" x14ac:dyDescent="0.25">
      <c r="A195" s="5">
        <v>44398</v>
      </c>
      <c r="B195">
        <v>3.5639999999999998E-2</v>
      </c>
      <c r="C195">
        <v>3.8780000000000002E-2</v>
      </c>
      <c r="D195">
        <v>3.3419999999999998E-2</v>
      </c>
      <c r="E195">
        <v>3.8550000000000001E-2</v>
      </c>
      <c r="F195">
        <v>29769322.100000001</v>
      </c>
      <c r="G195">
        <v>3.8550000000000001E-2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0.91417910447761164</v>
      </c>
      <c r="Q195">
        <f t="shared" ref="Q195" si="948">F195*P195</f>
        <v>27214492.218283575</v>
      </c>
      <c r="R195">
        <f t="shared" ref="R195" si="949">R196+Q195</f>
        <v>-1987087334.0600231</v>
      </c>
      <c r="S195">
        <f t="shared" ref="S195" si="950">R195/100000</f>
        <v>-19870.873340600232</v>
      </c>
      <c r="T195">
        <f t="shared" si="934"/>
        <v>-19.870873340600234</v>
      </c>
    </row>
    <row r="196" spans="1:20" x14ac:dyDescent="0.25">
      <c r="A196" s="5">
        <v>44397</v>
      </c>
      <c r="B196">
        <v>3.7589999999999998E-2</v>
      </c>
      <c r="C196">
        <v>3.7589999999999998E-2</v>
      </c>
      <c r="D196">
        <v>3.286E-2</v>
      </c>
      <c r="E196">
        <v>3.5549999999999998E-2</v>
      </c>
      <c r="F196">
        <v>22683566.699999999</v>
      </c>
      <c r="G196">
        <v>3.5549999999999998E-2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0.13742071881606724</v>
      </c>
      <c r="Q196">
        <f t="shared" ref="Q196" si="952">F196*P196</f>
        <v>3117192.0412262063</v>
      </c>
      <c r="R196">
        <f t="shared" ref="R196" si="953">R197+Q196</f>
        <v>-2014301826.2783067</v>
      </c>
      <c r="S196">
        <f t="shared" ref="S196" si="954">R196/100000</f>
        <v>-20143.018262783065</v>
      </c>
      <c r="T196">
        <f t="shared" si="934"/>
        <v>-20.143018262783066</v>
      </c>
    </row>
    <row r="197" spans="1:20" x14ac:dyDescent="0.25">
      <c r="A197" s="5">
        <v>44396</v>
      </c>
      <c r="B197">
        <v>4.0189999999999997E-2</v>
      </c>
      <c r="C197">
        <v>4.0969999999999999E-2</v>
      </c>
      <c r="D197">
        <v>3.6249999999999998E-2</v>
      </c>
      <c r="E197">
        <v>3.7589999999999998E-2</v>
      </c>
      <c r="F197">
        <v>14037853.300000001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-0.43220338983050832</v>
      </c>
      <c r="Q197">
        <f t="shared" ref="Q197" si="956">F197*P197</f>
        <v>-6067207.7822033884</v>
      </c>
      <c r="R197">
        <f t="shared" ref="R197" si="957">R198+Q197</f>
        <v>-2017419018.3195329</v>
      </c>
      <c r="S197">
        <f t="shared" ref="S197" si="958">R197/100000</f>
        <v>-20174.190183195329</v>
      </c>
      <c r="T197">
        <f t="shared" si="934"/>
        <v>-20.174190183195329</v>
      </c>
    </row>
    <row r="198" spans="1:20" x14ac:dyDescent="0.25">
      <c r="A198" s="5">
        <v>44395</v>
      </c>
      <c r="B198">
        <v>4.0640000000000003E-2</v>
      </c>
      <c r="C198">
        <v>4.1799999999999997E-2</v>
      </c>
      <c r="D198">
        <v>3.943E-2</v>
      </c>
      <c r="E198">
        <v>4.0189999999999997E-2</v>
      </c>
      <c r="F198">
        <v>13162936.300000001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-0.35864978902953781</v>
      </c>
      <c r="Q198">
        <f t="shared" ref="Q198:Q261" si="960">F198*P198</f>
        <v>-4720884.3270042455</v>
      </c>
      <c r="R198">
        <f t="shared" ref="R198:R261" si="961">R199+Q198</f>
        <v>-2011351810.5373294</v>
      </c>
      <c r="S198">
        <f t="shared" ref="S198:S261" si="962">R198/100000</f>
        <v>-20113.518105373296</v>
      </c>
      <c r="T198">
        <f t="shared" ref="T198:T261" si="963">S198/1000</f>
        <v>-20.113518105373295</v>
      </c>
    </row>
    <row r="199" spans="1:20" x14ac:dyDescent="0.25">
      <c r="A199" s="5">
        <v>44394</v>
      </c>
      <c r="B199">
        <v>4.018E-2</v>
      </c>
      <c r="C199">
        <v>4.8989999999999999E-2</v>
      </c>
      <c r="D199">
        <v>3.943E-2</v>
      </c>
      <c r="E199">
        <v>4.0669999999999998E-2</v>
      </c>
      <c r="F199">
        <v>37280036.100000001</v>
      </c>
      <c r="G199">
        <v>0</v>
      </c>
      <c r="L199" t="s">
        <v>8</v>
      </c>
      <c r="M199" t="s">
        <v>8</v>
      </c>
      <c r="N199" t="s">
        <v>7</v>
      </c>
      <c r="P199">
        <f t="shared" si="959"/>
        <v>-0.74058577405857784</v>
      </c>
      <c r="Q199">
        <f t="shared" si="960"/>
        <v>-27609064.392050225</v>
      </c>
      <c r="R199">
        <f t="shared" si="961"/>
        <v>-2006630926.2103252</v>
      </c>
      <c r="S199">
        <f t="shared" si="962"/>
        <v>-20066.309262103252</v>
      </c>
      <c r="T199">
        <f t="shared" si="963"/>
        <v>-20.066309262103253</v>
      </c>
    </row>
    <row r="200" spans="1:20" x14ac:dyDescent="0.25">
      <c r="A200" s="5">
        <v>44393</v>
      </c>
      <c r="B200">
        <v>4.3049999999999998E-2</v>
      </c>
      <c r="C200">
        <v>4.3099999999999999E-2</v>
      </c>
      <c r="D200">
        <v>3.8519999999999999E-2</v>
      </c>
      <c r="E200">
        <v>4.036E-2</v>
      </c>
      <c r="F200">
        <v>17022280.899999999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-0.19650655021834015</v>
      </c>
      <c r="Q200">
        <f t="shared" si="960"/>
        <v>-3344989.6965065422</v>
      </c>
      <c r="R200">
        <f t="shared" si="961"/>
        <v>-1979021861.818275</v>
      </c>
      <c r="S200">
        <f t="shared" si="962"/>
        <v>-19790.218618182749</v>
      </c>
      <c r="T200">
        <f t="shared" si="963"/>
        <v>-19.790218618182749</v>
      </c>
    </row>
    <row r="201" spans="1:20" x14ac:dyDescent="0.25">
      <c r="A201" s="5">
        <v>44392</v>
      </c>
      <c r="B201">
        <v>4.5229999999999999E-2</v>
      </c>
      <c r="C201">
        <v>4.5249999999999999E-2</v>
      </c>
      <c r="D201">
        <v>4.2119999999999998E-2</v>
      </c>
      <c r="E201">
        <v>4.3200000000000002E-2</v>
      </c>
      <c r="F201">
        <v>20054167.199999999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-0.30990415335462984</v>
      </c>
      <c r="Q201">
        <f t="shared" si="960"/>
        <v>-6214869.7073481875</v>
      </c>
      <c r="R201">
        <f t="shared" si="961"/>
        <v>-1975676872.1217685</v>
      </c>
      <c r="S201">
        <f t="shared" si="962"/>
        <v>-19756.768721217686</v>
      </c>
      <c r="T201">
        <f t="shared" si="963"/>
        <v>-19.756768721217686</v>
      </c>
    </row>
    <row r="202" spans="1:20" x14ac:dyDescent="0.25">
      <c r="A202" s="5">
        <v>44391</v>
      </c>
      <c r="B202">
        <v>4.6690000000000002E-2</v>
      </c>
      <c r="C202">
        <v>4.6989999999999997E-2</v>
      </c>
      <c r="D202">
        <v>4.2279999999999998E-2</v>
      </c>
      <c r="E202">
        <v>4.5370000000000001E-2</v>
      </c>
      <c r="F202">
        <v>25927489.899999999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0.31210191082802685</v>
      </c>
      <c r="Q202">
        <f t="shared" si="960"/>
        <v>8092019.1407643659</v>
      </c>
      <c r="R202">
        <f t="shared" si="961"/>
        <v>-1969462002.4144204</v>
      </c>
      <c r="S202">
        <f t="shared" si="962"/>
        <v>-19694.620024144202</v>
      </c>
      <c r="T202">
        <f t="shared" si="963"/>
        <v>-19.694620024144204</v>
      </c>
    </row>
    <row r="203" spans="1:20" x14ac:dyDescent="0.25">
      <c r="A203" s="5">
        <v>44390</v>
      </c>
      <c r="B203">
        <v>4.573E-2</v>
      </c>
      <c r="C203">
        <v>4.7989999999999998E-2</v>
      </c>
      <c r="D203">
        <v>4.4540000000000003E-2</v>
      </c>
      <c r="E203">
        <v>4.6690000000000002E-2</v>
      </c>
      <c r="F203">
        <v>51453020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0.2463768115942043</v>
      </c>
      <c r="Q203">
        <f t="shared" si="960"/>
        <v>12676831.014492827</v>
      </c>
      <c r="R203">
        <f t="shared" si="961"/>
        <v>-1977554021.5551848</v>
      </c>
      <c r="S203">
        <f t="shared" si="962"/>
        <v>-19775.54021555185</v>
      </c>
      <c r="T203">
        <f t="shared" si="963"/>
        <v>-19.77554021555185</v>
      </c>
    </row>
    <row r="204" spans="1:20" x14ac:dyDescent="0.25">
      <c r="A204" s="5">
        <v>44389</v>
      </c>
      <c r="B204">
        <v>4.6940000000000003E-2</v>
      </c>
      <c r="C204">
        <v>4.6940000000000003E-2</v>
      </c>
      <c r="D204">
        <v>4.4130000000000003E-2</v>
      </c>
      <c r="E204">
        <v>4.573E-2</v>
      </c>
      <c r="F204">
        <v>19868453.300000001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0.13879003558718667</v>
      </c>
      <c r="Q204">
        <f t="shared" si="960"/>
        <v>2757543.3405693565</v>
      </c>
      <c r="R204">
        <f t="shared" si="961"/>
        <v>-1990230852.5696776</v>
      </c>
      <c r="S204">
        <f t="shared" si="962"/>
        <v>-19902.308525696775</v>
      </c>
      <c r="T204">
        <f t="shared" si="963"/>
        <v>-19.902308525696775</v>
      </c>
    </row>
    <row r="205" spans="1:20" x14ac:dyDescent="0.25">
      <c r="A205" s="5">
        <v>44388</v>
      </c>
      <c r="B205">
        <v>4.6530000000000002E-2</v>
      </c>
      <c r="C205">
        <v>4.7079999999999997E-2</v>
      </c>
      <c r="D205">
        <v>4.2930000000000003E-2</v>
      </c>
      <c r="E205">
        <v>4.6940000000000003E-2</v>
      </c>
      <c r="F205">
        <v>61731686.399999999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0.9325301204819304</v>
      </c>
      <c r="Q205">
        <f t="shared" si="960"/>
        <v>57566656.956144743</v>
      </c>
      <c r="R205">
        <f t="shared" si="961"/>
        <v>-1992988395.9102468</v>
      </c>
      <c r="S205">
        <f t="shared" si="962"/>
        <v>-19929.88395910247</v>
      </c>
      <c r="T205">
        <f t="shared" si="963"/>
        <v>-19.929883959102469</v>
      </c>
    </row>
    <row r="206" spans="1:20" x14ac:dyDescent="0.25">
      <c r="A206" s="5">
        <v>44387</v>
      </c>
      <c r="B206">
        <v>4.2999999999999997E-2</v>
      </c>
      <c r="C206">
        <v>5.4620000000000002E-2</v>
      </c>
      <c r="D206">
        <v>4.2689999999999999E-2</v>
      </c>
      <c r="E206">
        <v>4.6530000000000002E-2</v>
      </c>
      <c r="F206">
        <v>135143552.40000001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-0.35624476110645398</v>
      </c>
      <c r="Q206">
        <f t="shared" si="960"/>
        <v>-48144182.539815545</v>
      </c>
      <c r="R206">
        <f t="shared" si="961"/>
        <v>-2050555052.8663917</v>
      </c>
      <c r="S206">
        <f t="shared" si="962"/>
        <v>-20505.550528663916</v>
      </c>
      <c r="T206">
        <f t="shared" si="963"/>
        <v>-20.505550528663917</v>
      </c>
    </row>
    <row r="207" spans="1:20" x14ac:dyDescent="0.25">
      <c r="A207" s="5">
        <v>44386</v>
      </c>
      <c r="B207">
        <v>4.2180000000000002E-2</v>
      </c>
      <c r="C207">
        <v>4.4900000000000002E-2</v>
      </c>
      <c r="D207">
        <v>3.9750000000000001E-2</v>
      </c>
      <c r="E207">
        <v>4.274E-2</v>
      </c>
      <c r="F207">
        <v>38917353.399999999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0.16116504854368877</v>
      </c>
      <c r="Q207">
        <f t="shared" si="960"/>
        <v>6272117.1499028904</v>
      </c>
      <c r="R207">
        <f t="shared" si="961"/>
        <v>-2002410870.3265762</v>
      </c>
      <c r="S207">
        <f t="shared" si="962"/>
        <v>-20024.108703265763</v>
      </c>
      <c r="T207">
        <f t="shared" si="963"/>
        <v>-20.024108703265764</v>
      </c>
    </row>
    <row r="208" spans="1:20" x14ac:dyDescent="0.25">
      <c r="A208" s="5">
        <v>44385</v>
      </c>
      <c r="B208">
        <v>4.8079999999999998E-2</v>
      </c>
      <c r="C208">
        <v>4.8079999999999998E-2</v>
      </c>
      <c r="D208">
        <v>4.1009999999999998E-2</v>
      </c>
      <c r="E208">
        <v>4.2229999999999997E-2</v>
      </c>
      <c r="F208">
        <v>28958532.800000001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-0.65487977369165518</v>
      </c>
      <c r="Q208">
        <f t="shared" si="960"/>
        <v>-18964357.406506374</v>
      </c>
      <c r="R208">
        <f t="shared" si="961"/>
        <v>-2008682987.4764791</v>
      </c>
      <c r="S208">
        <f t="shared" si="962"/>
        <v>-20086.82987476479</v>
      </c>
      <c r="T208">
        <f t="shared" si="963"/>
        <v>-20.086829874764788</v>
      </c>
    </row>
    <row r="209" spans="1:20" x14ac:dyDescent="0.25">
      <c r="A209" s="5">
        <v>44384</v>
      </c>
      <c r="B209">
        <v>4.9660000000000003E-2</v>
      </c>
      <c r="C209">
        <v>4.9660000000000003E-2</v>
      </c>
      <c r="D209">
        <v>4.7230000000000001E-2</v>
      </c>
      <c r="E209">
        <v>4.8129999999999999E-2</v>
      </c>
      <c r="F209">
        <v>23068295.600000001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-0.25925925925926135</v>
      </c>
      <c r="Q209">
        <f t="shared" si="960"/>
        <v>-5980669.2296296787</v>
      </c>
      <c r="R209">
        <f t="shared" si="961"/>
        <v>-1989718630.0699728</v>
      </c>
      <c r="S209">
        <f t="shared" si="962"/>
        <v>-19897.186300699726</v>
      </c>
      <c r="T209">
        <f t="shared" si="963"/>
        <v>-19.897186300699726</v>
      </c>
    </row>
    <row r="210" spans="1:20" x14ac:dyDescent="0.25">
      <c r="A210" s="5">
        <v>44383</v>
      </c>
      <c r="B210">
        <v>4.761E-2</v>
      </c>
      <c r="C210">
        <v>5.0380000000000001E-2</v>
      </c>
      <c r="D210">
        <v>4.5949999999999998E-2</v>
      </c>
      <c r="E210">
        <v>4.9509999999999998E-2</v>
      </c>
      <c r="F210">
        <v>28279144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0.60722347629796747</v>
      </c>
      <c r="Q210">
        <f t="shared" si="960"/>
        <v>17171760.126410808</v>
      </c>
      <c r="R210">
        <f t="shared" si="961"/>
        <v>-1983737960.840343</v>
      </c>
      <c r="S210">
        <f t="shared" si="962"/>
        <v>-19837.379608403429</v>
      </c>
      <c r="T210">
        <f t="shared" si="963"/>
        <v>-19.837379608403431</v>
      </c>
    </row>
    <row r="211" spans="1:20" x14ac:dyDescent="0.25">
      <c r="A211" s="5">
        <v>44382</v>
      </c>
      <c r="B211">
        <v>4.7309999999999998E-2</v>
      </c>
      <c r="C211">
        <v>4.9169999999999998E-2</v>
      </c>
      <c r="D211">
        <v>4.3720000000000002E-2</v>
      </c>
      <c r="E211">
        <v>4.7840000000000001E-2</v>
      </c>
      <c r="F211">
        <v>39795603.399999999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0.51192660550458768</v>
      </c>
      <c r="Q211">
        <f t="shared" si="960"/>
        <v>20372428.162568826</v>
      </c>
      <c r="R211">
        <f t="shared" si="961"/>
        <v>-2000909720.9667537</v>
      </c>
      <c r="S211">
        <f t="shared" si="962"/>
        <v>-20009.097209667536</v>
      </c>
      <c r="T211">
        <f t="shared" si="963"/>
        <v>-20.009097209667537</v>
      </c>
    </row>
    <row r="212" spans="1:20" x14ac:dyDescent="0.25">
      <c r="A212" s="5">
        <v>44381</v>
      </c>
      <c r="B212">
        <v>4.6330000000000003E-2</v>
      </c>
      <c r="C212">
        <v>0.05</v>
      </c>
      <c r="D212">
        <v>4.4630000000000003E-2</v>
      </c>
      <c r="E212">
        <v>4.7359999999999999E-2</v>
      </c>
      <c r="F212">
        <v>52252771.799999997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1.675977653631152E-2</v>
      </c>
      <c r="Q212">
        <f t="shared" si="960"/>
        <v>875744.77877088019</v>
      </c>
      <c r="R212">
        <f t="shared" si="961"/>
        <v>-2021282149.1293225</v>
      </c>
      <c r="S212">
        <f t="shared" si="962"/>
        <v>-20212.821491293224</v>
      </c>
      <c r="T212">
        <f t="shared" si="963"/>
        <v>-20.212821491293223</v>
      </c>
    </row>
    <row r="213" spans="1:20" x14ac:dyDescent="0.25">
      <c r="A213" s="5">
        <v>44380</v>
      </c>
      <c r="B213">
        <v>4.5420000000000002E-2</v>
      </c>
      <c r="C213">
        <v>4.6859999999999999E-2</v>
      </c>
      <c r="D213">
        <v>4.2560000000000001E-2</v>
      </c>
      <c r="E213">
        <v>4.6379999999999998E-2</v>
      </c>
      <c r="F213">
        <v>35253804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0.77674418604651096</v>
      </c>
      <c r="Q213">
        <f t="shared" si="960"/>
        <v>27383187.293023232</v>
      </c>
      <c r="R213">
        <f t="shared" si="961"/>
        <v>-2022157893.9080935</v>
      </c>
      <c r="S213">
        <f t="shared" si="962"/>
        <v>-20221.578939080933</v>
      </c>
      <c r="T213">
        <f t="shared" si="963"/>
        <v>-20.221578939080935</v>
      </c>
    </row>
    <row r="214" spans="1:20" x14ac:dyDescent="0.25">
      <c r="A214" s="5">
        <v>44379</v>
      </c>
      <c r="B214">
        <v>4.4350000000000001E-2</v>
      </c>
      <c r="C214">
        <v>4.6039999999999998E-2</v>
      </c>
      <c r="D214">
        <v>3.9449999999999999E-2</v>
      </c>
      <c r="E214">
        <v>4.5580000000000002E-2</v>
      </c>
      <c r="F214">
        <v>53405743.200000003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0.86039453717754322</v>
      </c>
      <c r="Q214">
        <f t="shared" si="960"/>
        <v>45950009.703186728</v>
      </c>
      <c r="R214">
        <f t="shared" si="961"/>
        <v>-2049541081.2011168</v>
      </c>
      <c r="S214">
        <f t="shared" si="962"/>
        <v>-20495.410812011167</v>
      </c>
      <c r="T214">
        <f t="shared" si="963"/>
        <v>-20.495410812011166</v>
      </c>
    </row>
    <row r="215" spans="1:20" x14ac:dyDescent="0.25">
      <c r="A215" s="5">
        <v>44378</v>
      </c>
      <c r="B215">
        <v>4.274E-2</v>
      </c>
      <c r="C215">
        <v>5.3699999999999998E-2</v>
      </c>
      <c r="D215">
        <v>4.1020000000000001E-2</v>
      </c>
      <c r="E215">
        <v>4.4499999999999998E-2</v>
      </c>
      <c r="F215">
        <v>257964832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-0.4511041009463726</v>
      </c>
      <c r="Q215">
        <f t="shared" si="960"/>
        <v>-116368993.61514205</v>
      </c>
      <c r="R215">
        <f t="shared" si="961"/>
        <v>-2095491090.9043036</v>
      </c>
      <c r="S215">
        <f t="shared" si="962"/>
        <v>-20954.910909043036</v>
      </c>
      <c r="T215">
        <f t="shared" si="963"/>
        <v>-20.954910909043036</v>
      </c>
    </row>
    <row r="216" spans="1:20" x14ac:dyDescent="0.25">
      <c r="A216" s="5">
        <v>44377</v>
      </c>
      <c r="B216">
        <v>4.2450000000000002E-2</v>
      </c>
      <c r="C216">
        <v>4.3029999999999999E-2</v>
      </c>
      <c r="D216">
        <v>3.662E-2</v>
      </c>
      <c r="E216">
        <v>4.2810000000000001E-2</v>
      </c>
      <c r="F216">
        <v>60203929.100000001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0.93135725429017224</v>
      </c>
      <c r="Q216">
        <f t="shared" si="960"/>
        <v>56071366.104056202</v>
      </c>
      <c r="R216">
        <f t="shared" si="961"/>
        <v>-1979122097.2891614</v>
      </c>
      <c r="S216">
        <f t="shared" si="962"/>
        <v>-19791.220972891613</v>
      </c>
      <c r="T216">
        <f t="shared" si="963"/>
        <v>-19.791220972891612</v>
      </c>
    </row>
    <row r="217" spans="1:20" x14ac:dyDescent="0.25">
      <c r="A217" s="5">
        <v>44376</v>
      </c>
      <c r="B217">
        <v>3.9190000000000003E-2</v>
      </c>
      <c r="C217">
        <v>4.99E-2</v>
      </c>
      <c r="D217">
        <v>3.8539999999999998E-2</v>
      </c>
      <c r="E217">
        <v>4.2410000000000003E-2</v>
      </c>
      <c r="F217">
        <v>157918693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-0.3186619718309851</v>
      </c>
      <c r="Q217">
        <f t="shared" si="960"/>
        <v>-50322682.100351982</v>
      </c>
      <c r="R217">
        <f t="shared" si="961"/>
        <v>-2035193463.3932176</v>
      </c>
      <c r="S217">
        <f t="shared" si="962"/>
        <v>-20351.934633932175</v>
      </c>
      <c r="T217">
        <f t="shared" si="963"/>
        <v>-20.351934633932174</v>
      </c>
    </row>
    <row r="218" spans="1:20" x14ac:dyDescent="0.25">
      <c r="A218" s="5">
        <v>44375</v>
      </c>
      <c r="B218">
        <v>3.635E-2</v>
      </c>
      <c r="C218">
        <v>3.9559999999999998E-2</v>
      </c>
      <c r="D218">
        <v>3.3750000000000002E-2</v>
      </c>
      <c r="E218">
        <v>3.9219999999999998E-2</v>
      </c>
      <c r="F218">
        <v>63080842.200000003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0.8829604130808949</v>
      </c>
      <c r="Q218">
        <f t="shared" si="960"/>
        <v>55697886.48640275</v>
      </c>
      <c r="R218">
        <f t="shared" si="961"/>
        <v>-1984870781.2928655</v>
      </c>
      <c r="S218">
        <f t="shared" si="962"/>
        <v>-19848.707812928656</v>
      </c>
      <c r="T218">
        <f t="shared" si="963"/>
        <v>-19.848707812928655</v>
      </c>
    </row>
    <row r="219" spans="1:20" x14ac:dyDescent="0.25">
      <c r="A219" s="5">
        <v>44374</v>
      </c>
      <c r="B219">
        <v>3.4630000000000001E-2</v>
      </c>
      <c r="C219">
        <v>0.04</v>
      </c>
      <c r="D219">
        <v>3.3500000000000002E-2</v>
      </c>
      <c r="E219">
        <v>3.637E-2</v>
      </c>
      <c r="F219">
        <v>81944661.299999997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-0.11692307692307752</v>
      </c>
      <c r="Q219">
        <f t="shared" si="960"/>
        <v>-9581221.9366154335</v>
      </c>
      <c r="R219">
        <f t="shared" si="961"/>
        <v>-2040568667.7792683</v>
      </c>
      <c r="S219">
        <f t="shared" si="962"/>
        <v>-20405.686677792684</v>
      </c>
      <c r="T219">
        <f t="shared" si="963"/>
        <v>-20.405686677792684</v>
      </c>
    </row>
    <row r="220" spans="1:20" x14ac:dyDescent="0.25">
      <c r="A220" s="5">
        <v>44373</v>
      </c>
      <c r="B220">
        <v>3.56E-2</v>
      </c>
      <c r="C220">
        <v>3.5749999999999997E-2</v>
      </c>
      <c r="D220">
        <v>3.0509999999999999E-2</v>
      </c>
      <c r="E220">
        <v>3.4630000000000001E-2</v>
      </c>
      <c r="F220">
        <v>98165021.099999994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0.57251908396946705</v>
      </c>
      <c r="Q220">
        <f t="shared" si="960"/>
        <v>56201347.958015405</v>
      </c>
      <c r="R220">
        <f t="shared" si="961"/>
        <v>-2030987445.8426528</v>
      </c>
      <c r="S220">
        <f t="shared" si="962"/>
        <v>-20309.87445842653</v>
      </c>
      <c r="T220">
        <f t="shared" si="963"/>
        <v>-20.309874458426531</v>
      </c>
    </row>
    <row r="221" spans="1:20" x14ac:dyDescent="0.25">
      <c r="A221" s="5">
        <v>44372</v>
      </c>
      <c r="B221">
        <v>3.211E-2</v>
      </c>
      <c r="C221">
        <v>4.5100000000000001E-2</v>
      </c>
      <c r="D221">
        <v>3.211E-2</v>
      </c>
      <c r="E221">
        <v>3.5589999999999997E-2</v>
      </c>
      <c r="F221">
        <v>432619336.19999999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-0.46420323325635154</v>
      </c>
      <c r="Q221">
        <f t="shared" si="960"/>
        <v>-200823294.63325655</v>
      </c>
      <c r="R221">
        <f t="shared" si="961"/>
        <v>-2087188793.8006682</v>
      </c>
      <c r="S221">
        <f t="shared" si="962"/>
        <v>-20871.887938006683</v>
      </c>
      <c r="T221">
        <f t="shared" si="963"/>
        <v>-20.871887938006683</v>
      </c>
    </row>
    <row r="222" spans="1:20" x14ac:dyDescent="0.25">
      <c r="A222" s="5">
        <v>44371</v>
      </c>
      <c r="B222">
        <v>2.903E-2</v>
      </c>
      <c r="C222">
        <v>3.4909999999999997E-2</v>
      </c>
      <c r="D222">
        <v>2.8400000000000002E-2</v>
      </c>
      <c r="E222">
        <v>3.1980000000000001E-2</v>
      </c>
      <c r="F222">
        <v>92249993.200000003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9.9846390168971622E-2</v>
      </c>
      <c r="Q222">
        <f t="shared" si="960"/>
        <v>9210828.8141321801</v>
      </c>
      <c r="R222">
        <f t="shared" si="961"/>
        <v>-1886365499.1674118</v>
      </c>
      <c r="S222">
        <f t="shared" si="962"/>
        <v>-18863.654991674117</v>
      </c>
      <c r="T222">
        <f t="shared" si="963"/>
        <v>-18.863654991674117</v>
      </c>
    </row>
    <row r="223" spans="1:20" x14ac:dyDescent="0.25">
      <c r="A223" s="5">
        <v>44370</v>
      </c>
      <c r="B223">
        <v>2.6360000000000001E-2</v>
      </c>
      <c r="C223">
        <v>2.93E-2</v>
      </c>
      <c r="D223">
        <v>2.564E-2</v>
      </c>
      <c r="E223">
        <v>2.9270000000000001E-2</v>
      </c>
      <c r="F223">
        <v>39414167.5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0.98360655737704983</v>
      </c>
      <c r="Q223">
        <f t="shared" si="960"/>
        <v>38768033.606557399</v>
      </c>
      <c r="R223">
        <f t="shared" si="961"/>
        <v>-1895576327.981544</v>
      </c>
      <c r="S223">
        <f t="shared" si="962"/>
        <v>-18955.763279815441</v>
      </c>
      <c r="T223">
        <f t="shared" si="963"/>
        <v>-18.955763279815439</v>
      </c>
    </row>
    <row r="224" spans="1:20" x14ac:dyDescent="0.25">
      <c r="A224" s="5">
        <v>44369</v>
      </c>
      <c r="B224">
        <v>2.7449999999999999E-2</v>
      </c>
      <c r="C224">
        <v>3.0200000000000001E-2</v>
      </c>
      <c r="D224">
        <v>2.2040000000000001E-2</v>
      </c>
      <c r="E224">
        <v>2.6329999999999999E-2</v>
      </c>
      <c r="F224">
        <v>72603034.599999994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5.147058823529372E-2</v>
      </c>
      <c r="Q224">
        <f t="shared" si="960"/>
        <v>3736920.8985293824</v>
      </c>
      <c r="R224">
        <f t="shared" si="961"/>
        <v>-1934344361.5881014</v>
      </c>
      <c r="S224">
        <f t="shared" si="962"/>
        <v>-19343.443615881013</v>
      </c>
      <c r="T224">
        <f t="shared" si="963"/>
        <v>-19.343443615881014</v>
      </c>
    </row>
    <row r="225" spans="1:20" x14ac:dyDescent="0.25">
      <c r="A225" s="5">
        <v>44368</v>
      </c>
      <c r="B225">
        <v>3.9019999999999999E-2</v>
      </c>
      <c r="C225">
        <v>3.9019999999999999E-2</v>
      </c>
      <c r="D225">
        <v>2.7150000000000001E-2</v>
      </c>
      <c r="E225">
        <v>2.76E-2</v>
      </c>
      <c r="F225">
        <v>50778941.799999997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-0.92417860151642817</v>
      </c>
      <c r="Q225">
        <f t="shared" si="960"/>
        <v>-46928811.419208094</v>
      </c>
      <c r="R225">
        <f t="shared" si="961"/>
        <v>-1938081282.4866307</v>
      </c>
      <c r="S225">
        <f t="shared" si="962"/>
        <v>-19380.812824866305</v>
      </c>
      <c r="T225">
        <f t="shared" si="963"/>
        <v>-19.380812824866304</v>
      </c>
    </row>
    <row r="226" spans="1:20" x14ac:dyDescent="0.25">
      <c r="A226" s="5">
        <v>44367</v>
      </c>
      <c r="B226">
        <v>4.0259999999999997E-2</v>
      </c>
      <c r="C226">
        <v>4.0259999999999997E-2</v>
      </c>
      <c r="D226">
        <v>3.5369999999999999E-2</v>
      </c>
      <c r="E226">
        <v>3.9019999999999999E-2</v>
      </c>
      <c r="F226">
        <v>42117948.200000003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0.49284253578732173</v>
      </c>
      <c r="Q226">
        <f t="shared" si="960"/>
        <v>20757516.393047065</v>
      </c>
      <c r="R226">
        <f t="shared" si="961"/>
        <v>-1891152471.0674226</v>
      </c>
      <c r="S226">
        <f t="shared" si="962"/>
        <v>-18911.524710674224</v>
      </c>
      <c r="T226">
        <f t="shared" si="963"/>
        <v>-18.911524710674225</v>
      </c>
    </row>
    <row r="227" spans="1:20" x14ac:dyDescent="0.25">
      <c r="A227" s="5">
        <v>44366</v>
      </c>
      <c r="B227">
        <v>4.2520000000000002E-2</v>
      </c>
      <c r="C227">
        <v>4.2959999999999998E-2</v>
      </c>
      <c r="D227">
        <v>3.8339999999999999E-2</v>
      </c>
      <c r="E227">
        <v>4.0219999999999999E-2</v>
      </c>
      <c r="F227">
        <v>46383946.200000003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-0.18614718614718612</v>
      </c>
      <c r="Q227">
        <f t="shared" si="960"/>
        <v>-8634241.0675324667</v>
      </c>
      <c r="R227">
        <f t="shared" si="961"/>
        <v>-1911909987.4604697</v>
      </c>
      <c r="S227">
        <f t="shared" si="962"/>
        <v>-19119.099874604697</v>
      </c>
      <c r="T227">
        <f t="shared" si="963"/>
        <v>-19.119099874604697</v>
      </c>
    </row>
    <row r="228" spans="1:20" x14ac:dyDescent="0.25">
      <c r="A228" s="5">
        <v>44365</v>
      </c>
      <c r="B228">
        <v>4.6440000000000002E-2</v>
      </c>
      <c r="C228">
        <v>4.6510000000000003E-2</v>
      </c>
      <c r="D228">
        <v>4.1320000000000003E-2</v>
      </c>
      <c r="E228">
        <v>4.265E-2</v>
      </c>
      <c r="F228">
        <v>31876414.800000001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-0.48747591522158079</v>
      </c>
      <c r="Q228">
        <f t="shared" si="960"/>
        <v>-15538984.478612743</v>
      </c>
      <c r="R228">
        <f t="shared" si="961"/>
        <v>-1903275746.3929372</v>
      </c>
      <c r="S228">
        <f t="shared" si="962"/>
        <v>-19032.757463929371</v>
      </c>
      <c r="T228">
        <f t="shared" si="963"/>
        <v>-19.032757463929372</v>
      </c>
    </row>
    <row r="229" spans="1:20" x14ac:dyDescent="0.25">
      <c r="A229" s="5">
        <v>44364</v>
      </c>
      <c r="B229">
        <v>4.5659999999999999E-2</v>
      </c>
      <c r="C229">
        <v>4.7759999999999997E-2</v>
      </c>
      <c r="D229">
        <v>4.4380000000000003E-2</v>
      </c>
      <c r="E229">
        <v>4.6460000000000001E-2</v>
      </c>
      <c r="F229">
        <v>52754287.899999999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0.23076923076923203</v>
      </c>
      <c r="Q229">
        <f t="shared" si="960"/>
        <v>12174066.438461605</v>
      </c>
      <c r="R229">
        <f t="shared" si="961"/>
        <v>-1887736761.9143245</v>
      </c>
      <c r="S229">
        <f t="shared" si="962"/>
        <v>-18877.367619143246</v>
      </c>
      <c r="T229">
        <f t="shared" si="963"/>
        <v>-18.877367619143246</v>
      </c>
    </row>
    <row r="230" spans="1:20" x14ac:dyDescent="0.25">
      <c r="A230" s="5">
        <v>44363</v>
      </c>
      <c r="B230">
        <v>4.9439999999999998E-2</v>
      </c>
      <c r="C230">
        <v>4.9439999999999998E-2</v>
      </c>
      <c r="D230">
        <v>4.5030000000000001E-2</v>
      </c>
      <c r="E230">
        <v>4.5650000000000003E-2</v>
      </c>
      <c r="F230">
        <v>43277957.399999999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-0.71882086167800319</v>
      </c>
      <c r="Q230">
        <f t="shared" si="960"/>
        <v>-31109098.629931912</v>
      </c>
      <c r="R230">
        <f t="shared" si="961"/>
        <v>-1899910828.3527861</v>
      </c>
      <c r="S230">
        <f t="shared" si="962"/>
        <v>-18999.108283527861</v>
      </c>
      <c r="T230">
        <f t="shared" si="963"/>
        <v>-18.99910828352786</v>
      </c>
    </row>
    <row r="231" spans="1:20" x14ac:dyDescent="0.25">
      <c r="A231" s="5">
        <v>44362</v>
      </c>
      <c r="B231">
        <v>4.7239999999999997E-2</v>
      </c>
      <c r="C231">
        <v>5.4850000000000003E-2</v>
      </c>
      <c r="D231">
        <v>4.7230000000000001E-2</v>
      </c>
      <c r="E231">
        <v>4.9549999999999997E-2</v>
      </c>
      <c r="F231">
        <v>173842469.09999999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-0.39107611548556559</v>
      </c>
      <c r="Q231">
        <f t="shared" si="960"/>
        <v>-67985637.52204746</v>
      </c>
      <c r="R231">
        <f t="shared" si="961"/>
        <v>-1868801729.7228541</v>
      </c>
      <c r="S231">
        <f t="shared" si="962"/>
        <v>-18688.01729722854</v>
      </c>
      <c r="T231">
        <f t="shared" si="963"/>
        <v>-18.688017297228541</v>
      </c>
    </row>
    <row r="232" spans="1:20" x14ac:dyDescent="0.25">
      <c r="A232" s="5">
        <v>44361</v>
      </c>
      <c r="B232">
        <v>4.7309999999999998E-2</v>
      </c>
      <c r="C232">
        <v>4.7629999999999999E-2</v>
      </c>
      <c r="D232">
        <v>4.3999999999999997E-2</v>
      </c>
      <c r="E232">
        <v>4.7289999999999999E-2</v>
      </c>
      <c r="F232">
        <v>85617099.700000003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0.81267217630854005</v>
      </c>
      <c r="Q232">
        <f t="shared" si="960"/>
        <v>69578634.74242425</v>
      </c>
      <c r="R232">
        <f t="shared" si="961"/>
        <v>-1800816092.2008066</v>
      </c>
      <c r="S232">
        <f t="shared" si="962"/>
        <v>-18008.160922008065</v>
      </c>
      <c r="T232">
        <f t="shared" si="963"/>
        <v>-18.008160922008063</v>
      </c>
    </row>
    <row r="233" spans="1:20" x14ac:dyDescent="0.25">
      <c r="A233" s="5">
        <v>44360</v>
      </c>
      <c r="B233">
        <v>4.7530000000000003E-2</v>
      </c>
      <c r="C233">
        <v>4.768E-2</v>
      </c>
      <c r="D233">
        <v>4.3069999999999997E-2</v>
      </c>
      <c r="E233">
        <v>4.734E-2</v>
      </c>
      <c r="F233">
        <v>155655700.09999999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0.85249457700650766</v>
      </c>
      <c r="Q233">
        <f t="shared" si="960"/>
        <v>132695640.21540131</v>
      </c>
      <c r="R233">
        <f t="shared" si="961"/>
        <v>-1870394726.9432309</v>
      </c>
      <c r="S233">
        <f t="shared" si="962"/>
        <v>-18703.947269432309</v>
      </c>
      <c r="T233">
        <f t="shared" si="963"/>
        <v>-18.703947269432309</v>
      </c>
    </row>
    <row r="234" spans="1:20" x14ac:dyDescent="0.25">
      <c r="A234" s="5">
        <v>44359</v>
      </c>
      <c r="B234">
        <v>6.3570000000000002E-2</v>
      </c>
      <c r="C234">
        <v>6.3810000000000006E-2</v>
      </c>
      <c r="D234">
        <v>4.6519999999999999E-2</v>
      </c>
      <c r="E234">
        <v>4.7539999999999999E-2</v>
      </c>
      <c r="F234">
        <v>289707258.39999998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-0.88201272411798737</v>
      </c>
      <c r="Q234">
        <f t="shared" si="960"/>
        <v>-255525488.17813766</v>
      </c>
      <c r="R234">
        <f t="shared" si="961"/>
        <v>-2003090367.1586323</v>
      </c>
      <c r="S234">
        <f t="shared" si="962"/>
        <v>-20030.903671586322</v>
      </c>
      <c r="T234">
        <f t="shared" si="963"/>
        <v>-20.030903671586323</v>
      </c>
    </row>
    <row r="235" spans="1:20" x14ac:dyDescent="0.25">
      <c r="A235" s="5">
        <v>44358</v>
      </c>
      <c r="B235">
        <v>4.8660000000000002E-2</v>
      </c>
      <c r="C235">
        <v>8.9020000000000002E-2</v>
      </c>
      <c r="D235">
        <v>4.7239999999999997E-2</v>
      </c>
      <c r="E235">
        <v>6.3560000000000005E-2</v>
      </c>
      <c r="F235">
        <v>1004687537.2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-0.21876495931067466</v>
      </c>
      <c r="Q235">
        <f t="shared" si="960"/>
        <v>-219790428.19549996</v>
      </c>
      <c r="R235">
        <f t="shared" si="961"/>
        <v>-1747564878.9804945</v>
      </c>
      <c r="S235">
        <f t="shared" si="962"/>
        <v>-17475.648789804945</v>
      </c>
      <c r="T235">
        <f t="shared" si="963"/>
        <v>-17.475648789804946</v>
      </c>
    </row>
    <row r="236" spans="1:20" x14ac:dyDescent="0.25">
      <c r="A236" s="5">
        <v>44357</v>
      </c>
      <c r="B236">
        <v>4.6129999999999997E-2</v>
      </c>
      <c r="C236">
        <v>5.8729999999999997E-2</v>
      </c>
      <c r="D236">
        <v>4.4999999999999998E-2</v>
      </c>
      <c r="E236">
        <v>4.8669999999999998E-2</v>
      </c>
      <c r="F236">
        <v>283343691.5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-0.4654042243262928</v>
      </c>
      <c r="Q236">
        <f t="shared" si="960"/>
        <v>-131869350.9603059</v>
      </c>
      <c r="R236">
        <f t="shared" si="961"/>
        <v>-1527774450.7849946</v>
      </c>
      <c r="S236">
        <f t="shared" si="962"/>
        <v>-15277.744507849946</v>
      </c>
      <c r="T236">
        <f t="shared" si="963"/>
        <v>-15.277744507849945</v>
      </c>
    </row>
    <row r="237" spans="1:20" x14ac:dyDescent="0.25">
      <c r="A237" s="5">
        <v>44356</v>
      </c>
      <c r="B237">
        <v>4.4650000000000002E-2</v>
      </c>
      <c r="C237">
        <v>4.691E-2</v>
      </c>
      <c r="D237">
        <v>4.2040000000000001E-2</v>
      </c>
      <c r="E237">
        <v>4.582E-2</v>
      </c>
      <c r="F237">
        <v>30174961.100000001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0.55236139630390113</v>
      </c>
      <c r="Q237">
        <f t="shared" si="960"/>
        <v>16667483.646611901</v>
      </c>
      <c r="R237">
        <f t="shared" si="961"/>
        <v>-1395905099.8246887</v>
      </c>
      <c r="S237">
        <f t="shared" si="962"/>
        <v>-13959.050998246887</v>
      </c>
      <c r="T237">
        <f t="shared" si="963"/>
        <v>-13.959050998246887</v>
      </c>
    </row>
    <row r="238" spans="1:20" x14ac:dyDescent="0.25">
      <c r="A238" s="5">
        <v>44355</v>
      </c>
      <c r="B238">
        <v>4.7509999999999997E-2</v>
      </c>
      <c r="C238">
        <v>4.9639999999999997E-2</v>
      </c>
      <c r="D238">
        <v>0.04</v>
      </c>
      <c r="E238">
        <v>4.4940000000000001E-2</v>
      </c>
      <c r="F238">
        <v>23457186.600000001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2.4896265560166411E-2</v>
      </c>
      <c r="Q238">
        <f t="shared" si="960"/>
        <v>583996.3468879771</v>
      </c>
      <c r="R238">
        <f t="shared" si="961"/>
        <v>-1412572583.4713006</v>
      </c>
      <c r="S238">
        <f t="shared" si="962"/>
        <v>-14125.725834713006</v>
      </c>
      <c r="T238">
        <f t="shared" si="963"/>
        <v>-14.125725834713007</v>
      </c>
    </row>
    <row r="239" spans="1:20" x14ac:dyDescent="0.25">
      <c r="A239" s="5">
        <v>44354</v>
      </c>
      <c r="B239">
        <v>5.0549999999999998E-2</v>
      </c>
      <c r="C239">
        <v>5.6000000000000001E-2</v>
      </c>
      <c r="D239">
        <v>4.7289999999999999E-2</v>
      </c>
      <c r="E239">
        <v>4.7550000000000002E-2</v>
      </c>
      <c r="F239">
        <v>35573739.200000003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-0.94029850746268584</v>
      </c>
      <c r="Q239">
        <f t="shared" si="960"/>
        <v>-33449933.874626841</v>
      </c>
      <c r="R239">
        <f t="shared" si="961"/>
        <v>-1413156579.8181887</v>
      </c>
      <c r="S239">
        <f t="shared" si="962"/>
        <v>-14131.565798181886</v>
      </c>
      <c r="T239">
        <f t="shared" si="963"/>
        <v>-14.131565798181885</v>
      </c>
    </row>
    <row r="240" spans="1:20" x14ac:dyDescent="0.25">
      <c r="A240" s="5">
        <v>44353</v>
      </c>
      <c r="B240">
        <v>4.9099999999999998E-2</v>
      </c>
      <c r="C240">
        <v>6.216E-2</v>
      </c>
      <c r="D240">
        <v>4.8669999999999998E-2</v>
      </c>
      <c r="E240">
        <v>5.0590000000000003E-2</v>
      </c>
      <c r="F240">
        <v>155642192.19999999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-0.71534469977761239</v>
      </c>
      <c r="Q240">
        <f t="shared" si="960"/>
        <v>-111337817.25203843</v>
      </c>
      <c r="R240">
        <f t="shared" si="961"/>
        <v>-1379706645.9435618</v>
      </c>
      <c r="S240">
        <f t="shared" si="962"/>
        <v>-13797.066459435619</v>
      </c>
      <c r="T240">
        <f t="shared" si="963"/>
        <v>-13.797066459435619</v>
      </c>
    </row>
    <row r="241" spans="1:20" x14ac:dyDescent="0.25">
      <c r="A241" s="5">
        <v>44352</v>
      </c>
      <c r="B241">
        <v>4.9970000000000001E-2</v>
      </c>
      <c r="C241">
        <v>5.3699999999999998E-2</v>
      </c>
      <c r="D241">
        <v>4.7469999999999998E-2</v>
      </c>
      <c r="E241">
        <v>4.8680000000000001E-2</v>
      </c>
      <c r="F241">
        <v>18913806.5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-0.61155698234349831</v>
      </c>
      <c r="Q241">
        <f t="shared" si="960"/>
        <v>-11566870.427768843</v>
      </c>
      <c r="R241">
        <f t="shared" si="961"/>
        <v>-1268368828.6915233</v>
      </c>
      <c r="S241">
        <f t="shared" si="962"/>
        <v>-12683.688286915232</v>
      </c>
      <c r="T241">
        <f t="shared" si="963"/>
        <v>-12.683688286915233</v>
      </c>
    </row>
    <row r="242" spans="1:20" x14ac:dyDescent="0.25">
      <c r="A242" s="5">
        <v>44351</v>
      </c>
      <c r="B242">
        <v>5.4179999999999999E-2</v>
      </c>
      <c r="C242">
        <v>5.4179999999999999E-2</v>
      </c>
      <c r="D242">
        <v>4.7829999999999998E-2</v>
      </c>
      <c r="E242">
        <v>5.0009999999999999E-2</v>
      </c>
      <c r="F242">
        <v>19484229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-0.31338582677165328</v>
      </c>
      <c r="Q242">
        <f t="shared" si="960"/>
        <v>-6106081.2141732229</v>
      </c>
      <c r="R242">
        <f t="shared" si="961"/>
        <v>-1256801958.2637544</v>
      </c>
      <c r="S242">
        <f t="shared" si="962"/>
        <v>-12568.019582637544</v>
      </c>
      <c r="T242">
        <f t="shared" si="963"/>
        <v>-12.568019582637543</v>
      </c>
    </row>
    <row r="243" spans="1:20" x14ac:dyDescent="0.25">
      <c r="A243" s="5">
        <v>44350</v>
      </c>
      <c r="B243">
        <v>5.2409999999999998E-2</v>
      </c>
      <c r="C243">
        <v>5.9470000000000002E-2</v>
      </c>
      <c r="D243">
        <v>5.2010000000000001E-2</v>
      </c>
      <c r="E243">
        <v>5.4019999999999999E-2</v>
      </c>
      <c r="F243">
        <v>120372608.2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-0.46112600536193094</v>
      </c>
      <c r="Q243">
        <f t="shared" si="960"/>
        <v>-55506939.974262811</v>
      </c>
      <c r="R243">
        <f t="shared" si="961"/>
        <v>-1250695877.0495811</v>
      </c>
      <c r="S243">
        <f t="shared" si="962"/>
        <v>-12506.95877049581</v>
      </c>
      <c r="T243">
        <f t="shared" si="963"/>
        <v>-12.50695877049581</v>
      </c>
    </row>
    <row r="244" spans="1:20" x14ac:dyDescent="0.25">
      <c r="A244" s="5">
        <v>44349</v>
      </c>
      <c r="B244">
        <v>4.965E-2</v>
      </c>
      <c r="C244">
        <v>5.6800000000000003E-2</v>
      </c>
      <c r="D244">
        <v>4.8500000000000001E-2</v>
      </c>
      <c r="E244">
        <v>5.2409999999999998E-2</v>
      </c>
      <c r="F244">
        <v>69147408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-5.7831325301205792E-2</v>
      </c>
      <c r="Q244">
        <f t="shared" si="960"/>
        <v>-3998886.2457832</v>
      </c>
      <c r="R244">
        <f t="shared" si="961"/>
        <v>-1195188937.0753183</v>
      </c>
      <c r="S244">
        <f t="shared" si="962"/>
        <v>-11951.889370753184</v>
      </c>
      <c r="T244">
        <f t="shared" si="963"/>
        <v>-11.951889370753184</v>
      </c>
    </row>
    <row r="245" spans="1:20" x14ac:dyDescent="0.25">
      <c r="A245" s="5">
        <v>44348</v>
      </c>
      <c r="B245">
        <v>5.1639999999999998E-2</v>
      </c>
      <c r="C245">
        <v>5.3019999999999998E-2</v>
      </c>
      <c r="D245">
        <v>4.8399999999999999E-2</v>
      </c>
      <c r="E245">
        <v>4.9340000000000002E-2</v>
      </c>
      <c r="F245">
        <v>12456763.1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-0.59307359307359153</v>
      </c>
      <c r="Q245">
        <f t="shared" si="960"/>
        <v>-7387777.2497835299</v>
      </c>
      <c r="R245">
        <f t="shared" si="961"/>
        <v>-1191190050.8295352</v>
      </c>
      <c r="S245">
        <f t="shared" si="962"/>
        <v>-11911.900508295352</v>
      </c>
      <c r="T245">
        <f t="shared" si="963"/>
        <v>-11.911900508295352</v>
      </c>
    </row>
    <row r="246" spans="1:20" x14ac:dyDescent="0.25">
      <c r="A246" s="5">
        <v>44347</v>
      </c>
      <c r="B246">
        <v>4.9869999999999998E-2</v>
      </c>
      <c r="C246">
        <v>5.5669999999999997E-2</v>
      </c>
      <c r="D246">
        <v>4.6899999999999997E-2</v>
      </c>
      <c r="E246">
        <v>5.1639999999999998E-2</v>
      </c>
      <c r="F246">
        <v>13246679.699999999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8.0957810718358295E-2</v>
      </c>
      <c r="Q246">
        <f t="shared" si="960"/>
        <v>1072422.1877993192</v>
      </c>
      <c r="R246">
        <f t="shared" si="961"/>
        <v>-1183802273.5797517</v>
      </c>
      <c r="S246">
        <f t="shared" si="962"/>
        <v>-11838.022735797518</v>
      </c>
      <c r="T246">
        <f t="shared" si="963"/>
        <v>-11.838022735797518</v>
      </c>
    </row>
    <row r="247" spans="1:20" x14ac:dyDescent="0.25">
      <c r="A247" s="5">
        <v>44346</v>
      </c>
      <c r="B247">
        <v>4.811E-2</v>
      </c>
      <c r="C247">
        <v>4.9950000000000001E-2</v>
      </c>
      <c r="D247">
        <v>4.58E-2</v>
      </c>
      <c r="E247">
        <v>4.9869999999999998E-2</v>
      </c>
      <c r="F247">
        <v>8784762.0999999996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0.96144578313252838</v>
      </c>
      <c r="Q247">
        <f t="shared" si="960"/>
        <v>8446072.4768674541</v>
      </c>
      <c r="R247">
        <f t="shared" si="961"/>
        <v>-1184874695.7675509</v>
      </c>
      <c r="S247">
        <f t="shared" si="962"/>
        <v>-11848.74695767551</v>
      </c>
      <c r="T247">
        <f t="shared" si="963"/>
        <v>-11.848746957675511</v>
      </c>
    </row>
    <row r="248" spans="1:20" x14ac:dyDescent="0.25">
      <c r="A248" s="5">
        <v>44345</v>
      </c>
      <c r="B248">
        <v>5.1880000000000003E-2</v>
      </c>
      <c r="C248">
        <v>5.5E-2</v>
      </c>
      <c r="D248">
        <v>4.7109999999999999E-2</v>
      </c>
      <c r="E248">
        <v>4.8520000000000001E-2</v>
      </c>
      <c r="F248">
        <v>22215337.300000001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-0.6425855513307982</v>
      </c>
      <c r="Q248">
        <f t="shared" si="960"/>
        <v>-14275254.766920146</v>
      </c>
      <c r="R248">
        <f t="shared" si="961"/>
        <v>-1193320768.2444184</v>
      </c>
      <c r="S248">
        <f t="shared" si="962"/>
        <v>-11933.207682444185</v>
      </c>
      <c r="T248">
        <f t="shared" si="963"/>
        <v>-11.933207682444184</v>
      </c>
    </row>
    <row r="249" spans="1:20" x14ac:dyDescent="0.25">
      <c r="A249" s="5">
        <v>44344</v>
      </c>
      <c r="B249">
        <v>5.5669999999999997E-2</v>
      </c>
      <c r="C249">
        <v>5.5870000000000003E-2</v>
      </c>
      <c r="D249">
        <v>4.9009999999999998E-2</v>
      </c>
      <c r="E249">
        <v>5.2380000000000003E-2</v>
      </c>
      <c r="F249">
        <v>16251399.300000001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-1.7492711370261666E-2</v>
      </c>
      <c r="Q249">
        <f t="shared" si="960"/>
        <v>-284281.03731777251</v>
      </c>
      <c r="R249">
        <f t="shared" si="961"/>
        <v>-1179045513.4774983</v>
      </c>
      <c r="S249">
        <f t="shared" si="962"/>
        <v>-11790.455134774982</v>
      </c>
      <c r="T249">
        <f t="shared" si="963"/>
        <v>-11.790455134774982</v>
      </c>
    </row>
    <row r="250" spans="1:20" x14ac:dyDescent="0.25">
      <c r="A250" s="5">
        <v>44343</v>
      </c>
      <c r="B250">
        <v>5.7610000000000001E-2</v>
      </c>
      <c r="C250">
        <v>5.9760000000000001E-2</v>
      </c>
      <c r="D250">
        <v>5.203E-2</v>
      </c>
      <c r="E250">
        <v>5.577E-2</v>
      </c>
      <c r="F250">
        <v>21393554.300000001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-3.2341526520051775E-2</v>
      </c>
      <c r="Q250">
        <f t="shared" si="960"/>
        <v>-691900.20375161769</v>
      </c>
      <c r="R250">
        <f t="shared" si="961"/>
        <v>-1178761232.4401805</v>
      </c>
      <c r="S250">
        <f t="shared" si="962"/>
        <v>-11787.612324401805</v>
      </c>
      <c r="T250">
        <f t="shared" si="963"/>
        <v>-11.787612324401806</v>
      </c>
    </row>
    <row r="251" spans="1:20" x14ac:dyDescent="0.25">
      <c r="A251" s="5">
        <v>44342</v>
      </c>
      <c r="B251">
        <v>5.5259999999999997E-2</v>
      </c>
      <c r="C251">
        <v>5.765E-2</v>
      </c>
      <c r="D251">
        <v>5.2749999999999998E-2</v>
      </c>
      <c r="E251">
        <v>5.765E-2</v>
      </c>
      <c r="F251">
        <v>32217258.100000001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1</v>
      </c>
      <c r="Q251">
        <f t="shared" si="960"/>
        <v>32217258.100000001</v>
      </c>
      <c r="R251">
        <f t="shared" si="961"/>
        <v>-1178069332.236429</v>
      </c>
      <c r="S251">
        <f t="shared" si="962"/>
        <v>-11780.69332236429</v>
      </c>
      <c r="T251">
        <f t="shared" si="963"/>
        <v>-11.780693322364289</v>
      </c>
    </row>
    <row r="252" spans="1:20" x14ac:dyDescent="0.25">
      <c r="A252" s="5">
        <v>44341</v>
      </c>
      <c r="B252">
        <v>5.5070000000000001E-2</v>
      </c>
      <c r="C252">
        <v>6.8220000000000003E-2</v>
      </c>
      <c r="D252">
        <v>4.999E-2</v>
      </c>
      <c r="E252">
        <v>5.5E-2</v>
      </c>
      <c r="F252">
        <v>137815357.19999999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-0.45035655512890843</v>
      </c>
      <c r="Q252">
        <f t="shared" si="960"/>
        <v>-62066049.512451999</v>
      </c>
      <c r="R252">
        <f t="shared" si="961"/>
        <v>-1210286590.3364289</v>
      </c>
      <c r="S252">
        <f t="shared" si="962"/>
        <v>-12102.865903364289</v>
      </c>
      <c r="T252">
        <f t="shared" si="963"/>
        <v>-12.10286590336429</v>
      </c>
    </row>
    <row r="253" spans="1:20" x14ac:dyDescent="0.25">
      <c r="A253" s="5">
        <v>44340</v>
      </c>
      <c r="B253">
        <v>5.1659999999999998E-2</v>
      </c>
      <c r="C253">
        <v>5.6579999999999998E-2</v>
      </c>
      <c r="D253">
        <v>4.6190000000000002E-2</v>
      </c>
      <c r="E253">
        <v>5.5449999999999999E-2</v>
      </c>
      <c r="F253">
        <v>47430428.399999999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0.78248315688161707</v>
      </c>
      <c r="Q253">
        <f t="shared" si="960"/>
        <v>37113511.346679501</v>
      </c>
      <c r="R253">
        <f t="shared" si="961"/>
        <v>-1148220540.823977</v>
      </c>
      <c r="S253">
        <f t="shared" si="962"/>
        <v>-11482.20540823977</v>
      </c>
      <c r="T253">
        <f t="shared" si="963"/>
        <v>-11.48220540823977</v>
      </c>
    </row>
    <row r="254" spans="1:20" x14ac:dyDescent="0.25">
      <c r="A254" s="5">
        <v>44339</v>
      </c>
      <c r="B254">
        <v>5.9360000000000003E-2</v>
      </c>
      <c r="C254">
        <v>5.9470000000000002E-2</v>
      </c>
      <c r="D254">
        <v>0.04</v>
      </c>
      <c r="E254">
        <v>5.194E-2</v>
      </c>
      <c r="F254">
        <v>54505758.700000003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0.2265023112480738</v>
      </c>
      <c r="Q254">
        <f t="shared" si="960"/>
        <v>12345680.321879806</v>
      </c>
      <c r="R254">
        <f t="shared" si="961"/>
        <v>-1185334052.1706564</v>
      </c>
      <c r="S254">
        <f t="shared" si="962"/>
        <v>-11853.340521706565</v>
      </c>
      <c r="T254">
        <f t="shared" si="963"/>
        <v>-11.853340521706565</v>
      </c>
    </row>
    <row r="255" spans="1:20" x14ac:dyDescent="0.25">
      <c r="A255" s="5">
        <v>44338</v>
      </c>
      <c r="B255">
        <v>5.851E-2</v>
      </c>
      <c r="C255">
        <v>7.8E-2</v>
      </c>
      <c r="D255">
        <v>5.5019999999999999E-2</v>
      </c>
      <c r="E255">
        <v>5.9360000000000003E-2</v>
      </c>
      <c r="F255">
        <v>243515945.80000001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-0.6222802436901651</v>
      </c>
      <c r="Q255">
        <f t="shared" si="960"/>
        <v>-151535162.09486505</v>
      </c>
      <c r="R255">
        <f t="shared" si="961"/>
        <v>-1197679732.4925363</v>
      </c>
      <c r="S255">
        <f t="shared" si="962"/>
        <v>-11976.797324925363</v>
      </c>
      <c r="T255">
        <f t="shared" si="963"/>
        <v>-11.976797324925363</v>
      </c>
    </row>
    <row r="256" spans="1:20" x14ac:dyDescent="0.25">
      <c r="A256" s="5">
        <v>44337</v>
      </c>
      <c r="B256">
        <v>5.4120000000000001E-2</v>
      </c>
      <c r="C256">
        <v>6.3E-2</v>
      </c>
      <c r="D256">
        <v>4.7550000000000002E-2</v>
      </c>
      <c r="E256">
        <v>5.8860000000000003E-2</v>
      </c>
      <c r="F256">
        <v>78638963.700000003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0.46407766990291283</v>
      </c>
      <c r="Q256">
        <f t="shared" si="960"/>
        <v>36494587.037475742</v>
      </c>
      <c r="R256">
        <f t="shared" si="961"/>
        <v>-1046144570.3976713</v>
      </c>
      <c r="S256">
        <f t="shared" si="962"/>
        <v>-10461.445703976713</v>
      </c>
      <c r="T256">
        <f t="shared" si="963"/>
        <v>-10.461445703976713</v>
      </c>
    </row>
    <row r="257" spans="1:20" x14ac:dyDescent="0.25">
      <c r="A257" s="5">
        <v>44336</v>
      </c>
      <c r="B257">
        <v>4.3470000000000002E-2</v>
      </c>
      <c r="C257">
        <v>5.4399999999999997E-2</v>
      </c>
      <c r="D257">
        <v>3.9829999999999997E-2</v>
      </c>
      <c r="E257">
        <v>5.4399999999999997E-2</v>
      </c>
      <c r="F257">
        <v>28593031.100000001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1</v>
      </c>
      <c r="Q257">
        <f t="shared" si="960"/>
        <v>28593031.100000001</v>
      </c>
      <c r="R257">
        <f t="shared" si="961"/>
        <v>-1082639157.435147</v>
      </c>
      <c r="S257">
        <f t="shared" si="962"/>
        <v>-10826.39157435147</v>
      </c>
      <c r="T257">
        <f t="shared" si="963"/>
        <v>-10.82639157435147</v>
      </c>
    </row>
    <row r="258" spans="1:20" x14ac:dyDescent="0.25">
      <c r="A258" s="5">
        <v>44335</v>
      </c>
      <c r="B258">
        <v>6.207E-2</v>
      </c>
      <c r="C258">
        <v>6.4159999999999995E-2</v>
      </c>
      <c r="D258">
        <v>3.3000000000000002E-2</v>
      </c>
      <c r="E258">
        <v>4.3069999999999997E-2</v>
      </c>
      <c r="F258">
        <v>54139502.600000001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-0.353658536585366</v>
      </c>
      <c r="Q258">
        <f t="shared" si="960"/>
        <v>-19146897.260975618</v>
      </c>
      <c r="R258">
        <f t="shared" si="961"/>
        <v>-1111232188.535147</v>
      </c>
      <c r="S258">
        <f t="shared" si="962"/>
        <v>-11112.32188535147</v>
      </c>
      <c r="T258">
        <f t="shared" si="963"/>
        <v>-11.11232188535147</v>
      </c>
    </row>
    <row r="259" spans="1:20" x14ac:dyDescent="0.25">
      <c r="A259" s="5">
        <v>44334</v>
      </c>
      <c r="B259">
        <v>5.9679999999999997E-2</v>
      </c>
      <c r="C259">
        <v>6.5549999999999997E-2</v>
      </c>
      <c r="D259">
        <v>5.8720000000000001E-2</v>
      </c>
      <c r="E259">
        <v>6.2039999999999998E-2</v>
      </c>
      <c r="F259">
        <v>29648270.899999999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-2.7818448023426468E-2</v>
      </c>
      <c r="Q259">
        <f t="shared" si="960"/>
        <v>-824768.88301611738</v>
      </c>
      <c r="R259">
        <f t="shared" si="961"/>
        <v>-1092085291.2741714</v>
      </c>
      <c r="S259">
        <f t="shared" si="962"/>
        <v>-10920.852912741713</v>
      </c>
      <c r="T259">
        <f t="shared" si="963"/>
        <v>-10.920852912741713</v>
      </c>
    </row>
    <row r="260" spans="1:20" x14ac:dyDescent="0.25">
      <c r="A260" s="5">
        <v>44333</v>
      </c>
      <c r="B260">
        <v>6.6619999999999999E-2</v>
      </c>
      <c r="C260">
        <v>7.2999999999999995E-2</v>
      </c>
      <c r="D260">
        <v>5.6910000000000002E-2</v>
      </c>
      <c r="E260">
        <v>5.9679999999999997E-2</v>
      </c>
      <c r="F260">
        <v>66037498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-0.65568676196395326</v>
      </c>
      <c r="Q260">
        <f t="shared" si="960"/>
        <v>-43299913.231821038</v>
      </c>
      <c r="R260">
        <f t="shared" si="961"/>
        <v>-1091260522.3911552</v>
      </c>
      <c r="S260">
        <f t="shared" si="962"/>
        <v>-10912.605223911552</v>
      </c>
      <c r="T260">
        <f t="shared" si="963"/>
        <v>-10.912605223911552</v>
      </c>
    </row>
    <row r="261" spans="1:20" x14ac:dyDescent="0.25">
      <c r="A261" s="5">
        <v>44332</v>
      </c>
      <c r="B261">
        <v>6.7879999999999996E-2</v>
      </c>
      <c r="C261">
        <v>7.8E-2</v>
      </c>
      <c r="D261">
        <v>6.3700000000000007E-2</v>
      </c>
      <c r="E261">
        <v>6.6710000000000005E-2</v>
      </c>
      <c r="F261">
        <v>85905222.099999994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-0.57902097902097904</v>
      </c>
      <c r="Q261">
        <f t="shared" si="960"/>
        <v>-49740925.80335664</v>
      </c>
      <c r="R261">
        <f t="shared" si="961"/>
        <v>-1047960609.1593342</v>
      </c>
      <c r="S261">
        <f t="shared" si="962"/>
        <v>-10479.606091593341</v>
      </c>
      <c r="T261">
        <f t="shared" si="963"/>
        <v>-10.479606091593341</v>
      </c>
    </row>
    <row r="262" spans="1:20" x14ac:dyDescent="0.25">
      <c r="A262" s="5">
        <v>44331</v>
      </c>
      <c r="B262">
        <v>7.4289999999999995E-2</v>
      </c>
      <c r="C262">
        <v>7.6749999999999999E-2</v>
      </c>
      <c r="D262">
        <v>6.7369999999999999E-2</v>
      </c>
      <c r="E262">
        <v>6.7890000000000006E-2</v>
      </c>
      <c r="F262">
        <v>34969256.100000001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-0.88912579957355931</v>
      </c>
      <c r="Q262">
        <f t="shared" ref="Q262:Q325" si="965">F262*P262</f>
        <v>-31092067.790405069</v>
      </c>
      <c r="R262">
        <f t="shared" ref="R262:R325" si="966">R263+Q262</f>
        <v>-998219683.35597754</v>
      </c>
      <c r="S262">
        <f t="shared" ref="S262:S325" si="967">R262/100000</f>
        <v>-9982.1968335597758</v>
      </c>
      <c r="T262">
        <f t="shared" ref="T262:T325" si="968">S262/1000</f>
        <v>-9.9821968335597759</v>
      </c>
    </row>
    <row r="263" spans="1:20" x14ac:dyDescent="0.25">
      <c r="A263" s="5">
        <v>44330</v>
      </c>
      <c r="B263">
        <v>6.6860000000000003E-2</v>
      </c>
      <c r="C263">
        <v>7.9000000000000001E-2</v>
      </c>
      <c r="D263">
        <v>6.651E-2</v>
      </c>
      <c r="E263">
        <v>7.4300000000000005E-2</v>
      </c>
      <c r="F263">
        <v>81193560.700000003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0.24739791833466845</v>
      </c>
      <c r="Q263">
        <f t="shared" si="965"/>
        <v>20087117.899359547</v>
      </c>
      <c r="R263">
        <f t="shared" si="966"/>
        <v>-967127615.5655725</v>
      </c>
      <c r="S263">
        <f t="shared" si="967"/>
        <v>-9671.2761556557252</v>
      </c>
      <c r="T263">
        <f t="shared" si="968"/>
        <v>-9.6712761556557254</v>
      </c>
    </row>
    <row r="264" spans="1:20" x14ac:dyDescent="0.25">
      <c r="A264" s="5">
        <v>44329</v>
      </c>
      <c r="B264">
        <v>6.5000000000000002E-2</v>
      </c>
      <c r="C264">
        <v>7.0499999999999993E-2</v>
      </c>
      <c r="D264">
        <v>6.3409999999999994E-2</v>
      </c>
      <c r="E264">
        <v>6.7110000000000003E-2</v>
      </c>
      <c r="F264">
        <v>34194904.200000003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4.37235543018362E-2</v>
      </c>
      <c r="Q264">
        <f t="shared" si="965"/>
        <v>1495122.7506347869</v>
      </c>
      <c r="R264">
        <f t="shared" si="966"/>
        <v>-987214733.46493208</v>
      </c>
      <c r="S264">
        <f t="shared" si="967"/>
        <v>-9872.1473346493203</v>
      </c>
      <c r="T264">
        <f t="shared" si="968"/>
        <v>-9.8721473346493198</v>
      </c>
    </row>
    <row r="265" spans="1:20" x14ac:dyDescent="0.25">
      <c r="A265" s="5">
        <v>44328</v>
      </c>
      <c r="B265">
        <v>7.5730000000000006E-2</v>
      </c>
      <c r="C265">
        <v>8.1000000000000003E-2</v>
      </c>
      <c r="D265">
        <v>6.4579999999999999E-2</v>
      </c>
      <c r="E265">
        <v>6.4890000000000003E-2</v>
      </c>
      <c r="F265">
        <v>47136797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-0.96224116930572412</v>
      </c>
      <c r="Q265">
        <f t="shared" si="965"/>
        <v>-45356966.662606552</v>
      </c>
      <c r="R265">
        <f t="shared" si="966"/>
        <v>-988709856.21556687</v>
      </c>
      <c r="S265">
        <f t="shared" si="967"/>
        <v>-9887.0985621556683</v>
      </c>
      <c r="T265">
        <f t="shared" si="968"/>
        <v>-9.8870985621556677</v>
      </c>
    </row>
    <row r="266" spans="1:20" x14ac:dyDescent="0.25">
      <c r="A266" s="5">
        <v>44327</v>
      </c>
      <c r="B266">
        <v>7.0379999999999998E-2</v>
      </c>
      <c r="C266">
        <v>8.1640000000000004E-2</v>
      </c>
      <c r="D266">
        <v>6.8949999999999997E-2</v>
      </c>
      <c r="E266">
        <v>7.5749999999999998E-2</v>
      </c>
      <c r="F266">
        <v>111972121.7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7.1710007880220153E-2</v>
      </c>
      <c r="Q266">
        <f t="shared" si="965"/>
        <v>8029521.7294719703</v>
      </c>
      <c r="R266">
        <f t="shared" si="966"/>
        <v>-943352889.55296028</v>
      </c>
      <c r="S266">
        <f t="shared" si="967"/>
        <v>-9433.5288955296019</v>
      </c>
      <c r="T266">
        <f t="shared" si="968"/>
        <v>-9.4335288955296015</v>
      </c>
    </row>
    <row r="267" spans="1:20" x14ac:dyDescent="0.25">
      <c r="A267" s="5">
        <v>44326</v>
      </c>
      <c r="B267">
        <v>7.7049999999999993E-2</v>
      </c>
      <c r="C267">
        <v>7.9000000000000001E-2</v>
      </c>
      <c r="D267">
        <v>6.6009999999999999E-2</v>
      </c>
      <c r="E267">
        <v>7.0559999999999998E-2</v>
      </c>
      <c r="F267">
        <v>49288090.299999997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-0.29946112394149377</v>
      </c>
      <c r="Q267">
        <f t="shared" si="965"/>
        <v>-14759866.918167835</v>
      </c>
      <c r="R267">
        <f t="shared" si="966"/>
        <v>-951382411.2824322</v>
      </c>
      <c r="S267">
        <f t="shared" si="967"/>
        <v>-9513.8241128243226</v>
      </c>
      <c r="T267">
        <f t="shared" si="968"/>
        <v>-9.5138241128243219</v>
      </c>
    </row>
    <row r="268" spans="1:20" x14ac:dyDescent="0.25">
      <c r="A268" s="5">
        <v>44325</v>
      </c>
      <c r="B268">
        <v>7.6350000000000001E-2</v>
      </c>
      <c r="C268">
        <v>7.9899999999999999E-2</v>
      </c>
      <c r="D268">
        <v>7.1999999999999995E-2</v>
      </c>
      <c r="E268">
        <v>7.6999999999999999E-2</v>
      </c>
      <c r="F268">
        <v>61174319.200000003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0.265822784810127</v>
      </c>
      <c r="Q268">
        <f t="shared" si="965"/>
        <v>16261527.888607621</v>
      </c>
      <c r="R268">
        <f t="shared" si="966"/>
        <v>-936622544.36426437</v>
      </c>
      <c r="S268">
        <f t="shared" si="967"/>
        <v>-9366.2254436426429</v>
      </c>
      <c r="T268">
        <f t="shared" si="968"/>
        <v>-9.3662254436426426</v>
      </c>
    </row>
    <row r="269" spans="1:20" x14ac:dyDescent="0.25">
      <c r="A269" s="5">
        <v>44324</v>
      </c>
      <c r="B269">
        <v>7.7929999999999999E-2</v>
      </c>
      <c r="C269">
        <v>7.9450000000000007E-2</v>
      </c>
      <c r="D269">
        <v>7.4969999999999995E-2</v>
      </c>
      <c r="E269">
        <v>7.6240000000000002E-2</v>
      </c>
      <c r="F269">
        <v>26555034.699999999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-0.43303571428571253</v>
      </c>
      <c r="Q269">
        <f t="shared" si="965"/>
        <v>-11499278.419196382</v>
      </c>
      <c r="R269">
        <f t="shared" si="966"/>
        <v>-952884072.25287199</v>
      </c>
      <c r="S269">
        <f t="shared" si="967"/>
        <v>-9528.8407225287192</v>
      </c>
      <c r="T269">
        <f t="shared" si="968"/>
        <v>-9.5288407225287184</v>
      </c>
    </row>
    <row r="270" spans="1:20" x14ac:dyDescent="0.25">
      <c r="A270" s="5">
        <v>44323</v>
      </c>
      <c r="B270">
        <v>7.8960000000000002E-2</v>
      </c>
      <c r="C270">
        <v>8.4489999999999996E-2</v>
      </c>
      <c r="D270">
        <v>7.1999999999999995E-2</v>
      </c>
      <c r="E270">
        <v>7.7929999999999999E-2</v>
      </c>
      <c r="F270">
        <v>88802431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-5.0440352281824787E-2</v>
      </c>
      <c r="Q270">
        <f t="shared" si="965"/>
        <v>-4479225.9031224381</v>
      </c>
      <c r="R270">
        <f t="shared" si="966"/>
        <v>-941384793.83367562</v>
      </c>
      <c r="S270">
        <f t="shared" si="967"/>
        <v>-9413.8479383367558</v>
      </c>
      <c r="T270">
        <f t="shared" si="968"/>
        <v>-9.4138479383367564</v>
      </c>
    </row>
    <row r="271" spans="1:20" x14ac:dyDescent="0.25">
      <c r="A271" s="5">
        <v>44322</v>
      </c>
      <c r="B271">
        <v>8.5120000000000001E-2</v>
      </c>
      <c r="C271">
        <v>8.5569999999999993E-2</v>
      </c>
      <c r="D271">
        <v>7.8039999999999998E-2</v>
      </c>
      <c r="E271">
        <v>7.9070000000000001E-2</v>
      </c>
      <c r="F271">
        <v>55081037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-0.72642762284196449</v>
      </c>
      <c r="Q271">
        <f t="shared" si="965"/>
        <v>-40012386.771580294</v>
      </c>
      <c r="R271">
        <f t="shared" si="966"/>
        <v>-936905567.9305532</v>
      </c>
      <c r="S271">
        <f t="shared" si="967"/>
        <v>-9369.0556793055312</v>
      </c>
      <c r="T271">
        <f t="shared" si="968"/>
        <v>-9.3690556793055304</v>
      </c>
    </row>
    <row r="272" spans="1:20" x14ac:dyDescent="0.25">
      <c r="A272" s="5">
        <v>44321</v>
      </c>
      <c r="B272">
        <v>8.0379999999999993E-2</v>
      </c>
      <c r="C272">
        <v>8.677E-2</v>
      </c>
      <c r="D272">
        <v>7.8109999999999999E-2</v>
      </c>
      <c r="E272">
        <v>8.5220000000000004E-2</v>
      </c>
      <c r="F272">
        <v>109752653.8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0.64203233256351144</v>
      </c>
      <c r="Q272">
        <f t="shared" si="965"/>
        <v>70464752.324249536</v>
      </c>
      <c r="R272">
        <f t="shared" si="966"/>
        <v>-896893181.15897286</v>
      </c>
      <c r="S272">
        <f t="shared" si="967"/>
        <v>-8968.9318115897295</v>
      </c>
      <c r="T272">
        <f t="shared" si="968"/>
        <v>-8.9689318115897301</v>
      </c>
    </row>
    <row r="273" spans="1:20" x14ac:dyDescent="0.25">
      <c r="A273" s="5">
        <v>44320</v>
      </c>
      <c r="B273">
        <v>8.0089999999999995E-2</v>
      </c>
      <c r="C273">
        <v>0.10693</v>
      </c>
      <c r="D273">
        <v>7.0040000000000005E-2</v>
      </c>
      <c r="E273">
        <v>8.0030000000000004E-2</v>
      </c>
      <c r="F273">
        <v>535334899.5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-0.45838980753591752</v>
      </c>
      <c r="Q273">
        <f t="shared" si="965"/>
        <v>-245392061.54906476</v>
      </c>
      <c r="R273">
        <f t="shared" si="966"/>
        <v>-967357933.48322237</v>
      </c>
      <c r="S273">
        <f t="shared" si="967"/>
        <v>-9673.579334832224</v>
      </c>
      <c r="T273">
        <f t="shared" si="968"/>
        <v>-9.6735793348322243</v>
      </c>
    </row>
    <row r="274" spans="1:20" x14ac:dyDescent="0.25">
      <c r="A274" s="5">
        <v>44319</v>
      </c>
      <c r="B274">
        <v>7.9259999999999997E-2</v>
      </c>
      <c r="C274">
        <v>8.4000000000000005E-2</v>
      </c>
      <c r="D274">
        <v>7.8509999999999996E-2</v>
      </c>
      <c r="E274">
        <v>7.9949999999999993E-2</v>
      </c>
      <c r="F274">
        <v>74373113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-0.47540983606557574</v>
      </c>
      <c r="Q274">
        <f t="shared" si="965"/>
        <v>-35357709.459016539</v>
      </c>
      <c r="R274">
        <f t="shared" si="966"/>
        <v>-721965871.93415761</v>
      </c>
      <c r="S274">
        <f t="shared" si="967"/>
        <v>-7219.6587193415762</v>
      </c>
      <c r="T274">
        <f t="shared" si="968"/>
        <v>-7.2196587193415764</v>
      </c>
    </row>
    <row r="275" spans="1:20" x14ac:dyDescent="0.25">
      <c r="A275" s="5">
        <v>44318</v>
      </c>
      <c r="B275">
        <v>8.0820000000000003E-2</v>
      </c>
      <c r="C275">
        <v>8.3159999999999998E-2</v>
      </c>
      <c r="D275">
        <v>7.6999999999999999E-2</v>
      </c>
      <c r="E275">
        <v>7.9269999999999993E-2</v>
      </c>
      <c r="F275">
        <v>45842061.5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-0.26298701298701471</v>
      </c>
      <c r="Q275">
        <f t="shared" si="965"/>
        <v>-12055866.823052026</v>
      </c>
      <c r="R275">
        <f t="shared" si="966"/>
        <v>-686608162.47514105</v>
      </c>
      <c r="S275">
        <f t="shared" si="967"/>
        <v>-6866.0816247514103</v>
      </c>
      <c r="T275">
        <f t="shared" si="968"/>
        <v>-6.86608162475141</v>
      </c>
    </row>
    <row r="276" spans="1:20" x14ac:dyDescent="0.25">
      <c r="A276" s="5">
        <v>44317</v>
      </c>
      <c r="B276">
        <v>8.1100000000000005E-2</v>
      </c>
      <c r="C276">
        <v>8.4500000000000006E-2</v>
      </c>
      <c r="D276">
        <v>7.6780000000000001E-2</v>
      </c>
      <c r="E276">
        <v>8.0810000000000007E-2</v>
      </c>
      <c r="F276">
        <v>79389523.5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4.4041450777202951E-2</v>
      </c>
      <c r="Q276">
        <f t="shared" si="965"/>
        <v>3496429.7914508469</v>
      </c>
      <c r="R276">
        <f t="shared" si="966"/>
        <v>-674552295.652089</v>
      </c>
      <c r="S276">
        <f t="shared" si="967"/>
        <v>-6745.5229565208901</v>
      </c>
      <c r="T276">
        <f t="shared" si="968"/>
        <v>-6.7455229565208903</v>
      </c>
    </row>
    <row r="277" spans="1:20" x14ac:dyDescent="0.25">
      <c r="A277" s="5">
        <v>44316</v>
      </c>
      <c r="B277">
        <v>7.8649999999999998E-2</v>
      </c>
      <c r="C277">
        <v>8.1500000000000003E-2</v>
      </c>
      <c r="D277">
        <v>7.603E-2</v>
      </c>
      <c r="E277">
        <v>8.1030000000000005E-2</v>
      </c>
      <c r="F277">
        <v>42399328.700000003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0.82815356489945224</v>
      </c>
      <c r="Q277">
        <f t="shared" si="965"/>
        <v>35113155.212248661</v>
      </c>
      <c r="R277">
        <f t="shared" si="966"/>
        <v>-678048725.44353986</v>
      </c>
      <c r="S277">
        <f t="shared" si="967"/>
        <v>-6780.4872544353984</v>
      </c>
      <c r="T277">
        <f t="shared" si="968"/>
        <v>-6.780487254435398</v>
      </c>
    </row>
    <row r="278" spans="1:20" x14ac:dyDescent="0.25">
      <c r="A278" s="5">
        <v>44315</v>
      </c>
      <c r="B278">
        <v>8.2479999999999998E-2</v>
      </c>
      <c r="C278">
        <v>8.2669999999999993E-2</v>
      </c>
      <c r="D278">
        <v>7.5560000000000002E-2</v>
      </c>
      <c r="E278">
        <v>7.8659999999999994E-2</v>
      </c>
      <c r="F278">
        <v>34346517.399999999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-0.12798874824191409</v>
      </c>
      <c r="Q278">
        <f t="shared" si="965"/>
        <v>-4395967.768495121</v>
      </c>
      <c r="R278">
        <f t="shared" si="966"/>
        <v>-713161880.65578854</v>
      </c>
      <c r="S278">
        <f t="shared" si="967"/>
        <v>-7131.6188065578854</v>
      </c>
      <c r="T278">
        <f t="shared" si="968"/>
        <v>-7.1316188065578849</v>
      </c>
    </row>
    <row r="279" spans="1:20" x14ac:dyDescent="0.25">
      <c r="A279" s="5">
        <v>44314</v>
      </c>
      <c r="B279">
        <v>8.7679999999999994E-2</v>
      </c>
      <c r="C279">
        <v>8.9899999999999994E-2</v>
      </c>
      <c r="D279">
        <v>7.6550000000000007E-2</v>
      </c>
      <c r="E279">
        <v>8.2479999999999998E-2</v>
      </c>
      <c r="F279">
        <v>61985186.799999997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-0.11161048689138627</v>
      </c>
      <c r="Q279">
        <f t="shared" si="965"/>
        <v>-6918196.8788015284</v>
      </c>
      <c r="R279">
        <f t="shared" si="966"/>
        <v>-708765912.88729346</v>
      </c>
      <c r="S279">
        <f t="shared" si="967"/>
        <v>-7087.6591288729342</v>
      </c>
      <c r="T279">
        <f t="shared" si="968"/>
        <v>-7.087659128872934</v>
      </c>
    </row>
    <row r="280" spans="1:20" x14ac:dyDescent="0.25">
      <c r="A280" s="5">
        <v>44313</v>
      </c>
      <c r="B280">
        <v>8.4220000000000003E-2</v>
      </c>
      <c r="C280">
        <v>8.7929999999999994E-2</v>
      </c>
      <c r="D280">
        <v>7.9710000000000003E-2</v>
      </c>
      <c r="E280">
        <v>8.7929999999999994E-2</v>
      </c>
      <c r="F280">
        <v>62309085.200000003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1</v>
      </c>
      <c r="Q280">
        <f t="shared" si="965"/>
        <v>62309085.200000003</v>
      </c>
      <c r="R280">
        <f t="shared" si="966"/>
        <v>-701847716.00849187</v>
      </c>
      <c r="S280">
        <f t="shared" si="967"/>
        <v>-7018.477160084919</v>
      </c>
      <c r="T280">
        <f t="shared" si="968"/>
        <v>-7.0184771600849194</v>
      </c>
    </row>
    <row r="281" spans="1:20" x14ac:dyDescent="0.25">
      <c r="A281" s="5">
        <v>44312</v>
      </c>
      <c r="B281">
        <v>7.2160000000000002E-2</v>
      </c>
      <c r="C281">
        <v>8.4989999999999996E-2</v>
      </c>
      <c r="D281">
        <v>6.9819999999999993E-2</v>
      </c>
      <c r="E281">
        <v>8.4010000000000001E-2</v>
      </c>
      <c r="F281">
        <v>66997657.100000001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0.87079762689518858</v>
      </c>
      <c r="Q281">
        <f t="shared" si="965"/>
        <v>58341400.810217582</v>
      </c>
      <c r="R281">
        <f t="shared" si="966"/>
        <v>-764156801.20849192</v>
      </c>
      <c r="S281">
        <f t="shared" si="967"/>
        <v>-7641.5680120849192</v>
      </c>
      <c r="T281">
        <f t="shared" si="968"/>
        <v>-7.6415680120849192</v>
      </c>
    </row>
    <row r="282" spans="1:20" x14ac:dyDescent="0.25">
      <c r="A282" s="5">
        <v>44311</v>
      </c>
      <c r="B282">
        <v>7.3039999999999994E-2</v>
      </c>
      <c r="C282">
        <v>7.9000000000000001E-2</v>
      </c>
      <c r="D282">
        <v>6.5600000000000006E-2</v>
      </c>
      <c r="E282">
        <v>7.2359999999999994E-2</v>
      </c>
      <c r="F282">
        <v>73716785.799999997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8.9552238805956173E-3</v>
      </c>
      <c r="Q282">
        <f t="shared" si="965"/>
        <v>660150.32059691183</v>
      </c>
      <c r="R282">
        <f t="shared" si="966"/>
        <v>-822498202.01870954</v>
      </c>
      <c r="S282">
        <f t="shared" si="967"/>
        <v>-8224.9820201870953</v>
      </c>
      <c r="T282">
        <f t="shared" si="968"/>
        <v>-8.2249820201870953</v>
      </c>
    </row>
    <row r="283" spans="1:20" x14ac:dyDescent="0.25">
      <c r="A283" s="5">
        <v>44310</v>
      </c>
      <c r="B283">
        <v>7.1660000000000001E-2</v>
      </c>
      <c r="C283">
        <v>8.2830000000000001E-2</v>
      </c>
      <c r="D283">
        <v>6.8290000000000003E-2</v>
      </c>
      <c r="E283">
        <v>7.3039999999999994E-2</v>
      </c>
      <c r="F283">
        <v>168494468.80000001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-0.34662998624484304</v>
      </c>
      <c r="Q283">
        <f t="shared" si="965"/>
        <v>-58405235.402476139</v>
      </c>
      <c r="R283">
        <f t="shared" si="966"/>
        <v>-823158352.33930647</v>
      </c>
      <c r="S283">
        <f t="shared" si="967"/>
        <v>-8231.5835233930648</v>
      </c>
      <c r="T283">
        <f t="shared" si="968"/>
        <v>-8.2315835233930645</v>
      </c>
    </row>
    <row r="284" spans="1:20" x14ac:dyDescent="0.25">
      <c r="A284" s="5">
        <v>44309</v>
      </c>
      <c r="B284">
        <v>6.5009999999999998E-2</v>
      </c>
      <c r="C284">
        <v>9.8000000000000004E-2</v>
      </c>
      <c r="D284">
        <v>6.4259999999999998E-2</v>
      </c>
      <c r="E284">
        <v>7.1629999999999999E-2</v>
      </c>
      <c r="F284">
        <v>504821575.5</v>
      </c>
      <c r="G284">
        <v>0</v>
      </c>
      <c r="L284" t="s">
        <v>8</v>
      </c>
      <c r="M284" t="s">
        <v>8</v>
      </c>
      <c r="N284" t="s">
        <v>8</v>
      </c>
      <c r="P284">
        <f t="shared" si="964"/>
        <v>-0.56312981624184943</v>
      </c>
      <c r="Q284">
        <f t="shared" si="965"/>
        <v>-284280081.04623592</v>
      </c>
      <c r="R284">
        <f t="shared" si="966"/>
        <v>-764753116.93683028</v>
      </c>
      <c r="S284">
        <f t="shared" si="967"/>
        <v>-7647.5311693683025</v>
      </c>
      <c r="T284">
        <f t="shared" si="968"/>
        <v>-7.6475311693683024</v>
      </c>
    </row>
    <row r="285" spans="1:20" x14ac:dyDescent="0.25">
      <c r="A285" s="5">
        <v>44308</v>
      </c>
      <c r="B285">
        <v>8.0280000000000004E-2</v>
      </c>
      <c r="C285">
        <v>8.0430000000000001E-2</v>
      </c>
      <c r="D285">
        <v>6.4479999999999996E-2</v>
      </c>
      <c r="E285">
        <v>6.5000000000000002E-2</v>
      </c>
      <c r="F285">
        <v>150301394.59999999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-0.9347962382445133</v>
      </c>
      <c r="Q285">
        <f t="shared" si="965"/>
        <v>-140501178.27498421</v>
      </c>
      <c r="R285">
        <f t="shared" si="966"/>
        <v>-480473035.89059436</v>
      </c>
      <c r="S285">
        <f t="shared" si="967"/>
        <v>-4804.7303589059438</v>
      </c>
      <c r="T285">
        <f t="shared" si="968"/>
        <v>-4.8047303589059442</v>
      </c>
    </row>
    <row r="286" spans="1:20" x14ac:dyDescent="0.25">
      <c r="A286" s="5">
        <v>44307</v>
      </c>
      <c r="B286">
        <v>9.3810000000000004E-2</v>
      </c>
      <c r="C286">
        <v>9.6360000000000001E-2</v>
      </c>
      <c r="D286">
        <v>7.8490000000000004E-2</v>
      </c>
      <c r="E286">
        <v>8.0299999999999996E-2</v>
      </c>
      <c r="F286">
        <v>279930632.89999998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-0.79742585338556327</v>
      </c>
      <c r="Q286">
        <f t="shared" si="965"/>
        <v>-223223923.8290433</v>
      </c>
      <c r="R286">
        <f t="shared" si="966"/>
        <v>-339971857.61561018</v>
      </c>
      <c r="S286">
        <f t="shared" si="967"/>
        <v>-3399.7185761561018</v>
      </c>
      <c r="T286">
        <f t="shared" si="968"/>
        <v>-3.399718576156102</v>
      </c>
    </row>
    <row r="287" spans="1:20" x14ac:dyDescent="0.25">
      <c r="A287" s="5">
        <v>44306</v>
      </c>
      <c r="B287">
        <v>6.7360000000000003E-2</v>
      </c>
      <c r="C287">
        <v>0.1323</v>
      </c>
      <c r="D287">
        <v>6.6669999999999993E-2</v>
      </c>
      <c r="E287">
        <v>9.3820000000000001E-2</v>
      </c>
      <c r="F287">
        <v>1105864857.7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-0.17263446594545165</v>
      </c>
      <c r="Q287">
        <f t="shared" si="965"/>
        <v>-190910389.11688238</v>
      </c>
      <c r="R287">
        <f t="shared" si="966"/>
        <v>-116747933.7865669</v>
      </c>
      <c r="S287">
        <f t="shared" si="967"/>
        <v>-1167.4793378656691</v>
      </c>
      <c r="T287">
        <f t="shared" si="968"/>
        <v>-1.1674793378656692</v>
      </c>
    </row>
    <row r="288" spans="1:20" x14ac:dyDescent="0.25">
      <c r="A288" s="5">
        <v>44305</v>
      </c>
      <c r="B288">
        <v>7.2580000000000006E-2</v>
      </c>
      <c r="C288">
        <v>7.3550000000000004E-2</v>
      </c>
      <c r="D288">
        <v>6.4909999999999995E-2</v>
      </c>
      <c r="E288">
        <v>6.726E-2</v>
      </c>
      <c r="F288">
        <v>28763362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-0.45601851851851793</v>
      </c>
      <c r="Q288">
        <f t="shared" si="965"/>
        <v>-13116625.726851836</v>
      </c>
      <c r="R288">
        <f t="shared" si="966"/>
        <v>74162455.330315486</v>
      </c>
      <c r="S288">
        <f t="shared" si="967"/>
        <v>741.62455330315481</v>
      </c>
      <c r="T288">
        <f t="shared" si="968"/>
        <v>0.7416245533031548</v>
      </c>
    </row>
    <row r="289" spans="1:20" x14ac:dyDescent="0.25">
      <c r="A289" s="5">
        <v>44304</v>
      </c>
      <c r="B289">
        <v>7.9320000000000002E-2</v>
      </c>
      <c r="C289">
        <v>7.936E-2</v>
      </c>
      <c r="D289">
        <v>6.3640000000000002E-2</v>
      </c>
      <c r="E289">
        <v>7.2650000000000006E-2</v>
      </c>
      <c r="F289">
        <v>42423760.799999997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0.14631043256997522</v>
      </c>
      <c r="Q289">
        <f t="shared" si="965"/>
        <v>6207038.7938931575</v>
      </c>
      <c r="R289">
        <f t="shared" si="966"/>
        <v>87279081.057167321</v>
      </c>
      <c r="S289">
        <f t="shared" si="967"/>
        <v>872.79081057167321</v>
      </c>
      <c r="T289">
        <f t="shared" si="968"/>
        <v>0.87279081057167318</v>
      </c>
    </row>
    <row r="290" spans="1:20" x14ac:dyDescent="0.25">
      <c r="A290" s="5">
        <v>44303</v>
      </c>
      <c r="B290">
        <v>7.8530000000000003E-2</v>
      </c>
      <c r="C290">
        <v>8.1000000000000003E-2</v>
      </c>
      <c r="D290">
        <v>7.6270000000000004E-2</v>
      </c>
      <c r="E290">
        <v>7.9189999999999997E-2</v>
      </c>
      <c r="F290">
        <v>40329815.200000003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0.23467230443974343</v>
      </c>
      <c r="Q290">
        <f t="shared" si="965"/>
        <v>9464290.6706129927</v>
      </c>
      <c r="R290">
        <f t="shared" si="966"/>
        <v>81072042.263274163</v>
      </c>
      <c r="S290">
        <f t="shared" si="967"/>
        <v>810.72042263274159</v>
      </c>
      <c r="T290">
        <f t="shared" si="968"/>
        <v>0.81072042263274158</v>
      </c>
    </row>
    <row r="291" spans="1:20" x14ac:dyDescent="0.25">
      <c r="A291" s="5">
        <v>44302</v>
      </c>
      <c r="B291">
        <v>8.6180000000000007E-2</v>
      </c>
      <c r="C291">
        <v>8.6470000000000005E-2</v>
      </c>
      <c r="D291">
        <v>7.3700000000000002E-2</v>
      </c>
      <c r="E291">
        <v>7.8060000000000004E-2</v>
      </c>
      <c r="F291">
        <v>50130072.100000001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-0.31714956930305377</v>
      </c>
      <c r="Q291">
        <f t="shared" si="965"/>
        <v>-15898730.775646033</v>
      </c>
      <c r="R291">
        <f t="shared" si="966"/>
        <v>71607751.592661172</v>
      </c>
      <c r="S291">
        <f t="shared" si="967"/>
        <v>716.07751592661168</v>
      </c>
      <c r="T291">
        <f t="shared" si="968"/>
        <v>0.71607751592661173</v>
      </c>
    </row>
    <row r="292" spans="1:20" x14ac:dyDescent="0.25">
      <c r="A292" s="5">
        <v>44301</v>
      </c>
      <c r="B292">
        <v>8.004E-2</v>
      </c>
      <c r="C292">
        <v>8.7400000000000005E-2</v>
      </c>
      <c r="D292">
        <v>7.9320000000000002E-2</v>
      </c>
      <c r="E292">
        <v>8.6209999999999995E-2</v>
      </c>
      <c r="F292">
        <v>53683899.899999999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0.70544554455445296</v>
      </c>
      <c r="Q292">
        <f t="shared" si="965"/>
        <v>37871067.998762242</v>
      </c>
      <c r="R292">
        <f t="shared" si="966"/>
        <v>87506482.368307203</v>
      </c>
      <c r="S292">
        <f t="shared" si="967"/>
        <v>875.06482368307206</v>
      </c>
      <c r="T292">
        <f t="shared" si="968"/>
        <v>0.87506482368307204</v>
      </c>
    </row>
    <row r="293" spans="1:20" x14ac:dyDescent="0.25">
      <c r="A293" s="5">
        <v>44300</v>
      </c>
      <c r="B293">
        <v>8.3419999999999994E-2</v>
      </c>
      <c r="C293">
        <v>8.5830000000000004E-2</v>
      </c>
      <c r="D293">
        <v>7.4759999999999993E-2</v>
      </c>
      <c r="E293">
        <v>7.9699999999999993E-2</v>
      </c>
      <c r="F293">
        <v>77647150.200000003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-0.10749774164408396</v>
      </c>
      <c r="Q293">
        <f t="shared" si="965"/>
        <v>-8346893.2915989822</v>
      </c>
      <c r="R293">
        <f t="shared" si="966"/>
        <v>49635414.369544961</v>
      </c>
      <c r="S293">
        <f t="shared" si="967"/>
        <v>496.35414369544958</v>
      </c>
      <c r="T293">
        <f t="shared" si="968"/>
        <v>0.49635414369544956</v>
      </c>
    </row>
    <row r="294" spans="1:20" x14ac:dyDescent="0.25">
      <c r="A294" s="5">
        <v>44299</v>
      </c>
      <c r="B294">
        <v>8.4790000000000004E-2</v>
      </c>
      <c r="C294">
        <v>8.5900000000000004E-2</v>
      </c>
      <c r="D294">
        <v>8.09E-2</v>
      </c>
      <c r="E294">
        <v>8.3419999999999994E-2</v>
      </c>
      <c r="F294">
        <v>22671306.5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7.9999999999968915E-3</v>
      </c>
      <c r="Q294">
        <f t="shared" si="965"/>
        <v>181370.45199992953</v>
      </c>
      <c r="R294">
        <f t="shared" si="966"/>
        <v>57982307.661143944</v>
      </c>
      <c r="S294">
        <f t="shared" si="967"/>
        <v>579.82307661143943</v>
      </c>
      <c r="T294">
        <f t="shared" si="968"/>
        <v>0.57982307661143939</v>
      </c>
    </row>
    <row r="295" spans="1:20" x14ac:dyDescent="0.25">
      <c r="A295" s="5">
        <v>44298</v>
      </c>
      <c r="B295">
        <v>8.6929999999999993E-2</v>
      </c>
      <c r="C295">
        <v>8.6989999999999998E-2</v>
      </c>
      <c r="D295">
        <v>8.1680000000000003E-2</v>
      </c>
      <c r="E295">
        <v>8.4790000000000004E-2</v>
      </c>
      <c r="F295">
        <v>29378529.5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0.17137476459510526</v>
      </c>
      <c r="Q295">
        <f t="shared" si="965"/>
        <v>5034738.5772128552</v>
      </c>
      <c r="R295">
        <f t="shared" si="966"/>
        <v>57800937.209144011</v>
      </c>
      <c r="S295">
        <f t="shared" si="967"/>
        <v>578.00937209144013</v>
      </c>
      <c r="T295">
        <f t="shared" si="968"/>
        <v>0.5780093720914401</v>
      </c>
    </row>
    <row r="296" spans="1:20" x14ac:dyDescent="0.25">
      <c r="A296" s="5">
        <v>44297</v>
      </c>
      <c r="B296">
        <v>9.2579999999999996E-2</v>
      </c>
      <c r="C296">
        <v>9.3060000000000004E-2</v>
      </c>
      <c r="D296">
        <v>8.0110000000000001E-2</v>
      </c>
      <c r="E296">
        <v>8.6889999999999995E-2</v>
      </c>
      <c r="F296">
        <v>66543652.600000001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4.7104247104245975E-2</v>
      </c>
      <c r="Q296">
        <f t="shared" si="965"/>
        <v>3134488.6552895</v>
      </c>
      <c r="R296">
        <f t="shared" si="966"/>
        <v>52766198.631931156</v>
      </c>
      <c r="S296">
        <f t="shared" si="967"/>
        <v>527.66198631931161</v>
      </c>
      <c r="T296">
        <f t="shared" si="968"/>
        <v>0.5276619863193116</v>
      </c>
    </row>
    <row r="297" spans="1:20" x14ac:dyDescent="0.25">
      <c r="A297" s="5">
        <v>44296</v>
      </c>
      <c r="B297">
        <v>9.2259999999999995E-2</v>
      </c>
      <c r="C297">
        <v>0.1014</v>
      </c>
      <c r="D297">
        <v>8.6790000000000006E-2</v>
      </c>
      <c r="E297">
        <v>9.2609999999999998E-2</v>
      </c>
      <c r="F297">
        <v>86570842.200000003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-0.20328542094455954</v>
      </c>
      <c r="Q297">
        <f t="shared" si="965"/>
        <v>-17598590.098152038</v>
      </c>
      <c r="R297">
        <f t="shared" si="966"/>
        <v>49631709.976641655</v>
      </c>
      <c r="S297">
        <f t="shared" si="967"/>
        <v>496.31709976641656</v>
      </c>
      <c r="T297">
        <f t="shared" si="968"/>
        <v>0.49631709976641658</v>
      </c>
    </row>
    <row r="298" spans="1:20" x14ac:dyDescent="0.25">
      <c r="A298" s="5">
        <v>44295</v>
      </c>
      <c r="B298">
        <v>8.6129999999999998E-2</v>
      </c>
      <c r="C298">
        <v>9.665E-2</v>
      </c>
      <c r="D298">
        <v>8.5319999999999993E-2</v>
      </c>
      <c r="E298">
        <v>9.2119999999999994E-2</v>
      </c>
      <c r="F298">
        <v>110111526.5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0.20035304501323856</v>
      </c>
      <c r="Q298">
        <f t="shared" si="965"/>
        <v>22061179.62533091</v>
      </c>
      <c r="R298">
        <f t="shared" si="966"/>
        <v>67230300.074793696</v>
      </c>
      <c r="S298">
        <f t="shared" si="967"/>
        <v>672.30300074793695</v>
      </c>
      <c r="T298">
        <f t="shared" si="968"/>
        <v>0.67230300074793692</v>
      </c>
    </row>
    <row r="299" spans="1:20" x14ac:dyDescent="0.25">
      <c r="A299" s="5">
        <v>44294</v>
      </c>
      <c r="B299">
        <v>7.4459999999999998E-2</v>
      </c>
      <c r="C299">
        <v>8.7639999999999996E-2</v>
      </c>
      <c r="D299">
        <v>7.2209999999999996E-2</v>
      </c>
      <c r="E299">
        <v>8.6129999999999998E-2</v>
      </c>
      <c r="F299">
        <v>80745488.700000003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0.80427738172391472</v>
      </c>
      <c r="Q299">
        <f t="shared" si="965"/>
        <v>64941770.237653948</v>
      </c>
      <c r="R299">
        <f t="shared" si="966"/>
        <v>45169120.449462794</v>
      </c>
      <c r="S299">
        <f t="shared" si="967"/>
        <v>451.69120449462793</v>
      </c>
      <c r="T299">
        <f t="shared" si="968"/>
        <v>0.45169120449462791</v>
      </c>
    </row>
    <row r="300" spans="1:20" x14ac:dyDescent="0.25">
      <c r="A300" s="5">
        <v>44293</v>
      </c>
      <c r="B300">
        <v>9.1240000000000002E-2</v>
      </c>
      <c r="C300">
        <v>9.1539999999999996E-2</v>
      </c>
      <c r="D300">
        <v>6.5979999999999997E-2</v>
      </c>
      <c r="E300">
        <v>7.4450000000000002E-2</v>
      </c>
      <c r="F300">
        <v>138363064.69999999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-0.33724569640062557</v>
      </c>
      <c r="Q300">
        <f t="shared" si="965"/>
        <v>-46662348.110876307</v>
      </c>
      <c r="R300">
        <f t="shared" si="966"/>
        <v>-19772649.788191155</v>
      </c>
      <c r="S300">
        <f t="shared" si="967"/>
        <v>-197.72649788191154</v>
      </c>
      <c r="T300">
        <f t="shared" si="968"/>
        <v>-0.19772649788191154</v>
      </c>
    </row>
    <row r="301" spans="1:20" x14ac:dyDescent="0.25">
      <c r="A301" s="5">
        <v>44292</v>
      </c>
      <c r="B301">
        <v>9.9500000000000005E-2</v>
      </c>
      <c r="C301">
        <v>0.10057000000000001</v>
      </c>
      <c r="D301">
        <v>8.5489999999999997E-2</v>
      </c>
      <c r="E301">
        <v>9.1249999999999998E-2</v>
      </c>
      <c r="F301">
        <v>64100535.899999999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-0.23607427055702954</v>
      </c>
      <c r="Q301">
        <f t="shared" si="965"/>
        <v>-15132487.254907185</v>
      </c>
      <c r="R301">
        <f t="shared" si="966"/>
        <v>26889698.322685152</v>
      </c>
      <c r="S301">
        <f t="shared" si="967"/>
        <v>268.89698322685155</v>
      </c>
      <c r="T301">
        <f t="shared" si="968"/>
        <v>0.26889698322685157</v>
      </c>
    </row>
    <row r="302" spans="1:20" x14ac:dyDescent="0.25">
      <c r="A302" s="5">
        <v>44291</v>
      </c>
      <c r="B302">
        <v>0.11105</v>
      </c>
      <c r="C302">
        <v>0.11253000000000001</v>
      </c>
      <c r="D302">
        <v>9.8699999999999996E-2</v>
      </c>
      <c r="E302">
        <v>9.9159999999999998E-2</v>
      </c>
      <c r="F302">
        <v>34942708.899999999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-0.93347794649313065</v>
      </c>
      <c r="Q302">
        <f t="shared" si="965"/>
        <v>-32618248.148879237</v>
      </c>
      <c r="R302">
        <f t="shared" si="966"/>
        <v>42022185.577592336</v>
      </c>
      <c r="S302">
        <f t="shared" si="967"/>
        <v>420.22185577592336</v>
      </c>
      <c r="T302">
        <f t="shared" si="968"/>
        <v>0.42022185577592336</v>
      </c>
    </row>
    <row r="303" spans="1:20" x14ac:dyDescent="0.25">
      <c r="A303" s="5">
        <v>44290</v>
      </c>
      <c r="B303">
        <v>9.9239999999999995E-2</v>
      </c>
      <c r="C303">
        <v>0.11346000000000001</v>
      </c>
      <c r="D303">
        <v>9.8519999999999996E-2</v>
      </c>
      <c r="E303">
        <v>0.11082</v>
      </c>
      <c r="F303">
        <v>66479509.700000003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0.64658634538152582</v>
      </c>
      <c r="Q303">
        <f t="shared" si="965"/>
        <v>42984743.2196787</v>
      </c>
      <c r="R303">
        <f t="shared" si="966"/>
        <v>74640433.726471573</v>
      </c>
      <c r="S303">
        <f t="shared" si="967"/>
        <v>746.40433726471576</v>
      </c>
      <c r="T303">
        <f t="shared" si="968"/>
        <v>0.74640433726471578</v>
      </c>
    </row>
    <row r="304" spans="1:20" x14ac:dyDescent="0.25">
      <c r="A304" s="5">
        <v>44289</v>
      </c>
      <c r="B304">
        <v>0.11695</v>
      </c>
      <c r="C304">
        <v>0.12103</v>
      </c>
      <c r="D304">
        <v>9.8360000000000003E-2</v>
      </c>
      <c r="E304">
        <v>9.9239999999999995E-2</v>
      </c>
      <c r="F304">
        <v>38036557.399999999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-0.92236435818262086</v>
      </c>
      <c r="Q304">
        <f t="shared" si="965"/>
        <v>-35083564.853727415</v>
      </c>
      <c r="R304">
        <f t="shared" si="966"/>
        <v>31655690.506792866</v>
      </c>
      <c r="S304">
        <f t="shared" si="967"/>
        <v>316.55690506792865</v>
      </c>
      <c r="T304">
        <f t="shared" si="968"/>
        <v>0.31655690506792866</v>
      </c>
    </row>
    <row r="305" spans="1:20" x14ac:dyDescent="0.25">
      <c r="A305" s="5">
        <v>44288</v>
      </c>
      <c r="B305">
        <v>0.11022999999999999</v>
      </c>
      <c r="C305">
        <v>0.13120000000000001</v>
      </c>
      <c r="D305">
        <v>0.10691000000000001</v>
      </c>
      <c r="E305">
        <v>0.11796</v>
      </c>
      <c r="F305">
        <v>113724066.90000001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-9.0160559901194925E-2</v>
      </c>
      <c r="Q305">
        <f t="shared" si="965"/>
        <v>-10253425.54594495</v>
      </c>
      <c r="R305">
        <f t="shared" si="966"/>
        <v>66739255.360520281</v>
      </c>
      <c r="S305">
        <f t="shared" si="967"/>
        <v>667.39255360520281</v>
      </c>
      <c r="T305">
        <f t="shared" si="968"/>
        <v>0.66739255360520278</v>
      </c>
    </row>
    <row r="306" spans="1:20" x14ac:dyDescent="0.25">
      <c r="A306" s="5">
        <v>44287</v>
      </c>
      <c r="B306">
        <v>0.10761</v>
      </c>
      <c r="C306">
        <v>0.13300000000000001</v>
      </c>
      <c r="D306">
        <v>0.10283</v>
      </c>
      <c r="E306">
        <v>0.11022999999999999</v>
      </c>
      <c r="F306">
        <v>134050432.3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-0.50944647000331522</v>
      </c>
      <c r="Q306">
        <f t="shared" si="965"/>
        <v>-68291519.537653387</v>
      </c>
      <c r="R306">
        <f t="shared" si="966"/>
        <v>76992680.906465232</v>
      </c>
      <c r="S306">
        <f t="shared" si="967"/>
        <v>769.92680906465228</v>
      </c>
      <c r="T306">
        <f t="shared" si="968"/>
        <v>0.76992680906465227</v>
      </c>
    </row>
    <row r="307" spans="1:20" x14ac:dyDescent="0.25">
      <c r="A307" s="5">
        <v>44286</v>
      </c>
      <c r="B307">
        <v>9.0999999999999998E-2</v>
      </c>
      <c r="C307">
        <v>0.1186</v>
      </c>
      <c r="D307">
        <v>9.0459999999999999E-2</v>
      </c>
      <c r="E307">
        <v>0.1076</v>
      </c>
      <c r="F307">
        <v>134702623.90000001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0.21819474058280053</v>
      </c>
      <c r="Q307">
        <f t="shared" si="965"/>
        <v>29391404.077683046</v>
      </c>
      <c r="R307">
        <f t="shared" si="966"/>
        <v>145284200.44411862</v>
      </c>
      <c r="S307">
        <f t="shared" si="967"/>
        <v>1452.8420044411862</v>
      </c>
      <c r="T307">
        <f t="shared" si="968"/>
        <v>1.4528420044411863</v>
      </c>
    </row>
    <row r="308" spans="1:20" x14ac:dyDescent="0.25">
      <c r="A308" s="5">
        <v>44285</v>
      </c>
      <c r="B308">
        <v>8.6870000000000003E-2</v>
      </c>
      <c r="C308">
        <v>9.2999999999999999E-2</v>
      </c>
      <c r="D308">
        <v>8.5309999999999997E-2</v>
      </c>
      <c r="E308">
        <v>9.0889999999999999E-2</v>
      </c>
      <c r="F308">
        <v>27253039.399999999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0.45123537061118335</v>
      </c>
      <c r="Q308">
        <f t="shared" si="965"/>
        <v>12297535.333940182</v>
      </c>
      <c r="R308">
        <f t="shared" si="966"/>
        <v>115892796.36643556</v>
      </c>
      <c r="S308">
        <f t="shared" si="967"/>
        <v>1158.9279636643555</v>
      </c>
      <c r="T308">
        <f t="shared" si="968"/>
        <v>1.1589279636643555</v>
      </c>
    </row>
    <row r="309" spans="1:20" x14ac:dyDescent="0.25">
      <c r="A309" s="5">
        <v>44284</v>
      </c>
      <c r="B309">
        <v>8.7150000000000005E-2</v>
      </c>
      <c r="C309">
        <v>9.2399999999999996E-2</v>
      </c>
      <c r="D309">
        <v>8.4000000000000005E-2</v>
      </c>
      <c r="E309">
        <v>8.7160000000000001E-2</v>
      </c>
      <c r="F309">
        <v>27703475.5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-0.24761904761904771</v>
      </c>
      <c r="Q309">
        <f t="shared" si="965"/>
        <v>-6859908.2190476218</v>
      </c>
      <c r="R309">
        <f t="shared" si="966"/>
        <v>103595261.03249538</v>
      </c>
      <c r="S309">
        <f t="shared" si="967"/>
        <v>1035.9526103249539</v>
      </c>
      <c r="T309">
        <f t="shared" si="968"/>
        <v>1.0359526103249539</v>
      </c>
    </row>
    <row r="310" spans="1:20" x14ac:dyDescent="0.25">
      <c r="A310" s="5">
        <v>44283</v>
      </c>
      <c r="B310">
        <v>8.3589999999999998E-2</v>
      </c>
      <c r="C310">
        <v>8.831E-2</v>
      </c>
      <c r="D310">
        <v>8.1360000000000002E-2</v>
      </c>
      <c r="E310">
        <v>8.7129999999999999E-2</v>
      </c>
      <c r="F310">
        <v>24733820.100000001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0.66043165467625875</v>
      </c>
      <c r="Q310">
        <f t="shared" si="965"/>
        <v>16334997.735107908</v>
      </c>
      <c r="R310">
        <f t="shared" si="966"/>
        <v>110455169.251543</v>
      </c>
      <c r="S310">
        <f t="shared" si="967"/>
        <v>1104.55169251543</v>
      </c>
      <c r="T310">
        <f t="shared" si="968"/>
        <v>1.10455169251543</v>
      </c>
    </row>
    <row r="311" spans="1:20" x14ac:dyDescent="0.25">
      <c r="A311" s="5">
        <v>44282</v>
      </c>
      <c r="B311">
        <v>7.9299999999999995E-2</v>
      </c>
      <c r="C311">
        <v>8.8499999999999995E-2</v>
      </c>
      <c r="D311">
        <v>7.8340000000000007E-2</v>
      </c>
      <c r="E311">
        <v>8.3659999999999998E-2</v>
      </c>
      <c r="F311">
        <v>48585917.799999997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4.7244094488188469E-2</v>
      </c>
      <c r="Q311">
        <f t="shared" si="965"/>
        <v>2295397.6913385577</v>
      </c>
      <c r="R311">
        <f t="shared" si="966"/>
        <v>94120171.516435087</v>
      </c>
      <c r="S311">
        <f t="shared" si="967"/>
        <v>941.20171516435084</v>
      </c>
      <c r="T311">
        <f t="shared" si="968"/>
        <v>0.94120171516435081</v>
      </c>
    </row>
    <row r="312" spans="1:20" x14ac:dyDescent="0.25">
      <c r="A312" s="5">
        <v>44281</v>
      </c>
      <c r="B312">
        <v>7.1290000000000006E-2</v>
      </c>
      <c r="C312">
        <v>7.9630000000000006E-2</v>
      </c>
      <c r="D312">
        <v>7.0489999999999997E-2</v>
      </c>
      <c r="E312">
        <v>7.9299999999999995E-2</v>
      </c>
      <c r="F312">
        <v>27395251.800000001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0.92778993435448343</v>
      </c>
      <c r="Q312">
        <f t="shared" si="965"/>
        <v>25417038.869146544</v>
      </c>
      <c r="R312">
        <f t="shared" si="966"/>
        <v>91824773.825096533</v>
      </c>
      <c r="S312">
        <f t="shared" si="967"/>
        <v>918.24773825096531</v>
      </c>
      <c r="T312">
        <f t="shared" si="968"/>
        <v>0.91824773825096528</v>
      </c>
    </row>
    <row r="313" spans="1:20" x14ac:dyDescent="0.25">
      <c r="A313" s="5">
        <v>44280</v>
      </c>
      <c r="B313">
        <v>7.4510000000000007E-2</v>
      </c>
      <c r="C313">
        <v>8.1619999999999998E-2</v>
      </c>
      <c r="D313">
        <v>6.694E-2</v>
      </c>
      <c r="E313">
        <v>7.1590000000000001E-2</v>
      </c>
      <c r="F313">
        <v>48652690.299999997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-0.36648501362397795</v>
      </c>
      <c r="Q313">
        <f t="shared" si="965"/>
        <v>-17830481.867438678</v>
      </c>
      <c r="R313">
        <f t="shared" si="966"/>
        <v>66407734.955949992</v>
      </c>
      <c r="S313">
        <f t="shared" si="967"/>
        <v>664.07734955949991</v>
      </c>
      <c r="T313">
        <f t="shared" si="968"/>
        <v>0.66407734955949993</v>
      </c>
    </row>
    <row r="314" spans="1:20" x14ac:dyDescent="0.25">
      <c r="A314" s="5">
        <v>44279</v>
      </c>
      <c r="B314">
        <v>8.2799999999999999E-2</v>
      </c>
      <c r="C314">
        <v>8.5819999999999994E-2</v>
      </c>
      <c r="D314">
        <v>7.3270000000000002E-2</v>
      </c>
      <c r="E314">
        <v>7.4520000000000003E-2</v>
      </c>
      <c r="F314">
        <v>36488367.600000001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-0.80079681274900372</v>
      </c>
      <c r="Q314">
        <f t="shared" si="965"/>
        <v>-29219768.476494014</v>
      </c>
      <c r="R314">
        <f t="shared" si="966"/>
        <v>84238216.823388666</v>
      </c>
      <c r="S314">
        <f t="shared" si="967"/>
        <v>842.38216823388666</v>
      </c>
      <c r="T314">
        <f t="shared" si="968"/>
        <v>0.84238216823388667</v>
      </c>
    </row>
    <row r="315" spans="1:20" x14ac:dyDescent="0.25">
      <c r="A315" s="5">
        <v>44278</v>
      </c>
      <c r="B315">
        <v>8.8010000000000005E-2</v>
      </c>
      <c r="C315">
        <v>9.3549999999999994E-2</v>
      </c>
      <c r="D315">
        <v>7.4999999999999997E-2</v>
      </c>
      <c r="E315">
        <v>8.2799999999999999E-2</v>
      </c>
      <c r="F315">
        <v>63015308.399999999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-0.15902964959568705</v>
      </c>
      <c r="Q315">
        <f t="shared" si="965"/>
        <v>-10021302.414016154</v>
      </c>
      <c r="R315">
        <f t="shared" si="966"/>
        <v>113457985.29988268</v>
      </c>
      <c r="S315">
        <f t="shared" si="967"/>
        <v>1134.5798529988267</v>
      </c>
      <c r="T315">
        <f t="shared" si="968"/>
        <v>1.1345798529988267</v>
      </c>
    </row>
    <row r="316" spans="1:20" x14ac:dyDescent="0.25">
      <c r="A316" s="5">
        <v>44277</v>
      </c>
      <c r="B316">
        <v>9.529E-2</v>
      </c>
      <c r="C316">
        <v>0.10284</v>
      </c>
      <c r="D316">
        <v>8.5000000000000006E-2</v>
      </c>
      <c r="E316">
        <v>8.8010000000000005E-2</v>
      </c>
      <c r="F316">
        <v>34230605.100000001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-0.66255605381165927</v>
      </c>
      <c r="Q316">
        <f t="shared" si="965"/>
        <v>-22679694.63464126</v>
      </c>
      <c r="R316">
        <f t="shared" si="966"/>
        <v>123479287.71389884</v>
      </c>
      <c r="S316">
        <f t="shared" si="967"/>
        <v>1234.7928771389884</v>
      </c>
      <c r="T316">
        <f t="shared" si="968"/>
        <v>1.2347928771389884</v>
      </c>
    </row>
    <row r="317" spans="1:20" x14ac:dyDescent="0.25">
      <c r="A317" s="5">
        <v>44276</v>
      </c>
      <c r="B317">
        <v>8.6879999999999999E-2</v>
      </c>
      <c r="C317">
        <v>9.6519999999999995E-2</v>
      </c>
      <c r="D317">
        <v>8.5459999999999994E-2</v>
      </c>
      <c r="E317">
        <v>9.5350000000000004E-2</v>
      </c>
      <c r="F317">
        <v>30142684.800000001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0.78842676311030913</v>
      </c>
      <c r="Q317">
        <f t="shared" si="965"/>
        <v>23765299.408318315</v>
      </c>
      <c r="R317">
        <f t="shared" si="966"/>
        <v>146158982.3485401</v>
      </c>
      <c r="S317">
        <f t="shared" si="967"/>
        <v>1461.589823485401</v>
      </c>
      <c r="T317">
        <f t="shared" si="968"/>
        <v>1.461589823485401</v>
      </c>
    </row>
    <row r="318" spans="1:20" x14ac:dyDescent="0.25">
      <c r="A318" s="5">
        <v>44275</v>
      </c>
      <c r="B318">
        <v>8.5319999999999993E-2</v>
      </c>
      <c r="C318">
        <v>0.11</v>
      </c>
      <c r="D318">
        <v>8.2170000000000007E-2</v>
      </c>
      <c r="E318">
        <v>8.7330000000000005E-2</v>
      </c>
      <c r="F318">
        <v>112640230.3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-0.6291771469637083</v>
      </c>
      <c r="Q318">
        <f t="shared" si="965"/>
        <v>-70870658.733489051</v>
      </c>
      <c r="R318">
        <f t="shared" si="966"/>
        <v>122393682.94022177</v>
      </c>
      <c r="S318">
        <f t="shared" si="967"/>
        <v>1223.9368294022177</v>
      </c>
      <c r="T318">
        <f t="shared" si="968"/>
        <v>1.2239368294022177</v>
      </c>
    </row>
    <row r="319" spans="1:20" x14ac:dyDescent="0.25">
      <c r="A319" s="5">
        <v>44274</v>
      </c>
      <c r="B319">
        <v>7.4969999999999995E-2</v>
      </c>
      <c r="C319">
        <v>9.5000000000000001E-2</v>
      </c>
      <c r="D319">
        <v>7.0949999999999999E-2</v>
      </c>
      <c r="E319">
        <v>8.5319999999999993E-2</v>
      </c>
      <c r="F319">
        <v>101474140.5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0.19501039501039441</v>
      </c>
      <c r="Q319">
        <f t="shared" si="965"/>
        <v>19788512.222245261</v>
      </c>
      <c r="R319">
        <f t="shared" si="966"/>
        <v>193264341.67371082</v>
      </c>
      <c r="S319">
        <f t="shared" si="967"/>
        <v>1932.6434167371083</v>
      </c>
      <c r="T319">
        <f t="shared" si="968"/>
        <v>1.9326434167371083</v>
      </c>
    </row>
    <row r="320" spans="1:20" x14ac:dyDescent="0.25">
      <c r="A320" s="5">
        <v>44273</v>
      </c>
      <c r="B320">
        <v>7.3219999999999993E-2</v>
      </c>
      <c r="C320">
        <v>7.7899999999999997E-2</v>
      </c>
      <c r="D320">
        <v>6.8409999999999999E-2</v>
      </c>
      <c r="E320">
        <v>7.4969999999999995E-2</v>
      </c>
      <c r="F320">
        <v>31586690.199999999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0.38250790305584775</v>
      </c>
      <c r="Q320">
        <f t="shared" si="965"/>
        <v>12082158.632876696</v>
      </c>
      <c r="R320">
        <f t="shared" si="966"/>
        <v>173475829.45146555</v>
      </c>
      <c r="S320">
        <f t="shared" si="967"/>
        <v>1734.7582945146555</v>
      </c>
      <c r="T320">
        <f t="shared" si="968"/>
        <v>1.7347582945146556</v>
      </c>
    </row>
    <row r="321" spans="1:20" x14ac:dyDescent="0.25">
      <c r="A321" s="5">
        <v>44272</v>
      </c>
      <c r="B321">
        <v>7.2389999999999996E-2</v>
      </c>
      <c r="C321">
        <v>7.4700000000000003E-2</v>
      </c>
      <c r="D321">
        <v>6.2429999999999999E-2</v>
      </c>
      <c r="E321">
        <v>7.3330000000000006E-2</v>
      </c>
      <c r="F321">
        <v>32392079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0.77669111654441791</v>
      </c>
      <c r="Q321">
        <f t="shared" si="965"/>
        <v>25158640.005704992</v>
      </c>
      <c r="R321">
        <f t="shared" si="966"/>
        <v>161393670.81858885</v>
      </c>
      <c r="S321">
        <f t="shared" si="967"/>
        <v>1613.9367081858886</v>
      </c>
      <c r="T321">
        <f t="shared" si="968"/>
        <v>1.6139367081858886</v>
      </c>
    </row>
    <row r="322" spans="1:20" x14ac:dyDescent="0.25">
      <c r="A322" s="5">
        <v>44271</v>
      </c>
      <c r="B322">
        <v>7.3510000000000006E-2</v>
      </c>
      <c r="C322">
        <v>7.3940000000000006E-2</v>
      </c>
      <c r="D322">
        <v>6.5579999999999999E-2</v>
      </c>
      <c r="E322">
        <v>7.2489999999999999E-2</v>
      </c>
      <c r="F322">
        <v>31343528.100000001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0.65311004784688853</v>
      </c>
      <c r="Q322">
        <f t="shared" si="965"/>
        <v>20470773.137081295</v>
      </c>
      <c r="R322">
        <f t="shared" si="966"/>
        <v>136235030.81288385</v>
      </c>
      <c r="S322">
        <f t="shared" si="967"/>
        <v>1362.3503081288386</v>
      </c>
      <c r="T322">
        <f t="shared" si="968"/>
        <v>1.3623503081288386</v>
      </c>
    </row>
    <row r="323" spans="1:20" x14ac:dyDescent="0.25">
      <c r="A323" s="5">
        <v>44270</v>
      </c>
      <c r="B323">
        <v>7.2800000000000004E-2</v>
      </c>
      <c r="C323">
        <v>7.9579999999999998E-2</v>
      </c>
      <c r="D323">
        <v>6.318E-2</v>
      </c>
      <c r="E323">
        <v>7.3510000000000006E-2</v>
      </c>
      <c r="F323">
        <v>36290619.299999997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0.25975609756097651</v>
      </c>
      <c r="Q323">
        <f t="shared" si="965"/>
        <v>9426709.647439057</v>
      </c>
      <c r="R323">
        <f t="shared" si="966"/>
        <v>115764257.67580254</v>
      </c>
      <c r="S323">
        <f t="shared" si="967"/>
        <v>1157.6425767580254</v>
      </c>
      <c r="T323">
        <f t="shared" si="968"/>
        <v>1.1576425767580254</v>
      </c>
    </row>
    <row r="324" spans="1:20" x14ac:dyDescent="0.25">
      <c r="A324" s="5">
        <v>44269</v>
      </c>
      <c r="B324">
        <v>6.9529999999999995E-2</v>
      </c>
      <c r="C324">
        <v>8.5000000000000006E-2</v>
      </c>
      <c r="D324">
        <v>6.855E-2</v>
      </c>
      <c r="E324">
        <v>7.2859999999999994E-2</v>
      </c>
      <c r="F324">
        <v>106963183.7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-0.47598784194528965</v>
      </c>
      <c r="Q324">
        <f t="shared" si="965"/>
        <v>-50913174.976960585</v>
      </c>
      <c r="R324">
        <f t="shared" si="966"/>
        <v>106337548.02836348</v>
      </c>
      <c r="S324">
        <f t="shared" si="967"/>
        <v>1063.3754802836347</v>
      </c>
      <c r="T324">
        <f t="shared" si="968"/>
        <v>1.0633754802836348</v>
      </c>
    </row>
    <row r="325" spans="1:20" x14ac:dyDescent="0.25">
      <c r="A325" s="5">
        <v>44268</v>
      </c>
      <c r="B325">
        <v>6.1490000000000003E-2</v>
      </c>
      <c r="C325">
        <v>7.7660000000000007E-2</v>
      </c>
      <c r="D325">
        <v>5.9479999999999998E-2</v>
      </c>
      <c r="E325">
        <v>6.9279999999999994E-2</v>
      </c>
      <c r="F325">
        <v>103304379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7.8107810781077175E-2</v>
      </c>
      <c r="Q325">
        <f t="shared" si="965"/>
        <v>8068878.8877886822</v>
      </c>
      <c r="R325">
        <f t="shared" si="966"/>
        <v>157250723.00532407</v>
      </c>
      <c r="S325">
        <f t="shared" si="967"/>
        <v>1572.5072300532406</v>
      </c>
      <c r="T325">
        <f t="shared" si="968"/>
        <v>1.5725072300532406</v>
      </c>
    </row>
    <row r="326" spans="1:20" x14ac:dyDescent="0.25">
      <c r="A326" s="5">
        <v>44267</v>
      </c>
      <c r="B326">
        <v>6.2219999999999998E-2</v>
      </c>
      <c r="C326">
        <v>6.4019999999999994E-2</v>
      </c>
      <c r="D326">
        <v>5.6840000000000002E-2</v>
      </c>
      <c r="E326">
        <v>6.139E-2</v>
      </c>
      <c r="F326">
        <v>47371422.899999999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0.26740947075209015</v>
      </c>
      <c r="Q326">
        <f t="shared" ref="Q326:Q389" si="970">F326*P326</f>
        <v>12667567.126462443</v>
      </c>
      <c r="R326">
        <f t="shared" ref="R326:R389" si="971">R327+Q326</f>
        <v>149181844.11753538</v>
      </c>
      <c r="S326">
        <f t="shared" ref="S326:S389" si="972">R326/100000</f>
        <v>1491.8184411753539</v>
      </c>
      <c r="T326">
        <f t="shared" ref="T326:T389" si="973">S326/1000</f>
        <v>1.4918184411753539</v>
      </c>
    </row>
    <row r="327" spans="1:20" x14ac:dyDescent="0.25">
      <c r="A327" s="5">
        <v>44266</v>
      </c>
      <c r="B327">
        <v>6.0909999999999999E-2</v>
      </c>
      <c r="C327">
        <v>7.8E-2</v>
      </c>
      <c r="D327">
        <v>5.8250000000000003E-2</v>
      </c>
      <c r="E327">
        <v>6.2199999999999998E-2</v>
      </c>
      <c r="F327">
        <v>126949608.7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-0.60000000000000042</v>
      </c>
      <c r="Q327">
        <f t="shared" si="970"/>
        <v>-76169765.220000058</v>
      </c>
      <c r="R327">
        <f t="shared" si="971"/>
        <v>136514276.99107295</v>
      </c>
      <c r="S327">
        <f t="shared" si="972"/>
        <v>1365.1427699107296</v>
      </c>
      <c r="T327">
        <f t="shared" si="973"/>
        <v>1.3651427699107297</v>
      </c>
    </row>
    <row r="328" spans="1:20" x14ac:dyDescent="0.25">
      <c r="A328" s="5">
        <v>44265</v>
      </c>
      <c r="B328">
        <v>6.522E-2</v>
      </c>
      <c r="C328">
        <v>6.5329999999999999E-2</v>
      </c>
      <c r="D328">
        <v>5.654E-2</v>
      </c>
      <c r="E328">
        <v>6.105E-2</v>
      </c>
      <c r="F328">
        <v>83131296.799999997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2.6166097838452907E-2</v>
      </c>
      <c r="Q328">
        <f t="shared" si="970"/>
        <v>2175221.645506267</v>
      </c>
      <c r="R328">
        <f t="shared" si="971"/>
        <v>212684042.21107301</v>
      </c>
      <c r="S328">
        <f t="shared" si="972"/>
        <v>2126.8404221107303</v>
      </c>
      <c r="T328">
        <f t="shared" si="973"/>
        <v>2.1268404221107304</v>
      </c>
    </row>
    <row r="329" spans="1:20" x14ac:dyDescent="0.25">
      <c r="A329" s="5">
        <v>44264</v>
      </c>
      <c r="B329">
        <v>5.4629999999999998E-2</v>
      </c>
      <c r="C329">
        <v>8.3779999999999993E-2</v>
      </c>
      <c r="D329">
        <v>5.4629999999999998E-2</v>
      </c>
      <c r="E329">
        <v>6.5119999999999997E-2</v>
      </c>
      <c r="F329">
        <v>393814467.60000002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-0.2802744425385934</v>
      </c>
      <c r="Q329">
        <f t="shared" si="970"/>
        <v>-110376130.37022296</v>
      </c>
      <c r="R329">
        <f t="shared" si="971"/>
        <v>210508820.56556675</v>
      </c>
      <c r="S329">
        <f t="shared" si="972"/>
        <v>2105.0882056556675</v>
      </c>
      <c r="T329">
        <f t="shared" si="973"/>
        <v>2.1050882056556675</v>
      </c>
    </row>
    <row r="330" spans="1:20" x14ac:dyDescent="0.25">
      <c r="A330" s="5">
        <v>44263</v>
      </c>
      <c r="B330">
        <v>4.6149999999999997E-2</v>
      </c>
      <c r="C330">
        <v>6.2E-2</v>
      </c>
      <c r="D330">
        <v>4.36E-2</v>
      </c>
      <c r="E330">
        <v>5.4629999999999998E-2</v>
      </c>
      <c r="F330">
        <v>120772079.7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0.19891304347826069</v>
      </c>
      <c r="Q330">
        <f t="shared" si="970"/>
        <v>24023141.940326065</v>
      </c>
      <c r="R330">
        <f t="shared" si="971"/>
        <v>320884950.9357897</v>
      </c>
      <c r="S330">
        <f t="shared" si="972"/>
        <v>3208.8495093578972</v>
      </c>
      <c r="T330">
        <f t="shared" si="973"/>
        <v>3.208849509357897</v>
      </c>
    </row>
    <row r="331" spans="1:20" x14ac:dyDescent="0.25">
      <c r="A331" s="5">
        <v>44262</v>
      </c>
      <c r="B331">
        <v>4.4499999999999998E-2</v>
      </c>
      <c r="C331">
        <v>4.7730000000000002E-2</v>
      </c>
      <c r="D331">
        <v>4.41E-2</v>
      </c>
      <c r="E331">
        <v>4.616E-2</v>
      </c>
      <c r="F331">
        <v>37133601.399999999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0.13498622589531603</v>
      </c>
      <c r="Q331">
        <f t="shared" si="970"/>
        <v>5012524.7068870235</v>
      </c>
      <c r="R331">
        <f t="shared" si="971"/>
        <v>296861808.99546367</v>
      </c>
      <c r="S331">
        <f t="shared" si="972"/>
        <v>2968.6180899546366</v>
      </c>
      <c r="T331">
        <f t="shared" si="973"/>
        <v>2.9686180899546368</v>
      </c>
    </row>
    <row r="332" spans="1:20" x14ac:dyDescent="0.25">
      <c r="A332" s="5">
        <v>44261</v>
      </c>
      <c r="B332">
        <v>4.4179999999999997E-2</v>
      </c>
      <c r="C332">
        <v>4.5010000000000001E-2</v>
      </c>
      <c r="D332">
        <v>4.1020000000000001E-2</v>
      </c>
      <c r="E332">
        <v>4.4450000000000003E-2</v>
      </c>
      <c r="F332">
        <v>22276400.5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0.7192982456140361</v>
      </c>
      <c r="Q332">
        <f t="shared" si="970"/>
        <v>16023375.798245637</v>
      </c>
      <c r="R332">
        <f t="shared" si="971"/>
        <v>291849284.28857666</v>
      </c>
      <c r="S332">
        <f t="shared" si="972"/>
        <v>2918.4928428857665</v>
      </c>
      <c r="T332">
        <f t="shared" si="973"/>
        <v>2.9184928428857666</v>
      </c>
    </row>
    <row r="333" spans="1:20" x14ac:dyDescent="0.25">
      <c r="A333" s="5">
        <v>44260</v>
      </c>
      <c r="B333">
        <v>4.4330000000000001E-2</v>
      </c>
      <c r="C333">
        <v>4.4589999999999998E-2</v>
      </c>
      <c r="D333">
        <v>4.0730000000000002E-2</v>
      </c>
      <c r="E333">
        <v>4.4179999999999997E-2</v>
      </c>
      <c r="F333">
        <v>21311243.899999999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0.78756476683937771</v>
      </c>
      <c r="Q333">
        <f t="shared" si="970"/>
        <v>16783984.833160609</v>
      </c>
      <c r="R333">
        <f t="shared" si="971"/>
        <v>275825908.49033105</v>
      </c>
      <c r="S333">
        <f t="shared" si="972"/>
        <v>2758.2590849033104</v>
      </c>
      <c r="T333">
        <f t="shared" si="973"/>
        <v>2.7582590849033104</v>
      </c>
    </row>
    <row r="334" spans="1:20" x14ac:dyDescent="0.25">
      <c r="A334" s="5">
        <v>44259</v>
      </c>
      <c r="B334">
        <v>4.6539999999999998E-2</v>
      </c>
      <c r="C334">
        <v>5.5640000000000002E-2</v>
      </c>
      <c r="D334">
        <v>4.1209999999999997E-2</v>
      </c>
      <c r="E334">
        <v>4.4519999999999997E-2</v>
      </c>
      <c r="F334">
        <v>97200817.700000003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-0.54123354123354139</v>
      </c>
      <c r="Q334">
        <f t="shared" si="970"/>
        <v>-52608342.774566889</v>
      </c>
      <c r="R334">
        <f t="shared" si="971"/>
        <v>259041923.65717047</v>
      </c>
      <c r="S334">
        <f t="shared" si="972"/>
        <v>2590.4192365717049</v>
      </c>
      <c r="T334">
        <f t="shared" si="973"/>
        <v>2.5904192365717047</v>
      </c>
    </row>
    <row r="335" spans="1:20" x14ac:dyDescent="0.25">
      <c r="A335" s="5">
        <v>44258</v>
      </c>
      <c r="B335">
        <v>4.2279999999999998E-2</v>
      </c>
      <c r="C335">
        <v>4.709E-2</v>
      </c>
      <c r="D335">
        <v>4.1180000000000001E-2</v>
      </c>
      <c r="E335">
        <v>4.6539999999999998E-2</v>
      </c>
      <c r="F335">
        <v>31316877.300000001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0.81387478849407713</v>
      </c>
      <c r="Q335">
        <f t="shared" si="970"/>
        <v>25488016.888832465</v>
      </c>
      <c r="R335">
        <f t="shared" si="971"/>
        <v>311650266.43173736</v>
      </c>
      <c r="S335">
        <f t="shared" si="972"/>
        <v>3116.5026643173737</v>
      </c>
      <c r="T335">
        <f t="shared" si="973"/>
        <v>3.1165026643173737</v>
      </c>
    </row>
    <row r="336" spans="1:20" x14ac:dyDescent="0.25">
      <c r="A336" s="5">
        <v>44257</v>
      </c>
      <c r="B336">
        <v>4.027E-2</v>
      </c>
      <c r="C336">
        <v>4.3450000000000003E-2</v>
      </c>
      <c r="D336">
        <v>3.9780000000000003E-2</v>
      </c>
      <c r="E336">
        <v>4.2279999999999998E-2</v>
      </c>
      <c r="F336">
        <v>29673652.600000001</v>
      </c>
      <c r="G336">
        <v>0</v>
      </c>
      <c r="L336" t="s">
        <v>8</v>
      </c>
      <c r="M336" t="s">
        <v>7</v>
      </c>
      <c r="N336" t="s">
        <v>8</v>
      </c>
      <c r="P336">
        <f t="shared" si="969"/>
        <v>0.36239782016348532</v>
      </c>
      <c r="Q336">
        <f t="shared" si="970"/>
        <v>10753667.01852854</v>
      </c>
      <c r="R336">
        <f t="shared" si="971"/>
        <v>286162249.54290491</v>
      </c>
      <c r="S336">
        <f t="shared" si="972"/>
        <v>2861.6224954290492</v>
      </c>
      <c r="T336">
        <f t="shared" si="973"/>
        <v>2.861622495429049</v>
      </c>
    </row>
    <row r="337" spans="1:20" x14ac:dyDescent="0.25">
      <c r="A337" s="5">
        <v>44256</v>
      </c>
      <c r="B337">
        <v>3.8440000000000002E-2</v>
      </c>
      <c r="C337">
        <v>4.0989999999999999E-2</v>
      </c>
      <c r="D337">
        <v>3.6700000000000003E-2</v>
      </c>
      <c r="E337">
        <v>4.018E-2</v>
      </c>
      <c r="F337">
        <v>50699345.399999999</v>
      </c>
      <c r="G337">
        <v>0</v>
      </c>
      <c r="L337" t="s">
        <v>7</v>
      </c>
      <c r="M337" t="s">
        <v>7</v>
      </c>
      <c r="N337" t="s">
        <v>8</v>
      </c>
      <c r="P337">
        <f t="shared" si="969"/>
        <v>0.62237762237762273</v>
      </c>
      <c r="Q337">
        <f t="shared" si="970"/>
        <v>31554138.046153862</v>
      </c>
      <c r="R337">
        <f t="shared" si="971"/>
        <v>275408582.52437639</v>
      </c>
      <c r="S337">
        <f t="shared" si="972"/>
        <v>2754.0858252437638</v>
      </c>
      <c r="T337">
        <f t="shared" si="973"/>
        <v>2.7540858252437639</v>
      </c>
    </row>
    <row r="338" spans="1:20" x14ac:dyDescent="0.25">
      <c r="A338" s="5">
        <v>44255</v>
      </c>
      <c r="B338">
        <v>3.984E-2</v>
      </c>
      <c r="C338">
        <v>4.9000000000000002E-2</v>
      </c>
      <c r="D338">
        <v>3.6659999999999998E-2</v>
      </c>
      <c r="E338">
        <v>3.8550000000000001E-2</v>
      </c>
      <c r="F338">
        <v>142367037.40000001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-0.69367909238249559</v>
      </c>
      <c r="Q338">
        <f t="shared" si="970"/>
        <v>-98757037.28881681</v>
      </c>
      <c r="R338">
        <f t="shared" si="971"/>
        <v>243854444.47822255</v>
      </c>
      <c r="S338">
        <f t="shared" si="972"/>
        <v>2438.5444447822256</v>
      </c>
      <c r="T338">
        <f t="shared" si="973"/>
        <v>2.4385444447822255</v>
      </c>
    </row>
    <row r="339" spans="1:20" x14ac:dyDescent="0.25">
      <c r="A339" s="5">
        <v>44254</v>
      </c>
      <c r="B339">
        <v>3.8460000000000001E-2</v>
      </c>
      <c r="C339">
        <v>4.2659999999999997E-2</v>
      </c>
      <c r="D339">
        <v>3.7519999999999998E-2</v>
      </c>
      <c r="E339">
        <v>4.0030000000000003E-2</v>
      </c>
      <c r="F339">
        <v>40432781.200000003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-2.3346303501943229E-2</v>
      </c>
      <c r="Q339">
        <f t="shared" si="970"/>
        <v>-943955.98132286442</v>
      </c>
      <c r="R339">
        <f t="shared" si="971"/>
        <v>342611481.76703936</v>
      </c>
      <c r="S339">
        <f t="shared" si="972"/>
        <v>3426.1148176703937</v>
      </c>
      <c r="T339">
        <f t="shared" si="973"/>
        <v>3.4261148176703937</v>
      </c>
    </row>
    <row r="340" spans="1:20" x14ac:dyDescent="0.25">
      <c r="A340" s="5">
        <v>44253</v>
      </c>
      <c r="B340">
        <v>3.499E-2</v>
      </c>
      <c r="C340">
        <v>3.9010000000000003E-2</v>
      </c>
      <c r="D340">
        <v>3.4110000000000001E-2</v>
      </c>
      <c r="E340">
        <v>3.8460000000000001E-2</v>
      </c>
      <c r="F340">
        <v>64365679.700000003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0.77551020408163196</v>
      </c>
      <c r="Q340">
        <f t="shared" si="970"/>
        <v>49916241.399999961</v>
      </c>
      <c r="R340">
        <f t="shared" si="971"/>
        <v>343555437.74836224</v>
      </c>
      <c r="S340">
        <f t="shared" si="972"/>
        <v>3435.5543774836224</v>
      </c>
      <c r="T340">
        <f t="shared" si="973"/>
        <v>3.4355543774836224</v>
      </c>
    </row>
    <row r="341" spans="1:20" x14ac:dyDescent="0.25">
      <c r="A341" s="5">
        <v>44252</v>
      </c>
      <c r="B341">
        <v>3.6020000000000003E-2</v>
      </c>
      <c r="C341">
        <v>4.1000000000000002E-2</v>
      </c>
      <c r="D341">
        <v>3.39E-2</v>
      </c>
      <c r="E341">
        <v>3.5009999999999999E-2</v>
      </c>
      <c r="F341">
        <v>73473401.5</v>
      </c>
      <c r="G341">
        <v>0</v>
      </c>
      <c r="L341" t="s">
        <v>8</v>
      </c>
      <c r="M341" t="s">
        <v>7</v>
      </c>
      <c r="N341" t="s">
        <v>8</v>
      </c>
      <c r="P341">
        <f t="shared" si="969"/>
        <v>-0.68732394366197191</v>
      </c>
      <c r="Q341">
        <f t="shared" si="970"/>
        <v>-50500028.073239446</v>
      </c>
      <c r="R341">
        <f t="shared" si="971"/>
        <v>293639196.34836227</v>
      </c>
      <c r="S341">
        <f t="shared" si="972"/>
        <v>2936.3919634836225</v>
      </c>
      <c r="T341">
        <f t="shared" si="973"/>
        <v>2.9363919634836226</v>
      </c>
    </row>
    <row r="342" spans="1:20" x14ac:dyDescent="0.25">
      <c r="A342" s="5">
        <v>44251</v>
      </c>
      <c r="B342">
        <v>3.3250000000000002E-2</v>
      </c>
      <c r="C342">
        <v>4.02E-2</v>
      </c>
      <c r="D342">
        <v>3.2370000000000003E-2</v>
      </c>
      <c r="E342">
        <v>3.5950000000000003E-2</v>
      </c>
      <c r="F342">
        <v>94458949.099999994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-8.5568326947636941E-2</v>
      </c>
      <c r="Q342">
        <f t="shared" si="970"/>
        <v>-8082694.239718996</v>
      </c>
      <c r="R342">
        <f t="shared" si="971"/>
        <v>344139224.42160171</v>
      </c>
      <c r="S342">
        <f t="shared" si="972"/>
        <v>3441.3922442160169</v>
      </c>
      <c r="T342">
        <f t="shared" si="973"/>
        <v>3.4413922442160167</v>
      </c>
    </row>
    <row r="343" spans="1:20" x14ac:dyDescent="0.25">
      <c r="A343" s="5">
        <v>44250</v>
      </c>
      <c r="B343">
        <v>4.4749999999999998E-2</v>
      </c>
      <c r="C343">
        <v>4.5999999999999999E-2</v>
      </c>
      <c r="D343">
        <v>2.8299999999999999E-2</v>
      </c>
      <c r="E343">
        <v>3.3259999999999998E-2</v>
      </c>
      <c r="F343">
        <v>84084629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-0.43954802259887016</v>
      </c>
      <c r="Q343">
        <f t="shared" si="970"/>
        <v>-36959232.407909609</v>
      </c>
      <c r="R343">
        <f t="shared" si="971"/>
        <v>352221918.66132069</v>
      </c>
      <c r="S343">
        <f t="shared" si="972"/>
        <v>3522.2191866132071</v>
      </c>
      <c r="T343">
        <f t="shared" si="973"/>
        <v>3.5222191866132069</v>
      </c>
    </row>
    <row r="344" spans="1:20" x14ac:dyDescent="0.25">
      <c r="A344" s="5">
        <v>44249</v>
      </c>
      <c r="B344">
        <v>5.0250000000000003E-2</v>
      </c>
      <c r="C344">
        <v>5.117E-2</v>
      </c>
      <c r="D344">
        <v>3.891E-2</v>
      </c>
      <c r="E344">
        <v>4.4549999999999999E-2</v>
      </c>
      <c r="F344">
        <v>98597710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-7.9934747145187737E-2</v>
      </c>
      <c r="Q344">
        <f t="shared" si="970"/>
        <v>-7881383.0179445483</v>
      </c>
      <c r="R344">
        <f t="shared" si="971"/>
        <v>389181151.06923032</v>
      </c>
      <c r="S344">
        <f t="shared" si="972"/>
        <v>3891.8115106923033</v>
      </c>
      <c r="T344">
        <f t="shared" si="973"/>
        <v>3.8918115106923032</v>
      </c>
    </row>
    <row r="345" spans="1:20" x14ac:dyDescent="0.25">
      <c r="A345" s="5">
        <v>44248</v>
      </c>
      <c r="B345">
        <v>4.3959999999999999E-2</v>
      </c>
      <c r="C345">
        <v>5.2999999999999999E-2</v>
      </c>
      <c r="D345">
        <v>4.2549999999999998E-2</v>
      </c>
      <c r="E345">
        <v>5.0250000000000003E-2</v>
      </c>
      <c r="F345">
        <v>77294823.5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0.47368421052631671</v>
      </c>
      <c r="Q345">
        <f t="shared" si="970"/>
        <v>36613337.447368495</v>
      </c>
      <c r="R345">
        <f t="shared" si="971"/>
        <v>397062534.08717489</v>
      </c>
      <c r="S345">
        <f t="shared" si="972"/>
        <v>3970.6253408717489</v>
      </c>
      <c r="T345">
        <f t="shared" si="973"/>
        <v>3.9706253408717491</v>
      </c>
    </row>
    <row r="346" spans="1:20" x14ac:dyDescent="0.25">
      <c r="A346" s="5">
        <v>44247</v>
      </c>
      <c r="B346">
        <v>4.6730000000000001E-2</v>
      </c>
      <c r="C346">
        <v>4.7E-2</v>
      </c>
      <c r="D346">
        <v>4.1000000000000002E-2</v>
      </c>
      <c r="E346">
        <v>4.3959999999999999E-2</v>
      </c>
      <c r="F346">
        <v>77287436.900000006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-1.333333333333395E-2</v>
      </c>
      <c r="Q346">
        <f t="shared" si="970"/>
        <v>-1030499.1586667144</v>
      </c>
      <c r="R346">
        <f t="shared" si="971"/>
        <v>360449196.63980639</v>
      </c>
      <c r="S346">
        <f t="shared" si="972"/>
        <v>3604.4919663980641</v>
      </c>
      <c r="T346">
        <f t="shared" si="973"/>
        <v>3.6044919663980641</v>
      </c>
    </row>
    <row r="347" spans="1:20" x14ac:dyDescent="0.25">
      <c r="A347" s="5">
        <v>44246</v>
      </c>
      <c r="B347">
        <v>4.5289999999999997E-2</v>
      </c>
      <c r="C347">
        <v>5.7000000000000002E-2</v>
      </c>
      <c r="D347">
        <v>3.95E-2</v>
      </c>
      <c r="E347">
        <v>4.6699999999999998E-2</v>
      </c>
      <c r="F347">
        <v>205160841.30000001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-0.17714285714285744</v>
      </c>
      <c r="Q347">
        <f t="shared" si="970"/>
        <v>-36342777.60171435</v>
      </c>
      <c r="R347">
        <f t="shared" si="971"/>
        <v>361479695.79847312</v>
      </c>
      <c r="S347">
        <f t="shared" si="972"/>
        <v>3614.7969579847313</v>
      </c>
      <c r="T347">
        <f t="shared" si="973"/>
        <v>3.6147969579847312</v>
      </c>
    </row>
    <row r="348" spans="1:20" x14ac:dyDescent="0.25">
      <c r="A348" s="5">
        <v>44245</v>
      </c>
      <c r="B348">
        <v>3.8800000000000001E-2</v>
      </c>
      <c r="C348">
        <v>4.9000000000000002E-2</v>
      </c>
      <c r="D348">
        <v>3.7569999999999999E-2</v>
      </c>
      <c r="E348">
        <v>4.5289999999999997E-2</v>
      </c>
      <c r="F348">
        <v>117124895.90000001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0.35083114610673594</v>
      </c>
      <c r="Q348">
        <f t="shared" si="970"/>
        <v>41091061.466229141</v>
      </c>
      <c r="R348">
        <f t="shared" si="971"/>
        <v>397822473.40018749</v>
      </c>
      <c r="S348">
        <f t="shared" si="972"/>
        <v>3978.2247340018748</v>
      </c>
      <c r="T348">
        <f t="shared" si="973"/>
        <v>3.9782247340018748</v>
      </c>
    </row>
    <row r="349" spans="1:20" x14ac:dyDescent="0.25">
      <c r="A349" s="5">
        <v>44244</v>
      </c>
      <c r="B349">
        <v>3.7039999999999997E-2</v>
      </c>
      <c r="C349">
        <v>3.9440000000000003E-2</v>
      </c>
      <c r="D349">
        <v>3.3239999999999999E-2</v>
      </c>
      <c r="E349">
        <v>3.8800000000000001E-2</v>
      </c>
      <c r="F349">
        <v>64072791.799999997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0.79354838709677378</v>
      </c>
      <c r="Q349">
        <f t="shared" si="970"/>
        <v>50844860.589677393</v>
      </c>
      <c r="R349">
        <f t="shared" si="971"/>
        <v>356731411.93395835</v>
      </c>
      <c r="S349">
        <f t="shared" si="972"/>
        <v>3567.3141193395836</v>
      </c>
      <c r="T349">
        <f t="shared" si="973"/>
        <v>3.5673141193395836</v>
      </c>
    </row>
    <row r="350" spans="1:20" x14ac:dyDescent="0.25">
      <c r="A350" s="5">
        <v>44243</v>
      </c>
      <c r="B350">
        <v>3.805E-2</v>
      </c>
      <c r="C350">
        <v>4.4290000000000003E-2</v>
      </c>
      <c r="D350">
        <v>3.4549999999999997E-2</v>
      </c>
      <c r="E350">
        <v>3.6760000000000001E-2</v>
      </c>
      <c r="F350">
        <v>168200905.5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-0.54620123203285376</v>
      </c>
      <c r="Q350">
        <f t="shared" si="970"/>
        <v>-91871541.813141614</v>
      </c>
      <c r="R350">
        <f t="shared" si="971"/>
        <v>305886551.34428096</v>
      </c>
      <c r="S350">
        <f t="shared" si="972"/>
        <v>3058.8655134428095</v>
      </c>
      <c r="T350">
        <f t="shared" si="973"/>
        <v>3.0588655134428095</v>
      </c>
    </row>
    <row r="351" spans="1:20" x14ac:dyDescent="0.25">
      <c r="A351" s="5">
        <v>44242</v>
      </c>
      <c r="B351">
        <v>3.5450000000000002E-2</v>
      </c>
      <c r="C351">
        <v>4.2900000000000001E-2</v>
      </c>
      <c r="D351">
        <v>2.9020000000000001E-2</v>
      </c>
      <c r="E351">
        <v>3.805E-2</v>
      </c>
      <c r="F351">
        <v>243020339</v>
      </c>
      <c r="G351">
        <v>0</v>
      </c>
      <c r="L351" t="s">
        <v>8</v>
      </c>
      <c r="M351" t="s">
        <v>8</v>
      </c>
      <c r="N351" t="s">
        <v>7</v>
      </c>
      <c r="P351">
        <f t="shared" si="969"/>
        <v>0.30115273775216134</v>
      </c>
      <c r="Q351">
        <f t="shared" si="970"/>
        <v>73186240.419308349</v>
      </c>
      <c r="R351">
        <f t="shared" si="971"/>
        <v>397758093.1574226</v>
      </c>
      <c r="S351">
        <f t="shared" si="972"/>
        <v>3977.5809315742258</v>
      </c>
      <c r="T351">
        <f t="shared" si="973"/>
        <v>3.9775809315742259</v>
      </c>
    </row>
    <row r="352" spans="1:20" x14ac:dyDescent="0.25">
      <c r="A352" s="5">
        <v>44241</v>
      </c>
      <c r="B352">
        <v>3.6639999999999999E-2</v>
      </c>
      <c r="C352">
        <v>3.9969999999999999E-2</v>
      </c>
      <c r="D352">
        <v>3.3660000000000002E-2</v>
      </c>
      <c r="E352">
        <v>3.5459999999999998E-2</v>
      </c>
      <c r="F352">
        <v>151006701.5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-0.42947702060221959</v>
      </c>
      <c r="Q352">
        <f t="shared" si="970"/>
        <v>-64853908.251188725</v>
      </c>
      <c r="R352">
        <f t="shared" si="971"/>
        <v>324571852.73811424</v>
      </c>
      <c r="S352">
        <f t="shared" si="972"/>
        <v>3245.7185273811424</v>
      </c>
      <c r="T352">
        <f t="shared" si="973"/>
        <v>3.2457185273811424</v>
      </c>
    </row>
    <row r="353" spans="1:20" x14ac:dyDescent="0.25">
      <c r="A353" s="5">
        <v>44240</v>
      </c>
      <c r="B353">
        <v>3.347E-2</v>
      </c>
      <c r="C353">
        <v>3.8339999999999999E-2</v>
      </c>
      <c r="D353">
        <v>3.1029999999999999E-2</v>
      </c>
      <c r="E353">
        <v>3.6650000000000002E-2</v>
      </c>
      <c r="F353">
        <v>158175032.80000001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0.53761969904240847</v>
      </c>
      <c r="Q353">
        <f t="shared" si="970"/>
        <v>85038013.529959098</v>
      </c>
      <c r="R353">
        <f t="shared" si="971"/>
        <v>389425760.98930293</v>
      </c>
      <c r="S353">
        <f t="shared" si="972"/>
        <v>3894.2576098930294</v>
      </c>
      <c r="T353">
        <f t="shared" si="973"/>
        <v>3.8942576098930295</v>
      </c>
    </row>
    <row r="354" spans="1:20" x14ac:dyDescent="0.25">
      <c r="A354" s="5">
        <v>44239</v>
      </c>
      <c r="B354">
        <v>3.0360000000000002E-2</v>
      </c>
      <c r="C354">
        <v>3.4860000000000002E-2</v>
      </c>
      <c r="D354">
        <v>2.8029999999999999E-2</v>
      </c>
      <c r="E354">
        <v>3.347E-2</v>
      </c>
      <c r="F354">
        <v>113255526.59999999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0.59297218155197606</v>
      </c>
      <c r="Q354">
        <f t="shared" si="970"/>
        <v>67157376.680819854</v>
      </c>
      <c r="R354">
        <f t="shared" si="971"/>
        <v>304387747.45934385</v>
      </c>
      <c r="S354">
        <f t="shared" si="972"/>
        <v>3043.8774745934384</v>
      </c>
      <c r="T354">
        <f t="shared" si="973"/>
        <v>3.0438774745934385</v>
      </c>
    </row>
    <row r="355" spans="1:20" x14ac:dyDescent="0.25">
      <c r="A355" s="5">
        <v>44238</v>
      </c>
      <c r="B355">
        <v>2.7689999999999999E-2</v>
      </c>
      <c r="C355">
        <v>3.1579999999999997E-2</v>
      </c>
      <c r="D355">
        <v>2.682E-2</v>
      </c>
      <c r="E355">
        <v>3.0190000000000002E-2</v>
      </c>
      <c r="F355">
        <v>80492876.200000003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0.41596638655462337</v>
      </c>
      <c r="Q355">
        <f t="shared" si="970"/>
        <v>33482330.856302645</v>
      </c>
      <c r="R355">
        <f t="shared" si="971"/>
        <v>237230370.77852398</v>
      </c>
      <c r="S355">
        <f t="shared" si="972"/>
        <v>2372.30370778524</v>
      </c>
      <c r="T355">
        <f t="shared" si="973"/>
        <v>2.3723037077852398</v>
      </c>
    </row>
    <row r="356" spans="1:20" x14ac:dyDescent="0.25">
      <c r="A356" s="5">
        <v>44237</v>
      </c>
      <c r="B356">
        <v>2.7470000000000001E-2</v>
      </c>
      <c r="C356">
        <v>2.945E-2</v>
      </c>
      <c r="D356">
        <v>2.5000000000000001E-2</v>
      </c>
      <c r="E356">
        <v>2.7609999999999999E-2</v>
      </c>
      <c r="F356">
        <v>93227022</v>
      </c>
      <c r="G356">
        <v>0</v>
      </c>
      <c r="L356" t="s">
        <v>7</v>
      </c>
      <c r="M356" t="s">
        <v>8</v>
      </c>
      <c r="N356" t="s">
        <v>7</v>
      </c>
      <c r="P356">
        <f t="shared" si="969"/>
        <v>0.17303370786516775</v>
      </c>
      <c r="Q356">
        <f t="shared" si="970"/>
        <v>16131417.289887566</v>
      </c>
      <c r="R356">
        <f t="shared" si="971"/>
        <v>203748039.92222133</v>
      </c>
      <c r="S356">
        <f t="shared" si="972"/>
        <v>2037.4803992222132</v>
      </c>
      <c r="T356">
        <f t="shared" si="973"/>
        <v>2.037480399222213</v>
      </c>
    </row>
    <row r="357" spans="1:20" x14ac:dyDescent="0.25">
      <c r="A357" s="5">
        <v>44236</v>
      </c>
      <c r="B357">
        <v>2.6239999999999999E-2</v>
      </c>
      <c r="C357">
        <v>2.896E-2</v>
      </c>
      <c r="D357">
        <v>2.4240000000000001E-2</v>
      </c>
      <c r="E357">
        <v>2.7470000000000001E-2</v>
      </c>
      <c r="F357">
        <v>88170547.099999994</v>
      </c>
      <c r="G357">
        <v>0</v>
      </c>
      <c r="L357" t="s">
        <v>8</v>
      </c>
      <c r="M357" t="s">
        <v>8</v>
      </c>
      <c r="N357" t="s">
        <v>7</v>
      </c>
      <c r="P357">
        <f t="shared" si="969"/>
        <v>0.36864406779661069</v>
      </c>
      <c r="Q357">
        <f t="shared" si="970"/>
        <v>32503549.142796654</v>
      </c>
      <c r="R357">
        <f t="shared" si="971"/>
        <v>187616622.63233376</v>
      </c>
      <c r="S357">
        <f t="shared" si="972"/>
        <v>1876.1662263233375</v>
      </c>
      <c r="T357">
        <f t="shared" si="973"/>
        <v>1.8761662263233374</v>
      </c>
    </row>
    <row r="358" spans="1:20" x14ac:dyDescent="0.25">
      <c r="A358" s="5">
        <v>44235</v>
      </c>
      <c r="B358">
        <v>2.4230000000000002E-2</v>
      </c>
      <c r="C358">
        <v>2.7050000000000001E-2</v>
      </c>
      <c r="D358">
        <v>2.35E-2</v>
      </c>
      <c r="E358">
        <v>2.6239999999999999E-2</v>
      </c>
      <c r="F358">
        <v>36673240.700000003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0.54366197183098508</v>
      </c>
      <c r="Q358">
        <f t="shared" si="970"/>
        <v>19937846.352394339</v>
      </c>
      <c r="R358">
        <f t="shared" si="971"/>
        <v>155113073.48953709</v>
      </c>
      <c r="S358">
        <f t="shared" si="972"/>
        <v>1551.130734895371</v>
      </c>
      <c r="T358">
        <f t="shared" si="973"/>
        <v>1.5511307348953709</v>
      </c>
    </row>
    <row r="359" spans="1:20" x14ac:dyDescent="0.25">
      <c r="A359" s="5">
        <v>44234</v>
      </c>
      <c r="B359">
        <v>2.538E-2</v>
      </c>
      <c r="C359">
        <v>2.538E-2</v>
      </c>
      <c r="D359">
        <v>2.281E-2</v>
      </c>
      <c r="E359">
        <v>2.4309999999999998E-2</v>
      </c>
      <c r="F359">
        <v>18577684.899999999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0.16731517509727489</v>
      </c>
      <c r="Q359">
        <f t="shared" si="970"/>
        <v>3108328.6019454994</v>
      </c>
      <c r="R359">
        <f t="shared" si="971"/>
        <v>135175227.13714275</v>
      </c>
      <c r="S359">
        <f t="shared" si="972"/>
        <v>1351.7522713714275</v>
      </c>
      <c r="T359">
        <f t="shared" si="973"/>
        <v>1.3517522713714274</v>
      </c>
    </row>
    <row r="360" spans="1:20" x14ac:dyDescent="0.25">
      <c r="A360" s="5">
        <v>44233</v>
      </c>
      <c r="B360">
        <v>2.741E-2</v>
      </c>
      <c r="C360">
        <v>2.741E-2</v>
      </c>
      <c r="D360">
        <v>2.409E-2</v>
      </c>
      <c r="E360">
        <v>2.5420000000000002E-2</v>
      </c>
      <c r="F360">
        <v>20697358.199999999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-0.19879518072289079</v>
      </c>
      <c r="Q360">
        <f t="shared" si="970"/>
        <v>-4114535.0638554054</v>
      </c>
      <c r="R360">
        <f t="shared" si="971"/>
        <v>132066898.53519726</v>
      </c>
      <c r="S360">
        <f t="shared" si="972"/>
        <v>1320.6689853519727</v>
      </c>
      <c r="T360">
        <f t="shared" si="973"/>
        <v>1.3206689853519726</v>
      </c>
    </row>
    <row r="361" spans="1:20" x14ac:dyDescent="0.25">
      <c r="A361" s="5">
        <v>44232</v>
      </c>
      <c r="B361">
        <v>2.615E-2</v>
      </c>
      <c r="C361">
        <v>2.826E-2</v>
      </c>
      <c r="D361">
        <v>2.5340000000000001E-2</v>
      </c>
      <c r="E361">
        <v>2.741E-2</v>
      </c>
      <c r="F361">
        <v>51548166.100000001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0.41780821917808197</v>
      </c>
      <c r="Q361">
        <f t="shared" si="970"/>
        <v>21537247.480136976</v>
      </c>
      <c r="R361">
        <f t="shared" si="971"/>
        <v>136181433.59905267</v>
      </c>
      <c r="S361">
        <f t="shared" si="972"/>
        <v>1361.8143359905266</v>
      </c>
      <c r="T361">
        <f t="shared" si="973"/>
        <v>1.3618143359905266</v>
      </c>
    </row>
    <row r="362" spans="1:20" x14ac:dyDescent="0.25">
      <c r="A362" s="5">
        <v>44231</v>
      </c>
      <c r="B362">
        <v>2.4199999999999999E-2</v>
      </c>
      <c r="C362">
        <v>2.894E-2</v>
      </c>
      <c r="D362">
        <v>2.3109999999999999E-2</v>
      </c>
      <c r="E362">
        <v>2.615E-2</v>
      </c>
      <c r="F362">
        <v>154476551.90000001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4.2881646655231587E-2</v>
      </c>
      <c r="Q362">
        <f t="shared" si="970"/>
        <v>6624208.9150943439</v>
      </c>
      <c r="R362">
        <f t="shared" si="971"/>
        <v>114644186.11891571</v>
      </c>
      <c r="S362">
        <f t="shared" si="972"/>
        <v>1146.4418611891572</v>
      </c>
      <c r="T362">
        <f t="shared" si="973"/>
        <v>1.1464418611891571</v>
      </c>
    </row>
    <row r="363" spans="1:20" x14ac:dyDescent="0.25">
      <c r="A363" s="5">
        <v>44230</v>
      </c>
      <c r="B363">
        <v>2.2089999999999999E-2</v>
      </c>
      <c r="C363">
        <v>3.5349999999999999E-2</v>
      </c>
      <c r="D363">
        <v>2.1000000000000001E-2</v>
      </c>
      <c r="E363">
        <v>2.4320000000000001E-2</v>
      </c>
      <c r="F363">
        <v>340250699.60000002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-0.53728222996515673</v>
      </c>
      <c r="Q363">
        <f t="shared" si="970"/>
        <v>-182810654.62829268</v>
      </c>
      <c r="R363">
        <f t="shared" si="971"/>
        <v>108019977.20382136</v>
      </c>
      <c r="S363">
        <f t="shared" si="972"/>
        <v>1080.1997720382137</v>
      </c>
      <c r="T363">
        <f t="shared" si="973"/>
        <v>1.0801997720382137</v>
      </c>
    </row>
    <row r="364" spans="1:20" x14ac:dyDescent="0.25">
      <c r="A364" s="5">
        <v>44229</v>
      </c>
      <c r="B364">
        <v>2.0799999999999999E-2</v>
      </c>
      <c r="C364">
        <v>2.2339999999999999E-2</v>
      </c>
      <c r="D364">
        <v>2.0060000000000001E-2</v>
      </c>
      <c r="E364">
        <v>2.1950000000000001E-2</v>
      </c>
      <c r="F364">
        <v>19780345.199999999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0.65789473684210664</v>
      </c>
      <c r="Q364">
        <f t="shared" si="970"/>
        <v>13013385.000000026</v>
      </c>
      <c r="R364">
        <f t="shared" si="971"/>
        <v>290830631.83211404</v>
      </c>
      <c r="S364">
        <f t="shared" si="972"/>
        <v>2908.3063183211402</v>
      </c>
      <c r="T364">
        <f t="shared" si="973"/>
        <v>2.9083063183211402</v>
      </c>
    </row>
    <row r="365" spans="1:20" x14ac:dyDescent="0.25">
      <c r="A365" s="5">
        <v>44228</v>
      </c>
      <c r="B365">
        <v>2.1489999999999999E-2</v>
      </c>
      <c r="C365">
        <v>2.1909999999999999E-2</v>
      </c>
      <c r="D365">
        <v>0.02</v>
      </c>
      <c r="E365">
        <v>2.0750000000000001E-2</v>
      </c>
      <c r="F365">
        <v>36190126.899999999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-0.21465968586387305</v>
      </c>
      <c r="Q365">
        <f t="shared" si="970"/>
        <v>-7768561.2717277016</v>
      </c>
      <c r="R365">
        <f t="shared" si="971"/>
        <v>277817246.83211404</v>
      </c>
      <c r="S365">
        <f t="shared" si="972"/>
        <v>2778.1724683211405</v>
      </c>
      <c r="T365">
        <f t="shared" si="973"/>
        <v>2.7781724683211406</v>
      </c>
    </row>
    <row r="366" spans="1:20" x14ac:dyDescent="0.25">
      <c r="A366" s="5">
        <v>44227</v>
      </c>
      <c r="B366">
        <v>2.2800000000000001E-2</v>
      </c>
      <c r="C366">
        <v>2.299E-2</v>
      </c>
      <c r="D366">
        <v>2.061E-2</v>
      </c>
      <c r="E366">
        <v>2.1600000000000001E-2</v>
      </c>
      <c r="F366">
        <v>26874689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-0.16806722689075526</v>
      </c>
      <c r="Q366">
        <f t="shared" si="970"/>
        <v>-4516754.4537814846</v>
      </c>
      <c r="R366">
        <f t="shared" si="971"/>
        <v>285585808.10384172</v>
      </c>
      <c r="S366">
        <f t="shared" si="972"/>
        <v>2855.8580810384174</v>
      </c>
      <c r="T366">
        <f t="shared" si="973"/>
        <v>2.8558580810384173</v>
      </c>
    </row>
    <row r="367" spans="1:20" x14ac:dyDescent="0.25">
      <c r="A367" s="5">
        <v>44226</v>
      </c>
      <c r="B367">
        <v>2.325E-2</v>
      </c>
      <c r="C367">
        <v>2.47E-2</v>
      </c>
      <c r="D367">
        <v>2.2009999999999998E-2</v>
      </c>
      <c r="E367">
        <v>2.2859999999999998E-2</v>
      </c>
      <c r="F367">
        <v>41288120.600000001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-0.36802973977695197</v>
      </c>
      <c r="Q367">
        <f t="shared" si="970"/>
        <v>-15195256.28029741</v>
      </c>
      <c r="R367">
        <f t="shared" si="971"/>
        <v>290102562.55762321</v>
      </c>
      <c r="S367">
        <f t="shared" si="972"/>
        <v>2901.025625576232</v>
      </c>
      <c r="T367">
        <f t="shared" si="973"/>
        <v>2.9010256255762319</v>
      </c>
    </row>
    <row r="368" spans="1:20" x14ac:dyDescent="0.25">
      <c r="A368" s="5">
        <v>44225</v>
      </c>
      <c r="B368">
        <v>2.375E-2</v>
      </c>
      <c r="C368">
        <v>2.5499999999999998E-2</v>
      </c>
      <c r="D368">
        <v>2.1590000000000002E-2</v>
      </c>
      <c r="E368">
        <v>2.325E-2</v>
      </c>
      <c r="F368">
        <v>38802539.799999997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-0.15089514066496182</v>
      </c>
      <c r="Q368">
        <f t="shared" si="970"/>
        <v>-5855114.7012787787</v>
      </c>
      <c r="R368">
        <f t="shared" si="971"/>
        <v>305297818.83792061</v>
      </c>
      <c r="S368">
        <f t="shared" si="972"/>
        <v>3052.9781883792061</v>
      </c>
      <c r="T368">
        <f t="shared" si="973"/>
        <v>3.052978188379206</v>
      </c>
    </row>
    <row r="369" spans="1:20" x14ac:dyDescent="0.25">
      <c r="A369" s="5">
        <v>44224</v>
      </c>
      <c r="B369">
        <v>2.0969999999999999E-2</v>
      </c>
      <c r="C369">
        <v>2.5999999999999999E-2</v>
      </c>
      <c r="D369">
        <v>2.094E-2</v>
      </c>
      <c r="E369">
        <v>2.375E-2</v>
      </c>
      <c r="F369">
        <v>81761147.700000003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0.1106719367588936</v>
      </c>
      <c r="Q369">
        <f t="shared" si="970"/>
        <v>9048664.5675889589</v>
      </c>
      <c r="R369">
        <f t="shared" si="971"/>
        <v>311152933.53919941</v>
      </c>
      <c r="S369">
        <f t="shared" si="972"/>
        <v>3111.5293353919942</v>
      </c>
      <c r="T369">
        <f t="shared" si="973"/>
        <v>3.1115293353919942</v>
      </c>
    </row>
    <row r="370" spans="1:20" x14ac:dyDescent="0.25">
      <c r="A370" s="5">
        <v>44223</v>
      </c>
      <c r="B370">
        <v>2.3359999999999999E-2</v>
      </c>
      <c r="C370">
        <v>2.3949999999999999E-2</v>
      </c>
      <c r="D370">
        <v>1.951E-2</v>
      </c>
      <c r="E370">
        <v>2.0979999999999999E-2</v>
      </c>
      <c r="F370">
        <v>23155868.600000001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-0.33783783783783816</v>
      </c>
      <c r="Q370">
        <f t="shared" si="970"/>
        <v>-7822928.5810810886</v>
      </c>
      <c r="R370">
        <f t="shared" si="971"/>
        <v>302104268.97161043</v>
      </c>
      <c r="S370">
        <f t="shared" si="972"/>
        <v>3021.0426897161042</v>
      </c>
      <c r="T370">
        <f t="shared" si="973"/>
        <v>3.0210426897161042</v>
      </c>
    </row>
    <row r="371" spans="1:20" x14ac:dyDescent="0.25">
      <c r="A371" s="5">
        <v>44222</v>
      </c>
      <c r="B371">
        <v>2.2190000000000001E-2</v>
      </c>
      <c r="C371">
        <v>2.4889999999999999E-2</v>
      </c>
      <c r="D371">
        <v>2.164E-2</v>
      </c>
      <c r="E371">
        <v>2.3290000000000002E-2</v>
      </c>
      <c r="F371">
        <v>59882434.899999999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1.5384615384616896E-2</v>
      </c>
      <c r="Q371">
        <f t="shared" si="970"/>
        <v>921268.22923085978</v>
      </c>
      <c r="R371">
        <f t="shared" si="971"/>
        <v>309927197.55269152</v>
      </c>
      <c r="S371">
        <f t="shared" si="972"/>
        <v>3099.2719755269154</v>
      </c>
      <c r="T371">
        <f t="shared" si="973"/>
        <v>3.0992719755269156</v>
      </c>
    </row>
    <row r="372" spans="1:20" x14ac:dyDescent="0.25">
      <c r="A372" s="5">
        <v>44221</v>
      </c>
      <c r="B372">
        <v>2.2120000000000001E-2</v>
      </c>
      <c r="C372">
        <v>2.69E-2</v>
      </c>
      <c r="D372">
        <v>2.1229999999999999E-2</v>
      </c>
      <c r="E372">
        <v>2.2419999999999999E-2</v>
      </c>
      <c r="F372">
        <v>139879960.59999999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-0.58024691358024694</v>
      </c>
      <c r="Q372">
        <f t="shared" si="970"/>
        <v>-81164915.40987654</v>
      </c>
      <c r="R372">
        <f t="shared" si="971"/>
        <v>309005929.32346064</v>
      </c>
      <c r="S372">
        <f t="shared" si="972"/>
        <v>3090.0592932346062</v>
      </c>
      <c r="T372">
        <f t="shared" si="973"/>
        <v>3.090059293234606</v>
      </c>
    </row>
    <row r="373" spans="1:20" x14ac:dyDescent="0.25">
      <c r="A373" s="5">
        <v>44220</v>
      </c>
      <c r="B373">
        <v>1.9990000000000001E-2</v>
      </c>
      <c r="C373">
        <v>2.299E-2</v>
      </c>
      <c r="D373">
        <v>1.9439999999999999E-2</v>
      </c>
      <c r="E373">
        <v>2.2179999999999998E-2</v>
      </c>
      <c r="F373">
        <v>1202354521.8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0.54366197183098508</v>
      </c>
      <c r="Q373">
        <f t="shared" si="970"/>
        <v>653674430.16168916</v>
      </c>
      <c r="R373">
        <f t="shared" si="971"/>
        <v>390170844.73333716</v>
      </c>
      <c r="S373">
        <f t="shared" si="972"/>
        <v>3901.7084473333716</v>
      </c>
      <c r="T373">
        <f t="shared" si="973"/>
        <v>3.9017084473333714</v>
      </c>
    </row>
    <row r="374" spans="1:20" x14ac:dyDescent="0.25">
      <c r="A374" s="5">
        <v>44219</v>
      </c>
      <c r="B374">
        <v>1.9310000000000001E-2</v>
      </c>
      <c r="C374">
        <v>2.018E-2</v>
      </c>
      <c r="D374">
        <v>1.8290000000000001E-2</v>
      </c>
      <c r="E374">
        <v>2.0140000000000002E-2</v>
      </c>
      <c r="F374">
        <v>16992624.699999999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0.95767195767195934</v>
      </c>
      <c r="Q374">
        <f t="shared" si="970"/>
        <v>16273360.162433891</v>
      </c>
      <c r="R374">
        <f t="shared" si="971"/>
        <v>-263503585.42835203</v>
      </c>
      <c r="S374">
        <f t="shared" si="972"/>
        <v>-2635.0358542835202</v>
      </c>
      <c r="T374">
        <f t="shared" si="973"/>
        <v>-2.6350358542835202</v>
      </c>
    </row>
    <row r="375" spans="1:20" x14ac:dyDescent="0.25">
      <c r="A375" s="5">
        <v>44218</v>
      </c>
      <c r="B375">
        <v>1.9220000000000001E-2</v>
      </c>
      <c r="C375">
        <v>1.9949999999999999E-2</v>
      </c>
      <c r="D375">
        <v>1.7000000000000001E-2</v>
      </c>
      <c r="E375">
        <v>1.9310000000000001E-2</v>
      </c>
      <c r="F375">
        <v>23733178.699999999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0.56610169491525508</v>
      </c>
      <c r="Q375">
        <f t="shared" si="970"/>
        <v>13435392.68779663</v>
      </c>
      <c r="R375">
        <f t="shared" si="971"/>
        <v>-279776945.59078592</v>
      </c>
      <c r="S375">
        <f t="shared" si="972"/>
        <v>-2797.7694559078591</v>
      </c>
      <c r="T375">
        <f t="shared" si="973"/>
        <v>-2.7977694559078592</v>
      </c>
    </row>
    <row r="376" spans="1:20" x14ac:dyDescent="0.25">
      <c r="A376" s="5">
        <v>44217</v>
      </c>
      <c r="B376">
        <v>2.1930000000000002E-2</v>
      </c>
      <c r="C376">
        <v>2.5739999999999999E-2</v>
      </c>
      <c r="D376">
        <v>1.883E-2</v>
      </c>
      <c r="E376">
        <v>1.9130000000000001E-2</v>
      </c>
      <c r="F376">
        <v>92745950.700000003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-0.9131693198263382</v>
      </c>
      <c r="Q376">
        <f t="shared" si="970"/>
        <v>-84692756.717366099</v>
      </c>
      <c r="R376">
        <f t="shared" si="971"/>
        <v>-293212338.27858257</v>
      </c>
      <c r="S376">
        <f t="shared" si="972"/>
        <v>-2932.1233827858259</v>
      </c>
      <c r="T376">
        <f t="shared" si="973"/>
        <v>-2.932123382785826</v>
      </c>
    </row>
    <row r="377" spans="1:20" x14ac:dyDescent="0.25">
      <c r="A377" s="5">
        <v>44216</v>
      </c>
      <c r="B377">
        <v>1.992E-2</v>
      </c>
      <c r="C377">
        <v>2.4490000000000001E-2</v>
      </c>
      <c r="D377">
        <v>1.907E-2</v>
      </c>
      <c r="E377">
        <v>2.1770000000000001E-2</v>
      </c>
      <c r="F377">
        <v>159299422.59999999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-3.6900369003688527E-3</v>
      </c>
      <c r="Q377">
        <f t="shared" si="970"/>
        <v>-587820.74760145193</v>
      </c>
      <c r="R377">
        <f t="shared" si="971"/>
        <v>-208519581.56121647</v>
      </c>
      <c r="S377">
        <f t="shared" si="972"/>
        <v>-2085.1958156121646</v>
      </c>
      <c r="T377">
        <f t="shared" si="973"/>
        <v>-2.0851958156121646</v>
      </c>
    </row>
    <row r="378" spans="1:20" x14ac:dyDescent="0.25">
      <c r="A378" s="5">
        <v>44215</v>
      </c>
      <c r="B378">
        <v>2.0250000000000001E-2</v>
      </c>
      <c r="C378">
        <v>2.0899999999999998E-2</v>
      </c>
      <c r="D378">
        <v>1.9449999999999999E-2</v>
      </c>
      <c r="E378">
        <v>1.992E-2</v>
      </c>
      <c r="F378">
        <v>13179633.699999999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-0.35172413793103213</v>
      </c>
      <c r="Q378">
        <f t="shared" si="970"/>
        <v>-4635595.3013792792</v>
      </c>
      <c r="R378">
        <f t="shared" si="971"/>
        <v>-207931760.81361502</v>
      </c>
      <c r="S378">
        <f t="shared" si="972"/>
        <v>-2079.3176081361503</v>
      </c>
      <c r="T378">
        <f t="shared" si="973"/>
        <v>-2.0793176081361504</v>
      </c>
    </row>
    <row r="379" spans="1:20" x14ac:dyDescent="0.25">
      <c r="A379" s="5">
        <v>44214</v>
      </c>
      <c r="B379">
        <v>1.9199999999999998E-2</v>
      </c>
      <c r="C379">
        <v>2.1180000000000001E-2</v>
      </c>
      <c r="D379">
        <v>1.8030000000000001E-2</v>
      </c>
      <c r="E379">
        <v>2.026E-2</v>
      </c>
      <c r="F379">
        <v>77745225.5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0.41587301587301545</v>
      </c>
      <c r="Q379">
        <f t="shared" si="970"/>
        <v>32332141.398412667</v>
      </c>
      <c r="R379">
        <f t="shared" si="971"/>
        <v>-203296165.51223573</v>
      </c>
      <c r="S379">
        <f t="shared" si="972"/>
        <v>-2032.9616551223573</v>
      </c>
      <c r="T379">
        <f t="shared" si="973"/>
        <v>-2.0329616551223575</v>
      </c>
    </row>
    <row r="380" spans="1:20" x14ac:dyDescent="0.25">
      <c r="A380" s="5">
        <v>44213</v>
      </c>
      <c r="B380">
        <v>1.9539999999999998E-2</v>
      </c>
      <c r="C380">
        <v>1.9650000000000001E-2</v>
      </c>
      <c r="D380">
        <v>1.7780000000000001E-2</v>
      </c>
      <c r="E380">
        <v>1.941E-2</v>
      </c>
      <c r="F380">
        <v>18990225.5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0.74331550802138968</v>
      </c>
      <c r="Q380">
        <f t="shared" si="970"/>
        <v>14115729.114973249</v>
      </c>
      <c r="R380">
        <f t="shared" si="971"/>
        <v>-235628306.91064841</v>
      </c>
      <c r="S380">
        <f t="shared" si="972"/>
        <v>-2356.2830691064842</v>
      </c>
      <c r="T380">
        <f t="shared" si="973"/>
        <v>-2.356283069106484</v>
      </c>
    </row>
    <row r="381" spans="1:20" x14ac:dyDescent="0.25">
      <c r="A381" s="5">
        <v>44212</v>
      </c>
      <c r="B381">
        <v>1.89E-2</v>
      </c>
      <c r="C381">
        <v>2.1999999999999999E-2</v>
      </c>
      <c r="D381">
        <v>1.8849999999999999E-2</v>
      </c>
      <c r="E381">
        <v>1.9529999999999999E-2</v>
      </c>
      <c r="F381">
        <v>48621210.899999999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-0.56825396825396823</v>
      </c>
      <c r="Q381">
        <f t="shared" si="970"/>
        <v>-27629196.035238095</v>
      </c>
      <c r="R381">
        <f t="shared" si="971"/>
        <v>-249744036.02562165</v>
      </c>
      <c r="S381">
        <f t="shared" si="972"/>
        <v>-2497.4403602562165</v>
      </c>
      <c r="T381">
        <f t="shared" si="973"/>
        <v>-2.4974403602562165</v>
      </c>
    </row>
    <row r="382" spans="1:20" x14ac:dyDescent="0.25">
      <c r="A382" s="5">
        <v>44211</v>
      </c>
      <c r="B382">
        <v>1.8759999999999999E-2</v>
      </c>
      <c r="C382">
        <v>1.95E-2</v>
      </c>
      <c r="D382">
        <v>1.72E-2</v>
      </c>
      <c r="E382">
        <v>1.89E-2</v>
      </c>
      <c r="F382">
        <v>16269709.199999999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0.47826086956521752</v>
      </c>
      <c r="Q382">
        <f t="shared" si="970"/>
        <v>7781165.2695652191</v>
      </c>
      <c r="R382">
        <f t="shared" si="971"/>
        <v>-222114839.99038357</v>
      </c>
      <c r="S382">
        <f t="shared" si="972"/>
        <v>-2221.1483999038355</v>
      </c>
      <c r="T382">
        <f t="shared" si="973"/>
        <v>-2.2211483999038357</v>
      </c>
    </row>
    <row r="383" spans="1:20" x14ac:dyDescent="0.25">
      <c r="A383" s="5">
        <v>44210</v>
      </c>
      <c r="B383">
        <v>1.7260000000000001E-2</v>
      </c>
      <c r="C383">
        <v>1.9120000000000002E-2</v>
      </c>
      <c r="D383">
        <v>1.712E-2</v>
      </c>
      <c r="E383">
        <v>1.8849999999999999E-2</v>
      </c>
      <c r="F383">
        <v>13749984.5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0.72999999999999732</v>
      </c>
      <c r="Q383">
        <f t="shared" si="970"/>
        <v>10037488.684999963</v>
      </c>
      <c r="R383">
        <f t="shared" si="971"/>
        <v>-229896005.25994879</v>
      </c>
      <c r="S383">
        <f t="shared" si="972"/>
        <v>-2298.9600525994879</v>
      </c>
      <c r="T383">
        <f t="shared" si="973"/>
        <v>-2.298960052599488</v>
      </c>
    </row>
    <row r="384" spans="1:20" x14ac:dyDescent="0.25">
      <c r="A384" s="5">
        <v>44209</v>
      </c>
      <c r="B384">
        <v>1.6379999999999999E-2</v>
      </c>
      <c r="C384">
        <v>1.736E-2</v>
      </c>
      <c r="D384">
        <v>1.5800000000000002E-2</v>
      </c>
      <c r="E384">
        <v>1.721E-2</v>
      </c>
      <c r="F384">
        <v>6972390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0.80769230769230649</v>
      </c>
      <c r="Q384">
        <f t="shared" si="970"/>
        <v>5631545.7692307606</v>
      </c>
      <c r="R384">
        <f t="shared" si="971"/>
        <v>-239933493.94494876</v>
      </c>
      <c r="S384">
        <f t="shared" si="972"/>
        <v>-2399.3349394494876</v>
      </c>
      <c r="T384">
        <f t="shared" si="973"/>
        <v>-2.3993349394494876</v>
      </c>
    </row>
    <row r="385" spans="1:20" x14ac:dyDescent="0.25">
      <c r="A385" s="5">
        <v>44208</v>
      </c>
      <c r="B385">
        <v>1.6549999999999999E-2</v>
      </c>
      <c r="C385">
        <v>1.6979999999999999E-2</v>
      </c>
      <c r="D385">
        <v>1.5810000000000001E-2</v>
      </c>
      <c r="E385">
        <v>1.6379999999999999E-2</v>
      </c>
      <c r="F385">
        <v>6256430.5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-2.5641025641027618E-2</v>
      </c>
      <c r="Q385">
        <f t="shared" si="970"/>
        <v>-160421.29487180724</v>
      </c>
      <c r="R385">
        <f t="shared" si="971"/>
        <v>-245565039.71417952</v>
      </c>
      <c r="S385">
        <f t="shared" si="972"/>
        <v>-2455.6503971417951</v>
      </c>
      <c r="T385">
        <f t="shared" si="973"/>
        <v>-2.4556503971417949</v>
      </c>
    </row>
    <row r="386" spans="1:20" x14ac:dyDescent="0.25">
      <c r="A386" s="5">
        <v>44207</v>
      </c>
      <c r="B386">
        <v>1.7979999999999999E-2</v>
      </c>
      <c r="C386">
        <v>1.7979999999999999E-2</v>
      </c>
      <c r="D386">
        <v>1.4999999999999999E-2</v>
      </c>
      <c r="E386">
        <v>1.6559999999999998E-2</v>
      </c>
      <c r="F386">
        <v>13130202.9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4.6979865771811333E-2</v>
      </c>
      <c r="Q386">
        <f t="shared" si="970"/>
        <v>616855.16979864787</v>
      </c>
      <c r="R386">
        <f t="shared" si="971"/>
        <v>-245404618.41930771</v>
      </c>
      <c r="S386">
        <f t="shared" si="972"/>
        <v>-2454.0461841930769</v>
      </c>
      <c r="T386">
        <f t="shared" si="973"/>
        <v>-2.4540461841930767</v>
      </c>
    </row>
    <row r="387" spans="1:20" x14ac:dyDescent="0.25">
      <c r="A387" s="5">
        <v>44206</v>
      </c>
      <c r="B387">
        <v>1.9550000000000001E-2</v>
      </c>
      <c r="C387">
        <v>1.9869999999999999E-2</v>
      </c>
      <c r="D387">
        <v>1.746E-2</v>
      </c>
      <c r="E387">
        <v>1.814E-2</v>
      </c>
      <c r="F387">
        <v>13484004.6</v>
      </c>
      <c r="G387">
        <v>0</v>
      </c>
      <c r="L387" t="s">
        <v>8</v>
      </c>
      <c r="M387" t="s">
        <v>8</v>
      </c>
      <c r="N387" t="s">
        <v>7</v>
      </c>
      <c r="P387">
        <f t="shared" si="969"/>
        <v>-0.43568464730290429</v>
      </c>
      <c r="Q387">
        <f t="shared" si="970"/>
        <v>-5874773.7883817386</v>
      </c>
      <c r="R387">
        <f t="shared" si="971"/>
        <v>-246021473.58910635</v>
      </c>
      <c r="S387">
        <f t="shared" si="972"/>
        <v>-2460.2147358910634</v>
      </c>
      <c r="T387">
        <f t="shared" si="973"/>
        <v>-2.4602147358910633</v>
      </c>
    </row>
    <row r="388" spans="1:20" x14ac:dyDescent="0.25">
      <c r="A388" s="5">
        <v>44205</v>
      </c>
      <c r="B388">
        <v>1.8190000000000001E-2</v>
      </c>
      <c r="C388">
        <v>1.9720000000000001E-2</v>
      </c>
      <c r="D388">
        <v>1.77E-2</v>
      </c>
      <c r="E388">
        <v>1.9550000000000001E-2</v>
      </c>
      <c r="F388">
        <v>17790509.399999999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0.83168316831683176</v>
      </c>
      <c r="Q388">
        <f t="shared" si="970"/>
        <v>14796067.223762376</v>
      </c>
      <c r="R388">
        <f t="shared" si="971"/>
        <v>-240146699.80072463</v>
      </c>
      <c r="S388">
        <f t="shared" si="972"/>
        <v>-2401.4669980072463</v>
      </c>
      <c r="T388">
        <f t="shared" si="973"/>
        <v>-2.4014669980072463</v>
      </c>
    </row>
    <row r="389" spans="1:20" x14ac:dyDescent="0.25">
      <c r="A389" s="5">
        <v>44204</v>
      </c>
      <c r="B389">
        <v>1.729E-2</v>
      </c>
      <c r="C389">
        <v>1.8460000000000001E-2</v>
      </c>
      <c r="D389">
        <v>1.609E-2</v>
      </c>
      <c r="E389">
        <v>1.83E-2</v>
      </c>
      <c r="F389">
        <v>16677662.6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0.86497890295358615</v>
      </c>
      <c r="Q389">
        <f t="shared" si="970"/>
        <v>14425826.299578052</v>
      </c>
      <c r="R389">
        <f t="shared" si="971"/>
        <v>-254942767.02448699</v>
      </c>
      <c r="S389">
        <f t="shared" si="972"/>
        <v>-2549.4276702448701</v>
      </c>
      <c r="T389">
        <f t="shared" si="973"/>
        <v>-2.5494276702448699</v>
      </c>
    </row>
    <row r="390" spans="1:20" x14ac:dyDescent="0.25">
      <c r="A390" s="5">
        <v>44203</v>
      </c>
      <c r="B390">
        <v>1.7000000000000001E-2</v>
      </c>
      <c r="C390">
        <v>1.7899999999999999E-2</v>
      </c>
      <c r="D390">
        <v>1.6400000000000001E-2</v>
      </c>
      <c r="E390">
        <v>1.7330000000000002E-2</v>
      </c>
      <c r="F390">
        <v>15427865.800000001</v>
      </c>
      <c r="G390">
        <v>0</v>
      </c>
      <c r="L390" t="s">
        <v>7</v>
      </c>
      <c r="M390" t="s">
        <v>8</v>
      </c>
      <c r="N390" t="s">
        <v>7</v>
      </c>
      <c r="P390">
        <f t="shared" ref="P390:P453" si="974">IF(C390=D390,0,((E390-D390)-(C390-E390))/(C390-D390))</f>
        <v>0.24000000000000213</v>
      </c>
      <c r="Q390">
        <f t="shared" ref="Q390:Q453" si="975">F390*P390</f>
        <v>3702687.792000033</v>
      </c>
      <c r="R390">
        <f t="shared" ref="R390:R453" si="976">R391+Q390</f>
        <v>-269368593.32406503</v>
      </c>
      <c r="S390">
        <f t="shared" ref="S390:S453" si="977">R390/100000</f>
        <v>-2693.6859332406502</v>
      </c>
      <c r="T390">
        <f t="shared" ref="T390:T453" si="978">S390/1000</f>
        <v>-2.6936859332406504</v>
      </c>
    </row>
    <row r="391" spans="1:20" x14ac:dyDescent="0.25">
      <c r="A391" s="5">
        <v>44202</v>
      </c>
      <c r="B391">
        <v>1.6310000000000002E-2</v>
      </c>
      <c r="C391">
        <v>1.78E-2</v>
      </c>
      <c r="D391">
        <v>1.5959999999999998E-2</v>
      </c>
      <c r="E391">
        <v>1.7000000000000001E-2</v>
      </c>
      <c r="F391">
        <v>16082771.1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0.13043478260869779</v>
      </c>
      <c r="Q391">
        <f t="shared" si="975"/>
        <v>2097752.7521739472</v>
      </c>
      <c r="R391">
        <f t="shared" si="976"/>
        <v>-273071281.11606508</v>
      </c>
      <c r="S391">
        <f t="shared" si="977"/>
        <v>-2730.7128111606507</v>
      </c>
      <c r="T391">
        <f t="shared" si="978"/>
        <v>-2.7307128111606507</v>
      </c>
    </row>
    <row r="392" spans="1:20" x14ac:dyDescent="0.25">
      <c r="A392" s="5">
        <v>44201</v>
      </c>
      <c r="B392">
        <v>1.5900000000000001E-2</v>
      </c>
      <c r="C392">
        <v>1.644E-2</v>
      </c>
      <c r="D392">
        <v>1.55E-2</v>
      </c>
      <c r="E392">
        <v>1.6410000000000001E-2</v>
      </c>
      <c r="F392">
        <v>7068246.2000000002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0.93617021276596002</v>
      </c>
      <c r="Q392">
        <f t="shared" si="975"/>
        <v>6617081.5489361882</v>
      </c>
      <c r="R392">
        <f t="shared" si="976"/>
        <v>-275169033.86823905</v>
      </c>
      <c r="S392">
        <f t="shared" si="977"/>
        <v>-2751.6903386823906</v>
      </c>
      <c r="T392">
        <f t="shared" si="978"/>
        <v>-2.7516903386823905</v>
      </c>
    </row>
    <row r="393" spans="1:20" x14ac:dyDescent="0.25">
      <c r="A393" s="5">
        <v>44200</v>
      </c>
      <c r="B393">
        <v>1.6830000000000001E-2</v>
      </c>
      <c r="C393">
        <v>1.7129999999999999E-2</v>
      </c>
      <c r="D393">
        <v>1.481E-2</v>
      </c>
      <c r="E393">
        <v>1.5990000000000001E-2</v>
      </c>
      <c r="F393">
        <v>11119310.6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1.7241379310345625E-2</v>
      </c>
      <c r="Q393">
        <f t="shared" si="975"/>
        <v>191712.2517241468</v>
      </c>
      <c r="R393">
        <f t="shared" si="976"/>
        <v>-281786115.41717523</v>
      </c>
      <c r="S393">
        <f t="shared" si="977"/>
        <v>-2817.8611541717523</v>
      </c>
      <c r="T393">
        <f t="shared" si="978"/>
        <v>-2.8178611541717524</v>
      </c>
    </row>
    <row r="394" spans="1:20" x14ac:dyDescent="0.25">
      <c r="A394" s="5">
        <v>44199</v>
      </c>
      <c r="B394">
        <v>1.77E-2</v>
      </c>
      <c r="C394">
        <v>1.7819999999999999E-2</v>
      </c>
      <c r="D394">
        <v>1.6199999999999999E-2</v>
      </c>
      <c r="E394">
        <v>1.6969999999999999E-2</v>
      </c>
      <c r="F394">
        <v>8551040.1999999993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-4.9382716049382845E-2</v>
      </c>
      <c r="Q394">
        <f t="shared" si="975"/>
        <v>-422273.59012345783</v>
      </c>
      <c r="R394">
        <f t="shared" si="976"/>
        <v>-281977827.66889936</v>
      </c>
      <c r="S394">
        <f t="shared" si="977"/>
        <v>-2819.7782766889936</v>
      </c>
      <c r="T394">
        <f t="shared" si="978"/>
        <v>-2.8197782766889938</v>
      </c>
    </row>
    <row r="395" spans="1:20" x14ac:dyDescent="0.25">
      <c r="A395" s="5">
        <v>44198</v>
      </c>
      <c r="B395">
        <v>1.7000000000000001E-2</v>
      </c>
      <c r="C395">
        <v>1.8419999999999999E-2</v>
      </c>
      <c r="D395">
        <v>1.66E-2</v>
      </c>
      <c r="E395">
        <v>1.77E-2</v>
      </c>
      <c r="F395">
        <v>13198426.1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0.20879120879120996</v>
      </c>
      <c r="Q395">
        <f t="shared" si="975"/>
        <v>2755715.3395604552</v>
      </c>
      <c r="R395">
        <f t="shared" si="976"/>
        <v>-281555554.07877588</v>
      </c>
      <c r="S395">
        <f t="shared" si="977"/>
        <v>-2815.5555407877587</v>
      </c>
      <c r="T395">
        <f t="shared" si="978"/>
        <v>-2.8155555407877588</v>
      </c>
    </row>
    <row r="396" spans="1:20" x14ac:dyDescent="0.25">
      <c r="A396" s="5">
        <v>44197</v>
      </c>
      <c r="B396">
        <v>1.6480000000000002E-2</v>
      </c>
      <c r="C396">
        <v>1.7469999999999999E-2</v>
      </c>
      <c r="D396">
        <v>1.6160000000000001E-2</v>
      </c>
      <c r="E396">
        <v>1.7129999999999999E-2</v>
      </c>
      <c r="F396">
        <v>8509985.9000000004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0.48091603053435056</v>
      </c>
      <c r="Q396">
        <f t="shared" si="975"/>
        <v>4092588.638931293</v>
      </c>
      <c r="R396">
        <f t="shared" si="976"/>
        <v>-284311269.41833633</v>
      </c>
      <c r="S396">
        <f t="shared" si="977"/>
        <v>-2843.1126941833631</v>
      </c>
      <c r="T396">
        <f t="shared" si="978"/>
        <v>-2.8431126941833633</v>
      </c>
    </row>
    <row r="397" spans="1:20" x14ac:dyDescent="0.25">
      <c r="A397" s="5">
        <v>44196</v>
      </c>
      <c r="B397">
        <v>1.6580000000000001E-2</v>
      </c>
      <c r="C397">
        <v>1.6709999999999999E-2</v>
      </c>
      <c r="D397">
        <v>1.5520000000000001E-2</v>
      </c>
      <c r="E397">
        <v>1.6670000000000001E-2</v>
      </c>
      <c r="F397">
        <v>4891587.7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0.93277310924370016</v>
      </c>
      <c r="Q397">
        <f t="shared" si="975"/>
        <v>4562741.46806724</v>
      </c>
      <c r="R397">
        <f t="shared" si="976"/>
        <v>-288403858.05726761</v>
      </c>
      <c r="S397">
        <f t="shared" si="977"/>
        <v>-2884.038580572676</v>
      </c>
      <c r="T397">
        <f t="shared" si="978"/>
        <v>-2.884038580572676</v>
      </c>
    </row>
    <row r="398" spans="1:20" x14ac:dyDescent="0.25">
      <c r="A398" s="5">
        <v>44195</v>
      </c>
      <c r="B398">
        <v>1.668E-2</v>
      </c>
      <c r="C398">
        <v>1.6990000000000002E-2</v>
      </c>
      <c r="D398">
        <v>1.5270000000000001E-2</v>
      </c>
      <c r="E398">
        <v>1.643E-2</v>
      </c>
      <c r="F398">
        <v>5194888.5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0.34883720930232426</v>
      </c>
      <c r="Q398">
        <f t="shared" si="975"/>
        <v>1812170.4069767373</v>
      </c>
      <c r="R398">
        <f t="shared" si="976"/>
        <v>-292966599.52533484</v>
      </c>
      <c r="S398">
        <f t="shared" si="977"/>
        <v>-2929.6659952533482</v>
      </c>
      <c r="T398">
        <f t="shared" si="978"/>
        <v>-2.9296659952533481</v>
      </c>
    </row>
    <row r="399" spans="1:20" x14ac:dyDescent="0.25">
      <c r="A399" s="5">
        <v>44194</v>
      </c>
      <c r="B399">
        <v>1.7000000000000001E-2</v>
      </c>
      <c r="C399">
        <v>1.7180000000000001E-2</v>
      </c>
      <c r="D399">
        <v>1.5699999999999999E-2</v>
      </c>
      <c r="E399">
        <v>1.6670000000000001E-2</v>
      </c>
      <c r="F399">
        <v>10086830.1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0.31081081081081174</v>
      </c>
      <c r="Q399">
        <f t="shared" si="975"/>
        <v>3135095.8418919011</v>
      </c>
      <c r="R399">
        <f t="shared" si="976"/>
        <v>-294778769.93231159</v>
      </c>
      <c r="S399">
        <f t="shared" si="977"/>
        <v>-2947.7876993231162</v>
      </c>
      <c r="T399">
        <f t="shared" si="978"/>
        <v>-2.9477876993231162</v>
      </c>
    </row>
    <row r="400" spans="1:20" x14ac:dyDescent="0.25">
      <c r="A400" s="5">
        <v>44193</v>
      </c>
      <c r="B400">
        <v>1.695E-2</v>
      </c>
      <c r="C400">
        <v>1.7739999999999999E-2</v>
      </c>
      <c r="D400">
        <v>1.6539999999999999E-2</v>
      </c>
      <c r="E400">
        <v>1.7129999999999999E-2</v>
      </c>
      <c r="F400">
        <v>7589595.0999999996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-1.6666666666665993E-2</v>
      </c>
      <c r="Q400">
        <f t="shared" si="975"/>
        <v>-126493.25166666156</v>
      </c>
      <c r="R400">
        <f t="shared" si="976"/>
        <v>-297913865.77420348</v>
      </c>
      <c r="S400">
        <f t="shared" si="977"/>
        <v>-2979.1386577420349</v>
      </c>
      <c r="T400">
        <f t="shared" si="978"/>
        <v>-2.9791386577420349</v>
      </c>
    </row>
    <row r="401" spans="1:20" x14ac:dyDescent="0.25">
      <c r="A401" s="5">
        <v>44192</v>
      </c>
      <c r="B401">
        <v>1.6039999999999999E-2</v>
      </c>
      <c r="C401">
        <v>1.7760000000000001E-2</v>
      </c>
      <c r="D401">
        <v>1.5890000000000001E-2</v>
      </c>
      <c r="E401">
        <v>1.7049999999999999E-2</v>
      </c>
      <c r="F401">
        <v>7962260.9000000004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0.24064171122994413</v>
      </c>
      <c r="Q401">
        <f t="shared" si="975"/>
        <v>1916052.0882352751</v>
      </c>
      <c r="R401">
        <f t="shared" si="976"/>
        <v>-297787372.52253681</v>
      </c>
      <c r="S401">
        <f t="shared" si="977"/>
        <v>-2977.8737252253682</v>
      </c>
      <c r="T401">
        <f t="shared" si="978"/>
        <v>-2.977873725225368</v>
      </c>
    </row>
    <row r="402" spans="1:20" x14ac:dyDescent="0.25">
      <c r="A402" s="5">
        <v>44191</v>
      </c>
      <c r="B402">
        <v>1.6250000000000001E-2</v>
      </c>
      <c r="C402">
        <v>1.6379999999999999E-2</v>
      </c>
      <c r="D402">
        <v>1.55E-2</v>
      </c>
      <c r="E402">
        <v>1.5910000000000001E-2</v>
      </c>
      <c r="F402">
        <v>2908944.3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-6.8181818181815498E-2</v>
      </c>
      <c r="Q402">
        <f t="shared" si="975"/>
        <v>-198337.11136362856</v>
      </c>
      <c r="R402">
        <f t="shared" si="976"/>
        <v>-299703424.61077207</v>
      </c>
      <c r="S402">
        <f t="shared" si="977"/>
        <v>-2997.0342461077207</v>
      </c>
      <c r="T402">
        <f t="shared" si="978"/>
        <v>-2.9970342461077206</v>
      </c>
    </row>
    <row r="403" spans="1:20" x14ac:dyDescent="0.25">
      <c r="A403" s="5">
        <v>44190</v>
      </c>
      <c r="B403">
        <v>1.627E-2</v>
      </c>
      <c r="C403">
        <v>1.6639999999999999E-2</v>
      </c>
      <c r="D403">
        <v>1.5509999999999999E-2</v>
      </c>
      <c r="E403">
        <v>1.6070000000000001E-2</v>
      </c>
      <c r="F403">
        <v>2112516.4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-8.8495575221204711E-3</v>
      </c>
      <c r="Q403">
        <f t="shared" si="975"/>
        <v>-18694.835398222858</v>
      </c>
      <c r="R403">
        <f t="shared" si="976"/>
        <v>-299505087.49940842</v>
      </c>
      <c r="S403">
        <f t="shared" si="977"/>
        <v>-2995.0508749940841</v>
      </c>
      <c r="T403">
        <f t="shared" si="978"/>
        <v>-2.9950508749940843</v>
      </c>
    </row>
    <row r="404" spans="1:20" x14ac:dyDescent="0.25">
      <c r="A404" s="5">
        <v>44189</v>
      </c>
      <c r="B404">
        <v>1.5180000000000001E-2</v>
      </c>
      <c r="C404">
        <v>1.653E-2</v>
      </c>
      <c r="D404">
        <v>1.4659999999999999E-2</v>
      </c>
      <c r="E404">
        <v>1.6500000000000001E-2</v>
      </c>
      <c r="F404">
        <v>6534425.2999999998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0.96791443850267511</v>
      </c>
      <c r="Q404">
        <f t="shared" si="975"/>
        <v>6324764.5951871742</v>
      </c>
      <c r="R404">
        <f t="shared" si="976"/>
        <v>-299486392.66401023</v>
      </c>
      <c r="S404">
        <f t="shared" si="977"/>
        <v>-2994.8639266401024</v>
      </c>
      <c r="T404">
        <f t="shared" si="978"/>
        <v>-2.9948639266401025</v>
      </c>
    </row>
    <row r="405" spans="1:20" x14ac:dyDescent="0.25">
      <c r="A405" s="5">
        <v>44188</v>
      </c>
      <c r="B405">
        <v>1.8239999999999999E-2</v>
      </c>
      <c r="C405">
        <v>1.8259999999999998E-2</v>
      </c>
      <c r="D405">
        <v>1.4579999999999999E-2</v>
      </c>
      <c r="E405">
        <v>1.508E-2</v>
      </c>
      <c r="F405">
        <v>13462409.800000001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-0.72826086956521707</v>
      </c>
      <c r="Q405">
        <f t="shared" si="975"/>
        <v>-9804146.2673912998</v>
      </c>
      <c r="R405">
        <f t="shared" si="976"/>
        <v>-305811157.25919741</v>
      </c>
      <c r="S405">
        <f t="shared" si="977"/>
        <v>-3058.111572591974</v>
      </c>
      <c r="T405">
        <f t="shared" si="978"/>
        <v>-3.0581115725919741</v>
      </c>
    </row>
    <row r="406" spans="1:20" x14ac:dyDescent="0.25">
      <c r="A406" s="5">
        <v>44187</v>
      </c>
      <c r="B406">
        <v>1.8849999999999999E-2</v>
      </c>
      <c r="C406">
        <v>1.916E-2</v>
      </c>
      <c r="D406">
        <v>1.8010000000000002E-2</v>
      </c>
      <c r="E406">
        <v>1.839E-2</v>
      </c>
      <c r="F406">
        <v>6312782.7000000002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-0.33913043478261046</v>
      </c>
      <c r="Q406">
        <f t="shared" si="975"/>
        <v>-2140856.7417391418</v>
      </c>
      <c r="R406">
        <f t="shared" si="976"/>
        <v>-296007010.99180609</v>
      </c>
      <c r="S406">
        <f t="shared" si="977"/>
        <v>-2960.070109918061</v>
      </c>
      <c r="T406">
        <f t="shared" si="978"/>
        <v>-2.9600701099180609</v>
      </c>
    </row>
    <row r="407" spans="1:20" x14ac:dyDescent="0.25">
      <c r="A407" s="5">
        <v>44186</v>
      </c>
      <c r="B407">
        <v>1.8800000000000001E-2</v>
      </c>
      <c r="C407">
        <v>2.0299999999999999E-2</v>
      </c>
      <c r="D407">
        <v>1.7270000000000001E-2</v>
      </c>
      <c r="E407">
        <v>1.881E-2</v>
      </c>
      <c r="F407">
        <v>28556242.600000001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1.6501650165016986E-2</v>
      </c>
      <c r="Q407">
        <f t="shared" si="975"/>
        <v>471225.12541255512</v>
      </c>
      <c r="R407">
        <f t="shared" si="976"/>
        <v>-293866154.25006694</v>
      </c>
      <c r="S407">
        <f t="shared" si="977"/>
        <v>-2938.6615425006694</v>
      </c>
      <c r="T407">
        <f t="shared" si="978"/>
        <v>-2.9386615425006695</v>
      </c>
    </row>
    <row r="408" spans="1:20" x14ac:dyDescent="0.25">
      <c r="A408" s="5">
        <v>44185</v>
      </c>
      <c r="B408">
        <v>1.9630000000000002E-2</v>
      </c>
      <c r="C408">
        <v>2.0420000000000001E-2</v>
      </c>
      <c r="D408">
        <v>1.8360000000000001E-2</v>
      </c>
      <c r="E408">
        <v>1.8710000000000001E-2</v>
      </c>
      <c r="F408">
        <v>18359653.399999999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-0.66019417475728182</v>
      </c>
      <c r="Q408">
        <f t="shared" si="975"/>
        <v>-12120936.225242723</v>
      </c>
      <c r="R408">
        <f t="shared" si="976"/>
        <v>-294337379.37547952</v>
      </c>
      <c r="S408">
        <f t="shared" si="977"/>
        <v>-2943.3737937547953</v>
      </c>
      <c r="T408">
        <f t="shared" si="978"/>
        <v>-2.9433737937547955</v>
      </c>
    </row>
    <row r="409" spans="1:20" x14ac:dyDescent="0.25">
      <c r="A409" s="5">
        <v>44184</v>
      </c>
      <c r="B409">
        <v>1.821E-2</v>
      </c>
      <c r="C409">
        <v>0.02</v>
      </c>
      <c r="D409">
        <v>1.804E-2</v>
      </c>
      <c r="E409">
        <v>1.9789999999999999E-2</v>
      </c>
      <c r="F409">
        <v>13758079.1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0.78571428571428381</v>
      </c>
      <c r="Q409">
        <f t="shared" si="975"/>
        <v>10809919.292857116</v>
      </c>
      <c r="R409">
        <f t="shared" si="976"/>
        <v>-282216443.15023679</v>
      </c>
      <c r="S409">
        <f t="shared" si="977"/>
        <v>-2822.1644315023677</v>
      </c>
      <c r="T409">
        <f t="shared" si="978"/>
        <v>-2.822164431502368</v>
      </c>
    </row>
    <row r="410" spans="1:20" x14ac:dyDescent="0.25">
      <c r="A410" s="5">
        <v>44183</v>
      </c>
      <c r="B410">
        <v>1.83E-2</v>
      </c>
      <c r="C410">
        <v>1.8370000000000001E-2</v>
      </c>
      <c r="D410">
        <v>1.7409999999999998E-2</v>
      </c>
      <c r="E410">
        <v>1.8319999999999999E-2</v>
      </c>
      <c r="F410">
        <v>8160689.4000000004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0.89583333333333059</v>
      </c>
      <c r="Q410">
        <f t="shared" si="975"/>
        <v>7310617.587499978</v>
      </c>
      <c r="R410">
        <f t="shared" si="976"/>
        <v>-293026362.4430939</v>
      </c>
      <c r="S410">
        <f t="shared" si="977"/>
        <v>-2930.2636244309388</v>
      </c>
      <c r="T410">
        <f t="shared" si="978"/>
        <v>-2.9302636244309386</v>
      </c>
    </row>
    <row r="411" spans="1:20" x14ac:dyDescent="0.25">
      <c r="A411" s="5">
        <v>44182</v>
      </c>
      <c r="B411">
        <v>1.917E-2</v>
      </c>
      <c r="C411">
        <v>1.9460000000000002E-2</v>
      </c>
      <c r="D411">
        <v>1.7999999999999999E-2</v>
      </c>
      <c r="E411">
        <v>1.839E-2</v>
      </c>
      <c r="F411">
        <v>14824178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-0.46575342465753333</v>
      </c>
      <c r="Q411">
        <f t="shared" si="975"/>
        <v>-6904411.6712328633</v>
      </c>
      <c r="R411">
        <f t="shared" si="976"/>
        <v>-300336980.03059387</v>
      </c>
      <c r="S411">
        <f t="shared" si="977"/>
        <v>-3003.3698003059385</v>
      </c>
      <c r="T411">
        <f t="shared" si="978"/>
        <v>-3.0033698003059386</v>
      </c>
    </row>
    <row r="412" spans="1:20" x14ac:dyDescent="0.25">
      <c r="A412" s="5">
        <v>44181</v>
      </c>
      <c r="B412">
        <v>1.9130000000000001E-2</v>
      </c>
      <c r="C412">
        <v>1.934E-2</v>
      </c>
      <c r="D412">
        <v>1.738E-2</v>
      </c>
      <c r="E412">
        <v>1.917E-2</v>
      </c>
      <c r="F412">
        <v>14816140.4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0.82653061224489799</v>
      </c>
      <c r="Q412">
        <f t="shared" si="975"/>
        <v>12245993.595918369</v>
      </c>
      <c r="R412">
        <f t="shared" si="976"/>
        <v>-293432568.35936099</v>
      </c>
      <c r="S412">
        <f t="shared" si="977"/>
        <v>-2934.3256835936099</v>
      </c>
      <c r="T412">
        <f t="shared" si="978"/>
        <v>-2.93432568359361</v>
      </c>
    </row>
    <row r="413" spans="1:20" x14ac:dyDescent="0.25">
      <c r="A413" s="5">
        <v>44180</v>
      </c>
      <c r="B413">
        <v>1.8440000000000002E-2</v>
      </c>
      <c r="C413">
        <v>0.02</v>
      </c>
      <c r="D413">
        <v>1.8169999999999999E-2</v>
      </c>
      <c r="E413">
        <v>1.9210000000000001E-2</v>
      </c>
      <c r="F413">
        <v>26805906.300000001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0.13661202185792537</v>
      </c>
      <c r="Q413">
        <f t="shared" si="975"/>
        <v>3662009.0573770995</v>
      </c>
      <c r="R413">
        <f t="shared" si="976"/>
        <v>-305678561.95527935</v>
      </c>
      <c r="S413">
        <f t="shared" si="977"/>
        <v>-3056.7856195527934</v>
      </c>
      <c r="T413">
        <f t="shared" si="978"/>
        <v>-3.0567856195527936</v>
      </c>
    </row>
    <row r="414" spans="1:20" x14ac:dyDescent="0.25">
      <c r="A414" s="5">
        <v>44179</v>
      </c>
      <c r="B414">
        <v>1.7559999999999999E-2</v>
      </c>
      <c r="C414">
        <v>1.9429999999999999E-2</v>
      </c>
      <c r="D414">
        <v>1.7309999999999999E-2</v>
      </c>
      <c r="E414">
        <v>1.8419999999999999E-2</v>
      </c>
      <c r="F414">
        <v>16025143.9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4.7169811320754422E-2</v>
      </c>
      <c r="Q414">
        <f t="shared" si="975"/>
        <v>755903.01415093872</v>
      </c>
      <c r="R414">
        <f t="shared" si="976"/>
        <v>-309340571.01265645</v>
      </c>
      <c r="S414">
        <f t="shared" si="977"/>
        <v>-3093.4057101265644</v>
      </c>
      <c r="T414">
        <f t="shared" si="978"/>
        <v>-3.0934057101265644</v>
      </c>
    </row>
    <row r="415" spans="1:20" x14ac:dyDescent="0.25">
      <c r="A415" s="5">
        <v>44178</v>
      </c>
      <c r="B415">
        <v>1.7350000000000001E-2</v>
      </c>
      <c r="C415">
        <v>1.7780000000000001E-2</v>
      </c>
      <c r="D415">
        <v>1.6910000000000001E-2</v>
      </c>
      <c r="E415">
        <v>1.7559999999999999E-2</v>
      </c>
      <c r="F415">
        <v>7721425.4000000004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0.49425287356321462</v>
      </c>
      <c r="Q415">
        <f t="shared" si="975"/>
        <v>3816336.6919539939</v>
      </c>
      <c r="R415">
        <f t="shared" si="976"/>
        <v>-310096474.02680737</v>
      </c>
      <c r="S415">
        <f t="shared" si="977"/>
        <v>-3100.9647402680735</v>
      </c>
      <c r="T415">
        <f t="shared" si="978"/>
        <v>-3.1009647402680733</v>
      </c>
    </row>
    <row r="416" spans="1:20" x14ac:dyDescent="0.25">
      <c r="A416" s="5">
        <v>44177</v>
      </c>
      <c r="B416">
        <v>1.602E-2</v>
      </c>
      <c r="C416">
        <v>1.7999999999999999E-2</v>
      </c>
      <c r="D416">
        <v>1.6E-2</v>
      </c>
      <c r="E416">
        <v>1.7309999999999999E-2</v>
      </c>
      <c r="F416">
        <v>23034857.5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0.30999999999999978</v>
      </c>
      <c r="Q416">
        <f t="shared" si="975"/>
        <v>7140805.8249999946</v>
      </c>
      <c r="R416">
        <f t="shared" si="976"/>
        <v>-313912810.71876138</v>
      </c>
      <c r="S416">
        <f t="shared" si="977"/>
        <v>-3139.1281071876138</v>
      </c>
      <c r="T416">
        <f t="shared" si="978"/>
        <v>-3.1391281071876138</v>
      </c>
    </row>
    <row r="417" spans="1:20" x14ac:dyDescent="0.25">
      <c r="A417" s="5">
        <v>44176</v>
      </c>
      <c r="B417">
        <v>1.6469999999999999E-2</v>
      </c>
      <c r="C417">
        <v>1.6590000000000001E-2</v>
      </c>
      <c r="D417">
        <v>1.5049999999999999E-2</v>
      </c>
      <c r="E417">
        <v>1.602E-2</v>
      </c>
      <c r="F417">
        <v>8240449.0999999996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0.25974025974025905</v>
      </c>
      <c r="Q417">
        <f t="shared" si="975"/>
        <v>2140376.3896103837</v>
      </c>
      <c r="R417">
        <f t="shared" si="976"/>
        <v>-321053616.54376137</v>
      </c>
      <c r="S417">
        <f t="shared" si="977"/>
        <v>-3210.5361654376138</v>
      </c>
      <c r="T417">
        <f t="shared" si="978"/>
        <v>-3.2105361654376137</v>
      </c>
    </row>
    <row r="418" spans="1:20" x14ac:dyDescent="0.25">
      <c r="A418" s="5">
        <v>44175</v>
      </c>
      <c r="B418">
        <v>1.6160000000000001E-2</v>
      </c>
      <c r="C418">
        <v>1.6899999999999998E-2</v>
      </c>
      <c r="D418">
        <v>1.593E-2</v>
      </c>
      <c r="E418">
        <v>1.6480000000000002E-2</v>
      </c>
      <c r="F418">
        <v>6266151.9000000004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0.13402061855670649</v>
      </c>
      <c r="Q418">
        <f t="shared" si="975"/>
        <v>839793.55360828165</v>
      </c>
      <c r="R418">
        <f t="shared" si="976"/>
        <v>-323193992.93337178</v>
      </c>
      <c r="S418">
        <f t="shared" si="977"/>
        <v>-3231.9399293337178</v>
      </c>
      <c r="T418">
        <f t="shared" si="978"/>
        <v>-3.2319399293337177</v>
      </c>
    </row>
    <row r="419" spans="1:20" x14ac:dyDescent="0.25">
      <c r="A419" s="5">
        <v>44174</v>
      </c>
      <c r="B419">
        <v>1.5570000000000001E-2</v>
      </c>
      <c r="C419">
        <v>1.627E-2</v>
      </c>
      <c r="D419">
        <v>1.481E-2</v>
      </c>
      <c r="E419">
        <v>1.6160000000000001E-2</v>
      </c>
      <c r="F419">
        <v>24055943.399999999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0.84931506849315197</v>
      </c>
      <c r="Q419">
        <f t="shared" si="975"/>
        <v>20431075.216438387</v>
      </c>
      <c r="R419">
        <f t="shared" si="976"/>
        <v>-324033786.48698008</v>
      </c>
      <c r="S419">
        <f t="shared" si="977"/>
        <v>-3240.3378648698008</v>
      </c>
      <c r="T419">
        <f t="shared" si="978"/>
        <v>-3.2403378648698009</v>
      </c>
    </row>
    <row r="420" spans="1:20" x14ac:dyDescent="0.25">
      <c r="A420" s="5">
        <v>44173</v>
      </c>
      <c r="B420">
        <v>1.6910000000000001E-2</v>
      </c>
      <c r="C420">
        <v>1.6990000000000002E-2</v>
      </c>
      <c r="D420">
        <v>1.5429999999999999E-2</v>
      </c>
      <c r="E420">
        <v>1.5559999999999999E-2</v>
      </c>
      <c r="F420">
        <v>9437287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-0.8333333333333337</v>
      </c>
      <c r="Q420">
        <f t="shared" si="975"/>
        <v>-7864405.8333333367</v>
      </c>
      <c r="R420">
        <f t="shared" si="976"/>
        <v>-344464861.70341849</v>
      </c>
      <c r="S420">
        <f t="shared" si="977"/>
        <v>-3444.648617034185</v>
      </c>
      <c r="T420">
        <f t="shared" si="978"/>
        <v>-3.444648617034185</v>
      </c>
    </row>
    <row r="421" spans="1:20" x14ac:dyDescent="0.25">
      <c r="A421" s="5">
        <v>44172</v>
      </c>
      <c r="B421">
        <v>1.669E-2</v>
      </c>
      <c r="C421">
        <v>1.7090000000000001E-2</v>
      </c>
      <c r="D421">
        <v>1.6310000000000002E-2</v>
      </c>
      <c r="E421">
        <v>1.695E-2</v>
      </c>
      <c r="F421">
        <v>16870472.800000001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0.64102564102563764</v>
      </c>
      <c r="Q421">
        <f t="shared" si="975"/>
        <v>10814405.641025584</v>
      </c>
      <c r="R421">
        <f t="shared" si="976"/>
        <v>-336600455.87008518</v>
      </c>
      <c r="S421">
        <f t="shared" si="977"/>
        <v>-3366.0045587008517</v>
      </c>
      <c r="T421">
        <f t="shared" si="978"/>
        <v>-3.3660045587008516</v>
      </c>
    </row>
    <row r="422" spans="1:20" x14ac:dyDescent="0.25">
      <c r="A422" s="5">
        <v>44171</v>
      </c>
      <c r="B422">
        <v>1.6420000000000001E-2</v>
      </c>
      <c r="C422">
        <v>1.6760000000000001E-2</v>
      </c>
      <c r="D422">
        <v>1.5900000000000001E-2</v>
      </c>
      <c r="E422">
        <v>1.6639999999999999E-2</v>
      </c>
      <c r="F422">
        <v>13088602.5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0.72093023255813471</v>
      </c>
      <c r="Q422">
        <f t="shared" si="975"/>
        <v>9435969.2441859841</v>
      </c>
      <c r="R422">
        <f t="shared" si="976"/>
        <v>-347414861.51111078</v>
      </c>
      <c r="S422">
        <f t="shared" si="977"/>
        <v>-3474.148615111108</v>
      </c>
      <c r="T422">
        <f t="shared" si="978"/>
        <v>-3.4741486151111078</v>
      </c>
    </row>
    <row r="423" spans="1:20" x14ac:dyDescent="0.25">
      <c r="A423" s="5">
        <v>44170</v>
      </c>
      <c r="B423">
        <v>1.5730000000000001E-2</v>
      </c>
      <c r="C423">
        <v>1.6789999999999999E-2</v>
      </c>
      <c r="D423">
        <v>1.5599999999999999E-2</v>
      </c>
      <c r="E423">
        <v>1.6500000000000001E-2</v>
      </c>
      <c r="F423">
        <v>9841465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0.51260504201680912</v>
      </c>
      <c r="Q423">
        <f t="shared" si="975"/>
        <v>5044784.579831956</v>
      </c>
      <c r="R423">
        <f t="shared" si="976"/>
        <v>-356850830.75529677</v>
      </c>
      <c r="S423">
        <f t="shared" si="977"/>
        <v>-3568.5083075529678</v>
      </c>
      <c r="T423">
        <f t="shared" si="978"/>
        <v>-3.568508307552968</v>
      </c>
    </row>
    <row r="424" spans="1:20" x14ac:dyDescent="0.25">
      <c r="A424" s="5">
        <v>44169</v>
      </c>
      <c r="B424">
        <v>1.7309999999999999E-2</v>
      </c>
      <c r="C424">
        <v>1.7500000000000002E-2</v>
      </c>
      <c r="D424">
        <v>1.566E-2</v>
      </c>
      <c r="E424">
        <v>1.567E-2</v>
      </c>
      <c r="F424">
        <v>14141581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-0.98913043478260909</v>
      </c>
      <c r="Q424">
        <f t="shared" si="975"/>
        <v>-13987868.163043484</v>
      </c>
      <c r="R424">
        <f t="shared" si="976"/>
        <v>-361895615.33512872</v>
      </c>
      <c r="S424">
        <f t="shared" si="977"/>
        <v>-3618.9561533512874</v>
      </c>
      <c r="T424">
        <f t="shared" si="978"/>
        <v>-3.6189561533512875</v>
      </c>
    </row>
    <row r="425" spans="1:20" x14ac:dyDescent="0.25">
      <c r="A425" s="5">
        <v>44168</v>
      </c>
      <c r="B425">
        <v>1.7989999999999999E-2</v>
      </c>
      <c r="C425">
        <v>1.8200000000000001E-2</v>
      </c>
      <c r="D425">
        <v>1.6750000000000001E-2</v>
      </c>
      <c r="E425">
        <v>1.7309999999999999E-2</v>
      </c>
      <c r="F425">
        <v>17409754.399999999</v>
      </c>
      <c r="G425">
        <v>0</v>
      </c>
      <c r="L425" t="s">
        <v>7</v>
      </c>
      <c r="M425" t="s">
        <v>7</v>
      </c>
      <c r="N425" t="s">
        <v>7</v>
      </c>
      <c r="P425">
        <f t="shared" si="974"/>
        <v>-0.22758620689655443</v>
      </c>
      <c r="Q425">
        <f t="shared" si="975"/>
        <v>-3962219.9668965982</v>
      </c>
      <c r="R425">
        <f t="shared" si="976"/>
        <v>-347907747.17208523</v>
      </c>
      <c r="S425">
        <f t="shared" si="977"/>
        <v>-3479.0774717208524</v>
      </c>
      <c r="T425">
        <f t="shared" si="978"/>
        <v>-3.4790774717208524</v>
      </c>
    </row>
    <row r="426" spans="1:20" x14ac:dyDescent="0.25">
      <c r="A426" s="5">
        <v>44167</v>
      </c>
      <c r="B426">
        <v>1.7160000000000002E-2</v>
      </c>
      <c r="C426">
        <v>1.8350000000000002E-2</v>
      </c>
      <c r="D426">
        <v>1.6570000000000001E-2</v>
      </c>
      <c r="E426">
        <v>1.7999999999999999E-2</v>
      </c>
      <c r="F426">
        <v>37618575.399999999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0.60674157303370446</v>
      </c>
      <c r="Q426">
        <f t="shared" si="975"/>
        <v>22824753.613483015</v>
      </c>
      <c r="R426">
        <f t="shared" si="976"/>
        <v>-343945527.20518863</v>
      </c>
      <c r="S426">
        <f t="shared" si="977"/>
        <v>-3439.4552720518864</v>
      </c>
      <c r="T426">
        <f t="shared" si="978"/>
        <v>-3.4394552720518865</v>
      </c>
    </row>
    <row r="427" spans="1:20" x14ac:dyDescent="0.25">
      <c r="A427" s="5">
        <v>44166</v>
      </c>
      <c r="B427">
        <v>1.839E-2</v>
      </c>
      <c r="C427">
        <v>1.865E-2</v>
      </c>
      <c r="D427">
        <v>1.5959999999999998E-2</v>
      </c>
      <c r="E427">
        <v>1.704E-2</v>
      </c>
      <c r="F427">
        <v>99983051.900000006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-0.19702602230483232</v>
      </c>
      <c r="Q427">
        <f t="shared" si="975"/>
        <v>-19699263.01375461</v>
      </c>
      <c r="R427">
        <f t="shared" si="976"/>
        <v>-366770280.81867164</v>
      </c>
      <c r="S427">
        <f t="shared" si="977"/>
        <v>-3667.7028081867165</v>
      </c>
      <c r="T427">
        <f t="shared" si="978"/>
        <v>-3.6677028081867165</v>
      </c>
    </row>
    <row r="428" spans="1:20" x14ac:dyDescent="0.25">
      <c r="A428" s="5">
        <v>44165</v>
      </c>
      <c r="B428">
        <v>1.521E-2</v>
      </c>
      <c r="C428">
        <v>2.401E-2</v>
      </c>
      <c r="D428">
        <v>1.5140000000000001E-2</v>
      </c>
      <c r="E428">
        <v>1.8329999999999999E-2</v>
      </c>
      <c r="F428">
        <v>314038113.89999998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-0.28072153325817395</v>
      </c>
      <c r="Q428">
        <f t="shared" si="975"/>
        <v>-88157260.835513055</v>
      </c>
      <c r="R428">
        <f t="shared" si="976"/>
        <v>-347071017.80491704</v>
      </c>
      <c r="S428">
        <f t="shared" si="977"/>
        <v>-3470.7101780491703</v>
      </c>
      <c r="T428">
        <f t="shared" si="978"/>
        <v>-3.4707101780491705</v>
      </c>
    </row>
    <row r="429" spans="1:20" x14ac:dyDescent="0.25">
      <c r="A429" s="5">
        <v>44164</v>
      </c>
      <c r="B429">
        <v>1.504E-2</v>
      </c>
      <c r="C429">
        <v>1.5480000000000001E-2</v>
      </c>
      <c r="D429">
        <v>1.4800000000000001E-2</v>
      </c>
      <c r="E429">
        <v>1.516E-2</v>
      </c>
      <c r="F429">
        <v>5365457.3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5.8823529411762304E-2</v>
      </c>
      <c r="Q429">
        <f t="shared" si="975"/>
        <v>315615.13529410475</v>
      </c>
      <c r="R429">
        <f t="shared" si="976"/>
        <v>-258913756.96940398</v>
      </c>
      <c r="S429">
        <f t="shared" si="977"/>
        <v>-2589.1375696940399</v>
      </c>
      <c r="T429">
        <f t="shared" si="978"/>
        <v>-2.58913756969404</v>
      </c>
    </row>
    <row r="430" spans="1:20" x14ac:dyDescent="0.25">
      <c r="A430" s="5">
        <v>44163</v>
      </c>
      <c r="B430">
        <v>1.473E-2</v>
      </c>
      <c r="C430">
        <v>1.5299999999999999E-2</v>
      </c>
      <c r="D430">
        <v>1.439E-2</v>
      </c>
      <c r="E430">
        <v>1.5049999999999999E-2</v>
      </c>
      <c r="F430">
        <v>6202801.5999999996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0.45054945054944967</v>
      </c>
      <c r="Q430">
        <f t="shared" si="975"/>
        <v>2794668.8527472471</v>
      </c>
      <c r="R430">
        <f t="shared" si="976"/>
        <v>-259229372.10469809</v>
      </c>
      <c r="S430">
        <f t="shared" si="977"/>
        <v>-2592.2937210469809</v>
      </c>
      <c r="T430">
        <f t="shared" si="978"/>
        <v>-2.592293721046981</v>
      </c>
    </row>
    <row r="431" spans="1:20" x14ac:dyDescent="0.25">
      <c r="A431" s="5">
        <v>44162</v>
      </c>
      <c r="B431">
        <v>1.489E-2</v>
      </c>
      <c r="C431">
        <v>1.5219999999999999E-2</v>
      </c>
      <c r="D431">
        <v>1.41E-2</v>
      </c>
      <c r="E431">
        <v>1.4760000000000001E-2</v>
      </c>
      <c r="F431">
        <v>6570836.5999999996</v>
      </c>
      <c r="G431">
        <v>0</v>
      </c>
      <c r="L431" t="s">
        <v>7</v>
      </c>
      <c r="M431" t="s">
        <v>7</v>
      </c>
      <c r="N431" t="s">
        <v>8</v>
      </c>
      <c r="P431">
        <f t="shared" si="974"/>
        <v>0.17857142857143068</v>
      </c>
      <c r="Q431">
        <f t="shared" si="975"/>
        <v>1173363.6785714424</v>
      </c>
      <c r="R431">
        <f t="shared" si="976"/>
        <v>-262024040.95744535</v>
      </c>
      <c r="S431">
        <f t="shared" si="977"/>
        <v>-2620.2404095744537</v>
      </c>
      <c r="T431">
        <f t="shared" si="978"/>
        <v>-2.6202404095744538</v>
      </c>
    </row>
    <row r="432" spans="1:20" x14ac:dyDescent="0.25">
      <c r="A432" s="5">
        <v>44161</v>
      </c>
      <c r="B432">
        <v>1.7409999999999998E-2</v>
      </c>
      <c r="C432">
        <v>1.83E-2</v>
      </c>
      <c r="D432">
        <v>1.3639999999999999E-2</v>
      </c>
      <c r="E432">
        <v>1.4800000000000001E-2</v>
      </c>
      <c r="F432">
        <v>21910950.800000001</v>
      </c>
      <c r="G432">
        <v>0</v>
      </c>
      <c r="L432" t="s">
        <v>8</v>
      </c>
      <c r="M432" t="s">
        <v>7</v>
      </c>
      <c r="N432" t="s">
        <v>8</v>
      </c>
      <c r="P432">
        <f t="shared" si="974"/>
        <v>-0.5021459227467806</v>
      </c>
      <c r="Q432">
        <f t="shared" si="975"/>
        <v>-11002494.607725311</v>
      </c>
      <c r="R432">
        <f t="shared" si="976"/>
        <v>-263197404.63601679</v>
      </c>
      <c r="S432">
        <f t="shared" si="977"/>
        <v>-2631.9740463601679</v>
      </c>
      <c r="T432">
        <f t="shared" si="978"/>
        <v>-2.6319740463601677</v>
      </c>
    </row>
    <row r="433" spans="1:20" x14ac:dyDescent="0.25">
      <c r="A433" s="5">
        <v>44160</v>
      </c>
      <c r="B433">
        <v>1.6500000000000001E-2</v>
      </c>
      <c r="C433">
        <v>1.7659999999999999E-2</v>
      </c>
      <c r="D433">
        <v>1.5740000000000001E-2</v>
      </c>
      <c r="E433">
        <v>1.7420000000000001E-2</v>
      </c>
      <c r="F433">
        <v>18174844.600000001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0.75000000000000266</v>
      </c>
      <c r="Q433">
        <f t="shared" si="975"/>
        <v>13631133.45000005</v>
      </c>
      <c r="R433">
        <f t="shared" si="976"/>
        <v>-252194910.02829146</v>
      </c>
      <c r="S433">
        <f t="shared" si="977"/>
        <v>-2521.9491002829145</v>
      </c>
      <c r="T433">
        <f t="shared" si="978"/>
        <v>-2.5219491002829146</v>
      </c>
    </row>
    <row r="434" spans="1:20" x14ac:dyDescent="0.25">
      <c r="A434" s="5">
        <v>44159</v>
      </c>
      <c r="B434">
        <v>1.5720000000000001E-2</v>
      </c>
      <c r="C434">
        <v>1.652E-2</v>
      </c>
      <c r="D434">
        <v>1.524E-2</v>
      </c>
      <c r="E434">
        <v>1.6500000000000001E-2</v>
      </c>
      <c r="F434">
        <v>21804729.300000001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0.96875000000000122</v>
      </c>
      <c r="Q434">
        <f t="shared" si="975"/>
        <v>21123331.509375028</v>
      </c>
      <c r="R434">
        <f t="shared" si="976"/>
        <v>-265826043.47829151</v>
      </c>
      <c r="S434">
        <f t="shared" si="977"/>
        <v>-2658.2604347829151</v>
      </c>
      <c r="T434">
        <f t="shared" si="978"/>
        <v>-2.6582604347829153</v>
      </c>
    </row>
    <row r="435" spans="1:20" x14ac:dyDescent="0.25">
      <c r="A435" s="5">
        <v>44158</v>
      </c>
      <c r="B435">
        <v>1.562E-2</v>
      </c>
      <c r="C435">
        <v>1.592E-2</v>
      </c>
      <c r="D435">
        <v>1.506E-2</v>
      </c>
      <c r="E435">
        <v>1.5599999999999999E-2</v>
      </c>
      <c r="F435">
        <v>10195878.800000001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0.25581395348836983</v>
      </c>
      <c r="Q435">
        <f t="shared" si="975"/>
        <v>2608248.065116256</v>
      </c>
      <c r="R435">
        <f t="shared" si="976"/>
        <v>-286949374.98766655</v>
      </c>
      <c r="S435">
        <f t="shared" si="977"/>
        <v>-2869.4937498766653</v>
      </c>
      <c r="T435">
        <f t="shared" si="978"/>
        <v>-2.8694937498766655</v>
      </c>
    </row>
    <row r="436" spans="1:20" x14ac:dyDescent="0.25">
      <c r="A436" s="5">
        <v>44157</v>
      </c>
      <c r="B436">
        <v>1.6299999999999999E-2</v>
      </c>
      <c r="C436">
        <v>1.635E-2</v>
      </c>
      <c r="D436">
        <v>1.508E-2</v>
      </c>
      <c r="E436">
        <v>1.5469999999999999E-2</v>
      </c>
      <c r="F436">
        <v>12786351.4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-0.3858267716535439</v>
      </c>
      <c r="Q436">
        <f t="shared" si="975"/>
        <v>-4933316.6818897715</v>
      </c>
      <c r="R436">
        <f t="shared" si="976"/>
        <v>-289557623.05278277</v>
      </c>
      <c r="S436">
        <f t="shared" si="977"/>
        <v>-2895.5762305278276</v>
      </c>
      <c r="T436">
        <f t="shared" si="978"/>
        <v>-2.8955762305278276</v>
      </c>
    </row>
    <row r="437" spans="1:20" x14ac:dyDescent="0.25">
      <c r="A437" s="5">
        <v>44156</v>
      </c>
      <c r="B437">
        <v>1.5350000000000001E-2</v>
      </c>
      <c r="C437">
        <v>1.7489999999999999E-2</v>
      </c>
      <c r="D437">
        <v>1.461E-2</v>
      </c>
      <c r="E437">
        <v>1.6299999999999999E-2</v>
      </c>
      <c r="F437">
        <v>29847197.399999999</v>
      </c>
      <c r="G437">
        <v>0</v>
      </c>
      <c r="L437" t="s">
        <v>7</v>
      </c>
      <c r="M437" t="s">
        <v>8</v>
      </c>
      <c r="N437" t="s">
        <v>7</v>
      </c>
      <c r="P437">
        <f t="shared" si="974"/>
        <v>0.17361111111111074</v>
      </c>
      <c r="Q437">
        <f t="shared" si="975"/>
        <v>5181805.1041666558</v>
      </c>
      <c r="R437">
        <f t="shared" si="976"/>
        <v>-284624306.370893</v>
      </c>
      <c r="S437">
        <f t="shared" si="977"/>
        <v>-2846.2430637089301</v>
      </c>
      <c r="T437">
        <f t="shared" si="978"/>
        <v>-2.84624306370893</v>
      </c>
    </row>
    <row r="438" spans="1:20" x14ac:dyDescent="0.25">
      <c r="A438" s="5">
        <v>44155</v>
      </c>
      <c r="B438">
        <v>1.4959999999999999E-2</v>
      </c>
      <c r="C438">
        <v>1.5480000000000001E-2</v>
      </c>
      <c r="D438">
        <v>1.482E-2</v>
      </c>
      <c r="E438">
        <v>1.5270000000000001E-2</v>
      </c>
      <c r="F438">
        <v>5000940.5999999996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0.36363636363636409</v>
      </c>
      <c r="Q438">
        <f t="shared" si="975"/>
        <v>1818523.8545454566</v>
      </c>
      <c r="R438">
        <f t="shared" si="976"/>
        <v>-289806111.47505963</v>
      </c>
      <c r="S438">
        <f t="shared" si="977"/>
        <v>-2898.0611147505961</v>
      </c>
      <c r="T438">
        <f t="shared" si="978"/>
        <v>-2.8980611147505959</v>
      </c>
    </row>
    <row r="439" spans="1:20" x14ac:dyDescent="0.25">
      <c r="A439" s="5">
        <v>44154</v>
      </c>
      <c r="B439">
        <v>1.52E-2</v>
      </c>
      <c r="C439">
        <v>1.545E-2</v>
      </c>
      <c r="D439">
        <v>1.474E-2</v>
      </c>
      <c r="E439">
        <v>1.508E-2</v>
      </c>
      <c r="F439">
        <v>4260412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-4.225352112676125E-2</v>
      </c>
      <c r="Q439">
        <f t="shared" si="975"/>
        <v>-180017.40845070715</v>
      </c>
      <c r="R439">
        <f t="shared" si="976"/>
        <v>-291624635.3296051</v>
      </c>
      <c r="S439">
        <f t="shared" si="977"/>
        <v>-2916.246353296051</v>
      </c>
      <c r="T439">
        <f t="shared" si="978"/>
        <v>-2.9162463532960512</v>
      </c>
    </row>
    <row r="440" spans="1:20" x14ac:dyDescent="0.25">
      <c r="A440" s="5">
        <v>44153</v>
      </c>
      <c r="B440">
        <v>1.6E-2</v>
      </c>
      <c r="C440">
        <v>1.6389999999999998E-2</v>
      </c>
      <c r="D440">
        <v>1.4880000000000001E-2</v>
      </c>
      <c r="E440">
        <v>1.532E-2</v>
      </c>
      <c r="F440">
        <v>10880044.5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-0.41721854304635742</v>
      </c>
      <c r="Q440">
        <f t="shared" si="975"/>
        <v>-4539356.3145695338</v>
      </c>
      <c r="R440">
        <f t="shared" si="976"/>
        <v>-291444617.92115438</v>
      </c>
      <c r="S440">
        <f t="shared" si="977"/>
        <v>-2914.4461792115439</v>
      </c>
      <c r="T440">
        <f t="shared" si="978"/>
        <v>-2.9144461792115441</v>
      </c>
    </row>
    <row r="441" spans="1:20" x14ac:dyDescent="0.25">
      <c r="A441" s="5">
        <v>44152</v>
      </c>
      <c r="B441">
        <v>1.6039999999999999E-2</v>
      </c>
      <c r="C441">
        <v>1.7690000000000001E-2</v>
      </c>
      <c r="D441">
        <v>1.5350000000000001E-2</v>
      </c>
      <c r="E441">
        <v>1.602E-2</v>
      </c>
      <c r="F441">
        <v>23613622.300000001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-0.42735042735042844</v>
      </c>
      <c r="Q441">
        <f t="shared" si="975"/>
        <v>-10091291.581196608</v>
      </c>
      <c r="R441">
        <f t="shared" si="976"/>
        <v>-286905261.60658485</v>
      </c>
      <c r="S441">
        <f t="shared" si="977"/>
        <v>-2869.0526160658483</v>
      </c>
      <c r="T441">
        <f t="shared" si="978"/>
        <v>-2.869052616065848</v>
      </c>
    </row>
    <row r="442" spans="1:20" x14ac:dyDescent="0.25">
      <c r="A442" s="5">
        <v>44151</v>
      </c>
      <c r="B442">
        <v>1.5800000000000002E-2</v>
      </c>
      <c r="C442">
        <v>1.634E-2</v>
      </c>
      <c r="D442">
        <v>1.529E-2</v>
      </c>
      <c r="E442">
        <v>1.5949999999999999E-2</v>
      </c>
      <c r="F442">
        <v>5606813.5999999996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0.25714285714285479</v>
      </c>
      <c r="Q442">
        <f t="shared" si="975"/>
        <v>1441752.0685714153</v>
      </c>
      <c r="R442">
        <f t="shared" si="976"/>
        <v>-276813970.02538824</v>
      </c>
      <c r="S442">
        <f t="shared" si="977"/>
        <v>-2768.1397002538824</v>
      </c>
      <c r="T442">
        <f t="shared" si="978"/>
        <v>-2.7681397002538826</v>
      </c>
    </row>
    <row r="443" spans="1:20" x14ac:dyDescent="0.25">
      <c r="A443" s="5">
        <v>44150</v>
      </c>
      <c r="B443">
        <v>1.6389999999999998E-2</v>
      </c>
      <c r="C443">
        <v>1.6789999999999999E-2</v>
      </c>
      <c r="D443">
        <v>1.541E-2</v>
      </c>
      <c r="E443">
        <v>1.585E-2</v>
      </c>
      <c r="F443">
        <v>4276066.3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-0.36231884057971064</v>
      </c>
      <c r="Q443">
        <f t="shared" si="975"/>
        <v>-1549299.384057973</v>
      </c>
      <c r="R443">
        <f t="shared" si="976"/>
        <v>-278255722.09395963</v>
      </c>
      <c r="S443">
        <f t="shared" si="977"/>
        <v>-2782.5572209395964</v>
      </c>
      <c r="T443">
        <f t="shared" si="978"/>
        <v>-2.7825572209395966</v>
      </c>
    </row>
    <row r="444" spans="1:20" x14ac:dyDescent="0.25">
      <c r="A444" s="5">
        <v>44149</v>
      </c>
      <c r="B444">
        <v>1.711E-2</v>
      </c>
      <c r="C444">
        <v>1.7129999999999999E-2</v>
      </c>
      <c r="D444">
        <v>1.5879999999999998E-2</v>
      </c>
      <c r="E444">
        <v>1.651E-2</v>
      </c>
      <c r="F444">
        <v>2423607.7000000002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8.0000000000024427E-3</v>
      </c>
      <c r="Q444">
        <f t="shared" si="975"/>
        <v>19388.861600005923</v>
      </c>
      <c r="R444">
        <f t="shared" si="976"/>
        <v>-276706422.70990163</v>
      </c>
      <c r="S444">
        <f t="shared" si="977"/>
        <v>-2767.0642270990165</v>
      </c>
      <c r="T444">
        <f t="shared" si="978"/>
        <v>-2.7670642270990164</v>
      </c>
    </row>
    <row r="445" spans="1:20" x14ac:dyDescent="0.25">
      <c r="A445" s="5">
        <v>44148</v>
      </c>
      <c r="B445">
        <v>1.559E-2</v>
      </c>
      <c r="C445">
        <v>1.7500000000000002E-2</v>
      </c>
      <c r="D445">
        <v>1.5440000000000001E-2</v>
      </c>
      <c r="E445">
        <v>1.7129999999999999E-2</v>
      </c>
      <c r="F445">
        <v>13692639.699999999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0.64077669902912415</v>
      </c>
      <c r="Q445">
        <f t="shared" si="975"/>
        <v>8773924.4679611363</v>
      </c>
      <c r="R445">
        <f t="shared" si="976"/>
        <v>-276725811.57150161</v>
      </c>
      <c r="S445">
        <f t="shared" si="977"/>
        <v>-2767.2581157150162</v>
      </c>
      <c r="T445">
        <f t="shared" si="978"/>
        <v>-2.7672581157150162</v>
      </c>
    </row>
    <row r="446" spans="1:20" x14ac:dyDescent="0.25">
      <c r="A446" s="5">
        <v>44147</v>
      </c>
      <c r="B446">
        <v>1.6389999999999998E-2</v>
      </c>
      <c r="C446">
        <v>1.6500000000000001E-2</v>
      </c>
      <c r="D446">
        <v>1.506E-2</v>
      </c>
      <c r="E446">
        <v>1.549E-2</v>
      </c>
      <c r="F446">
        <v>6888384.7000000002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-0.40277777777777812</v>
      </c>
      <c r="Q446">
        <f t="shared" si="975"/>
        <v>-2774488.2819444467</v>
      </c>
      <c r="R446">
        <f t="shared" si="976"/>
        <v>-285499736.03946275</v>
      </c>
      <c r="S446">
        <f t="shared" si="977"/>
        <v>-2854.9973603946273</v>
      </c>
      <c r="T446">
        <f t="shared" si="978"/>
        <v>-2.8549973603946275</v>
      </c>
    </row>
    <row r="447" spans="1:20" x14ac:dyDescent="0.25">
      <c r="A447" s="5">
        <v>44146</v>
      </c>
      <c r="B447">
        <v>1.6140000000000002E-2</v>
      </c>
      <c r="C447">
        <v>1.7299999999999999E-2</v>
      </c>
      <c r="D447">
        <v>1.576E-2</v>
      </c>
      <c r="E447">
        <v>1.6320000000000001E-2</v>
      </c>
      <c r="F447">
        <v>14921483.6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-0.27272727272727065</v>
      </c>
      <c r="Q447">
        <f t="shared" si="975"/>
        <v>-4069495.5272726961</v>
      </c>
      <c r="R447">
        <f t="shared" si="976"/>
        <v>-282725247.75751829</v>
      </c>
      <c r="S447">
        <f t="shared" si="977"/>
        <v>-2827.2524775751831</v>
      </c>
      <c r="T447">
        <f t="shared" si="978"/>
        <v>-2.8272524775751831</v>
      </c>
    </row>
    <row r="448" spans="1:20" x14ac:dyDescent="0.25">
      <c r="A448" s="5">
        <v>44145</v>
      </c>
      <c r="B448">
        <v>1.4930000000000001E-2</v>
      </c>
      <c r="C448">
        <v>1.6410000000000001E-2</v>
      </c>
      <c r="D448">
        <v>1.4800000000000001E-2</v>
      </c>
      <c r="E448">
        <v>1.6140000000000002E-2</v>
      </c>
      <c r="F448">
        <v>15259423.6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0.66459627329192628</v>
      </c>
      <c r="Q448">
        <f t="shared" si="975"/>
        <v>10141356.057142869</v>
      </c>
      <c r="R448">
        <f t="shared" si="976"/>
        <v>-278655752.23024559</v>
      </c>
      <c r="S448">
        <f t="shared" si="977"/>
        <v>-2786.5575223024557</v>
      </c>
      <c r="T448">
        <f t="shared" si="978"/>
        <v>-2.7865575223024557</v>
      </c>
    </row>
    <row r="449" spans="1:20" x14ac:dyDescent="0.25">
      <c r="A449" s="5">
        <v>44144</v>
      </c>
      <c r="B449">
        <v>1.5169999999999999E-2</v>
      </c>
      <c r="C449">
        <v>1.532E-2</v>
      </c>
      <c r="D449">
        <v>1.418E-2</v>
      </c>
      <c r="E449">
        <v>1.5010000000000001E-2</v>
      </c>
      <c r="F449">
        <v>5323161.4000000004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0.45614035087719401</v>
      </c>
      <c r="Q449">
        <f t="shared" si="975"/>
        <v>2428108.7087719357</v>
      </c>
      <c r="R449">
        <f t="shared" si="976"/>
        <v>-288797108.28738844</v>
      </c>
      <c r="S449">
        <f t="shared" si="977"/>
        <v>-2887.9710828738844</v>
      </c>
      <c r="T449">
        <f t="shared" si="978"/>
        <v>-2.8879710828738845</v>
      </c>
    </row>
    <row r="450" spans="1:20" x14ac:dyDescent="0.25">
      <c r="A450" s="5">
        <v>44143</v>
      </c>
      <c r="B450">
        <v>1.452E-2</v>
      </c>
      <c r="C450">
        <v>1.524E-2</v>
      </c>
      <c r="D450">
        <v>1.4250000000000001E-2</v>
      </c>
      <c r="E450">
        <v>1.524E-2</v>
      </c>
      <c r="F450">
        <v>5720363.5999999996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1</v>
      </c>
      <c r="Q450">
        <f t="shared" si="975"/>
        <v>5720363.5999999996</v>
      </c>
      <c r="R450">
        <f t="shared" si="976"/>
        <v>-291225216.99616039</v>
      </c>
      <c r="S450">
        <f t="shared" si="977"/>
        <v>-2912.2521699616041</v>
      </c>
      <c r="T450">
        <f t="shared" si="978"/>
        <v>-2.912252169961604</v>
      </c>
    </row>
    <row r="451" spans="1:20" x14ac:dyDescent="0.25">
      <c r="A451" s="5">
        <v>44142</v>
      </c>
      <c r="B451">
        <v>1.5720000000000001E-2</v>
      </c>
      <c r="C451">
        <v>1.6240000000000001E-2</v>
      </c>
      <c r="D451">
        <v>1.391E-2</v>
      </c>
      <c r="E451">
        <v>1.4319999999999999E-2</v>
      </c>
      <c r="F451">
        <v>20351011.100000001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-0.64806866952789799</v>
      </c>
      <c r="Q451">
        <f t="shared" si="975"/>
        <v>-13188852.687124485</v>
      </c>
      <c r="R451">
        <f t="shared" si="976"/>
        <v>-296945580.59616041</v>
      </c>
      <c r="S451">
        <f t="shared" si="977"/>
        <v>-2969.4558059616043</v>
      </c>
      <c r="T451">
        <f t="shared" si="978"/>
        <v>-2.9694558059616041</v>
      </c>
    </row>
    <row r="452" spans="1:20" x14ac:dyDescent="0.25">
      <c r="A452" s="5">
        <v>44141</v>
      </c>
      <c r="B452">
        <v>1.4789999999999999E-2</v>
      </c>
      <c r="C452">
        <v>1.5900000000000001E-2</v>
      </c>
      <c r="D452">
        <v>1.453E-2</v>
      </c>
      <c r="E452">
        <v>1.5689999999999999E-2</v>
      </c>
      <c r="F452">
        <v>7937959.9000000004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0.69343065693430417</v>
      </c>
      <c r="Q452">
        <f t="shared" si="975"/>
        <v>5504424.7481751638</v>
      </c>
      <c r="R452">
        <f t="shared" si="976"/>
        <v>-283756727.90903592</v>
      </c>
      <c r="S452">
        <f t="shared" si="977"/>
        <v>-2837.5672790903591</v>
      </c>
      <c r="T452">
        <f t="shared" si="978"/>
        <v>-2.8375672790903592</v>
      </c>
    </row>
    <row r="453" spans="1:20" x14ac:dyDescent="0.25">
      <c r="A453" s="5">
        <v>44140</v>
      </c>
      <c r="B453">
        <v>1.3809999999999999E-2</v>
      </c>
      <c r="C453">
        <v>1.489E-2</v>
      </c>
      <c r="D453">
        <v>1.353E-2</v>
      </c>
      <c r="E453">
        <v>1.481E-2</v>
      </c>
      <c r="F453">
        <v>5545880.0999999996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0.88235294117647034</v>
      </c>
      <c r="Q453">
        <f t="shared" si="975"/>
        <v>4893423.6176470574</v>
      </c>
      <c r="R453">
        <f t="shared" si="976"/>
        <v>-289261152.65721107</v>
      </c>
      <c r="S453">
        <f t="shared" si="977"/>
        <v>-2892.6115265721105</v>
      </c>
      <c r="T453">
        <f t="shared" si="978"/>
        <v>-2.8926115265721104</v>
      </c>
    </row>
    <row r="454" spans="1:20" x14ac:dyDescent="0.25">
      <c r="A454" s="5">
        <v>44139</v>
      </c>
      <c r="B454">
        <v>1.3809999999999999E-2</v>
      </c>
      <c r="C454">
        <v>1.4080000000000001E-2</v>
      </c>
      <c r="D454">
        <v>1.3469999999999999E-2</v>
      </c>
      <c r="E454">
        <v>1.389E-2</v>
      </c>
      <c r="F454">
        <v>2127955.4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0.377049180327867</v>
      </c>
      <c r="Q454">
        <f t="shared" ref="Q454:Q517" si="980">F454*P454</f>
        <v>802343.8393442583</v>
      </c>
      <c r="R454">
        <f t="shared" ref="R454:R517" si="981">R455+Q454</f>
        <v>-294154576.27485812</v>
      </c>
      <c r="S454">
        <f t="shared" ref="S454:S517" si="982">R454/100000</f>
        <v>-2941.5457627485812</v>
      </c>
      <c r="T454">
        <f t="shared" ref="T454:T517" si="983">S454/1000</f>
        <v>-2.9415457627485813</v>
      </c>
    </row>
    <row r="455" spans="1:20" x14ac:dyDescent="0.25">
      <c r="A455" s="5">
        <v>44138</v>
      </c>
      <c r="B455">
        <v>1.4189999999999999E-2</v>
      </c>
      <c r="C455">
        <v>1.4319999999999999E-2</v>
      </c>
      <c r="D455">
        <v>1.3350000000000001E-2</v>
      </c>
      <c r="E455">
        <v>1.388E-2</v>
      </c>
      <c r="F455">
        <v>2851887.4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9.2783505154639095E-2</v>
      </c>
      <c r="Q455">
        <f t="shared" si="980"/>
        <v>264608.10927835025</v>
      </c>
      <c r="R455">
        <f t="shared" si="981"/>
        <v>-294956920.11420238</v>
      </c>
      <c r="S455">
        <f t="shared" si="982"/>
        <v>-2949.5692011420238</v>
      </c>
      <c r="T455">
        <f t="shared" si="983"/>
        <v>-2.9495692011420238</v>
      </c>
    </row>
    <row r="456" spans="1:20" x14ac:dyDescent="0.25">
      <c r="A456" s="5">
        <v>44137</v>
      </c>
      <c r="B456">
        <v>1.4460000000000001E-2</v>
      </c>
      <c r="C456">
        <v>1.4789999999999999E-2</v>
      </c>
      <c r="D456">
        <v>1.387E-2</v>
      </c>
      <c r="E456">
        <v>1.4189999999999999E-2</v>
      </c>
      <c r="F456">
        <v>11211739.6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-0.30434782608695765</v>
      </c>
      <c r="Q456">
        <f t="shared" si="980"/>
        <v>-3412268.5739130559</v>
      </c>
      <c r="R456">
        <f t="shared" si="981"/>
        <v>-295221528.2234807</v>
      </c>
      <c r="S456">
        <f t="shared" si="982"/>
        <v>-2952.2152822348071</v>
      </c>
      <c r="T456">
        <f t="shared" si="983"/>
        <v>-2.9522152822348069</v>
      </c>
    </row>
    <row r="457" spans="1:20" x14ac:dyDescent="0.25">
      <c r="A457" s="5">
        <v>44136</v>
      </c>
      <c r="B457">
        <v>1.452E-2</v>
      </c>
      <c r="C457">
        <v>1.4659999999999999E-2</v>
      </c>
      <c r="D457">
        <v>1.4200000000000001E-2</v>
      </c>
      <c r="E457">
        <v>1.457E-2</v>
      </c>
      <c r="F457">
        <v>2565218.2000000002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0.60869565217391275</v>
      </c>
      <c r="Q457">
        <f t="shared" si="980"/>
        <v>1561437.1652173907</v>
      </c>
      <c r="R457">
        <f t="shared" si="981"/>
        <v>-291809259.64956766</v>
      </c>
      <c r="S457">
        <f t="shared" si="982"/>
        <v>-2918.0925964956768</v>
      </c>
      <c r="T457">
        <f t="shared" si="983"/>
        <v>-2.918092596495677</v>
      </c>
    </row>
    <row r="458" spans="1:20" x14ac:dyDescent="0.25">
      <c r="A458" s="5">
        <v>44135</v>
      </c>
      <c r="B458">
        <v>1.47E-2</v>
      </c>
      <c r="C458">
        <v>1.533E-2</v>
      </c>
      <c r="D458">
        <v>1.4460000000000001E-2</v>
      </c>
      <c r="E458">
        <v>1.464E-2</v>
      </c>
      <c r="F458">
        <v>6576698.0999999996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-0.58620689655172464</v>
      </c>
      <c r="Q458">
        <f t="shared" si="980"/>
        <v>-3855305.7827586238</v>
      </c>
      <c r="R458">
        <f t="shared" si="981"/>
        <v>-293370696.81478506</v>
      </c>
      <c r="S458">
        <f t="shared" si="982"/>
        <v>-2933.7069681478506</v>
      </c>
      <c r="T458">
        <f t="shared" si="983"/>
        <v>-2.9337069681478507</v>
      </c>
    </row>
    <row r="459" spans="1:20" x14ac:dyDescent="0.25">
      <c r="A459" s="5">
        <v>44134</v>
      </c>
      <c r="B459">
        <v>1.602E-2</v>
      </c>
      <c r="C459">
        <v>1.6129999999999999E-2</v>
      </c>
      <c r="D459">
        <v>1.397E-2</v>
      </c>
      <c r="E459">
        <v>1.47E-2</v>
      </c>
      <c r="F459">
        <v>16920364.100000001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-0.3240740740740739</v>
      </c>
      <c r="Q459">
        <f t="shared" si="980"/>
        <v>-5483451.3287037015</v>
      </c>
      <c r="R459">
        <f t="shared" si="981"/>
        <v>-289515391.03202641</v>
      </c>
      <c r="S459">
        <f t="shared" si="982"/>
        <v>-2895.153910320264</v>
      </c>
      <c r="T459">
        <f t="shared" si="983"/>
        <v>-2.8951539103202641</v>
      </c>
    </row>
    <row r="460" spans="1:20" x14ac:dyDescent="0.25">
      <c r="A460" s="5">
        <v>44133</v>
      </c>
      <c r="B460">
        <v>1.6660000000000001E-2</v>
      </c>
      <c r="C460">
        <v>1.72E-2</v>
      </c>
      <c r="D460">
        <v>1.6E-2</v>
      </c>
      <c r="E460">
        <v>1.6209999999999999E-2</v>
      </c>
      <c r="F460">
        <v>4241840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-0.65000000000000258</v>
      </c>
      <c r="Q460">
        <f t="shared" si="980"/>
        <v>-2757196.0000000107</v>
      </c>
      <c r="R460">
        <f t="shared" si="981"/>
        <v>-284031939.70332271</v>
      </c>
      <c r="S460">
        <f t="shared" si="982"/>
        <v>-2840.3193970332272</v>
      </c>
      <c r="T460">
        <f t="shared" si="983"/>
        <v>-2.8403193970332272</v>
      </c>
    </row>
    <row r="461" spans="1:20" x14ac:dyDescent="0.25">
      <c r="A461" s="5">
        <v>44132</v>
      </c>
      <c r="B461">
        <v>1.7100000000000001E-2</v>
      </c>
      <c r="C461">
        <v>1.7500000000000002E-2</v>
      </c>
      <c r="D461">
        <v>1.6330000000000001E-2</v>
      </c>
      <c r="E461">
        <v>1.6490000000000001E-2</v>
      </c>
      <c r="F461">
        <v>3098493.4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-0.72649572649572602</v>
      </c>
      <c r="Q461">
        <f t="shared" si="980"/>
        <v>-2251042.2136752121</v>
      </c>
      <c r="R461">
        <f t="shared" si="981"/>
        <v>-281274743.70332271</v>
      </c>
      <c r="S461">
        <f t="shared" si="982"/>
        <v>-2812.747437033227</v>
      </c>
      <c r="T461">
        <f t="shared" si="983"/>
        <v>-2.8127474370332268</v>
      </c>
    </row>
    <row r="462" spans="1:20" x14ac:dyDescent="0.25">
      <c r="A462" s="5">
        <v>44131</v>
      </c>
      <c r="B462">
        <v>1.7180000000000001E-2</v>
      </c>
      <c r="C462">
        <v>1.7340000000000001E-2</v>
      </c>
      <c r="D462">
        <v>1.668E-2</v>
      </c>
      <c r="E462">
        <v>1.7000000000000001E-2</v>
      </c>
      <c r="F462">
        <v>3010197.2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-3.0303030303029027E-2</v>
      </c>
      <c r="Q462">
        <f t="shared" si="980"/>
        <v>-91218.096969693128</v>
      </c>
      <c r="R462">
        <f t="shared" si="981"/>
        <v>-279023701.48964751</v>
      </c>
      <c r="S462">
        <f t="shared" si="982"/>
        <v>-2790.2370148964751</v>
      </c>
      <c r="T462">
        <f t="shared" si="983"/>
        <v>-2.790237014896475</v>
      </c>
    </row>
    <row r="463" spans="1:20" x14ac:dyDescent="0.25">
      <c r="A463" s="5">
        <v>44130</v>
      </c>
      <c r="B463">
        <v>1.7430000000000001E-2</v>
      </c>
      <c r="C463">
        <v>1.7919999999999998E-2</v>
      </c>
      <c r="D463">
        <v>1.6639999999999999E-2</v>
      </c>
      <c r="E463">
        <v>1.712E-2</v>
      </c>
      <c r="F463">
        <v>2492006.3999999999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-0.24999999999999797</v>
      </c>
      <c r="Q463">
        <f t="shared" si="980"/>
        <v>-623001.59999999497</v>
      </c>
      <c r="R463">
        <f t="shared" si="981"/>
        <v>-278932483.39267784</v>
      </c>
      <c r="S463">
        <f t="shared" si="982"/>
        <v>-2789.3248339267784</v>
      </c>
      <c r="T463">
        <f t="shared" si="983"/>
        <v>-2.7893248339267784</v>
      </c>
    </row>
    <row r="464" spans="1:20" x14ac:dyDescent="0.25">
      <c r="A464" s="5">
        <v>44129</v>
      </c>
      <c r="B464">
        <v>1.814E-2</v>
      </c>
      <c r="C464">
        <v>1.8329999999999999E-2</v>
      </c>
      <c r="D464">
        <v>1.7399999999999999E-2</v>
      </c>
      <c r="E464">
        <v>1.7489999999999999E-2</v>
      </c>
      <c r="F464">
        <v>2504977.4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-0.80645161290322631</v>
      </c>
      <c r="Q464">
        <f t="shared" si="980"/>
        <v>-2020143.0645161301</v>
      </c>
      <c r="R464">
        <f t="shared" si="981"/>
        <v>-278309481.79267782</v>
      </c>
      <c r="S464">
        <f t="shared" si="982"/>
        <v>-2783.094817926778</v>
      </c>
      <c r="T464">
        <f t="shared" si="983"/>
        <v>-2.783094817926778</v>
      </c>
    </row>
    <row r="465" spans="1:20" x14ac:dyDescent="0.25">
      <c r="A465" s="5">
        <v>44128</v>
      </c>
      <c r="B465">
        <v>1.7340000000000001E-2</v>
      </c>
      <c r="C465">
        <v>1.8790000000000001E-2</v>
      </c>
      <c r="D465">
        <v>1.7229999999999999E-2</v>
      </c>
      <c r="E465">
        <v>1.8339999999999999E-2</v>
      </c>
      <c r="F465">
        <v>5958081.5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0.42307692307692074</v>
      </c>
      <c r="Q465">
        <f t="shared" si="980"/>
        <v>2520726.7884615245</v>
      </c>
      <c r="R465">
        <f t="shared" si="981"/>
        <v>-276289338.72816169</v>
      </c>
      <c r="S465">
        <f t="shared" si="982"/>
        <v>-2762.8933872816169</v>
      </c>
      <c r="T465">
        <f t="shared" si="983"/>
        <v>-2.762893387281617</v>
      </c>
    </row>
    <row r="466" spans="1:20" x14ac:dyDescent="0.25">
      <c r="A466" s="5">
        <v>44127</v>
      </c>
      <c r="B466">
        <v>1.7270000000000001E-2</v>
      </c>
      <c r="C466">
        <v>1.7999999999999999E-2</v>
      </c>
      <c r="D466">
        <v>1.694E-2</v>
      </c>
      <c r="E466">
        <v>1.7319999999999999E-2</v>
      </c>
      <c r="F466">
        <v>3146461.5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-0.28301886792453029</v>
      </c>
      <c r="Q466">
        <f t="shared" si="980"/>
        <v>-890507.97169811942</v>
      </c>
      <c r="R466">
        <f t="shared" si="981"/>
        <v>-278810065.5166232</v>
      </c>
      <c r="S466">
        <f t="shared" si="982"/>
        <v>-2788.1006551662322</v>
      </c>
      <c r="T466">
        <f t="shared" si="983"/>
        <v>-2.788100655166232</v>
      </c>
    </row>
    <row r="467" spans="1:20" x14ac:dyDescent="0.25">
      <c r="A467" s="5">
        <v>44126</v>
      </c>
      <c r="B467">
        <v>1.6750000000000001E-2</v>
      </c>
      <c r="C467">
        <v>1.772E-2</v>
      </c>
      <c r="D467">
        <v>1.66E-2</v>
      </c>
      <c r="E467">
        <v>1.7340000000000001E-2</v>
      </c>
      <c r="F467">
        <v>3776494.9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0.32142857142857395</v>
      </c>
      <c r="Q467">
        <f t="shared" si="980"/>
        <v>1213873.3607142952</v>
      </c>
      <c r="R467">
        <f t="shared" si="981"/>
        <v>-277919557.54492509</v>
      </c>
      <c r="S467">
        <f t="shared" si="982"/>
        <v>-2779.195575449251</v>
      </c>
      <c r="T467">
        <f t="shared" si="983"/>
        <v>-2.779195575449251</v>
      </c>
    </row>
    <row r="468" spans="1:20" x14ac:dyDescent="0.25">
      <c r="A468" s="5">
        <v>44125</v>
      </c>
      <c r="B468">
        <v>1.6580000000000001E-2</v>
      </c>
      <c r="C468">
        <v>1.72E-2</v>
      </c>
      <c r="D468">
        <v>1.5900000000000001E-2</v>
      </c>
      <c r="E468">
        <v>1.6750000000000001E-2</v>
      </c>
      <c r="F468">
        <v>5980903.5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0.30769230769230871</v>
      </c>
      <c r="Q468">
        <f t="shared" si="980"/>
        <v>1840278.0000000061</v>
      </c>
      <c r="R468">
        <f t="shared" si="981"/>
        <v>-279133430.90563941</v>
      </c>
      <c r="S468">
        <f t="shared" si="982"/>
        <v>-2791.334309056394</v>
      </c>
      <c r="T468">
        <f t="shared" si="983"/>
        <v>-2.7913343090563938</v>
      </c>
    </row>
    <row r="469" spans="1:20" x14ac:dyDescent="0.25">
      <c r="A469" s="5">
        <v>44124</v>
      </c>
      <c r="B469">
        <v>1.719E-2</v>
      </c>
      <c r="C469">
        <v>1.7469999999999999E-2</v>
      </c>
      <c r="D469">
        <v>1.6559999999999998E-2</v>
      </c>
      <c r="E469">
        <v>1.677E-2</v>
      </c>
      <c r="F469">
        <v>1654714.9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-0.53846153846153499</v>
      </c>
      <c r="Q469">
        <f t="shared" si="980"/>
        <v>-891000.33076922502</v>
      </c>
      <c r="R469">
        <f t="shared" si="981"/>
        <v>-280973708.90563941</v>
      </c>
      <c r="S469">
        <f t="shared" si="982"/>
        <v>-2809.7370890563943</v>
      </c>
      <c r="T469">
        <f t="shared" si="983"/>
        <v>-2.8097370890563944</v>
      </c>
    </row>
    <row r="470" spans="1:20" x14ac:dyDescent="0.25">
      <c r="A470" s="5">
        <v>44123</v>
      </c>
      <c r="B470">
        <v>1.7600000000000001E-2</v>
      </c>
      <c r="C470">
        <v>1.762E-2</v>
      </c>
      <c r="D470">
        <v>1.7010000000000001E-2</v>
      </c>
      <c r="E470">
        <v>1.719E-2</v>
      </c>
      <c r="F470">
        <v>3469382.3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-0.40983606557377122</v>
      </c>
      <c r="Q470">
        <f t="shared" si="980"/>
        <v>-1421877.9918032812</v>
      </c>
      <c r="R470">
        <f t="shared" si="981"/>
        <v>-280082708.57487017</v>
      </c>
      <c r="S470">
        <f t="shared" si="982"/>
        <v>-2800.8270857487018</v>
      </c>
      <c r="T470">
        <f t="shared" si="983"/>
        <v>-2.8008270857487019</v>
      </c>
    </row>
    <row r="471" spans="1:20" x14ac:dyDescent="0.25">
      <c r="A471" s="5">
        <v>44122</v>
      </c>
      <c r="B471">
        <v>1.7729999999999999E-2</v>
      </c>
      <c r="C471">
        <v>1.7919999999999998E-2</v>
      </c>
      <c r="D471">
        <v>1.746E-2</v>
      </c>
      <c r="E471">
        <v>1.7659999999999999E-2</v>
      </c>
      <c r="F471">
        <v>2623906.5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-0.13043478260869829</v>
      </c>
      <c r="Q471">
        <f t="shared" si="980"/>
        <v>-342248.67391305038</v>
      </c>
      <c r="R471">
        <f t="shared" si="981"/>
        <v>-278660830.58306688</v>
      </c>
      <c r="S471">
        <f t="shared" si="982"/>
        <v>-2786.608305830669</v>
      </c>
      <c r="T471">
        <f t="shared" si="983"/>
        <v>-2.786608305830669</v>
      </c>
    </row>
    <row r="472" spans="1:20" x14ac:dyDescent="0.25">
      <c r="A472" s="5">
        <v>44121</v>
      </c>
      <c r="B472">
        <v>1.728E-2</v>
      </c>
      <c r="C472">
        <v>1.8749999999999999E-2</v>
      </c>
      <c r="D472">
        <v>1.72E-2</v>
      </c>
      <c r="E472">
        <v>1.7780000000000001E-2</v>
      </c>
      <c r="F472">
        <v>5635322.4000000004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-0.25161290322580526</v>
      </c>
      <c r="Q472">
        <f t="shared" si="980"/>
        <v>-1417919.8296774128</v>
      </c>
      <c r="R472">
        <f t="shared" si="981"/>
        <v>-278318581.90915382</v>
      </c>
      <c r="S472">
        <f t="shared" si="982"/>
        <v>-2783.1858190915382</v>
      </c>
      <c r="T472">
        <f t="shared" si="983"/>
        <v>-2.7831858190915382</v>
      </c>
    </row>
    <row r="473" spans="1:20" x14ac:dyDescent="0.25">
      <c r="A473" s="5">
        <v>44120</v>
      </c>
      <c r="B473">
        <v>1.856E-2</v>
      </c>
      <c r="C473">
        <v>1.857E-2</v>
      </c>
      <c r="D473">
        <v>1.6969999999999999E-2</v>
      </c>
      <c r="E473">
        <v>1.746E-2</v>
      </c>
      <c r="F473">
        <v>2233317.1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-0.38749999999999923</v>
      </c>
      <c r="Q473">
        <f t="shared" si="980"/>
        <v>-865410.37624999834</v>
      </c>
      <c r="R473">
        <f t="shared" si="981"/>
        <v>-276900662.07947642</v>
      </c>
      <c r="S473">
        <f t="shared" si="982"/>
        <v>-2769.0066207947643</v>
      </c>
      <c r="T473">
        <f t="shared" si="983"/>
        <v>-2.7690066207947641</v>
      </c>
    </row>
    <row r="474" spans="1:20" x14ac:dyDescent="0.25">
      <c r="A474" s="5">
        <v>44119</v>
      </c>
      <c r="B474">
        <v>1.9300000000000001E-2</v>
      </c>
      <c r="C474">
        <v>1.9349999999999999E-2</v>
      </c>
      <c r="D474">
        <v>1.7989999999999999E-2</v>
      </c>
      <c r="E474">
        <v>1.8440000000000002E-2</v>
      </c>
      <c r="F474">
        <v>4120789.9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-0.33823529411764347</v>
      </c>
      <c r="Q474">
        <f t="shared" si="980"/>
        <v>-1393796.5838235146</v>
      </c>
      <c r="R474">
        <f t="shared" si="981"/>
        <v>-276035251.70322645</v>
      </c>
      <c r="S474">
        <f t="shared" si="982"/>
        <v>-2760.3525170322646</v>
      </c>
      <c r="T474">
        <f t="shared" si="983"/>
        <v>-2.7603525170322647</v>
      </c>
    </row>
    <row r="475" spans="1:20" x14ac:dyDescent="0.25">
      <c r="A475" s="5">
        <v>44118</v>
      </c>
      <c r="B475">
        <v>1.9869999999999999E-2</v>
      </c>
      <c r="C475">
        <v>2.0320000000000001E-2</v>
      </c>
      <c r="D475">
        <v>1.881E-2</v>
      </c>
      <c r="E475">
        <v>1.9380000000000001E-2</v>
      </c>
      <c r="F475">
        <v>10501606.9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-0.24503311258278052</v>
      </c>
      <c r="Q475">
        <f t="shared" si="980"/>
        <v>-2573241.425827805</v>
      </c>
      <c r="R475">
        <f t="shared" si="981"/>
        <v>-274641455.11940295</v>
      </c>
      <c r="S475">
        <f t="shared" si="982"/>
        <v>-2746.4145511940296</v>
      </c>
      <c r="T475">
        <f t="shared" si="983"/>
        <v>-2.7464145511940297</v>
      </c>
    </row>
    <row r="476" spans="1:20" x14ac:dyDescent="0.25">
      <c r="A476" s="5">
        <v>44117</v>
      </c>
      <c r="B476">
        <v>1.9349999999999999E-2</v>
      </c>
      <c r="C476">
        <v>2.5600000000000001E-2</v>
      </c>
      <c r="D476">
        <v>1.9230000000000001E-2</v>
      </c>
      <c r="E476">
        <v>2.002E-2</v>
      </c>
      <c r="F476">
        <v>44273270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-0.75196232339089519</v>
      </c>
      <c r="Q476">
        <f t="shared" si="980"/>
        <v>-33291830.973312419</v>
      </c>
      <c r="R476">
        <f t="shared" si="981"/>
        <v>-272068213.69357514</v>
      </c>
      <c r="S476">
        <f t="shared" si="982"/>
        <v>-2720.6821369357513</v>
      </c>
      <c r="T476">
        <f t="shared" si="983"/>
        <v>-2.7206821369357512</v>
      </c>
    </row>
    <row r="477" spans="1:20" x14ac:dyDescent="0.25">
      <c r="A477" s="5">
        <v>44116</v>
      </c>
      <c r="B477">
        <v>1.9640000000000001E-2</v>
      </c>
      <c r="C477">
        <v>1.9810000000000001E-2</v>
      </c>
      <c r="D477">
        <v>1.881E-2</v>
      </c>
      <c r="E477">
        <v>1.9390000000000001E-2</v>
      </c>
      <c r="F477">
        <v>5785750.7999999998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0.16000000000000028</v>
      </c>
      <c r="Q477">
        <f t="shared" si="980"/>
        <v>925720.12800000154</v>
      </c>
      <c r="R477">
        <f t="shared" si="981"/>
        <v>-238776382.72026271</v>
      </c>
      <c r="S477">
        <f t="shared" si="982"/>
        <v>-2387.763827202627</v>
      </c>
      <c r="T477">
        <f t="shared" si="983"/>
        <v>-2.3877638272026269</v>
      </c>
    </row>
    <row r="478" spans="1:20" x14ac:dyDescent="0.25">
      <c r="A478" s="5">
        <v>44115</v>
      </c>
      <c r="B478">
        <v>2.0920000000000001E-2</v>
      </c>
      <c r="C478">
        <v>2.0969999999999999E-2</v>
      </c>
      <c r="D478">
        <v>1.9470000000000001E-2</v>
      </c>
      <c r="E478">
        <v>1.9550000000000001E-2</v>
      </c>
      <c r="F478">
        <v>6993141.9000000004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-0.89333333333333287</v>
      </c>
      <c r="Q478">
        <f t="shared" si="980"/>
        <v>-6247206.7639999967</v>
      </c>
      <c r="R478">
        <f t="shared" si="981"/>
        <v>-239702102.8482627</v>
      </c>
      <c r="S478">
        <f t="shared" si="982"/>
        <v>-2397.0210284826271</v>
      </c>
      <c r="T478">
        <f t="shared" si="983"/>
        <v>-2.397021028482627</v>
      </c>
    </row>
    <row r="479" spans="1:20" x14ac:dyDescent="0.25">
      <c r="A479" s="5">
        <v>44114</v>
      </c>
      <c r="B479">
        <v>1.9470000000000001E-2</v>
      </c>
      <c r="C479">
        <v>2.1250000000000002E-2</v>
      </c>
      <c r="D479">
        <v>1.9380000000000001E-2</v>
      </c>
      <c r="E479">
        <v>2.085E-2</v>
      </c>
      <c r="F479">
        <v>8683182.0999999996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0.57219251336898291</v>
      </c>
      <c r="Q479">
        <f t="shared" si="980"/>
        <v>4968451.789839563</v>
      </c>
      <c r="R479">
        <f t="shared" si="981"/>
        <v>-233454896.0842627</v>
      </c>
      <c r="S479">
        <f t="shared" si="982"/>
        <v>-2334.5489608426269</v>
      </c>
      <c r="T479">
        <f t="shared" si="983"/>
        <v>-2.3345489608426271</v>
      </c>
    </row>
    <row r="480" spans="1:20" x14ac:dyDescent="0.25">
      <c r="A480" s="5">
        <v>44113</v>
      </c>
      <c r="B480">
        <v>1.8780000000000002E-2</v>
      </c>
      <c r="C480">
        <v>1.9720000000000001E-2</v>
      </c>
      <c r="D480">
        <v>1.8280000000000001E-2</v>
      </c>
      <c r="E480">
        <v>1.9390000000000001E-2</v>
      </c>
      <c r="F480">
        <v>10434420.199999999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0.54166666666666619</v>
      </c>
      <c r="Q480">
        <f t="shared" si="980"/>
        <v>5651977.6083333278</v>
      </c>
      <c r="R480">
        <f t="shared" si="981"/>
        <v>-238423347.87410226</v>
      </c>
      <c r="S480">
        <f t="shared" si="982"/>
        <v>-2384.2334787410227</v>
      </c>
      <c r="T480">
        <f t="shared" si="983"/>
        <v>-2.3842334787410229</v>
      </c>
    </row>
    <row r="481" spans="1:20" x14ac:dyDescent="0.25">
      <c r="A481" s="5">
        <v>44112</v>
      </c>
      <c r="B481">
        <v>1.797E-2</v>
      </c>
      <c r="C481">
        <v>1.9230000000000001E-2</v>
      </c>
      <c r="D481">
        <v>1.797E-2</v>
      </c>
      <c r="E481">
        <v>1.8630000000000001E-2</v>
      </c>
      <c r="F481">
        <v>6326081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4.7619047619048407E-2</v>
      </c>
      <c r="Q481">
        <f t="shared" si="980"/>
        <v>301241.95238095737</v>
      </c>
      <c r="R481">
        <f t="shared" si="981"/>
        <v>-244075325.48243558</v>
      </c>
      <c r="S481">
        <f t="shared" si="982"/>
        <v>-2440.7532548243557</v>
      </c>
      <c r="T481">
        <f t="shared" si="983"/>
        <v>-2.4407532548243558</v>
      </c>
    </row>
    <row r="482" spans="1:20" x14ac:dyDescent="0.25">
      <c r="A482" s="5">
        <v>44111</v>
      </c>
      <c r="B482">
        <v>1.7409999999999998E-2</v>
      </c>
      <c r="C482">
        <v>1.7989999999999999E-2</v>
      </c>
      <c r="D482">
        <v>1.6910000000000001E-2</v>
      </c>
      <c r="E482">
        <v>1.7930000000000001E-2</v>
      </c>
      <c r="F482">
        <v>3579334.6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0.88888888888889317</v>
      </c>
      <c r="Q482">
        <f t="shared" si="980"/>
        <v>3181630.7555555711</v>
      </c>
      <c r="R482">
        <f t="shared" si="981"/>
        <v>-244376567.43481654</v>
      </c>
      <c r="S482">
        <f t="shared" si="982"/>
        <v>-2443.7656743481652</v>
      </c>
      <c r="T482">
        <f t="shared" si="983"/>
        <v>-2.4437656743481653</v>
      </c>
    </row>
    <row r="483" spans="1:20" x14ac:dyDescent="0.25">
      <c r="A483" s="5">
        <v>44110</v>
      </c>
      <c r="B483">
        <v>1.8919999999999999E-2</v>
      </c>
      <c r="C483">
        <v>1.9050000000000001E-2</v>
      </c>
      <c r="D483">
        <v>1.7090000000000001E-2</v>
      </c>
      <c r="E483">
        <v>1.7399999999999999E-2</v>
      </c>
      <c r="F483">
        <v>14346213.4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-0.6836734693877573</v>
      </c>
      <c r="Q483">
        <f t="shared" si="980"/>
        <v>-9808125.4877551347</v>
      </c>
      <c r="R483">
        <f t="shared" si="981"/>
        <v>-247558198.19037211</v>
      </c>
      <c r="S483">
        <f t="shared" si="982"/>
        <v>-2475.581981903721</v>
      </c>
      <c r="T483">
        <f t="shared" si="983"/>
        <v>-2.475581981903721</v>
      </c>
    </row>
    <row r="484" spans="1:20" x14ac:dyDescent="0.25">
      <c r="A484" s="5">
        <v>44109</v>
      </c>
      <c r="B484">
        <v>1.652E-2</v>
      </c>
      <c r="C484">
        <v>1.9810000000000001E-2</v>
      </c>
      <c r="D484">
        <v>1.6469999999999999E-2</v>
      </c>
      <c r="E484">
        <v>1.8950000000000002E-2</v>
      </c>
      <c r="F484">
        <v>41066872.100000001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0.48502994011976108</v>
      </c>
      <c r="Q484">
        <f t="shared" si="980"/>
        <v>19918662.515568886</v>
      </c>
      <c r="R484">
        <f t="shared" si="981"/>
        <v>-237750072.70261696</v>
      </c>
      <c r="S484">
        <f t="shared" si="982"/>
        <v>-2377.5007270261694</v>
      </c>
      <c r="T484">
        <f t="shared" si="983"/>
        <v>-2.3775007270261694</v>
      </c>
    </row>
    <row r="485" spans="1:20" x14ac:dyDescent="0.25">
      <c r="A485" s="5">
        <v>44108</v>
      </c>
      <c r="B485">
        <v>1.653E-2</v>
      </c>
      <c r="C485">
        <v>1.677E-2</v>
      </c>
      <c r="D485">
        <v>1.6140000000000002E-2</v>
      </c>
      <c r="E485">
        <v>1.6480000000000002E-2</v>
      </c>
      <c r="F485">
        <v>2252635.2999999998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7.9365079365081817E-2</v>
      </c>
      <c r="Q485">
        <f t="shared" si="980"/>
        <v>178780.57936508488</v>
      </c>
      <c r="R485">
        <f t="shared" si="981"/>
        <v>-257668735.21818584</v>
      </c>
      <c r="S485">
        <f t="shared" si="982"/>
        <v>-2576.6873521818584</v>
      </c>
      <c r="T485">
        <f t="shared" si="983"/>
        <v>-2.5766873521818585</v>
      </c>
    </row>
    <row r="486" spans="1:20" x14ac:dyDescent="0.25">
      <c r="A486" s="5">
        <v>44107</v>
      </c>
      <c r="B486">
        <v>1.6490000000000001E-2</v>
      </c>
      <c r="C486">
        <v>1.6789999999999999E-2</v>
      </c>
      <c r="D486">
        <v>1.6330000000000001E-2</v>
      </c>
      <c r="E486">
        <v>1.6549999999999999E-2</v>
      </c>
      <c r="F486">
        <v>2574401.2999999998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-4.3478260869571121E-2</v>
      </c>
      <c r="Q486">
        <f t="shared" si="980"/>
        <v>-111930.49130436302</v>
      </c>
      <c r="R486">
        <f t="shared" si="981"/>
        <v>-257847515.79755092</v>
      </c>
      <c r="S486">
        <f t="shared" si="982"/>
        <v>-2578.4751579755093</v>
      </c>
      <c r="T486">
        <f t="shared" si="983"/>
        <v>-2.5784751579755092</v>
      </c>
    </row>
    <row r="487" spans="1:20" x14ac:dyDescent="0.25">
      <c r="A487" s="5">
        <v>44106</v>
      </c>
      <c r="B487">
        <v>1.7170000000000001E-2</v>
      </c>
      <c r="C487">
        <v>1.7749999999999998E-2</v>
      </c>
      <c r="D487">
        <v>1.601E-2</v>
      </c>
      <c r="E487">
        <v>1.636E-2</v>
      </c>
      <c r="F487">
        <v>8868929.5999999996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-0.5977011494252874</v>
      </c>
      <c r="Q487">
        <f t="shared" si="980"/>
        <v>-5300969.4160919543</v>
      </c>
      <c r="R487">
        <f t="shared" si="981"/>
        <v>-257735585.30624655</v>
      </c>
      <c r="S487">
        <f t="shared" si="982"/>
        <v>-2577.3558530624655</v>
      </c>
      <c r="T487">
        <f t="shared" si="983"/>
        <v>-2.5773558530624654</v>
      </c>
    </row>
    <row r="488" spans="1:20" x14ac:dyDescent="0.25">
      <c r="A488" s="5">
        <v>44105</v>
      </c>
      <c r="B488">
        <v>1.8249999999999999E-2</v>
      </c>
      <c r="C488">
        <v>1.8489999999999999E-2</v>
      </c>
      <c r="D488">
        <v>1.6840000000000001E-2</v>
      </c>
      <c r="E488">
        <v>1.7180000000000001E-2</v>
      </c>
      <c r="F488">
        <v>6039725.5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-0.58787878787878756</v>
      </c>
      <c r="Q488">
        <f t="shared" si="980"/>
        <v>-3550626.506060604</v>
      </c>
      <c r="R488">
        <f t="shared" si="981"/>
        <v>-252434615.8901546</v>
      </c>
      <c r="S488">
        <f t="shared" si="982"/>
        <v>-2524.346158901546</v>
      </c>
      <c r="T488">
        <f t="shared" si="983"/>
        <v>-2.5243461589015461</v>
      </c>
    </row>
    <row r="489" spans="1:20" x14ac:dyDescent="0.25">
      <c r="A489" s="5">
        <v>44104</v>
      </c>
      <c r="B489">
        <v>1.8290000000000001E-2</v>
      </c>
      <c r="C489">
        <v>1.8450000000000001E-2</v>
      </c>
      <c r="D489">
        <v>1.7489999999999999E-2</v>
      </c>
      <c r="E489">
        <v>1.8249999999999999E-2</v>
      </c>
      <c r="F489">
        <v>9376215.9000000004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0.58333333333332971</v>
      </c>
      <c r="Q489">
        <f t="shared" si="980"/>
        <v>5469459.2749999659</v>
      </c>
      <c r="R489">
        <f t="shared" si="981"/>
        <v>-248883989.384094</v>
      </c>
      <c r="S489">
        <f t="shared" si="982"/>
        <v>-2488.83989384094</v>
      </c>
      <c r="T489">
        <f t="shared" si="983"/>
        <v>-2.48883989384094</v>
      </c>
    </row>
    <row r="490" spans="1:20" x14ac:dyDescent="0.25">
      <c r="A490" s="5">
        <v>44103</v>
      </c>
      <c r="B490">
        <v>1.8319999999999999E-2</v>
      </c>
      <c r="C490">
        <v>1.8780000000000002E-2</v>
      </c>
      <c r="D490">
        <v>1.7239999999999998E-2</v>
      </c>
      <c r="E490">
        <v>1.814E-2</v>
      </c>
      <c r="F490">
        <v>14939986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0.16883116883116836</v>
      </c>
      <c r="Q490">
        <f t="shared" si="980"/>
        <v>2522335.2987012914</v>
      </c>
      <c r="R490">
        <f t="shared" si="981"/>
        <v>-254353448.65909398</v>
      </c>
      <c r="S490">
        <f t="shared" si="982"/>
        <v>-2543.5344865909397</v>
      </c>
      <c r="T490">
        <f t="shared" si="983"/>
        <v>-2.5435344865909397</v>
      </c>
    </row>
    <row r="491" spans="1:20" x14ac:dyDescent="0.25">
      <c r="A491" s="5">
        <v>44102</v>
      </c>
      <c r="B491">
        <v>1.8929999999999999E-2</v>
      </c>
      <c r="C491">
        <v>1.9359999999999999E-2</v>
      </c>
      <c r="D491">
        <v>1.8020000000000001E-2</v>
      </c>
      <c r="E491">
        <v>1.8259999999999998E-2</v>
      </c>
      <c r="F491">
        <v>13453868.1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-0.64179104477612292</v>
      </c>
      <c r="Q491">
        <f t="shared" si="980"/>
        <v>-8634572.0641791523</v>
      </c>
      <c r="R491">
        <f t="shared" si="981"/>
        <v>-256875783.95779526</v>
      </c>
      <c r="S491">
        <f t="shared" si="982"/>
        <v>-2568.7578395779528</v>
      </c>
      <c r="T491">
        <f t="shared" si="983"/>
        <v>-2.5687578395779527</v>
      </c>
    </row>
    <row r="492" spans="1:20" x14ac:dyDescent="0.25">
      <c r="A492" s="5">
        <v>44101</v>
      </c>
      <c r="B492">
        <v>1.899E-2</v>
      </c>
      <c r="C492">
        <v>2.078E-2</v>
      </c>
      <c r="D492">
        <v>1.7670000000000002E-2</v>
      </c>
      <c r="E492">
        <v>1.8929999999999999E-2</v>
      </c>
      <c r="F492">
        <v>32463738.600000001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-0.18971061093247718</v>
      </c>
      <c r="Q492">
        <f t="shared" si="980"/>
        <v>-6158715.6829582416</v>
      </c>
      <c r="R492">
        <f t="shared" si="981"/>
        <v>-248241211.89361611</v>
      </c>
      <c r="S492">
        <f t="shared" si="982"/>
        <v>-2482.4121189361613</v>
      </c>
      <c r="T492">
        <f t="shared" si="983"/>
        <v>-2.4824121189361614</v>
      </c>
    </row>
    <row r="493" spans="1:20" x14ac:dyDescent="0.25">
      <c r="A493" s="5">
        <v>44100</v>
      </c>
      <c r="B493">
        <v>1.8270000000000002E-2</v>
      </c>
      <c r="C493">
        <v>1.942E-2</v>
      </c>
      <c r="D493">
        <v>1.814E-2</v>
      </c>
      <c r="E493">
        <v>1.9040000000000001E-2</v>
      </c>
      <c r="F493">
        <v>25789149.100000001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0.40625000000000244</v>
      </c>
      <c r="Q493">
        <f t="shared" si="980"/>
        <v>10476841.821875064</v>
      </c>
      <c r="R493">
        <f t="shared" si="981"/>
        <v>-242082496.21065786</v>
      </c>
      <c r="S493">
        <f t="shared" si="982"/>
        <v>-2420.8249621065788</v>
      </c>
      <c r="T493">
        <f t="shared" si="983"/>
        <v>-2.4208249621065789</v>
      </c>
    </row>
    <row r="494" spans="1:20" x14ac:dyDescent="0.25">
      <c r="A494" s="5">
        <v>44099</v>
      </c>
      <c r="B494">
        <v>1.721E-2</v>
      </c>
      <c r="C494">
        <v>1.8509999999999999E-2</v>
      </c>
      <c r="D494">
        <v>1.6650000000000002E-2</v>
      </c>
      <c r="E494">
        <v>1.8249999999999999E-2</v>
      </c>
      <c r="F494">
        <v>21941364.199999999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0.72043010752688152</v>
      </c>
      <c r="Q494">
        <f t="shared" si="980"/>
        <v>15807219.369892469</v>
      </c>
      <c r="R494">
        <f t="shared" si="981"/>
        <v>-252559338.03253293</v>
      </c>
      <c r="S494">
        <f t="shared" si="982"/>
        <v>-2525.5933803253292</v>
      </c>
      <c r="T494">
        <f t="shared" si="983"/>
        <v>-2.5255933803253292</v>
      </c>
    </row>
    <row r="495" spans="1:20" x14ac:dyDescent="0.25">
      <c r="A495" s="5">
        <v>44098</v>
      </c>
      <c r="B495">
        <v>1.6039999999999999E-2</v>
      </c>
      <c r="C495">
        <v>1.736E-2</v>
      </c>
      <c r="D495">
        <v>1.566E-2</v>
      </c>
      <c r="E495">
        <v>1.721E-2</v>
      </c>
      <c r="F495">
        <v>18272041.300000001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0.82352941176470495</v>
      </c>
      <c r="Q495">
        <f t="shared" si="980"/>
        <v>15047563.423529396</v>
      </c>
      <c r="R495">
        <f t="shared" si="981"/>
        <v>-268366557.40242541</v>
      </c>
      <c r="S495">
        <f t="shared" si="982"/>
        <v>-2683.6655740242541</v>
      </c>
      <c r="T495">
        <f t="shared" si="983"/>
        <v>-2.6836655740242539</v>
      </c>
    </row>
    <row r="496" spans="1:20" x14ac:dyDescent="0.25">
      <c r="A496" s="5">
        <v>44097</v>
      </c>
      <c r="B496">
        <v>1.729E-2</v>
      </c>
      <c r="C496">
        <v>1.745E-2</v>
      </c>
      <c r="D496">
        <v>1.585E-2</v>
      </c>
      <c r="E496">
        <v>1.6080000000000001E-2</v>
      </c>
      <c r="F496">
        <v>14668247.699999999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-0.7124999999999988</v>
      </c>
      <c r="Q496">
        <f t="shared" si="980"/>
        <v>-10451126.486249981</v>
      </c>
      <c r="R496">
        <f t="shared" si="981"/>
        <v>-283414120.82595479</v>
      </c>
      <c r="S496">
        <f t="shared" si="982"/>
        <v>-2834.141208259548</v>
      </c>
      <c r="T496">
        <f t="shared" si="983"/>
        <v>-2.8341412082595481</v>
      </c>
    </row>
    <row r="497" spans="1:20" x14ac:dyDescent="0.25">
      <c r="A497" s="5">
        <v>44096</v>
      </c>
      <c r="B497">
        <v>1.771E-2</v>
      </c>
      <c r="C497">
        <v>1.805E-2</v>
      </c>
      <c r="D497">
        <v>1.6E-2</v>
      </c>
      <c r="E497">
        <v>1.728E-2</v>
      </c>
      <c r="F497">
        <v>27896419.899999999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0.2487804878048781</v>
      </c>
      <c r="Q497">
        <f t="shared" si="980"/>
        <v>6940084.9507317087</v>
      </c>
      <c r="R497">
        <f t="shared" si="981"/>
        <v>-272962994.33970481</v>
      </c>
      <c r="S497">
        <f t="shared" si="982"/>
        <v>-2729.629943397048</v>
      </c>
      <c r="T497">
        <f t="shared" si="983"/>
        <v>-2.7296299433970481</v>
      </c>
    </row>
    <row r="498" spans="1:20" x14ac:dyDescent="0.25">
      <c r="A498" s="5">
        <v>44095</v>
      </c>
      <c r="B498">
        <v>1.9179999999999999E-2</v>
      </c>
      <c r="C498">
        <v>2.315E-2</v>
      </c>
      <c r="D498">
        <v>1.7389999999999999E-2</v>
      </c>
      <c r="E498">
        <v>1.7690000000000001E-2</v>
      </c>
      <c r="F498">
        <v>81893371</v>
      </c>
      <c r="G498">
        <v>0</v>
      </c>
      <c r="L498" t="s">
        <v>8</v>
      </c>
      <c r="M498" t="s">
        <v>8</v>
      </c>
      <c r="N498" t="s">
        <v>7</v>
      </c>
      <c r="P498">
        <f t="shared" si="979"/>
        <v>-0.89583333333333282</v>
      </c>
      <c r="Q498">
        <f t="shared" si="980"/>
        <v>-73362811.520833284</v>
      </c>
      <c r="R498">
        <f t="shared" si="981"/>
        <v>-279903079.29043651</v>
      </c>
      <c r="S498">
        <f t="shared" si="982"/>
        <v>-2799.0307929043652</v>
      </c>
      <c r="T498">
        <f t="shared" si="983"/>
        <v>-2.799030792904365</v>
      </c>
    </row>
    <row r="499" spans="1:20" x14ac:dyDescent="0.25">
      <c r="A499" s="5">
        <v>44094</v>
      </c>
      <c r="B499">
        <v>1.9800000000000002E-2</v>
      </c>
      <c r="C499">
        <v>1.984E-2</v>
      </c>
      <c r="D499">
        <v>1.8800000000000001E-2</v>
      </c>
      <c r="E499">
        <v>1.9189999999999999E-2</v>
      </c>
      <c r="F499">
        <v>10051750.5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-0.25000000000000333</v>
      </c>
      <c r="Q499">
        <f t="shared" si="980"/>
        <v>-2512937.6250000335</v>
      </c>
      <c r="R499">
        <f t="shared" si="981"/>
        <v>-206540267.76960319</v>
      </c>
      <c r="S499">
        <f t="shared" si="982"/>
        <v>-2065.4026776960318</v>
      </c>
      <c r="T499">
        <f t="shared" si="983"/>
        <v>-2.0654026776960319</v>
      </c>
    </row>
    <row r="500" spans="1:20" x14ac:dyDescent="0.25">
      <c r="A500" s="5">
        <v>44093</v>
      </c>
      <c r="B500">
        <v>1.9390000000000001E-2</v>
      </c>
      <c r="C500">
        <v>2.0029999999999999E-2</v>
      </c>
      <c r="D500">
        <v>1.8669999999999999E-2</v>
      </c>
      <c r="E500">
        <v>1.9800000000000002E-2</v>
      </c>
      <c r="F500">
        <v>8366773.0999999996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0.66176470588235659</v>
      </c>
      <c r="Q500">
        <f t="shared" si="980"/>
        <v>5536835.1397059122</v>
      </c>
      <c r="R500">
        <f t="shared" si="981"/>
        <v>-204027330.14460316</v>
      </c>
      <c r="S500">
        <f t="shared" si="982"/>
        <v>-2040.2733014460316</v>
      </c>
      <c r="T500">
        <f t="shared" si="983"/>
        <v>-2.0402733014460317</v>
      </c>
    </row>
    <row r="501" spans="1:20" x14ac:dyDescent="0.25">
      <c r="A501" s="5">
        <v>44092</v>
      </c>
      <c r="B501">
        <v>1.84E-2</v>
      </c>
      <c r="C501">
        <v>2.1999999999999999E-2</v>
      </c>
      <c r="D501">
        <v>1.813E-2</v>
      </c>
      <c r="E501">
        <v>1.934E-2</v>
      </c>
      <c r="F501">
        <v>25667253.199999999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-0.37467700258397946</v>
      </c>
      <c r="Q501">
        <f t="shared" si="980"/>
        <v>-9616929.4935400542</v>
      </c>
      <c r="R501">
        <f t="shared" si="981"/>
        <v>-209564165.28430909</v>
      </c>
      <c r="S501">
        <f t="shared" si="982"/>
        <v>-2095.6416528430909</v>
      </c>
      <c r="T501">
        <f t="shared" si="983"/>
        <v>-2.0956416528430908</v>
      </c>
    </row>
    <row r="502" spans="1:20" x14ac:dyDescent="0.25">
      <c r="A502" s="5">
        <v>44091</v>
      </c>
      <c r="B502">
        <v>1.8749999999999999E-2</v>
      </c>
      <c r="C502">
        <v>1.9570000000000001E-2</v>
      </c>
      <c r="D502">
        <v>1.7350000000000001E-2</v>
      </c>
      <c r="E502">
        <v>1.8249999999999999E-2</v>
      </c>
      <c r="F502">
        <v>18235666.300000001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-0.18918918918919087</v>
      </c>
      <c r="Q502">
        <f t="shared" si="980"/>
        <v>-3449990.9216216523</v>
      </c>
      <c r="R502">
        <f t="shared" si="981"/>
        <v>-199947235.79076904</v>
      </c>
      <c r="S502">
        <f t="shared" si="982"/>
        <v>-1999.4723579076904</v>
      </c>
      <c r="T502">
        <f t="shared" si="983"/>
        <v>-1.9994723579076903</v>
      </c>
    </row>
    <row r="503" spans="1:20" x14ac:dyDescent="0.25">
      <c r="A503" s="5">
        <v>44090</v>
      </c>
      <c r="B503">
        <v>1.9130000000000001E-2</v>
      </c>
      <c r="C503">
        <v>1.9140000000000001E-2</v>
      </c>
      <c r="D503">
        <v>1.7430000000000001E-2</v>
      </c>
      <c r="E503">
        <v>1.8749999999999999E-2</v>
      </c>
      <c r="F503">
        <v>15920719.800000001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0.54385964912280527</v>
      </c>
      <c r="Q503">
        <f t="shared" si="980"/>
        <v>8658637.0842104983</v>
      </c>
      <c r="R503">
        <f t="shared" si="981"/>
        <v>-196497244.86914739</v>
      </c>
      <c r="S503">
        <f t="shared" si="982"/>
        <v>-1964.9724486914738</v>
      </c>
      <c r="T503">
        <f t="shared" si="983"/>
        <v>-1.9649724486914737</v>
      </c>
    </row>
    <row r="504" spans="1:20" x14ac:dyDescent="0.25">
      <c r="A504" s="5">
        <v>44089</v>
      </c>
      <c r="B504">
        <v>2.017E-2</v>
      </c>
      <c r="C504">
        <v>2.0740000000000001E-2</v>
      </c>
      <c r="D504">
        <v>1.8589999999999999E-2</v>
      </c>
      <c r="E504">
        <v>1.9140000000000001E-2</v>
      </c>
      <c r="F504">
        <v>21755242.399999999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-0.48837209302325468</v>
      </c>
      <c r="Q504">
        <f t="shared" si="980"/>
        <v>-10624653.265116254</v>
      </c>
      <c r="R504">
        <f t="shared" si="981"/>
        <v>-205155881.95335788</v>
      </c>
      <c r="S504">
        <f t="shared" si="982"/>
        <v>-2051.5588195335786</v>
      </c>
      <c r="T504">
        <f t="shared" si="983"/>
        <v>-2.0515588195335788</v>
      </c>
    </row>
    <row r="505" spans="1:20" x14ac:dyDescent="0.25">
      <c r="A505" s="5">
        <v>44088</v>
      </c>
      <c r="B505">
        <v>2.026E-2</v>
      </c>
      <c r="C505">
        <v>2.035E-2</v>
      </c>
      <c r="D505">
        <v>1.924E-2</v>
      </c>
      <c r="E505">
        <v>2.0070000000000001E-2</v>
      </c>
      <c r="F505">
        <v>14663071.9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0.49549549549549726</v>
      </c>
      <c r="Q505">
        <f t="shared" si="980"/>
        <v>7265486.0765766026</v>
      </c>
      <c r="R505">
        <f t="shared" si="981"/>
        <v>-194531228.68824163</v>
      </c>
      <c r="S505">
        <f t="shared" si="982"/>
        <v>-1945.3122868824164</v>
      </c>
      <c r="T505">
        <f t="shared" si="983"/>
        <v>-1.9453122868824164</v>
      </c>
    </row>
    <row r="506" spans="1:20" x14ac:dyDescent="0.25">
      <c r="A506" s="5">
        <v>44087</v>
      </c>
      <c r="B506">
        <v>2.145E-2</v>
      </c>
      <c r="C506">
        <v>2.23E-2</v>
      </c>
      <c r="D506">
        <v>1.9140000000000001E-2</v>
      </c>
      <c r="E506">
        <v>2.0129999999999999E-2</v>
      </c>
      <c r="F506">
        <v>20111365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-0.37341772151898867</v>
      </c>
      <c r="Q506">
        <f t="shared" si="980"/>
        <v>-7509940.0949367359</v>
      </c>
      <c r="R506">
        <f t="shared" si="981"/>
        <v>-201796714.76481822</v>
      </c>
      <c r="S506">
        <f t="shared" si="982"/>
        <v>-2017.9671476481822</v>
      </c>
      <c r="T506">
        <f t="shared" si="983"/>
        <v>-2.0179671476481822</v>
      </c>
    </row>
    <row r="507" spans="1:20" x14ac:dyDescent="0.25">
      <c r="A507" s="5">
        <v>44086</v>
      </c>
      <c r="B507">
        <v>2.171E-2</v>
      </c>
      <c r="C507">
        <v>2.2380000000000001E-2</v>
      </c>
      <c r="D507">
        <v>2.1010000000000001E-2</v>
      </c>
      <c r="E507">
        <v>2.146E-2</v>
      </c>
      <c r="F507">
        <v>16260024.699999999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-0.34306569343065824</v>
      </c>
      <c r="Q507">
        <f t="shared" si="980"/>
        <v>-5578256.6489051301</v>
      </c>
      <c r="R507">
        <f t="shared" si="981"/>
        <v>-194286774.66988149</v>
      </c>
      <c r="S507">
        <f t="shared" si="982"/>
        <v>-1942.8677466988149</v>
      </c>
      <c r="T507">
        <f t="shared" si="983"/>
        <v>-1.9428677466988149</v>
      </c>
    </row>
    <row r="508" spans="1:20" x14ac:dyDescent="0.25">
      <c r="A508" s="5">
        <v>44085</v>
      </c>
      <c r="B508">
        <v>2.2460000000000001E-2</v>
      </c>
      <c r="C508">
        <v>2.2710000000000001E-2</v>
      </c>
      <c r="D508">
        <v>2.0889999999999999E-2</v>
      </c>
      <c r="E508">
        <v>2.1749999999999999E-2</v>
      </c>
      <c r="F508">
        <v>19867593.899999999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-5.494505494505645E-2</v>
      </c>
      <c r="Q508">
        <f t="shared" si="980"/>
        <v>-1091626.0384615683</v>
      </c>
      <c r="R508">
        <f t="shared" si="981"/>
        <v>-188708518.02097636</v>
      </c>
      <c r="S508">
        <f t="shared" si="982"/>
        <v>-1887.0851802097636</v>
      </c>
      <c r="T508">
        <f t="shared" si="983"/>
        <v>-1.8870851802097637</v>
      </c>
    </row>
    <row r="509" spans="1:20" x14ac:dyDescent="0.25">
      <c r="A509" s="5">
        <v>44084</v>
      </c>
      <c r="B509">
        <v>2.256E-2</v>
      </c>
      <c r="C509">
        <v>2.3699999999999999E-2</v>
      </c>
      <c r="D509">
        <v>2.1700000000000001E-2</v>
      </c>
      <c r="E509">
        <v>2.248E-2</v>
      </c>
      <c r="F509">
        <v>38520785.899999999</v>
      </c>
      <c r="G509">
        <v>0</v>
      </c>
      <c r="L509" t="s">
        <v>8</v>
      </c>
      <c r="M509" t="s">
        <v>7</v>
      </c>
      <c r="N509" t="s">
        <v>8</v>
      </c>
      <c r="P509">
        <f t="shared" si="979"/>
        <v>-0.21999999999999989</v>
      </c>
      <c r="Q509">
        <f t="shared" si="980"/>
        <v>-8474572.8979999963</v>
      </c>
      <c r="R509">
        <f t="shared" si="981"/>
        <v>-187616891.9825148</v>
      </c>
      <c r="S509">
        <f t="shared" si="982"/>
        <v>-1876.1689198251479</v>
      </c>
      <c r="T509">
        <f t="shared" si="983"/>
        <v>-1.8761689198251479</v>
      </c>
    </row>
    <row r="510" spans="1:20" x14ac:dyDescent="0.25">
      <c r="A510" s="5">
        <v>44083</v>
      </c>
      <c r="B510">
        <v>2.2450000000000001E-2</v>
      </c>
      <c r="C510">
        <v>2.4219999999999998E-2</v>
      </c>
      <c r="D510">
        <v>2.1340000000000001E-2</v>
      </c>
      <c r="E510">
        <v>2.2579999999999999E-2</v>
      </c>
      <c r="F510">
        <v>72310415.700000003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-0.13888888888888939</v>
      </c>
      <c r="Q510">
        <f t="shared" si="980"/>
        <v>-10043113.291666703</v>
      </c>
      <c r="R510">
        <f t="shared" si="981"/>
        <v>-179142319.0845148</v>
      </c>
      <c r="S510">
        <f t="shared" si="982"/>
        <v>-1791.4231908451479</v>
      </c>
      <c r="T510">
        <f t="shared" si="983"/>
        <v>-1.7914231908451479</v>
      </c>
    </row>
    <row r="511" spans="1:20" x14ac:dyDescent="0.25">
      <c r="A511" s="5">
        <v>44082</v>
      </c>
      <c r="B511">
        <v>2.036E-2</v>
      </c>
      <c r="C511">
        <v>2.6589999999999999E-2</v>
      </c>
      <c r="D511">
        <v>2.0310000000000002E-2</v>
      </c>
      <c r="E511">
        <v>2.2450000000000001E-2</v>
      </c>
      <c r="F511">
        <v>184490019.5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-0.31847133757961771</v>
      </c>
      <c r="Q511">
        <f t="shared" si="980"/>
        <v>-58754783.280254751</v>
      </c>
      <c r="R511">
        <f t="shared" si="981"/>
        <v>-169099205.79284808</v>
      </c>
      <c r="S511">
        <f t="shared" si="982"/>
        <v>-1690.9920579284808</v>
      </c>
      <c r="T511">
        <f t="shared" si="983"/>
        <v>-1.6909920579284807</v>
      </c>
    </row>
    <row r="512" spans="1:20" x14ac:dyDescent="0.25">
      <c r="A512" s="5">
        <v>44081</v>
      </c>
      <c r="B512">
        <v>1.8870000000000001E-2</v>
      </c>
      <c r="C512">
        <v>2.155E-2</v>
      </c>
      <c r="D512">
        <v>1.5480000000000001E-2</v>
      </c>
      <c r="E512">
        <v>2.036E-2</v>
      </c>
      <c r="F512">
        <v>56512805.200000003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0.60790774299835248</v>
      </c>
      <c r="Q512">
        <f t="shared" si="980"/>
        <v>34354571.859637558</v>
      </c>
      <c r="R512">
        <f t="shared" si="981"/>
        <v>-110344422.51259333</v>
      </c>
      <c r="S512">
        <f t="shared" si="982"/>
        <v>-1103.4442251259334</v>
      </c>
      <c r="T512">
        <f t="shared" si="983"/>
        <v>-1.1034442251259333</v>
      </c>
    </row>
    <row r="513" spans="1:20" x14ac:dyDescent="0.25">
      <c r="A513" s="5">
        <v>44080</v>
      </c>
      <c r="B513">
        <v>1.84E-2</v>
      </c>
      <c r="C513">
        <v>1.924E-2</v>
      </c>
      <c r="D513">
        <v>1.685E-2</v>
      </c>
      <c r="E513">
        <v>1.9060000000000001E-2</v>
      </c>
      <c r="F513">
        <v>25181847.699999999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0.84937238493723877</v>
      </c>
      <c r="Q513">
        <f t="shared" si="980"/>
        <v>21388766.03807532</v>
      </c>
      <c r="R513">
        <f t="shared" si="981"/>
        <v>-144698994.37223089</v>
      </c>
      <c r="S513">
        <f t="shared" si="982"/>
        <v>-1446.9899437223089</v>
      </c>
      <c r="T513">
        <f t="shared" si="983"/>
        <v>-1.4469899437223088</v>
      </c>
    </row>
    <row r="514" spans="1:20" x14ac:dyDescent="0.25">
      <c r="A514" s="5">
        <v>44079</v>
      </c>
      <c r="B514">
        <v>2.0629999999999999E-2</v>
      </c>
      <c r="C514">
        <v>2.1850000000000001E-2</v>
      </c>
      <c r="D514">
        <v>1.703E-2</v>
      </c>
      <c r="E514">
        <v>1.8409999999999999E-2</v>
      </c>
      <c r="F514">
        <v>37608329.100000001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-0.42738589211618305</v>
      </c>
      <c r="Q514">
        <f t="shared" si="980"/>
        <v>-16073269.283402508</v>
      </c>
      <c r="R514">
        <f t="shared" si="981"/>
        <v>-166087760.41030622</v>
      </c>
      <c r="S514">
        <f t="shared" si="982"/>
        <v>-1660.8776041030621</v>
      </c>
      <c r="T514">
        <f t="shared" si="983"/>
        <v>-1.6608776041030622</v>
      </c>
    </row>
    <row r="515" spans="1:20" x14ac:dyDescent="0.25">
      <c r="A515" s="5">
        <v>44078</v>
      </c>
      <c r="B515">
        <v>2.1659999999999999E-2</v>
      </c>
      <c r="C515">
        <v>2.3599999999999999E-2</v>
      </c>
      <c r="D515">
        <v>1.9550000000000001E-2</v>
      </c>
      <c r="E515">
        <v>2.0670000000000001E-2</v>
      </c>
      <c r="F515">
        <v>95143435.299999997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-0.44691358024691358</v>
      </c>
      <c r="Q515">
        <f t="shared" si="980"/>
        <v>-42520893.306913577</v>
      </c>
      <c r="R515">
        <f t="shared" si="981"/>
        <v>-150014491.12690371</v>
      </c>
      <c r="S515">
        <f t="shared" si="982"/>
        <v>-1500.144911269037</v>
      </c>
      <c r="T515">
        <f t="shared" si="983"/>
        <v>-1.500144911269037</v>
      </c>
    </row>
    <row r="516" spans="1:20" x14ac:dyDescent="0.25">
      <c r="A516" s="5">
        <v>44077</v>
      </c>
      <c r="B516">
        <v>2.725E-2</v>
      </c>
      <c r="C516">
        <v>2.75E-2</v>
      </c>
      <c r="D516">
        <v>2.1499999999999998E-2</v>
      </c>
      <c r="E516">
        <v>2.1690000000000001E-2</v>
      </c>
      <c r="F516">
        <v>38341997.700000003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-0.93666666666666576</v>
      </c>
      <c r="Q516">
        <f t="shared" si="980"/>
        <v>-35913671.178999968</v>
      </c>
      <c r="R516">
        <f t="shared" si="981"/>
        <v>-107493597.81999013</v>
      </c>
      <c r="S516">
        <f t="shared" si="982"/>
        <v>-1074.9359781999012</v>
      </c>
      <c r="T516">
        <f t="shared" si="983"/>
        <v>-1.0749359781999013</v>
      </c>
    </row>
    <row r="517" spans="1:20" x14ac:dyDescent="0.25">
      <c r="A517" s="5">
        <v>44076</v>
      </c>
      <c r="B517">
        <v>2.9239999999999999E-2</v>
      </c>
      <c r="C517">
        <v>3.0300000000000001E-2</v>
      </c>
      <c r="D517">
        <v>2.5190000000000001E-2</v>
      </c>
      <c r="E517">
        <v>2.7380000000000002E-2</v>
      </c>
      <c r="F517">
        <v>34599294.899999999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-0.14285714285714246</v>
      </c>
      <c r="Q517">
        <f t="shared" si="980"/>
        <v>-4942756.4142857008</v>
      </c>
      <c r="R517">
        <f t="shared" si="981"/>
        <v>-71579926.640990168</v>
      </c>
      <c r="S517">
        <f t="shared" si="982"/>
        <v>-715.79926640990163</v>
      </c>
      <c r="T517">
        <f t="shared" si="983"/>
        <v>-0.71579926640990166</v>
      </c>
    </row>
    <row r="518" spans="1:20" x14ac:dyDescent="0.25">
      <c r="A518" s="5">
        <v>44075</v>
      </c>
      <c r="B518">
        <v>3.1660000000000001E-2</v>
      </c>
      <c r="C518">
        <v>3.1699999999999999E-2</v>
      </c>
      <c r="D518">
        <v>2.8459999999999999E-2</v>
      </c>
      <c r="E518">
        <v>2.9499999999999998E-2</v>
      </c>
      <c r="F518">
        <v>39486073.700000003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-0.35802469135802512</v>
      </c>
      <c r="Q518">
        <f t="shared" ref="Q518:Q581" si="985">F518*P518</f>
        <v>-14136989.349382734</v>
      </c>
      <c r="R518">
        <f t="shared" ref="R518:R581" si="986">R519+Q518</f>
        <v>-66637170.226704471</v>
      </c>
      <c r="S518">
        <f t="shared" ref="S518:S581" si="987">R518/100000</f>
        <v>-666.37170226704472</v>
      </c>
      <c r="T518">
        <f t="shared" ref="T518:T581" si="988">S518/1000</f>
        <v>-0.66637170226704467</v>
      </c>
    </row>
    <row r="519" spans="1:20" x14ac:dyDescent="0.25">
      <c r="A519" s="5">
        <v>44074</v>
      </c>
      <c r="B519">
        <v>3.3980000000000003E-2</v>
      </c>
      <c r="C519">
        <v>3.5200000000000002E-2</v>
      </c>
      <c r="D519">
        <v>3.0450000000000001E-2</v>
      </c>
      <c r="E519">
        <v>3.1699999999999999E-2</v>
      </c>
      <c r="F519">
        <v>101957859.2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-0.47368421052631687</v>
      </c>
      <c r="Q519">
        <f t="shared" si="985"/>
        <v>-48295828.042105377</v>
      </c>
      <c r="R519">
        <f t="shared" si="986"/>
        <v>-52500180.877321735</v>
      </c>
      <c r="S519">
        <f t="shared" si="987"/>
        <v>-525.00180877321736</v>
      </c>
      <c r="T519">
        <f t="shared" si="988"/>
        <v>-0.52500180877321734</v>
      </c>
    </row>
    <row r="520" spans="1:20" x14ac:dyDescent="0.25">
      <c r="A520" s="5">
        <v>44073</v>
      </c>
      <c r="B520">
        <v>3.0759999999999999E-2</v>
      </c>
      <c r="C520">
        <v>3.5999999999999997E-2</v>
      </c>
      <c r="D520">
        <v>3.058E-2</v>
      </c>
      <c r="E520">
        <v>3.415E-2</v>
      </c>
      <c r="F520">
        <v>52332222.399999999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0.31734317343173496</v>
      </c>
      <c r="Q520">
        <f t="shared" si="985"/>
        <v>16607273.529151324</v>
      </c>
      <c r="R520">
        <f t="shared" si="986"/>
        <v>-4204352.8352163583</v>
      </c>
      <c r="S520">
        <f t="shared" si="987"/>
        <v>-42.043528352163584</v>
      </c>
      <c r="T520">
        <f t="shared" si="988"/>
        <v>-4.2043528352163587E-2</v>
      </c>
    </row>
    <row r="521" spans="1:20" x14ac:dyDescent="0.25">
      <c r="A521" s="5">
        <v>44072</v>
      </c>
      <c r="B521">
        <v>3.0110000000000001E-2</v>
      </c>
      <c r="C521">
        <v>3.1119999999999998E-2</v>
      </c>
      <c r="D521">
        <v>3.0030000000000001E-2</v>
      </c>
      <c r="E521">
        <v>3.0759999999999999E-2</v>
      </c>
      <c r="F521">
        <v>10583212.9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0.33944954128440341</v>
      </c>
      <c r="Q521">
        <f t="shared" si="985"/>
        <v>3592466.7642201809</v>
      </c>
      <c r="R521">
        <f t="shared" si="986"/>
        <v>-20811626.364367682</v>
      </c>
      <c r="S521">
        <f t="shared" si="987"/>
        <v>-208.11626364367683</v>
      </c>
      <c r="T521">
        <f t="shared" si="988"/>
        <v>-0.20811626364367683</v>
      </c>
    </row>
    <row r="522" spans="1:20" x14ac:dyDescent="0.25">
      <c r="A522" s="5">
        <v>44071</v>
      </c>
      <c r="B522">
        <v>2.9350000000000001E-2</v>
      </c>
      <c r="C522">
        <v>3.04E-2</v>
      </c>
      <c r="D522">
        <v>2.8819999999999998E-2</v>
      </c>
      <c r="E522">
        <v>3.0200000000000001E-2</v>
      </c>
      <c r="F522">
        <v>10317497.199999999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0.74683544303797644</v>
      </c>
      <c r="Q522">
        <f t="shared" si="985"/>
        <v>7705472.5924050808</v>
      </c>
      <c r="R522">
        <f t="shared" si="986"/>
        <v>-24404093.128587864</v>
      </c>
      <c r="S522">
        <f t="shared" si="987"/>
        <v>-244.04093128587866</v>
      </c>
      <c r="T522">
        <f t="shared" si="988"/>
        <v>-0.24404093128587864</v>
      </c>
    </row>
    <row r="523" spans="1:20" x14ac:dyDescent="0.25">
      <c r="A523" s="5">
        <v>44070</v>
      </c>
      <c r="B523">
        <v>3.1269999999999999E-2</v>
      </c>
      <c r="C523">
        <v>3.1399999999999997E-2</v>
      </c>
      <c r="D523">
        <v>2.8719999999999999E-2</v>
      </c>
      <c r="E523">
        <v>2.937E-2</v>
      </c>
      <c r="F523">
        <v>18502749.100000001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-0.51492537313432707</v>
      </c>
      <c r="Q523">
        <f t="shared" si="985"/>
        <v>-9527534.9843283352</v>
      </c>
      <c r="R523">
        <f t="shared" si="986"/>
        <v>-32109565.720992945</v>
      </c>
      <c r="S523">
        <f t="shared" si="987"/>
        <v>-321.09565720992947</v>
      </c>
      <c r="T523">
        <f t="shared" si="988"/>
        <v>-0.3210956572099295</v>
      </c>
    </row>
    <row r="524" spans="1:20" x14ac:dyDescent="0.25">
      <c r="A524" s="5">
        <v>44069</v>
      </c>
      <c r="B524">
        <v>3.3009999999999998E-2</v>
      </c>
      <c r="C524">
        <v>3.3329999999999999E-2</v>
      </c>
      <c r="D524">
        <v>3.0099999999999998E-2</v>
      </c>
      <c r="E524">
        <v>3.1260000000000003E-2</v>
      </c>
      <c r="F524">
        <v>23190910.399999999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-0.28173374613002805</v>
      </c>
      <c r="Q524">
        <f t="shared" si="985"/>
        <v>-6533662.0631578267</v>
      </c>
      <c r="R524">
        <f t="shared" si="986"/>
        <v>-22582030.736664608</v>
      </c>
      <c r="S524">
        <f t="shared" si="987"/>
        <v>-225.82030736664609</v>
      </c>
      <c r="T524">
        <f t="shared" si="988"/>
        <v>-0.2258203073666461</v>
      </c>
    </row>
    <row r="525" spans="1:20" x14ac:dyDescent="0.25">
      <c r="A525" s="5">
        <v>44068</v>
      </c>
      <c r="B525">
        <v>3.6389999999999999E-2</v>
      </c>
      <c r="C525">
        <v>3.696E-2</v>
      </c>
      <c r="D525">
        <v>3.2340000000000001E-2</v>
      </c>
      <c r="E525">
        <v>3.32E-2</v>
      </c>
      <c r="F525">
        <v>23237431.899999999</v>
      </c>
      <c r="G525">
        <v>0</v>
      </c>
      <c r="L525" t="s">
        <v>7</v>
      </c>
      <c r="M525" t="s">
        <v>8</v>
      </c>
      <c r="N525" t="s">
        <v>8</v>
      </c>
      <c r="P525">
        <f t="shared" si="984"/>
        <v>-0.62770562770562777</v>
      </c>
      <c r="Q525">
        <f t="shared" si="985"/>
        <v>-14586266.777056277</v>
      </c>
      <c r="R525">
        <f t="shared" si="986"/>
        <v>-16048368.673506781</v>
      </c>
      <c r="S525">
        <f t="shared" si="987"/>
        <v>-160.48368673506781</v>
      </c>
      <c r="T525">
        <f t="shared" si="988"/>
        <v>-0.1604836867350678</v>
      </c>
    </row>
    <row r="526" spans="1:20" x14ac:dyDescent="0.25">
      <c r="A526" s="5">
        <v>44067</v>
      </c>
      <c r="B526">
        <v>3.6900000000000002E-2</v>
      </c>
      <c r="C526">
        <v>3.7830000000000003E-2</v>
      </c>
      <c r="D526">
        <v>3.5180000000000003E-2</v>
      </c>
      <c r="E526">
        <v>3.6389999999999999E-2</v>
      </c>
      <c r="F526">
        <v>16399137.5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-8.6792452830191699E-2</v>
      </c>
      <c r="Q526">
        <f t="shared" si="985"/>
        <v>-1423321.3679245778</v>
      </c>
      <c r="R526">
        <f t="shared" si="986"/>
        <v>-1462101.896450504</v>
      </c>
      <c r="S526">
        <f t="shared" si="987"/>
        <v>-14.621018964505039</v>
      </c>
      <c r="T526">
        <f t="shared" si="988"/>
        <v>-1.462101896450504E-2</v>
      </c>
    </row>
    <row r="527" spans="1:20" x14ac:dyDescent="0.25">
      <c r="A527" s="5">
        <v>44066</v>
      </c>
      <c r="B527">
        <v>3.4979999999999997E-2</v>
      </c>
      <c r="C527">
        <v>3.7289999999999997E-2</v>
      </c>
      <c r="D527">
        <v>3.4660000000000003E-2</v>
      </c>
      <c r="E527">
        <v>3.6900000000000002E-2</v>
      </c>
      <c r="F527">
        <v>21528560.600000001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0.70342205323194262</v>
      </c>
      <c r="Q527">
        <f t="shared" si="985"/>
        <v>15143664.300380304</v>
      </c>
      <c r="R527">
        <f t="shared" si="986"/>
        <v>-38780.528525926173</v>
      </c>
      <c r="S527">
        <f t="shared" si="987"/>
        <v>-0.38780528525926172</v>
      </c>
      <c r="T527">
        <f t="shared" si="988"/>
        <v>-3.8780528525926171E-4</v>
      </c>
    </row>
    <row r="528" spans="1:20" x14ac:dyDescent="0.25">
      <c r="A528" s="5">
        <v>44065</v>
      </c>
      <c r="B528">
        <v>3.44E-2</v>
      </c>
      <c r="C528">
        <v>3.5430000000000003E-2</v>
      </c>
      <c r="D528">
        <v>3.083E-2</v>
      </c>
      <c r="E528">
        <v>3.4799999999999998E-2</v>
      </c>
      <c r="F528">
        <v>39789049.399999999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0.72608695652173694</v>
      </c>
      <c r="Q528">
        <f t="shared" si="985"/>
        <v>28890309.781739041</v>
      </c>
      <c r="R528">
        <f t="shared" si="986"/>
        <v>-15182444.828906231</v>
      </c>
      <c r="S528">
        <f t="shared" si="987"/>
        <v>-151.8244482890623</v>
      </c>
      <c r="T528">
        <f t="shared" si="988"/>
        <v>-0.1518244482890623</v>
      </c>
    </row>
    <row r="529" spans="1:20" x14ac:dyDescent="0.25">
      <c r="A529" s="5">
        <v>44064</v>
      </c>
      <c r="B529">
        <v>3.5520000000000003E-2</v>
      </c>
      <c r="C529">
        <v>4.1450000000000001E-2</v>
      </c>
      <c r="D529">
        <v>3.3980000000000003E-2</v>
      </c>
      <c r="E529">
        <v>3.44E-2</v>
      </c>
      <c r="F529">
        <v>72769996.099999994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-0.88755020080321367</v>
      </c>
      <c r="Q529">
        <f t="shared" si="985"/>
        <v>-64587024.651004069</v>
      </c>
      <c r="R529">
        <f t="shared" si="986"/>
        <v>-44072754.610645272</v>
      </c>
      <c r="S529">
        <f t="shared" si="987"/>
        <v>-440.72754610645273</v>
      </c>
      <c r="T529">
        <f t="shared" si="988"/>
        <v>-0.44072754610645276</v>
      </c>
    </row>
    <row r="530" spans="1:20" x14ac:dyDescent="0.25">
      <c r="A530" s="5">
        <v>44063</v>
      </c>
      <c r="B530">
        <v>3.279E-2</v>
      </c>
      <c r="C530">
        <v>3.7470000000000003E-2</v>
      </c>
      <c r="D530">
        <v>3.1870000000000002E-2</v>
      </c>
      <c r="E530">
        <v>3.567E-2</v>
      </c>
      <c r="F530">
        <v>54974394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0.35714285714285615</v>
      </c>
      <c r="Q530">
        <f t="shared" si="985"/>
        <v>19633712.14285709</v>
      </c>
      <c r="R530">
        <f t="shared" si="986"/>
        <v>20514270.040358797</v>
      </c>
      <c r="S530">
        <f t="shared" si="987"/>
        <v>205.14270040358798</v>
      </c>
      <c r="T530">
        <f t="shared" si="988"/>
        <v>0.20514270040358798</v>
      </c>
    </row>
    <row r="531" spans="1:20" x14ac:dyDescent="0.25">
      <c r="A531" s="5">
        <v>44062</v>
      </c>
      <c r="B531">
        <v>3.0779999999999998E-2</v>
      </c>
      <c r="C531">
        <v>3.3590000000000002E-2</v>
      </c>
      <c r="D531">
        <v>2.8719999999999999E-2</v>
      </c>
      <c r="E531">
        <v>3.279E-2</v>
      </c>
      <c r="F531">
        <v>26079475.800000001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0.67145790554414719</v>
      </c>
      <c r="Q531">
        <f t="shared" si="985"/>
        <v>17511270.198357273</v>
      </c>
      <c r="R531">
        <f t="shared" si="986"/>
        <v>880557.89750170708</v>
      </c>
      <c r="S531">
        <f t="shared" si="987"/>
        <v>8.8055789750170703</v>
      </c>
      <c r="T531">
        <f t="shared" si="988"/>
        <v>8.8055789750170702E-3</v>
      </c>
    </row>
    <row r="532" spans="1:20" x14ac:dyDescent="0.25">
      <c r="A532" s="5">
        <v>44061</v>
      </c>
      <c r="B532">
        <v>2.9989999999999999E-2</v>
      </c>
      <c r="C532">
        <v>3.2989999999999998E-2</v>
      </c>
      <c r="D532">
        <v>2.9659999999999999E-2</v>
      </c>
      <c r="E532">
        <v>3.0769999999999999E-2</v>
      </c>
      <c r="F532">
        <v>33538998.5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-0.33333333333333331</v>
      </c>
      <c r="Q532">
        <f t="shared" si="985"/>
        <v>-11179666.166666666</v>
      </c>
      <c r="R532">
        <f t="shared" si="986"/>
        <v>-16630712.300855566</v>
      </c>
      <c r="S532">
        <f t="shared" si="987"/>
        <v>-166.30712300855566</v>
      </c>
      <c r="T532">
        <f t="shared" si="988"/>
        <v>-0.16630712300855566</v>
      </c>
    </row>
    <row r="533" spans="1:20" x14ac:dyDescent="0.25">
      <c r="A533" s="5">
        <v>44060</v>
      </c>
      <c r="B533">
        <v>2.9669999999999998E-2</v>
      </c>
      <c r="C533">
        <v>3.1539999999999999E-2</v>
      </c>
      <c r="D533">
        <v>2.862E-2</v>
      </c>
      <c r="E533">
        <v>2.9989999999999999E-2</v>
      </c>
      <c r="F533">
        <v>32193191.399999999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-6.1643835616438242E-2</v>
      </c>
      <c r="Q533">
        <f t="shared" si="985"/>
        <v>-1984511.7986301333</v>
      </c>
      <c r="R533">
        <f t="shared" si="986"/>
        <v>-5451046.1341889007</v>
      </c>
      <c r="S533">
        <f t="shared" si="987"/>
        <v>-54.510461341889005</v>
      </c>
      <c r="T533">
        <f t="shared" si="988"/>
        <v>-5.4510461341889006E-2</v>
      </c>
    </row>
    <row r="534" spans="1:20" x14ac:dyDescent="0.25">
      <c r="A534" s="5">
        <v>44059</v>
      </c>
      <c r="B534">
        <v>3.0280000000000001E-2</v>
      </c>
      <c r="C534">
        <v>3.3059999999999999E-2</v>
      </c>
      <c r="D534">
        <v>2.7E-2</v>
      </c>
      <c r="E534">
        <v>2.9669999999999998E-2</v>
      </c>
      <c r="F534">
        <v>54613947.200000003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-0.11881188118811914</v>
      </c>
      <c r="Q534">
        <f t="shared" si="985"/>
        <v>-6488785.8059406122</v>
      </c>
      <c r="R534">
        <f t="shared" si="986"/>
        <v>-3466534.3355587674</v>
      </c>
      <c r="S534">
        <f t="shared" si="987"/>
        <v>-34.665343355587673</v>
      </c>
      <c r="T534">
        <f t="shared" si="988"/>
        <v>-3.4665343355587672E-2</v>
      </c>
    </row>
    <row r="535" spans="1:20" x14ac:dyDescent="0.25">
      <c r="A535" s="5">
        <v>44058</v>
      </c>
      <c r="B535">
        <v>2.6009999999999998E-2</v>
      </c>
      <c r="C535">
        <v>3.601E-2</v>
      </c>
      <c r="D535">
        <v>2.5520000000000001E-2</v>
      </c>
      <c r="E535">
        <v>3.0269999999999998E-2</v>
      </c>
      <c r="F535">
        <v>97959284.599999994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-9.4375595805529539E-2</v>
      </c>
      <c r="Q535">
        <f t="shared" si="985"/>
        <v>-9244965.8488084339</v>
      </c>
      <c r="R535">
        <f t="shared" si="986"/>
        <v>3022251.4703818448</v>
      </c>
      <c r="S535">
        <f t="shared" si="987"/>
        <v>30.222514703818447</v>
      </c>
      <c r="T535">
        <f t="shared" si="988"/>
        <v>3.0222514703818447E-2</v>
      </c>
    </row>
    <row r="536" spans="1:20" x14ac:dyDescent="0.25">
      <c r="A536" s="5">
        <v>44057</v>
      </c>
      <c r="B536">
        <v>2.426E-2</v>
      </c>
      <c r="C536">
        <v>2.6790000000000001E-2</v>
      </c>
      <c r="D536">
        <v>2.3810000000000001E-2</v>
      </c>
      <c r="E536">
        <v>2.597E-2</v>
      </c>
      <c r="F536">
        <v>35235438.100000001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0.44966442953020047</v>
      </c>
      <c r="Q536">
        <f t="shared" si="985"/>
        <v>15844123.172483191</v>
      </c>
      <c r="R536">
        <f t="shared" si="986"/>
        <v>12267217.319190279</v>
      </c>
      <c r="S536">
        <f t="shared" si="987"/>
        <v>122.67217319190279</v>
      </c>
      <c r="T536">
        <f t="shared" si="988"/>
        <v>0.12267217319190278</v>
      </c>
    </row>
    <row r="537" spans="1:20" x14ac:dyDescent="0.25">
      <c r="A537" s="5">
        <v>44056</v>
      </c>
      <c r="B537">
        <v>2.4199999999999999E-2</v>
      </c>
      <c r="C537">
        <v>2.538E-2</v>
      </c>
      <c r="D537">
        <v>2.3E-2</v>
      </c>
      <c r="E537">
        <v>2.426E-2</v>
      </c>
      <c r="F537">
        <v>31741345.300000001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5.8823529411765219E-2</v>
      </c>
      <c r="Q537">
        <f t="shared" si="985"/>
        <v>1867137.9588235458</v>
      </c>
      <c r="R537">
        <f t="shared" si="986"/>
        <v>-3576905.8532929132</v>
      </c>
      <c r="S537">
        <f t="shared" si="987"/>
        <v>-35.76905853292913</v>
      </c>
      <c r="T537">
        <f t="shared" si="988"/>
        <v>-3.5769058532929131E-2</v>
      </c>
    </row>
    <row r="538" spans="1:20" x14ac:dyDescent="0.25">
      <c r="A538" s="5">
        <v>44055</v>
      </c>
      <c r="B538">
        <v>2.3820000000000001E-2</v>
      </c>
      <c r="C538">
        <v>2.4559999999999998E-2</v>
      </c>
      <c r="D538">
        <v>2.214E-2</v>
      </c>
      <c r="E538">
        <v>2.4209999999999999E-2</v>
      </c>
      <c r="F538">
        <v>26537303.899999999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0.71074380165289275</v>
      </c>
      <c r="Q538">
        <f t="shared" si="985"/>
        <v>18861224.259504136</v>
      </c>
      <c r="R538">
        <f t="shared" si="986"/>
        <v>-5444043.812116459</v>
      </c>
      <c r="S538">
        <f t="shared" si="987"/>
        <v>-54.44043812116459</v>
      </c>
      <c r="T538">
        <f t="shared" si="988"/>
        <v>-5.4440438121164593E-2</v>
      </c>
    </row>
    <row r="539" spans="1:20" x14ac:dyDescent="0.25">
      <c r="A539" s="5">
        <v>44054</v>
      </c>
      <c r="B539">
        <v>2.2169999999999999E-2</v>
      </c>
      <c r="C539">
        <v>2.4649999999999998E-2</v>
      </c>
      <c r="D539">
        <v>2.154E-2</v>
      </c>
      <c r="E539">
        <v>2.3699999999999999E-2</v>
      </c>
      <c r="F539">
        <v>47891929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0.38906752411575563</v>
      </c>
      <c r="Q539">
        <f t="shared" si="985"/>
        <v>18633194.241157558</v>
      </c>
      <c r="R539">
        <f t="shared" si="986"/>
        <v>-24305268.071620595</v>
      </c>
      <c r="S539">
        <f t="shared" si="987"/>
        <v>-243.05268071620594</v>
      </c>
      <c r="T539">
        <f t="shared" si="988"/>
        <v>-0.24305268071620595</v>
      </c>
    </row>
    <row r="540" spans="1:20" x14ac:dyDescent="0.25">
      <c r="A540" s="5">
        <v>44053</v>
      </c>
      <c r="B540">
        <v>1.9380000000000001E-2</v>
      </c>
      <c r="C540">
        <v>2.2800000000000001E-2</v>
      </c>
      <c r="D540">
        <v>1.857E-2</v>
      </c>
      <c r="E540">
        <v>2.2100000000000002E-2</v>
      </c>
      <c r="F540">
        <v>50738059.200000003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0.66903073286052051</v>
      </c>
      <c r="Q540">
        <f t="shared" si="985"/>
        <v>33945320.930496477</v>
      </c>
      <c r="R540">
        <f t="shared" si="986"/>
        <v>-42938462.312778153</v>
      </c>
      <c r="S540">
        <f t="shared" si="987"/>
        <v>-429.38462312778154</v>
      </c>
      <c r="T540">
        <f t="shared" si="988"/>
        <v>-0.42938462312778153</v>
      </c>
    </row>
    <row r="541" spans="1:20" x14ac:dyDescent="0.25">
      <c r="A541" s="5">
        <v>44052</v>
      </c>
      <c r="B541">
        <v>1.959E-2</v>
      </c>
      <c r="C541">
        <v>2.0500000000000001E-2</v>
      </c>
      <c r="D541">
        <v>1.8769999999999998E-2</v>
      </c>
      <c r="E541">
        <v>1.9380000000000001E-2</v>
      </c>
      <c r="F541">
        <v>27142102.300000001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-0.29479768786126931</v>
      </c>
      <c r="Q541">
        <f t="shared" si="985"/>
        <v>-8001429.0017340397</v>
      </c>
      <c r="R541">
        <f t="shared" si="986"/>
        <v>-76883783.243274629</v>
      </c>
      <c r="S541">
        <f t="shared" si="987"/>
        <v>-768.83783243274627</v>
      </c>
      <c r="T541">
        <f t="shared" si="988"/>
        <v>-0.76883783243274628</v>
      </c>
    </row>
    <row r="542" spans="1:20" x14ac:dyDescent="0.25">
      <c r="A542" s="5">
        <v>44051</v>
      </c>
      <c r="B542">
        <v>1.924E-2</v>
      </c>
      <c r="C542">
        <v>2.0219999999999998E-2</v>
      </c>
      <c r="D542">
        <v>1.8839999999999999E-2</v>
      </c>
      <c r="E542">
        <v>1.9529999999999999E-2</v>
      </c>
      <c r="F542">
        <v>24952915.199999999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</v>
      </c>
      <c r="Q542">
        <f t="shared" si="985"/>
        <v>0</v>
      </c>
      <c r="R542">
        <f t="shared" si="986"/>
        <v>-68882354.241540596</v>
      </c>
      <c r="S542">
        <f t="shared" si="987"/>
        <v>-688.823542415406</v>
      </c>
      <c r="T542">
        <f t="shared" si="988"/>
        <v>-0.688823542415406</v>
      </c>
    </row>
    <row r="543" spans="1:20" x14ac:dyDescent="0.25">
      <c r="A543" s="5">
        <v>44050</v>
      </c>
      <c r="B543">
        <v>1.89E-2</v>
      </c>
      <c r="C543">
        <v>2.009E-2</v>
      </c>
      <c r="D543">
        <v>1.847E-2</v>
      </c>
      <c r="E543">
        <v>1.924E-2</v>
      </c>
      <c r="F543">
        <v>34988325.899999999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-4.9382716049382845E-2</v>
      </c>
      <c r="Q543">
        <f t="shared" si="985"/>
        <v>-1727818.5629629674</v>
      </c>
      <c r="R543">
        <f t="shared" si="986"/>
        <v>-68882354.241540596</v>
      </c>
      <c r="S543">
        <f t="shared" si="987"/>
        <v>-688.823542415406</v>
      </c>
      <c r="T543">
        <f t="shared" si="988"/>
        <v>-0.688823542415406</v>
      </c>
    </row>
    <row r="544" spans="1:20" x14ac:dyDescent="0.25">
      <c r="A544" s="5">
        <v>44049</v>
      </c>
      <c r="B544">
        <v>1.823E-2</v>
      </c>
      <c r="C544">
        <v>1.9189999999999999E-2</v>
      </c>
      <c r="D544">
        <v>1.7850000000000001E-2</v>
      </c>
      <c r="E544">
        <v>1.89E-2</v>
      </c>
      <c r="F544">
        <v>39401368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0.56716417910447892</v>
      </c>
      <c r="Q544">
        <f t="shared" si="985"/>
        <v>22347044.537313484</v>
      </c>
      <c r="R544">
        <f t="shared" si="986"/>
        <v>-67154535.678577632</v>
      </c>
      <c r="S544">
        <f t="shared" si="987"/>
        <v>-671.54535678577633</v>
      </c>
      <c r="T544">
        <f t="shared" si="988"/>
        <v>-0.67154535678577632</v>
      </c>
    </row>
    <row r="545" spans="1:20" x14ac:dyDescent="0.25">
      <c r="A545" s="5">
        <v>44048</v>
      </c>
      <c r="B545">
        <v>1.6799999999999999E-2</v>
      </c>
      <c r="C545">
        <v>1.83E-2</v>
      </c>
      <c r="D545">
        <v>1.651E-2</v>
      </c>
      <c r="E545">
        <v>1.8169999999999999E-2</v>
      </c>
      <c r="F545">
        <v>42253773.100000001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0.85474860335195346</v>
      </c>
      <c r="Q545">
        <f t="shared" si="985"/>
        <v>36116353.543575339</v>
      </c>
      <c r="R545">
        <f t="shared" si="986"/>
        <v>-89501580.215891123</v>
      </c>
      <c r="S545">
        <f t="shared" si="987"/>
        <v>-895.01580215891124</v>
      </c>
      <c r="T545">
        <f t="shared" si="988"/>
        <v>-0.89501580215891119</v>
      </c>
    </row>
    <row r="546" spans="1:20" x14ac:dyDescent="0.25">
      <c r="A546" s="5">
        <v>44047</v>
      </c>
      <c r="B546">
        <v>1.6480000000000002E-2</v>
      </c>
      <c r="C546">
        <v>1.7500000000000002E-2</v>
      </c>
      <c r="D546">
        <v>1.5970000000000002E-2</v>
      </c>
      <c r="E546">
        <v>1.6799999999999999E-2</v>
      </c>
      <c r="F546">
        <v>35317280.299999997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8.4967320261434442E-2</v>
      </c>
      <c r="Q546">
        <f t="shared" si="985"/>
        <v>3000814.6660129493</v>
      </c>
      <c r="R546">
        <f t="shared" si="986"/>
        <v>-125617933.75946645</v>
      </c>
      <c r="S546">
        <f t="shared" si="987"/>
        <v>-1256.1793375946645</v>
      </c>
      <c r="T546">
        <f t="shared" si="988"/>
        <v>-1.2561793375946646</v>
      </c>
    </row>
    <row r="547" spans="1:20" x14ac:dyDescent="0.25">
      <c r="A547" s="5">
        <v>44046</v>
      </c>
      <c r="B547">
        <v>1.6459999999999999E-2</v>
      </c>
      <c r="C547">
        <v>1.6959999999999999E-2</v>
      </c>
      <c r="D547">
        <v>1.6140000000000002E-2</v>
      </c>
      <c r="E547">
        <v>1.6480000000000002E-2</v>
      </c>
      <c r="F547">
        <v>30275476.800000001</v>
      </c>
      <c r="G547">
        <v>0</v>
      </c>
      <c r="L547" t="s">
        <v>7</v>
      </c>
      <c r="M547" t="s">
        <v>7</v>
      </c>
      <c r="N547" t="s">
        <v>8</v>
      </c>
      <c r="P547">
        <f t="shared" si="984"/>
        <v>-0.17073170731707091</v>
      </c>
      <c r="Q547">
        <f t="shared" si="985"/>
        <v>-5168983.8439023709</v>
      </c>
      <c r="R547">
        <f t="shared" si="986"/>
        <v>-128618748.4254794</v>
      </c>
      <c r="S547">
        <f t="shared" si="987"/>
        <v>-1286.1874842547941</v>
      </c>
      <c r="T547">
        <f t="shared" si="988"/>
        <v>-1.286187484254794</v>
      </c>
    </row>
    <row r="548" spans="1:20" x14ac:dyDescent="0.25">
      <c r="A548" s="5">
        <v>44045</v>
      </c>
      <c r="B548">
        <v>1.721E-2</v>
      </c>
      <c r="C548">
        <v>1.7399999999999999E-2</v>
      </c>
      <c r="D548">
        <v>1.6E-2</v>
      </c>
      <c r="E548">
        <v>1.6459999999999999E-2</v>
      </c>
      <c r="F548">
        <v>30079843.800000001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-0.34285714285714414</v>
      </c>
      <c r="Q548">
        <f t="shared" si="985"/>
        <v>-10313089.302857181</v>
      </c>
      <c r="R548">
        <f t="shared" si="986"/>
        <v>-123449764.58157703</v>
      </c>
      <c r="S548">
        <f t="shared" si="987"/>
        <v>-1234.4976458157703</v>
      </c>
      <c r="T548">
        <f t="shared" si="988"/>
        <v>-1.2344976458157704</v>
      </c>
    </row>
    <row r="549" spans="1:20" x14ac:dyDescent="0.25">
      <c r="A549" s="5">
        <v>44044</v>
      </c>
      <c r="B549">
        <v>1.6760000000000001E-2</v>
      </c>
      <c r="C549">
        <v>1.7500000000000002E-2</v>
      </c>
      <c r="D549">
        <v>1.6379999999999999E-2</v>
      </c>
      <c r="E549">
        <v>1.72E-2</v>
      </c>
      <c r="F549">
        <v>34322677.399999999</v>
      </c>
      <c r="G549">
        <v>0</v>
      </c>
      <c r="L549" t="s">
        <v>8</v>
      </c>
      <c r="M549" t="s">
        <v>7</v>
      </c>
      <c r="N549" t="s">
        <v>8</v>
      </c>
      <c r="P549">
        <f t="shared" si="984"/>
        <v>0.46428571428571275</v>
      </c>
      <c r="Q549">
        <f t="shared" si="985"/>
        <v>15935528.79285709</v>
      </c>
      <c r="R549">
        <f t="shared" si="986"/>
        <v>-113136675.27871986</v>
      </c>
      <c r="S549">
        <f t="shared" si="987"/>
        <v>-1131.3667527871985</v>
      </c>
      <c r="T549">
        <f t="shared" si="988"/>
        <v>-1.1313667527871984</v>
      </c>
    </row>
    <row r="550" spans="1:20" x14ac:dyDescent="0.25">
      <c r="A550" s="5">
        <v>44043</v>
      </c>
      <c r="B550">
        <v>1.6379999999999999E-2</v>
      </c>
      <c r="C550">
        <v>1.7239999999999998E-2</v>
      </c>
      <c r="D550">
        <v>1.6160000000000001E-2</v>
      </c>
      <c r="E550">
        <v>1.6709999999999999E-2</v>
      </c>
      <c r="F550">
        <v>32251191.699999999</v>
      </c>
      <c r="G550">
        <v>0</v>
      </c>
      <c r="L550" t="s">
        <v>8</v>
      </c>
      <c r="M550" t="s">
        <v>7</v>
      </c>
      <c r="N550" t="s">
        <v>8</v>
      </c>
      <c r="P550">
        <f t="shared" si="984"/>
        <v>1.8518518518517806E-2</v>
      </c>
      <c r="Q550">
        <f t="shared" si="985"/>
        <v>597244.29074071778</v>
      </c>
      <c r="R550">
        <f t="shared" si="986"/>
        <v>-129072204.07157695</v>
      </c>
      <c r="S550">
        <f t="shared" si="987"/>
        <v>-1290.7220407157695</v>
      </c>
      <c r="T550">
        <f t="shared" si="988"/>
        <v>-1.2907220407157696</v>
      </c>
    </row>
    <row r="551" spans="1:20" x14ac:dyDescent="0.25">
      <c r="A551" s="5">
        <v>44042</v>
      </c>
      <c r="B551">
        <v>1.6459999999999999E-2</v>
      </c>
      <c r="C551">
        <v>1.694E-2</v>
      </c>
      <c r="D551">
        <v>1.5810000000000001E-2</v>
      </c>
      <c r="E551">
        <v>1.6389999999999998E-2</v>
      </c>
      <c r="F551">
        <v>37669957.100000001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2.6548672566367552E-2</v>
      </c>
      <c r="Q551">
        <f t="shared" si="985"/>
        <v>1000087.3566370127</v>
      </c>
      <c r="R551">
        <f t="shared" si="986"/>
        <v>-129669448.36231767</v>
      </c>
      <c r="S551">
        <f t="shared" si="987"/>
        <v>-1296.6944836231767</v>
      </c>
      <c r="T551">
        <f t="shared" si="988"/>
        <v>-1.2966944836231766</v>
      </c>
    </row>
    <row r="552" spans="1:20" x14ac:dyDescent="0.25">
      <c r="A552" s="5">
        <v>44041</v>
      </c>
      <c r="B552">
        <v>1.6420000000000001E-2</v>
      </c>
      <c r="C552">
        <v>1.7670000000000002E-2</v>
      </c>
      <c r="D552">
        <v>1.6029999999999999E-2</v>
      </c>
      <c r="E552">
        <v>1.6469999999999999E-2</v>
      </c>
      <c r="F552">
        <v>70483843.5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-0.46341463414634299</v>
      </c>
      <c r="Q552">
        <f t="shared" si="985"/>
        <v>-32663244.548780594</v>
      </c>
      <c r="R552">
        <f t="shared" si="986"/>
        <v>-130669535.71895468</v>
      </c>
      <c r="S552">
        <f t="shared" si="987"/>
        <v>-1306.6953571895467</v>
      </c>
      <c r="T552">
        <f t="shared" si="988"/>
        <v>-1.3066953571895468</v>
      </c>
    </row>
    <row r="553" spans="1:20" x14ac:dyDescent="0.25">
      <c r="A553" s="5">
        <v>44040</v>
      </c>
      <c r="B553">
        <v>1.5890000000000001E-2</v>
      </c>
      <c r="C553">
        <v>1.661E-2</v>
      </c>
      <c r="D553">
        <v>1.5599999999999999E-2</v>
      </c>
      <c r="E553">
        <v>1.6389999999999998E-2</v>
      </c>
      <c r="F553">
        <v>38710297.399999999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0.56435643564356175</v>
      </c>
      <c r="Q553">
        <f t="shared" si="985"/>
        <v>21846405.463366237</v>
      </c>
      <c r="R553">
        <f t="shared" si="986"/>
        <v>-98006291.170174092</v>
      </c>
      <c r="S553">
        <f t="shared" si="987"/>
        <v>-980.06291170174097</v>
      </c>
      <c r="T553">
        <f t="shared" si="988"/>
        <v>-0.98006291170174098</v>
      </c>
    </row>
    <row r="554" spans="1:20" x14ac:dyDescent="0.25">
      <c r="A554" s="5">
        <v>44039</v>
      </c>
      <c r="B554">
        <v>1.8149999999999999E-2</v>
      </c>
      <c r="C554">
        <v>1.8200000000000001E-2</v>
      </c>
      <c r="D554">
        <v>1.5429999999999999E-2</v>
      </c>
      <c r="E554">
        <v>1.593E-2</v>
      </c>
      <c r="F554">
        <v>80542163.900000006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-0.63898916967509012</v>
      </c>
      <c r="Q554">
        <f t="shared" si="985"/>
        <v>-51465570.434296019</v>
      </c>
      <c r="R554">
        <f t="shared" si="986"/>
        <v>-119852696.63354033</v>
      </c>
      <c r="S554">
        <f t="shared" si="987"/>
        <v>-1198.5269663354034</v>
      </c>
      <c r="T554">
        <f t="shared" si="988"/>
        <v>-1.1985269663354035</v>
      </c>
    </row>
    <row r="555" spans="1:20" x14ac:dyDescent="0.25">
      <c r="A555" s="5">
        <v>44038</v>
      </c>
      <c r="B555">
        <v>2.087E-2</v>
      </c>
      <c r="C555">
        <v>2.1170000000000001E-2</v>
      </c>
      <c r="D555">
        <v>1.678E-2</v>
      </c>
      <c r="E555">
        <v>1.8159999999999999E-2</v>
      </c>
      <c r="F555">
        <v>70090376.299999997</v>
      </c>
      <c r="G555">
        <v>0</v>
      </c>
      <c r="L555" t="s">
        <v>8</v>
      </c>
      <c r="M555" t="s">
        <v>7</v>
      </c>
      <c r="N555" t="s">
        <v>8</v>
      </c>
      <c r="P555">
        <f t="shared" si="984"/>
        <v>-0.37129840546697096</v>
      </c>
      <c r="Q555">
        <f t="shared" si="985"/>
        <v>-26024444.95876997</v>
      </c>
      <c r="R555">
        <f t="shared" si="986"/>
        <v>-68387126.19924432</v>
      </c>
      <c r="S555">
        <f t="shared" si="987"/>
        <v>-683.87126199244324</v>
      </c>
      <c r="T555">
        <f t="shared" si="988"/>
        <v>-0.68387126199244319</v>
      </c>
    </row>
    <row r="556" spans="1:20" x14ac:dyDescent="0.25">
      <c r="A556" s="5">
        <v>44037</v>
      </c>
      <c r="B556">
        <v>1.8790000000000001E-2</v>
      </c>
      <c r="C556">
        <v>2.0879999999999999E-2</v>
      </c>
      <c r="D556">
        <v>1.8409999999999999E-2</v>
      </c>
      <c r="E556">
        <v>2.087E-2</v>
      </c>
      <c r="F556">
        <v>53516606.100000001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0.99190283400809753</v>
      </c>
      <c r="Q556">
        <f t="shared" si="985"/>
        <v>53083273.25708504</v>
      </c>
      <c r="R556">
        <f t="shared" si="986"/>
        <v>-42362681.240474358</v>
      </c>
      <c r="S556">
        <f t="shared" si="987"/>
        <v>-423.62681240474359</v>
      </c>
      <c r="T556">
        <f t="shared" si="988"/>
        <v>-0.42362681240474359</v>
      </c>
    </row>
    <row r="557" spans="1:20" x14ac:dyDescent="0.25">
      <c r="A557" s="5">
        <v>44036</v>
      </c>
      <c r="B557">
        <v>1.9990000000000001E-2</v>
      </c>
      <c r="C557">
        <v>2.0410000000000001E-2</v>
      </c>
      <c r="D557">
        <v>1.814E-2</v>
      </c>
      <c r="E557">
        <v>1.8790000000000001E-2</v>
      </c>
      <c r="F557">
        <v>42522701.600000001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-0.42731277533039563</v>
      </c>
      <c r="Q557">
        <f t="shared" si="985"/>
        <v>-18170493.635242257</v>
      </c>
      <c r="R557">
        <f t="shared" si="986"/>
        <v>-95445954.497559398</v>
      </c>
      <c r="S557">
        <f t="shared" si="987"/>
        <v>-954.45954497559399</v>
      </c>
      <c r="T557">
        <f t="shared" si="988"/>
        <v>-0.95445954497559393</v>
      </c>
    </row>
    <row r="558" spans="1:20" x14ac:dyDescent="0.25">
      <c r="A558" s="5">
        <v>44035</v>
      </c>
      <c r="B558">
        <v>1.7840000000000002E-2</v>
      </c>
      <c r="C558">
        <v>2.085E-2</v>
      </c>
      <c r="D558">
        <v>1.7760000000000001E-2</v>
      </c>
      <c r="E558">
        <v>2.0029999999999999E-2</v>
      </c>
      <c r="F558">
        <v>102994006.90000001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0.46925566343041969</v>
      </c>
      <c r="Q558">
        <f t="shared" si="985"/>
        <v>48330521.037216723</v>
      </c>
      <c r="R558">
        <f t="shared" si="986"/>
        <v>-77275460.862317145</v>
      </c>
      <c r="S558">
        <f t="shared" si="987"/>
        <v>-772.75460862317141</v>
      </c>
      <c r="T558">
        <f t="shared" si="988"/>
        <v>-0.77275460862317136</v>
      </c>
    </row>
    <row r="559" spans="1:20" x14ac:dyDescent="0.25">
      <c r="A559" s="5">
        <v>44034</v>
      </c>
      <c r="B559">
        <v>1.6480000000000002E-2</v>
      </c>
      <c r="C559">
        <v>1.8499999999999999E-2</v>
      </c>
      <c r="D559">
        <v>1.6400000000000001E-2</v>
      </c>
      <c r="E559">
        <v>1.7819999999999999E-2</v>
      </c>
      <c r="F559">
        <v>45799558.600000001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0.35238095238095163</v>
      </c>
      <c r="Q559">
        <f t="shared" si="985"/>
        <v>16138892.078095203</v>
      </c>
      <c r="R559">
        <f t="shared" si="986"/>
        <v>-125605981.89953387</v>
      </c>
      <c r="S559">
        <f t="shared" si="987"/>
        <v>-1256.0598189953387</v>
      </c>
      <c r="T559">
        <f t="shared" si="988"/>
        <v>-1.2560598189953387</v>
      </c>
    </row>
    <row r="560" spans="1:20" x14ac:dyDescent="0.25">
      <c r="A560" s="5">
        <v>44033</v>
      </c>
      <c r="B560">
        <v>1.6920000000000001E-2</v>
      </c>
      <c r="C560">
        <v>1.7000000000000001E-2</v>
      </c>
      <c r="D560">
        <v>1.5800000000000002E-2</v>
      </c>
      <c r="E560">
        <v>1.644E-2</v>
      </c>
      <c r="F560">
        <v>26729252.300000001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6.6666666666663973E-2</v>
      </c>
      <c r="Q560">
        <f t="shared" si="985"/>
        <v>1781950.1533332614</v>
      </c>
      <c r="R560">
        <f t="shared" si="986"/>
        <v>-141744873.97762907</v>
      </c>
      <c r="S560">
        <f t="shared" si="987"/>
        <v>-1417.4487397762907</v>
      </c>
      <c r="T560">
        <f t="shared" si="988"/>
        <v>-1.4174487397762907</v>
      </c>
    </row>
    <row r="561" spans="1:104" x14ac:dyDescent="0.25">
      <c r="A561" s="5">
        <v>44032</v>
      </c>
      <c r="B561">
        <v>1.6459999999999999E-2</v>
      </c>
      <c r="C561">
        <v>1.7239999999999998E-2</v>
      </c>
      <c r="D561">
        <v>1.6320000000000001E-2</v>
      </c>
      <c r="E561">
        <v>1.6969999999999999E-2</v>
      </c>
      <c r="F561">
        <v>28523581.800000001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0.41304347826086907</v>
      </c>
      <c r="Q561">
        <f t="shared" si="985"/>
        <v>11781479.439130422</v>
      </c>
      <c r="R561">
        <f t="shared" si="986"/>
        <v>-143526824.13096231</v>
      </c>
      <c r="S561">
        <f t="shared" si="987"/>
        <v>-1435.2682413096231</v>
      </c>
      <c r="T561">
        <f t="shared" si="988"/>
        <v>-1.4352682413096232</v>
      </c>
      <c r="CZ561" t="s">
        <v>7</v>
      </c>
    </row>
    <row r="562" spans="1:104" x14ac:dyDescent="0.25">
      <c r="A562" s="5">
        <v>44031</v>
      </c>
      <c r="B562">
        <v>1.61E-2</v>
      </c>
      <c r="C562">
        <v>1.6590000000000001E-2</v>
      </c>
      <c r="D562">
        <v>1.5480000000000001E-2</v>
      </c>
      <c r="E562">
        <v>1.6459999999999999E-2</v>
      </c>
      <c r="F562">
        <v>19443915.800000001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0.76576576576576283</v>
      </c>
      <c r="Q562">
        <f t="shared" si="985"/>
        <v>14889485.072072016</v>
      </c>
      <c r="R562">
        <f t="shared" si="986"/>
        <v>-155308303.57009274</v>
      </c>
      <c r="S562">
        <f t="shared" si="987"/>
        <v>-1553.0830357009274</v>
      </c>
      <c r="T562">
        <f t="shared" si="988"/>
        <v>-1.5530830357009275</v>
      </c>
      <c r="CZ562" t="s">
        <v>7</v>
      </c>
    </row>
    <row r="563" spans="1:104" x14ac:dyDescent="0.25">
      <c r="A563" s="5">
        <v>44030</v>
      </c>
      <c r="B563">
        <v>1.545E-2</v>
      </c>
      <c r="C563">
        <v>1.636E-2</v>
      </c>
      <c r="D563">
        <v>1.5270000000000001E-2</v>
      </c>
      <c r="E563">
        <v>1.61E-2</v>
      </c>
      <c r="F563">
        <v>21580907.399999999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0.52293577981651362</v>
      </c>
      <c r="Q563">
        <f t="shared" si="985"/>
        <v>11285428.64036697</v>
      </c>
      <c r="R563">
        <f t="shared" si="986"/>
        <v>-170197788.64216477</v>
      </c>
      <c r="S563">
        <f t="shared" si="987"/>
        <v>-1701.9778864216478</v>
      </c>
      <c r="T563">
        <f t="shared" si="988"/>
        <v>-1.7019778864216477</v>
      </c>
      <c r="CZ563" t="s">
        <v>7</v>
      </c>
    </row>
    <row r="564" spans="1:104" x14ac:dyDescent="0.25">
      <c r="A564" s="5">
        <v>44029</v>
      </c>
      <c r="B564">
        <v>1.5869999999999999E-2</v>
      </c>
      <c r="C564">
        <v>1.5939999999999999E-2</v>
      </c>
      <c r="D564">
        <v>1.506E-2</v>
      </c>
      <c r="E564">
        <v>1.54E-2</v>
      </c>
      <c r="F564">
        <v>22253955.199999999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-0.22727272727272621</v>
      </c>
      <c r="Q564">
        <f t="shared" si="985"/>
        <v>-5057717.0909090675</v>
      </c>
      <c r="R564">
        <f t="shared" si="986"/>
        <v>-181483217.28253174</v>
      </c>
      <c r="S564">
        <f t="shared" si="987"/>
        <v>-1814.8321728253175</v>
      </c>
      <c r="T564">
        <f t="shared" si="988"/>
        <v>-1.8148321728253174</v>
      </c>
    </row>
    <row r="565" spans="1:104" x14ac:dyDescent="0.25">
      <c r="A565" s="5">
        <v>44028</v>
      </c>
      <c r="B565">
        <v>1.694E-2</v>
      </c>
      <c r="C565">
        <v>1.7010000000000001E-2</v>
      </c>
      <c r="D565">
        <v>1.512E-2</v>
      </c>
      <c r="E565">
        <v>1.5980000000000001E-2</v>
      </c>
      <c r="F565">
        <v>33235646.800000001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-8.9947089947088985E-2</v>
      </c>
      <c r="Q565">
        <f t="shared" si="985"/>
        <v>-2989449.7121692803</v>
      </c>
      <c r="R565">
        <f t="shared" si="986"/>
        <v>-176425500.19162267</v>
      </c>
      <c r="S565">
        <f t="shared" si="987"/>
        <v>-1764.2550019162268</v>
      </c>
      <c r="T565">
        <f t="shared" si="988"/>
        <v>-1.7642550019162269</v>
      </c>
    </row>
    <row r="566" spans="1:104" x14ac:dyDescent="0.25">
      <c r="A566" s="5">
        <v>44027</v>
      </c>
      <c r="B566">
        <v>1.6899999999999998E-2</v>
      </c>
      <c r="C566">
        <v>1.7399999999999999E-2</v>
      </c>
      <c r="D566">
        <v>1.6400000000000001E-2</v>
      </c>
      <c r="E566">
        <v>1.6889999999999999E-2</v>
      </c>
      <c r="F566">
        <v>49290567.700000003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-2.0000000000002707E-2</v>
      </c>
      <c r="Q566">
        <f t="shared" si="985"/>
        <v>-985811.35400013346</v>
      </c>
      <c r="R566">
        <f t="shared" si="986"/>
        <v>-173436050.47945338</v>
      </c>
      <c r="S566">
        <f t="shared" si="987"/>
        <v>-1734.3605047945339</v>
      </c>
      <c r="T566">
        <f t="shared" si="988"/>
        <v>-1.7343605047945339</v>
      </c>
    </row>
    <row r="567" spans="1:104" x14ac:dyDescent="0.25">
      <c r="A567" s="5">
        <v>44026</v>
      </c>
      <c r="B567">
        <v>1.6990000000000002E-2</v>
      </c>
      <c r="C567">
        <v>1.788E-2</v>
      </c>
      <c r="D567">
        <v>1.6289999999999999E-2</v>
      </c>
      <c r="E567">
        <v>1.6899999999999998E-2</v>
      </c>
      <c r="F567">
        <v>35350195.399999999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-0.23270440251572452</v>
      </c>
      <c r="Q567">
        <f t="shared" si="985"/>
        <v>-8226146.0993711129</v>
      </c>
      <c r="R567">
        <f t="shared" si="986"/>
        <v>-172450239.12545326</v>
      </c>
      <c r="S567">
        <f t="shared" si="987"/>
        <v>-1724.5023912545325</v>
      </c>
      <c r="T567">
        <f t="shared" si="988"/>
        <v>-1.7245023912545325</v>
      </c>
    </row>
    <row r="568" spans="1:104" x14ac:dyDescent="0.25">
      <c r="A568" s="5">
        <v>44025</v>
      </c>
      <c r="B568">
        <v>1.6750000000000001E-2</v>
      </c>
      <c r="C568">
        <v>1.83E-2</v>
      </c>
      <c r="D568">
        <v>1.6400000000000001E-2</v>
      </c>
      <c r="E568">
        <v>1.704E-2</v>
      </c>
      <c r="F568">
        <v>43965139.899999999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-0.32631578947368572</v>
      </c>
      <c r="Q568">
        <f t="shared" si="985"/>
        <v>-14346519.335789539</v>
      </c>
      <c r="R568">
        <f t="shared" si="986"/>
        <v>-164224093.02608216</v>
      </c>
      <c r="S568">
        <f t="shared" si="987"/>
        <v>-1642.2409302608216</v>
      </c>
      <c r="T568">
        <f t="shared" si="988"/>
        <v>-1.6422409302608216</v>
      </c>
    </row>
    <row r="569" spans="1:104" x14ac:dyDescent="0.25">
      <c r="A569" s="5">
        <v>44024</v>
      </c>
      <c r="B569">
        <v>1.7440000000000001E-2</v>
      </c>
      <c r="C569">
        <v>1.822E-2</v>
      </c>
      <c r="D569">
        <v>1.6E-2</v>
      </c>
      <c r="E569">
        <v>1.6750000000000001E-2</v>
      </c>
      <c r="F569">
        <v>49690757.399999999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-0.32432432432432368</v>
      </c>
      <c r="Q569">
        <f t="shared" si="985"/>
        <v>-16115921.318918886</v>
      </c>
      <c r="R569">
        <f t="shared" si="986"/>
        <v>-149877573.69029263</v>
      </c>
      <c r="S569">
        <f t="shared" si="987"/>
        <v>-1498.7757369029262</v>
      </c>
      <c r="T569">
        <f t="shared" si="988"/>
        <v>-1.4987757369029262</v>
      </c>
    </row>
    <row r="570" spans="1:104" x14ac:dyDescent="0.25">
      <c r="A570" s="5">
        <v>44023</v>
      </c>
      <c r="B570">
        <v>1.736E-2</v>
      </c>
      <c r="C570">
        <v>1.9040000000000001E-2</v>
      </c>
      <c r="D570">
        <v>1.6719999999999999E-2</v>
      </c>
      <c r="E570">
        <v>1.7440000000000001E-2</v>
      </c>
      <c r="F570">
        <v>62974261.799999997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-0.3793103448275853</v>
      </c>
      <c r="Q570">
        <f t="shared" si="985"/>
        <v>-23886788.95862063</v>
      </c>
      <c r="R570">
        <f t="shared" si="986"/>
        <v>-133761652.37137374</v>
      </c>
      <c r="S570">
        <f t="shared" si="987"/>
        <v>-1337.6165237137375</v>
      </c>
      <c r="T570">
        <f t="shared" si="988"/>
        <v>-1.3376165237137374</v>
      </c>
    </row>
    <row r="571" spans="1:104" x14ac:dyDescent="0.25">
      <c r="A571" s="5">
        <v>44022</v>
      </c>
      <c r="B571">
        <v>1.5469999999999999E-2</v>
      </c>
      <c r="C571">
        <v>1.754E-2</v>
      </c>
      <c r="D571">
        <v>1.538E-2</v>
      </c>
      <c r="E571">
        <v>1.7389999999999999E-2</v>
      </c>
      <c r="F571">
        <v>62788868.200000003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0.86111111111111038</v>
      </c>
      <c r="Q571">
        <f t="shared" si="985"/>
        <v>54068192.06111107</v>
      </c>
      <c r="R571">
        <f t="shared" si="986"/>
        <v>-109874863.41275311</v>
      </c>
      <c r="S571">
        <f t="shared" si="987"/>
        <v>-1098.748634127531</v>
      </c>
      <c r="T571">
        <f t="shared" si="988"/>
        <v>-1.098748634127531</v>
      </c>
    </row>
    <row r="572" spans="1:104" x14ac:dyDescent="0.25">
      <c r="A572" s="5">
        <v>44021</v>
      </c>
      <c r="B572">
        <v>1.566E-2</v>
      </c>
      <c r="C572">
        <v>1.6299999999999999E-2</v>
      </c>
      <c r="D572">
        <v>1.4749999999999999E-2</v>
      </c>
      <c r="E572">
        <v>1.545E-2</v>
      </c>
      <c r="F572">
        <v>27910025.399999999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-9.6774193548385443E-2</v>
      </c>
      <c r="Q572">
        <f t="shared" si="985"/>
        <v>-2700970.1999999536</v>
      </c>
      <c r="R572">
        <f t="shared" si="986"/>
        <v>-163943055.47386417</v>
      </c>
      <c r="S572">
        <f t="shared" si="987"/>
        <v>-1639.4305547386416</v>
      </c>
      <c r="T572">
        <f t="shared" si="988"/>
        <v>-1.6394305547386416</v>
      </c>
    </row>
    <row r="573" spans="1:104" x14ac:dyDescent="0.25">
      <c r="A573" s="5">
        <v>44020</v>
      </c>
      <c r="B573">
        <v>1.4619999999999999E-2</v>
      </c>
      <c r="C573">
        <v>1.5869999999999999E-2</v>
      </c>
      <c r="D573">
        <v>1.457E-2</v>
      </c>
      <c r="E573">
        <v>1.567E-2</v>
      </c>
      <c r="F573">
        <v>33224122.199999999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0.69230769230769396</v>
      </c>
      <c r="Q573">
        <f t="shared" si="985"/>
        <v>23001315.369230822</v>
      </c>
      <c r="R573">
        <f t="shared" si="986"/>
        <v>-161242085.27386421</v>
      </c>
      <c r="S573">
        <f t="shared" si="987"/>
        <v>-1612.420852738642</v>
      </c>
      <c r="T573">
        <f t="shared" si="988"/>
        <v>-1.6124208527386421</v>
      </c>
    </row>
    <row r="574" spans="1:104" x14ac:dyDescent="0.25">
      <c r="A574" s="5">
        <v>44019</v>
      </c>
      <c r="B574">
        <v>1.494E-2</v>
      </c>
      <c r="C574">
        <v>1.506E-2</v>
      </c>
      <c r="D574">
        <v>1.435E-2</v>
      </c>
      <c r="E574">
        <v>1.4619999999999999E-2</v>
      </c>
      <c r="F574">
        <v>17300785.699999999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-0.23943661971831212</v>
      </c>
      <c r="Q574">
        <f t="shared" si="985"/>
        <v>-4142441.6464789123</v>
      </c>
      <c r="R574">
        <f t="shared" si="986"/>
        <v>-184243400.64309502</v>
      </c>
      <c r="S574">
        <f t="shared" si="987"/>
        <v>-1842.4340064309501</v>
      </c>
      <c r="T574">
        <f t="shared" si="988"/>
        <v>-1.8424340064309501</v>
      </c>
    </row>
    <row r="575" spans="1:104" x14ac:dyDescent="0.25">
      <c r="A575" s="5">
        <v>44018</v>
      </c>
      <c r="B575">
        <v>1.384E-2</v>
      </c>
      <c r="C575">
        <v>1.506E-2</v>
      </c>
      <c r="D575">
        <v>1.375E-2</v>
      </c>
      <c r="E575">
        <v>1.495E-2</v>
      </c>
      <c r="F575">
        <v>24543584.100000001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0.83206106870228902</v>
      </c>
      <c r="Q575">
        <f t="shared" si="985"/>
        <v>20421760.81603051</v>
      </c>
      <c r="R575">
        <f t="shared" si="986"/>
        <v>-180100958.9966161</v>
      </c>
      <c r="S575">
        <f t="shared" si="987"/>
        <v>-1801.009589966161</v>
      </c>
      <c r="T575">
        <f t="shared" si="988"/>
        <v>-1.8010095899661609</v>
      </c>
    </row>
    <row r="576" spans="1:104" x14ac:dyDescent="0.25">
      <c r="A576" s="5">
        <v>44017</v>
      </c>
      <c r="B576">
        <v>1.3559999999999999E-2</v>
      </c>
      <c r="C576">
        <v>1.4500000000000001E-2</v>
      </c>
      <c r="D576">
        <v>1.34E-2</v>
      </c>
      <c r="E576">
        <v>1.3809999999999999E-2</v>
      </c>
      <c r="F576">
        <v>24197552.100000001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-0.25454545454545674</v>
      </c>
      <c r="Q576">
        <f t="shared" si="985"/>
        <v>-6159376.8981818715</v>
      </c>
      <c r="R576">
        <f t="shared" si="986"/>
        <v>-200522719.8126466</v>
      </c>
      <c r="S576">
        <f t="shared" si="987"/>
        <v>-2005.227198126466</v>
      </c>
      <c r="T576">
        <f t="shared" si="988"/>
        <v>-2.005227198126466</v>
      </c>
    </row>
    <row r="577" spans="1:20" x14ac:dyDescent="0.25">
      <c r="A577" s="5">
        <v>44016</v>
      </c>
      <c r="B577">
        <v>1.308E-2</v>
      </c>
      <c r="C577">
        <v>1.367E-2</v>
      </c>
      <c r="D577">
        <v>1.308E-2</v>
      </c>
      <c r="E577">
        <v>1.3559999999999999E-2</v>
      </c>
      <c r="F577">
        <v>13447926.800000001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0.62711864406779427</v>
      </c>
      <c r="Q577">
        <f t="shared" si="985"/>
        <v>8433445.6203389522</v>
      </c>
      <c r="R577">
        <f t="shared" si="986"/>
        <v>-194363342.91446471</v>
      </c>
      <c r="S577">
        <f t="shared" si="987"/>
        <v>-1943.6334291446472</v>
      </c>
      <c r="T577">
        <f t="shared" si="988"/>
        <v>-1.9436334291446471</v>
      </c>
    </row>
    <row r="578" spans="1:20" x14ac:dyDescent="0.25">
      <c r="A578" s="5">
        <v>44015</v>
      </c>
      <c r="B578">
        <v>1.3440000000000001E-2</v>
      </c>
      <c r="C578">
        <v>1.3440000000000001E-2</v>
      </c>
      <c r="D578">
        <v>1.29E-2</v>
      </c>
      <c r="E578">
        <v>1.308E-2</v>
      </c>
      <c r="F578">
        <v>13201900.1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-0.33333333333333548</v>
      </c>
      <c r="Q578">
        <f t="shared" si="985"/>
        <v>-4400633.3666666951</v>
      </c>
      <c r="R578">
        <f t="shared" si="986"/>
        <v>-202796788.53480366</v>
      </c>
      <c r="S578">
        <f t="shared" si="987"/>
        <v>-2027.9678853480366</v>
      </c>
      <c r="T578">
        <f t="shared" si="988"/>
        <v>-2.0279678853480365</v>
      </c>
    </row>
    <row r="579" spans="1:20" x14ac:dyDescent="0.25">
      <c r="A579" s="5">
        <v>44014</v>
      </c>
      <c r="B579">
        <v>1.384E-2</v>
      </c>
      <c r="C579">
        <v>1.384E-2</v>
      </c>
      <c r="D579">
        <v>1.325E-2</v>
      </c>
      <c r="E579">
        <v>1.3440000000000001E-2</v>
      </c>
      <c r="F579">
        <v>12205083.5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-0.35593220338982762</v>
      </c>
      <c r="Q579">
        <f t="shared" si="985"/>
        <v>-4344182.2627118295</v>
      </c>
      <c r="R579">
        <f t="shared" si="986"/>
        <v>-198396155.16813695</v>
      </c>
      <c r="S579">
        <f t="shared" si="987"/>
        <v>-1983.9615516813697</v>
      </c>
      <c r="T579">
        <f t="shared" si="988"/>
        <v>-1.9839615516813696</v>
      </c>
    </row>
    <row r="580" spans="1:20" x14ac:dyDescent="0.25">
      <c r="A580" s="5">
        <v>44013</v>
      </c>
      <c r="B580">
        <v>1.3809999999999999E-2</v>
      </c>
      <c r="C580">
        <v>1.4200000000000001E-2</v>
      </c>
      <c r="D580">
        <v>1.355E-2</v>
      </c>
      <c r="E580">
        <v>1.3769999999999999E-2</v>
      </c>
      <c r="F580">
        <v>12872063.6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-0.32307692307692532</v>
      </c>
      <c r="Q580">
        <f t="shared" si="985"/>
        <v>-4158666.7015384901</v>
      </c>
      <c r="R580">
        <f t="shared" si="986"/>
        <v>-194051972.90542513</v>
      </c>
      <c r="S580">
        <f t="shared" si="987"/>
        <v>-1940.5197290542512</v>
      </c>
      <c r="T580">
        <f t="shared" si="988"/>
        <v>-1.9405197290542513</v>
      </c>
    </row>
    <row r="581" spans="1:20" x14ac:dyDescent="0.25">
      <c r="A581" s="5">
        <v>44012</v>
      </c>
      <c r="B581">
        <v>1.3259999999999999E-2</v>
      </c>
      <c r="C581">
        <v>1.3939999999999999E-2</v>
      </c>
      <c r="D581">
        <v>1.299E-2</v>
      </c>
      <c r="E581">
        <v>1.3820000000000001E-2</v>
      </c>
      <c r="F581">
        <v>10352171.4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0.74736842105263446</v>
      </c>
      <c r="Q581">
        <f t="shared" si="985"/>
        <v>7736885.9936842406</v>
      </c>
      <c r="R581">
        <f t="shared" si="986"/>
        <v>-189893306.20388663</v>
      </c>
      <c r="S581">
        <f t="shared" si="987"/>
        <v>-1898.9330620388662</v>
      </c>
      <c r="T581">
        <f t="shared" si="988"/>
        <v>-1.8989330620388662</v>
      </c>
    </row>
    <row r="582" spans="1:20" x14ac:dyDescent="0.25">
      <c r="A582" s="5">
        <v>44011</v>
      </c>
      <c r="B582">
        <v>1.307E-2</v>
      </c>
      <c r="C582">
        <v>1.3429999999999999E-2</v>
      </c>
      <c r="D582">
        <v>1.2930000000000001E-2</v>
      </c>
      <c r="E582">
        <v>1.324E-2</v>
      </c>
      <c r="F582">
        <v>9614146.6999999993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0.24000000000000124</v>
      </c>
      <c r="Q582">
        <f t="shared" ref="Q582:Q645" si="990">F582*P582</f>
        <v>2307395.2080000117</v>
      </c>
      <c r="R582">
        <f t="shared" ref="R582:R645" si="991">R583+Q582</f>
        <v>-197630192.19757086</v>
      </c>
      <c r="S582">
        <f t="shared" ref="S582:S645" si="992">R582/100000</f>
        <v>-1976.3019219757086</v>
      </c>
      <c r="T582">
        <f t="shared" ref="T582:T645" si="993">S582/1000</f>
        <v>-1.9763019219757085</v>
      </c>
    </row>
    <row r="583" spans="1:20" x14ac:dyDescent="0.25">
      <c r="A583" s="5">
        <v>44010</v>
      </c>
      <c r="B583">
        <v>1.2919999999999999E-2</v>
      </c>
      <c r="C583">
        <v>1.337E-2</v>
      </c>
      <c r="D583">
        <v>1.2500000000000001E-2</v>
      </c>
      <c r="E583">
        <v>1.307E-2</v>
      </c>
      <c r="F583">
        <v>9414169.9000000004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0.31034482758620646</v>
      </c>
      <c r="Q583">
        <f t="shared" si="990"/>
        <v>2921638.9344827547</v>
      </c>
      <c r="R583">
        <f t="shared" si="991"/>
        <v>-199937587.40557086</v>
      </c>
      <c r="S583">
        <f t="shared" si="992"/>
        <v>-1999.3758740557087</v>
      </c>
      <c r="T583">
        <f t="shared" si="993"/>
        <v>-1.9993758740557086</v>
      </c>
    </row>
    <row r="584" spans="1:20" x14ac:dyDescent="0.25">
      <c r="A584" s="5">
        <v>44009</v>
      </c>
      <c r="B584">
        <v>1.345E-2</v>
      </c>
      <c r="C584">
        <v>1.3780000000000001E-2</v>
      </c>
      <c r="D584">
        <v>1.281E-2</v>
      </c>
      <c r="E584">
        <v>1.2919999999999999E-2</v>
      </c>
      <c r="F584">
        <v>7954510.7999999998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-0.77319587628866193</v>
      </c>
      <c r="Q584">
        <f t="shared" si="990"/>
        <v>-6150394.9484536247</v>
      </c>
      <c r="R584">
        <f t="shared" si="991"/>
        <v>-202859226.34005362</v>
      </c>
      <c r="S584">
        <f t="shared" si="992"/>
        <v>-2028.5922634005362</v>
      </c>
      <c r="T584">
        <f t="shared" si="993"/>
        <v>-2.0285922634005362</v>
      </c>
    </row>
    <row r="585" spans="1:20" x14ac:dyDescent="0.25">
      <c r="A585" s="5">
        <v>44008</v>
      </c>
      <c r="B585">
        <v>1.388E-2</v>
      </c>
      <c r="C585">
        <v>1.426E-2</v>
      </c>
      <c r="D585">
        <v>1.325E-2</v>
      </c>
      <c r="E585">
        <v>1.346E-2</v>
      </c>
      <c r="F585">
        <v>13288705.1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-0.58415841584158412</v>
      </c>
      <c r="Q585">
        <f t="shared" si="990"/>
        <v>-7762708.9198019793</v>
      </c>
      <c r="R585">
        <f t="shared" si="991"/>
        <v>-196708831.39159998</v>
      </c>
      <c r="S585">
        <f t="shared" si="992"/>
        <v>-1967.0883139159998</v>
      </c>
      <c r="T585">
        <f t="shared" si="993"/>
        <v>-1.9670883139159998</v>
      </c>
    </row>
    <row r="586" spans="1:20" x14ac:dyDescent="0.25">
      <c r="A586" s="5">
        <v>44007</v>
      </c>
      <c r="B586">
        <v>1.3769999999999999E-2</v>
      </c>
      <c r="C586">
        <v>1.4319999999999999E-2</v>
      </c>
      <c r="D586">
        <v>1.2789999999999999E-2</v>
      </c>
      <c r="E586">
        <v>1.3860000000000001E-2</v>
      </c>
      <c r="F586">
        <v>15107981.9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0.3986928104575182</v>
      </c>
      <c r="Q586">
        <f t="shared" si="990"/>
        <v>6023443.7640523156</v>
      </c>
      <c r="R586">
        <f t="shared" si="991"/>
        <v>-188946122.471798</v>
      </c>
      <c r="S586">
        <f t="shared" si="992"/>
        <v>-1889.46122471798</v>
      </c>
      <c r="T586">
        <f t="shared" si="993"/>
        <v>-1.8894612247179801</v>
      </c>
    </row>
    <row r="587" spans="1:20" x14ac:dyDescent="0.25">
      <c r="A587" s="5">
        <v>44006</v>
      </c>
      <c r="B587">
        <v>1.4829999999999999E-2</v>
      </c>
      <c r="C587">
        <v>1.494E-2</v>
      </c>
      <c r="D587">
        <v>1.354E-2</v>
      </c>
      <c r="E587">
        <v>1.3769999999999999E-2</v>
      </c>
      <c r="F587">
        <v>17540914.699999999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-0.67142857142857248</v>
      </c>
      <c r="Q587">
        <f t="shared" si="990"/>
        <v>-11777471.298571447</v>
      </c>
      <c r="R587">
        <f t="shared" si="991"/>
        <v>-194969566.2358503</v>
      </c>
      <c r="S587">
        <f t="shared" si="992"/>
        <v>-1949.6956623585031</v>
      </c>
      <c r="T587">
        <f t="shared" si="993"/>
        <v>-1.9496956623585031</v>
      </c>
    </row>
    <row r="588" spans="1:20" x14ac:dyDescent="0.25">
      <c r="A588" s="5">
        <v>44005</v>
      </c>
      <c r="B588">
        <v>1.512E-2</v>
      </c>
      <c r="C588">
        <v>1.516E-2</v>
      </c>
      <c r="D588">
        <v>1.474E-2</v>
      </c>
      <c r="E588">
        <v>1.4840000000000001E-2</v>
      </c>
      <c r="F588">
        <v>9772657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-0.52380952380951873</v>
      </c>
      <c r="Q588">
        <f t="shared" si="990"/>
        <v>-5119010.8095237594</v>
      </c>
      <c r="R588">
        <f t="shared" si="991"/>
        <v>-183192094.93727887</v>
      </c>
      <c r="S588">
        <f t="shared" si="992"/>
        <v>-1831.9209493727888</v>
      </c>
      <c r="T588">
        <f t="shared" si="993"/>
        <v>-1.8319209493727888</v>
      </c>
    </row>
    <row r="589" spans="1:20" x14ac:dyDescent="0.25">
      <c r="A589" s="5">
        <v>44004</v>
      </c>
      <c r="B589">
        <v>1.4540000000000001E-2</v>
      </c>
      <c r="C589">
        <v>1.5709999999999998E-2</v>
      </c>
      <c r="D589">
        <v>1.453E-2</v>
      </c>
      <c r="E589">
        <v>1.5049999999999999E-2</v>
      </c>
      <c r="F589">
        <v>13010396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-0.11864406779660987</v>
      </c>
      <c r="Q589">
        <f t="shared" si="990"/>
        <v>-1543606.3050847419</v>
      </c>
      <c r="R589">
        <f t="shared" si="991"/>
        <v>-178073084.12775511</v>
      </c>
      <c r="S589">
        <f t="shared" si="992"/>
        <v>-1780.730841277551</v>
      </c>
      <c r="T589">
        <f t="shared" si="993"/>
        <v>-1.7807308412775511</v>
      </c>
    </row>
    <row r="590" spans="1:20" x14ac:dyDescent="0.25">
      <c r="A590" s="5">
        <v>44003</v>
      </c>
      <c r="B590">
        <v>1.451E-2</v>
      </c>
      <c r="C590">
        <v>1.52E-2</v>
      </c>
      <c r="D590">
        <v>1.4449999999999999E-2</v>
      </c>
      <c r="E590">
        <v>1.455E-2</v>
      </c>
      <c r="F590">
        <v>15089346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-0.73333333333333051</v>
      </c>
      <c r="Q590">
        <f t="shared" si="990"/>
        <v>-11065520.399999958</v>
      </c>
      <c r="R590">
        <f t="shared" si="991"/>
        <v>-176529477.82267037</v>
      </c>
      <c r="S590">
        <f t="shared" si="992"/>
        <v>-1765.2947782267038</v>
      </c>
      <c r="T590">
        <f t="shared" si="993"/>
        <v>-1.7652947782267039</v>
      </c>
    </row>
    <row r="591" spans="1:20" x14ac:dyDescent="0.25">
      <c r="A591" s="5">
        <v>44002</v>
      </c>
      <c r="B591">
        <v>1.4919999999999999E-2</v>
      </c>
      <c r="C591">
        <v>1.519E-2</v>
      </c>
      <c r="D591">
        <v>1.4149999999999999E-2</v>
      </c>
      <c r="E591">
        <v>1.451E-2</v>
      </c>
      <c r="F591">
        <v>13960134.4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-0.30769230769230654</v>
      </c>
      <c r="Q591">
        <f t="shared" si="990"/>
        <v>-4295425.9692307534</v>
      </c>
      <c r="R591">
        <f t="shared" si="991"/>
        <v>-165463957.42267042</v>
      </c>
      <c r="S591">
        <f t="shared" si="992"/>
        <v>-1654.6395742267043</v>
      </c>
      <c r="T591">
        <f t="shared" si="993"/>
        <v>-1.6546395742267044</v>
      </c>
    </row>
    <row r="592" spans="1:20" x14ac:dyDescent="0.25">
      <c r="A592" s="5">
        <v>44001</v>
      </c>
      <c r="B592">
        <v>1.519E-2</v>
      </c>
      <c r="C592">
        <v>1.5730000000000001E-2</v>
      </c>
      <c r="D592">
        <v>1.473E-2</v>
      </c>
      <c r="E592">
        <v>1.4919999999999999E-2</v>
      </c>
      <c r="F592">
        <v>15485369.1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-0.62000000000000199</v>
      </c>
      <c r="Q592">
        <f t="shared" si="990"/>
        <v>-9600928.84200003</v>
      </c>
      <c r="R592">
        <f t="shared" si="991"/>
        <v>-161168531.45343968</v>
      </c>
      <c r="S592">
        <f t="shared" si="992"/>
        <v>-1611.6853145343969</v>
      </c>
      <c r="T592">
        <f t="shared" si="993"/>
        <v>-1.6116853145343968</v>
      </c>
    </row>
    <row r="593" spans="1:20" x14ac:dyDescent="0.25">
      <c r="A593" s="5">
        <v>44000</v>
      </c>
      <c r="B593">
        <v>1.5800000000000002E-2</v>
      </c>
      <c r="C593">
        <v>1.627E-2</v>
      </c>
      <c r="D593">
        <v>1.485E-2</v>
      </c>
      <c r="E593">
        <v>1.52E-2</v>
      </c>
      <c r="F593">
        <v>26293246.5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-0.50704225352112708</v>
      </c>
      <c r="Q593">
        <f t="shared" si="990"/>
        <v>-13331786.957746487</v>
      </c>
      <c r="R593">
        <f t="shared" si="991"/>
        <v>-151567602.61143965</v>
      </c>
      <c r="S593">
        <f t="shared" si="992"/>
        <v>-1515.6760261143966</v>
      </c>
      <c r="T593">
        <f t="shared" si="993"/>
        <v>-1.5156760261143967</v>
      </c>
    </row>
    <row r="594" spans="1:20" x14ac:dyDescent="0.25">
      <c r="A594" s="5">
        <v>43999</v>
      </c>
      <c r="B594">
        <v>1.567E-2</v>
      </c>
      <c r="C594">
        <v>1.627E-2</v>
      </c>
      <c r="D594">
        <v>1.468E-2</v>
      </c>
      <c r="E594">
        <v>1.5800000000000002E-2</v>
      </c>
      <c r="F594">
        <v>46087182.600000001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0.4088050314465429</v>
      </c>
      <c r="Q594">
        <f t="shared" si="990"/>
        <v>18840672.132075567</v>
      </c>
      <c r="R594">
        <f t="shared" si="991"/>
        <v>-138235815.65369317</v>
      </c>
      <c r="S594">
        <f t="shared" si="992"/>
        <v>-1382.3581565369318</v>
      </c>
      <c r="T594">
        <f t="shared" si="993"/>
        <v>-1.3823581565369318</v>
      </c>
    </row>
    <row r="595" spans="1:20" x14ac:dyDescent="0.25">
      <c r="A595" s="5">
        <v>43998</v>
      </c>
      <c r="B595">
        <v>1.6580000000000001E-2</v>
      </c>
      <c r="C595">
        <v>1.6580000000000001E-2</v>
      </c>
      <c r="D595">
        <v>1.5440000000000001E-2</v>
      </c>
      <c r="E595">
        <v>1.5689999999999999E-2</v>
      </c>
      <c r="F595">
        <v>28700097.300000001</v>
      </c>
      <c r="G595">
        <v>0</v>
      </c>
      <c r="L595" t="s">
        <v>7</v>
      </c>
      <c r="M595" t="s">
        <v>8</v>
      </c>
      <c r="N595" t="s">
        <v>8</v>
      </c>
      <c r="P595">
        <f t="shared" si="989"/>
        <v>-0.56140350877193268</v>
      </c>
      <c r="Q595">
        <f t="shared" si="990"/>
        <v>-16112335.326315872</v>
      </c>
      <c r="R595">
        <f t="shared" si="991"/>
        <v>-157076487.78576875</v>
      </c>
      <c r="S595">
        <f t="shared" si="992"/>
        <v>-1570.7648778576875</v>
      </c>
      <c r="T595">
        <f t="shared" si="993"/>
        <v>-1.5707648778576875</v>
      </c>
    </row>
    <row r="596" spans="1:20" x14ac:dyDescent="0.25">
      <c r="A596" s="5">
        <v>43997</v>
      </c>
      <c r="B596">
        <v>1.435E-2</v>
      </c>
      <c r="C596">
        <v>1.7860000000000001E-2</v>
      </c>
      <c r="D596">
        <v>1.396E-2</v>
      </c>
      <c r="E596">
        <v>1.653E-2</v>
      </c>
      <c r="F596">
        <v>72868107.299999997</v>
      </c>
      <c r="G596">
        <v>0</v>
      </c>
      <c r="L596" t="s">
        <v>8</v>
      </c>
      <c r="M596" t="s">
        <v>8</v>
      </c>
      <c r="N596" t="s">
        <v>8</v>
      </c>
      <c r="P596">
        <f t="shared" si="989"/>
        <v>0.31794871794871737</v>
      </c>
      <c r="Q596">
        <f t="shared" si="990"/>
        <v>23168321.295384571</v>
      </c>
      <c r="R596">
        <f t="shared" si="991"/>
        <v>-140964152.45945287</v>
      </c>
      <c r="S596">
        <f t="shared" si="992"/>
        <v>-1409.6415245945286</v>
      </c>
      <c r="T596">
        <f t="shared" si="993"/>
        <v>-1.4096415245945286</v>
      </c>
    </row>
    <row r="597" spans="1:20" x14ac:dyDescent="0.25">
      <c r="A597" s="5">
        <v>43996</v>
      </c>
      <c r="B597">
        <v>1.4760000000000001E-2</v>
      </c>
      <c r="C597">
        <v>1.5949999999999999E-2</v>
      </c>
      <c r="D597">
        <v>1.4200000000000001E-2</v>
      </c>
      <c r="E597">
        <v>1.4319999999999999E-2</v>
      </c>
      <c r="F597">
        <v>30529137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-0.86285714285714432</v>
      </c>
      <c r="Q597">
        <f t="shared" si="990"/>
        <v>-26342283.925714329</v>
      </c>
      <c r="R597">
        <f t="shared" si="991"/>
        <v>-164132473.75483745</v>
      </c>
      <c r="S597">
        <f t="shared" si="992"/>
        <v>-1641.3247375483745</v>
      </c>
      <c r="T597">
        <f t="shared" si="993"/>
        <v>-1.6413247375483746</v>
      </c>
    </row>
    <row r="598" spans="1:20" x14ac:dyDescent="0.25">
      <c r="A598" s="5">
        <v>43995</v>
      </c>
      <c r="B598">
        <v>1.3429999999999999E-2</v>
      </c>
      <c r="C598">
        <v>1.4789999999999999E-2</v>
      </c>
      <c r="D598">
        <v>1.312E-2</v>
      </c>
      <c r="E598">
        <v>1.4749999999999999E-2</v>
      </c>
      <c r="F598">
        <v>19970196.600000001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0.95209580838323338</v>
      </c>
      <c r="Q598">
        <f t="shared" si="990"/>
        <v>19013540.4754491</v>
      </c>
      <c r="R598">
        <f t="shared" si="991"/>
        <v>-137790189.82912314</v>
      </c>
      <c r="S598">
        <f t="shared" si="992"/>
        <v>-1377.9018982912314</v>
      </c>
      <c r="T598">
        <f t="shared" si="993"/>
        <v>-1.3779018982912314</v>
      </c>
    </row>
    <row r="599" spans="1:20" x14ac:dyDescent="0.25">
      <c r="A599" s="5">
        <v>43994</v>
      </c>
      <c r="B599">
        <v>1.196E-2</v>
      </c>
      <c r="C599">
        <v>1.346E-2</v>
      </c>
      <c r="D599">
        <v>1.1900000000000001E-2</v>
      </c>
      <c r="E599">
        <v>1.3440000000000001E-2</v>
      </c>
      <c r="F599">
        <v>19922834.699999999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0.97435897435897534</v>
      </c>
      <c r="Q599">
        <f t="shared" si="990"/>
        <v>19411992.784615405</v>
      </c>
      <c r="R599">
        <f t="shared" si="991"/>
        <v>-156803730.30457222</v>
      </c>
      <c r="S599">
        <f t="shared" si="992"/>
        <v>-1568.0373030457222</v>
      </c>
      <c r="T599">
        <f t="shared" si="993"/>
        <v>-1.5680373030457222</v>
      </c>
    </row>
    <row r="600" spans="1:20" x14ac:dyDescent="0.25">
      <c r="A600" s="5">
        <v>43993</v>
      </c>
      <c r="B600">
        <v>1.376E-2</v>
      </c>
      <c r="C600">
        <v>1.4880000000000001E-2</v>
      </c>
      <c r="D600">
        <v>1.1599999999999999E-2</v>
      </c>
      <c r="E600">
        <v>1.1990000000000001E-2</v>
      </c>
      <c r="F600">
        <v>31448969.100000001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-0.76219512195121875</v>
      </c>
      <c r="Q600">
        <f t="shared" si="990"/>
        <v>-23970250.838414609</v>
      </c>
      <c r="R600">
        <f t="shared" si="991"/>
        <v>-176215723.08918762</v>
      </c>
      <c r="S600">
        <f t="shared" si="992"/>
        <v>-1762.1572308918762</v>
      </c>
      <c r="T600">
        <f t="shared" si="993"/>
        <v>-1.7621572308918763</v>
      </c>
    </row>
    <row r="601" spans="1:20" x14ac:dyDescent="0.25">
      <c r="A601" s="5">
        <v>43992</v>
      </c>
      <c r="B601">
        <v>1.354E-2</v>
      </c>
      <c r="C601">
        <v>1.409E-2</v>
      </c>
      <c r="D601">
        <v>1.3299999999999999E-2</v>
      </c>
      <c r="E601">
        <v>1.376E-2</v>
      </c>
      <c r="F601">
        <v>17270067.300000001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0.16455696202531617</v>
      </c>
      <c r="Q601">
        <f t="shared" si="990"/>
        <v>2841909.8088607546</v>
      </c>
      <c r="R601">
        <f t="shared" si="991"/>
        <v>-152245472.25077301</v>
      </c>
      <c r="S601">
        <f t="shared" si="992"/>
        <v>-1522.4547225077301</v>
      </c>
      <c r="T601">
        <f t="shared" si="993"/>
        <v>-1.5224547225077301</v>
      </c>
    </row>
    <row r="602" spans="1:20" x14ac:dyDescent="0.25">
      <c r="A602" s="5">
        <v>43991</v>
      </c>
      <c r="B602">
        <v>1.393E-2</v>
      </c>
      <c r="C602">
        <v>1.4189999999999999E-2</v>
      </c>
      <c r="D602">
        <v>1.3299999999999999E-2</v>
      </c>
      <c r="E602">
        <v>1.357E-2</v>
      </c>
      <c r="F602">
        <v>15550733.9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-0.39325842696628971</v>
      </c>
      <c r="Q602">
        <f t="shared" si="990"/>
        <v>-6115457.1516853552</v>
      </c>
      <c r="R602">
        <f t="shared" si="991"/>
        <v>-155087382.05963376</v>
      </c>
      <c r="S602">
        <f t="shared" si="992"/>
        <v>-1550.8738205963375</v>
      </c>
      <c r="T602">
        <f t="shared" si="993"/>
        <v>-1.5508738205963375</v>
      </c>
    </row>
    <row r="603" spans="1:20" x14ac:dyDescent="0.25">
      <c r="A603" s="5">
        <v>43990</v>
      </c>
      <c r="B603">
        <v>1.388E-2</v>
      </c>
      <c r="C603">
        <v>1.4149999999999999E-2</v>
      </c>
      <c r="D603">
        <v>1.387E-2</v>
      </c>
      <c r="E603">
        <v>1.3990000000000001E-2</v>
      </c>
      <c r="F603">
        <v>11302796.699999999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-0.14285714285713755</v>
      </c>
      <c r="Q603">
        <f t="shared" si="990"/>
        <v>-1614685.2428570827</v>
      </c>
      <c r="R603">
        <f t="shared" si="991"/>
        <v>-148971924.9079484</v>
      </c>
      <c r="S603">
        <f t="shared" si="992"/>
        <v>-1489.7192490794841</v>
      </c>
      <c r="T603">
        <f t="shared" si="993"/>
        <v>-1.4897192490794842</v>
      </c>
    </row>
    <row r="604" spans="1:20" x14ac:dyDescent="0.25">
      <c r="A604" s="5">
        <v>43989</v>
      </c>
      <c r="B604">
        <v>1.422E-2</v>
      </c>
      <c r="C604">
        <v>1.453E-2</v>
      </c>
      <c r="D604">
        <v>1.3129999999999999E-2</v>
      </c>
      <c r="E604">
        <v>1.388E-2</v>
      </c>
      <c r="F604">
        <v>23366235.300000001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7.142857142857223E-2</v>
      </c>
      <c r="Q604">
        <f t="shared" si="990"/>
        <v>1669016.8071428759</v>
      </c>
      <c r="R604">
        <f t="shared" si="991"/>
        <v>-147357239.66509134</v>
      </c>
      <c r="S604">
        <f t="shared" si="992"/>
        <v>-1473.5723966509133</v>
      </c>
      <c r="T604">
        <f t="shared" si="993"/>
        <v>-1.4735723966509133</v>
      </c>
    </row>
    <row r="605" spans="1:20" x14ac:dyDescent="0.25">
      <c r="A605" s="5">
        <v>43988</v>
      </c>
      <c r="B605">
        <v>1.316E-2</v>
      </c>
      <c r="C605">
        <v>1.4999999999999999E-2</v>
      </c>
      <c r="D605">
        <v>1.29E-2</v>
      </c>
      <c r="E605">
        <v>1.423E-2</v>
      </c>
      <c r="F605">
        <v>23198943.100000001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0.26666666666666661</v>
      </c>
      <c r="Q605">
        <f t="shared" si="990"/>
        <v>6186384.8266666653</v>
      </c>
      <c r="R605">
        <f t="shared" si="991"/>
        <v>-149026256.47223422</v>
      </c>
      <c r="S605">
        <f t="shared" si="992"/>
        <v>-1490.2625647223422</v>
      </c>
      <c r="T605">
        <f t="shared" si="993"/>
        <v>-1.4902625647223422</v>
      </c>
    </row>
    <row r="606" spans="1:20" x14ac:dyDescent="0.25">
      <c r="A606" s="5">
        <v>43987</v>
      </c>
      <c r="B606">
        <v>1.3440000000000001E-2</v>
      </c>
      <c r="C606">
        <v>1.363E-2</v>
      </c>
      <c r="D606">
        <v>1.306E-2</v>
      </c>
      <c r="E606">
        <v>1.316E-2</v>
      </c>
      <c r="F606">
        <v>17785842.199999999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-0.64912280701754554</v>
      </c>
      <c r="Q606">
        <f t="shared" si="990"/>
        <v>-11545195.814035118</v>
      </c>
      <c r="R606">
        <f t="shared" si="991"/>
        <v>-155212641.29890087</v>
      </c>
      <c r="S606">
        <f t="shared" si="992"/>
        <v>-1552.1264129890087</v>
      </c>
      <c r="T606">
        <f t="shared" si="993"/>
        <v>-1.5521264129890087</v>
      </c>
    </row>
    <row r="607" spans="1:20" x14ac:dyDescent="0.25">
      <c r="A607" s="5">
        <v>43986</v>
      </c>
      <c r="B607">
        <v>1.3639999999999999E-2</v>
      </c>
      <c r="C607">
        <v>1.389E-2</v>
      </c>
      <c r="D607">
        <v>1.2800000000000001E-2</v>
      </c>
      <c r="E607">
        <v>1.345E-2</v>
      </c>
      <c r="F607">
        <v>19372088.199999999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0.19266055045871588</v>
      </c>
      <c r="Q607">
        <f t="shared" si="990"/>
        <v>3732237.1761467946</v>
      </c>
      <c r="R607">
        <f t="shared" si="991"/>
        <v>-143667445.48486575</v>
      </c>
      <c r="S607">
        <f t="shared" si="992"/>
        <v>-1436.6744548486577</v>
      </c>
      <c r="T607">
        <f t="shared" si="993"/>
        <v>-1.4366744548486576</v>
      </c>
    </row>
    <row r="608" spans="1:20" x14ac:dyDescent="0.25">
      <c r="A608" s="5">
        <v>43985</v>
      </c>
      <c r="B608">
        <v>1.268E-2</v>
      </c>
      <c r="C608">
        <v>1.3690000000000001E-2</v>
      </c>
      <c r="D608">
        <v>1.252E-2</v>
      </c>
      <c r="E608">
        <v>1.3639999999999999E-2</v>
      </c>
      <c r="F608">
        <v>26386600.100000001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0.91452991452991217</v>
      </c>
      <c r="Q608">
        <f t="shared" si="990"/>
        <v>24131335.134187974</v>
      </c>
      <c r="R608">
        <f t="shared" si="991"/>
        <v>-147399682.66101256</v>
      </c>
      <c r="S608">
        <f t="shared" si="992"/>
        <v>-1473.9968266101257</v>
      </c>
      <c r="T608">
        <f t="shared" si="993"/>
        <v>-1.4739968266101258</v>
      </c>
    </row>
    <row r="609" spans="1:20" x14ac:dyDescent="0.25">
      <c r="A609" s="5">
        <v>43984</v>
      </c>
      <c r="B609">
        <v>1.2489999999999999E-2</v>
      </c>
      <c r="C609">
        <v>1.268E-2</v>
      </c>
      <c r="D609">
        <v>1.153E-2</v>
      </c>
      <c r="E609">
        <v>1.268E-2</v>
      </c>
      <c r="F609">
        <v>19675973</v>
      </c>
      <c r="G609">
        <v>0</v>
      </c>
      <c r="L609" t="s">
        <v>7</v>
      </c>
      <c r="M609" t="s">
        <v>8</v>
      </c>
      <c r="N609" t="s">
        <v>7</v>
      </c>
      <c r="P609">
        <f t="shared" si="989"/>
        <v>1</v>
      </c>
      <c r="Q609">
        <f t="shared" si="990"/>
        <v>19675973</v>
      </c>
      <c r="R609">
        <f t="shared" si="991"/>
        <v>-171531017.79520053</v>
      </c>
      <c r="S609">
        <f t="shared" si="992"/>
        <v>-1715.3101779520052</v>
      </c>
      <c r="T609">
        <f t="shared" si="993"/>
        <v>-1.7153101779520052</v>
      </c>
    </row>
    <row r="610" spans="1:20" x14ac:dyDescent="0.25">
      <c r="A610" s="5">
        <v>43983</v>
      </c>
      <c r="B610">
        <v>1.176E-2</v>
      </c>
      <c r="C610">
        <v>1.2919999999999999E-2</v>
      </c>
      <c r="D610">
        <v>1.175E-2</v>
      </c>
      <c r="E610">
        <v>1.2489999999999999E-2</v>
      </c>
      <c r="F610">
        <v>22916299.199999999</v>
      </c>
      <c r="G610">
        <v>0</v>
      </c>
      <c r="L610" t="s">
        <v>8</v>
      </c>
      <c r="M610" t="s">
        <v>8</v>
      </c>
      <c r="N610" t="s">
        <v>7</v>
      </c>
      <c r="P610">
        <f t="shared" si="989"/>
        <v>0.26495726495726474</v>
      </c>
      <c r="Q610">
        <f t="shared" si="990"/>
        <v>6071839.958974354</v>
      </c>
      <c r="R610">
        <f t="shared" si="991"/>
        <v>-191206990.79520053</v>
      </c>
      <c r="S610">
        <f t="shared" si="992"/>
        <v>-1912.0699079520052</v>
      </c>
      <c r="T610">
        <f t="shared" si="993"/>
        <v>-1.9120699079520052</v>
      </c>
    </row>
    <row r="611" spans="1:20" x14ac:dyDescent="0.25">
      <c r="A611" s="5">
        <v>43982</v>
      </c>
      <c r="B611">
        <v>1.2019999999999999E-2</v>
      </c>
      <c r="C611">
        <v>1.248E-2</v>
      </c>
      <c r="D611">
        <v>1.167E-2</v>
      </c>
      <c r="E611">
        <v>1.18E-2</v>
      </c>
      <c r="F611">
        <v>19503825.100000001</v>
      </c>
      <c r="G611">
        <v>0</v>
      </c>
      <c r="L611" t="s">
        <v>8</v>
      </c>
      <c r="M611" t="s">
        <v>8</v>
      </c>
      <c r="N611" t="s">
        <v>7</v>
      </c>
      <c r="P611">
        <f t="shared" si="989"/>
        <v>-0.67901234567901259</v>
      </c>
      <c r="Q611">
        <f t="shared" si="990"/>
        <v>-13243338.030864203</v>
      </c>
      <c r="R611">
        <f t="shared" si="991"/>
        <v>-197278830.75417489</v>
      </c>
      <c r="S611">
        <f t="shared" si="992"/>
        <v>-1972.788307541749</v>
      </c>
      <c r="T611">
        <f t="shared" si="993"/>
        <v>-1.9727883075417489</v>
      </c>
    </row>
    <row r="612" spans="1:20" x14ac:dyDescent="0.25">
      <c r="A612" s="5">
        <v>43981</v>
      </c>
      <c r="B612">
        <v>1.167E-2</v>
      </c>
      <c r="C612">
        <v>1.2500000000000001E-2</v>
      </c>
      <c r="D612">
        <v>1.15E-2</v>
      </c>
      <c r="E612">
        <v>1.2019999999999999E-2</v>
      </c>
      <c r="F612">
        <v>22488399.5</v>
      </c>
      <c r="G612">
        <v>0</v>
      </c>
      <c r="L612" t="s">
        <v>8</v>
      </c>
      <c r="M612" t="s">
        <v>8</v>
      </c>
      <c r="N612" t="s">
        <v>7</v>
      </c>
      <c r="P612">
        <f t="shared" si="989"/>
        <v>3.9999999999998335E-2</v>
      </c>
      <c r="Q612">
        <f t="shared" si="990"/>
        <v>899535.97999996261</v>
      </c>
      <c r="R612">
        <f t="shared" si="991"/>
        <v>-184035492.72331068</v>
      </c>
      <c r="S612">
        <f t="shared" si="992"/>
        <v>-1840.3549272331068</v>
      </c>
      <c r="T612">
        <f t="shared" si="993"/>
        <v>-1.8403549272331068</v>
      </c>
    </row>
    <row r="613" spans="1:20" x14ac:dyDescent="0.25">
      <c r="A613" s="5">
        <v>43980</v>
      </c>
      <c r="B613">
        <v>1.1509999999999999E-2</v>
      </c>
      <c r="C613">
        <v>1.1730000000000001E-2</v>
      </c>
      <c r="D613">
        <v>1.1299999999999999E-2</v>
      </c>
      <c r="E613">
        <v>1.166E-2</v>
      </c>
      <c r="F613">
        <v>10699221.199999999</v>
      </c>
      <c r="G613">
        <v>0</v>
      </c>
      <c r="L613" t="s">
        <v>7</v>
      </c>
      <c r="M613" t="s">
        <v>8</v>
      </c>
      <c r="N613" t="s">
        <v>7</v>
      </c>
      <c r="P613">
        <f t="shared" si="989"/>
        <v>0.6744186046511611</v>
      </c>
      <c r="Q613">
        <f t="shared" si="990"/>
        <v>7215753.8325581206</v>
      </c>
      <c r="R613">
        <f t="shared" si="991"/>
        <v>-184935028.70331064</v>
      </c>
      <c r="S613">
        <f t="shared" si="992"/>
        <v>-1849.3502870331065</v>
      </c>
      <c r="T613">
        <f t="shared" si="993"/>
        <v>-1.8493502870331064</v>
      </c>
    </row>
    <row r="614" spans="1:20" x14ac:dyDescent="0.25">
      <c r="A614" s="5">
        <v>43979</v>
      </c>
      <c r="B614">
        <v>1.1379999999999999E-2</v>
      </c>
      <c r="C614">
        <v>1.2930000000000001E-2</v>
      </c>
      <c r="D614">
        <v>1.1140000000000001E-2</v>
      </c>
      <c r="E614">
        <v>1.149E-2</v>
      </c>
      <c r="F614">
        <v>30521962.100000001</v>
      </c>
      <c r="G614">
        <v>0</v>
      </c>
      <c r="L614" t="s">
        <v>8</v>
      </c>
      <c r="M614" t="s">
        <v>8</v>
      </c>
      <c r="N614" t="s">
        <v>7</v>
      </c>
      <c r="P614">
        <f t="shared" si="989"/>
        <v>-0.60893854748603393</v>
      </c>
      <c r="Q614">
        <f t="shared" si="990"/>
        <v>-18585999.26759778</v>
      </c>
      <c r="R614">
        <f t="shared" si="991"/>
        <v>-192150782.53586876</v>
      </c>
      <c r="S614">
        <f t="shared" si="992"/>
        <v>-1921.5078253586876</v>
      </c>
      <c r="T614">
        <f t="shared" si="993"/>
        <v>-1.9215078253586875</v>
      </c>
    </row>
    <row r="615" spans="1:20" x14ac:dyDescent="0.25">
      <c r="A615" s="5">
        <v>43978</v>
      </c>
      <c r="B615">
        <v>1.2120000000000001E-2</v>
      </c>
      <c r="C615">
        <v>1.2630000000000001E-2</v>
      </c>
      <c r="D615">
        <v>1.085E-2</v>
      </c>
      <c r="E615">
        <v>1.141E-2</v>
      </c>
      <c r="F615">
        <v>19995896.600000001</v>
      </c>
      <c r="G615">
        <v>0</v>
      </c>
      <c r="L615" t="s">
        <v>7</v>
      </c>
      <c r="M615" t="s">
        <v>8</v>
      </c>
      <c r="N615" t="s">
        <v>7</v>
      </c>
      <c r="P615">
        <f t="shared" si="989"/>
        <v>-0.37078651685393299</v>
      </c>
      <c r="Q615">
        <f t="shared" si="990"/>
        <v>-7414208.851685402</v>
      </c>
      <c r="R615">
        <f t="shared" si="991"/>
        <v>-173564783.26827097</v>
      </c>
      <c r="S615">
        <f t="shared" si="992"/>
        <v>-1735.6478326827098</v>
      </c>
      <c r="T615">
        <f t="shared" si="993"/>
        <v>-1.7356478326827098</v>
      </c>
    </row>
    <row r="616" spans="1:20" x14ac:dyDescent="0.25">
      <c r="A616" s="5">
        <v>43977</v>
      </c>
      <c r="B616">
        <v>1.2E-2</v>
      </c>
      <c r="C616">
        <v>1.243E-2</v>
      </c>
      <c r="D616">
        <v>1.1129999999999999E-2</v>
      </c>
      <c r="E616">
        <v>1.2160000000000001E-2</v>
      </c>
      <c r="F616">
        <v>25985470.899999999</v>
      </c>
      <c r="G616">
        <v>0</v>
      </c>
      <c r="L616" t="s">
        <v>7</v>
      </c>
      <c r="M616" t="s">
        <v>8</v>
      </c>
      <c r="N616" t="s">
        <v>7</v>
      </c>
      <c r="P616">
        <f t="shared" si="989"/>
        <v>0.58461538461538576</v>
      </c>
      <c r="Q616">
        <f t="shared" si="990"/>
        <v>15191506.064615414</v>
      </c>
      <c r="R616">
        <f t="shared" si="991"/>
        <v>-166150574.41658556</v>
      </c>
      <c r="S616">
        <f t="shared" si="992"/>
        <v>-1661.5057441658557</v>
      </c>
      <c r="T616">
        <f t="shared" si="993"/>
        <v>-1.6615057441658558</v>
      </c>
    </row>
    <row r="617" spans="1:20" x14ac:dyDescent="0.25">
      <c r="A617" s="5">
        <v>43976</v>
      </c>
      <c r="B617">
        <v>1.0659999999999999E-2</v>
      </c>
      <c r="C617">
        <v>1.265E-2</v>
      </c>
      <c r="D617">
        <v>1.0630000000000001E-2</v>
      </c>
      <c r="E617">
        <v>1.1990000000000001E-2</v>
      </c>
      <c r="F617">
        <v>40041261.100000001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0.34653465346534712</v>
      </c>
      <c r="Q617">
        <f t="shared" si="990"/>
        <v>13875684.539603984</v>
      </c>
      <c r="R617">
        <f t="shared" si="991"/>
        <v>-181342080.48120099</v>
      </c>
      <c r="S617">
        <f t="shared" si="992"/>
        <v>-1813.4208048120099</v>
      </c>
      <c r="T617">
        <f t="shared" si="993"/>
        <v>-1.81342080481201</v>
      </c>
    </row>
    <row r="618" spans="1:20" x14ac:dyDescent="0.25">
      <c r="A618" s="5">
        <v>43975</v>
      </c>
      <c r="B618">
        <v>1.0869999999999999E-2</v>
      </c>
      <c r="C618">
        <v>1.155E-2</v>
      </c>
      <c r="D618">
        <v>1.038E-2</v>
      </c>
      <c r="E618">
        <v>1.0670000000000001E-2</v>
      </c>
      <c r="F618">
        <v>26880618.199999999</v>
      </c>
      <c r="G618">
        <v>0</v>
      </c>
      <c r="L618" t="s">
        <v>8</v>
      </c>
      <c r="M618" t="s">
        <v>8</v>
      </c>
      <c r="N618" t="s">
        <v>7</v>
      </c>
      <c r="P618">
        <f t="shared" si="989"/>
        <v>-0.50427350427350337</v>
      </c>
      <c r="Q618">
        <f t="shared" si="990"/>
        <v>-13555183.536752112</v>
      </c>
      <c r="R618">
        <f t="shared" si="991"/>
        <v>-195217765.02080497</v>
      </c>
      <c r="S618">
        <f t="shared" si="992"/>
        <v>-1952.1776502080497</v>
      </c>
      <c r="T618">
        <f t="shared" si="993"/>
        <v>-1.9521776502080497</v>
      </c>
    </row>
    <row r="619" spans="1:20" x14ac:dyDescent="0.25">
      <c r="A619" s="5">
        <v>43974</v>
      </c>
      <c r="B619">
        <v>1.073E-2</v>
      </c>
      <c r="C619">
        <v>1.116E-2</v>
      </c>
      <c r="D619">
        <v>1.056E-2</v>
      </c>
      <c r="E619">
        <v>1.0869999999999999E-2</v>
      </c>
      <c r="F619">
        <v>18493631.199999999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3.3333333333331987E-2</v>
      </c>
      <c r="Q619">
        <f t="shared" si="990"/>
        <v>616454.37333330838</v>
      </c>
      <c r="R619">
        <f t="shared" si="991"/>
        <v>-181662581.48405287</v>
      </c>
      <c r="S619">
        <f t="shared" si="992"/>
        <v>-1816.6258148405286</v>
      </c>
      <c r="T619">
        <f t="shared" si="993"/>
        <v>-1.8166258148405285</v>
      </c>
    </row>
    <row r="620" spans="1:20" x14ac:dyDescent="0.25">
      <c r="A620" s="5">
        <v>43973</v>
      </c>
      <c r="B620">
        <v>1.034E-2</v>
      </c>
      <c r="C620">
        <v>1.094E-2</v>
      </c>
      <c r="D620">
        <v>1.0120000000000001E-2</v>
      </c>
      <c r="E620">
        <v>1.073E-2</v>
      </c>
      <c r="F620">
        <v>14314362.6</v>
      </c>
      <c r="G620">
        <v>0</v>
      </c>
      <c r="L620" t="s">
        <v>7</v>
      </c>
      <c r="M620" t="s">
        <v>7</v>
      </c>
      <c r="N620" t="s">
        <v>7</v>
      </c>
      <c r="P620">
        <f t="shared" si="989"/>
        <v>0.48780487804877992</v>
      </c>
      <c r="Q620">
        <f t="shared" si="990"/>
        <v>6982615.9024390159</v>
      </c>
      <c r="R620">
        <f t="shared" si="991"/>
        <v>-182279035.85738617</v>
      </c>
      <c r="S620">
        <f t="shared" si="992"/>
        <v>-1822.7903585738618</v>
      </c>
      <c r="T620">
        <f t="shared" si="993"/>
        <v>-1.8227903585738618</v>
      </c>
    </row>
    <row r="621" spans="1:20" x14ac:dyDescent="0.25">
      <c r="A621" s="5">
        <v>43972</v>
      </c>
      <c r="B621">
        <v>1.047E-2</v>
      </c>
      <c r="C621">
        <v>1.099E-2</v>
      </c>
      <c r="D621">
        <v>1.0030000000000001E-2</v>
      </c>
      <c r="E621">
        <v>1.034E-2</v>
      </c>
      <c r="F621">
        <v>23747455</v>
      </c>
      <c r="G621">
        <v>0</v>
      </c>
      <c r="L621" t="s">
        <v>8</v>
      </c>
      <c r="M621" t="s">
        <v>7</v>
      </c>
      <c r="N621" t="s">
        <v>7</v>
      </c>
      <c r="P621">
        <f t="shared" si="989"/>
        <v>-0.35416666666666702</v>
      </c>
      <c r="Q621">
        <f t="shared" si="990"/>
        <v>-8410556.9791666754</v>
      </c>
      <c r="R621">
        <f t="shared" si="991"/>
        <v>-189261651.7598252</v>
      </c>
      <c r="S621">
        <f t="shared" si="992"/>
        <v>-1892.6165175982519</v>
      </c>
      <c r="T621">
        <f t="shared" si="993"/>
        <v>-1.8926165175982519</v>
      </c>
    </row>
    <row r="622" spans="1:20" x14ac:dyDescent="0.25">
      <c r="A622" s="5">
        <v>43971</v>
      </c>
      <c r="B622">
        <v>1.0800000000000001E-2</v>
      </c>
      <c r="C622">
        <v>1.111E-2</v>
      </c>
      <c r="D622">
        <v>0.01</v>
      </c>
      <c r="E622">
        <v>1.047E-2</v>
      </c>
      <c r="F622">
        <v>23271211.600000001</v>
      </c>
      <c r="G622">
        <v>0</v>
      </c>
      <c r="L622" t="s">
        <v>7</v>
      </c>
      <c r="M622" t="s">
        <v>7</v>
      </c>
      <c r="N622" t="s">
        <v>7</v>
      </c>
      <c r="P622">
        <f t="shared" si="989"/>
        <v>-0.15315315315315317</v>
      </c>
      <c r="Q622">
        <f t="shared" si="990"/>
        <v>-3564059.434234235</v>
      </c>
      <c r="R622">
        <f t="shared" si="991"/>
        <v>-180851094.78065851</v>
      </c>
      <c r="S622">
        <f t="shared" si="992"/>
        <v>-1808.5109478065851</v>
      </c>
      <c r="T622">
        <f t="shared" si="993"/>
        <v>-1.8085109478065851</v>
      </c>
    </row>
    <row r="623" spans="1:20" x14ac:dyDescent="0.25">
      <c r="A623" s="5">
        <v>43970</v>
      </c>
      <c r="B623">
        <v>1.0670000000000001E-2</v>
      </c>
      <c r="C623">
        <v>1.119E-2</v>
      </c>
      <c r="D623">
        <v>1.059E-2</v>
      </c>
      <c r="E623">
        <v>1.085E-2</v>
      </c>
      <c r="F623">
        <v>22592252.699999999</v>
      </c>
      <c r="G623">
        <v>0</v>
      </c>
      <c r="L623" t="s">
        <v>8</v>
      </c>
      <c r="M623" t="s">
        <v>7</v>
      </c>
      <c r="N623" t="s">
        <v>7</v>
      </c>
      <c r="P623">
        <f t="shared" si="989"/>
        <v>-0.13333333333333372</v>
      </c>
      <c r="Q623">
        <f t="shared" si="990"/>
        <v>-3012300.3600000087</v>
      </c>
      <c r="R623">
        <f t="shared" si="991"/>
        <v>-177287035.34642428</v>
      </c>
      <c r="S623">
        <f t="shared" si="992"/>
        <v>-1772.8703534642427</v>
      </c>
      <c r="T623">
        <f t="shared" si="993"/>
        <v>-1.7728703534642427</v>
      </c>
    </row>
    <row r="624" spans="1:20" x14ac:dyDescent="0.25">
      <c r="A624" s="5">
        <v>43969</v>
      </c>
      <c r="B624">
        <v>1.0319999999999999E-2</v>
      </c>
      <c r="C624">
        <v>1.0999999999999999E-2</v>
      </c>
      <c r="D624">
        <v>1.026E-2</v>
      </c>
      <c r="E624">
        <v>1.0659999999999999E-2</v>
      </c>
      <c r="F624">
        <v>14947517.699999999</v>
      </c>
      <c r="G624">
        <v>0</v>
      </c>
      <c r="L624" t="s">
        <v>8</v>
      </c>
      <c r="M624" t="s">
        <v>7</v>
      </c>
      <c r="N624" t="s">
        <v>7</v>
      </c>
      <c r="P624">
        <f t="shared" si="989"/>
        <v>8.1081081081080197E-2</v>
      </c>
      <c r="Q624">
        <f t="shared" si="990"/>
        <v>1211960.8945945813</v>
      </c>
      <c r="R624">
        <f t="shared" si="991"/>
        <v>-174274734.98642427</v>
      </c>
      <c r="S624">
        <f t="shared" si="992"/>
        <v>-1742.7473498642428</v>
      </c>
      <c r="T624">
        <f t="shared" si="993"/>
        <v>-1.7427473498642427</v>
      </c>
    </row>
    <row r="625" spans="1:20" x14ac:dyDescent="0.25">
      <c r="A625" s="5">
        <v>43968</v>
      </c>
      <c r="B625">
        <v>1.023E-2</v>
      </c>
      <c r="C625">
        <v>1.038E-2</v>
      </c>
      <c r="D625">
        <v>1.014E-2</v>
      </c>
      <c r="E625">
        <v>1.0319999999999999E-2</v>
      </c>
      <c r="F625">
        <v>7184926.2999999998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0.49999999999999278</v>
      </c>
      <c r="Q625">
        <f t="shared" si="990"/>
        <v>3592463.1499999482</v>
      </c>
      <c r="R625">
        <f t="shared" si="991"/>
        <v>-175486695.88101885</v>
      </c>
      <c r="S625">
        <f t="shared" si="992"/>
        <v>-1754.8669588101884</v>
      </c>
      <c r="T625">
        <f t="shared" si="993"/>
        <v>-1.7548669588101884</v>
      </c>
    </row>
    <row r="626" spans="1:20" x14ac:dyDescent="0.25">
      <c r="A626" s="5">
        <v>43967</v>
      </c>
      <c r="B626">
        <v>9.9600000000000001E-3</v>
      </c>
      <c r="C626">
        <v>1.042E-2</v>
      </c>
      <c r="D626">
        <v>9.9399999999999992E-3</v>
      </c>
      <c r="E626">
        <v>1.023E-2</v>
      </c>
      <c r="F626">
        <v>10804994.5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0.20833333333333154</v>
      </c>
      <c r="Q626">
        <f t="shared" si="990"/>
        <v>2251040.5208333139</v>
      </c>
      <c r="R626">
        <f t="shared" si="991"/>
        <v>-179079159.03101879</v>
      </c>
      <c r="S626">
        <f t="shared" si="992"/>
        <v>-1790.791590310188</v>
      </c>
      <c r="T626">
        <f t="shared" si="993"/>
        <v>-1.7907915903101881</v>
      </c>
    </row>
    <row r="627" spans="1:20" x14ac:dyDescent="0.25">
      <c r="A627" s="5">
        <v>43966</v>
      </c>
      <c r="B627">
        <v>1.023E-2</v>
      </c>
      <c r="C627">
        <v>1.0529999999999999E-2</v>
      </c>
      <c r="D627">
        <v>9.8200000000000006E-3</v>
      </c>
      <c r="E627">
        <v>9.9600000000000001E-3</v>
      </c>
      <c r="F627">
        <v>21711661.600000001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-0.60563380281690216</v>
      </c>
      <c r="Q627">
        <f t="shared" si="990"/>
        <v>-13149316.180281708</v>
      </c>
      <c r="R627">
        <f t="shared" si="991"/>
        <v>-181330199.55185211</v>
      </c>
      <c r="S627">
        <f t="shared" si="992"/>
        <v>-1813.3019955185212</v>
      </c>
      <c r="T627">
        <f t="shared" si="993"/>
        <v>-1.8133019955185212</v>
      </c>
    </row>
    <row r="628" spans="1:20" x14ac:dyDescent="0.25">
      <c r="A628" s="5">
        <v>43965</v>
      </c>
      <c r="B628">
        <v>1.027E-2</v>
      </c>
      <c r="C628">
        <v>1.047E-2</v>
      </c>
      <c r="D628">
        <v>1.004E-2</v>
      </c>
      <c r="E628">
        <v>1.023E-2</v>
      </c>
      <c r="F628">
        <v>11458845.6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-0.11627906976744523</v>
      </c>
      <c r="Q628">
        <f t="shared" si="990"/>
        <v>-1332423.9069767827</v>
      </c>
      <c r="R628">
        <f t="shared" si="991"/>
        <v>-168180883.37157041</v>
      </c>
      <c r="S628">
        <f t="shared" si="992"/>
        <v>-1681.8088337157042</v>
      </c>
      <c r="T628">
        <f t="shared" si="993"/>
        <v>-1.6818088337157042</v>
      </c>
    </row>
    <row r="629" spans="1:20" x14ac:dyDescent="0.25">
      <c r="A629" s="5">
        <v>43964</v>
      </c>
      <c r="B629">
        <v>1.018E-2</v>
      </c>
      <c r="C629">
        <v>1.04E-2</v>
      </c>
      <c r="D629">
        <v>1.001E-2</v>
      </c>
      <c r="E629">
        <v>1.03E-2</v>
      </c>
      <c r="F629">
        <v>10292293.5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0.48717948717948989</v>
      </c>
      <c r="Q629">
        <f t="shared" si="990"/>
        <v>5014194.269230797</v>
      </c>
      <c r="R629">
        <f t="shared" si="991"/>
        <v>-166848459.46459362</v>
      </c>
      <c r="S629">
        <f t="shared" si="992"/>
        <v>-1668.4845946459361</v>
      </c>
      <c r="T629">
        <f t="shared" si="993"/>
        <v>-1.6684845946459361</v>
      </c>
    </row>
    <row r="630" spans="1:20" x14ac:dyDescent="0.25">
      <c r="A630" s="5">
        <v>43963</v>
      </c>
      <c r="B630">
        <v>9.9299999999999996E-3</v>
      </c>
      <c r="C630">
        <v>1.0319999999999999E-2</v>
      </c>
      <c r="D630">
        <v>9.9299999999999996E-3</v>
      </c>
      <c r="E630">
        <v>1.018E-2</v>
      </c>
      <c r="F630">
        <v>9746774.5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0.2820512820512841</v>
      </c>
      <c r="Q630">
        <f t="shared" si="990"/>
        <v>2749090.2435897635</v>
      </c>
      <c r="R630">
        <f t="shared" si="991"/>
        <v>-171862653.7338244</v>
      </c>
      <c r="S630">
        <f t="shared" si="992"/>
        <v>-1718.6265373382441</v>
      </c>
      <c r="T630">
        <f t="shared" si="993"/>
        <v>-1.7186265373382441</v>
      </c>
    </row>
    <row r="631" spans="1:20" x14ac:dyDescent="0.25">
      <c r="A631" s="5">
        <v>43962</v>
      </c>
      <c r="B631">
        <v>1.004E-2</v>
      </c>
      <c r="C631">
        <v>1.048E-2</v>
      </c>
      <c r="D631">
        <v>9.6100000000000005E-3</v>
      </c>
      <c r="E631">
        <v>9.9299999999999996E-3</v>
      </c>
      <c r="F631">
        <v>12267588.300000001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-0.26436781609195542</v>
      </c>
      <c r="Q631">
        <f t="shared" si="990"/>
        <v>-3243155.527586224</v>
      </c>
      <c r="R631">
        <f t="shared" si="991"/>
        <v>-174611743.97741416</v>
      </c>
      <c r="S631">
        <f t="shared" si="992"/>
        <v>-1746.1174397741415</v>
      </c>
      <c r="T631">
        <f t="shared" si="993"/>
        <v>-1.7461174397741415</v>
      </c>
    </row>
    <row r="632" spans="1:20" x14ac:dyDescent="0.25">
      <c r="A632" s="5">
        <v>43961</v>
      </c>
      <c r="B632">
        <v>1.163E-2</v>
      </c>
      <c r="C632">
        <v>1.163E-2</v>
      </c>
      <c r="D632">
        <v>9.6900000000000007E-3</v>
      </c>
      <c r="E632">
        <v>1.005E-2</v>
      </c>
      <c r="F632">
        <v>18378313.300000001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-0.62886597938144395</v>
      </c>
      <c r="Q632">
        <f t="shared" si="990"/>
        <v>-11557495.992783519</v>
      </c>
      <c r="R632">
        <f t="shared" si="991"/>
        <v>-171368588.44982794</v>
      </c>
      <c r="S632">
        <f t="shared" si="992"/>
        <v>-1713.6858844982794</v>
      </c>
      <c r="T632">
        <f t="shared" si="993"/>
        <v>-1.7136858844982794</v>
      </c>
    </row>
    <row r="633" spans="1:20" x14ac:dyDescent="0.25">
      <c r="A633" s="5">
        <v>43960</v>
      </c>
      <c r="B633">
        <v>1.183E-2</v>
      </c>
      <c r="C633">
        <v>1.2160000000000001E-2</v>
      </c>
      <c r="D633">
        <v>1.158E-2</v>
      </c>
      <c r="E633">
        <v>1.163E-2</v>
      </c>
      <c r="F633">
        <v>18408493.800000001</v>
      </c>
      <c r="G633">
        <v>0</v>
      </c>
      <c r="L633" t="s">
        <v>8</v>
      </c>
      <c r="M633" t="s">
        <v>7</v>
      </c>
      <c r="N633" t="s">
        <v>7</v>
      </c>
      <c r="P633">
        <f t="shared" si="989"/>
        <v>-0.82758620689655293</v>
      </c>
      <c r="Q633">
        <f t="shared" si="990"/>
        <v>-15234615.558620712</v>
      </c>
      <c r="R633">
        <f t="shared" si="991"/>
        <v>-159811092.45704442</v>
      </c>
      <c r="S633">
        <f t="shared" si="992"/>
        <v>-1598.1109245704442</v>
      </c>
      <c r="T633">
        <f t="shared" si="993"/>
        <v>-1.5981109245704443</v>
      </c>
    </row>
    <row r="634" spans="1:20" x14ac:dyDescent="0.25">
      <c r="A634" s="5">
        <v>43959</v>
      </c>
      <c r="B634">
        <v>1.1900000000000001E-2</v>
      </c>
      <c r="C634">
        <v>1.223E-2</v>
      </c>
      <c r="D634">
        <v>1.154E-2</v>
      </c>
      <c r="E634">
        <v>1.183E-2</v>
      </c>
      <c r="F634">
        <v>14630916</v>
      </c>
      <c r="G634">
        <v>0</v>
      </c>
      <c r="L634" t="s">
        <v>8</v>
      </c>
      <c r="M634" t="s">
        <v>7</v>
      </c>
      <c r="N634" t="s">
        <v>7</v>
      </c>
      <c r="P634">
        <f t="shared" si="989"/>
        <v>-0.15942028985507109</v>
      </c>
      <c r="Q634">
        <f t="shared" si="990"/>
        <v>-2332464.8695651973</v>
      </c>
      <c r="R634">
        <f t="shared" si="991"/>
        <v>-144576476.8984237</v>
      </c>
      <c r="S634">
        <f t="shared" si="992"/>
        <v>-1445.764768984237</v>
      </c>
      <c r="T634">
        <f t="shared" si="993"/>
        <v>-1.445764768984237</v>
      </c>
    </row>
    <row r="635" spans="1:20" x14ac:dyDescent="0.25">
      <c r="A635" s="5">
        <v>43958</v>
      </c>
      <c r="B635">
        <v>1.1639999999999999E-2</v>
      </c>
      <c r="C635">
        <v>1.197E-2</v>
      </c>
      <c r="D635">
        <v>1.155E-2</v>
      </c>
      <c r="E635">
        <v>1.1900000000000001E-2</v>
      </c>
      <c r="F635">
        <v>16001813.5</v>
      </c>
      <c r="G635">
        <v>0</v>
      </c>
      <c r="L635" t="s">
        <v>8</v>
      </c>
      <c r="M635" t="s">
        <v>7</v>
      </c>
      <c r="N635" t="s">
        <v>7</v>
      </c>
      <c r="P635">
        <f t="shared" si="989"/>
        <v>0.66666666666667218</v>
      </c>
      <c r="Q635">
        <f t="shared" si="990"/>
        <v>10667875.666666755</v>
      </c>
      <c r="R635">
        <f t="shared" si="991"/>
        <v>-142244012.02885851</v>
      </c>
      <c r="S635">
        <f t="shared" si="992"/>
        <v>-1422.4401202885851</v>
      </c>
      <c r="T635">
        <f t="shared" si="993"/>
        <v>-1.4224401202885852</v>
      </c>
    </row>
    <row r="636" spans="1:20" x14ac:dyDescent="0.25">
      <c r="A636" s="5">
        <v>43957</v>
      </c>
      <c r="B636">
        <v>1.209E-2</v>
      </c>
      <c r="C636">
        <v>1.214E-2</v>
      </c>
      <c r="D636">
        <v>1.163E-2</v>
      </c>
      <c r="E636">
        <v>1.1639999999999999E-2</v>
      </c>
      <c r="F636">
        <v>14026763.4</v>
      </c>
      <c r="G636">
        <v>0</v>
      </c>
      <c r="L636" t="s">
        <v>8</v>
      </c>
      <c r="M636" t="s">
        <v>7</v>
      </c>
      <c r="N636" t="s">
        <v>7</v>
      </c>
      <c r="P636">
        <f t="shared" si="989"/>
        <v>-0.96078431372549178</v>
      </c>
      <c r="Q636">
        <f t="shared" si="990"/>
        <v>-13476694.247058846</v>
      </c>
      <c r="R636">
        <f t="shared" si="991"/>
        <v>-152911887.69552526</v>
      </c>
      <c r="S636">
        <f t="shared" si="992"/>
        <v>-1529.1188769552525</v>
      </c>
      <c r="T636">
        <f t="shared" si="993"/>
        <v>-1.5291188769552526</v>
      </c>
    </row>
    <row r="637" spans="1:20" x14ac:dyDescent="0.25">
      <c r="A637" s="5">
        <v>43956</v>
      </c>
      <c r="B637">
        <v>1.1730000000000001E-2</v>
      </c>
      <c r="C637">
        <v>1.2290000000000001E-2</v>
      </c>
      <c r="D637">
        <v>1.15E-2</v>
      </c>
      <c r="E637">
        <v>1.209E-2</v>
      </c>
      <c r="F637">
        <v>20197932.399999999</v>
      </c>
      <c r="G637">
        <v>0</v>
      </c>
      <c r="L637" t="s">
        <v>8</v>
      </c>
      <c r="M637" t="s">
        <v>7</v>
      </c>
      <c r="N637" t="s">
        <v>7</v>
      </c>
      <c r="P637">
        <f t="shared" si="989"/>
        <v>0.49367088607594856</v>
      </c>
      <c r="Q637">
        <f t="shared" si="990"/>
        <v>9971131.1848101094</v>
      </c>
      <c r="R637">
        <f t="shared" si="991"/>
        <v>-139435193.44846642</v>
      </c>
      <c r="S637">
        <f t="shared" si="992"/>
        <v>-1394.3519344846643</v>
      </c>
      <c r="T637">
        <f t="shared" si="993"/>
        <v>-1.3943519344846642</v>
      </c>
    </row>
    <row r="638" spans="1:20" x14ac:dyDescent="0.25">
      <c r="A638" s="5">
        <v>43955</v>
      </c>
      <c r="B638">
        <v>1.1769999999999999E-2</v>
      </c>
      <c r="C638">
        <v>1.187E-2</v>
      </c>
      <c r="D638">
        <v>1.12E-2</v>
      </c>
      <c r="E638">
        <v>1.174E-2</v>
      </c>
      <c r="F638">
        <v>11828033.199999999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0.61194029850746323</v>
      </c>
      <c r="Q638">
        <f t="shared" si="990"/>
        <v>7238050.1671641851</v>
      </c>
      <c r="R638">
        <f t="shared" si="991"/>
        <v>-149406324.63327652</v>
      </c>
      <c r="S638">
        <f t="shared" si="992"/>
        <v>-1494.0632463327652</v>
      </c>
      <c r="T638">
        <f t="shared" si="993"/>
        <v>-1.4940632463327652</v>
      </c>
    </row>
    <row r="639" spans="1:20" x14ac:dyDescent="0.25">
      <c r="A639" s="5">
        <v>43954</v>
      </c>
      <c r="B639">
        <v>1.214E-2</v>
      </c>
      <c r="C639">
        <v>1.265E-2</v>
      </c>
      <c r="D639">
        <v>1.1350000000000001E-2</v>
      </c>
      <c r="E639">
        <v>1.175E-2</v>
      </c>
      <c r="F639">
        <v>18450872.699999999</v>
      </c>
      <c r="G639">
        <v>0</v>
      </c>
      <c r="L639" t="s">
        <v>8</v>
      </c>
      <c r="M639" t="s">
        <v>7</v>
      </c>
      <c r="N639" t="s">
        <v>7</v>
      </c>
      <c r="P639">
        <f t="shared" si="989"/>
        <v>-0.38461538461538525</v>
      </c>
      <c r="Q639">
        <f t="shared" si="990"/>
        <v>-7096489.5000000112</v>
      </c>
      <c r="R639">
        <f t="shared" si="991"/>
        <v>-156644374.8004407</v>
      </c>
      <c r="S639">
        <f t="shared" si="992"/>
        <v>-1566.4437480044071</v>
      </c>
      <c r="T639">
        <f t="shared" si="993"/>
        <v>-1.5664437480044071</v>
      </c>
    </row>
    <row r="640" spans="1:20" x14ac:dyDescent="0.25">
      <c r="A640" s="5">
        <v>43953</v>
      </c>
      <c r="B640">
        <v>1.179E-2</v>
      </c>
      <c r="C640">
        <v>1.2370000000000001E-2</v>
      </c>
      <c r="D640">
        <v>1.1690000000000001E-2</v>
      </c>
      <c r="E640">
        <v>1.214E-2</v>
      </c>
      <c r="F640">
        <v>15197599.199999999</v>
      </c>
      <c r="G640">
        <v>0</v>
      </c>
      <c r="L640" t="s">
        <v>8</v>
      </c>
      <c r="M640" t="s">
        <v>7</v>
      </c>
      <c r="N640" t="s">
        <v>7</v>
      </c>
      <c r="P640">
        <f t="shared" si="989"/>
        <v>0.3235294117647029</v>
      </c>
      <c r="Q640">
        <f t="shared" si="990"/>
        <v>4916870.329411719</v>
      </c>
      <c r="R640">
        <f t="shared" si="991"/>
        <v>-149547885.3004407</v>
      </c>
      <c r="S640">
        <f t="shared" si="992"/>
        <v>-1495.478853004407</v>
      </c>
      <c r="T640">
        <f t="shared" si="993"/>
        <v>-1.495478853004407</v>
      </c>
    </row>
    <row r="641" spans="1:20" x14ac:dyDescent="0.25">
      <c r="A641" s="5">
        <v>43952</v>
      </c>
      <c r="B641">
        <v>1.145E-2</v>
      </c>
      <c r="C641">
        <v>1.2E-2</v>
      </c>
      <c r="D641">
        <v>1.145E-2</v>
      </c>
      <c r="E641">
        <v>1.1809999999999999E-2</v>
      </c>
      <c r="F641">
        <v>12984533</v>
      </c>
      <c r="G641">
        <v>0</v>
      </c>
      <c r="L641" t="s">
        <v>8</v>
      </c>
      <c r="M641" t="s">
        <v>7</v>
      </c>
      <c r="N641" t="s">
        <v>7</v>
      </c>
      <c r="P641">
        <f t="shared" si="989"/>
        <v>0.30909090909090586</v>
      </c>
      <c r="Q641">
        <f t="shared" si="990"/>
        <v>4013401.109090867</v>
      </c>
      <c r="R641">
        <f t="shared" si="991"/>
        <v>-154464755.62985241</v>
      </c>
      <c r="S641">
        <f t="shared" si="992"/>
        <v>-1544.6475562985243</v>
      </c>
      <c r="T641">
        <f t="shared" si="993"/>
        <v>-1.5446475562985242</v>
      </c>
    </row>
    <row r="642" spans="1:20" x14ac:dyDescent="0.25">
      <c r="A642" s="5">
        <v>43951</v>
      </c>
      <c r="B642">
        <v>1.176E-2</v>
      </c>
      <c r="C642">
        <v>1.206E-2</v>
      </c>
      <c r="D642">
        <v>1.1220000000000001E-2</v>
      </c>
      <c r="E642">
        <v>1.141E-2</v>
      </c>
      <c r="F642">
        <v>17825927.600000001</v>
      </c>
      <c r="G642">
        <v>0</v>
      </c>
      <c r="L642" t="s">
        <v>8</v>
      </c>
      <c r="M642" t="s">
        <v>7</v>
      </c>
      <c r="N642" t="s">
        <v>7</v>
      </c>
      <c r="P642">
        <f t="shared" si="989"/>
        <v>-0.54761904761904889</v>
      </c>
      <c r="Q642">
        <f t="shared" si="990"/>
        <v>-9761817.4952381179</v>
      </c>
      <c r="R642">
        <f t="shared" si="991"/>
        <v>-158478156.73894328</v>
      </c>
      <c r="S642">
        <f t="shared" si="992"/>
        <v>-1584.7815673894329</v>
      </c>
      <c r="T642">
        <f t="shared" si="993"/>
        <v>-1.584781567389433</v>
      </c>
    </row>
    <row r="643" spans="1:20" x14ac:dyDescent="0.25">
      <c r="A643" s="5">
        <v>43950</v>
      </c>
      <c r="B643">
        <v>1.133E-2</v>
      </c>
      <c r="C643">
        <v>1.1860000000000001E-2</v>
      </c>
      <c r="D643">
        <v>1.128E-2</v>
      </c>
      <c r="E643">
        <v>1.18E-2</v>
      </c>
      <c r="F643">
        <v>15568990</v>
      </c>
      <c r="G643">
        <v>0</v>
      </c>
      <c r="L643" t="s">
        <v>8</v>
      </c>
      <c r="M643" t="s">
        <v>7</v>
      </c>
      <c r="N643" t="s">
        <v>7</v>
      </c>
      <c r="P643">
        <f t="shared" si="989"/>
        <v>0.79310344827585877</v>
      </c>
      <c r="Q643">
        <f t="shared" si="990"/>
        <v>12347819.655172363</v>
      </c>
      <c r="R643">
        <f t="shared" si="991"/>
        <v>-148716339.24370515</v>
      </c>
      <c r="S643">
        <f t="shared" si="992"/>
        <v>-1487.1633924370515</v>
      </c>
      <c r="T643">
        <f t="shared" si="993"/>
        <v>-1.4871633924370515</v>
      </c>
    </row>
    <row r="644" spans="1:20" x14ac:dyDescent="0.25">
      <c r="A644" s="5">
        <v>43949</v>
      </c>
      <c r="B644">
        <v>1.145E-2</v>
      </c>
      <c r="C644">
        <v>1.1639999999999999E-2</v>
      </c>
      <c r="D644">
        <v>1.1169999999999999E-2</v>
      </c>
      <c r="E644">
        <v>1.1299999999999999E-2</v>
      </c>
      <c r="F644">
        <v>12016438.9</v>
      </c>
      <c r="G644">
        <v>0</v>
      </c>
      <c r="L644" t="s">
        <v>7</v>
      </c>
      <c r="M644" t="s">
        <v>7</v>
      </c>
      <c r="N644" t="s">
        <v>7</v>
      </c>
      <c r="P644">
        <f t="shared" si="989"/>
        <v>-0.44680851063829818</v>
      </c>
      <c r="Q644">
        <f t="shared" si="990"/>
        <v>-5369047.1680851104</v>
      </c>
      <c r="R644">
        <f t="shared" si="991"/>
        <v>-161064158.89887753</v>
      </c>
      <c r="S644">
        <f t="shared" si="992"/>
        <v>-1610.6415889887753</v>
      </c>
      <c r="T644">
        <f t="shared" si="993"/>
        <v>-1.6106415889887753</v>
      </c>
    </row>
    <row r="645" spans="1:20" x14ac:dyDescent="0.25">
      <c r="A645" s="5">
        <v>43948</v>
      </c>
      <c r="B645">
        <v>1.171E-2</v>
      </c>
      <c r="C645">
        <v>1.196E-2</v>
      </c>
      <c r="D645">
        <v>1.115E-2</v>
      </c>
      <c r="E645">
        <v>1.145E-2</v>
      </c>
      <c r="F645">
        <v>19422383.300000001</v>
      </c>
      <c r="G645">
        <v>0</v>
      </c>
      <c r="L645" t="s">
        <v>7</v>
      </c>
      <c r="M645" t="s">
        <v>7</v>
      </c>
      <c r="N645" t="s">
        <v>7</v>
      </c>
      <c r="P645">
        <f t="shared" si="989"/>
        <v>-0.25925925925925941</v>
      </c>
      <c r="Q645">
        <f t="shared" si="990"/>
        <v>-5035432.7074074103</v>
      </c>
      <c r="R645">
        <f t="shared" si="991"/>
        <v>-155695111.73079243</v>
      </c>
      <c r="S645">
        <f t="shared" si="992"/>
        <v>-1556.9511173079243</v>
      </c>
      <c r="T645">
        <f t="shared" si="993"/>
        <v>-1.5569511173079242</v>
      </c>
    </row>
    <row r="646" spans="1:20" x14ac:dyDescent="0.25">
      <c r="A646" s="5">
        <v>43947</v>
      </c>
      <c r="B646">
        <v>1.175E-2</v>
      </c>
      <c r="C646">
        <v>1.187E-2</v>
      </c>
      <c r="D646">
        <v>1.141E-2</v>
      </c>
      <c r="E646">
        <v>1.171E-2</v>
      </c>
      <c r="F646">
        <v>6173472.2999999998</v>
      </c>
      <c r="G646">
        <v>0</v>
      </c>
      <c r="L646" t="s">
        <v>8</v>
      </c>
      <c r="M646" t="s">
        <v>7</v>
      </c>
      <c r="N646" t="s">
        <v>7</v>
      </c>
      <c r="P646">
        <f t="shared" ref="P646:P709" si="994">IF(C646=D646,0,((E646-D646)-(C646-E646))/(C646-D646))</f>
        <v>0.30434782608695521</v>
      </c>
      <c r="Q646">
        <f t="shared" ref="Q646:Q709" si="995">F646*P646</f>
        <v>1878882.8739130353</v>
      </c>
      <c r="R646">
        <f t="shared" ref="R646:R709" si="996">R647+Q646</f>
        <v>-150659679.02338502</v>
      </c>
      <c r="S646">
        <f t="shared" ref="S646:S709" si="997">R646/100000</f>
        <v>-1506.5967902338502</v>
      </c>
      <c r="T646">
        <f t="shared" ref="T646:T709" si="998">S646/1000</f>
        <v>-1.5065967902338502</v>
      </c>
    </row>
    <row r="647" spans="1:20" x14ac:dyDescent="0.25">
      <c r="A647" s="5">
        <v>43946</v>
      </c>
      <c r="B647">
        <v>1.145E-2</v>
      </c>
      <c r="C647">
        <v>1.192E-2</v>
      </c>
      <c r="D647">
        <v>1.145E-2</v>
      </c>
      <c r="E647">
        <v>1.17E-2</v>
      </c>
      <c r="F647">
        <v>4353103.5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6.3829787234043658E-2</v>
      </c>
      <c r="Q647">
        <f t="shared" si="995"/>
        <v>277857.67021277075</v>
      </c>
      <c r="R647">
        <f t="shared" si="996"/>
        <v>-152538561.89729807</v>
      </c>
      <c r="S647">
        <f t="shared" si="997"/>
        <v>-1525.3856189729806</v>
      </c>
      <c r="T647">
        <f t="shared" si="998"/>
        <v>-1.5253856189729806</v>
      </c>
    </row>
    <row r="648" spans="1:20" x14ac:dyDescent="0.25">
      <c r="A648" s="5">
        <v>43945</v>
      </c>
      <c r="B648">
        <v>1.159E-2</v>
      </c>
      <c r="C648">
        <v>1.197E-2</v>
      </c>
      <c r="D648">
        <v>1.136E-2</v>
      </c>
      <c r="E648">
        <v>1.1560000000000001E-2</v>
      </c>
      <c r="F648">
        <v>6043146.5999999996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-0.34426229508196488</v>
      </c>
      <c r="Q648">
        <f t="shared" si="995"/>
        <v>-2080427.5180327727</v>
      </c>
      <c r="R648">
        <f t="shared" si="996"/>
        <v>-152816419.56751084</v>
      </c>
      <c r="S648">
        <f t="shared" si="997"/>
        <v>-1528.1641956751084</v>
      </c>
      <c r="T648">
        <f t="shared" si="998"/>
        <v>-1.5281641956751084</v>
      </c>
    </row>
    <row r="649" spans="1:20" x14ac:dyDescent="0.25">
      <c r="A649" s="5">
        <v>43944</v>
      </c>
      <c r="B649">
        <v>1.146E-2</v>
      </c>
      <c r="C649">
        <v>1.1780000000000001E-2</v>
      </c>
      <c r="D649">
        <v>1.12E-2</v>
      </c>
      <c r="E649">
        <v>1.1520000000000001E-2</v>
      </c>
      <c r="F649">
        <v>13160637.1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0.10344827586207062</v>
      </c>
      <c r="Q649">
        <f t="shared" si="995"/>
        <v>1361445.2172414011</v>
      </c>
      <c r="R649">
        <f t="shared" si="996"/>
        <v>-150735992.04947808</v>
      </c>
      <c r="S649">
        <f t="shared" si="997"/>
        <v>-1507.3599204947809</v>
      </c>
      <c r="T649">
        <f t="shared" si="998"/>
        <v>-1.507359920494781</v>
      </c>
    </row>
    <row r="650" spans="1:20" x14ac:dyDescent="0.25">
      <c r="A650" s="5">
        <v>43943</v>
      </c>
      <c r="B650">
        <v>1.124E-2</v>
      </c>
      <c r="C650">
        <v>1.1820000000000001E-2</v>
      </c>
      <c r="D650">
        <v>1.102E-2</v>
      </c>
      <c r="E650">
        <v>1.1599999999999999E-2</v>
      </c>
      <c r="F650">
        <v>12000482.199999999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0.44999999999999662</v>
      </c>
      <c r="Q650">
        <f t="shared" si="995"/>
        <v>5400216.9899999592</v>
      </c>
      <c r="R650">
        <f t="shared" si="996"/>
        <v>-152097437.26671949</v>
      </c>
      <c r="S650">
        <f t="shared" si="997"/>
        <v>-1520.974372667195</v>
      </c>
      <c r="T650">
        <f t="shared" si="998"/>
        <v>-1.5209743726671949</v>
      </c>
    </row>
    <row r="651" spans="1:20" x14ac:dyDescent="0.25">
      <c r="A651" s="5">
        <v>43942</v>
      </c>
      <c r="B651">
        <v>1.15E-2</v>
      </c>
      <c r="C651">
        <v>1.172E-2</v>
      </c>
      <c r="D651">
        <v>1.0800000000000001E-2</v>
      </c>
      <c r="E651">
        <v>1.1180000000000001E-2</v>
      </c>
      <c r="F651">
        <v>7380818.2000000002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-0.17391304347825964</v>
      </c>
      <c r="Q651">
        <f t="shared" si="995"/>
        <v>-1283620.55652173</v>
      </c>
      <c r="R651">
        <f t="shared" si="996"/>
        <v>-157497654.25671944</v>
      </c>
      <c r="S651">
        <f t="shared" si="997"/>
        <v>-1574.9765425671944</v>
      </c>
      <c r="T651">
        <f t="shared" si="998"/>
        <v>-1.5749765425671944</v>
      </c>
    </row>
    <row r="652" spans="1:20" x14ac:dyDescent="0.25">
      <c r="A652" s="5">
        <v>43941</v>
      </c>
      <c r="B652">
        <v>1.2120000000000001E-2</v>
      </c>
      <c r="C652">
        <v>1.239E-2</v>
      </c>
      <c r="D652">
        <v>1.137E-2</v>
      </c>
      <c r="E652">
        <v>1.154E-2</v>
      </c>
      <c r="F652">
        <v>7398303.5999999996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-0.66666666666666663</v>
      </c>
      <c r="Q652">
        <f t="shared" si="995"/>
        <v>-4932202.3999999994</v>
      </c>
      <c r="R652">
        <f t="shared" si="996"/>
        <v>-156214033.7001977</v>
      </c>
      <c r="S652">
        <f t="shared" si="997"/>
        <v>-1562.1403370019771</v>
      </c>
      <c r="T652">
        <f t="shared" si="998"/>
        <v>-1.5621403370019771</v>
      </c>
    </row>
    <row r="653" spans="1:20" x14ac:dyDescent="0.25">
      <c r="A653" s="5">
        <v>43940</v>
      </c>
      <c r="B653">
        <v>1.2189999999999999E-2</v>
      </c>
      <c r="C653">
        <v>1.273E-2</v>
      </c>
      <c r="D653">
        <v>1.191E-2</v>
      </c>
      <c r="E653">
        <v>1.2019999999999999E-2</v>
      </c>
      <c r="F653">
        <v>8560730.0999999996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-0.73170731707317305</v>
      </c>
      <c r="Q653">
        <f t="shared" si="995"/>
        <v>-6263948.853658556</v>
      </c>
      <c r="R653">
        <f t="shared" si="996"/>
        <v>-151281831.30019769</v>
      </c>
      <c r="S653">
        <f t="shared" si="997"/>
        <v>-1512.818313001977</v>
      </c>
      <c r="T653">
        <f t="shared" si="998"/>
        <v>-1.512818313001977</v>
      </c>
    </row>
    <row r="654" spans="1:20" x14ac:dyDescent="0.25">
      <c r="A654" s="5">
        <v>43939</v>
      </c>
      <c r="B654">
        <v>1.1610000000000001E-2</v>
      </c>
      <c r="C654">
        <v>1.247E-2</v>
      </c>
      <c r="D654">
        <v>1.1610000000000001E-2</v>
      </c>
      <c r="E654">
        <v>1.222E-2</v>
      </c>
      <c r="F654">
        <v>14604310.6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0.41860465116278994</v>
      </c>
      <c r="Q654">
        <f t="shared" si="995"/>
        <v>6113432.344186035</v>
      </c>
      <c r="R654">
        <f t="shared" si="996"/>
        <v>-145017882.44653913</v>
      </c>
      <c r="S654">
        <f t="shared" si="997"/>
        <v>-1450.1788244653912</v>
      </c>
      <c r="T654">
        <f t="shared" si="998"/>
        <v>-1.4501788244653913</v>
      </c>
    </row>
    <row r="655" spans="1:20" x14ac:dyDescent="0.25">
      <c r="A655" s="5">
        <v>43938</v>
      </c>
      <c r="B655">
        <v>1.192E-2</v>
      </c>
      <c r="C655">
        <v>1.204E-2</v>
      </c>
      <c r="D655">
        <v>1.1429999999999999E-2</v>
      </c>
      <c r="E655">
        <v>1.1610000000000001E-2</v>
      </c>
      <c r="F655">
        <v>11314484.300000001</v>
      </c>
      <c r="G655">
        <v>0</v>
      </c>
      <c r="L655" t="s">
        <v>7</v>
      </c>
      <c r="M655" t="s">
        <v>7</v>
      </c>
      <c r="N655" t="s">
        <v>7</v>
      </c>
      <c r="P655">
        <f t="shared" si="994"/>
        <v>-0.40983606557376723</v>
      </c>
      <c r="Q655">
        <f t="shared" si="995"/>
        <v>-4637083.7295081597</v>
      </c>
      <c r="R655">
        <f t="shared" si="996"/>
        <v>-151131314.79072517</v>
      </c>
      <c r="S655">
        <f t="shared" si="997"/>
        <v>-1511.3131479072517</v>
      </c>
      <c r="T655">
        <f t="shared" si="998"/>
        <v>-1.5113131479072517</v>
      </c>
    </row>
    <row r="656" spans="1:20" x14ac:dyDescent="0.25">
      <c r="A656" s="5">
        <v>43937</v>
      </c>
      <c r="B656">
        <v>1.1610000000000001E-2</v>
      </c>
      <c r="C656">
        <v>1.234E-2</v>
      </c>
      <c r="D656">
        <v>1.137E-2</v>
      </c>
      <c r="E656">
        <v>1.2E-2</v>
      </c>
      <c r="F656">
        <v>6408601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0.29896907216494867</v>
      </c>
      <c r="Q656">
        <f t="shared" si="995"/>
        <v>1915973.4948453621</v>
      </c>
      <c r="R656">
        <f t="shared" si="996"/>
        <v>-146494231.06121701</v>
      </c>
      <c r="S656">
        <f t="shared" si="997"/>
        <v>-1464.9423106121701</v>
      </c>
      <c r="T656">
        <f t="shared" si="998"/>
        <v>-1.4649423106121702</v>
      </c>
    </row>
    <row r="657" spans="1:20" x14ac:dyDescent="0.25">
      <c r="A657" s="5">
        <v>43936</v>
      </c>
      <c r="B657">
        <v>1.209E-2</v>
      </c>
      <c r="C657">
        <v>1.2800000000000001E-2</v>
      </c>
      <c r="D657">
        <v>1.1610000000000001E-2</v>
      </c>
      <c r="E657">
        <v>1.172E-2</v>
      </c>
      <c r="F657">
        <v>6796343.0999999996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-0.81512605042016983</v>
      </c>
      <c r="Q657">
        <f t="shared" si="995"/>
        <v>-5539876.3084033728</v>
      </c>
      <c r="R657">
        <f t="shared" si="996"/>
        <v>-148410204.55606237</v>
      </c>
      <c r="S657">
        <f t="shared" si="997"/>
        <v>-1484.1020455606238</v>
      </c>
      <c r="T657">
        <f t="shared" si="998"/>
        <v>-1.4841020455606238</v>
      </c>
    </row>
    <row r="658" spans="1:20" x14ac:dyDescent="0.25">
      <c r="A658" s="5">
        <v>43935</v>
      </c>
      <c r="B658">
        <v>1.1820000000000001E-2</v>
      </c>
      <c r="C658">
        <v>1.2749999999999999E-2</v>
      </c>
      <c r="D658">
        <v>1.167E-2</v>
      </c>
      <c r="E658">
        <v>1.208E-2</v>
      </c>
      <c r="F658">
        <v>6905629.5999999996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-0.24074074074073912</v>
      </c>
      <c r="Q658">
        <f t="shared" si="995"/>
        <v>-1662466.3851851739</v>
      </c>
      <c r="R658">
        <f t="shared" si="996"/>
        <v>-142870328.247659</v>
      </c>
      <c r="S658">
        <f t="shared" si="997"/>
        <v>-1428.7032824765899</v>
      </c>
      <c r="T658">
        <f t="shared" si="998"/>
        <v>-1.42870328247659</v>
      </c>
    </row>
    <row r="659" spans="1:20" x14ac:dyDescent="0.25">
      <c r="A659" s="5">
        <v>43934</v>
      </c>
      <c r="B659">
        <v>1.208E-2</v>
      </c>
      <c r="C659">
        <v>1.217E-2</v>
      </c>
      <c r="D659">
        <v>1.1509999999999999E-2</v>
      </c>
      <c r="E659">
        <v>1.179E-2</v>
      </c>
      <c r="F659">
        <v>6655852.5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-0.15151515151515041</v>
      </c>
      <c r="Q659">
        <f t="shared" si="995"/>
        <v>-1008462.4999999927</v>
      </c>
      <c r="R659">
        <f t="shared" si="996"/>
        <v>-141207861.86247382</v>
      </c>
      <c r="S659">
        <f t="shared" si="997"/>
        <v>-1412.0786186247381</v>
      </c>
      <c r="T659">
        <f t="shared" si="998"/>
        <v>-1.412078618624738</v>
      </c>
    </row>
    <row r="660" spans="1:20" x14ac:dyDescent="0.25">
      <c r="A660" s="5">
        <v>43933</v>
      </c>
      <c r="B660">
        <v>1.235E-2</v>
      </c>
      <c r="C660">
        <v>1.2659999999999999E-2</v>
      </c>
      <c r="D660">
        <v>1.1849999999999999E-2</v>
      </c>
      <c r="E660">
        <v>1.24E-2</v>
      </c>
      <c r="F660">
        <v>5938760.4000000004</v>
      </c>
      <c r="G660">
        <v>0</v>
      </c>
      <c r="L660" t="s">
        <v>7</v>
      </c>
      <c r="M660" t="s">
        <v>7</v>
      </c>
      <c r="N660" t="s">
        <v>7</v>
      </c>
      <c r="P660">
        <f t="shared" si="994"/>
        <v>0.35802469135802512</v>
      </c>
      <c r="Q660">
        <f t="shared" si="995"/>
        <v>2126222.8592592617</v>
      </c>
      <c r="R660">
        <f t="shared" si="996"/>
        <v>-140199399.36247382</v>
      </c>
      <c r="S660">
        <f t="shared" si="997"/>
        <v>-1401.9939936247381</v>
      </c>
      <c r="T660">
        <f t="shared" si="998"/>
        <v>-1.4019939936247381</v>
      </c>
    </row>
    <row r="661" spans="1:20" x14ac:dyDescent="0.25">
      <c r="A661" s="5">
        <v>43932</v>
      </c>
      <c r="B661">
        <v>1.221E-2</v>
      </c>
      <c r="C661">
        <v>1.259E-2</v>
      </c>
      <c r="D661">
        <v>1.1849999999999999E-2</v>
      </c>
      <c r="E661">
        <v>1.218E-2</v>
      </c>
      <c r="F661">
        <v>4747251.4000000004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-0.10810810810810824</v>
      </c>
      <c r="Q661">
        <f t="shared" si="995"/>
        <v>-513216.3675675682</v>
      </c>
      <c r="R661">
        <f t="shared" si="996"/>
        <v>-142325622.22173306</v>
      </c>
      <c r="S661">
        <f t="shared" si="997"/>
        <v>-1423.2562222173306</v>
      </c>
      <c r="T661">
        <f t="shared" si="998"/>
        <v>-1.4232562222173306</v>
      </c>
    </row>
    <row r="662" spans="1:20" x14ac:dyDescent="0.25">
      <c r="A662" s="5">
        <v>43931</v>
      </c>
      <c r="B662">
        <v>1.3639999999999999E-2</v>
      </c>
      <c r="C662">
        <v>1.366E-2</v>
      </c>
      <c r="D662">
        <v>1.187E-2</v>
      </c>
      <c r="E662">
        <v>1.221E-2</v>
      </c>
      <c r="F662">
        <v>20116614.699999999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-0.62011173184357538</v>
      </c>
      <c r="Q662">
        <f t="shared" si="995"/>
        <v>-12474548.780446926</v>
      </c>
      <c r="R662">
        <f t="shared" si="996"/>
        <v>-141812405.85416549</v>
      </c>
      <c r="S662">
        <f t="shared" si="997"/>
        <v>-1418.1240585416549</v>
      </c>
      <c r="T662">
        <f t="shared" si="998"/>
        <v>-1.4181240585416548</v>
      </c>
    </row>
    <row r="663" spans="1:20" x14ac:dyDescent="0.25">
      <c r="A663" s="5">
        <v>43930</v>
      </c>
      <c r="B663">
        <v>1.4080000000000001E-2</v>
      </c>
      <c r="C663">
        <v>1.418E-2</v>
      </c>
      <c r="D663">
        <v>1.3520000000000001E-2</v>
      </c>
      <c r="E663">
        <v>1.3639999999999999E-2</v>
      </c>
      <c r="F663">
        <v>10935771.800000001</v>
      </c>
      <c r="G663">
        <v>0</v>
      </c>
      <c r="L663" t="s">
        <v>7</v>
      </c>
      <c r="M663" t="s">
        <v>7</v>
      </c>
      <c r="N663" t="s">
        <v>7</v>
      </c>
      <c r="P663">
        <f t="shared" si="994"/>
        <v>-0.63636363636364024</v>
      </c>
      <c r="Q663">
        <f t="shared" si="995"/>
        <v>-6959127.5090909516</v>
      </c>
      <c r="R663">
        <f t="shared" si="996"/>
        <v>-129337857.07371858</v>
      </c>
      <c r="S663">
        <f t="shared" si="997"/>
        <v>-1293.3785707371858</v>
      </c>
      <c r="T663">
        <f t="shared" si="998"/>
        <v>-1.2933785707371859</v>
      </c>
    </row>
    <row r="664" spans="1:20" x14ac:dyDescent="0.25">
      <c r="A664" s="5">
        <v>43929</v>
      </c>
      <c r="B664">
        <v>1.4109999999999999E-2</v>
      </c>
      <c r="C664">
        <v>1.4500000000000001E-2</v>
      </c>
      <c r="D664">
        <v>1.38E-2</v>
      </c>
      <c r="E664">
        <v>1.417E-2</v>
      </c>
      <c r="F664">
        <v>9884076.8000000007</v>
      </c>
      <c r="G664">
        <v>0</v>
      </c>
      <c r="L664" t="s">
        <v>7</v>
      </c>
      <c r="M664" t="s">
        <v>7</v>
      </c>
      <c r="N664" t="s">
        <v>7</v>
      </c>
      <c r="P664">
        <f t="shared" si="994"/>
        <v>5.714285714285721E-2</v>
      </c>
      <c r="Q664">
        <f t="shared" si="995"/>
        <v>564804.3885714293</v>
      </c>
      <c r="R664">
        <f t="shared" si="996"/>
        <v>-122378729.56462763</v>
      </c>
      <c r="S664">
        <f t="shared" si="997"/>
        <v>-1223.7872956462763</v>
      </c>
      <c r="T664">
        <f t="shared" si="998"/>
        <v>-1.2237872956462763</v>
      </c>
    </row>
    <row r="665" spans="1:20" x14ac:dyDescent="0.25">
      <c r="A665" s="5">
        <v>43928</v>
      </c>
      <c r="B665">
        <v>1.4659999999999999E-2</v>
      </c>
      <c r="C665">
        <v>1.478E-2</v>
      </c>
      <c r="D665">
        <v>1.375E-2</v>
      </c>
      <c r="E665">
        <v>1.4109999999999999E-2</v>
      </c>
      <c r="F665">
        <v>21319067.5</v>
      </c>
      <c r="G665">
        <v>0</v>
      </c>
      <c r="L665" t="s">
        <v>8</v>
      </c>
      <c r="M665" t="s">
        <v>7</v>
      </c>
      <c r="N665" t="s">
        <v>7</v>
      </c>
      <c r="P665">
        <f t="shared" si="994"/>
        <v>-0.30097087378640908</v>
      </c>
      <c r="Q665">
        <f t="shared" si="995"/>
        <v>-6416418.3737864355</v>
      </c>
      <c r="R665">
        <f t="shared" si="996"/>
        <v>-122943533.95319906</v>
      </c>
      <c r="S665">
        <f t="shared" si="997"/>
        <v>-1229.4353395319906</v>
      </c>
      <c r="T665">
        <f t="shared" si="998"/>
        <v>-1.2294353395319906</v>
      </c>
    </row>
    <row r="666" spans="1:20" x14ac:dyDescent="0.25">
      <c r="A666" s="5">
        <v>43927</v>
      </c>
      <c r="B666">
        <v>1.455E-2</v>
      </c>
      <c r="C666">
        <v>1.4840000000000001E-2</v>
      </c>
      <c r="D666">
        <v>1.376E-2</v>
      </c>
      <c r="E666">
        <v>1.473E-2</v>
      </c>
      <c r="F666">
        <v>31545844.899999999</v>
      </c>
      <c r="G666">
        <v>0</v>
      </c>
      <c r="L666" t="s">
        <v>7</v>
      </c>
      <c r="M666" t="s">
        <v>7</v>
      </c>
      <c r="N666" t="s">
        <v>7</v>
      </c>
      <c r="P666">
        <f t="shared" si="994"/>
        <v>0.79629629629629517</v>
      </c>
      <c r="Q666">
        <f t="shared" si="995"/>
        <v>25119839.45740737</v>
      </c>
      <c r="R666">
        <f t="shared" si="996"/>
        <v>-116527115.57941262</v>
      </c>
      <c r="S666">
        <f t="shared" si="997"/>
        <v>-1165.2711557941263</v>
      </c>
      <c r="T666">
        <f t="shared" si="998"/>
        <v>-1.1652711557941264</v>
      </c>
    </row>
    <row r="667" spans="1:20" x14ac:dyDescent="0.25">
      <c r="A667" s="5">
        <v>43926</v>
      </c>
      <c r="B667">
        <v>1.4579999999999999E-2</v>
      </c>
      <c r="C667">
        <v>1.52E-2</v>
      </c>
      <c r="D667">
        <v>1.418E-2</v>
      </c>
      <c r="E667">
        <v>1.4579999999999999E-2</v>
      </c>
      <c r="F667">
        <v>17771722.100000001</v>
      </c>
      <c r="G667">
        <v>0</v>
      </c>
      <c r="L667" t="s">
        <v>8</v>
      </c>
      <c r="M667" t="s">
        <v>7</v>
      </c>
      <c r="N667" t="s">
        <v>7</v>
      </c>
      <c r="P667">
        <f t="shared" si="994"/>
        <v>-0.21568627450980532</v>
      </c>
      <c r="Q667">
        <f t="shared" si="995"/>
        <v>-3833116.5313725742</v>
      </c>
      <c r="R667">
        <f t="shared" si="996"/>
        <v>-141646955.03681999</v>
      </c>
      <c r="S667">
        <f t="shared" si="997"/>
        <v>-1416.4695503681999</v>
      </c>
      <c r="T667">
        <f t="shared" si="998"/>
        <v>-1.4164695503681999</v>
      </c>
    </row>
    <row r="668" spans="1:20" x14ac:dyDescent="0.25">
      <c r="A668" s="5">
        <v>43925</v>
      </c>
      <c r="B668">
        <v>1.448E-2</v>
      </c>
      <c r="C668">
        <v>1.49E-2</v>
      </c>
      <c r="D668">
        <v>1.401E-2</v>
      </c>
      <c r="E668">
        <v>1.4590000000000001E-2</v>
      </c>
      <c r="F668">
        <v>14136321.9</v>
      </c>
      <c r="G668">
        <v>0</v>
      </c>
      <c r="L668" t="s">
        <v>7</v>
      </c>
      <c r="M668" t="s">
        <v>7</v>
      </c>
      <c r="N668" t="s">
        <v>7</v>
      </c>
      <c r="P668">
        <f t="shared" si="994"/>
        <v>0.30337078651685517</v>
      </c>
      <c r="Q668">
        <f t="shared" si="995"/>
        <v>4288547.0932584442</v>
      </c>
      <c r="R668">
        <f t="shared" si="996"/>
        <v>-137813838.50544742</v>
      </c>
      <c r="S668">
        <f t="shared" si="997"/>
        <v>-1378.1383850544742</v>
      </c>
      <c r="T668">
        <f t="shared" si="998"/>
        <v>-1.3781383850544742</v>
      </c>
    </row>
    <row r="669" spans="1:20" x14ac:dyDescent="0.25">
      <c r="A669" s="5">
        <v>43924</v>
      </c>
      <c r="B669">
        <v>1.5100000000000001E-2</v>
      </c>
      <c r="C669">
        <v>1.528E-2</v>
      </c>
      <c r="D669">
        <v>1.41E-2</v>
      </c>
      <c r="E669">
        <v>1.4489999999999999E-2</v>
      </c>
      <c r="F669">
        <v>27021445</v>
      </c>
      <c r="G669">
        <v>0</v>
      </c>
      <c r="L669" t="s">
        <v>7</v>
      </c>
      <c r="M669" t="s">
        <v>7</v>
      </c>
      <c r="N669" t="s">
        <v>7</v>
      </c>
      <c r="P669">
        <f t="shared" si="994"/>
        <v>-0.33898305084745839</v>
      </c>
      <c r="Q669">
        <f t="shared" si="995"/>
        <v>-9159811.8644067999</v>
      </c>
      <c r="R669">
        <f t="shared" si="996"/>
        <v>-142102385.59870586</v>
      </c>
      <c r="S669">
        <f t="shared" si="997"/>
        <v>-1421.0238559870586</v>
      </c>
      <c r="T669">
        <f t="shared" si="998"/>
        <v>-1.4210238559870585</v>
      </c>
    </row>
    <row r="670" spans="1:20" x14ac:dyDescent="0.25">
      <c r="A670" s="5">
        <v>43923</v>
      </c>
      <c r="B670">
        <v>1.485E-2</v>
      </c>
      <c r="C670">
        <v>1.8460000000000001E-2</v>
      </c>
      <c r="D670">
        <v>1.405E-2</v>
      </c>
      <c r="E670">
        <v>1.5100000000000001E-2</v>
      </c>
      <c r="F670">
        <v>114590064.2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-0.52380952380952361</v>
      </c>
      <c r="Q670">
        <f t="shared" si="995"/>
        <v>-60023366.961904742</v>
      </c>
      <c r="R670">
        <f t="shared" si="996"/>
        <v>-132942573.73429906</v>
      </c>
      <c r="S670">
        <f t="shared" si="997"/>
        <v>-1329.4257373429907</v>
      </c>
      <c r="T670">
        <f t="shared" si="998"/>
        <v>-1.3294257373429907</v>
      </c>
    </row>
    <row r="671" spans="1:20" x14ac:dyDescent="0.25">
      <c r="A671" s="5">
        <v>43922</v>
      </c>
      <c r="B671">
        <v>1.4919999999999999E-2</v>
      </c>
      <c r="C671">
        <v>1.4919999999999999E-2</v>
      </c>
      <c r="D671">
        <v>1.384E-2</v>
      </c>
      <c r="E671">
        <v>1.485E-2</v>
      </c>
      <c r="F671">
        <v>10422935.6</v>
      </c>
      <c r="G671">
        <v>0</v>
      </c>
      <c r="L671" t="s">
        <v>7</v>
      </c>
      <c r="M671" t="s">
        <v>7</v>
      </c>
      <c r="N671" t="s">
        <v>7</v>
      </c>
      <c r="P671">
        <f t="shared" si="994"/>
        <v>0.87037037037037235</v>
      </c>
      <c r="Q671">
        <f t="shared" si="995"/>
        <v>9071814.318518538</v>
      </c>
      <c r="R671">
        <f t="shared" si="996"/>
        <v>-72919206.772394329</v>
      </c>
      <c r="S671">
        <f t="shared" si="997"/>
        <v>-729.1920677239433</v>
      </c>
      <c r="T671">
        <f t="shared" si="998"/>
        <v>-0.72919206772394329</v>
      </c>
    </row>
    <row r="672" spans="1:20" x14ac:dyDescent="0.25">
      <c r="A672" s="5">
        <v>43921</v>
      </c>
      <c r="B672">
        <v>1.474E-2</v>
      </c>
      <c r="C672">
        <v>1.6230000000000001E-2</v>
      </c>
      <c r="D672">
        <v>1.4E-2</v>
      </c>
      <c r="E672">
        <v>1.498E-2</v>
      </c>
      <c r="F672">
        <v>24307949.100000001</v>
      </c>
      <c r="G672">
        <v>0</v>
      </c>
      <c r="L672" t="s">
        <v>8</v>
      </c>
      <c r="M672" t="s">
        <v>7</v>
      </c>
      <c r="N672" t="s">
        <v>7</v>
      </c>
      <c r="P672">
        <f t="shared" si="994"/>
        <v>-0.12107623318385695</v>
      </c>
      <c r="Q672">
        <f t="shared" si="995"/>
        <v>-2943114.9134529256</v>
      </c>
      <c r="R672">
        <f t="shared" si="996"/>
        <v>-81991021.090912864</v>
      </c>
      <c r="S672">
        <f t="shared" si="997"/>
        <v>-819.91021090912864</v>
      </c>
      <c r="T672">
        <f t="shared" si="998"/>
        <v>-0.81991021090912863</v>
      </c>
    </row>
    <row r="673" spans="1:20" x14ac:dyDescent="0.25">
      <c r="A673" s="5">
        <v>43920</v>
      </c>
      <c r="B673">
        <v>1.468E-2</v>
      </c>
      <c r="C673">
        <v>1.538E-2</v>
      </c>
      <c r="D673">
        <v>1.4E-2</v>
      </c>
      <c r="E673">
        <v>1.474E-2</v>
      </c>
      <c r="F673">
        <v>21249138.399999999</v>
      </c>
      <c r="G673">
        <v>0</v>
      </c>
      <c r="L673" t="s">
        <v>7</v>
      </c>
      <c r="M673" t="s">
        <v>7</v>
      </c>
      <c r="N673" t="s">
        <v>7</v>
      </c>
      <c r="P673">
        <f t="shared" si="994"/>
        <v>7.2463768115941629E-2</v>
      </c>
      <c r="Q673">
        <f t="shared" si="995"/>
        <v>1539792.6376811508</v>
      </c>
      <c r="R673">
        <f t="shared" si="996"/>
        <v>-79047906.17745994</v>
      </c>
      <c r="S673">
        <f t="shared" si="997"/>
        <v>-790.47906177459936</v>
      </c>
      <c r="T673">
        <f t="shared" si="998"/>
        <v>-0.79047906177459937</v>
      </c>
    </row>
    <row r="674" spans="1:20" x14ac:dyDescent="0.25">
      <c r="A674" s="5">
        <v>43919</v>
      </c>
      <c r="B674">
        <v>1.6070000000000001E-2</v>
      </c>
      <c r="C674">
        <v>1.6639999999999999E-2</v>
      </c>
      <c r="D674">
        <v>1.388E-2</v>
      </c>
      <c r="E674">
        <v>1.468E-2</v>
      </c>
      <c r="F674">
        <v>33550700.100000001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-0.42028985507246319</v>
      </c>
      <c r="Q674">
        <f t="shared" si="995"/>
        <v>-14101018.882608676</v>
      </c>
      <c r="R674">
        <f t="shared" si="996"/>
        <v>-80587698.815141097</v>
      </c>
      <c r="S674">
        <f t="shared" si="997"/>
        <v>-805.87698815141096</v>
      </c>
      <c r="T674">
        <f t="shared" si="998"/>
        <v>-0.80587698815141096</v>
      </c>
    </row>
    <row r="675" spans="1:20" x14ac:dyDescent="0.25">
      <c r="A675" s="5">
        <v>43918</v>
      </c>
      <c r="B675">
        <v>1.47E-2</v>
      </c>
      <c r="C675">
        <v>1.7559999999999999E-2</v>
      </c>
      <c r="D675">
        <v>1.3769999999999999E-2</v>
      </c>
      <c r="E675">
        <v>1.6E-2</v>
      </c>
      <c r="F675">
        <v>60561036.799999997</v>
      </c>
      <c r="G675">
        <v>0</v>
      </c>
      <c r="L675" t="s">
        <v>7</v>
      </c>
      <c r="M675" t="s">
        <v>8</v>
      </c>
      <c r="N675" t="s">
        <v>7</v>
      </c>
      <c r="P675">
        <f t="shared" si="994"/>
        <v>0.176781002638523</v>
      </c>
      <c r="Q675">
        <f t="shared" si="995"/>
        <v>10706040.806332488</v>
      </c>
      <c r="R675">
        <f t="shared" si="996"/>
        <v>-66486679.932532415</v>
      </c>
      <c r="S675">
        <f t="shared" si="997"/>
        <v>-664.86679932532411</v>
      </c>
      <c r="T675">
        <f t="shared" si="998"/>
        <v>-0.66486679932532411</v>
      </c>
    </row>
    <row r="676" spans="1:20" x14ac:dyDescent="0.25">
      <c r="A676" s="5">
        <v>43917</v>
      </c>
      <c r="B676">
        <v>1.6639999999999999E-2</v>
      </c>
      <c r="C676">
        <v>1.7080000000000001E-2</v>
      </c>
      <c r="D676">
        <v>1.421E-2</v>
      </c>
      <c r="E676">
        <v>1.47E-2</v>
      </c>
      <c r="F676">
        <v>25999902.5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-0.65853658536585435</v>
      </c>
      <c r="Q676">
        <f t="shared" si="995"/>
        <v>-17121887.01219514</v>
      </c>
      <c r="R676">
        <f t="shared" si="996"/>
        <v>-77192720.738864899</v>
      </c>
      <c r="S676">
        <f t="shared" si="997"/>
        <v>-771.92720738864898</v>
      </c>
      <c r="T676">
        <f t="shared" si="998"/>
        <v>-0.77192720738864895</v>
      </c>
    </row>
    <row r="677" spans="1:20" x14ac:dyDescent="0.25">
      <c r="A677" s="5">
        <v>43916</v>
      </c>
      <c r="B677">
        <v>1.8929999999999999E-2</v>
      </c>
      <c r="C677">
        <v>1.899E-2</v>
      </c>
      <c r="D677">
        <v>1.5890000000000001E-2</v>
      </c>
      <c r="E677">
        <v>1.6639999999999999E-2</v>
      </c>
      <c r="F677">
        <v>34940404.100000001</v>
      </c>
      <c r="G677">
        <v>0</v>
      </c>
      <c r="L677" t="s">
        <v>7</v>
      </c>
      <c r="M677" t="s">
        <v>7</v>
      </c>
      <c r="N677" t="s">
        <v>7</v>
      </c>
      <c r="P677">
        <f t="shared" si="994"/>
        <v>-0.51612903225806606</v>
      </c>
      <c r="Q677">
        <f t="shared" si="995"/>
        <v>-18033756.954838764</v>
      </c>
      <c r="R677">
        <f t="shared" si="996"/>
        <v>-60070833.726669759</v>
      </c>
      <c r="S677">
        <f t="shared" si="997"/>
        <v>-600.70833726669764</v>
      </c>
      <c r="T677">
        <f t="shared" si="998"/>
        <v>-0.60070833726669759</v>
      </c>
    </row>
    <row r="678" spans="1:20" x14ac:dyDescent="0.25">
      <c r="A678" s="5">
        <v>43915</v>
      </c>
      <c r="B678">
        <v>2.2970000000000001E-2</v>
      </c>
      <c r="C678">
        <v>2.4799999999999999E-2</v>
      </c>
      <c r="D678">
        <v>1.77E-2</v>
      </c>
      <c r="E678">
        <v>1.915E-2</v>
      </c>
      <c r="F678">
        <v>71062677.400000006</v>
      </c>
      <c r="G678">
        <v>0</v>
      </c>
      <c r="P678">
        <f t="shared" si="994"/>
        <v>-0.59154929577464788</v>
      </c>
      <c r="Q678">
        <f t="shared" si="995"/>
        <v>-42037076.771830991</v>
      </c>
      <c r="R678">
        <f t="shared" si="996"/>
        <v>-42037076.771830991</v>
      </c>
      <c r="S678">
        <f t="shared" si="997"/>
        <v>-420.37076771830993</v>
      </c>
      <c r="T678">
        <f t="shared" si="998"/>
        <v>-0.42037076771830995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R724" sqref="LR72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$A$723</v>
      </c>
      <c r="D111" s="1" t="str">
        <f>ADDRESS(C121-1,D121,1,1)</f>
        <v>$LR$723</v>
      </c>
      <c r="E111"/>
    </row>
    <row r="112" spans="1:5" x14ac:dyDescent="0.25">
      <c r="A112" s="7">
        <v>12164.144957890772</v>
      </c>
      <c r="C112" s="1" t="str">
        <f>ADDRESS(C121,1,1,1)</f>
        <v>$A$724</v>
      </c>
      <c r="D112" s="1" t="str">
        <f>ADDRESS(C121,D121-1,1,1)</f>
        <v>$LQ$724</v>
      </c>
      <c r="E112"/>
    </row>
    <row r="113" spans="1:5" x14ac:dyDescent="0.25">
      <c r="A113" s="7">
        <v>11925.63231165762</v>
      </c>
      <c r="C113" s="1" t="str">
        <f>ADDRESS(C121+1,1,1,1)</f>
        <v>$A$725</v>
      </c>
      <c r="D113" s="1" t="str">
        <f>ADDRESS(C121-1,D121+1,1,1)</f>
        <v>$LS$723</v>
      </c>
    </row>
    <row r="114" spans="1:5" x14ac:dyDescent="0.25">
      <c r="A114" s="7">
        <v>11691.796383978059</v>
      </c>
      <c r="C114" s="1" t="str">
        <f>ADDRESS(C121,D121,1,1)</f>
        <v>$LR$724</v>
      </c>
      <c r="D114" s="1" t="str">
        <f>ADDRESS(C121+1,D121+1,1,1)</f>
        <v>$LS$725</v>
      </c>
    </row>
    <row r="115" spans="1:5" x14ac:dyDescent="0.25">
      <c r="A115" s="7">
        <v>11462.545474488292</v>
      </c>
      <c r="C115" s="1" t="str">
        <f>ADDRESS(C121+1,D121,1,1)</f>
        <v>$LR$725</v>
      </c>
    </row>
    <row r="116" spans="1:5" x14ac:dyDescent="0.25">
      <c r="A116" s="7">
        <v>11237.789680870874</v>
      </c>
      <c r="C116" s="1">
        <f>C117-1</f>
        <v>723</v>
      </c>
    </row>
    <row r="117" spans="1:5" x14ac:dyDescent="0.25">
      <c r="A117" s="7">
        <v>11017.440863598895</v>
      </c>
      <c r="C117" s="1">
        <f>C121</f>
        <v>724</v>
      </c>
      <c r="D117" s="1">
        <f>D121</f>
        <v>330</v>
      </c>
    </row>
    <row r="118" spans="1:5" x14ac:dyDescent="0.25">
      <c r="A118" s="7">
        <v>10801.412611371465</v>
      </c>
      <c r="C118" s="1">
        <f>C117+1</f>
        <v>725</v>
      </c>
      <c r="D118" s="1">
        <f>D117+1</f>
        <v>331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724</v>
      </c>
      <c r="D121" s="19">
        <v>330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R724</v>
      </c>
      <c r="D123" s="1" t="str">
        <f>"C"&amp;D121</f>
        <v>C330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6.6340152972694105E-2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284" x14ac:dyDescent="0.25">
      <c r="A641" s="7">
        <v>0.34323433454431179</v>
      </c>
      <c r="B641"/>
      <c r="C641"/>
      <c r="D641"/>
      <c r="E641"/>
      <c r="F641" s="27" t="s">
        <v>7</v>
      </c>
    </row>
    <row r="642" spans="1:284" x14ac:dyDescent="0.25">
      <c r="A642" s="7">
        <v>0.33650424955324681</v>
      </c>
      <c r="B642"/>
      <c r="C642"/>
      <c r="D642"/>
      <c r="E642"/>
      <c r="F642" s="27" t="s">
        <v>7</v>
      </c>
    </row>
    <row r="643" spans="1:284" x14ac:dyDescent="0.25">
      <c r="A643" s="7">
        <v>0.3299061270129871</v>
      </c>
      <c r="B643"/>
      <c r="C643"/>
      <c r="D643"/>
      <c r="E643"/>
      <c r="F643" s="27" t="s">
        <v>7</v>
      </c>
    </row>
    <row r="644" spans="1:284" x14ac:dyDescent="0.25">
      <c r="A644" s="7">
        <v>0.32343737942449713</v>
      </c>
      <c r="B644"/>
      <c r="C644"/>
      <c r="D644"/>
      <c r="E644"/>
      <c r="F644" s="27" t="s">
        <v>7</v>
      </c>
    </row>
    <row r="645" spans="1:284" x14ac:dyDescent="0.25">
      <c r="A645" s="7">
        <v>0.31709547002401678</v>
      </c>
      <c r="B645"/>
      <c r="C645"/>
      <c r="D645"/>
      <c r="E645"/>
      <c r="F645" s="27" t="s">
        <v>7</v>
      </c>
    </row>
    <row r="646" spans="1:284" x14ac:dyDescent="0.25">
      <c r="A646" s="7">
        <v>0.31087791178825175</v>
      </c>
      <c r="B646"/>
      <c r="C646"/>
      <c r="D646"/>
      <c r="E646"/>
      <c r="F646" s="27" t="s">
        <v>7</v>
      </c>
    </row>
    <row r="647" spans="1:284" x14ac:dyDescent="0.25">
      <c r="A647" s="7">
        <v>0.30478226645907036</v>
      </c>
      <c r="B647"/>
      <c r="C647"/>
      <c r="D647"/>
      <c r="E647"/>
      <c r="F647" s="27" t="s">
        <v>7</v>
      </c>
    </row>
    <row r="648" spans="1:284" x14ac:dyDescent="0.25">
      <c r="A648" s="7">
        <v>0.29880614358732388</v>
      </c>
      <c r="B648"/>
      <c r="C648"/>
      <c r="D648"/>
      <c r="E648"/>
      <c r="F648" s="27" t="s">
        <v>7</v>
      </c>
    </row>
    <row r="649" spans="1:284" x14ac:dyDescent="0.25">
      <c r="A649" s="7">
        <v>0.2929471995954156</v>
      </c>
      <c r="B649"/>
      <c r="C649"/>
      <c r="D649"/>
      <c r="E649"/>
      <c r="F649" s="27" t="s">
        <v>7</v>
      </c>
      <c r="JW649" s="27" t="s">
        <v>8</v>
      </c>
    </row>
    <row r="650" spans="1:284" x14ac:dyDescent="0.25">
      <c r="A650" s="7">
        <v>0.28720313685825055</v>
      </c>
      <c r="B650"/>
      <c r="C650"/>
      <c r="D650"/>
      <c r="E650"/>
      <c r="F650" s="27" t="s">
        <v>7</v>
      </c>
      <c r="JW650" s="27" t="s">
        <v>8</v>
      </c>
      <c r="JX650" s="27" t="s">
        <v>7</v>
      </c>
    </row>
    <row r="651" spans="1:284" x14ac:dyDescent="0.25">
      <c r="A651" s="7">
        <v>0.28157170280220645</v>
      </c>
      <c r="B651"/>
      <c r="C651"/>
      <c r="D651"/>
      <c r="E651"/>
      <c r="F651" s="27" t="s">
        <v>7</v>
      </c>
      <c r="JW651" s="27" t="s">
        <v>8</v>
      </c>
      <c r="JX651" s="27" t="s">
        <v>7</v>
      </c>
    </row>
    <row r="652" spans="1:284" x14ac:dyDescent="0.25">
      <c r="A652" s="7">
        <v>0.27605068902177105</v>
      </c>
      <c r="B652"/>
      <c r="C652"/>
      <c r="D652"/>
      <c r="E652"/>
      <c r="F652" s="27" t="s">
        <v>7</v>
      </c>
      <c r="JW652" s="27" t="s">
        <v>8</v>
      </c>
      <c r="JX652" s="27" t="s">
        <v>7</v>
      </c>
    </row>
    <row r="653" spans="1:284" x14ac:dyDescent="0.25">
      <c r="A653" s="7">
        <v>0.27063793041350104</v>
      </c>
      <c r="B653"/>
      <c r="C653"/>
      <c r="D653"/>
      <c r="E653"/>
      <c r="F653" s="27" t="s">
        <v>7</v>
      </c>
      <c r="JW653" s="27" t="s">
        <v>8</v>
      </c>
      <c r="JX653" s="27" t="s">
        <v>7</v>
      </c>
    </row>
    <row r="654" spans="1:284" x14ac:dyDescent="0.25">
      <c r="A654" s="7">
        <v>0.26533130432696184</v>
      </c>
      <c r="B654"/>
      <c r="C654"/>
      <c r="D654"/>
      <c r="E654"/>
      <c r="F654" s="27" t="s">
        <v>7</v>
      </c>
      <c r="JW654" s="27" t="s">
        <v>8</v>
      </c>
      <c r="JX654" s="27" t="s">
        <v>7</v>
      </c>
    </row>
    <row r="655" spans="1:284" x14ac:dyDescent="0.25">
      <c r="A655" s="7">
        <v>0.26012872973231554</v>
      </c>
      <c r="B655"/>
      <c r="C655"/>
      <c r="D655"/>
      <c r="E655"/>
      <c r="F655" s="27" t="s">
        <v>7</v>
      </c>
      <c r="JW655" s="27" t="s">
        <v>8</v>
      </c>
      <c r="JX655" s="27" t="s">
        <v>7</v>
      </c>
    </row>
    <row r="656" spans="1:284" x14ac:dyDescent="0.25">
      <c r="A656" s="7">
        <v>0.25502816640423093</v>
      </c>
      <c r="B656"/>
      <c r="C656"/>
      <c r="D656"/>
      <c r="E656"/>
      <c r="F656" s="27" t="s">
        <v>7</v>
      </c>
      <c r="JW656" s="27" t="s">
        <v>8</v>
      </c>
      <c r="JX656" s="27" t="s">
        <v>7</v>
      </c>
    </row>
    <row r="657" spans="1:287" x14ac:dyDescent="0.25">
      <c r="A657" s="7">
        <v>0.25002761412179503</v>
      </c>
      <c r="B657"/>
      <c r="C657"/>
      <c r="D657"/>
      <c r="E657"/>
      <c r="F657" s="27" t="s">
        <v>7</v>
      </c>
      <c r="JW657" s="27" t="s">
        <v>8</v>
      </c>
      <c r="JX657" s="27" t="s">
        <v>7</v>
      </c>
    </row>
    <row r="658" spans="1:287" x14ac:dyDescent="0.25">
      <c r="A658" s="7">
        <v>0.24512511188411276</v>
      </c>
      <c r="B658"/>
      <c r="C658"/>
      <c r="D658"/>
      <c r="E658"/>
      <c r="F658" s="27" t="s">
        <v>7</v>
      </c>
      <c r="JW658" s="27" t="s">
        <v>8</v>
      </c>
      <c r="JX658" s="27" t="s">
        <v>7</v>
      </c>
    </row>
    <row r="659" spans="1:287" x14ac:dyDescent="0.25">
      <c r="A659" s="7">
        <v>0.24031873714128701</v>
      </c>
      <c r="B659"/>
      <c r="C659"/>
      <c r="D659"/>
      <c r="E659"/>
      <c r="F659" s="27" t="s">
        <v>7</v>
      </c>
      <c r="JW659" s="27" t="s">
        <v>8</v>
      </c>
      <c r="JX659" s="27" t="s">
        <v>7</v>
      </c>
    </row>
    <row r="660" spans="1:287" x14ac:dyDescent="0.25">
      <c r="A660" s="7">
        <v>0.23560660504047748</v>
      </c>
      <c r="B660"/>
      <c r="C660"/>
      <c r="D660"/>
      <c r="E660"/>
      <c r="F660" s="27" t="s">
        <v>7</v>
      </c>
      <c r="JW660" s="27" t="s">
        <v>8</v>
      </c>
      <c r="JX660" s="27" t="s">
        <v>7</v>
      </c>
      <c r="JY660" s="27" t="s">
        <v>8</v>
      </c>
    </row>
    <row r="661" spans="1:287" x14ac:dyDescent="0.25">
      <c r="A661" s="7">
        <v>0.23098686768674265</v>
      </c>
      <c r="B661"/>
      <c r="C661"/>
      <c r="D661"/>
      <c r="E661"/>
      <c r="F661" s="27" t="s">
        <v>7</v>
      </c>
      <c r="JW661" s="27" t="s">
        <v>8</v>
      </c>
      <c r="JX661" s="27" t="s">
        <v>7</v>
      </c>
      <c r="JY661" s="27" t="s">
        <v>8</v>
      </c>
      <c r="JZ661" s="27" t="s">
        <v>7</v>
      </c>
    </row>
    <row r="662" spans="1:287" x14ac:dyDescent="0.25">
      <c r="A662" s="7">
        <v>0.22645771341837515</v>
      </c>
      <c r="B662"/>
      <c r="C662"/>
      <c r="D662"/>
      <c r="E662"/>
      <c r="F662" s="27" t="s">
        <v>7</v>
      </c>
      <c r="JW662" s="27" t="s">
        <v>8</v>
      </c>
      <c r="JX662" s="27" t="s">
        <v>7</v>
      </c>
      <c r="JY662" s="27" t="s">
        <v>8</v>
      </c>
      <c r="JZ662" s="27" t="s">
        <v>7</v>
      </c>
    </row>
    <row r="663" spans="1:287" x14ac:dyDescent="0.25">
      <c r="A663" s="7">
        <v>0.22201736609644623</v>
      </c>
      <c r="B663"/>
      <c r="C663"/>
      <c r="D663"/>
      <c r="E663"/>
      <c r="F663" s="27" t="s">
        <v>7</v>
      </c>
      <c r="JW663" s="27" t="s">
        <v>8</v>
      </c>
      <c r="JX663" s="27" t="s">
        <v>7</v>
      </c>
      <c r="JY663" s="27" t="s">
        <v>8</v>
      </c>
      <c r="JZ663" s="27" t="s">
        <v>7</v>
      </c>
    </row>
    <row r="664" spans="1:287" x14ac:dyDescent="0.25">
      <c r="A664" s="7">
        <v>0.21766408440828061</v>
      </c>
      <c r="B664"/>
      <c r="C664"/>
      <c r="D664"/>
      <c r="E664"/>
      <c r="F664" s="27" t="s">
        <v>7</v>
      </c>
      <c r="JW664" s="27" t="s">
        <v>8</v>
      </c>
      <c r="JX664" s="27" t="s">
        <v>7</v>
      </c>
      <c r="JY664" s="27" t="s">
        <v>8</v>
      </c>
      <c r="JZ664" s="27" t="s">
        <v>7</v>
      </c>
    </row>
    <row r="665" spans="1:287" x14ac:dyDescent="0.25">
      <c r="A665" s="7">
        <v>0.21339616118458882</v>
      </c>
      <c r="B665"/>
      <c r="C665"/>
      <c r="D665"/>
      <c r="E665"/>
      <c r="F665" s="27" t="s">
        <v>7</v>
      </c>
      <c r="JW665" s="27" t="s">
        <v>8</v>
      </c>
      <c r="JX665" s="27" t="s">
        <v>7</v>
      </c>
      <c r="JY665" s="27" t="s">
        <v>8</v>
      </c>
      <c r="JZ665" s="27" t="s">
        <v>7</v>
      </c>
    </row>
    <row r="666" spans="1:287" x14ac:dyDescent="0.25">
      <c r="A666" s="7">
        <v>0.20921192272998904</v>
      </c>
      <c r="B666"/>
      <c r="C666"/>
      <c r="D666"/>
      <c r="E666"/>
      <c r="F666" s="27" t="s">
        <v>7</v>
      </c>
      <c r="JW666" s="27" t="s">
        <v>8</v>
      </c>
      <c r="JX666" s="27" t="s">
        <v>7</v>
      </c>
      <c r="JY666" s="27" t="s">
        <v>8</v>
      </c>
      <c r="JZ666" s="27" t="s">
        <v>7</v>
      </c>
    </row>
    <row r="667" spans="1:287" x14ac:dyDescent="0.25">
      <c r="A667" s="7">
        <v>0.20510972816665593</v>
      </c>
      <c r="B667"/>
      <c r="C667"/>
      <c r="D667"/>
      <c r="E667"/>
      <c r="F667" s="27" t="s">
        <v>7</v>
      </c>
      <c r="JW667" s="27" t="s">
        <v>8</v>
      </c>
      <c r="JX667" s="27" t="s">
        <v>7</v>
      </c>
      <c r="JY667" s="27" t="s">
        <v>8</v>
      </c>
      <c r="JZ667" s="27" t="s">
        <v>7</v>
      </c>
    </row>
    <row r="668" spans="1:287" x14ac:dyDescent="0.25">
      <c r="A668" s="7">
        <v>0.20108796879083912</v>
      </c>
      <c r="B668"/>
      <c r="C668"/>
      <c r="D668"/>
      <c r="E668"/>
      <c r="F668" s="27" t="s">
        <v>7</v>
      </c>
      <c r="JW668" s="27" t="s">
        <v>8</v>
      </c>
      <c r="JX668" s="27" t="s">
        <v>7</v>
      </c>
      <c r="JY668" s="27" t="s">
        <v>8</v>
      </c>
      <c r="JZ668" s="27" t="s">
        <v>7</v>
      </c>
    </row>
    <row r="669" spans="1:287" x14ac:dyDescent="0.25">
      <c r="A669" s="7">
        <v>0.19714506744199917</v>
      </c>
      <c r="B669"/>
      <c r="C669"/>
      <c r="D669"/>
      <c r="E669"/>
      <c r="F669" s="27" t="s">
        <v>7</v>
      </c>
      <c r="JW669" s="27" t="s">
        <v>8</v>
      </c>
      <c r="JX669" s="27" t="s">
        <v>7</v>
      </c>
      <c r="JY669" s="27" t="s">
        <v>8</v>
      </c>
      <c r="JZ669" s="27" t="s">
        <v>7</v>
      </c>
    </row>
    <row r="670" spans="1:287" x14ac:dyDescent="0.25">
      <c r="A670" s="7">
        <v>0.19327947788431293</v>
      </c>
      <c r="B670"/>
      <c r="C670"/>
      <c r="D670"/>
      <c r="E670"/>
      <c r="F670" s="27" t="s">
        <v>7</v>
      </c>
      <c r="JW670" s="27" t="s">
        <v>8</v>
      </c>
      <c r="JX670" s="27" t="s">
        <v>7</v>
      </c>
      <c r="JY670" s="27" t="s">
        <v>8</v>
      </c>
      <c r="JZ670" s="27" t="s">
        <v>7</v>
      </c>
    </row>
    <row r="671" spans="1:287" x14ac:dyDescent="0.25">
      <c r="A671" s="7">
        <v>0.18948968420030682</v>
      </c>
      <c r="B671"/>
      <c r="C671"/>
      <c r="D671"/>
      <c r="E671"/>
      <c r="F671" s="27" t="s">
        <v>7</v>
      </c>
      <c r="JW671" s="27" t="s">
        <v>8</v>
      </c>
      <c r="JX671" s="27" t="s">
        <v>7</v>
      </c>
      <c r="JY671" s="27" t="s">
        <v>8</v>
      </c>
      <c r="JZ671" s="27" t="s">
        <v>7</v>
      </c>
    </row>
    <row r="672" spans="1:287" x14ac:dyDescent="0.25">
      <c r="A672" s="7">
        <v>0.18577420019637925</v>
      </c>
      <c r="B672"/>
      <c r="C672"/>
      <c r="D672"/>
      <c r="E672"/>
      <c r="F672" s="27" t="s">
        <v>7</v>
      </c>
      <c r="JW672" s="27" t="s">
        <v>8</v>
      </c>
      <c r="JX672" s="27" t="s">
        <v>7</v>
      </c>
      <c r="JY672" s="27" t="s">
        <v>8</v>
      </c>
      <c r="JZ672" s="27" t="s">
        <v>7</v>
      </c>
      <c r="KA672" s="27" t="s">
        <v>8</v>
      </c>
    </row>
    <row r="673" spans="1:308" x14ac:dyDescent="0.25">
      <c r="A673" s="7">
        <v>0.18213156881997963</v>
      </c>
      <c r="B673"/>
      <c r="C673"/>
      <c r="D673"/>
      <c r="E673"/>
      <c r="F673" s="27" t="s">
        <v>7</v>
      </c>
      <c r="JW673" s="27" t="s">
        <v>8</v>
      </c>
      <c r="JX673" s="27" t="s">
        <v>7</v>
      </c>
      <c r="JY673" s="27" t="s">
        <v>8</v>
      </c>
      <c r="JZ673" s="27" t="s">
        <v>7</v>
      </c>
      <c r="KA673" s="27" t="s">
        <v>8</v>
      </c>
      <c r="KB673" s="27" t="s">
        <v>7</v>
      </c>
      <c r="KS673" s="27" t="s">
        <v>8</v>
      </c>
    </row>
    <row r="674" spans="1:308" x14ac:dyDescent="0.25">
      <c r="A674" s="7">
        <v>0.17856036158821534</v>
      </c>
      <c r="B674"/>
      <c r="C674"/>
      <c r="D674"/>
      <c r="E674"/>
      <c r="F674" s="27" t="s">
        <v>7</v>
      </c>
      <c r="JW674" s="27" t="s">
        <v>8</v>
      </c>
      <c r="JX674" s="27" t="s">
        <v>7</v>
      </c>
      <c r="JY674" s="27" t="s">
        <v>8</v>
      </c>
      <c r="JZ674" s="27" t="s">
        <v>7</v>
      </c>
      <c r="KA674" s="27" t="s">
        <v>8</v>
      </c>
      <c r="KB674" s="27" t="s">
        <v>7</v>
      </c>
      <c r="KS674" s="27" t="s">
        <v>8</v>
      </c>
      <c r="KT674" s="27" t="s">
        <v>7</v>
      </c>
    </row>
    <row r="675" spans="1:308" x14ac:dyDescent="0.25">
      <c r="A675" s="7">
        <v>0.17505917802766208</v>
      </c>
      <c r="B675"/>
      <c r="C675"/>
      <c r="D675"/>
      <c r="E675"/>
      <c r="F675" s="27" t="s">
        <v>7</v>
      </c>
      <c r="JW675" s="27" t="s">
        <v>8</v>
      </c>
      <c r="JX675" s="27" t="s">
        <v>7</v>
      </c>
      <c r="JY675" s="27" t="s">
        <v>8</v>
      </c>
      <c r="JZ675" s="27" t="s">
        <v>7</v>
      </c>
      <c r="KA675" s="27" t="s">
        <v>8</v>
      </c>
      <c r="KB675" s="27" t="s">
        <v>7</v>
      </c>
      <c r="KM675" s="27" t="s">
        <v>8</v>
      </c>
      <c r="KS675" s="27" t="s">
        <v>8</v>
      </c>
      <c r="KT675" s="27" t="s">
        <v>7</v>
      </c>
    </row>
    <row r="676" spans="1:308" x14ac:dyDescent="0.25">
      <c r="A676" s="7">
        <v>0.17162664512515888</v>
      </c>
      <c r="B676"/>
      <c r="C676"/>
      <c r="D676"/>
      <c r="E676"/>
      <c r="F676" s="27" t="s">
        <v>7</v>
      </c>
      <c r="JW676" s="27" t="s">
        <v>8</v>
      </c>
      <c r="JX676" s="27" t="s">
        <v>7</v>
      </c>
      <c r="JY676" s="27" t="s">
        <v>8</v>
      </c>
      <c r="JZ676" s="27" t="s">
        <v>7</v>
      </c>
      <c r="KA676" s="27" t="s">
        <v>8</v>
      </c>
      <c r="KB676" s="27" t="s">
        <v>7</v>
      </c>
      <c r="KM676" s="27" t="s">
        <v>8</v>
      </c>
      <c r="KN676" s="27" t="s">
        <v>7</v>
      </c>
      <c r="KO676" s="27" t="s">
        <v>8</v>
      </c>
      <c r="KS676" s="27" t="s">
        <v>8</v>
      </c>
      <c r="KT676" s="27" t="s">
        <v>7</v>
      </c>
    </row>
    <row r="677" spans="1:308" x14ac:dyDescent="0.25">
      <c r="A677" s="7">
        <v>0.16826141678937145</v>
      </c>
      <c r="B677"/>
      <c r="C677"/>
      <c r="D677"/>
      <c r="E677"/>
      <c r="F677" s="27" t="s">
        <v>7</v>
      </c>
      <c r="JW677" s="27" t="s">
        <v>8</v>
      </c>
      <c r="JX677" s="27" t="s">
        <v>7</v>
      </c>
      <c r="JY677" s="27" t="s">
        <v>8</v>
      </c>
      <c r="JZ677" s="27" t="s">
        <v>7</v>
      </c>
      <c r="KA677" s="27" t="s">
        <v>8</v>
      </c>
      <c r="KB677" s="27" t="s">
        <v>7</v>
      </c>
      <c r="KM677" s="27" t="s">
        <v>8</v>
      </c>
      <c r="KN677" s="27" t="s">
        <v>7</v>
      </c>
      <c r="KO677" s="27" t="s">
        <v>8</v>
      </c>
      <c r="KP677" s="27" t="s">
        <v>7</v>
      </c>
      <c r="KS677" s="27" t="s">
        <v>8</v>
      </c>
      <c r="KT677" s="27" t="s">
        <v>7</v>
      </c>
    </row>
    <row r="678" spans="1:308" x14ac:dyDescent="0.25">
      <c r="A678" s="7">
        <v>0.16496217332291319</v>
      </c>
      <c r="B678"/>
      <c r="C678"/>
      <c r="D678"/>
      <c r="E678"/>
      <c r="F678" s="27" t="s">
        <v>7</v>
      </c>
      <c r="JW678" s="27" t="s">
        <v>8</v>
      </c>
      <c r="JX678" s="27" t="s">
        <v>7</v>
      </c>
      <c r="JY678" s="27" t="s">
        <v>8</v>
      </c>
      <c r="JZ678" s="27" t="s">
        <v>7</v>
      </c>
      <c r="KA678" s="27" t="s">
        <v>8</v>
      </c>
      <c r="KB678" s="27" t="s">
        <v>7</v>
      </c>
      <c r="KM678" s="27" t="s">
        <v>8</v>
      </c>
      <c r="KN678" s="27" t="s">
        <v>7</v>
      </c>
      <c r="KO678" s="27" t="s">
        <v>8</v>
      </c>
      <c r="KP678" s="27" t="s">
        <v>7</v>
      </c>
      <c r="KS678" s="27" t="s">
        <v>8</v>
      </c>
      <c r="KT678" s="27" t="s">
        <v>7</v>
      </c>
    </row>
    <row r="679" spans="1:308" x14ac:dyDescent="0.25">
      <c r="A679" s="7">
        <v>0.16172762090481685</v>
      </c>
      <c r="B679"/>
      <c r="C679"/>
      <c r="D679"/>
      <c r="E679"/>
      <c r="F679" s="27" t="s">
        <v>7</v>
      </c>
      <c r="JW679" s="27" t="s">
        <v>8</v>
      </c>
      <c r="JX679" s="27" t="s">
        <v>7</v>
      </c>
      <c r="JY679" s="27" t="s">
        <v>8</v>
      </c>
      <c r="JZ679" s="27" t="s">
        <v>7</v>
      </c>
      <c r="KA679" s="27" t="s">
        <v>8</v>
      </c>
      <c r="KB679" s="27" t="s">
        <v>7</v>
      </c>
      <c r="KM679" s="27" t="s">
        <v>8</v>
      </c>
      <c r="KN679" s="27" t="s">
        <v>7</v>
      </c>
      <c r="KO679" s="27" t="s">
        <v>8</v>
      </c>
      <c r="KP679" s="27" t="s">
        <v>7</v>
      </c>
      <c r="KS679" s="27" t="s">
        <v>8</v>
      </c>
      <c r="KT679" s="27" t="s">
        <v>7</v>
      </c>
    </row>
    <row r="680" spans="1:308" x14ac:dyDescent="0.25">
      <c r="A680" s="7">
        <v>0.15855649108315376</v>
      </c>
      <c r="B680"/>
      <c r="C680"/>
      <c r="D680"/>
      <c r="E680"/>
      <c r="F680" s="27" t="s">
        <v>7</v>
      </c>
      <c r="JW680" s="27" t="s">
        <v>8</v>
      </c>
      <c r="JX680" s="27" t="s">
        <v>7</v>
      </c>
      <c r="JY680" s="27" t="s">
        <v>8</v>
      </c>
      <c r="JZ680" s="27" t="s">
        <v>7</v>
      </c>
      <c r="KA680" s="27" t="s">
        <v>8</v>
      </c>
      <c r="KB680" s="27" t="s">
        <v>7</v>
      </c>
      <c r="KC680" s="27" t="s">
        <v>8</v>
      </c>
      <c r="KM680" s="27" t="s">
        <v>8</v>
      </c>
      <c r="KN680" s="27" t="s">
        <v>7</v>
      </c>
      <c r="KO680" s="27" t="s">
        <v>8</v>
      </c>
      <c r="KP680" s="27" t="s">
        <v>7</v>
      </c>
      <c r="KS680" s="27" t="s">
        <v>8</v>
      </c>
      <c r="KT680" s="27" t="s">
        <v>7</v>
      </c>
    </row>
    <row r="681" spans="1:308" x14ac:dyDescent="0.25">
      <c r="A681" s="7">
        <v>0.15544754027760171</v>
      </c>
      <c r="B681"/>
      <c r="C681"/>
      <c r="D681"/>
      <c r="E681"/>
      <c r="F681" s="27" t="s">
        <v>7</v>
      </c>
      <c r="JW681" s="27" t="s">
        <v>8</v>
      </c>
      <c r="JX681" s="27" t="s">
        <v>7</v>
      </c>
      <c r="JY681" s="27" t="s">
        <v>8</v>
      </c>
      <c r="JZ681" s="27" t="s">
        <v>7</v>
      </c>
      <c r="KA681" s="27" t="s">
        <v>8</v>
      </c>
      <c r="KB681" s="27" t="s">
        <v>7</v>
      </c>
      <c r="KC681" s="27" t="s">
        <v>8</v>
      </c>
      <c r="KD681" s="27" t="s">
        <v>7</v>
      </c>
      <c r="KM681" s="27" t="s">
        <v>8</v>
      </c>
      <c r="KN681" s="27" t="s">
        <v>7</v>
      </c>
      <c r="KO681" s="27" t="s">
        <v>8</v>
      </c>
      <c r="KP681" s="27" t="s">
        <v>7</v>
      </c>
      <c r="KS681" s="27" t="s">
        <v>8</v>
      </c>
      <c r="KT681" s="27" t="s">
        <v>7</v>
      </c>
    </row>
    <row r="682" spans="1:308" x14ac:dyDescent="0.25">
      <c r="A682" s="7">
        <v>0.15239954929176638</v>
      </c>
      <c r="B682"/>
      <c r="C682"/>
      <c r="D682"/>
      <c r="E682"/>
      <c r="F682" s="27" t="s">
        <v>7</v>
      </c>
      <c r="JW682" s="27" t="s">
        <v>8</v>
      </c>
      <c r="JX682" s="27" t="s">
        <v>7</v>
      </c>
      <c r="JY682" s="27" t="s">
        <v>8</v>
      </c>
      <c r="JZ682" s="27" t="s">
        <v>7</v>
      </c>
      <c r="KA682" s="27" t="s">
        <v>8</v>
      </c>
      <c r="KB682" s="27" t="s">
        <v>7</v>
      </c>
      <c r="KC682" s="27" t="s">
        <v>8</v>
      </c>
      <c r="KD682" s="27" t="s">
        <v>7</v>
      </c>
      <c r="KI682" s="27" t="s">
        <v>8</v>
      </c>
      <c r="KM682" s="27" t="s">
        <v>8</v>
      </c>
      <c r="KN682" s="27" t="s">
        <v>7</v>
      </c>
      <c r="KO682" s="27" t="s">
        <v>8</v>
      </c>
      <c r="KP682" s="27" t="s">
        <v>7</v>
      </c>
      <c r="KS682" s="27" t="s">
        <v>8</v>
      </c>
      <c r="KT682" s="27" t="s">
        <v>7</v>
      </c>
      <c r="KU682" s="27" t="s">
        <v>8</v>
      </c>
    </row>
    <row r="683" spans="1:308" x14ac:dyDescent="0.25">
      <c r="A683" s="7">
        <v>0.14941132283506509</v>
      </c>
      <c r="B683"/>
      <c r="C683"/>
      <c r="D683"/>
      <c r="E683"/>
      <c r="F683" s="27" t="s">
        <v>7</v>
      </c>
      <c r="JW683" s="27" t="s">
        <v>8</v>
      </c>
      <c r="JX683" s="27" t="s">
        <v>7</v>
      </c>
      <c r="JY683" s="27" t="s">
        <v>8</v>
      </c>
      <c r="JZ683" s="27" t="s">
        <v>7</v>
      </c>
      <c r="KA683" s="27" t="s">
        <v>8</v>
      </c>
      <c r="KB683" s="27" t="s">
        <v>7</v>
      </c>
      <c r="KD683" s="27" t="s">
        <v>7</v>
      </c>
      <c r="KI683" s="27" t="s">
        <v>8</v>
      </c>
      <c r="KJ683" s="27" t="s">
        <v>7</v>
      </c>
      <c r="KM683" s="27" t="s">
        <v>8</v>
      </c>
      <c r="KN683" s="27" t="s">
        <v>7</v>
      </c>
      <c r="KO683" s="27" t="s">
        <v>8</v>
      </c>
      <c r="KP683" s="27" t="s">
        <v>7</v>
      </c>
      <c r="KS683" s="27" t="s">
        <v>8</v>
      </c>
      <c r="KT683" s="27" t="s">
        <v>7</v>
      </c>
      <c r="KU683" s="27" t="s">
        <v>8</v>
      </c>
      <c r="KV683" s="27" t="s">
        <v>7</v>
      </c>
    </row>
    <row r="684" spans="1:308" x14ac:dyDescent="0.25">
      <c r="A684" s="7">
        <v>0.14648168905398537</v>
      </c>
      <c r="B684"/>
      <c r="C684"/>
      <c r="D684"/>
      <c r="E684"/>
      <c r="F684" s="27" t="s">
        <v>7</v>
      </c>
      <c r="JW684" s="27" t="s">
        <v>8</v>
      </c>
      <c r="JX684" s="27" t="s">
        <v>7</v>
      </c>
      <c r="JY684" s="27" t="s">
        <v>8</v>
      </c>
      <c r="JZ684" s="27" t="s">
        <v>7</v>
      </c>
      <c r="KA684" s="27" t="s">
        <v>8</v>
      </c>
      <c r="KD684" s="27" t="s">
        <v>7</v>
      </c>
      <c r="KI684" s="27" t="s">
        <v>8</v>
      </c>
      <c r="KJ684" s="27" t="s">
        <v>7</v>
      </c>
      <c r="KM684" s="27" t="s">
        <v>8</v>
      </c>
      <c r="KN684" s="27" t="s">
        <v>7</v>
      </c>
      <c r="KO684" s="27" t="s">
        <v>8</v>
      </c>
      <c r="KP684" s="27" t="s">
        <v>7</v>
      </c>
      <c r="KQ684" s="27" t="s">
        <v>8</v>
      </c>
      <c r="KS684" s="27" t="s">
        <v>8</v>
      </c>
      <c r="KT684" s="27" t="s">
        <v>7</v>
      </c>
      <c r="KU684" s="27" t="s">
        <v>8</v>
      </c>
      <c r="KV684" s="27" t="s">
        <v>7</v>
      </c>
    </row>
    <row r="685" spans="1:308" x14ac:dyDescent="0.25">
      <c r="A685" s="7">
        <v>0.14360949907253467</v>
      </c>
      <c r="B685"/>
      <c r="C685"/>
      <c r="D685"/>
      <c r="E685"/>
      <c r="F685" s="27" t="s">
        <v>7</v>
      </c>
      <c r="JW685" s="27" t="s">
        <v>8</v>
      </c>
      <c r="JX685" s="27" t="s">
        <v>7</v>
      </c>
      <c r="JY685" s="27" t="s">
        <v>8</v>
      </c>
      <c r="JZ685" s="27" t="s">
        <v>7</v>
      </c>
      <c r="KA685" s="27" t="s">
        <v>8</v>
      </c>
      <c r="KD685" s="27" t="s">
        <v>7</v>
      </c>
      <c r="KI685" s="27" t="s">
        <v>8</v>
      </c>
      <c r="KJ685" s="27" t="s">
        <v>7</v>
      </c>
      <c r="KK685" s="27" t="s">
        <v>8</v>
      </c>
      <c r="KM685" s="27" t="s">
        <v>8</v>
      </c>
      <c r="KN685" s="27" t="s">
        <v>7</v>
      </c>
      <c r="KO685" s="27" t="s">
        <v>8</v>
      </c>
      <c r="KP685" s="27" t="s">
        <v>7</v>
      </c>
      <c r="KQ685" s="27" t="s">
        <v>8</v>
      </c>
      <c r="KR685" s="27" t="s">
        <v>7</v>
      </c>
      <c r="KS685" s="27" t="s">
        <v>8</v>
      </c>
      <c r="KT685" s="27" t="s">
        <v>7</v>
      </c>
      <c r="KV685" s="27" t="s">
        <v>7</v>
      </c>
    </row>
    <row r="686" spans="1:308" x14ac:dyDescent="0.25">
      <c r="A686" s="7">
        <v>0.14079362654170066</v>
      </c>
      <c r="B686"/>
      <c r="C686"/>
      <c r="D686"/>
      <c r="E686"/>
      <c r="F686" s="27" t="s">
        <v>7</v>
      </c>
      <c r="JW686" s="27" t="s">
        <v>8</v>
      </c>
      <c r="JX686" s="27" t="s">
        <v>7</v>
      </c>
      <c r="JY686" s="27" t="s">
        <v>8</v>
      </c>
      <c r="JZ686" s="27" t="s">
        <v>7</v>
      </c>
      <c r="KA686" s="27" t="s">
        <v>8</v>
      </c>
      <c r="KD686" s="27" t="s">
        <v>7</v>
      </c>
      <c r="KE686" s="27" t="s">
        <v>8</v>
      </c>
      <c r="KI686" s="27" t="s">
        <v>8</v>
      </c>
      <c r="KJ686" s="27" t="s">
        <v>7</v>
      </c>
      <c r="KK686" s="27" t="s">
        <v>8</v>
      </c>
      <c r="KL686" s="27" t="s">
        <v>7</v>
      </c>
      <c r="KM686" s="27" t="s">
        <v>8</v>
      </c>
      <c r="KN686" s="27" t="s">
        <v>7</v>
      </c>
      <c r="KO686" s="27" t="s">
        <v>8</v>
      </c>
      <c r="KP686" s="27" t="s">
        <v>7</v>
      </c>
      <c r="KQ686" s="27" t="s">
        <v>8</v>
      </c>
      <c r="KR686" s="27" t="s">
        <v>7</v>
      </c>
      <c r="KS686" s="27" t="s">
        <v>8</v>
      </c>
      <c r="KV686" s="27" t="s">
        <v>7</v>
      </c>
    </row>
    <row r="687" spans="1:308" x14ac:dyDescent="0.25">
      <c r="A687" s="7">
        <v>0.13803296719774574</v>
      </c>
      <c r="B687"/>
      <c r="C687"/>
      <c r="D687"/>
      <c r="E687"/>
      <c r="F687" s="27" t="s">
        <v>7</v>
      </c>
      <c r="JW687" s="27" t="s">
        <v>8</v>
      </c>
      <c r="JX687" s="27" t="s">
        <v>7</v>
      </c>
      <c r="JY687" s="27" t="s">
        <v>8</v>
      </c>
      <c r="JZ687" s="27" t="s">
        <v>7</v>
      </c>
      <c r="KA687" s="27" t="s">
        <v>8</v>
      </c>
      <c r="KD687" s="27" t="s">
        <v>7</v>
      </c>
      <c r="KE687" s="27" t="s">
        <v>8</v>
      </c>
      <c r="KF687" s="27" t="s">
        <v>7</v>
      </c>
      <c r="KG687" s="27" t="s">
        <v>8</v>
      </c>
      <c r="KI687" s="27" t="s">
        <v>8</v>
      </c>
      <c r="KJ687" s="27" t="s">
        <v>7</v>
      </c>
      <c r="KK687" s="27" t="s">
        <v>8</v>
      </c>
      <c r="KL687" s="27" t="s">
        <v>7</v>
      </c>
      <c r="KM687" s="27" t="s">
        <v>8</v>
      </c>
      <c r="KN687" s="27" t="s">
        <v>7</v>
      </c>
      <c r="KO687" s="27" t="s">
        <v>8</v>
      </c>
      <c r="KP687" s="27" t="s">
        <v>7</v>
      </c>
      <c r="KQ687" s="27" t="s">
        <v>8</v>
      </c>
      <c r="KR687" s="27" t="s">
        <v>7</v>
      </c>
      <c r="KS687" s="27" t="s">
        <v>8</v>
      </c>
      <c r="KV687" s="27" t="s">
        <v>7</v>
      </c>
    </row>
    <row r="688" spans="1:308" x14ac:dyDescent="0.25">
      <c r="A688" s="7">
        <v>0.1353264384291625</v>
      </c>
      <c r="B688"/>
      <c r="C688"/>
      <c r="D688"/>
      <c r="E688"/>
      <c r="F688" s="27" t="s">
        <v>7</v>
      </c>
      <c r="JW688" s="27" t="s">
        <v>8</v>
      </c>
      <c r="JX688" s="27" t="s">
        <v>7</v>
      </c>
      <c r="JY688" s="27" t="s">
        <v>8</v>
      </c>
      <c r="JZ688" s="27" t="s">
        <v>7</v>
      </c>
      <c r="KD688" s="27" t="s">
        <v>7</v>
      </c>
      <c r="KE688" s="27" t="s">
        <v>8</v>
      </c>
      <c r="KF688" s="27" t="s">
        <v>7</v>
      </c>
      <c r="KG688" s="27" t="s">
        <v>8</v>
      </c>
      <c r="KH688" s="27" t="s">
        <v>7</v>
      </c>
      <c r="KI688" s="27" t="s">
        <v>8</v>
      </c>
      <c r="KJ688" s="27" t="s">
        <v>7</v>
      </c>
      <c r="KK688" s="27" t="s">
        <v>8</v>
      </c>
      <c r="KL688" s="27" t="s">
        <v>7</v>
      </c>
      <c r="KM688" s="27" t="s">
        <v>8</v>
      </c>
      <c r="KN688" s="27" t="s">
        <v>7</v>
      </c>
      <c r="KO688" s="27" t="s">
        <v>8</v>
      </c>
      <c r="KP688" s="27" t="s">
        <v>7</v>
      </c>
      <c r="KR688" s="27" t="s">
        <v>7</v>
      </c>
      <c r="KV688" s="27" t="s">
        <v>7</v>
      </c>
    </row>
    <row r="689" spans="1:326" x14ac:dyDescent="0.25">
      <c r="A689" s="7">
        <v>0.13267297885212009</v>
      </c>
      <c r="B689"/>
      <c r="C689"/>
      <c r="D689"/>
      <c r="E689"/>
      <c r="F689" s="27" t="s">
        <v>7</v>
      </c>
      <c r="GE689" s="27" t="s">
        <v>8</v>
      </c>
      <c r="JW689" s="27" t="s">
        <v>8</v>
      </c>
      <c r="JX689" s="27" t="s">
        <v>7</v>
      </c>
      <c r="JY689" s="27" t="s">
        <v>8</v>
      </c>
      <c r="KD689" s="27" t="s">
        <v>7</v>
      </c>
      <c r="KE689" s="27" t="s">
        <v>8</v>
      </c>
      <c r="KF689" s="27" t="s">
        <v>7</v>
      </c>
      <c r="KG689" s="27" t="s">
        <v>8</v>
      </c>
      <c r="KH689" s="27" t="s">
        <v>7</v>
      </c>
      <c r="KI689" s="27" t="s">
        <v>8</v>
      </c>
      <c r="KJ689" s="27" t="s">
        <v>7</v>
      </c>
      <c r="KK689" s="27" t="s">
        <v>8</v>
      </c>
      <c r="KL689" s="27" t="s">
        <v>7</v>
      </c>
      <c r="KM689" s="27" t="s">
        <v>8</v>
      </c>
      <c r="KN689" s="27" t="s">
        <v>7</v>
      </c>
      <c r="KO689" s="27" t="s">
        <v>8</v>
      </c>
      <c r="KV689" s="27" t="s">
        <v>7</v>
      </c>
    </row>
    <row r="690" spans="1:326" x14ac:dyDescent="0.25">
      <c r="A690" s="7">
        <v>0.13007154789423539</v>
      </c>
      <c r="B690"/>
      <c r="C690"/>
      <c r="D690"/>
      <c r="E690"/>
      <c r="F690" s="27" t="s">
        <v>7</v>
      </c>
      <c r="GE690" s="27" t="s">
        <v>8</v>
      </c>
      <c r="GF690" s="27" t="s">
        <v>7</v>
      </c>
      <c r="GQ690" s="27" t="s">
        <v>8</v>
      </c>
      <c r="JW690" s="27" t="s">
        <v>8</v>
      </c>
      <c r="JX690" s="27" t="s">
        <v>7</v>
      </c>
      <c r="JY690" s="27" t="s">
        <v>8</v>
      </c>
      <c r="KD690" s="27" t="s">
        <v>7</v>
      </c>
      <c r="KE690" s="27" t="s">
        <v>8</v>
      </c>
      <c r="KF690" s="27" t="s">
        <v>7</v>
      </c>
      <c r="KG690" s="27" t="s">
        <v>8</v>
      </c>
      <c r="KH690" s="27" t="s">
        <v>7</v>
      </c>
      <c r="KI690" s="27" t="s">
        <v>8</v>
      </c>
      <c r="KJ690" s="27" t="s">
        <v>7</v>
      </c>
      <c r="KK690" s="27" t="s">
        <v>8</v>
      </c>
      <c r="KL690" s="27" t="s">
        <v>7</v>
      </c>
      <c r="KM690" s="27" t="s">
        <v>8</v>
      </c>
      <c r="KN690" s="27" t="s">
        <v>7</v>
      </c>
      <c r="KO690" s="27" t="s">
        <v>8</v>
      </c>
      <c r="KV690" s="27" t="s">
        <v>7</v>
      </c>
      <c r="KY690" s="27" t="s">
        <v>8</v>
      </c>
    </row>
    <row r="691" spans="1:326" x14ac:dyDescent="0.25">
      <c r="A691" s="7">
        <v>0.12752112538650529</v>
      </c>
      <c r="B691"/>
      <c r="C691"/>
      <c r="D691"/>
      <c r="E691"/>
      <c r="F691" s="27" t="s">
        <v>7</v>
      </c>
      <c r="GE691" s="27" t="s">
        <v>8</v>
      </c>
      <c r="GF691" s="27" t="s">
        <v>7</v>
      </c>
      <c r="GQ691" s="27" t="s">
        <v>8</v>
      </c>
      <c r="GR691" s="27" t="s">
        <v>7</v>
      </c>
      <c r="JW691" s="27" t="s">
        <v>8</v>
      </c>
      <c r="JX691" s="27" t="s">
        <v>7</v>
      </c>
      <c r="KD691" s="27" t="s">
        <v>7</v>
      </c>
      <c r="KE691" s="27" t="s">
        <v>8</v>
      </c>
      <c r="KF691" s="27" t="s">
        <v>7</v>
      </c>
      <c r="KH691" s="27" t="s">
        <v>7</v>
      </c>
      <c r="KI691" s="27" t="s">
        <v>8</v>
      </c>
      <c r="KJ691" s="27" t="s">
        <v>7</v>
      </c>
      <c r="KL691" s="27" t="s">
        <v>7</v>
      </c>
      <c r="KM691" s="27" t="s">
        <v>8</v>
      </c>
      <c r="KN691" s="27" t="s">
        <v>7</v>
      </c>
      <c r="KO691" s="27" t="s">
        <v>8</v>
      </c>
      <c r="KV691" s="27" t="s">
        <v>7</v>
      </c>
      <c r="KY691" s="27" t="s">
        <v>8</v>
      </c>
      <c r="KZ691" s="27" t="s">
        <v>7</v>
      </c>
    </row>
    <row r="692" spans="1:326" x14ac:dyDescent="0.25">
      <c r="A692" s="7">
        <v>0.12502071116324048</v>
      </c>
      <c r="B692"/>
      <c r="C692"/>
      <c r="D692"/>
      <c r="E692"/>
      <c r="F692" s="27" t="s">
        <v>7</v>
      </c>
      <c r="GE692" s="27" t="s">
        <v>8</v>
      </c>
      <c r="GF692" s="27" t="s">
        <v>7</v>
      </c>
      <c r="GQ692" s="27" t="s">
        <v>8</v>
      </c>
      <c r="GR692" s="27" t="s">
        <v>7</v>
      </c>
      <c r="JW692" s="27" t="s">
        <v>8</v>
      </c>
      <c r="KD692" s="27" t="s">
        <v>7</v>
      </c>
      <c r="KE692" s="27" t="s">
        <v>8</v>
      </c>
      <c r="KH692" s="27" t="s">
        <v>7</v>
      </c>
      <c r="KI692" s="27" t="s">
        <v>8</v>
      </c>
      <c r="KL692" s="27" t="s">
        <v>7</v>
      </c>
      <c r="KM692" s="27" t="s">
        <v>8</v>
      </c>
      <c r="KN692" s="27" t="s">
        <v>7</v>
      </c>
      <c r="KO692" s="27" t="s">
        <v>8</v>
      </c>
      <c r="KV692" s="27" t="s">
        <v>7</v>
      </c>
      <c r="KY692" s="27" t="s">
        <v>8</v>
      </c>
      <c r="KZ692" s="27" t="s">
        <v>7</v>
      </c>
      <c r="LG692" s="27" t="s">
        <v>8</v>
      </c>
    </row>
    <row r="693" spans="1:326" x14ac:dyDescent="0.25">
      <c r="A693" s="7">
        <v>0.1225693246698436</v>
      </c>
      <c r="B693"/>
      <c r="C693"/>
      <c r="D693"/>
      <c r="E693"/>
      <c r="F693" s="27" t="s">
        <v>7</v>
      </c>
      <c r="GE693" s="27" t="s">
        <v>8</v>
      </c>
      <c r="GF693" s="27" t="s">
        <v>7</v>
      </c>
      <c r="GQ693" s="27" t="s">
        <v>8</v>
      </c>
      <c r="GR693" s="27" t="s">
        <v>7</v>
      </c>
      <c r="JW693" s="27" t="s">
        <v>8</v>
      </c>
      <c r="KD693" s="27" t="s">
        <v>7</v>
      </c>
      <c r="KH693" s="27" t="s">
        <v>7</v>
      </c>
      <c r="KI693" s="27" t="s">
        <v>8</v>
      </c>
      <c r="KL693" s="27" t="s">
        <v>7</v>
      </c>
      <c r="KN693" s="27" t="s">
        <v>7</v>
      </c>
      <c r="KO693" s="27" t="s">
        <v>8</v>
      </c>
      <c r="KV693" s="27" t="s">
        <v>7</v>
      </c>
      <c r="KY693" s="27" t="s">
        <v>8</v>
      </c>
      <c r="KZ693" s="27" t="s">
        <v>7</v>
      </c>
      <c r="LG693" s="27" t="s">
        <v>8</v>
      </c>
      <c r="LH693" s="27" t="s">
        <v>7</v>
      </c>
    </row>
    <row r="694" spans="1:326" x14ac:dyDescent="0.25">
      <c r="A694" s="7">
        <v>0.12016600457827803</v>
      </c>
      <c r="B694"/>
      <c r="C694"/>
      <c r="D694"/>
      <c r="E694"/>
      <c r="F694" s="27" t="s">
        <v>7</v>
      </c>
      <c r="GE694" s="27" t="s">
        <v>8</v>
      </c>
      <c r="GF694" s="27" t="s">
        <v>7</v>
      </c>
      <c r="GQ694" s="27" t="s">
        <v>8</v>
      </c>
      <c r="GR694" s="27" t="s">
        <v>7</v>
      </c>
      <c r="JW694" s="27" t="s">
        <v>8</v>
      </c>
      <c r="KH694" s="27" t="s">
        <v>7</v>
      </c>
      <c r="KN694" s="27" t="s">
        <v>7</v>
      </c>
      <c r="KV694" s="27" t="s">
        <v>7</v>
      </c>
      <c r="KW694" s="27" t="s">
        <v>8</v>
      </c>
      <c r="KY694" s="27" t="s">
        <v>8</v>
      </c>
      <c r="KZ694" s="27" t="s">
        <v>7</v>
      </c>
      <c r="LG694" s="27" t="s">
        <v>8</v>
      </c>
      <c r="LH694" s="27" t="s">
        <v>7</v>
      </c>
    </row>
    <row r="695" spans="1:326" x14ac:dyDescent="0.25">
      <c r="A695" s="7">
        <v>0.1178098084100765</v>
      </c>
      <c r="B695"/>
      <c r="C695"/>
      <c r="D695"/>
      <c r="E695"/>
      <c r="F695" s="27" t="s">
        <v>7</v>
      </c>
      <c r="GE695" s="27" t="s">
        <v>8</v>
      </c>
      <c r="GF695" s="27" t="s">
        <v>7</v>
      </c>
      <c r="GQ695" s="27" t="s">
        <v>8</v>
      </c>
      <c r="GR695" s="27" t="s">
        <v>7</v>
      </c>
      <c r="JW695" s="27" t="s">
        <v>8</v>
      </c>
      <c r="KV695" s="27" t="s">
        <v>7</v>
      </c>
      <c r="KW695" s="27" t="s">
        <v>8</v>
      </c>
      <c r="KX695" s="27" t="s">
        <v>7</v>
      </c>
      <c r="KY695" s="27" t="s">
        <v>8</v>
      </c>
      <c r="KZ695" s="27" t="s">
        <v>7</v>
      </c>
      <c r="LG695" s="27" t="s">
        <v>8</v>
      </c>
      <c r="LH695" s="27" t="s">
        <v>7</v>
      </c>
    </row>
    <row r="696" spans="1:326" x14ac:dyDescent="0.25">
      <c r="A696" s="7">
        <v>0.11549981216674166</v>
      </c>
      <c r="B696"/>
      <c r="C696"/>
      <c r="D696"/>
      <c r="E696"/>
      <c r="F696" s="27" t="s">
        <v>7</v>
      </c>
      <c r="GE696" s="27" t="s">
        <v>8</v>
      </c>
      <c r="GF696" s="27" t="s">
        <v>7</v>
      </c>
      <c r="GQ696" s="27" t="s">
        <v>8</v>
      </c>
      <c r="GR696" s="27" t="s">
        <v>7</v>
      </c>
      <c r="JW696" s="27" t="s">
        <v>8</v>
      </c>
      <c r="KV696" s="27" t="s">
        <v>7</v>
      </c>
      <c r="KW696" s="27" t="s">
        <v>8</v>
      </c>
      <c r="KX696" s="27" t="s">
        <v>7</v>
      </c>
      <c r="KY696" s="27" t="s">
        <v>8</v>
      </c>
      <c r="KZ696" s="27" t="s">
        <v>7</v>
      </c>
      <c r="LC696" s="27" t="s">
        <v>8</v>
      </c>
      <c r="LG696" s="27" t="s">
        <v>8</v>
      </c>
      <c r="LH696" s="27" t="s">
        <v>7</v>
      </c>
    </row>
    <row r="697" spans="1:326" x14ac:dyDescent="0.25">
      <c r="A697" s="7">
        <v>0.11323510996739378</v>
      </c>
      <c r="B697"/>
      <c r="C697"/>
      <c r="D697"/>
      <c r="E697"/>
      <c r="F697" s="27" t="s">
        <v>7</v>
      </c>
      <c r="GE697" s="27" t="s">
        <v>8</v>
      </c>
      <c r="GF697" s="27" t="s">
        <v>7</v>
      </c>
      <c r="GG697" s="27" t="s">
        <v>8</v>
      </c>
      <c r="GQ697" s="27" t="s">
        <v>8</v>
      </c>
      <c r="GR697" s="27" t="s">
        <v>7</v>
      </c>
      <c r="JW697" s="27" t="s">
        <v>8</v>
      </c>
      <c r="KV697" s="27" t="s">
        <v>7</v>
      </c>
      <c r="KW697" s="27" t="s">
        <v>8</v>
      </c>
      <c r="KX697" s="27" t="s">
        <v>7</v>
      </c>
      <c r="KY697" s="27" t="s">
        <v>8</v>
      </c>
      <c r="KZ697" s="27" t="s">
        <v>7</v>
      </c>
      <c r="LA697" s="27" t="s">
        <v>8</v>
      </c>
      <c r="LC697" s="27" t="s">
        <v>8</v>
      </c>
      <c r="LD697" s="27" t="s">
        <v>7</v>
      </c>
      <c r="LG697" s="27" t="s">
        <v>8</v>
      </c>
      <c r="LH697" s="27" t="s">
        <v>7</v>
      </c>
    </row>
    <row r="698" spans="1:326" x14ac:dyDescent="0.25">
      <c r="A698" s="7">
        <v>0.11101481369352331</v>
      </c>
      <c r="B698"/>
      <c r="C698"/>
      <c r="D698"/>
      <c r="E698"/>
      <c r="F698" s="27" t="s">
        <v>7</v>
      </c>
      <c r="GE698" s="27" t="s">
        <v>8</v>
      </c>
      <c r="GF698" s="27" t="s">
        <v>7</v>
      </c>
      <c r="GG698" s="27" t="s">
        <v>8</v>
      </c>
      <c r="GH698" s="27" t="s">
        <v>7</v>
      </c>
      <c r="GQ698" s="27" t="s">
        <v>8</v>
      </c>
      <c r="GR698" s="27" t="s">
        <v>7</v>
      </c>
      <c r="JW698" s="27" t="s">
        <v>8</v>
      </c>
      <c r="KV698" s="27" t="s">
        <v>7</v>
      </c>
      <c r="KW698" s="27" t="s">
        <v>8</v>
      </c>
      <c r="KX698" s="27" t="s">
        <v>7</v>
      </c>
      <c r="KY698" s="27" t="s">
        <v>8</v>
      </c>
      <c r="KZ698" s="27" t="s">
        <v>7</v>
      </c>
      <c r="LA698" s="27" t="s">
        <v>8</v>
      </c>
      <c r="LB698" s="27" t="s">
        <v>7</v>
      </c>
      <c r="LC698" s="27" t="s">
        <v>8</v>
      </c>
      <c r="LD698" s="27" t="s">
        <v>7</v>
      </c>
      <c r="LG698" s="27" t="s">
        <v>8</v>
      </c>
      <c r="LH698" s="27" t="s">
        <v>7</v>
      </c>
    </row>
    <row r="699" spans="1:326" x14ac:dyDescent="0.25">
      <c r="A699" s="7">
        <v>0.10883805264070913</v>
      </c>
      <c r="B699"/>
      <c r="C699"/>
      <c r="D699"/>
      <c r="E699"/>
      <c r="F699" s="27" t="s">
        <v>7</v>
      </c>
      <c r="FY699" s="27" t="s">
        <v>8</v>
      </c>
      <c r="GE699" s="27" t="s">
        <v>8</v>
      </c>
      <c r="GF699" s="27" t="s">
        <v>7</v>
      </c>
      <c r="GG699" s="27" t="s">
        <v>8</v>
      </c>
      <c r="GH699" s="27" t="s">
        <v>7</v>
      </c>
      <c r="GQ699" s="27" t="s">
        <v>8</v>
      </c>
      <c r="GR699" s="27" t="s">
        <v>7</v>
      </c>
      <c r="JW699" s="27" t="s">
        <v>8</v>
      </c>
      <c r="KV699" s="27" t="s">
        <v>7</v>
      </c>
      <c r="KW699" s="27" t="s">
        <v>8</v>
      </c>
      <c r="KX699" s="27" t="s">
        <v>7</v>
      </c>
      <c r="KY699" s="27" t="s">
        <v>8</v>
      </c>
      <c r="KZ699" s="27" t="s">
        <v>7</v>
      </c>
      <c r="LA699" s="27" t="s">
        <v>8</v>
      </c>
      <c r="LB699" s="27" t="s">
        <v>7</v>
      </c>
      <c r="LC699" s="27" t="s">
        <v>8</v>
      </c>
      <c r="LD699" s="27" t="s">
        <v>7</v>
      </c>
      <c r="LE699" s="27" t="s">
        <v>8</v>
      </c>
      <c r="LG699" s="27" t="s">
        <v>8</v>
      </c>
      <c r="LH699" s="27" t="s">
        <v>7</v>
      </c>
    </row>
    <row r="700" spans="1:326" x14ac:dyDescent="0.25">
      <c r="A700" s="7">
        <v>0.10670397317716582</v>
      </c>
      <c r="B700"/>
      <c r="C700"/>
      <c r="D700"/>
      <c r="E700"/>
      <c r="F700" s="27" t="s">
        <v>7</v>
      </c>
      <c r="FY700" s="27" t="s">
        <v>8</v>
      </c>
      <c r="FZ700" s="27" t="s">
        <v>7</v>
      </c>
      <c r="GE700" s="27" t="s">
        <v>8</v>
      </c>
      <c r="GF700" s="27" t="s">
        <v>7</v>
      </c>
      <c r="GG700" s="27" t="s">
        <v>8</v>
      </c>
      <c r="GH700" s="27" t="s">
        <v>7</v>
      </c>
      <c r="GQ700" s="27" t="s">
        <v>8</v>
      </c>
      <c r="GR700" s="27" t="s">
        <v>7</v>
      </c>
      <c r="GY700" s="27" t="s">
        <v>8</v>
      </c>
      <c r="JW700" s="27" t="s">
        <v>8</v>
      </c>
      <c r="KV700" s="27" t="s">
        <v>7</v>
      </c>
      <c r="KW700" s="27" t="s">
        <v>8</v>
      </c>
      <c r="KX700" s="27" t="s">
        <v>7</v>
      </c>
      <c r="KY700" s="27" t="s">
        <v>8</v>
      </c>
      <c r="KZ700" s="27" t="s">
        <v>7</v>
      </c>
      <c r="LA700" s="27" t="s">
        <v>8</v>
      </c>
      <c r="LB700" s="27" t="s">
        <v>7</v>
      </c>
      <c r="LC700" s="27" t="s">
        <v>8</v>
      </c>
      <c r="LD700" s="27" t="s">
        <v>7</v>
      </c>
      <c r="LE700" s="27" t="s">
        <v>8</v>
      </c>
      <c r="LF700" s="27" t="s">
        <v>7</v>
      </c>
      <c r="LG700" s="27" t="s">
        <v>8</v>
      </c>
      <c r="LH700" s="27" t="s">
        <v>7</v>
      </c>
    </row>
    <row r="701" spans="1:326" x14ac:dyDescent="0.25">
      <c r="A701" s="7">
        <v>0.1046117384089861</v>
      </c>
      <c r="B701"/>
      <c r="C701"/>
      <c r="D701"/>
      <c r="E701"/>
      <c r="F701" s="27" t="s">
        <v>7</v>
      </c>
      <c r="FY701" s="27" t="s">
        <v>8</v>
      </c>
      <c r="FZ701" s="27" t="s">
        <v>7</v>
      </c>
      <c r="GE701" s="27" t="s">
        <v>8</v>
      </c>
      <c r="GF701" s="27" t="s">
        <v>7</v>
      </c>
      <c r="GG701" s="27" t="s">
        <v>8</v>
      </c>
      <c r="GH701" s="27" t="s">
        <v>7</v>
      </c>
      <c r="GQ701" s="27" t="s">
        <v>8</v>
      </c>
      <c r="GR701" s="27" t="s">
        <v>7</v>
      </c>
      <c r="GY701" s="27" t="s">
        <v>8</v>
      </c>
      <c r="GZ701" s="27" t="s">
        <v>7</v>
      </c>
      <c r="JW701" s="27" t="s">
        <v>8</v>
      </c>
      <c r="KV701" s="27" t="s">
        <v>7</v>
      </c>
      <c r="KW701" s="27" t="s">
        <v>8</v>
      </c>
      <c r="KX701" s="27" t="s">
        <v>7</v>
      </c>
      <c r="KY701" s="27" t="s">
        <v>8</v>
      </c>
      <c r="KZ701" s="27" t="s">
        <v>7</v>
      </c>
      <c r="LA701" s="27" t="s">
        <v>8</v>
      </c>
      <c r="LB701" s="27" t="s">
        <v>7</v>
      </c>
      <c r="LC701" s="27" t="s">
        <v>8</v>
      </c>
      <c r="LD701" s="27" t="s">
        <v>7</v>
      </c>
      <c r="LE701" s="27" t="s">
        <v>8</v>
      </c>
      <c r="LF701" s="27" t="s">
        <v>7</v>
      </c>
      <c r="LG701" s="27" t="s">
        <v>8</v>
      </c>
      <c r="LH701" s="27" t="s">
        <v>7</v>
      </c>
    </row>
    <row r="702" spans="1:326" x14ac:dyDescent="0.25">
      <c r="A702" s="7">
        <v>0.10256052785194716</v>
      </c>
      <c r="B702"/>
      <c r="C702"/>
      <c r="D702"/>
      <c r="E702"/>
      <c r="F702" s="27" t="s">
        <v>7</v>
      </c>
      <c r="FY702" s="27" t="s">
        <v>8</v>
      </c>
      <c r="FZ702" s="27" t="s">
        <v>7</v>
      </c>
      <c r="GA702" s="27" t="s">
        <v>8</v>
      </c>
      <c r="GE702" s="27" t="s">
        <v>8</v>
      </c>
      <c r="GF702" s="27" t="s">
        <v>7</v>
      </c>
      <c r="GG702" s="27" t="s">
        <v>8</v>
      </c>
      <c r="GH702" s="27" t="s">
        <v>7</v>
      </c>
      <c r="GQ702" s="27" t="s">
        <v>8</v>
      </c>
      <c r="GR702" s="27" t="s">
        <v>7</v>
      </c>
      <c r="GY702" s="27" t="s">
        <v>8</v>
      </c>
      <c r="GZ702" s="27" t="s">
        <v>7</v>
      </c>
      <c r="JW702" s="27" t="s">
        <v>8</v>
      </c>
      <c r="KV702" s="27" t="s">
        <v>7</v>
      </c>
      <c r="KW702" s="27" t="s">
        <v>8</v>
      </c>
      <c r="KX702" s="27" t="s">
        <v>7</v>
      </c>
      <c r="KY702" s="27" t="s">
        <v>8</v>
      </c>
      <c r="KZ702" s="27" t="s">
        <v>7</v>
      </c>
      <c r="LA702" s="27" t="s">
        <v>8</v>
      </c>
      <c r="LB702" s="27" t="s">
        <v>7</v>
      </c>
      <c r="LC702" s="27" t="s">
        <v>8</v>
      </c>
      <c r="LD702" s="27" t="s">
        <v>7</v>
      </c>
      <c r="LE702" s="27" t="s">
        <v>8</v>
      </c>
      <c r="LF702" s="27" t="s">
        <v>7</v>
      </c>
      <c r="LH702" s="27" t="s">
        <v>7</v>
      </c>
      <c r="LI702" s="27" t="s">
        <v>8</v>
      </c>
      <c r="LM702" s="27" t="s">
        <v>8</v>
      </c>
    </row>
    <row r="703" spans="1:326" x14ac:dyDescent="0.25">
      <c r="A703" s="7">
        <v>0.10054953710975212</v>
      </c>
      <c r="B703"/>
      <c r="C703"/>
      <c r="D703"/>
      <c r="E703"/>
      <c r="F703" s="27" t="s">
        <v>7</v>
      </c>
      <c r="FY703" s="27" t="s">
        <v>8</v>
      </c>
      <c r="FZ703" s="27" t="s">
        <v>7</v>
      </c>
      <c r="GA703" s="27" t="s">
        <v>8</v>
      </c>
      <c r="GB703" s="27" t="s">
        <v>7</v>
      </c>
      <c r="GE703" s="27" t="s">
        <v>8</v>
      </c>
      <c r="GF703" s="27" t="s">
        <v>7</v>
      </c>
      <c r="GG703" s="27" t="s">
        <v>8</v>
      </c>
      <c r="GH703" s="27" t="s">
        <v>7</v>
      </c>
      <c r="GI703" s="27" t="s">
        <v>8</v>
      </c>
      <c r="GQ703" s="27" t="s">
        <v>8</v>
      </c>
      <c r="GR703" s="27" t="s">
        <v>7</v>
      </c>
      <c r="GY703" s="27" t="s">
        <v>8</v>
      </c>
      <c r="GZ703" s="27" t="s">
        <v>7</v>
      </c>
      <c r="JW703" s="27" t="s">
        <v>8</v>
      </c>
      <c r="KV703" s="27" t="s">
        <v>7</v>
      </c>
      <c r="KW703" s="27" t="s">
        <v>8</v>
      </c>
      <c r="KX703" s="27" t="s">
        <v>7</v>
      </c>
      <c r="KY703" s="27" t="s">
        <v>8</v>
      </c>
      <c r="KZ703" s="27" t="s">
        <v>7</v>
      </c>
      <c r="LA703" s="27" t="s">
        <v>8</v>
      </c>
      <c r="LB703" s="27" t="s">
        <v>7</v>
      </c>
      <c r="LD703" s="27" t="s">
        <v>7</v>
      </c>
      <c r="LH703" s="27" t="s">
        <v>7</v>
      </c>
      <c r="LI703" s="27" t="s">
        <v>8</v>
      </c>
      <c r="LJ703" s="27" t="s">
        <v>7</v>
      </c>
      <c r="LK703" s="27" t="s">
        <v>8</v>
      </c>
      <c r="LM703" s="27" t="s">
        <v>8</v>
      </c>
      <c r="LN703" s="27" t="s">
        <v>7</v>
      </c>
    </row>
    <row r="704" spans="1:326" x14ac:dyDescent="0.25">
      <c r="A704" s="7">
        <v>9.8577977558580512E-2</v>
      </c>
      <c r="B704"/>
      <c r="C704"/>
      <c r="D704"/>
      <c r="E704"/>
      <c r="F704" s="27" t="s">
        <v>7</v>
      </c>
      <c r="FY704" s="27" t="s">
        <v>8</v>
      </c>
      <c r="FZ704" s="27" t="s">
        <v>7</v>
      </c>
      <c r="GA704" s="27" t="s">
        <v>8</v>
      </c>
      <c r="GB704" s="27" t="s">
        <v>7</v>
      </c>
      <c r="GE704" s="27" t="s">
        <v>8</v>
      </c>
      <c r="GF704" s="27" t="s">
        <v>7</v>
      </c>
      <c r="GH704" s="27" t="s">
        <v>7</v>
      </c>
      <c r="GI704" s="27" t="s">
        <v>8</v>
      </c>
      <c r="GJ704" s="27" t="s">
        <v>7</v>
      </c>
      <c r="GQ704" s="27" t="s">
        <v>8</v>
      </c>
      <c r="GR704" s="27" t="s">
        <v>7</v>
      </c>
      <c r="GY704" s="27" t="s">
        <v>8</v>
      </c>
      <c r="GZ704" s="27" t="s">
        <v>7</v>
      </c>
      <c r="JW704" s="27" t="s">
        <v>8</v>
      </c>
      <c r="KV704" s="27" t="s">
        <v>7</v>
      </c>
      <c r="KW704" s="27" t="s">
        <v>8</v>
      </c>
      <c r="KX704" s="27" t="s">
        <v>7</v>
      </c>
      <c r="KY704" s="27" t="s">
        <v>8</v>
      </c>
      <c r="KZ704" s="27" t="s">
        <v>7</v>
      </c>
      <c r="LA704" s="27" t="s">
        <v>8</v>
      </c>
      <c r="LH704" s="27" t="s">
        <v>7</v>
      </c>
      <c r="LI704" s="27" t="s">
        <v>8</v>
      </c>
      <c r="LJ704" s="27" t="s">
        <v>7</v>
      </c>
      <c r="LK704" s="27" t="s">
        <v>8</v>
      </c>
      <c r="LL704" s="27" t="s">
        <v>7</v>
      </c>
      <c r="LM704" s="27" t="s">
        <v>8</v>
      </c>
      <c r="LN704" s="27" t="s">
        <v>7</v>
      </c>
    </row>
    <row r="705" spans="1:329" x14ac:dyDescent="0.25">
      <c r="A705" s="7">
        <v>9.6645076037824032E-2</v>
      </c>
      <c r="B705"/>
      <c r="C705"/>
      <c r="D705"/>
      <c r="E705"/>
      <c r="F705" s="27" t="s">
        <v>7</v>
      </c>
      <c r="FY705" s="27" t="s">
        <v>8</v>
      </c>
      <c r="FZ705" s="27" t="s">
        <v>7</v>
      </c>
      <c r="GA705" s="27" t="s">
        <v>8</v>
      </c>
      <c r="GB705" s="27" t="s">
        <v>7</v>
      </c>
      <c r="GE705" s="27" t="s">
        <v>8</v>
      </c>
      <c r="GH705" s="27" t="s">
        <v>7</v>
      </c>
      <c r="GI705" s="27" t="s">
        <v>8</v>
      </c>
      <c r="GJ705" s="27" t="s">
        <v>7</v>
      </c>
      <c r="GQ705" s="27" t="s">
        <v>8</v>
      </c>
      <c r="GR705" s="27" t="s">
        <v>7</v>
      </c>
      <c r="GS705" s="27" t="s">
        <v>8</v>
      </c>
      <c r="GY705" s="27" t="s">
        <v>8</v>
      </c>
      <c r="GZ705" s="27" t="s">
        <v>7</v>
      </c>
      <c r="JW705" s="27" t="s">
        <v>8</v>
      </c>
      <c r="KV705" s="27" t="s">
        <v>7</v>
      </c>
      <c r="KW705" s="27" t="s">
        <v>8</v>
      </c>
      <c r="KX705" s="27" t="s">
        <v>7</v>
      </c>
      <c r="KY705" s="27" t="s">
        <v>8</v>
      </c>
      <c r="KZ705" s="27" t="s">
        <v>7</v>
      </c>
      <c r="LA705" s="27" t="s">
        <v>8</v>
      </c>
      <c r="LH705" s="27" t="s">
        <v>7</v>
      </c>
      <c r="LI705" s="27" t="s">
        <v>8</v>
      </c>
      <c r="LJ705" s="27" t="s">
        <v>7</v>
      </c>
      <c r="LK705" s="27" t="s">
        <v>8</v>
      </c>
      <c r="LL705" s="27" t="s">
        <v>7</v>
      </c>
      <c r="LM705" s="27" t="s">
        <v>8</v>
      </c>
      <c r="LN705" s="27" t="s">
        <v>7</v>
      </c>
    </row>
    <row r="706" spans="1:329" x14ac:dyDescent="0.25">
      <c r="A706" s="7">
        <v>9.4750074546886304E-2</v>
      </c>
      <c r="B706"/>
      <c r="C706"/>
      <c r="D706"/>
      <c r="E706"/>
      <c r="F706" s="27" t="s">
        <v>7</v>
      </c>
      <c r="FY706" s="27" t="s">
        <v>8</v>
      </c>
      <c r="FZ706" s="27" t="s">
        <v>7</v>
      </c>
      <c r="GA706" s="27" t="s">
        <v>8</v>
      </c>
      <c r="GB706" s="27" t="s">
        <v>7</v>
      </c>
      <c r="GE706" s="27" t="s">
        <v>8</v>
      </c>
      <c r="GH706" s="27" t="s">
        <v>7</v>
      </c>
      <c r="GI706" s="27" t="s">
        <v>8</v>
      </c>
      <c r="GJ706" s="27" t="s">
        <v>7</v>
      </c>
      <c r="GQ706" s="27" t="s">
        <v>8</v>
      </c>
      <c r="GR706" s="27" t="s">
        <v>7</v>
      </c>
      <c r="GS706" s="27" t="s">
        <v>8</v>
      </c>
      <c r="GT706" s="27" t="s">
        <v>7</v>
      </c>
      <c r="GY706" s="27" t="s">
        <v>8</v>
      </c>
      <c r="GZ706" s="27" t="s">
        <v>7</v>
      </c>
      <c r="JW706" s="27" t="s">
        <v>8</v>
      </c>
      <c r="KV706" s="27" t="s">
        <v>7</v>
      </c>
      <c r="KW706" s="27" t="s">
        <v>8</v>
      </c>
      <c r="KX706" s="27" t="s">
        <v>7</v>
      </c>
      <c r="KZ706" s="27" t="s">
        <v>7</v>
      </c>
      <c r="LA706" s="27" t="s">
        <v>8</v>
      </c>
      <c r="LH706" s="27" t="s">
        <v>7</v>
      </c>
      <c r="LI706" s="27" t="s">
        <v>8</v>
      </c>
      <c r="LJ706" s="27" t="s">
        <v>7</v>
      </c>
      <c r="LK706" s="27" t="s">
        <v>8</v>
      </c>
      <c r="LL706" s="27" t="s">
        <v>7</v>
      </c>
      <c r="LM706" s="27" t="s">
        <v>8</v>
      </c>
      <c r="LN706" s="27" t="s">
        <v>7</v>
      </c>
    </row>
    <row r="707" spans="1:329" x14ac:dyDescent="0.25">
      <c r="A707" s="7">
        <v>9.2892229947927743E-2</v>
      </c>
      <c r="B707"/>
      <c r="C707"/>
      <c r="D707"/>
      <c r="E707"/>
      <c r="F707" s="27" t="s">
        <v>7</v>
      </c>
      <c r="FY707" s="27" t="s">
        <v>8</v>
      </c>
      <c r="FZ707" s="27" t="s">
        <v>7</v>
      </c>
      <c r="GA707" s="27" t="s">
        <v>8</v>
      </c>
      <c r="GB707" s="27" t="s">
        <v>7</v>
      </c>
      <c r="GE707" s="27" t="s">
        <v>8</v>
      </c>
      <c r="GH707" s="27" t="s">
        <v>7</v>
      </c>
      <c r="GI707" s="27" t="s">
        <v>8</v>
      </c>
      <c r="GJ707" s="27" t="s">
        <v>7</v>
      </c>
      <c r="GQ707" s="27" t="s">
        <v>8</v>
      </c>
      <c r="GR707" s="27" t="s">
        <v>7</v>
      </c>
      <c r="GS707" s="27" t="s">
        <v>8</v>
      </c>
      <c r="GT707" s="27" t="s">
        <v>7</v>
      </c>
      <c r="GY707" s="27" t="s">
        <v>8</v>
      </c>
      <c r="GZ707" s="27" t="s">
        <v>7</v>
      </c>
      <c r="JW707" s="27" t="s">
        <v>8</v>
      </c>
      <c r="KV707" s="27" t="s">
        <v>7</v>
      </c>
      <c r="KW707" s="27" t="s">
        <v>8</v>
      </c>
      <c r="KZ707" s="27" t="s">
        <v>7</v>
      </c>
      <c r="LA707" s="27" t="s">
        <v>8</v>
      </c>
      <c r="LH707" s="27" t="s">
        <v>7</v>
      </c>
      <c r="LJ707" s="27" t="s">
        <v>7</v>
      </c>
      <c r="LK707" s="27" t="s">
        <v>8</v>
      </c>
      <c r="LL707" s="27" t="s">
        <v>7</v>
      </c>
      <c r="LM707" s="27" t="s">
        <v>8</v>
      </c>
      <c r="LN707" s="27" t="s">
        <v>7</v>
      </c>
    </row>
    <row r="708" spans="1:329" x14ac:dyDescent="0.25">
      <c r="A708" s="7">
        <v>9.1070813674438963E-2</v>
      </c>
      <c r="B708"/>
      <c r="C708"/>
      <c r="D708"/>
      <c r="E708"/>
      <c r="F708" s="27" t="s">
        <v>7</v>
      </c>
      <c r="FY708" s="27" t="s">
        <v>8</v>
      </c>
      <c r="FZ708" s="27" t="s">
        <v>7</v>
      </c>
      <c r="GA708" s="27" t="s">
        <v>8</v>
      </c>
      <c r="GB708" s="27" t="s">
        <v>7</v>
      </c>
      <c r="GE708" s="27" t="s">
        <v>8</v>
      </c>
      <c r="GH708" s="27" t="s">
        <v>7</v>
      </c>
      <c r="GI708" s="27" t="s">
        <v>8</v>
      </c>
      <c r="GJ708" s="27" t="s">
        <v>7</v>
      </c>
      <c r="GQ708" s="27" t="s">
        <v>8</v>
      </c>
      <c r="GR708" s="27" t="s">
        <v>7</v>
      </c>
      <c r="GS708" s="27" t="s">
        <v>8</v>
      </c>
      <c r="GT708" s="27" t="s">
        <v>7</v>
      </c>
      <c r="GY708" s="27" t="s">
        <v>8</v>
      </c>
      <c r="GZ708" s="27" t="s">
        <v>7</v>
      </c>
      <c r="JW708" s="27" t="s">
        <v>8</v>
      </c>
      <c r="KV708" s="27" t="s">
        <v>7</v>
      </c>
      <c r="KW708" s="27" t="s">
        <v>8</v>
      </c>
      <c r="KZ708" s="27" t="s">
        <v>7</v>
      </c>
      <c r="LJ708" s="27" t="s">
        <v>7</v>
      </c>
      <c r="LK708" s="27" t="s">
        <v>8</v>
      </c>
      <c r="LL708" s="27" t="s">
        <v>7</v>
      </c>
      <c r="LN708" s="27" t="s">
        <v>7</v>
      </c>
    </row>
    <row r="709" spans="1:329" x14ac:dyDescent="0.25">
      <c r="A709" s="7">
        <v>8.9285111445528392E-2</v>
      </c>
      <c r="B709"/>
      <c r="C709"/>
      <c r="D709"/>
      <c r="E709"/>
      <c r="F709" s="27" t="s">
        <v>7</v>
      </c>
      <c r="FY709" s="27" t="s">
        <v>8</v>
      </c>
      <c r="FZ709" s="27" t="s">
        <v>7</v>
      </c>
      <c r="GA709" s="27" t="s">
        <v>8</v>
      </c>
      <c r="GB709" s="27" t="s">
        <v>7</v>
      </c>
      <c r="GE709" s="27" t="s">
        <v>8</v>
      </c>
      <c r="GH709" s="27" t="s">
        <v>7</v>
      </c>
      <c r="GI709" s="27" t="s">
        <v>8</v>
      </c>
      <c r="GJ709" s="27" t="s">
        <v>7</v>
      </c>
      <c r="GQ709" s="27" t="s">
        <v>8</v>
      </c>
      <c r="GR709" s="27" t="s">
        <v>7</v>
      </c>
      <c r="GS709" s="27" t="s">
        <v>8</v>
      </c>
      <c r="GT709" s="27" t="s">
        <v>7</v>
      </c>
      <c r="GU709" s="27" t="s">
        <v>8</v>
      </c>
      <c r="GY709" s="27" t="s">
        <v>8</v>
      </c>
      <c r="GZ709" s="27" t="s">
        <v>7</v>
      </c>
      <c r="JW709" s="27" t="s">
        <v>8</v>
      </c>
      <c r="KV709" s="27" t="s">
        <v>7</v>
      </c>
      <c r="LJ709" s="27" t="s">
        <v>7</v>
      </c>
      <c r="LK709" s="27" t="s">
        <v>8</v>
      </c>
      <c r="LN709" s="27" t="s">
        <v>7</v>
      </c>
    </row>
    <row r="710" spans="1:329" x14ac:dyDescent="0.25">
      <c r="A710" s="7">
        <v>8.7534422985812155E-2</v>
      </c>
      <c r="B710"/>
      <c r="C710"/>
      <c r="D710"/>
      <c r="E710"/>
      <c r="F710" s="27" t="s">
        <v>7</v>
      </c>
      <c r="FY710" s="27" t="s">
        <v>8</v>
      </c>
      <c r="FZ710" s="27" t="s">
        <v>7</v>
      </c>
      <c r="GA710" s="27" t="s">
        <v>8</v>
      </c>
      <c r="GB710" s="27" t="s">
        <v>7</v>
      </c>
      <c r="GC710" s="27" t="s">
        <v>8</v>
      </c>
      <c r="GE710" s="27" t="s">
        <v>8</v>
      </c>
      <c r="GH710" s="27" t="s">
        <v>7</v>
      </c>
      <c r="GI710" s="27" t="s">
        <v>8</v>
      </c>
      <c r="GJ710" s="27" t="s">
        <v>7</v>
      </c>
      <c r="GQ710" s="27" t="s">
        <v>8</v>
      </c>
      <c r="GR710" s="27" t="s">
        <v>7</v>
      </c>
      <c r="GS710" s="27" t="s">
        <v>8</v>
      </c>
      <c r="GT710" s="27" t="s">
        <v>7</v>
      </c>
      <c r="GU710" s="27" t="s">
        <v>8</v>
      </c>
      <c r="GV710" s="27" t="s">
        <v>7</v>
      </c>
      <c r="GY710" s="27" t="s">
        <v>8</v>
      </c>
      <c r="GZ710" s="27" t="s">
        <v>7</v>
      </c>
      <c r="HU710" s="27" t="s">
        <v>8</v>
      </c>
      <c r="JI710" s="27" t="s">
        <v>8</v>
      </c>
      <c r="JW710" s="27" t="s">
        <v>8</v>
      </c>
      <c r="LJ710" s="27" t="s">
        <v>7</v>
      </c>
      <c r="LK710" s="27" t="s">
        <v>8</v>
      </c>
      <c r="LN710" s="27" t="s">
        <v>7</v>
      </c>
    </row>
    <row r="711" spans="1:329" x14ac:dyDescent="0.25">
      <c r="A711" s="7">
        <v>8.5818061750796232E-2</v>
      </c>
      <c r="B711"/>
      <c r="C711"/>
      <c r="D711"/>
      <c r="E711"/>
      <c r="F711" s="27" t="s">
        <v>7</v>
      </c>
      <c r="FY711" s="27" t="s">
        <v>8</v>
      </c>
      <c r="FZ711" s="27" t="s">
        <v>7</v>
      </c>
      <c r="GB711" s="27" t="s">
        <v>7</v>
      </c>
      <c r="GC711" s="27" t="s">
        <v>8</v>
      </c>
      <c r="GD711" s="27" t="s">
        <v>7</v>
      </c>
      <c r="GE711" s="27" t="s">
        <v>8</v>
      </c>
      <c r="GH711" s="27" t="s">
        <v>7</v>
      </c>
      <c r="GI711" s="27" t="s">
        <v>8</v>
      </c>
      <c r="GJ711" s="27" t="s">
        <v>7</v>
      </c>
      <c r="GK711" s="27" t="s">
        <v>8</v>
      </c>
      <c r="GM711" s="27" t="s">
        <v>8</v>
      </c>
      <c r="GQ711" s="27" t="s">
        <v>8</v>
      </c>
      <c r="GR711" s="27" t="s">
        <v>7</v>
      </c>
      <c r="GS711" s="27" t="s">
        <v>8</v>
      </c>
      <c r="GT711" s="27" t="s">
        <v>7</v>
      </c>
      <c r="GU711" s="27" t="s">
        <v>8</v>
      </c>
      <c r="GV711" s="27" t="s">
        <v>7</v>
      </c>
      <c r="GY711" s="27" t="s">
        <v>8</v>
      </c>
      <c r="GZ711" s="27" t="s">
        <v>7</v>
      </c>
      <c r="HU711" s="27" t="s">
        <v>8</v>
      </c>
      <c r="HV711" s="27" t="s">
        <v>7</v>
      </c>
      <c r="JI711" s="27" t="s">
        <v>8</v>
      </c>
      <c r="JJ711" s="27" t="s">
        <v>7</v>
      </c>
      <c r="JW711" s="27" t="s">
        <v>8</v>
      </c>
      <c r="LJ711" s="27" t="s">
        <v>7</v>
      </c>
      <c r="LN711" s="27" t="s">
        <v>7</v>
      </c>
    </row>
    <row r="712" spans="1:329" x14ac:dyDescent="0.25">
      <c r="A712" s="7">
        <v>8.4135354657643366E-2</v>
      </c>
      <c r="B712"/>
      <c r="C712"/>
      <c r="D712"/>
      <c r="E712"/>
      <c r="F712" s="27" t="s">
        <v>7</v>
      </c>
      <c r="FU712" s="27" t="s">
        <v>8</v>
      </c>
      <c r="FY712" s="27" t="s">
        <v>8</v>
      </c>
      <c r="GB712" s="27" t="s">
        <v>7</v>
      </c>
      <c r="GC712" s="27" t="s">
        <v>8</v>
      </c>
      <c r="GD712" s="27" t="s">
        <v>7</v>
      </c>
      <c r="GE712" s="27" t="s">
        <v>8</v>
      </c>
      <c r="GH712" s="27" t="s">
        <v>7</v>
      </c>
      <c r="GI712" s="27" t="s">
        <v>8</v>
      </c>
      <c r="GJ712" s="27" t="s">
        <v>7</v>
      </c>
      <c r="GK712" s="27" t="s">
        <v>8</v>
      </c>
      <c r="GL712" s="27" t="s">
        <v>7</v>
      </c>
      <c r="GM712" s="27" t="s">
        <v>8</v>
      </c>
      <c r="GN712" s="27" t="s">
        <v>7</v>
      </c>
      <c r="GQ712" s="27" t="s">
        <v>8</v>
      </c>
      <c r="GR712" s="27" t="s">
        <v>7</v>
      </c>
      <c r="GS712" s="27" t="s">
        <v>8</v>
      </c>
      <c r="GT712" s="27" t="s">
        <v>7</v>
      </c>
      <c r="GU712" s="27" t="s">
        <v>8</v>
      </c>
      <c r="GV712" s="27" t="s">
        <v>7</v>
      </c>
      <c r="GW712" s="27" t="s">
        <v>8</v>
      </c>
      <c r="GY712" s="27" t="s">
        <v>8</v>
      </c>
      <c r="GZ712" s="27" t="s">
        <v>7</v>
      </c>
      <c r="HA712" s="27" t="s">
        <v>8</v>
      </c>
      <c r="HU712" s="27" t="s">
        <v>8</v>
      </c>
      <c r="HV712" s="27" t="s">
        <v>7</v>
      </c>
      <c r="JI712" s="27" t="s">
        <v>8</v>
      </c>
      <c r="JJ712" s="27" t="s">
        <v>7</v>
      </c>
      <c r="JW712" s="27" t="s">
        <v>8</v>
      </c>
      <c r="LN712" s="27" t="s">
        <v>7</v>
      </c>
    </row>
    <row r="713" spans="1:329" x14ac:dyDescent="0.25">
      <c r="A713" s="7">
        <v>8.248564182121898E-2</v>
      </c>
      <c r="B713"/>
      <c r="C713"/>
      <c r="D713"/>
      <c r="E713"/>
      <c r="F713" s="27" t="s">
        <v>7</v>
      </c>
      <c r="FQ713" s="27" t="s">
        <v>8</v>
      </c>
      <c r="FU713" s="27" t="s">
        <v>8</v>
      </c>
      <c r="FV713" s="27" t="s">
        <v>7</v>
      </c>
      <c r="FY713" s="27" t="s">
        <v>8</v>
      </c>
      <c r="GB713" s="27" t="s">
        <v>7</v>
      </c>
      <c r="GC713" s="27" t="s">
        <v>8</v>
      </c>
      <c r="GD713" s="27" t="s">
        <v>7</v>
      </c>
      <c r="GH713" s="27" t="s">
        <v>7</v>
      </c>
      <c r="GI713" s="27" t="s">
        <v>8</v>
      </c>
      <c r="GJ713" s="27" t="s">
        <v>7</v>
      </c>
      <c r="GK713" s="27" t="s">
        <v>8</v>
      </c>
      <c r="GL713" s="27" t="s">
        <v>7</v>
      </c>
      <c r="GM713" s="27" t="s">
        <v>8</v>
      </c>
      <c r="GN713" s="27" t="s">
        <v>7</v>
      </c>
      <c r="GQ713" s="27" t="s">
        <v>8</v>
      </c>
      <c r="GR713" s="27" t="s">
        <v>7</v>
      </c>
      <c r="GS713" s="27" t="s">
        <v>8</v>
      </c>
      <c r="GT713" s="27" t="s">
        <v>7</v>
      </c>
      <c r="GU713" s="27" t="s">
        <v>8</v>
      </c>
      <c r="GV713" s="27" t="s">
        <v>7</v>
      </c>
      <c r="GW713" s="27" t="s">
        <v>8</v>
      </c>
      <c r="GX713" s="27" t="s">
        <v>7</v>
      </c>
      <c r="GY713" s="27" t="s">
        <v>8</v>
      </c>
      <c r="GZ713" s="27" t="s">
        <v>7</v>
      </c>
      <c r="HA713" s="27" t="s">
        <v>8</v>
      </c>
      <c r="HB713" s="27" t="s">
        <v>7</v>
      </c>
      <c r="HU713" s="27" t="s">
        <v>8</v>
      </c>
      <c r="HV713" s="27" t="s">
        <v>7</v>
      </c>
      <c r="JI713" s="27" t="s">
        <v>8</v>
      </c>
      <c r="JJ713" s="27" t="s">
        <v>7</v>
      </c>
      <c r="JW713" s="27" t="s">
        <v>8</v>
      </c>
      <c r="LN713" s="27" t="s">
        <v>7</v>
      </c>
    </row>
    <row r="714" spans="1:329" x14ac:dyDescent="0.25">
      <c r="A714" s="7">
        <v>8.0868276295312735E-2</v>
      </c>
      <c r="B714"/>
      <c r="C714"/>
      <c r="D714"/>
      <c r="E714"/>
      <c r="F714" s="27" t="s">
        <v>7</v>
      </c>
      <c r="FQ714" s="27" t="s">
        <v>8</v>
      </c>
      <c r="FR714" s="27" t="s">
        <v>7</v>
      </c>
      <c r="FU714" s="27" t="s">
        <v>8</v>
      </c>
      <c r="FV714" s="27" t="s">
        <v>7</v>
      </c>
      <c r="FY714" s="27" t="s">
        <v>8</v>
      </c>
      <c r="GB714" s="27" t="s">
        <v>7</v>
      </c>
      <c r="GC714" s="27" t="s">
        <v>8</v>
      </c>
      <c r="GH714" s="27" t="s">
        <v>7</v>
      </c>
      <c r="GI714" s="27" t="s">
        <v>8</v>
      </c>
      <c r="GJ714" s="27" t="s">
        <v>7</v>
      </c>
      <c r="GL714" s="27" t="s">
        <v>7</v>
      </c>
      <c r="GM714" s="27" t="s">
        <v>8</v>
      </c>
      <c r="GN714" s="27" t="s">
        <v>7</v>
      </c>
      <c r="GO714" s="27" t="s">
        <v>8</v>
      </c>
      <c r="GQ714" s="27" t="s">
        <v>8</v>
      </c>
      <c r="GR714" s="27" t="s">
        <v>7</v>
      </c>
      <c r="GS714" s="27" t="s">
        <v>8</v>
      </c>
      <c r="GT714" s="27" t="s">
        <v>7</v>
      </c>
      <c r="GU714" s="27" t="s">
        <v>8</v>
      </c>
      <c r="GV714" s="27" t="s">
        <v>7</v>
      </c>
      <c r="GW714" s="27" t="s">
        <v>8</v>
      </c>
      <c r="GX714" s="27" t="s">
        <v>7</v>
      </c>
      <c r="GY714" s="27" t="s">
        <v>8</v>
      </c>
      <c r="GZ714" s="27" t="s">
        <v>7</v>
      </c>
      <c r="HA714" s="27" t="s">
        <v>8</v>
      </c>
      <c r="HB714" s="27" t="s">
        <v>7</v>
      </c>
      <c r="HE714" s="27" t="s">
        <v>8</v>
      </c>
      <c r="HU714" s="27" t="s">
        <v>8</v>
      </c>
      <c r="HV714" s="27" t="s">
        <v>7</v>
      </c>
      <c r="JI714" s="27" t="s">
        <v>8</v>
      </c>
      <c r="JJ714" s="27" t="s">
        <v>7</v>
      </c>
      <c r="JU714" s="27" t="s">
        <v>8</v>
      </c>
      <c r="JW714" s="27" t="s">
        <v>8</v>
      </c>
      <c r="LN714" s="27" t="s">
        <v>7</v>
      </c>
    </row>
    <row r="715" spans="1:329" x14ac:dyDescent="0.25">
      <c r="A715" s="7">
        <v>7.9282623818934056E-2</v>
      </c>
      <c r="B715"/>
      <c r="C715"/>
      <c r="D715"/>
      <c r="E715"/>
      <c r="F715" s="27" t="s">
        <v>7</v>
      </c>
      <c r="FQ715" s="27" t="s">
        <v>8</v>
      </c>
      <c r="FR715" s="27" t="s">
        <v>7</v>
      </c>
      <c r="FU715" s="27" t="s">
        <v>8</v>
      </c>
      <c r="FV715" s="27" t="s">
        <v>7</v>
      </c>
      <c r="FY715" s="27" t="s">
        <v>8</v>
      </c>
      <c r="GB715" s="27" t="s">
        <v>7</v>
      </c>
      <c r="GC715" s="27" t="s">
        <v>8</v>
      </c>
      <c r="GH715" s="27" t="s">
        <v>7</v>
      </c>
      <c r="GI715" s="27" t="s">
        <v>8</v>
      </c>
      <c r="GL715" s="27" t="s">
        <v>7</v>
      </c>
      <c r="GM715" s="27" t="s">
        <v>8</v>
      </c>
      <c r="GN715" s="27" t="s">
        <v>7</v>
      </c>
      <c r="GO715" s="27" t="s">
        <v>8</v>
      </c>
      <c r="GP715" s="27" t="s">
        <v>7</v>
      </c>
      <c r="GQ715" s="27" t="s">
        <v>8</v>
      </c>
      <c r="GR715" s="27" t="s">
        <v>7</v>
      </c>
      <c r="GS715" s="27" t="s">
        <v>8</v>
      </c>
      <c r="GT715" s="27" t="s">
        <v>7</v>
      </c>
      <c r="GU715" s="27" t="s">
        <v>8</v>
      </c>
      <c r="GV715" s="27" t="s">
        <v>7</v>
      </c>
      <c r="GW715" s="27" t="s">
        <v>8</v>
      </c>
      <c r="GX715" s="27" t="s">
        <v>7</v>
      </c>
      <c r="GY715" s="27" t="s">
        <v>8</v>
      </c>
      <c r="GZ715" s="27" t="s">
        <v>7</v>
      </c>
      <c r="HB715" s="27" t="s">
        <v>7</v>
      </c>
      <c r="HC715" s="27" t="s">
        <v>8</v>
      </c>
      <c r="HE715" s="27" t="s">
        <v>8</v>
      </c>
      <c r="HF715" s="27" t="s">
        <v>7</v>
      </c>
      <c r="HU715" s="27" t="s">
        <v>8</v>
      </c>
      <c r="HV715" s="27" t="s">
        <v>7</v>
      </c>
      <c r="JI715" s="27" t="s">
        <v>8</v>
      </c>
      <c r="JJ715" s="27" t="s">
        <v>7</v>
      </c>
      <c r="JU715" s="27" t="s">
        <v>8</v>
      </c>
      <c r="JV715" s="27" t="s">
        <v>7</v>
      </c>
      <c r="JW715" s="27" t="s">
        <v>8</v>
      </c>
      <c r="LN715" s="27" t="s">
        <v>7</v>
      </c>
    </row>
    <row r="716" spans="1:329" x14ac:dyDescent="0.25">
      <c r="A716" s="7">
        <v>7.7728062567582412E-2</v>
      </c>
      <c r="B716"/>
      <c r="C716"/>
      <c r="D716"/>
      <c r="E716"/>
      <c r="F716" s="27" t="s">
        <v>7</v>
      </c>
      <c r="FQ716" s="27" t="s">
        <v>8</v>
      </c>
      <c r="FR716" s="27" t="s">
        <v>7</v>
      </c>
      <c r="FS716" s="27" t="s">
        <v>8</v>
      </c>
      <c r="FU716" s="27" t="s">
        <v>8</v>
      </c>
      <c r="FV716" s="27" t="s">
        <v>7</v>
      </c>
      <c r="FY716" s="27" t="s">
        <v>8</v>
      </c>
      <c r="GB716" s="27" t="s">
        <v>7</v>
      </c>
      <c r="GC716" s="27" t="s">
        <v>8</v>
      </c>
      <c r="GH716" s="27" t="s">
        <v>7</v>
      </c>
      <c r="GI716" s="27" t="s">
        <v>8</v>
      </c>
      <c r="GL716" s="27" t="s">
        <v>7</v>
      </c>
      <c r="GM716" s="27" t="s">
        <v>8</v>
      </c>
      <c r="GN716" s="27" t="s">
        <v>7</v>
      </c>
      <c r="GO716" s="27" t="s">
        <v>8</v>
      </c>
      <c r="GP716" s="27" t="s">
        <v>7</v>
      </c>
      <c r="GQ716" s="27" t="s">
        <v>8</v>
      </c>
      <c r="GR716" s="27" t="s">
        <v>7</v>
      </c>
      <c r="GS716" s="27" t="s">
        <v>8</v>
      </c>
      <c r="GT716" s="27" t="s">
        <v>7</v>
      </c>
      <c r="GU716" s="27" t="s">
        <v>8</v>
      </c>
      <c r="GV716" s="27" t="s">
        <v>7</v>
      </c>
      <c r="GW716" s="27" t="s">
        <v>8</v>
      </c>
      <c r="GX716" s="27" t="s">
        <v>7</v>
      </c>
      <c r="HB716" s="27" t="s">
        <v>7</v>
      </c>
      <c r="HC716" s="27" t="s">
        <v>8</v>
      </c>
      <c r="HD716" s="27" t="s">
        <v>7</v>
      </c>
      <c r="HE716" s="27" t="s">
        <v>8</v>
      </c>
      <c r="HF716" s="27" t="s">
        <v>7</v>
      </c>
      <c r="HG716" s="27" t="s">
        <v>8</v>
      </c>
      <c r="HK716" s="27" t="s">
        <v>8</v>
      </c>
      <c r="HU716" s="27" t="s">
        <v>8</v>
      </c>
      <c r="HV716" s="27" t="s">
        <v>7</v>
      </c>
      <c r="JI716" s="27" t="s">
        <v>8</v>
      </c>
      <c r="JJ716" s="27" t="s">
        <v>7</v>
      </c>
      <c r="JU716" s="27" t="s">
        <v>8</v>
      </c>
      <c r="JV716" s="27" t="s">
        <v>7</v>
      </c>
      <c r="JW716" s="27" t="s">
        <v>8</v>
      </c>
      <c r="LN716" s="27" t="s">
        <v>7</v>
      </c>
    </row>
    <row r="717" spans="1:329" x14ac:dyDescent="0.25">
      <c r="A717" s="7">
        <v>7.6203982909394521E-2</v>
      </c>
      <c r="B717"/>
      <c r="C717"/>
      <c r="D717"/>
      <c r="E717"/>
      <c r="F717" s="27" t="s">
        <v>7</v>
      </c>
      <c r="FQ717" s="27" t="s">
        <v>8</v>
      </c>
      <c r="FR717" s="27" t="s">
        <v>7</v>
      </c>
      <c r="FS717" s="27" t="s">
        <v>8</v>
      </c>
      <c r="FT717" s="27" t="s">
        <v>7</v>
      </c>
      <c r="FU717" s="27" t="s">
        <v>8</v>
      </c>
      <c r="FV717" s="27" t="s">
        <v>7</v>
      </c>
      <c r="FY717" s="27" t="s">
        <v>8</v>
      </c>
      <c r="GB717" s="27" t="s">
        <v>7</v>
      </c>
      <c r="GC717" s="27" t="s">
        <v>8</v>
      </c>
      <c r="GH717" s="27" t="s">
        <v>7</v>
      </c>
      <c r="GI717" s="27" t="s">
        <v>8</v>
      </c>
      <c r="GL717" s="27" t="s">
        <v>7</v>
      </c>
      <c r="GN717" s="27" t="s">
        <v>7</v>
      </c>
      <c r="GO717" s="27" t="s">
        <v>8</v>
      </c>
      <c r="GP717" s="27" t="s">
        <v>7</v>
      </c>
      <c r="GQ717" s="27" t="s">
        <v>8</v>
      </c>
      <c r="GR717" s="27" t="s">
        <v>7</v>
      </c>
      <c r="GS717" s="27" t="s">
        <v>8</v>
      </c>
      <c r="GT717" s="27" t="s">
        <v>7</v>
      </c>
      <c r="GU717" s="27" t="s">
        <v>8</v>
      </c>
      <c r="GV717" s="27" t="s">
        <v>7</v>
      </c>
      <c r="HB717" s="27" t="s">
        <v>7</v>
      </c>
      <c r="HC717" s="27" t="s">
        <v>8</v>
      </c>
      <c r="HD717" s="27" t="s">
        <v>7</v>
      </c>
      <c r="HE717" s="27" t="s">
        <v>8</v>
      </c>
      <c r="HF717" s="27" t="s">
        <v>7</v>
      </c>
      <c r="HG717" s="27" t="s">
        <v>8</v>
      </c>
      <c r="HH717" s="27" t="s">
        <v>7</v>
      </c>
      <c r="HK717" s="27" t="s">
        <v>8</v>
      </c>
      <c r="HL717" s="27" t="s">
        <v>7</v>
      </c>
      <c r="HU717" s="27" t="s">
        <v>8</v>
      </c>
      <c r="HV717" s="27" t="s">
        <v>7</v>
      </c>
      <c r="JI717" s="27" t="s">
        <v>8</v>
      </c>
      <c r="JJ717" s="27" t="s">
        <v>7</v>
      </c>
      <c r="JU717" s="27" t="s">
        <v>8</v>
      </c>
      <c r="JV717" s="27" t="s">
        <v>7</v>
      </c>
      <c r="JW717" s="27" t="s">
        <v>8</v>
      </c>
      <c r="LN717" s="27" t="s">
        <v>7</v>
      </c>
    </row>
    <row r="718" spans="1:329" x14ac:dyDescent="0.25">
      <c r="A718" s="7">
        <v>7.4709787166073058E-2</v>
      </c>
      <c r="B718"/>
      <c r="C718"/>
      <c r="D718"/>
      <c r="E718"/>
      <c r="F718" s="27" t="s">
        <v>7</v>
      </c>
      <c r="FQ718" s="27" t="s">
        <v>8</v>
      </c>
      <c r="FR718" s="27" t="s">
        <v>7</v>
      </c>
      <c r="FS718" s="27" t="s">
        <v>8</v>
      </c>
      <c r="FT718" s="27" t="s">
        <v>7</v>
      </c>
      <c r="FU718" s="27" t="s">
        <v>8</v>
      </c>
      <c r="FV718" s="27" t="s">
        <v>7</v>
      </c>
      <c r="FY718" s="27" t="s">
        <v>8</v>
      </c>
      <c r="GB718" s="27" t="s">
        <v>7</v>
      </c>
      <c r="GC718" s="27" t="s">
        <v>8</v>
      </c>
      <c r="GH718" s="27" t="s">
        <v>7</v>
      </c>
      <c r="GI718" s="27" t="s">
        <v>8</v>
      </c>
      <c r="GN718" s="27" t="s">
        <v>7</v>
      </c>
      <c r="GP718" s="27" t="s">
        <v>7</v>
      </c>
      <c r="GQ718" s="27" t="s">
        <v>8</v>
      </c>
      <c r="GR718" s="27" t="s">
        <v>7</v>
      </c>
      <c r="GS718" s="27" t="s">
        <v>8</v>
      </c>
      <c r="GT718" s="27" t="s">
        <v>7</v>
      </c>
      <c r="GU718" s="27" t="s">
        <v>8</v>
      </c>
      <c r="HB718" s="27" t="s">
        <v>7</v>
      </c>
      <c r="HC718" s="27" t="s">
        <v>8</v>
      </c>
      <c r="HD718" s="27" t="s">
        <v>7</v>
      </c>
      <c r="HE718" s="27" t="s">
        <v>8</v>
      </c>
      <c r="HF718" s="27" t="s">
        <v>7</v>
      </c>
      <c r="HG718" s="27" t="s">
        <v>8</v>
      </c>
      <c r="HH718" s="27" t="s">
        <v>7</v>
      </c>
      <c r="HK718" s="27" t="s">
        <v>8</v>
      </c>
      <c r="HL718" s="27" t="s">
        <v>7</v>
      </c>
      <c r="HU718" s="27" t="s">
        <v>8</v>
      </c>
      <c r="HV718" s="27" t="s">
        <v>7</v>
      </c>
      <c r="JI718" s="27" t="s">
        <v>8</v>
      </c>
      <c r="JJ718" s="27" t="s">
        <v>7</v>
      </c>
      <c r="JU718" s="27" t="s">
        <v>8</v>
      </c>
      <c r="JV718" s="27" t="s">
        <v>7</v>
      </c>
      <c r="JW718" s="27" t="s">
        <v>8</v>
      </c>
      <c r="LN718" s="27" t="s">
        <v>7</v>
      </c>
    </row>
    <row r="719" spans="1:329" x14ac:dyDescent="0.25">
      <c r="A719" s="7">
        <v>7.3244889378503E-2</v>
      </c>
      <c r="B719"/>
      <c r="C719"/>
      <c r="D719"/>
      <c r="E719"/>
      <c r="F719" s="27" t="s">
        <v>7</v>
      </c>
      <c r="FQ719" s="27" t="s">
        <v>8</v>
      </c>
      <c r="FR719" s="27" t="s">
        <v>7</v>
      </c>
      <c r="FS719" s="27" t="s">
        <v>8</v>
      </c>
      <c r="FT719" s="27" t="s">
        <v>7</v>
      </c>
      <c r="FU719" s="27" t="s">
        <v>8</v>
      </c>
      <c r="FV719" s="27" t="s">
        <v>7</v>
      </c>
      <c r="FW719" s="27" t="s">
        <v>8</v>
      </c>
      <c r="FY719" s="27" t="s">
        <v>8</v>
      </c>
      <c r="GB719" s="27" t="s">
        <v>7</v>
      </c>
      <c r="GC719" s="27" t="s">
        <v>8</v>
      </c>
      <c r="GH719" s="27" t="s">
        <v>7</v>
      </c>
      <c r="GI719" s="27" t="s">
        <v>8</v>
      </c>
      <c r="GP719" s="27" t="s">
        <v>7</v>
      </c>
      <c r="GQ719" s="27" t="s">
        <v>8</v>
      </c>
      <c r="GR719" s="27" t="s">
        <v>7</v>
      </c>
      <c r="GS719" s="27" t="s">
        <v>8</v>
      </c>
      <c r="GT719" s="27" t="s">
        <v>7</v>
      </c>
      <c r="GU719" s="27" t="s">
        <v>8</v>
      </c>
      <c r="HB719" s="27" t="s">
        <v>7</v>
      </c>
      <c r="HD719" s="27" t="s">
        <v>7</v>
      </c>
      <c r="HE719" s="27" t="s">
        <v>8</v>
      </c>
      <c r="HF719" s="27" t="s">
        <v>7</v>
      </c>
      <c r="HG719" s="27" t="s">
        <v>8</v>
      </c>
      <c r="HH719" s="27" t="s">
        <v>7</v>
      </c>
      <c r="HK719" s="27" t="s">
        <v>8</v>
      </c>
      <c r="HL719" s="27" t="s">
        <v>7</v>
      </c>
      <c r="HU719" s="27" t="s">
        <v>8</v>
      </c>
      <c r="HV719" s="27" t="s">
        <v>7</v>
      </c>
      <c r="JA719" s="27" t="s">
        <v>8</v>
      </c>
      <c r="JC719" s="27" t="s">
        <v>8</v>
      </c>
      <c r="JI719" s="27" t="s">
        <v>8</v>
      </c>
      <c r="JJ719" s="27" t="s">
        <v>7</v>
      </c>
      <c r="JU719" s="27" t="s">
        <v>8</v>
      </c>
      <c r="JV719" s="27" t="s">
        <v>7</v>
      </c>
      <c r="JW719" s="27" t="s">
        <v>8</v>
      </c>
      <c r="LN719" s="27" t="s">
        <v>7</v>
      </c>
    </row>
    <row r="720" spans="1:329" x14ac:dyDescent="0.25">
      <c r="A720" s="7">
        <v>7.1808715076963722E-2</v>
      </c>
      <c r="B720"/>
      <c r="C720"/>
      <c r="D720"/>
      <c r="E720"/>
      <c r="F720" s="27" t="s">
        <v>7</v>
      </c>
      <c r="FQ720" s="27" t="s">
        <v>8</v>
      </c>
      <c r="FR720" s="27" t="s">
        <v>7</v>
      </c>
      <c r="FS720" s="27" t="s">
        <v>8</v>
      </c>
      <c r="FT720" s="27" t="s">
        <v>7</v>
      </c>
      <c r="FU720" s="27" t="s">
        <v>8</v>
      </c>
      <c r="FV720" s="27" t="s">
        <v>7</v>
      </c>
      <c r="FW720" s="27" t="s">
        <v>8</v>
      </c>
      <c r="FX720" s="27" t="s">
        <v>7</v>
      </c>
      <c r="FY720" s="27" t="s">
        <v>8</v>
      </c>
      <c r="GB720" s="27" t="s">
        <v>7</v>
      </c>
      <c r="GC720" s="27" t="s">
        <v>8</v>
      </c>
      <c r="GH720" s="27" t="s">
        <v>7</v>
      </c>
      <c r="GI720" s="27" t="s">
        <v>8</v>
      </c>
      <c r="GP720" s="27" t="s">
        <v>7</v>
      </c>
      <c r="GQ720" s="27" t="s">
        <v>8</v>
      </c>
      <c r="GR720" s="27" t="s">
        <v>7</v>
      </c>
      <c r="GS720" s="27" t="s">
        <v>8</v>
      </c>
      <c r="GT720" s="27" t="s">
        <v>7</v>
      </c>
      <c r="GU720" s="27" t="s">
        <v>8</v>
      </c>
      <c r="HD720" s="27" t="s">
        <v>7</v>
      </c>
      <c r="HE720" s="27" t="s">
        <v>8</v>
      </c>
      <c r="HF720" s="27" t="s">
        <v>7</v>
      </c>
      <c r="HG720" s="27" t="s">
        <v>8</v>
      </c>
      <c r="HH720" s="27" t="s">
        <v>7</v>
      </c>
      <c r="HK720" s="27" t="s">
        <v>8</v>
      </c>
      <c r="HL720" s="27" t="s">
        <v>7</v>
      </c>
      <c r="HU720" s="27" t="s">
        <v>8</v>
      </c>
      <c r="HV720" s="27" t="s">
        <v>7</v>
      </c>
      <c r="JA720" s="27" t="s">
        <v>8</v>
      </c>
      <c r="JB720" s="27" t="s">
        <v>7</v>
      </c>
      <c r="JC720" s="27" t="s">
        <v>8</v>
      </c>
      <c r="JD720" s="27" t="s">
        <v>7</v>
      </c>
      <c r="JE720" s="27" t="s">
        <v>8</v>
      </c>
      <c r="JI720" s="27" t="s">
        <v>8</v>
      </c>
      <c r="JJ720" s="27" t="s">
        <v>7</v>
      </c>
      <c r="JU720" s="27" t="s">
        <v>8</v>
      </c>
      <c r="JV720" s="27" t="s">
        <v>7</v>
      </c>
      <c r="JW720" s="27" t="s">
        <v>8</v>
      </c>
      <c r="LN720" s="27" t="s">
        <v>7</v>
      </c>
      <c r="LQ720" s="27" t="s">
        <v>8</v>
      </c>
    </row>
    <row r="721" spans="1:330" x14ac:dyDescent="0.25">
      <c r="A721" s="7">
        <v>7.0400701055846782E-2</v>
      </c>
      <c r="B721"/>
      <c r="C721"/>
      <c r="D721"/>
      <c r="E721"/>
      <c r="F721" s="27" t="s">
        <v>7</v>
      </c>
      <c r="FQ721" s="27" t="s">
        <v>8</v>
      </c>
      <c r="FR721" s="27" t="s">
        <v>7</v>
      </c>
      <c r="FS721" s="27" t="s">
        <v>8</v>
      </c>
      <c r="FT721" s="27" t="s">
        <v>7</v>
      </c>
      <c r="FU721" s="27" t="s">
        <v>8</v>
      </c>
      <c r="FV721" s="27" t="s">
        <v>7</v>
      </c>
      <c r="FW721" s="27" t="s">
        <v>8</v>
      </c>
      <c r="FX721" s="27" t="s">
        <v>7</v>
      </c>
      <c r="FY721" s="27" t="s">
        <v>8</v>
      </c>
      <c r="GB721" s="27" t="s">
        <v>7</v>
      </c>
      <c r="GC721" s="27" t="s">
        <v>8</v>
      </c>
      <c r="GH721" s="27" t="s">
        <v>7</v>
      </c>
      <c r="GI721" s="27" t="s">
        <v>8</v>
      </c>
      <c r="GP721" s="27" t="s">
        <v>7</v>
      </c>
      <c r="GQ721" s="27" t="s">
        <v>8</v>
      </c>
      <c r="GR721" s="27" t="s">
        <v>7</v>
      </c>
      <c r="GS721" s="27" t="s">
        <v>8</v>
      </c>
      <c r="GT721" s="27" t="s">
        <v>7</v>
      </c>
      <c r="GU721" s="27" t="s">
        <v>8</v>
      </c>
      <c r="HD721" s="27" t="s">
        <v>7</v>
      </c>
      <c r="HE721" s="27" t="s">
        <v>8</v>
      </c>
      <c r="HF721" s="27" t="s">
        <v>7</v>
      </c>
      <c r="HG721" s="27" t="s">
        <v>8</v>
      </c>
      <c r="HH721" s="27" t="s">
        <v>7</v>
      </c>
      <c r="HK721" s="27" t="s">
        <v>8</v>
      </c>
      <c r="HL721" s="27" t="s">
        <v>7</v>
      </c>
      <c r="HU721" s="27" t="s">
        <v>8</v>
      </c>
      <c r="HV721" s="27" t="s">
        <v>7</v>
      </c>
      <c r="JA721" s="27" t="s">
        <v>8</v>
      </c>
      <c r="JB721" s="27" t="s">
        <v>7</v>
      </c>
      <c r="JC721" s="27" t="s">
        <v>8</v>
      </c>
      <c r="JD721" s="27" t="s">
        <v>7</v>
      </c>
      <c r="JE721" s="27" t="s">
        <v>8</v>
      </c>
      <c r="JF721" s="27" t="s">
        <v>7</v>
      </c>
      <c r="JI721" s="27" t="s">
        <v>8</v>
      </c>
      <c r="JJ721" s="27" t="s">
        <v>7</v>
      </c>
      <c r="JU721" s="27" t="s">
        <v>8</v>
      </c>
      <c r="JV721" s="27" t="s">
        <v>7</v>
      </c>
      <c r="JW721" s="27" t="s">
        <v>8</v>
      </c>
      <c r="LN721" s="27" t="s">
        <v>7</v>
      </c>
      <c r="LQ721" s="27" t="s">
        <v>8</v>
      </c>
      <c r="LR721" s="27" t="s">
        <v>7</v>
      </c>
    </row>
    <row r="722" spans="1:330" x14ac:dyDescent="0.25">
      <c r="A722" s="7">
        <v>6.9020295152790956E-2</v>
      </c>
      <c r="B722"/>
      <c r="C722"/>
      <c r="D722"/>
      <c r="E722"/>
      <c r="F722" s="27" t="s">
        <v>7</v>
      </c>
      <c r="FQ722" s="27" t="s">
        <v>8</v>
      </c>
      <c r="FR722" s="27" t="s">
        <v>7</v>
      </c>
      <c r="FS722" s="27" t="s">
        <v>8</v>
      </c>
      <c r="FT722" s="27" t="s">
        <v>7</v>
      </c>
      <c r="FU722" s="27" t="s">
        <v>8</v>
      </c>
      <c r="FV722" s="27" t="s">
        <v>7</v>
      </c>
      <c r="FW722" s="27" t="s">
        <v>8</v>
      </c>
      <c r="FX722" s="27" t="s">
        <v>7</v>
      </c>
      <c r="FY722" s="27" t="s">
        <v>8</v>
      </c>
      <c r="GB722" s="27" t="s">
        <v>7</v>
      </c>
      <c r="GC722" s="27" t="s">
        <v>8</v>
      </c>
      <c r="GH722" s="27" t="s">
        <v>7</v>
      </c>
      <c r="GI722" s="27" t="s">
        <v>8</v>
      </c>
      <c r="GP722" s="27" t="s">
        <v>7</v>
      </c>
      <c r="GQ722" s="27" t="s">
        <v>8</v>
      </c>
      <c r="GR722" s="27" t="s">
        <v>7</v>
      </c>
      <c r="GS722" s="27" t="s">
        <v>8</v>
      </c>
      <c r="GT722" s="27" t="s">
        <v>7</v>
      </c>
      <c r="GU722" s="27" t="s">
        <v>8</v>
      </c>
      <c r="HD722" s="27" t="s">
        <v>7</v>
      </c>
      <c r="HE722" s="27" t="s">
        <v>8</v>
      </c>
      <c r="HF722" s="27" t="s">
        <v>7</v>
      </c>
      <c r="HG722" s="27" t="s">
        <v>8</v>
      </c>
      <c r="HH722" s="27" t="s">
        <v>7</v>
      </c>
      <c r="HK722" s="27" t="s">
        <v>8</v>
      </c>
      <c r="HL722" s="27" t="s">
        <v>7</v>
      </c>
      <c r="HU722" s="27" t="s">
        <v>8</v>
      </c>
      <c r="HV722" s="27" t="s">
        <v>7</v>
      </c>
      <c r="JA722" s="27" t="s">
        <v>8</v>
      </c>
      <c r="JB722" s="27" t="s">
        <v>7</v>
      </c>
      <c r="JC722" s="27" t="s">
        <v>8</v>
      </c>
      <c r="JD722" s="27" t="s">
        <v>7</v>
      </c>
      <c r="JE722" s="27" t="s">
        <v>8</v>
      </c>
      <c r="JF722" s="27" t="s">
        <v>7</v>
      </c>
      <c r="JI722" s="27" t="s">
        <v>8</v>
      </c>
      <c r="JJ722" s="27" t="s">
        <v>7</v>
      </c>
      <c r="JU722" s="27" t="s">
        <v>8</v>
      </c>
      <c r="JV722" s="27" t="s">
        <v>7</v>
      </c>
      <c r="JW722" s="27" t="s">
        <v>8</v>
      </c>
      <c r="LN722" s="27" t="s">
        <v>7</v>
      </c>
      <c r="LQ722" s="27" t="s">
        <v>8</v>
      </c>
      <c r="LR722" s="27" t="s">
        <v>7</v>
      </c>
    </row>
    <row r="723" spans="1:330" x14ac:dyDescent="0.25">
      <c r="A723" s="7">
        <v>6.7666956032147993E-2</v>
      </c>
      <c r="B723"/>
      <c r="C723"/>
      <c r="D723"/>
      <c r="E723"/>
      <c r="F723" s="27" t="s">
        <v>7</v>
      </c>
      <c r="FQ723" s="27" t="s">
        <v>8</v>
      </c>
      <c r="FR723" s="27" t="s">
        <v>7</v>
      </c>
      <c r="FS723" s="27" t="s">
        <v>8</v>
      </c>
      <c r="FT723" s="27" t="s">
        <v>7</v>
      </c>
      <c r="FU723" s="27" t="s">
        <v>8</v>
      </c>
      <c r="FV723" s="27" t="s">
        <v>7</v>
      </c>
      <c r="FW723" s="27" t="s">
        <v>8</v>
      </c>
      <c r="FX723" s="27" t="s">
        <v>7</v>
      </c>
      <c r="FY723" s="27" t="s">
        <v>8</v>
      </c>
      <c r="GB723" s="27" t="s">
        <v>7</v>
      </c>
      <c r="GH723" s="27" t="s">
        <v>7</v>
      </c>
      <c r="GI723" s="27" t="s">
        <v>8</v>
      </c>
      <c r="GP723" s="27" t="s">
        <v>7</v>
      </c>
      <c r="GQ723" s="27" t="s">
        <v>8</v>
      </c>
      <c r="GR723" s="27" t="s">
        <v>7</v>
      </c>
      <c r="GS723" s="27" t="s">
        <v>8</v>
      </c>
      <c r="GT723" s="27" t="s">
        <v>7</v>
      </c>
      <c r="GU723" s="27" t="s">
        <v>8</v>
      </c>
      <c r="HD723" s="27" t="s">
        <v>7</v>
      </c>
      <c r="HE723" s="27" t="s">
        <v>8</v>
      </c>
      <c r="HF723" s="27" t="s">
        <v>7</v>
      </c>
      <c r="HG723" s="27" t="s">
        <v>8</v>
      </c>
      <c r="HH723" s="27" t="s">
        <v>7</v>
      </c>
      <c r="HK723" s="27" t="s">
        <v>8</v>
      </c>
      <c r="HL723" s="27" t="s">
        <v>7</v>
      </c>
      <c r="HM723" s="27" t="s">
        <v>8</v>
      </c>
      <c r="HU723" s="27" t="s">
        <v>8</v>
      </c>
      <c r="HV723" s="27" t="s">
        <v>7</v>
      </c>
      <c r="JA723" s="27" t="s">
        <v>8</v>
      </c>
      <c r="JB723" s="27" t="s">
        <v>7</v>
      </c>
      <c r="JC723" s="27" t="s">
        <v>8</v>
      </c>
      <c r="JD723" s="27" t="s">
        <v>7</v>
      </c>
      <c r="JE723" s="27" t="s">
        <v>8</v>
      </c>
      <c r="JF723" s="27" t="s">
        <v>7</v>
      </c>
      <c r="JI723" s="27" t="s">
        <v>8</v>
      </c>
      <c r="JJ723" s="27" t="s">
        <v>7</v>
      </c>
      <c r="JU723" s="27" t="s">
        <v>8</v>
      </c>
      <c r="JV723" s="27" t="s">
        <v>7</v>
      </c>
      <c r="JW723" s="27" t="s">
        <v>8</v>
      </c>
      <c r="LN723" s="27" t="s">
        <v>7</v>
      </c>
      <c r="LO723" s="27" t="s">
        <v>8</v>
      </c>
      <c r="LQ723" s="27" t="s">
        <v>8</v>
      </c>
      <c r="LR723" s="27" t="s">
        <v>7</v>
      </c>
    </row>
    <row r="724" spans="1:330" x14ac:dyDescent="0.25">
      <c r="A724" s="7">
        <v>6.6340152972694105E-2</v>
      </c>
      <c r="B724"/>
      <c r="C724"/>
      <c r="D724"/>
      <c r="E724"/>
      <c r="F724" s="27" t="s">
        <v>7</v>
      </c>
      <c r="FQ724" s="27" t="s">
        <v>8</v>
      </c>
      <c r="FR724" s="27" t="s">
        <v>7</v>
      </c>
      <c r="FS724" s="27" t="s">
        <v>8</v>
      </c>
      <c r="FT724" s="27" t="s">
        <v>7</v>
      </c>
      <c r="FU724" s="27" t="s">
        <v>8</v>
      </c>
      <c r="FV724" s="27" t="s">
        <v>7</v>
      </c>
      <c r="FW724" s="27" t="s">
        <v>8</v>
      </c>
      <c r="FX724" s="27" t="s">
        <v>7</v>
      </c>
      <c r="FY724" s="27" t="s">
        <v>8</v>
      </c>
      <c r="GH724" s="27" t="s">
        <v>7</v>
      </c>
      <c r="GP724" s="27" t="s">
        <v>7</v>
      </c>
      <c r="GQ724" s="27" t="s">
        <v>8</v>
      </c>
      <c r="GR724" s="27" t="s">
        <v>7</v>
      </c>
      <c r="GS724" s="27" t="s">
        <v>8</v>
      </c>
      <c r="GT724" s="27" t="s">
        <v>7</v>
      </c>
      <c r="HD724" s="27" t="s">
        <v>7</v>
      </c>
      <c r="HF724" s="27" t="s">
        <v>7</v>
      </c>
      <c r="HG724" s="27" t="s">
        <v>8</v>
      </c>
      <c r="HH724" s="27" t="s">
        <v>7</v>
      </c>
      <c r="HK724" s="27" t="s">
        <v>8</v>
      </c>
      <c r="HL724" s="27" t="s">
        <v>7</v>
      </c>
      <c r="HM724" s="27" t="s">
        <v>8</v>
      </c>
      <c r="HN724" s="27" t="s">
        <v>7</v>
      </c>
      <c r="HU724" s="27" t="s">
        <v>8</v>
      </c>
      <c r="HV724" s="27" t="s">
        <v>7</v>
      </c>
      <c r="JA724" s="27" t="s">
        <v>8</v>
      </c>
      <c r="JB724" s="27" t="s">
        <v>7</v>
      </c>
      <c r="JC724" s="27" t="s">
        <v>8</v>
      </c>
      <c r="JD724" s="27" t="s">
        <v>7</v>
      </c>
      <c r="JE724" s="27" t="s">
        <v>8</v>
      </c>
      <c r="JF724" s="27" t="s">
        <v>7</v>
      </c>
      <c r="JI724" s="27" t="s">
        <v>8</v>
      </c>
      <c r="JJ724" s="27" t="s">
        <v>7</v>
      </c>
      <c r="JU724" s="27" t="s">
        <v>8</v>
      </c>
      <c r="JV724" s="27" t="s">
        <v>7</v>
      </c>
      <c r="JW724" s="27" t="s">
        <v>8</v>
      </c>
      <c r="LN724" s="27" t="s">
        <v>7</v>
      </c>
      <c r="LO724" s="27" t="s">
        <v>8</v>
      </c>
      <c r="LP724" s="27" t="s">
        <v>7</v>
      </c>
      <c r="LQ724" s="27" t="s">
        <v>8</v>
      </c>
      <c r="LR724" s="27" t="s">
        <v>7</v>
      </c>
    </row>
    <row r="725" spans="1:330" x14ac:dyDescent="0.25">
      <c r="A725" s="7">
        <v>6.5039365659504023E-2</v>
      </c>
      <c r="B725"/>
      <c r="C725"/>
      <c r="D725"/>
      <c r="E725"/>
      <c r="F725" s="27" t="s">
        <v>7</v>
      </c>
      <c r="FQ725" s="27" t="s">
        <v>8</v>
      </c>
      <c r="FR725" s="27" t="s">
        <v>7</v>
      </c>
      <c r="FS725" s="27" t="s">
        <v>8</v>
      </c>
      <c r="FT725" s="27" t="s">
        <v>7</v>
      </c>
      <c r="FU725" s="27" t="s">
        <v>8</v>
      </c>
      <c r="FV725" s="27" t="s">
        <v>7</v>
      </c>
      <c r="FW725" s="27" t="s">
        <v>8</v>
      </c>
      <c r="FX725" s="27" t="s">
        <v>7</v>
      </c>
      <c r="FY725" s="27" t="s">
        <v>8</v>
      </c>
      <c r="GP725" s="27" t="s">
        <v>7</v>
      </c>
      <c r="GQ725" s="27" t="s">
        <v>8</v>
      </c>
      <c r="GR725" s="27" t="s">
        <v>7</v>
      </c>
      <c r="HF725" s="27" t="s">
        <v>7</v>
      </c>
      <c r="HG725" s="27" t="s">
        <v>8</v>
      </c>
      <c r="HH725" s="27" t="s">
        <v>7</v>
      </c>
      <c r="HI725" s="27" t="s">
        <v>8</v>
      </c>
      <c r="HK725" s="27" t="s">
        <v>8</v>
      </c>
      <c r="HL725" s="27" t="s">
        <v>7</v>
      </c>
      <c r="HM725" s="27" t="s">
        <v>8</v>
      </c>
      <c r="HN725" s="27" t="s">
        <v>7</v>
      </c>
      <c r="HU725" s="27" t="s">
        <v>8</v>
      </c>
      <c r="HV725" s="27" t="s">
        <v>7</v>
      </c>
      <c r="JA725" s="27" t="s">
        <v>8</v>
      </c>
      <c r="JB725" s="27" t="s">
        <v>7</v>
      </c>
      <c r="JC725" s="27" t="s">
        <v>8</v>
      </c>
      <c r="JD725" s="27" t="s">
        <v>7</v>
      </c>
      <c r="JE725" s="27" t="s">
        <v>8</v>
      </c>
      <c r="JF725" s="27" t="s">
        <v>7</v>
      </c>
      <c r="JI725" s="27" t="s">
        <v>8</v>
      </c>
      <c r="JJ725" s="27" t="s">
        <v>7</v>
      </c>
      <c r="JU725" s="27" t="s">
        <v>8</v>
      </c>
      <c r="JV725" s="27" t="s">
        <v>7</v>
      </c>
      <c r="JW725" s="27" t="s">
        <v>8</v>
      </c>
      <c r="LN725" s="27" t="s">
        <v>7</v>
      </c>
      <c r="LO725" s="27" t="s">
        <v>8</v>
      </c>
      <c r="LP725" s="27" t="s">
        <v>7</v>
      </c>
      <c r="LQ725" s="27" t="s">
        <v>8</v>
      </c>
    </row>
    <row r="726" spans="1:330" x14ac:dyDescent="0.25">
      <c r="A726" s="7">
        <v>6.3764083979905906E-2</v>
      </c>
      <c r="B726"/>
      <c r="C726"/>
      <c r="D726"/>
      <c r="E726"/>
      <c r="F726" s="27" t="s">
        <v>7</v>
      </c>
      <c r="FQ726" s="27" t="s">
        <v>8</v>
      </c>
      <c r="FR726" s="27" t="s">
        <v>7</v>
      </c>
      <c r="FS726" s="27" t="s">
        <v>8</v>
      </c>
      <c r="FT726" s="27" t="s">
        <v>7</v>
      </c>
      <c r="FU726" s="27" t="s">
        <v>8</v>
      </c>
      <c r="FV726" s="27" t="s">
        <v>7</v>
      </c>
      <c r="FX726" s="27" t="s">
        <v>7</v>
      </c>
      <c r="FY726" s="27" t="s">
        <v>8</v>
      </c>
      <c r="GP726" s="27" t="s">
        <v>7</v>
      </c>
      <c r="HF726" s="27" t="s">
        <v>7</v>
      </c>
      <c r="HH726" s="27" t="s">
        <v>7</v>
      </c>
      <c r="HI726" s="27" t="s">
        <v>8</v>
      </c>
      <c r="HJ726" s="27" t="s">
        <v>7</v>
      </c>
      <c r="HK726" s="27" t="s">
        <v>8</v>
      </c>
      <c r="HL726" s="27" t="s">
        <v>7</v>
      </c>
      <c r="HM726" s="27" t="s">
        <v>8</v>
      </c>
      <c r="HN726" s="27" t="s">
        <v>7</v>
      </c>
      <c r="HU726" s="27" t="s">
        <v>8</v>
      </c>
      <c r="HV726" s="27" t="s">
        <v>7</v>
      </c>
      <c r="JA726" s="27" t="s">
        <v>8</v>
      </c>
      <c r="JB726" s="27" t="s">
        <v>7</v>
      </c>
      <c r="JD726" s="27" t="s">
        <v>7</v>
      </c>
      <c r="JE726" s="27" t="s">
        <v>8</v>
      </c>
      <c r="JF726" s="27" t="s">
        <v>7</v>
      </c>
      <c r="JG726" s="27" t="s">
        <v>8</v>
      </c>
      <c r="JI726" s="27" t="s">
        <v>8</v>
      </c>
      <c r="JJ726" s="27" t="s">
        <v>7</v>
      </c>
      <c r="JK726" s="27" t="s">
        <v>8</v>
      </c>
      <c r="JO726" s="27" t="s">
        <v>8</v>
      </c>
      <c r="JU726" s="27" t="s">
        <v>8</v>
      </c>
      <c r="JV726" s="27" t="s">
        <v>7</v>
      </c>
      <c r="JW726" s="27" t="s">
        <v>8</v>
      </c>
      <c r="LN726" s="27" t="s">
        <v>7</v>
      </c>
      <c r="LO726" s="27" t="s">
        <v>8</v>
      </c>
      <c r="LP726" s="27" t="s">
        <v>7</v>
      </c>
      <c r="LQ726" s="27" t="s">
        <v>8</v>
      </c>
    </row>
    <row r="727" spans="1:330" x14ac:dyDescent="0.25">
      <c r="A727" s="7">
        <v>6.251380782343717E-2</v>
      </c>
      <c r="B727"/>
      <c r="C727"/>
      <c r="D727"/>
      <c r="E727"/>
      <c r="F727" s="27" t="s">
        <v>7</v>
      </c>
      <c r="FQ727" s="27" t="s">
        <v>8</v>
      </c>
      <c r="FR727" s="27" t="s">
        <v>7</v>
      </c>
      <c r="FS727" s="27" t="s">
        <v>8</v>
      </c>
      <c r="FT727" s="27" t="s">
        <v>7</v>
      </c>
      <c r="FU727" s="27" t="s">
        <v>8</v>
      </c>
      <c r="FX727" s="27" t="s">
        <v>7</v>
      </c>
      <c r="HH727" s="27" t="s">
        <v>7</v>
      </c>
      <c r="HI727" s="27" t="s">
        <v>8</v>
      </c>
      <c r="HJ727" s="27" t="s">
        <v>7</v>
      </c>
      <c r="HK727" s="27" t="s">
        <v>8</v>
      </c>
      <c r="HL727" s="27" t="s">
        <v>7</v>
      </c>
      <c r="HM727" s="27" t="s">
        <v>8</v>
      </c>
      <c r="HN727" s="27" t="s">
        <v>7</v>
      </c>
      <c r="HU727" s="27" t="s">
        <v>8</v>
      </c>
      <c r="HV727" s="27" t="s">
        <v>7</v>
      </c>
      <c r="IY727" s="27" t="s">
        <v>8</v>
      </c>
      <c r="JA727" s="27" t="s">
        <v>8</v>
      </c>
      <c r="JD727" s="27" t="s">
        <v>7</v>
      </c>
      <c r="JE727" s="27" t="s">
        <v>8</v>
      </c>
      <c r="JF727" s="27" t="s">
        <v>7</v>
      </c>
      <c r="JG727" s="27" t="s">
        <v>8</v>
      </c>
      <c r="JH727" s="27" t="s">
        <v>7</v>
      </c>
      <c r="JI727" s="27" t="s">
        <v>8</v>
      </c>
      <c r="JJ727" s="27" t="s">
        <v>7</v>
      </c>
      <c r="JK727" s="27" t="s">
        <v>8</v>
      </c>
      <c r="JL727" s="27" t="s">
        <v>7</v>
      </c>
      <c r="JO727" s="27" t="s">
        <v>8</v>
      </c>
      <c r="JP727" s="27" t="s">
        <v>7</v>
      </c>
      <c r="JU727" s="27" t="s">
        <v>8</v>
      </c>
      <c r="JV727" s="27" t="s">
        <v>7</v>
      </c>
      <c r="JW727" s="27" t="s">
        <v>8</v>
      </c>
      <c r="LN727" s="27" t="s">
        <v>7</v>
      </c>
      <c r="LO727" s="27" t="s">
        <v>8</v>
      </c>
      <c r="LP727" s="27" t="s">
        <v>7</v>
      </c>
      <c r="LQ727" s="27" t="s">
        <v>8</v>
      </c>
    </row>
    <row r="728" spans="1:330" x14ac:dyDescent="0.25">
      <c r="A728" s="7">
        <v>6.1288046885722716E-2</v>
      </c>
      <c r="B728"/>
      <c r="C728"/>
      <c r="D728"/>
      <c r="E728"/>
      <c r="F728" s="27" t="s">
        <v>7</v>
      </c>
      <c r="FQ728" s="27" t="s">
        <v>8</v>
      </c>
      <c r="FR728" s="27" t="s">
        <v>7</v>
      </c>
      <c r="FS728" s="27" t="s">
        <v>8</v>
      </c>
      <c r="FT728" s="27" t="s">
        <v>7</v>
      </c>
      <c r="FU728" s="27" t="s">
        <v>8</v>
      </c>
      <c r="HH728" s="27" t="s">
        <v>7</v>
      </c>
      <c r="HI728" s="27" t="s">
        <v>8</v>
      </c>
      <c r="HJ728" s="27" t="s">
        <v>7</v>
      </c>
      <c r="HK728" s="27" t="s">
        <v>8</v>
      </c>
      <c r="HL728" s="27" t="s">
        <v>7</v>
      </c>
      <c r="HM728" s="27" t="s">
        <v>8</v>
      </c>
      <c r="HN728" s="27" t="s">
        <v>7</v>
      </c>
      <c r="HS728" s="27" t="s">
        <v>8</v>
      </c>
      <c r="HU728" s="27" t="s">
        <v>8</v>
      </c>
      <c r="HV728" s="27" t="s">
        <v>7</v>
      </c>
      <c r="IY728" s="27" t="s">
        <v>8</v>
      </c>
      <c r="IZ728" s="27" t="s">
        <v>7</v>
      </c>
      <c r="JA728" s="27" t="s">
        <v>8</v>
      </c>
      <c r="JD728" s="27" t="s">
        <v>7</v>
      </c>
      <c r="JE728" s="27" t="s">
        <v>8</v>
      </c>
      <c r="JF728" s="27" t="s">
        <v>7</v>
      </c>
      <c r="JG728" s="27" t="s">
        <v>8</v>
      </c>
      <c r="JH728" s="27" t="s">
        <v>7</v>
      </c>
      <c r="JI728" s="27" t="s">
        <v>8</v>
      </c>
      <c r="JJ728" s="27" t="s">
        <v>7</v>
      </c>
      <c r="JK728" s="27" t="s">
        <v>8</v>
      </c>
      <c r="JL728" s="27" t="s">
        <v>7</v>
      </c>
      <c r="JM728" s="27" t="s">
        <v>8</v>
      </c>
      <c r="JO728" s="27" t="s">
        <v>8</v>
      </c>
      <c r="JP728" s="27" t="s">
        <v>7</v>
      </c>
      <c r="JU728" s="27" t="s">
        <v>8</v>
      </c>
      <c r="JV728" s="27" t="s">
        <v>7</v>
      </c>
      <c r="JW728" s="27" t="s">
        <v>8</v>
      </c>
      <c r="LN728" s="27" t="s">
        <v>7</v>
      </c>
      <c r="LO728" s="27" t="s">
        <v>8</v>
      </c>
      <c r="LP728" s="27" t="s">
        <v>7</v>
      </c>
      <c r="LQ728" s="27" t="s">
        <v>8</v>
      </c>
    </row>
    <row r="729" spans="1:330" x14ac:dyDescent="0.25">
      <c r="A729" s="7">
        <v>6.0086320476198739E-2</v>
      </c>
      <c r="B729"/>
      <c r="C729"/>
      <c r="D729"/>
      <c r="E729"/>
      <c r="F729" s="27" t="s">
        <v>7</v>
      </c>
      <c r="FQ729" s="27" t="s">
        <v>8</v>
      </c>
      <c r="FR729" s="27" t="s">
        <v>7</v>
      </c>
      <c r="FS729" s="27" t="s">
        <v>8</v>
      </c>
      <c r="FT729" s="27" t="s">
        <v>7</v>
      </c>
      <c r="FU729" s="27" t="s">
        <v>8</v>
      </c>
      <c r="HH729" s="27" t="s">
        <v>7</v>
      </c>
      <c r="HI729" s="27" t="s">
        <v>8</v>
      </c>
      <c r="HJ729" s="27" t="s">
        <v>7</v>
      </c>
      <c r="HK729" s="27" t="s">
        <v>8</v>
      </c>
      <c r="HL729" s="27" t="s">
        <v>7</v>
      </c>
      <c r="HM729" s="27" t="s">
        <v>8</v>
      </c>
      <c r="HN729" s="27" t="s">
        <v>7</v>
      </c>
      <c r="HS729" s="27" t="s">
        <v>8</v>
      </c>
      <c r="HT729" s="27" t="s">
        <v>7</v>
      </c>
      <c r="HU729" s="27" t="s">
        <v>8</v>
      </c>
      <c r="HV729" s="27" t="s">
        <v>7</v>
      </c>
      <c r="IY729" s="27" t="s">
        <v>8</v>
      </c>
      <c r="IZ729" s="27" t="s">
        <v>7</v>
      </c>
      <c r="JA729" s="27" t="s">
        <v>8</v>
      </c>
      <c r="JD729" s="27" t="s">
        <v>7</v>
      </c>
      <c r="JE729" s="27" t="s">
        <v>8</v>
      </c>
      <c r="JF729" s="27" t="s">
        <v>7</v>
      </c>
      <c r="JH729" s="27" t="s">
        <v>7</v>
      </c>
      <c r="JJ729" s="27" t="s">
        <v>7</v>
      </c>
      <c r="JK729" s="27" t="s">
        <v>8</v>
      </c>
      <c r="JL729" s="27" t="s">
        <v>7</v>
      </c>
      <c r="JM729" s="27" t="s">
        <v>8</v>
      </c>
      <c r="JN729" s="27" t="s">
        <v>7</v>
      </c>
      <c r="JO729" s="27" t="s">
        <v>8</v>
      </c>
      <c r="JP729" s="27" t="s">
        <v>7</v>
      </c>
      <c r="JU729" s="27" t="s">
        <v>8</v>
      </c>
      <c r="JV729" s="27" t="s">
        <v>7</v>
      </c>
      <c r="JW729" s="27" t="s">
        <v>8</v>
      </c>
      <c r="LN729" s="27" t="s">
        <v>7</v>
      </c>
      <c r="LO729" s="27" t="s">
        <v>8</v>
      </c>
      <c r="LP729" s="27" t="s">
        <v>7</v>
      </c>
      <c r="LQ729" s="27" t="s">
        <v>8</v>
      </c>
    </row>
    <row r="730" spans="1:330" x14ac:dyDescent="0.25">
      <c r="A730" s="7">
        <v>5.8908157329606609E-2</v>
      </c>
      <c r="B730"/>
      <c r="C730"/>
      <c r="D730"/>
      <c r="E730"/>
      <c r="F730" s="27" t="s">
        <v>7</v>
      </c>
      <c r="FQ730" s="27" t="s">
        <v>8</v>
      </c>
      <c r="FR730" s="27" t="s">
        <v>7</v>
      </c>
      <c r="FS730" s="27" t="s">
        <v>8</v>
      </c>
      <c r="FT730" s="27" t="s">
        <v>7</v>
      </c>
      <c r="FU730" s="27" t="s">
        <v>8</v>
      </c>
      <c r="HH730" s="27" t="s">
        <v>7</v>
      </c>
      <c r="HI730" s="27" t="s">
        <v>8</v>
      </c>
      <c r="HJ730" s="27" t="s">
        <v>7</v>
      </c>
      <c r="HK730" s="27" t="s">
        <v>8</v>
      </c>
      <c r="HL730" s="27" t="s">
        <v>7</v>
      </c>
      <c r="HM730" s="27" t="s">
        <v>8</v>
      </c>
      <c r="HN730" s="27" t="s">
        <v>7</v>
      </c>
      <c r="HQ730" s="27" t="s">
        <v>8</v>
      </c>
      <c r="HS730" s="27" t="s">
        <v>8</v>
      </c>
      <c r="HT730" s="27" t="s">
        <v>7</v>
      </c>
      <c r="HU730" s="27" t="s">
        <v>8</v>
      </c>
      <c r="HV730" s="27" t="s">
        <v>7</v>
      </c>
      <c r="IS730" s="27" t="s">
        <v>8</v>
      </c>
      <c r="IY730" s="27" t="s">
        <v>8</v>
      </c>
      <c r="IZ730" s="27" t="s">
        <v>7</v>
      </c>
      <c r="JA730" s="27" t="s">
        <v>8</v>
      </c>
      <c r="JD730" s="27" t="s">
        <v>7</v>
      </c>
      <c r="JJ730" s="27" t="s">
        <v>7</v>
      </c>
      <c r="JK730" s="27" t="s">
        <v>8</v>
      </c>
      <c r="JL730" s="27" t="s">
        <v>7</v>
      </c>
      <c r="JM730" s="27" t="s">
        <v>8</v>
      </c>
      <c r="JN730" s="27" t="s">
        <v>7</v>
      </c>
      <c r="JO730" s="27" t="s">
        <v>8</v>
      </c>
      <c r="JP730" s="27" t="s">
        <v>7</v>
      </c>
      <c r="JU730" s="27" t="s">
        <v>8</v>
      </c>
      <c r="JV730" s="27" t="s">
        <v>7</v>
      </c>
      <c r="JW730" s="27" t="s">
        <v>8</v>
      </c>
      <c r="LN730" s="27" t="s">
        <v>7</v>
      </c>
      <c r="LP730" s="27" t="s">
        <v>7</v>
      </c>
      <c r="LQ730" s="27" t="s">
        <v>8</v>
      </c>
    </row>
    <row r="731" spans="1:330" x14ac:dyDescent="0.25">
      <c r="A731" s="7">
        <v>5.7753095421182947E-2</v>
      </c>
      <c r="B731"/>
      <c r="C731"/>
      <c r="D731"/>
      <c r="E731"/>
      <c r="F731" s="27" t="s">
        <v>7</v>
      </c>
      <c r="FQ731" s="27" t="s">
        <v>8</v>
      </c>
      <c r="FR731" s="27" t="s">
        <v>7</v>
      </c>
      <c r="FS731" s="27" t="s">
        <v>8</v>
      </c>
      <c r="FT731" s="27" t="s">
        <v>7</v>
      </c>
      <c r="HH731" s="27" t="s">
        <v>7</v>
      </c>
      <c r="HJ731" s="27" t="s">
        <v>7</v>
      </c>
      <c r="HK731" s="27" t="s">
        <v>8</v>
      </c>
      <c r="HL731" s="27" t="s">
        <v>7</v>
      </c>
      <c r="HM731" s="27" t="s">
        <v>8</v>
      </c>
      <c r="HN731" s="27" t="s">
        <v>7</v>
      </c>
      <c r="HQ731" s="27" t="s">
        <v>8</v>
      </c>
      <c r="HR731" s="27" t="s">
        <v>7</v>
      </c>
      <c r="HS731" s="27" t="s">
        <v>8</v>
      </c>
      <c r="HT731" s="27" t="s">
        <v>7</v>
      </c>
      <c r="HU731" s="27" t="s">
        <v>8</v>
      </c>
      <c r="HV731" s="27" t="s">
        <v>7</v>
      </c>
      <c r="IS731" s="27" t="s">
        <v>8</v>
      </c>
      <c r="IT731" s="27" t="s">
        <v>7</v>
      </c>
      <c r="IW731" s="27" t="s">
        <v>8</v>
      </c>
      <c r="IY731" s="27" t="s">
        <v>8</v>
      </c>
      <c r="IZ731" s="27" t="s">
        <v>7</v>
      </c>
      <c r="JJ731" s="27" t="s">
        <v>7</v>
      </c>
      <c r="JK731" s="27" t="s">
        <v>8</v>
      </c>
      <c r="JL731" s="27" t="s">
        <v>7</v>
      </c>
      <c r="JN731" s="27" t="s">
        <v>7</v>
      </c>
      <c r="JO731" s="27" t="s">
        <v>8</v>
      </c>
      <c r="JP731" s="27" t="s">
        <v>7</v>
      </c>
      <c r="JU731" s="27" t="s">
        <v>8</v>
      </c>
      <c r="JV731" s="27" t="s">
        <v>7</v>
      </c>
      <c r="JW731" s="27" t="s">
        <v>8</v>
      </c>
      <c r="LP731" s="27" t="s">
        <v>7</v>
      </c>
      <c r="LQ731" s="27" t="s">
        <v>8</v>
      </c>
    </row>
    <row r="732" spans="1:330" x14ac:dyDescent="0.25">
      <c r="A732" s="7">
        <v>5.6620681785473484E-2</v>
      </c>
      <c r="B732"/>
      <c r="C732"/>
      <c r="D732"/>
      <c r="E732"/>
      <c r="F732" s="27" t="s">
        <v>7</v>
      </c>
      <c r="FG732" s="27" t="s">
        <v>8</v>
      </c>
      <c r="FQ732" s="27" t="s">
        <v>8</v>
      </c>
      <c r="FR732" s="27" t="s">
        <v>7</v>
      </c>
      <c r="HJ732" s="27" t="s">
        <v>7</v>
      </c>
      <c r="HK732" s="27" t="s">
        <v>8</v>
      </c>
      <c r="HL732" s="27" t="s">
        <v>7</v>
      </c>
      <c r="HM732" s="27" t="s">
        <v>8</v>
      </c>
      <c r="HN732" s="27" t="s">
        <v>7</v>
      </c>
      <c r="HQ732" s="27" t="s">
        <v>8</v>
      </c>
      <c r="HR732" s="27" t="s">
        <v>7</v>
      </c>
      <c r="HS732" s="27" t="s">
        <v>8</v>
      </c>
      <c r="HT732" s="27" t="s">
        <v>7</v>
      </c>
      <c r="HU732" s="27" t="s">
        <v>8</v>
      </c>
      <c r="HV732" s="27" t="s">
        <v>7</v>
      </c>
      <c r="IS732" s="27" t="s">
        <v>8</v>
      </c>
      <c r="IT732" s="27" t="s">
        <v>7</v>
      </c>
      <c r="IW732" s="27" t="s">
        <v>8</v>
      </c>
      <c r="IX732" s="27" t="s">
        <v>7</v>
      </c>
      <c r="IY732" s="27" t="s">
        <v>8</v>
      </c>
      <c r="JJ732" s="27" t="s">
        <v>7</v>
      </c>
      <c r="JK732" s="27" t="s">
        <v>8</v>
      </c>
      <c r="JN732" s="27" t="s">
        <v>7</v>
      </c>
      <c r="JO732" s="27" t="s">
        <v>8</v>
      </c>
      <c r="JP732" s="27" t="s">
        <v>7</v>
      </c>
      <c r="JU732" s="27" t="s">
        <v>8</v>
      </c>
      <c r="JV732" s="27" t="s">
        <v>7</v>
      </c>
      <c r="JW732" s="27" t="s">
        <v>8</v>
      </c>
      <c r="LP732" s="27" t="s">
        <v>7</v>
      </c>
    </row>
    <row r="733" spans="1:330" x14ac:dyDescent="0.25">
      <c r="A733" s="7">
        <v>5.5510472338699497E-2</v>
      </c>
      <c r="B733"/>
      <c r="C733"/>
      <c r="D733"/>
      <c r="E733"/>
      <c r="F733" s="27" t="s">
        <v>7</v>
      </c>
      <c r="FG733" s="27" t="s">
        <v>8</v>
      </c>
      <c r="FH733" s="27" t="s">
        <v>7</v>
      </c>
      <c r="FO733" s="27" t="s">
        <v>8</v>
      </c>
      <c r="FQ733" s="27" t="s">
        <v>8</v>
      </c>
      <c r="HJ733" s="27" t="s">
        <v>7</v>
      </c>
      <c r="HK733" s="27" t="s">
        <v>8</v>
      </c>
      <c r="HL733" s="27" t="s">
        <v>7</v>
      </c>
      <c r="HM733" s="27" t="s">
        <v>8</v>
      </c>
      <c r="HN733" s="27" t="s">
        <v>7</v>
      </c>
      <c r="HO733" s="27" t="s">
        <v>8</v>
      </c>
      <c r="HQ733" s="27" t="s">
        <v>8</v>
      </c>
      <c r="HR733" s="27" t="s">
        <v>7</v>
      </c>
      <c r="HS733" s="27" t="s">
        <v>8</v>
      </c>
      <c r="HT733" s="27" t="s">
        <v>7</v>
      </c>
      <c r="HU733" s="27" t="s">
        <v>8</v>
      </c>
      <c r="HV733" s="27" t="s">
        <v>7</v>
      </c>
      <c r="IS733" s="27" t="s">
        <v>8</v>
      </c>
      <c r="IT733" s="27" t="s">
        <v>7</v>
      </c>
      <c r="IW733" s="27" t="s">
        <v>8</v>
      </c>
      <c r="IX733" s="27" t="s">
        <v>7</v>
      </c>
      <c r="IY733" s="27" t="s">
        <v>8</v>
      </c>
      <c r="JJ733" s="27" t="s">
        <v>7</v>
      </c>
      <c r="JK733" s="27" t="s">
        <v>8</v>
      </c>
      <c r="JN733" s="27" t="s">
        <v>7</v>
      </c>
      <c r="JP733" s="27" t="s">
        <v>7</v>
      </c>
      <c r="JU733" s="27" t="s">
        <v>8</v>
      </c>
      <c r="JV733" s="27" t="s">
        <v>7</v>
      </c>
    </row>
    <row r="734" spans="1:330" x14ac:dyDescent="0.25">
      <c r="A734" s="7">
        <v>5.4422031704607354E-2</v>
      </c>
      <c r="B734"/>
      <c r="C734"/>
      <c r="D734"/>
      <c r="E734"/>
      <c r="F734" s="27" t="s">
        <v>7</v>
      </c>
      <c r="FG734" s="27" t="s">
        <v>8</v>
      </c>
      <c r="FH734" s="27" t="s">
        <v>7</v>
      </c>
      <c r="FO734" s="27" t="s">
        <v>8</v>
      </c>
      <c r="FP734" s="27" t="s">
        <v>7</v>
      </c>
      <c r="FQ734" s="27" t="s">
        <v>8</v>
      </c>
      <c r="HJ734" s="27" t="s">
        <v>7</v>
      </c>
      <c r="HK734" s="27" t="s">
        <v>8</v>
      </c>
      <c r="HL734" s="27" t="s">
        <v>7</v>
      </c>
      <c r="HM734" s="27" t="s">
        <v>8</v>
      </c>
      <c r="HN734" s="27" t="s">
        <v>7</v>
      </c>
      <c r="HO734" s="27" t="s">
        <v>8</v>
      </c>
      <c r="HP734" s="27" t="s">
        <v>7</v>
      </c>
      <c r="HQ734" s="27" t="s">
        <v>8</v>
      </c>
      <c r="HR734" s="27" t="s">
        <v>7</v>
      </c>
      <c r="HS734" s="27" t="s">
        <v>8</v>
      </c>
      <c r="HT734" s="27" t="s">
        <v>7</v>
      </c>
      <c r="HU734" s="27" t="s">
        <v>8</v>
      </c>
      <c r="HV734" s="27" t="s">
        <v>7</v>
      </c>
      <c r="HW734" s="27" t="s">
        <v>8</v>
      </c>
      <c r="IK734" s="27" t="s">
        <v>8</v>
      </c>
      <c r="IS734" s="27" t="s">
        <v>8</v>
      </c>
      <c r="IT734" s="27" t="s">
        <v>7</v>
      </c>
      <c r="IU734" s="27" t="s">
        <v>8</v>
      </c>
      <c r="IW734" s="27" t="s">
        <v>8</v>
      </c>
      <c r="IX734" s="27" t="s">
        <v>7</v>
      </c>
      <c r="JJ734" s="27" t="s">
        <v>7</v>
      </c>
      <c r="JK734" s="27" t="s">
        <v>8</v>
      </c>
      <c r="JP734" s="27" t="s">
        <v>7</v>
      </c>
      <c r="JQ734" s="27" t="s">
        <v>8</v>
      </c>
      <c r="JU734" s="27" t="s">
        <v>8</v>
      </c>
    </row>
    <row r="735" spans="1:330" x14ac:dyDescent="0.25">
      <c r="A735" s="7">
        <v>5.3354933043732705E-2</v>
      </c>
      <c r="B735"/>
      <c r="C735"/>
      <c r="D735"/>
      <c r="E735"/>
      <c r="F735" s="27" t="s">
        <v>7</v>
      </c>
      <c r="FG735" s="27" t="s">
        <v>8</v>
      </c>
      <c r="FH735" s="27" t="s">
        <v>7</v>
      </c>
      <c r="FO735" s="27" t="s">
        <v>8</v>
      </c>
      <c r="FP735" s="27" t="s">
        <v>7</v>
      </c>
      <c r="FQ735" s="27" t="s">
        <v>8</v>
      </c>
      <c r="HJ735" s="27" t="s">
        <v>7</v>
      </c>
      <c r="HK735" s="27" t="s">
        <v>8</v>
      </c>
      <c r="HL735" s="27" t="s">
        <v>7</v>
      </c>
      <c r="HM735" s="27" t="s">
        <v>8</v>
      </c>
      <c r="HN735" s="27" t="s">
        <v>7</v>
      </c>
      <c r="HO735" s="27" t="s">
        <v>8</v>
      </c>
      <c r="HP735" s="27" t="s">
        <v>7</v>
      </c>
      <c r="HQ735" s="27" t="s">
        <v>8</v>
      </c>
      <c r="HR735" s="27" t="s">
        <v>7</v>
      </c>
      <c r="HS735" s="27" t="s">
        <v>8</v>
      </c>
      <c r="HT735" s="27" t="s">
        <v>7</v>
      </c>
      <c r="HU735" s="27" t="s">
        <v>8</v>
      </c>
      <c r="HV735" s="27" t="s">
        <v>7</v>
      </c>
      <c r="HW735" s="27" t="s">
        <v>8</v>
      </c>
      <c r="HX735" s="27" t="s">
        <v>7</v>
      </c>
      <c r="IE735" s="27" t="s">
        <v>8</v>
      </c>
      <c r="IK735" s="27" t="s">
        <v>8</v>
      </c>
      <c r="IL735" s="27" t="s">
        <v>7</v>
      </c>
      <c r="IS735" s="27" t="s">
        <v>8</v>
      </c>
      <c r="IT735" s="27" t="s">
        <v>7</v>
      </c>
      <c r="IU735" s="27" t="s">
        <v>8</v>
      </c>
      <c r="IV735" s="27" t="s">
        <v>7</v>
      </c>
      <c r="IW735" s="27" t="s">
        <v>8</v>
      </c>
      <c r="JJ735" s="27" t="s">
        <v>7</v>
      </c>
      <c r="JK735" s="27" t="s">
        <v>8</v>
      </c>
      <c r="JP735" s="27" t="s">
        <v>7</v>
      </c>
      <c r="JQ735" s="27" t="s">
        <v>8</v>
      </c>
      <c r="JR735" s="27" t="s">
        <v>7</v>
      </c>
      <c r="JU735" s="27" t="s">
        <v>8</v>
      </c>
    </row>
    <row r="736" spans="1:330" x14ac:dyDescent="0.25">
      <c r="A736" s="7">
        <v>5.2308757886012455E-2</v>
      </c>
      <c r="B736"/>
      <c r="C736"/>
      <c r="D736"/>
      <c r="E736"/>
      <c r="F736" s="27" t="s">
        <v>7</v>
      </c>
      <c r="FG736" s="27" t="s">
        <v>8</v>
      </c>
      <c r="FH736" s="27" t="s">
        <v>7</v>
      </c>
      <c r="FI736" s="27" t="s">
        <v>8</v>
      </c>
      <c r="FO736" s="27" t="s">
        <v>8</v>
      </c>
      <c r="FP736" s="27" t="s">
        <v>7</v>
      </c>
      <c r="FQ736" s="27" t="s">
        <v>8</v>
      </c>
      <c r="HJ736" s="27" t="s">
        <v>7</v>
      </c>
      <c r="HK736" s="27" t="s">
        <v>8</v>
      </c>
      <c r="HL736" s="27" t="s">
        <v>7</v>
      </c>
      <c r="HM736" s="27" t="s">
        <v>8</v>
      </c>
      <c r="HN736" s="27" t="s">
        <v>7</v>
      </c>
      <c r="HO736" s="27" t="s">
        <v>8</v>
      </c>
      <c r="HP736" s="27" t="s">
        <v>7</v>
      </c>
      <c r="HQ736" s="27" t="s">
        <v>8</v>
      </c>
      <c r="HR736" s="27" t="s">
        <v>7</v>
      </c>
      <c r="HS736" s="27" t="s">
        <v>8</v>
      </c>
      <c r="HT736" s="27" t="s">
        <v>7</v>
      </c>
      <c r="HU736" s="27" t="s">
        <v>8</v>
      </c>
      <c r="HV736" s="27" t="s">
        <v>7</v>
      </c>
      <c r="HW736" s="27" t="s">
        <v>8</v>
      </c>
      <c r="HX736" s="27" t="s">
        <v>7</v>
      </c>
      <c r="IE736" s="27" t="s">
        <v>8</v>
      </c>
      <c r="IF736" s="27" t="s">
        <v>7</v>
      </c>
      <c r="IK736" s="27" t="s">
        <v>8</v>
      </c>
      <c r="IL736" s="27" t="s">
        <v>7</v>
      </c>
      <c r="IS736" s="27" t="s">
        <v>8</v>
      </c>
      <c r="IT736" s="27" t="s">
        <v>7</v>
      </c>
      <c r="IU736" s="27" t="s">
        <v>8</v>
      </c>
      <c r="IV736" s="27" t="s">
        <v>7</v>
      </c>
      <c r="IW736" s="27" t="s">
        <v>8</v>
      </c>
      <c r="JJ736" s="27" t="s">
        <v>7</v>
      </c>
      <c r="JP736" s="27" t="s">
        <v>7</v>
      </c>
      <c r="JQ736" s="27" t="s">
        <v>8</v>
      </c>
      <c r="JR736" s="27" t="s">
        <v>7</v>
      </c>
      <c r="JU736" s="27" t="s">
        <v>8</v>
      </c>
    </row>
    <row r="737" spans="1:281" x14ac:dyDescent="0.25">
      <c r="A737" s="7">
        <v>5.1283095966678877E-2</v>
      </c>
      <c r="B737"/>
      <c r="C737"/>
      <c r="D737"/>
      <c r="E737"/>
      <c r="F737" s="27" t="s">
        <v>7</v>
      </c>
      <c r="FG737" s="27" t="s">
        <v>8</v>
      </c>
      <c r="FH737" s="27" t="s">
        <v>7</v>
      </c>
      <c r="FI737" s="27" t="s">
        <v>8</v>
      </c>
      <c r="FJ737" s="27" t="s">
        <v>7</v>
      </c>
      <c r="FO737" s="27" t="s">
        <v>8</v>
      </c>
      <c r="FP737" s="27" t="s">
        <v>7</v>
      </c>
      <c r="FQ737" s="27" t="s">
        <v>8</v>
      </c>
      <c r="HJ737" s="27" t="s">
        <v>7</v>
      </c>
      <c r="HK737" s="27" t="s">
        <v>8</v>
      </c>
      <c r="HL737" s="27" t="s">
        <v>7</v>
      </c>
      <c r="HM737" s="27" t="s">
        <v>8</v>
      </c>
      <c r="HN737" s="27" t="s">
        <v>7</v>
      </c>
      <c r="HO737" s="27" t="s">
        <v>8</v>
      </c>
      <c r="HP737" s="27" t="s">
        <v>7</v>
      </c>
      <c r="HQ737" s="27" t="s">
        <v>8</v>
      </c>
      <c r="HR737" s="27" t="s">
        <v>7</v>
      </c>
      <c r="HS737" s="27" t="s">
        <v>8</v>
      </c>
      <c r="HT737" s="27" t="s">
        <v>7</v>
      </c>
      <c r="HU737" s="27" t="s">
        <v>8</v>
      </c>
      <c r="HV737" s="27" t="s">
        <v>7</v>
      </c>
      <c r="HW737" s="27" t="s">
        <v>8</v>
      </c>
      <c r="HX737" s="27" t="s">
        <v>7</v>
      </c>
      <c r="IE737" s="27" t="s">
        <v>8</v>
      </c>
      <c r="IF737" s="27" t="s">
        <v>7</v>
      </c>
      <c r="IK737" s="27" t="s">
        <v>8</v>
      </c>
      <c r="IL737" s="27" t="s">
        <v>7</v>
      </c>
      <c r="IS737" s="27" t="s">
        <v>8</v>
      </c>
      <c r="IT737" s="27" t="s">
        <v>7</v>
      </c>
      <c r="IU737" s="27" t="s">
        <v>8</v>
      </c>
      <c r="IV737" s="27" t="s">
        <v>7</v>
      </c>
      <c r="IW737" s="27" t="s">
        <v>8</v>
      </c>
      <c r="JP737" s="27" t="s">
        <v>7</v>
      </c>
      <c r="JQ737" s="27" t="s">
        <v>8</v>
      </c>
      <c r="JR737" s="27" t="s">
        <v>7</v>
      </c>
      <c r="JU737" s="27" t="s">
        <v>8</v>
      </c>
    </row>
    <row r="738" spans="1:281" x14ac:dyDescent="0.25">
      <c r="A738" s="7">
        <v>5.0277545065371444E-2</v>
      </c>
      <c r="B738"/>
      <c r="C738"/>
      <c r="D738"/>
      <c r="E738"/>
      <c r="F738" s="27" t="s">
        <v>7</v>
      </c>
      <c r="FG738" s="27" t="s">
        <v>8</v>
      </c>
      <c r="FH738" s="27" t="s">
        <v>7</v>
      </c>
      <c r="FI738" s="27" t="s">
        <v>8</v>
      </c>
      <c r="FJ738" s="27" t="s">
        <v>7</v>
      </c>
      <c r="FO738" s="27" t="s">
        <v>8</v>
      </c>
      <c r="FP738" s="27" t="s">
        <v>7</v>
      </c>
      <c r="FQ738" s="27" t="s">
        <v>8</v>
      </c>
      <c r="HJ738" s="27" t="s">
        <v>7</v>
      </c>
      <c r="HK738" s="27" t="s">
        <v>8</v>
      </c>
      <c r="HL738" s="27" t="s">
        <v>7</v>
      </c>
      <c r="HM738" s="27" t="s">
        <v>8</v>
      </c>
      <c r="HN738" s="27" t="s">
        <v>7</v>
      </c>
      <c r="HO738" s="27" t="s">
        <v>8</v>
      </c>
      <c r="HP738" s="27" t="s">
        <v>7</v>
      </c>
      <c r="HQ738" s="27" t="s">
        <v>8</v>
      </c>
      <c r="HR738" s="27" t="s">
        <v>7</v>
      </c>
      <c r="HS738" s="27" t="s">
        <v>8</v>
      </c>
      <c r="HT738" s="27" t="s">
        <v>7</v>
      </c>
      <c r="HU738" s="27" t="s">
        <v>8</v>
      </c>
      <c r="HV738" s="27" t="s">
        <v>7</v>
      </c>
      <c r="HW738" s="27" t="s">
        <v>8</v>
      </c>
      <c r="HX738" s="27" t="s">
        <v>7</v>
      </c>
      <c r="IE738" s="27" t="s">
        <v>8</v>
      </c>
      <c r="IF738" s="27" t="s">
        <v>7</v>
      </c>
      <c r="II738" s="27" t="s">
        <v>8</v>
      </c>
      <c r="IK738" s="27" t="s">
        <v>8</v>
      </c>
      <c r="IL738" s="27" t="s">
        <v>7</v>
      </c>
      <c r="IS738" s="27" t="s">
        <v>8</v>
      </c>
      <c r="IT738" s="27" t="s">
        <v>7</v>
      </c>
      <c r="IU738" s="27" t="s">
        <v>8</v>
      </c>
      <c r="IV738" s="27" t="s">
        <v>7</v>
      </c>
      <c r="IW738" s="27" t="s">
        <v>8</v>
      </c>
      <c r="JP738" s="27" t="s">
        <v>7</v>
      </c>
      <c r="JQ738" s="27" t="s">
        <v>8</v>
      </c>
      <c r="JR738" s="27" t="s">
        <v>7</v>
      </c>
      <c r="JS738" s="27" t="s">
        <v>8</v>
      </c>
      <c r="JU738" s="27" t="s">
        <v>8</v>
      </c>
    </row>
    <row r="739" spans="1:281" x14ac:dyDescent="0.25">
      <c r="A739" s="7">
        <v>4.9291710848403378E-2</v>
      </c>
      <c r="B739"/>
      <c r="C739"/>
      <c r="D739"/>
      <c r="E739"/>
      <c r="F739" s="27" t="s">
        <v>7</v>
      </c>
      <c r="FG739" s="27" t="s">
        <v>8</v>
      </c>
      <c r="FH739" s="27" t="s">
        <v>7</v>
      </c>
      <c r="FI739" s="27" t="s">
        <v>8</v>
      </c>
      <c r="FJ739" s="27" t="s">
        <v>7</v>
      </c>
      <c r="FO739" s="27" t="s">
        <v>8</v>
      </c>
      <c r="FP739" s="27" t="s">
        <v>7</v>
      </c>
      <c r="FQ739" s="27" t="s">
        <v>8</v>
      </c>
      <c r="HJ739" s="27" t="s">
        <v>7</v>
      </c>
      <c r="HK739" s="27" t="s">
        <v>8</v>
      </c>
      <c r="HL739" s="27" t="s">
        <v>7</v>
      </c>
      <c r="HM739" s="27" t="s">
        <v>8</v>
      </c>
      <c r="HN739" s="27" t="s">
        <v>7</v>
      </c>
      <c r="HO739" s="27" t="s">
        <v>8</v>
      </c>
      <c r="HP739" s="27" t="s">
        <v>7</v>
      </c>
      <c r="HR739" s="27" t="s">
        <v>7</v>
      </c>
      <c r="HS739" s="27" t="s">
        <v>8</v>
      </c>
      <c r="HT739" s="27" t="s">
        <v>7</v>
      </c>
      <c r="HU739" s="27" t="s">
        <v>8</v>
      </c>
      <c r="HV739" s="27" t="s">
        <v>7</v>
      </c>
      <c r="HW739" s="27" t="s">
        <v>8</v>
      </c>
      <c r="HX739" s="27" t="s">
        <v>7</v>
      </c>
      <c r="IC739" s="27" t="s">
        <v>8</v>
      </c>
      <c r="IE739" s="27" t="s">
        <v>8</v>
      </c>
      <c r="IF739" s="27" t="s">
        <v>7</v>
      </c>
      <c r="IG739" s="27" t="s">
        <v>8</v>
      </c>
      <c r="II739" s="27" t="s">
        <v>8</v>
      </c>
      <c r="IJ739" s="27" t="s">
        <v>7</v>
      </c>
      <c r="IK739" s="27" t="s">
        <v>8</v>
      </c>
      <c r="IL739" s="27" t="s">
        <v>7</v>
      </c>
      <c r="IS739" s="27" t="s">
        <v>8</v>
      </c>
      <c r="IT739" s="27" t="s">
        <v>7</v>
      </c>
      <c r="IU739" s="27" t="s">
        <v>8</v>
      </c>
      <c r="IV739" s="27" t="s">
        <v>7</v>
      </c>
      <c r="IW739" s="27" t="s">
        <v>8</v>
      </c>
      <c r="JP739" s="27" t="s">
        <v>7</v>
      </c>
      <c r="JQ739" s="27" t="s">
        <v>8</v>
      </c>
      <c r="JR739" s="27" t="s">
        <v>7</v>
      </c>
      <c r="JS739" s="27" t="s">
        <v>8</v>
      </c>
      <c r="JT739" s="27" t="s">
        <v>7</v>
      </c>
      <c r="JU739" s="27" t="s">
        <v>8</v>
      </c>
    </row>
    <row r="740" spans="1:281" x14ac:dyDescent="0.25">
      <c r="A740" s="7">
        <v>4.8325206714120959E-2</v>
      </c>
      <c r="B740"/>
      <c r="C740"/>
      <c r="D740"/>
      <c r="E740"/>
      <c r="F740" s="27" t="s">
        <v>7</v>
      </c>
      <c r="FG740" s="27" t="s">
        <v>8</v>
      </c>
      <c r="FH740" s="27" t="s">
        <v>7</v>
      </c>
      <c r="FI740" s="27" t="s">
        <v>8</v>
      </c>
      <c r="FJ740" s="27" t="s">
        <v>7</v>
      </c>
      <c r="FM740" s="27" t="s">
        <v>8</v>
      </c>
      <c r="FO740" s="27" t="s">
        <v>8</v>
      </c>
      <c r="FP740" s="27" t="s">
        <v>7</v>
      </c>
      <c r="FQ740" s="27" t="s">
        <v>8</v>
      </c>
      <c r="HJ740" s="27" t="s">
        <v>7</v>
      </c>
      <c r="HK740" s="27" t="s">
        <v>8</v>
      </c>
      <c r="HL740" s="27" t="s">
        <v>7</v>
      </c>
      <c r="HM740" s="27" t="s">
        <v>8</v>
      </c>
      <c r="HN740" s="27" t="s">
        <v>7</v>
      </c>
      <c r="HO740" s="27" t="s">
        <v>8</v>
      </c>
      <c r="HR740" s="27" t="s">
        <v>7</v>
      </c>
      <c r="HT740" s="27" t="s">
        <v>7</v>
      </c>
      <c r="HU740" s="27" t="s">
        <v>8</v>
      </c>
      <c r="HV740" s="27" t="s">
        <v>7</v>
      </c>
      <c r="HW740" s="27" t="s">
        <v>8</v>
      </c>
      <c r="HX740" s="27" t="s">
        <v>7</v>
      </c>
      <c r="IC740" s="27" t="s">
        <v>8</v>
      </c>
      <c r="ID740" s="27" t="s">
        <v>7</v>
      </c>
      <c r="IE740" s="27" t="s">
        <v>8</v>
      </c>
      <c r="IF740" s="27" t="s">
        <v>7</v>
      </c>
      <c r="IG740" s="27" t="s">
        <v>8</v>
      </c>
      <c r="IH740" s="27" t="s">
        <v>7</v>
      </c>
      <c r="II740" s="27" t="s">
        <v>8</v>
      </c>
      <c r="IJ740" s="27" t="s">
        <v>7</v>
      </c>
      <c r="IK740" s="27" t="s">
        <v>8</v>
      </c>
      <c r="IL740" s="27" t="s">
        <v>7</v>
      </c>
      <c r="IO740" s="27" t="s">
        <v>8</v>
      </c>
      <c r="IQ740" s="27" t="s">
        <v>8</v>
      </c>
      <c r="IS740" s="27" t="s">
        <v>8</v>
      </c>
      <c r="IT740" s="27" t="s">
        <v>7</v>
      </c>
      <c r="IV740" s="27" t="s">
        <v>7</v>
      </c>
      <c r="JP740" s="27" t="s">
        <v>7</v>
      </c>
      <c r="JQ740" s="27" t="s">
        <v>8</v>
      </c>
      <c r="JR740" s="27" t="s">
        <v>7</v>
      </c>
      <c r="JS740" s="27" t="s">
        <v>8</v>
      </c>
      <c r="JT740" s="27" t="s">
        <v>7</v>
      </c>
      <c r="JU740" s="27" t="s">
        <v>8</v>
      </c>
    </row>
    <row r="741" spans="1:281" x14ac:dyDescent="0.25">
      <c r="A741" s="7">
        <v>4.7377653641295057E-2</v>
      </c>
      <c r="B741"/>
      <c r="C741"/>
      <c r="D741"/>
      <c r="E741"/>
      <c r="F741" s="27" t="s">
        <v>7</v>
      </c>
      <c r="FG741" s="27" t="s">
        <v>8</v>
      </c>
      <c r="FH741" s="27" t="s">
        <v>7</v>
      </c>
      <c r="FI741" s="27" t="s">
        <v>8</v>
      </c>
      <c r="FJ741" s="27" t="s">
        <v>7</v>
      </c>
      <c r="FM741" s="27" t="s">
        <v>8</v>
      </c>
      <c r="FN741" s="27" t="s">
        <v>7</v>
      </c>
      <c r="FO741" s="27" t="s">
        <v>8</v>
      </c>
      <c r="FP741" s="27" t="s">
        <v>7</v>
      </c>
      <c r="FQ741" s="27" t="s">
        <v>8</v>
      </c>
      <c r="HJ741" s="27" t="s">
        <v>7</v>
      </c>
      <c r="HK741" s="27" t="s">
        <v>8</v>
      </c>
      <c r="HL741" s="27" t="s">
        <v>7</v>
      </c>
      <c r="HM741" s="27" t="s">
        <v>8</v>
      </c>
      <c r="HN741" s="27" t="s">
        <v>7</v>
      </c>
      <c r="HO741" s="27" t="s">
        <v>8</v>
      </c>
      <c r="HT741" s="27" t="s">
        <v>7</v>
      </c>
      <c r="HU741" s="27" t="s">
        <v>8</v>
      </c>
      <c r="HV741" s="27" t="s">
        <v>7</v>
      </c>
      <c r="HW741" s="27" t="s">
        <v>8</v>
      </c>
      <c r="HX741" s="27" t="s">
        <v>7</v>
      </c>
      <c r="IC741" s="27" t="s">
        <v>8</v>
      </c>
      <c r="ID741" s="27" t="s">
        <v>7</v>
      </c>
      <c r="IE741" s="27" t="s">
        <v>8</v>
      </c>
      <c r="IF741" s="27" t="s">
        <v>7</v>
      </c>
      <c r="IG741" s="27" t="s">
        <v>8</v>
      </c>
      <c r="IH741" s="27" t="s">
        <v>7</v>
      </c>
      <c r="II741" s="27" t="s">
        <v>8</v>
      </c>
      <c r="IJ741" s="27" t="s">
        <v>7</v>
      </c>
      <c r="IK741" s="27" t="s">
        <v>8</v>
      </c>
      <c r="IL741" s="27" t="s">
        <v>7</v>
      </c>
      <c r="IM741" s="27" t="s">
        <v>8</v>
      </c>
      <c r="IO741" s="27" t="s">
        <v>8</v>
      </c>
      <c r="IP741" s="27" t="s">
        <v>7</v>
      </c>
      <c r="IQ741" s="27" t="s">
        <v>8</v>
      </c>
      <c r="IR741" s="27" t="s">
        <v>7</v>
      </c>
      <c r="IS741" s="27" t="s">
        <v>8</v>
      </c>
      <c r="JP741" s="27" t="s">
        <v>7</v>
      </c>
      <c r="JQ741" s="27" t="s">
        <v>8</v>
      </c>
      <c r="JR741" s="27" t="s">
        <v>7</v>
      </c>
      <c r="JS741" s="27" t="s">
        <v>8</v>
      </c>
      <c r="JT741" s="27" t="s">
        <v>7</v>
      </c>
      <c r="JU741" s="27" t="s">
        <v>8</v>
      </c>
    </row>
    <row r="742" spans="1:281" x14ac:dyDescent="0.25">
      <c r="A742" s="7">
        <v>4.644868004048535E-2</v>
      </c>
      <c r="B742"/>
      <c r="C742"/>
      <c r="D742"/>
      <c r="E742"/>
      <c r="F742" s="27" t="s">
        <v>7</v>
      </c>
      <c r="FG742" s="27" t="s">
        <v>8</v>
      </c>
      <c r="FH742" s="27" t="s">
        <v>7</v>
      </c>
      <c r="FI742" s="27" t="s">
        <v>8</v>
      </c>
      <c r="FJ742" s="27" t="s">
        <v>7</v>
      </c>
      <c r="FM742" s="27" t="s">
        <v>8</v>
      </c>
      <c r="FN742" s="27" t="s">
        <v>7</v>
      </c>
      <c r="FO742" s="27" t="s">
        <v>8</v>
      </c>
      <c r="FP742" s="27" t="s">
        <v>7</v>
      </c>
      <c r="FQ742" s="27" t="s">
        <v>8</v>
      </c>
      <c r="HJ742" s="27" t="s">
        <v>7</v>
      </c>
      <c r="HK742" s="27" t="s">
        <v>8</v>
      </c>
      <c r="HL742" s="27" t="s">
        <v>7</v>
      </c>
      <c r="HM742" s="27" t="s">
        <v>8</v>
      </c>
      <c r="HN742" s="27" t="s">
        <v>7</v>
      </c>
      <c r="HT742" s="27" t="s">
        <v>7</v>
      </c>
      <c r="HU742" s="27" t="s">
        <v>8</v>
      </c>
      <c r="HV742" s="27" t="s">
        <v>7</v>
      </c>
      <c r="HW742" s="27" t="s">
        <v>8</v>
      </c>
      <c r="HX742" s="27" t="s">
        <v>7</v>
      </c>
      <c r="IC742" s="27" t="s">
        <v>8</v>
      </c>
      <c r="ID742" s="27" t="s">
        <v>7</v>
      </c>
      <c r="IE742" s="27" t="s">
        <v>8</v>
      </c>
      <c r="IF742" s="27" t="s">
        <v>7</v>
      </c>
      <c r="IG742" s="27" t="s">
        <v>8</v>
      </c>
      <c r="IH742" s="27" t="s">
        <v>7</v>
      </c>
      <c r="II742" s="27" t="s">
        <v>8</v>
      </c>
      <c r="IJ742" s="27" t="s">
        <v>7</v>
      </c>
      <c r="IK742" s="27" t="s">
        <v>8</v>
      </c>
      <c r="IL742" s="27" t="s">
        <v>7</v>
      </c>
      <c r="IM742" s="27" t="s">
        <v>8</v>
      </c>
      <c r="IN742" s="27" t="s">
        <v>7</v>
      </c>
      <c r="IO742" s="27" t="s">
        <v>8</v>
      </c>
      <c r="IP742" s="27" t="s">
        <v>7</v>
      </c>
      <c r="IQ742" s="27" t="s">
        <v>8</v>
      </c>
      <c r="IR742" s="27" t="s">
        <v>7</v>
      </c>
      <c r="IS742" s="27" t="s">
        <v>8</v>
      </c>
      <c r="JP742" s="27" t="s">
        <v>7</v>
      </c>
      <c r="JQ742" s="27" t="s">
        <v>8</v>
      </c>
      <c r="JR742" s="27" t="s">
        <v>7</v>
      </c>
      <c r="JS742" s="27" t="s">
        <v>8</v>
      </c>
      <c r="JT742" s="27" t="s">
        <v>7</v>
      </c>
      <c r="JU742" s="27" t="s">
        <v>8</v>
      </c>
    </row>
    <row r="743" spans="1:281" x14ac:dyDescent="0.25">
      <c r="A743" s="7">
        <v>4.5537921608318974E-2</v>
      </c>
      <c r="B743"/>
      <c r="C743"/>
      <c r="D743"/>
      <c r="E743"/>
      <c r="F743" s="27" t="s">
        <v>7</v>
      </c>
      <c r="FG743" s="27" t="s">
        <v>8</v>
      </c>
      <c r="FH743" s="27" t="s">
        <v>7</v>
      </c>
      <c r="FI743" s="27" t="s">
        <v>8</v>
      </c>
      <c r="FJ743" s="27" t="s">
        <v>7</v>
      </c>
      <c r="FM743" s="27" t="s">
        <v>8</v>
      </c>
      <c r="FN743" s="27" t="s">
        <v>7</v>
      </c>
      <c r="FO743" s="27" t="s">
        <v>8</v>
      </c>
      <c r="FP743" s="27" t="s">
        <v>7</v>
      </c>
      <c r="FQ743" s="27" t="s">
        <v>8</v>
      </c>
      <c r="HJ743" s="27" t="s">
        <v>7</v>
      </c>
      <c r="HK743" s="27" t="s">
        <v>8</v>
      </c>
      <c r="HL743" s="27" t="s">
        <v>7</v>
      </c>
      <c r="HM743" s="27" t="s">
        <v>8</v>
      </c>
      <c r="HT743" s="27" t="s">
        <v>7</v>
      </c>
      <c r="HU743" s="27" t="s">
        <v>8</v>
      </c>
      <c r="HV743" s="27" t="s">
        <v>7</v>
      </c>
      <c r="HW743" s="27" t="s">
        <v>8</v>
      </c>
      <c r="HX743" s="27" t="s">
        <v>7</v>
      </c>
      <c r="IC743" s="27" t="s">
        <v>8</v>
      </c>
      <c r="ID743" s="27" t="s">
        <v>7</v>
      </c>
      <c r="IE743" s="27" t="s">
        <v>8</v>
      </c>
      <c r="IF743" s="27" t="s">
        <v>7</v>
      </c>
      <c r="IG743" s="27" t="s">
        <v>8</v>
      </c>
      <c r="IH743" s="27" t="s">
        <v>7</v>
      </c>
      <c r="II743" s="27" t="s">
        <v>8</v>
      </c>
      <c r="IJ743" s="27" t="s">
        <v>7</v>
      </c>
      <c r="IK743" s="27" t="s">
        <v>8</v>
      </c>
      <c r="IL743" s="27" t="s">
        <v>7</v>
      </c>
      <c r="IM743" s="27" t="s">
        <v>8</v>
      </c>
      <c r="IN743" s="27" t="s">
        <v>7</v>
      </c>
      <c r="IO743" s="27" t="s">
        <v>8</v>
      </c>
      <c r="IP743" s="27" t="s">
        <v>7</v>
      </c>
      <c r="IQ743" s="27" t="s">
        <v>8</v>
      </c>
      <c r="IR743" s="27" t="s">
        <v>7</v>
      </c>
      <c r="IS743" s="27" t="s">
        <v>8</v>
      </c>
      <c r="JP743" s="27" t="s">
        <v>7</v>
      </c>
      <c r="JQ743" s="27" t="s">
        <v>8</v>
      </c>
      <c r="JR743" s="27" t="s">
        <v>7</v>
      </c>
      <c r="JS743" s="27" t="s">
        <v>8</v>
      </c>
      <c r="JT743" s="27" t="s">
        <v>7</v>
      </c>
      <c r="JU743" s="27" t="s">
        <v>8</v>
      </c>
    </row>
    <row r="744" spans="1:281" x14ac:dyDescent="0.25">
      <c r="A744" s="7">
        <v>4.4645021184626446E-2</v>
      </c>
      <c r="B744"/>
      <c r="C744"/>
      <c r="D744"/>
      <c r="E744"/>
      <c r="F744" s="27" t="s">
        <v>7</v>
      </c>
      <c r="FG744" s="27" t="s">
        <v>8</v>
      </c>
      <c r="FH744" s="27" t="s">
        <v>7</v>
      </c>
      <c r="FI744" s="27" t="s">
        <v>8</v>
      </c>
      <c r="FJ744" s="27" t="s">
        <v>7</v>
      </c>
      <c r="FM744" s="27" t="s">
        <v>8</v>
      </c>
      <c r="FN744" s="27" t="s">
        <v>7</v>
      </c>
      <c r="FO744" s="27" t="s">
        <v>8</v>
      </c>
      <c r="FP744" s="27" t="s">
        <v>7</v>
      </c>
      <c r="FQ744" s="27" t="s">
        <v>8</v>
      </c>
      <c r="HJ744" s="27" t="s">
        <v>7</v>
      </c>
      <c r="HK744" s="27" t="s">
        <v>8</v>
      </c>
      <c r="HL744" s="27" t="s">
        <v>7</v>
      </c>
      <c r="HM744" s="27" t="s">
        <v>8</v>
      </c>
      <c r="HT744" s="27" t="s">
        <v>7</v>
      </c>
      <c r="HU744" s="27" t="s">
        <v>8</v>
      </c>
      <c r="HV744" s="27" t="s">
        <v>7</v>
      </c>
      <c r="HW744" s="27" t="s">
        <v>8</v>
      </c>
      <c r="HX744" s="27" t="s">
        <v>7</v>
      </c>
      <c r="HY744" s="27" t="s">
        <v>8</v>
      </c>
      <c r="IC744" s="27" t="s">
        <v>8</v>
      </c>
      <c r="ID744" s="27" t="s">
        <v>7</v>
      </c>
      <c r="IE744" s="27" t="s">
        <v>8</v>
      </c>
      <c r="IF744" s="27" t="s">
        <v>7</v>
      </c>
      <c r="IG744" s="27" t="s">
        <v>8</v>
      </c>
      <c r="IH744" s="27" t="s">
        <v>7</v>
      </c>
      <c r="II744" s="27" t="s">
        <v>8</v>
      </c>
      <c r="IJ744" s="27" t="s">
        <v>7</v>
      </c>
      <c r="IK744" s="27" t="s">
        <v>8</v>
      </c>
      <c r="IL744" s="27" t="s">
        <v>7</v>
      </c>
      <c r="IM744" s="27" t="s">
        <v>8</v>
      </c>
      <c r="IN744" s="27" t="s">
        <v>7</v>
      </c>
      <c r="IO744" s="27" t="s">
        <v>8</v>
      </c>
      <c r="IP744" s="27" t="s">
        <v>7</v>
      </c>
      <c r="IQ744" s="27" t="s">
        <v>8</v>
      </c>
      <c r="IR744" s="27" t="s">
        <v>7</v>
      </c>
      <c r="JP744" s="27" t="s">
        <v>7</v>
      </c>
      <c r="JQ744" s="27" t="s">
        <v>8</v>
      </c>
      <c r="JR744" s="27" t="s">
        <v>7</v>
      </c>
      <c r="JT744" s="27" t="s">
        <v>7</v>
      </c>
    </row>
    <row r="745" spans="1:281" x14ac:dyDescent="0.25">
      <c r="A745" s="7">
        <v>4.3769628612378868E-2</v>
      </c>
      <c r="B745"/>
      <c r="C745"/>
      <c r="D745"/>
      <c r="E745"/>
      <c r="F745" s="27" t="s">
        <v>7</v>
      </c>
      <c r="FE745" s="27" t="s">
        <v>8</v>
      </c>
      <c r="FG745" s="27" t="s">
        <v>8</v>
      </c>
      <c r="FH745" s="27" t="s">
        <v>7</v>
      </c>
      <c r="FI745" s="27" t="s">
        <v>8</v>
      </c>
      <c r="FJ745" s="27" t="s">
        <v>7</v>
      </c>
      <c r="FM745" s="27" t="s">
        <v>8</v>
      </c>
      <c r="FN745" s="27" t="s">
        <v>7</v>
      </c>
      <c r="FO745" s="27" t="s">
        <v>8</v>
      </c>
      <c r="FP745" s="27" t="s">
        <v>7</v>
      </c>
      <c r="FQ745" s="27" t="s">
        <v>8</v>
      </c>
      <c r="HJ745" s="27" t="s">
        <v>7</v>
      </c>
      <c r="HK745" s="27" t="s">
        <v>8</v>
      </c>
      <c r="HL745" s="27" t="s">
        <v>7</v>
      </c>
      <c r="HM745" s="27" t="s">
        <v>8</v>
      </c>
      <c r="HT745" s="27" t="s">
        <v>7</v>
      </c>
      <c r="HU745" s="27" t="s">
        <v>8</v>
      </c>
      <c r="HV745" s="27" t="s">
        <v>7</v>
      </c>
      <c r="HX745" s="27" t="s">
        <v>7</v>
      </c>
      <c r="HY745" s="27" t="s">
        <v>8</v>
      </c>
      <c r="HZ745" s="27" t="s">
        <v>7</v>
      </c>
      <c r="IC745" s="27" t="s">
        <v>8</v>
      </c>
      <c r="ID745" s="27" t="s">
        <v>7</v>
      </c>
      <c r="IE745" s="27" t="s">
        <v>8</v>
      </c>
      <c r="IF745" s="27" t="s">
        <v>7</v>
      </c>
      <c r="IG745" s="27" t="s">
        <v>8</v>
      </c>
      <c r="IH745" s="27" t="s">
        <v>7</v>
      </c>
      <c r="IJ745" s="27" t="s">
        <v>7</v>
      </c>
      <c r="IK745" s="27" t="s">
        <v>8</v>
      </c>
      <c r="IL745" s="27" t="s">
        <v>7</v>
      </c>
      <c r="IN745" s="27" t="s">
        <v>7</v>
      </c>
      <c r="IO745" s="27" t="s">
        <v>8</v>
      </c>
      <c r="IP745" s="27" t="s">
        <v>7</v>
      </c>
      <c r="IQ745" s="27" t="s">
        <v>8</v>
      </c>
      <c r="JP745" s="27" t="s">
        <v>7</v>
      </c>
    </row>
    <row r="746" spans="1:281" x14ac:dyDescent="0.25">
      <c r="A746" s="7">
        <v>4.2911400600371442E-2</v>
      </c>
      <c r="B746"/>
      <c r="C746"/>
      <c r="D746"/>
      <c r="E746"/>
      <c r="F746" s="27" t="s">
        <v>7</v>
      </c>
      <c r="FE746" s="27" t="s">
        <v>8</v>
      </c>
      <c r="FF746" s="27" t="s">
        <v>7</v>
      </c>
      <c r="FG746" s="27" t="s">
        <v>8</v>
      </c>
      <c r="FH746" s="27" t="s">
        <v>7</v>
      </c>
      <c r="FI746" s="27" t="s">
        <v>8</v>
      </c>
      <c r="FJ746" s="27" t="s">
        <v>7</v>
      </c>
      <c r="FM746" s="27" t="s">
        <v>8</v>
      </c>
      <c r="FN746" s="27" t="s">
        <v>7</v>
      </c>
      <c r="FO746" s="27" t="s">
        <v>8</v>
      </c>
      <c r="FP746" s="27" t="s">
        <v>7</v>
      </c>
      <c r="FQ746" s="27" t="s">
        <v>8</v>
      </c>
      <c r="HJ746" s="27" t="s">
        <v>7</v>
      </c>
      <c r="HK746" s="27" t="s">
        <v>8</v>
      </c>
      <c r="HL746" s="27" t="s">
        <v>7</v>
      </c>
      <c r="HM746" s="27" t="s">
        <v>8</v>
      </c>
      <c r="HT746" s="27" t="s">
        <v>7</v>
      </c>
      <c r="HU746" s="27" t="s">
        <v>8</v>
      </c>
      <c r="HX746" s="27" t="s">
        <v>7</v>
      </c>
      <c r="HY746" s="27" t="s">
        <v>8</v>
      </c>
      <c r="HZ746" s="27" t="s">
        <v>7</v>
      </c>
      <c r="IC746" s="27" t="s">
        <v>8</v>
      </c>
      <c r="ID746" s="27" t="s">
        <v>7</v>
      </c>
      <c r="IE746" s="27" t="s">
        <v>8</v>
      </c>
      <c r="IF746" s="27" t="s">
        <v>7</v>
      </c>
      <c r="IG746" s="27" t="s">
        <v>8</v>
      </c>
      <c r="IJ746" s="27" t="s">
        <v>7</v>
      </c>
      <c r="IK746" s="27" t="s">
        <v>8</v>
      </c>
      <c r="IN746" s="27" t="s">
        <v>7</v>
      </c>
      <c r="IO746" s="27" t="s">
        <v>8</v>
      </c>
      <c r="IP746" s="27" t="s">
        <v>7</v>
      </c>
      <c r="IQ746" s="27" t="s">
        <v>8</v>
      </c>
    </row>
    <row r="747" spans="1:281" x14ac:dyDescent="0.25">
      <c r="A747" s="7">
        <v>4.2070000588599457E-2</v>
      </c>
      <c r="B747"/>
      <c r="C747"/>
      <c r="D747"/>
      <c r="E747"/>
      <c r="F747" s="27" t="s">
        <v>7</v>
      </c>
      <c r="FE747" s="27" t="s">
        <v>8</v>
      </c>
      <c r="FF747" s="27" t="s">
        <v>7</v>
      </c>
      <c r="FG747" s="27" t="s">
        <v>8</v>
      </c>
      <c r="FH747" s="27" t="s">
        <v>7</v>
      </c>
      <c r="FI747" s="27" t="s">
        <v>8</v>
      </c>
      <c r="FJ747" s="27" t="s">
        <v>7</v>
      </c>
      <c r="FM747" s="27" t="s">
        <v>8</v>
      </c>
      <c r="FN747" s="27" t="s">
        <v>7</v>
      </c>
      <c r="FO747" s="27" t="s">
        <v>8</v>
      </c>
      <c r="FP747" s="27" t="s">
        <v>7</v>
      </c>
      <c r="FQ747" s="27" t="s">
        <v>8</v>
      </c>
      <c r="HJ747" s="27" t="s">
        <v>7</v>
      </c>
      <c r="HK747" s="27" t="s">
        <v>8</v>
      </c>
      <c r="HL747" s="27" t="s">
        <v>7</v>
      </c>
      <c r="HM747" s="27" t="s">
        <v>8</v>
      </c>
      <c r="HT747" s="27" t="s">
        <v>7</v>
      </c>
      <c r="HU747" s="27" t="s">
        <v>8</v>
      </c>
      <c r="HX747" s="27" t="s">
        <v>7</v>
      </c>
      <c r="HY747" s="27" t="s">
        <v>8</v>
      </c>
      <c r="HZ747" s="27" t="s">
        <v>7</v>
      </c>
      <c r="IC747" s="27" t="s">
        <v>8</v>
      </c>
      <c r="ID747" s="27" t="s">
        <v>7</v>
      </c>
      <c r="IE747" s="27" t="s">
        <v>8</v>
      </c>
      <c r="IF747" s="27" t="s">
        <v>7</v>
      </c>
      <c r="IG747" s="27" t="s">
        <v>8</v>
      </c>
      <c r="IJ747" s="27" t="s">
        <v>7</v>
      </c>
      <c r="IK747" s="27" t="s">
        <v>8</v>
      </c>
      <c r="IN747" s="27" t="s">
        <v>7</v>
      </c>
      <c r="IO747" s="27" t="s">
        <v>8</v>
      </c>
      <c r="IP747" s="27" t="s">
        <v>7</v>
      </c>
      <c r="IQ747" s="27" t="s">
        <v>8</v>
      </c>
    </row>
    <row r="748" spans="1:281" x14ac:dyDescent="0.25">
      <c r="A748" s="7">
        <v>4.1245098616273977E-2</v>
      </c>
      <c r="B748"/>
      <c r="C748"/>
      <c r="D748"/>
      <c r="E748"/>
      <c r="F748" s="27" t="s">
        <v>7</v>
      </c>
      <c r="BU748" s="27" t="s">
        <v>8</v>
      </c>
      <c r="FE748" s="27" t="s">
        <v>8</v>
      </c>
      <c r="FF748" s="27" t="s">
        <v>7</v>
      </c>
      <c r="FG748" s="27" t="s">
        <v>8</v>
      </c>
      <c r="FH748" s="27" t="s">
        <v>7</v>
      </c>
      <c r="FJ748" s="27" t="s">
        <v>7</v>
      </c>
      <c r="FM748" s="27" t="s">
        <v>8</v>
      </c>
      <c r="FN748" s="27" t="s">
        <v>7</v>
      </c>
      <c r="FO748" s="27" t="s">
        <v>8</v>
      </c>
      <c r="FP748" s="27" t="s">
        <v>7</v>
      </c>
      <c r="HJ748" s="27" t="s">
        <v>7</v>
      </c>
      <c r="HK748" s="27" t="s">
        <v>8</v>
      </c>
      <c r="HL748" s="27" t="s">
        <v>7</v>
      </c>
      <c r="HM748" s="27" t="s">
        <v>8</v>
      </c>
      <c r="HT748" s="27" t="s">
        <v>7</v>
      </c>
      <c r="HU748" s="27" t="s">
        <v>8</v>
      </c>
      <c r="HX748" s="27" t="s">
        <v>7</v>
      </c>
      <c r="HY748" s="27" t="s">
        <v>8</v>
      </c>
      <c r="HZ748" s="27" t="s">
        <v>7</v>
      </c>
      <c r="IC748" s="27" t="s">
        <v>8</v>
      </c>
      <c r="ID748" s="27" t="s">
        <v>7</v>
      </c>
      <c r="IE748" s="27" t="s">
        <v>8</v>
      </c>
      <c r="IF748" s="27" t="s">
        <v>7</v>
      </c>
      <c r="IG748" s="27" t="s">
        <v>8</v>
      </c>
      <c r="IJ748" s="27" t="s">
        <v>7</v>
      </c>
      <c r="IK748" s="27" t="s">
        <v>8</v>
      </c>
      <c r="IN748" s="27" t="s">
        <v>7</v>
      </c>
      <c r="IO748" s="27" t="s">
        <v>8</v>
      </c>
      <c r="IP748" s="27" t="s">
        <v>7</v>
      </c>
      <c r="IQ748" s="27" t="s">
        <v>8</v>
      </c>
    </row>
    <row r="749" spans="1:281" x14ac:dyDescent="0.25">
      <c r="A749" s="7">
        <v>4.043637119242547E-2</v>
      </c>
      <c r="B749"/>
      <c r="C749"/>
      <c r="D749"/>
      <c r="E749"/>
      <c r="F749" s="27" t="s">
        <v>7</v>
      </c>
      <c r="BU749" s="27" t="s">
        <v>8</v>
      </c>
      <c r="BV749" s="27" t="s">
        <v>7</v>
      </c>
      <c r="FE749" s="27" t="s">
        <v>8</v>
      </c>
      <c r="FF749" s="27" t="s">
        <v>7</v>
      </c>
      <c r="FG749" s="27" t="s">
        <v>8</v>
      </c>
      <c r="FJ749" s="27" t="s">
        <v>7</v>
      </c>
      <c r="FK749" s="27" t="s">
        <v>8</v>
      </c>
      <c r="FM749" s="27" t="s">
        <v>8</v>
      </c>
      <c r="FN749" s="27" t="s">
        <v>7</v>
      </c>
      <c r="FO749" s="27" t="s">
        <v>8</v>
      </c>
      <c r="HJ749" s="27" t="s">
        <v>7</v>
      </c>
      <c r="HK749" s="27" t="s">
        <v>8</v>
      </c>
      <c r="HL749" s="27" t="s">
        <v>7</v>
      </c>
      <c r="HT749" s="27" t="s">
        <v>7</v>
      </c>
      <c r="HX749" s="27" t="s">
        <v>7</v>
      </c>
      <c r="HY749" s="27" t="s">
        <v>8</v>
      </c>
      <c r="HZ749" s="27" t="s">
        <v>7</v>
      </c>
      <c r="IC749" s="27" t="s">
        <v>8</v>
      </c>
      <c r="ID749" s="27" t="s">
        <v>7</v>
      </c>
      <c r="IE749" s="27" t="s">
        <v>8</v>
      </c>
      <c r="IF749" s="27" t="s">
        <v>7</v>
      </c>
      <c r="IG749" s="27" t="s">
        <v>8</v>
      </c>
      <c r="IJ749" s="27" t="s">
        <v>7</v>
      </c>
      <c r="IN749" s="27" t="s">
        <v>7</v>
      </c>
      <c r="IO749" s="27" t="s">
        <v>8</v>
      </c>
      <c r="IP749" s="27" t="s">
        <v>7</v>
      </c>
      <c r="IQ749" s="27" t="s">
        <v>8</v>
      </c>
    </row>
    <row r="750" spans="1:281" x14ac:dyDescent="0.25">
      <c r="A750" s="7">
        <v>3.9643501169044582E-2</v>
      </c>
      <c r="B750"/>
      <c r="C750"/>
      <c r="D750"/>
      <c r="E750"/>
      <c r="F750" s="27" t="s">
        <v>7</v>
      </c>
      <c r="BU750" s="27" t="s">
        <v>8</v>
      </c>
      <c r="BV750" s="27" t="s">
        <v>7</v>
      </c>
      <c r="FE750" s="27" t="s">
        <v>8</v>
      </c>
      <c r="FF750" s="27" t="s">
        <v>7</v>
      </c>
      <c r="FG750" s="27" t="s">
        <v>8</v>
      </c>
      <c r="FJ750" s="27" t="s">
        <v>7</v>
      </c>
      <c r="FK750" s="27" t="s">
        <v>8</v>
      </c>
      <c r="FL750" s="27" t="s">
        <v>7</v>
      </c>
      <c r="FM750" s="27" t="s">
        <v>8</v>
      </c>
      <c r="FN750" s="27" t="s">
        <v>7</v>
      </c>
      <c r="FO750" s="27" t="s">
        <v>8</v>
      </c>
      <c r="HJ750" s="27" t="s">
        <v>7</v>
      </c>
      <c r="HK750" s="27" t="s">
        <v>8</v>
      </c>
      <c r="HX750" s="27" t="s">
        <v>7</v>
      </c>
      <c r="HY750" s="27" t="s">
        <v>8</v>
      </c>
      <c r="HZ750" s="27" t="s">
        <v>7</v>
      </c>
      <c r="IA750" s="27" t="s">
        <v>8</v>
      </c>
      <c r="IC750" s="27" t="s">
        <v>8</v>
      </c>
      <c r="ID750" s="27" t="s">
        <v>7</v>
      </c>
      <c r="IE750" s="27" t="s">
        <v>8</v>
      </c>
      <c r="IF750" s="27" t="s">
        <v>7</v>
      </c>
      <c r="IN750" s="27" t="s">
        <v>7</v>
      </c>
      <c r="IO750" s="27" t="s">
        <v>8</v>
      </c>
      <c r="IP750" s="27" t="s">
        <v>7</v>
      </c>
      <c r="IQ750" s="27" t="s">
        <v>8</v>
      </c>
    </row>
    <row r="751" spans="1:281" x14ac:dyDescent="0.25">
      <c r="A751" s="7">
        <v>3.8866177616710372E-2</v>
      </c>
      <c r="B751"/>
      <c r="C751"/>
      <c r="D751"/>
      <c r="E751"/>
      <c r="F751" s="27" t="s">
        <v>7</v>
      </c>
      <c r="BU751" s="27" t="s">
        <v>8</v>
      </c>
      <c r="BV751" s="27" t="s">
        <v>7</v>
      </c>
      <c r="FE751" s="27" t="s">
        <v>8</v>
      </c>
      <c r="FF751" s="27" t="s">
        <v>7</v>
      </c>
      <c r="FG751" s="27" t="s">
        <v>8</v>
      </c>
      <c r="FJ751" s="27" t="s">
        <v>7</v>
      </c>
      <c r="FK751" s="27" t="s">
        <v>8</v>
      </c>
      <c r="FL751" s="27" t="s">
        <v>7</v>
      </c>
      <c r="FM751" s="27" t="s">
        <v>8</v>
      </c>
      <c r="FN751" s="27" t="s">
        <v>7</v>
      </c>
      <c r="FO751" s="27" t="s">
        <v>8</v>
      </c>
      <c r="HJ751" s="27" t="s">
        <v>7</v>
      </c>
      <c r="HK751" s="27" t="s">
        <v>8</v>
      </c>
      <c r="HX751" s="27" t="s">
        <v>7</v>
      </c>
      <c r="HY751" s="27" t="s">
        <v>8</v>
      </c>
      <c r="HZ751" s="27" t="s">
        <v>7</v>
      </c>
      <c r="IA751" s="27" t="s">
        <v>8</v>
      </c>
      <c r="IB751" s="27" t="s">
        <v>7</v>
      </c>
      <c r="IC751" s="27" t="s">
        <v>8</v>
      </c>
      <c r="ID751" s="27" t="s">
        <v>7</v>
      </c>
      <c r="IE751" s="27" t="s">
        <v>8</v>
      </c>
      <c r="IN751" s="27" t="s">
        <v>7</v>
      </c>
      <c r="IP751" s="27" t="s">
        <v>7</v>
      </c>
      <c r="IQ751" s="27" t="s">
        <v>8</v>
      </c>
    </row>
    <row r="752" spans="1:281" x14ac:dyDescent="0.25">
      <c r="A752" s="7">
        <v>3.8104095702657229E-2</v>
      </c>
      <c r="B752"/>
      <c r="C752"/>
      <c r="D752"/>
      <c r="E752"/>
      <c r="F752" s="27" t="s">
        <v>7</v>
      </c>
      <c r="BU752" s="27" t="s">
        <v>8</v>
      </c>
      <c r="BV752" s="27" t="s">
        <v>7</v>
      </c>
      <c r="FE752" s="27" t="s">
        <v>8</v>
      </c>
      <c r="FF752" s="27" t="s">
        <v>7</v>
      </c>
      <c r="FG752" s="27" t="s">
        <v>8</v>
      </c>
      <c r="FJ752" s="27" t="s">
        <v>7</v>
      </c>
      <c r="FK752" s="27" t="s">
        <v>8</v>
      </c>
      <c r="FL752" s="27" t="s">
        <v>7</v>
      </c>
      <c r="FM752" s="27" t="s">
        <v>8</v>
      </c>
      <c r="FN752" s="27" t="s">
        <v>7</v>
      </c>
      <c r="FO752" s="27" t="s">
        <v>8</v>
      </c>
      <c r="HJ752" s="27" t="s">
        <v>7</v>
      </c>
      <c r="HK752" s="27" t="s">
        <v>8</v>
      </c>
      <c r="HX752" s="27" t="s">
        <v>7</v>
      </c>
      <c r="HY752" s="27" t="s">
        <v>8</v>
      </c>
      <c r="HZ752" s="27" t="s">
        <v>7</v>
      </c>
      <c r="IA752" s="27" t="s">
        <v>8</v>
      </c>
      <c r="IB752" s="27" t="s">
        <v>7</v>
      </c>
      <c r="IC752" s="27" t="s">
        <v>8</v>
      </c>
      <c r="ID752" s="27" t="s">
        <v>7</v>
      </c>
      <c r="IE752" s="27" t="s">
        <v>8</v>
      </c>
      <c r="IP752" s="27" t="s">
        <v>7</v>
      </c>
      <c r="IQ752" s="27" t="s">
        <v>8</v>
      </c>
    </row>
    <row r="753" spans="1:251" x14ac:dyDescent="0.25">
      <c r="A753" s="7">
        <v>3.7356956571232579E-2</v>
      </c>
      <c r="B753"/>
      <c r="C753"/>
      <c r="D753"/>
      <c r="E753"/>
      <c r="F753" s="27" t="s">
        <v>7</v>
      </c>
      <c r="BU753" s="27" t="s">
        <v>8</v>
      </c>
      <c r="BV753" s="27" t="s">
        <v>7</v>
      </c>
      <c r="BW753" s="27" t="s">
        <v>8</v>
      </c>
      <c r="FE753" s="27" t="s">
        <v>8</v>
      </c>
      <c r="FF753" s="27" t="s">
        <v>7</v>
      </c>
      <c r="FG753" s="27" t="s">
        <v>8</v>
      </c>
      <c r="FJ753" s="27" t="s">
        <v>7</v>
      </c>
      <c r="FK753" s="27" t="s">
        <v>8</v>
      </c>
      <c r="FL753" s="27" t="s">
        <v>7</v>
      </c>
      <c r="FM753" s="27" t="s">
        <v>8</v>
      </c>
      <c r="FN753" s="27" t="s">
        <v>7</v>
      </c>
      <c r="HJ753" s="27" t="s">
        <v>7</v>
      </c>
      <c r="HK753" s="27" t="s">
        <v>8</v>
      </c>
      <c r="HX753" s="27" t="s">
        <v>7</v>
      </c>
      <c r="HY753" s="27" t="s">
        <v>8</v>
      </c>
      <c r="HZ753" s="27" t="s">
        <v>7</v>
      </c>
      <c r="IA753" s="27" t="s">
        <v>8</v>
      </c>
      <c r="IB753" s="27" t="s">
        <v>7</v>
      </c>
      <c r="IC753" s="27" t="s">
        <v>8</v>
      </c>
      <c r="ID753" s="27" t="s">
        <v>7</v>
      </c>
      <c r="IE753" s="27" t="s">
        <v>8</v>
      </c>
      <c r="IP753" s="27" t="s">
        <v>7</v>
      </c>
      <c r="IQ753" s="27" t="s">
        <v>8</v>
      </c>
    </row>
    <row r="754" spans="1:251" x14ac:dyDescent="0.25">
      <c r="A754" s="7">
        <v>3.6624467226698605E-2</v>
      </c>
      <c r="B754"/>
      <c r="C754"/>
      <c r="D754"/>
      <c r="E754"/>
      <c r="F754" s="27" t="s">
        <v>7</v>
      </c>
      <c r="BU754" s="27" t="s">
        <v>8</v>
      </c>
      <c r="BV754" s="27" t="s">
        <v>7</v>
      </c>
      <c r="BW754" s="27" t="s">
        <v>8</v>
      </c>
      <c r="BX754" s="27" t="s">
        <v>7</v>
      </c>
      <c r="FE754" s="27" t="s">
        <v>8</v>
      </c>
      <c r="FF754" s="27" t="s">
        <v>7</v>
      </c>
      <c r="FG754" s="27" t="s">
        <v>8</v>
      </c>
      <c r="FJ754" s="27" t="s">
        <v>7</v>
      </c>
      <c r="FK754" s="27" t="s">
        <v>8</v>
      </c>
      <c r="FL754" s="27" t="s">
        <v>7</v>
      </c>
      <c r="FM754" s="27" t="s">
        <v>8</v>
      </c>
      <c r="HJ754" s="27" t="s">
        <v>7</v>
      </c>
      <c r="HK754" s="27" t="s">
        <v>8</v>
      </c>
      <c r="HX754" s="27" t="s">
        <v>7</v>
      </c>
      <c r="HY754" s="27" t="s">
        <v>8</v>
      </c>
      <c r="HZ754" s="27" t="s">
        <v>7</v>
      </c>
      <c r="IA754" s="27" t="s">
        <v>8</v>
      </c>
      <c r="IB754" s="27" t="s">
        <v>7</v>
      </c>
      <c r="IC754" s="27" t="s">
        <v>8</v>
      </c>
      <c r="ID754" s="27" t="s">
        <v>7</v>
      </c>
      <c r="IP754" s="18" t="s">
        <v>7</v>
      </c>
      <c r="IQ754" s="27" t="s">
        <v>8</v>
      </c>
    </row>
    <row r="755" spans="1:251" x14ac:dyDescent="0.25">
      <c r="A755" s="7">
        <v>3.5906340418331961E-2</v>
      </c>
      <c r="B755"/>
      <c r="C755"/>
      <c r="D755"/>
      <c r="E755"/>
      <c r="F755" s="27" t="s">
        <v>7</v>
      </c>
      <c r="BS755" s="27" t="s">
        <v>8</v>
      </c>
      <c r="BU755" s="27" t="s">
        <v>8</v>
      </c>
      <c r="BV755" s="27" t="s">
        <v>7</v>
      </c>
      <c r="BW755" s="27" t="s">
        <v>8</v>
      </c>
      <c r="BX755" s="27" t="s">
        <v>7</v>
      </c>
      <c r="BY755" s="27" t="s">
        <v>8</v>
      </c>
      <c r="FE755" s="27" t="s">
        <v>8</v>
      </c>
      <c r="FF755" s="27" t="s">
        <v>7</v>
      </c>
      <c r="FG755" s="27" t="s">
        <v>8</v>
      </c>
      <c r="FJ755" s="27" t="s">
        <v>7</v>
      </c>
      <c r="FK755" s="27" t="s">
        <v>8</v>
      </c>
      <c r="FL755" s="27" t="s">
        <v>7</v>
      </c>
      <c r="FM755" s="27" t="s">
        <v>8</v>
      </c>
      <c r="HJ755" s="27" t="s">
        <v>7</v>
      </c>
      <c r="HK755" s="27" t="s">
        <v>8</v>
      </c>
      <c r="HX755" s="27" t="s">
        <v>7</v>
      </c>
      <c r="HY755" s="27" t="s">
        <v>8</v>
      </c>
      <c r="HZ755" s="27" t="s">
        <v>7</v>
      </c>
      <c r="IA755" s="27" t="s">
        <v>8</v>
      </c>
      <c r="IB755" s="27" t="s">
        <v>7</v>
      </c>
      <c r="IC755" s="27" t="s">
        <v>8</v>
      </c>
      <c r="IP755" s="27" t="s">
        <v>7</v>
      </c>
      <c r="IQ755" s="27" t="s">
        <v>8</v>
      </c>
    </row>
    <row r="756" spans="1:251" x14ac:dyDescent="0.25">
      <c r="A756" s="7">
        <v>3.5202294527776436E-2</v>
      </c>
      <c r="B756"/>
      <c r="C756"/>
      <c r="D756"/>
      <c r="E756"/>
      <c r="F756" s="27" t="s">
        <v>7</v>
      </c>
      <c r="BS756" s="27" t="s">
        <v>8</v>
      </c>
      <c r="BT756" s="27" t="s">
        <v>7</v>
      </c>
      <c r="BU756" s="27" t="s">
        <v>8</v>
      </c>
      <c r="BV756" s="27" t="s">
        <v>7</v>
      </c>
      <c r="BW756" s="27" t="s">
        <v>8</v>
      </c>
      <c r="BX756" s="27" t="s">
        <v>7</v>
      </c>
      <c r="BY756" s="27" t="s">
        <v>8</v>
      </c>
      <c r="BZ756" s="27" t="s">
        <v>7</v>
      </c>
      <c r="EY756" s="27" t="s">
        <v>8</v>
      </c>
      <c r="FE756" s="27" t="s">
        <v>8</v>
      </c>
      <c r="FF756" s="27" t="s">
        <v>7</v>
      </c>
      <c r="FG756" s="27" t="s">
        <v>8</v>
      </c>
      <c r="FJ756" s="27" t="s">
        <v>7</v>
      </c>
      <c r="FK756" s="27" t="s">
        <v>8</v>
      </c>
      <c r="FL756" s="27" t="s">
        <v>7</v>
      </c>
      <c r="FM756" s="27" t="s">
        <v>8</v>
      </c>
      <c r="HJ756" s="27" t="s">
        <v>7</v>
      </c>
      <c r="HK756" s="27" t="s">
        <v>8</v>
      </c>
      <c r="HX756" s="27" t="s">
        <v>7</v>
      </c>
      <c r="HY756" s="27" t="s">
        <v>8</v>
      </c>
      <c r="HZ756" s="27" t="s">
        <v>7</v>
      </c>
      <c r="IA756" s="27" t="s">
        <v>8</v>
      </c>
      <c r="IB756" s="27" t="s">
        <v>7</v>
      </c>
      <c r="IC756" s="27" t="s">
        <v>8</v>
      </c>
      <c r="IP756" s="27" t="s">
        <v>7</v>
      </c>
      <c r="IQ756" s="27" t="s">
        <v>8</v>
      </c>
    </row>
    <row r="757" spans="1:251" x14ac:dyDescent="0.25">
      <c r="A757" s="7">
        <v>3.451205345860435E-2</v>
      </c>
      <c r="B757"/>
      <c r="C757"/>
      <c r="D757"/>
      <c r="E757"/>
      <c r="F757" s="27" t="s">
        <v>7</v>
      </c>
      <c r="BS757" s="27" t="s">
        <v>8</v>
      </c>
      <c r="BT757" s="27" t="s">
        <v>7</v>
      </c>
      <c r="BU757" s="27" t="s">
        <v>8</v>
      </c>
      <c r="BV757" s="27" t="s">
        <v>7</v>
      </c>
      <c r="BW757" s="27" t="s">
        <v>8</v>
      </c>
      <c r="BX757" s="27" t="s">
        <v>7</v>
      </c>
      <c r="BY757" s="27" t="s">
        <v>8</v>
      </c>
      <c r="BZ757" s="27" t="s">
        <v>7</v>
      </c>
      <c r="EY757" s="27" t="s">
        <v>8</v>
      </c>
      <c r="EZ757" s="27" t="s">
        <v>7</v>
      </c>
      <c r="FE757" s="27" t="s">
        <v>8</v>
      </c>
      <c r="FF757" s="27" t="s">
        <v>7</v>
      </c>
      <c r="FG757" s="27" t="s">
        <v>8</v>
      </c>
      <c r="FJ757" s="27" t="s">
        <v>7</v>
      </c>
      <c r="FK757" s="27" t="s">
        <v>8</v>
      </c>
      <c r="FL757" s="27" t="s">
        <v>7</v>
      </c>
      <c r="HJ757" s="27" t="s">
        <v>7</v>
      </c>
      <c r="HK757" s="27" t="s">
        <v>8</v>
      </c>
      <c r="HX757" s="27" t="s">
        <v>7</v>
      </c>
      <c r="HY757" s="27" t="s">
        <v>8</v>
      </c>
      <c r="HZ757" s="27" t="s">
        <v>7</v>
      </c>
      <c r="IA757" s="27" t="s">
        <v>8</v>
      </c>
      <c r="IB757" s="27" t="s">
        <v>7</v>
      </c>
      <c r="IC757" s="27" t="s">
        <v>8</v>
      </c>
      <c r="IP757" s="27" t="s">
        <v>7</v>
      </c>
      <c r="IQ757" s="27" t="s">
        <v>8</v>
      </c>
    </row>
    <row r="758" spans="1:251" x14ac:dyDescent="0.25">
      <c r="A758" s="7">
        <v>3.3835346528043479E-2</v>
      </c>
      <c r="B758"/>
      <c r="C758"/>
      <c r="D758"/>
      <c r="E758"/>
      <c r="F758" s="27" t="s">
        <v>7</v>
      </c>
      <c r="BS758" s="27" t="s">
        <v>8</v>
      </c>
      <c r="BT758" s="27" t="s">
        <v>7</v>
      </c>
      <c r="BU758" s="27" t="s">
        <v>8</v>
      </c>
      <c r="BV758" s="27" t="s">
        <v>7</v>
      </c>
      <c r="BW758" s="27" t="s">
        <v>8</v>
      </c>
      <c r="BX758" s="27" t="s">
        <v>7</v>
      </c>
      <c r="BY758" s="27" t="s">
        <v>8</v>
      </c>
      <c r="BZ758" s="27" t="s">
        <v>7</v>
      </c>
      <c r="EY758" s="27" t="s">
        <v>8</v>
      </c>
      <c r="EZ758" s="27" t="s">
        <v>7</v>
      </c>
      <c r="FE758" s="27" t="s">
        <v>8</v>
      </c>
      <c r="FF758" s="27" t="s">
        <v>7</v>
      </c>
      <c r="FJ758" s="27" t="s">
        <v>7</v>
      </c>
      <c r="FK758" s="27" t="s">
        <v>8</v>
      </c>
      <c r="HJ758" s="27" t="s">
        <v>7</v>
      </c>
      <c r="HK758" s="27" t="s">
        <v>8</v>
      </c>
      <c r="HX758" s="27" t="s">
        <v>7</v>
      </c>
      <c r="HY758" s="27" t="s">
        <v>8</v>
      </c>
      <c r="HZ758" s="27" t="s">
        <v>7</v>
      </c>
      <c r="IA758" s="27" t="s">
        <v>8</v>
      </c>
      <c r="IB758" s="27" t="s">
        <v>7</v>
      </c>
      <c r="IP758" s="27" t="s">
        <v>7</v>
      </c>
      <c r="IQ758" s="27" t="s">
        <v>8</v>
      </c>
    </row>
    <row r="759" spans="1:251" x14ac:dyDescent="0.25">
      <c r="A759" s="7">
        <v>3.3171908360826938E-2</v>
      </c>
      <c r="B759"/>
      <c r="C759"/>
      <c r="D759"/>
      <c r="E759"/>
      <c r="F759" s="27" t="s">
        <v>7</v>
      </c>
      <c r="BS759" s="27" t="s">
        <v>8</v>
      </c>
      <c r="BT759" s="27" t="s">
        <v>7</v>
      </c>
      <c r="BU759" s="27" t="s">
        <v>8</v>
      </c>
      <c r="BV759" s="27" t="s">
        <v>7</v>
      </c>
      <c r="BW759" s="27" t="s">
        <v>8</v>
      </c>
      <c r="BX759" s="27" t="s">
        <v>7</v>
      </c>
      <c r="BY759" s="27" t="s">
        <v>8</v>
      </c>
      <c r="BZ759" s="27" t="s">
        <v>7</v>
      </c>
      <c r="EY759" s="27" t="s">
        <v>8</v>
      </c>
      <c r="EZ759" s="27" t="s">
        <v>7</v>
      </c>
      <c r="FE759" s="27" t="s">
        <v>8</v>
      </c>
      <c r="FJ759" s="27" t="s">
        <v>7</v>
      </c>
      <c r="FK759" s="27" t="s">
        <v>8</v>
      </c>
      <c r="HJ759" s="27" t="s">
        <v>7</v>
      </c>
      <c r="HX759" s="27" t="s">
        <v>7</v>
      </c>
      <c r="HY759" s="27" t="s">
        <v>8</v>
      </c>
      <c r="HZ759" s="27" t="s">
        <v>7</v>
      </c>
      <c r="IA759" s="27" t="s">
        <v>8</v>
      </c>
      <c r="IP759" s="27" t="s">
        <v>7</v>
      </c>
    </row>
    <row r="760" spans="1:251" x14ac:dyDescent="0.25">
      <c r="A760" s="7">
        <v>3.2521478785124451E-2</v>
      </c>
      <c r="B760"/>
      <c r="C760"/>
      <c r="D760"/>
      <c r="E760"/>
      <c r="F760" s="27" t="s">
        <v>7</v>
      </c>
      <c r="BS760" s="27" t="s">
        <v>8</v>
      </c>
      <c r="BT760" s="27" t="s">
        <v>7</v>
      </c>
      <c r="BU760" s="27" t="s">
        <v>8</v>
      </c>
      <c r="BV760" s="27" t="s">
        <v>7</v>
      </c>
      <c r="BW760" s="27" t="s">
        <v>8</v>
      </c>
      <c r="BX760" s="27" t="s">
        <v>7</v>
      </c>
      <c r="BY760" s="27" t="s">
        <v>8</v>
      </c>
      <c r="BZ760" s="27" t="s">
        <v>7</v>
      </c>
      <c r="EY760" s="27" t="s">
        <v>8</v>
      </c>
      <c r="EZ760" s="27" t="s">
        <v>7</v>
      </c>
      <c r="FE760" s="27" t="s">
        <v>8</v>
      </c>
      <c r="FJ760" s="27" t="s">
        <v>7</v>
      </c>
      <c r="FK760" s="27" t="s">
        <v>8</v>
      </c>
      <c r="HX760" s="27" t="s">
        <v>7</v>
      </c>
      <c r="HY760" s="27" t="s">
        <v>8</v>
      </c>
      <c r="HZ760" s="27" t="s">
        <v>7</v>
      </c>
      <c r="IA760" s="27" t="s">
        <v>8</v>
      </c>
    </row>
    <row r="761" spans="1:251" x14ac:dyDescent="0.25">
      <c r="A761" s="7">
        <v>3.1883802730514173E-2</v>
      </c>
      <c r="B761"/>
      <c r="C761"/>
      <c r="D761"/>
      <c r="E761"/>
      <c r="F761" s="27" t="s">
        <v>7</v>
      </c>
      <c r="BS761" s="27" t="s">
        <v>8</v>
      </c>
      <c r="BT761" s="27" t="s">
        <v>7</v>
      </c>
      <c r="BU761" s="27" t="s">
        <v>8</v>
      </c>
      <c r="BV761" s="27" t="s">
        <v>7</v>
      </c>
      <c r="BW761" s="27" t="s">
        <v>8</v>
      </c>
      <c r="BX761" s="27" t="s">
        <v>7</v>
      </c>
      <c r="BY761" s="27" t="s">
        <v>8</v>
      </c>
      <c r="BZ761" s="27" t="s">
        <v>7</v>
      </c>
      <c r="EY761" s="27" t="s">
        <v>8</v>
      </c>
      <c r="EZ761" s="27" t="s">
        <v>7</v>
      </c>
      <c r="FE761" s="27" t="s">
        <v>8</v>
      </c>
      <c r="FJ761" s="27" t="s">
        <v>7</v>
      </c>
      <c r="FK761" s="27" t="s">
        <v>8</v>
      </c>
      <c r="HX761" s="27" t="s">
        <v>7</v>
      </c>
      <c r="HY761" s="27" t="s">
        <v>8</v>
      </c>
      <c r="HZ761" s="27" t="s">
        <v>7</v>
      </c>
      <c r="IA761" s="27" t="s">
        <v>8</v>
      </c>
    </row>
    <row r="762" spans="1:251" x14ac:dyDescent="0.25">
      <c r="A762" s="7">
        <v>3.1258630127955073E-2</v>
      </c>
      <c r="B762"/>
      <c r="C762"/>
      <c r="D762"/>
      <c r="E762"/>
      <c r="F762" s="27" t="s">
        <v>7</v>
      </c>
      <c r="BS762" s="27" t="s">
        <v>8</v>
      </c>
      <c r="BT762" s="27" t="s">
        <v>7</v>
      </c>
      <c r="BU762" s="27" t="s">
        <v>8</v>
      </c>
      <c r="BV762" s="27" t="s">
        <v>7</v>
      </c>
      <c r="BX762" s="27" t="s">
        <v>7</v>
      </c>
      <c r="BY762" s="27" t="s">
        <v>8</v>
      </c>
      <c r="BZ762" s="27" t="s">
        <v>7</v>
      </c>
      <c r="EY762" s="27" t="s">
        <v>8</v>
      </c>
      <c r="EZ762" s="27" t="s">
        <v>7</v>
      </c>
      <c r="FE762" s="27" t="s">
        <v>8</v>
      </c>
      <c r="FJ762" s="27" t="s">
        <v>7</v>
      </c>
      <c r="FK762" s="27" t="s">
        <v>8</v>
      </c>
      <c r="HX762" s="27" t="s">
        <v>7</v>
      </c>
      <c r="HY762" s="27" t="s">
        <v>8</v>
      </c>
      <c r="HZ762" s="27" t="s">
        <v>7</v>
      </c>
      <c r="IA762" s="27" t="s">
        <v>8</v>
      </c>
    </row>
    <row r="763" spans="1:251" x14ac:dyDescent="0.25">
      <c r="A763" s="7">
        <v>3.064571581172066E-2</v>
      </c>
      <c r="B763"/>
      <c r="C763"/>
      <c r="D763"/>
      <c r="E763"/>
      <c r="F763" s="27" t="s">
        <v>7</v>
      </c>
      <c r="BS763" s="27" t="s">
        <v>8</v>
      </c>
      <c r="BT763" s="27" t="s">
        <v>7</v>
      </c>
      <c r="BU763" s="27" t="s">
        <v>8</v>
      </c>
      <c r="BX763" s="27" t="s">
        <v>7</v>
      </c>
      <c r="BY763" s="27" t="s">
        <v>8</v>
      </c>
      <c r="BZ763" s="27" t="s">
        <v>7</v>
      </c>
      <c r="EY763" s="27" t="s">
        <v>8</v>
      </c>
      <c r="EZ763" s="27" t="s">
        <v>7</v>
      </c>
      <c r="FE763" s="27" t="s">
        <v>8</v>
      </c>
      <c r="FJ763" s="27" t="s">
        <v>7</v>
      </c>
      <c r="FK763" s="27" t="s">
        <v>8</v>
      </c>
      <c r="HX763" s="27" t="s">
        <v>7</v>
      </c>
      <c r="HY763" s="27" t="s">
        <v>8</v>
      </c>
      <c r="HZ763" s="27" t="s">
        <v>7</v>
      </c>
    </row>
    <row r="764" spans="1:251" x14ac:dyDescent="0.25">
      <c r="A764" s="7">
        <v>3.0044819423255549E-2</v>
      </c>
      <c r="B764"/>
      <c r="C764"/>
      <c r="D764"/>
      <c r="E764"/>
      <c r="F764" s="27" t="s">
        <v>7</v>
      </c>
      <c r="BS764" s="27" t="s">
        <v>8</v>
      </c>
      <c r="BT764" s="27" t="s">
        <v>7</v>
      </c>
      <c r="BU764" s="27" t="s">
        <v>8</v>
      </c>
      <c r="BX764" s="27" t="s">
        <v>7</v>
      </c>
      <c r="BY764" s="27" t="s">
        <v>8</v>
      </c>
      <c r="BZ764" s="27" t="s">
        <v>7</v>
      </c>
      <c r="EY764" s="27" t="s">
        <v>8</v>
      </c>
      <c r="EZ764" s="27" t="s">
        <v>7</v>
      </c>
      <c r="FE764" s="27" t="s">
        <v>8</v>
      </c>
      <c r="FJ764" s="27" t="s">
        <v>7</v>
      </c>
      <c r="FK764" s="27" t="s">
        <v>8</v>
      </c>
      <c r="HX764" s="27" t="s">
        <v>7</v>
      </c>
      <c r="HY764" s="27" t="s">
        <v>8</v>
      </c>
    </row>
    <row r="765" spans="1:251" x14ac:dyDescent="0.25">
      <c r="A765" s="7">
        <v>2.9455705316917203E-2</v>
      </c>
      <c r="B765"/>
      <c r="C765"/>
      <c r="D765"/>
      <c r="E765"/>
      <c r="F765" s="27" t="s">
        <v>7</v>
      </c>
      <c r="BS765" s="27" t="s">
        <v>8</v>
      </c>
      <c r="BT765" s="27" t="s">
        <v>7</v>
      </c>
      <c r="BU765" s="27" t="s">
        <v>8</v>
      </c>
      <c r="BX765" s="27" t="s">
        <v>7</v>
      </c>
      <c r="BY765" s="27" t="s">
        <v>8</v>
      </c>
      <c r="BZ765" s="27" t="s">
        <v>7</v>
      </c>
      <c r="EY765" s="27" t="s">
        <v>8</v>
      </c>
      <c r="EZ765" s="27" t="s">
        <v>7</v>
      </c>
      <c r="FE765" s="27" t="s">
        <v>8</v>
      </c>
      <c r="FJ765" s="27" t="s">
        <v>7</v>
      </c>
      <c r="FK765" s="27" t="s">
        <v>8</v>
      </c>
      <c r="HX765" s="27" t="s">
        <v>7</v>
      </c>
      <c r="HY765" s="27" t="s">
        <v>8</v>
      </c>
    </row>
    <row r="766" spans="1:251" x14ac:dyDescent="0.25">
      <c r="A766" s="7">
        <v>2.8878142467565884E-2</v>
      </c>
      <c r="B766"/>
      <c r="C766"/>
      <c r="D766"/>
      <c r="E766"/>
      <c r="F766" s="27" t="s">
        <v>7</v>
      </c>
      <c r="BS766" s="27" t="s">
        <v>8</v>
      </c>
      <c r="BT766" s="27" t="s">
        <v>7</v>
      </c>
      <c r="BU766" s="27" t="s">
        <v>8</v>
      </c>
      <c r="BX766" s="27" t="s">
        <v>7</v>
      </c>
      <c r="BZ766" s="27" t="s">
        <v>7</v>
      </c>
      <c r="EY766" s="27" t="s">
        <v>8</v>
      </c>
      <c r="EZ766" s="27" t="s">
        <v>7</v>
      </c>
      <c r="FC766" s="27" t="s">
        <v>8</v>
      </c>
      <c r="FE766" s="27" t="s">
        <v>8</v>
      </c>
      <c r="FJ766" s="27" t="s">
        <v>7</v>
      </c>
      <c r="FK766" s="27" t="s">
        <v>8</v>
      </c>
      <c r="HX766" s="27" t="s">
        <v>7</v>
      </c>
      <c r="HY766" s="27" t="s">
        <v>8</v>
      </c>
    </row>
    <row r="767" spans="1:251" x14ac:dyDescent="0.25">
      <c r="A767" s="7">
        <v>2.8311904379966554E-2</v>
      </c>
      <c r="B767"/>
      <c r="C767"/>
      <c r="D767"/>
      <c r="E767"/>
      <c r="F767" s="27" t="s">
        <v>7</v>
      </c>
      <c r="BS767" s="27" t="s">
        <v>8</v>
      </c>
      <c r="BT767" s="27" t="s">
        <v>7</v>
      </c>
      <c r="BU767" s="27" t="s">
        <v>8</v>
      </c>
      <c r="BZ767" s="27" t="s">
        <v>7</v>
      </c>
      <c r="EY767" s="27" t="s">
        <v>8</v>
      </c>
      <c r="EZ767" s="27" t="s">
        <v>7</v>
      </c>
      <c r="FC767" s="27" t="s">
        <v>8</v>
      </c>
      <c r="FD767" s="27" t="s">
        <v>7</v>
      </c>
      <c r="FE767" s="27" t="s">
        <v>8</v>
      </c>
      <c r="FJ767" s="27" t="s">
        <v>7</v>
      </c>
      <c r="HX767" s="27" t="s">
        <v>7</v>
      </c>
      <c r="HY767" s="27" t="s">
        <v>8</v>
      </c>
    </row>
    <row r="768" spans="1:251" x14ac:dyDescent="0.25">
      <c r="A768" s="7">
        <v>2.7756768999967207E-2</v>
      </c>
      <c r="B768"/>
      <c r="C768"/>
      <c r="D768"/>
      <c r="E768"/>
      <c r="F768" s="27" t="s">
        <v>7</v>
      </c>
      <c r="BS768" s="27" t="s">
        <v>8</v>
      </c>
      <c r="BT768" s="27" t="s">
        <v>7</v>
      </c>
      <c r="BU768" s="27" t="s">
        <v>8</v>
      </c>
      <c r="BZ768" s="27" t="s">
        <v>7</v>
      </c>
      <c r="EY768" s="27" t="s">
        <v>8</v>
      </c>
      <c r="EZ768" s="27" t="s">
        <v>7</v>
      </c>
      <c r="FA768" s="27" t="s">
        <v>8</v>
      </c>
      <c r="FC768" s="27" t="s">
        <v>8</v>
      </c>
      <c r="FD768" s="27" t="s">
        <v>7</v>
      </c>
      <c r="FE768" s="27" t="s">
        <v>8</v>
      </c>
      <c r="HX768" s="27" t="s">
        <v>7</v>
      </c>
      <c r="HY768" s="27" t="s">
        <v>8</v>
      </c>
    </row>
    <row r="769" spans="1:233" x14ac:dyDescent="0.25">
      <c r="A769" s="7">
        <v>2.7212518627418834E-2</v>
      </c>
      <c r="B769"/>
      <c r="C769"/>
      <c r="D769"/>
      <c r="E769"/>
      <c r="F769" s="27" t="s">
        <v>7</v>
      </c>
      <c r="BS769" s="27" t="s">
        <v>8</v>
      </c>
      <c r="BT769" s="27" t="s">
        <v>7</v>
      </c>
      <c r="BZ769" s="27" t="s">
        <v>7</v>
      </c>
      <c r="EY769" s="27" t="s">
        <v>8</v>
      </c>
      <c r="EZ769" s="27" t="s">
        <v>7</v>
      </c>
      <c r="FA769" s="27" t="s">
        <v>8</v>
      </c>
      <c r="FB769" s="27" t="s">
        <v>7</v>
      </c>
      <c r="FC769" s="27" t="s">
        <v>8</v>
      </c>
      <c r="FD769" s="27" t="s">
        <v>7</v>
      </c>
      <c r="FE769" s="27" t="s">
        <v>8</v>
      </c>
      <c r="HX769" s="27" t="s">
        <v>7</v>
      </c>
      <c r="HY769" s="27" t="s">
        <v>8</v>
      </c>
    </row>
    <row r="770" spans="1:233" x14ac:dyDescent="0.25">
      <c r="A770" s="7">
        <v>2.6678939830802779E-2</v>
      </c>
      <c r="B770"/>
      <c r="C770"/>
      <c r="D770"/>
      <c r="E770"/>
      <c r="F770" s="27" t="s">
        <v>7</v>
      </c>
      <c r="BS770" s="27" t="s">
        <v>8</v>
      </c>
      <c r="BZ770" s="27" t="s">
        <v>7</v>
      </c>
      <c r="ES770" s="27" t="s">
        <v>8</v>
      </c>
      <c r="EY770" s="27" t="s">
        <v>8</v>
      </c>
      <c r="EZ770" s="27" t="s">
        <v>7</v>
      </c>
      <c r="FA770" s="27" t="s">
        <v>8</v>
      </c>
      <c r="FB770" s="27" t="s">
        <v>7</v>
      </c>
      <c r="FC770" s="27" t="s">
        <v>8</v>
      </c>
      <c r="FD770" s="27" t="s">
        <v>7</v>
      </c>
      <c r="FE770" s="27" t="s">
        <v>8</v>
      </c>
      <c r="HX770" s="27" t="s">
        <v>7</v>
      </c>
      <c r="HY770" s="27" t="s">
        <v>8</v>
      </c>
    </row>
    <row r="771" spans="1:233" x14ac:dyDescent="0.25">
      <c r="A771" s="7">
        <v>2.615582336353214E-2</v>
      </c>
      <c r="B771"/>
      <c r="C771"/>
      <c r="D771"/>
      <c r="E771"/>
      <c r="F771" s="27" t="s">
        <v>7</v>
      </c>
      <c r="BS771" s="27" t="s">
        <v>8</v>
      </c>
      <c r="BZ771" s="27" t="s">
        <v>7</v>
      </c>
      <c r="CA771" s="27" t="s">
        <v>8</v>
      </c>
      <c r="ES771" s="27" t="s">
        <v>8</v>
      </c>
      <c r="ET771" s="27" t="s">
        <v>7</v>
      </c>
      <c r="EY771" s="27" t="s">
        <v>8</v>
      </c>
      <c r="EZ771" s="27" t="s">
        <v>7</v>
      </c>
      <c r="FA771" s="27" t="s">
        <v>8</v>
      </c>
      <c r="FB771" s="27" t="s">
        <v>7</v>
      </c>
      <c r="FC771" s="27" t="s">
        <v>8</v>
      </c>
      <c r="FD771" s="27" t="s">
        <v>7</v>
      </c>
      <c r="FE771" s="27" t="s">
        <v>8</v>
      </c>
      <c r="HX771" s="27" t="s">
        <v>7</v>
      </c>
      <c r="HY771" s="27" t="s">
        <v>8</v>
      </c>
    </row>
    <row r="772" spans="1:233" x14ac:dyDescent="0.25">
      <c r="A772" s="7">
        <v>2.5642964081894253E-2</v>
      </c>
      <c r="B772"/>
      <c r="C772"/>
      <c r="D772"/>
      <c r="E772"/>
      <c r="F772" s="27" t="s">
        <v>7</v>
      </c>
      <c r="BS772" s="27" t="s">
        <v>8</v>
      </c>
      <c r="BZ772" s="27" t="s">
        <v>7</v>
      </c>
      <c r="CA772" s="27" t="s">
        <v>8</v>
      </c>
      <c r="CB772" s="27" t="s">
        <v>7</v>
      </c>
      <c r="ES772" s="27" t="s">
        <v>8</v>
      </c>
      <c r="ET772" s="27" t="s">
        <v>7</v>
      </c>
      <c r="EU772" s="27" t="s">
        <v>8</v>
      </c>
      <c r="EY772" s="27" t="s">
        <v>8</v>
      </c>
      <c r="EZ772" s="27" t="s">
        <v>7</v>
      </c>
      <c r="FA772" s="27" t="s">
        <v>8</v>
      </c>
      <c r="FB772" s="27" t="s">
        <v>7</v>
      </c>
      <c r="FC772" s="27" t="s">
        <v>8</v>
      </c>
      <c r="FD772" s="27" t="s">
        <v>7</v>
      </c>
      <c r="FE772" s="27" t="s">
        <v>8</v>
      </c>
      <c r="HX772" s="27" t="s">
        <v>7</v>
      </c>
      <c r="HY772" s="27" t="s">
        <v>8</v>
      </c>
    </row>
    <row r="773" spans="1:233" x14ac:dyDescent="0.25">
      <c r="A773" s="7">
        <v>2.5140160864602207E-2</v>
      </c>
      <c r="B773"/>
      <c r="C773"/>
      <c r="D773"/>
      <c r="E773"/>
      <c r="F773" s="27" t="s">
        <v>7</v>
      </c>
      <c r="BS773" s="27" t="s">
        <v>8</v>
      </c>
      <c r="BZ773" s="27" t="s">
        <v>7</v>
      </c>
      <c r="CA773" s="27" t="s">
        <v>8</v>
      </c>
      <c r="CB773" s="27" t="s">
        <v>7</v>
      </c>
      <c r="CS773" s="27" t="s">
        <v>8</v>
      </c>
      <c r="ES773" s="27" t="s">
        <v>8</v>
      </c>
      <c r="ET773" s="27" t="s">
        <v>7</v>
      </c>
      <c r="EU773" s="27" t="s">
        <v>8</v>
      </c>
      <c r="EV773" s="27" t="s">
        <v>7</v>
      </c>
      <c r="EY773" s="27" t="s">
        <v>8</v>
      </c>
      <c r="EZ773" s="27" t="s">
        <v>7</v>
      </c>
      <c r="FA773" s="27" t="s">
        <v>8</v>
      </c>
      <c r="FB773" s="27" t="s">
        <v>7</v>
      </c>
      <c r="FC773" s="27" t="s">
        <v>8</v>
      </c>
      <c r="FD773" s="27" t="s">
        <v>7</v>
      </c>
      <c r="HX773" s="27" t="s">
        <v>7</v>
      </c>
      <c r="HY773" s="27" t="s">
        <v>8</v>
      </c>
    </row>
    <row r="774" spans="1:233" x14ac:dyDescent="0.25">
      <c r="A774" s="7">
        <v>2.4647216533923735E-2</v>
      </c>
      <c r="B774"/>
      <c r="C774"/>
      <c r="D774"/>
      <c r="E774"/>
      <c r="F774" s="27" t="s">
        <v>7</v>
      </c>
      <c r="BQ774" s="27" t="s">
        <v>8</v>
      </c>
      <c r="BS774" s="27" t="s">
        <v>8</v>
      </c>
      <c r="BZ774" s="27" t="s">
        <v>7</v>
      </c>
      <c r="CA774" s="27" t="s">
        <v>8</v>
      </c>
      <c r="CB774" s="27" t="s">
        <v>7</v>
      </c>
      <c r="CS774" s="27" t="s">
        <v>8</v>
      </c>
      <c r="CT774" s="27" t="s">
        <v>7</v>
      </c>
      <c r="ES774" s="27" t="s">
        <v>8</v>
      </c>
      <c r="ET774" s="27" t="s">
        <v>7</v>
      </c>
      <c r="EU774" s="27" t="s">
        <v>8</v>
      </c>
      <c r="EV774" s="27" t="s">
        <v>7</v>
      </c>
      <c r="EW774" s="27" t="s">
        <v>8</v>
      </c>
      <c r="EY774" s="27" t="s">
        <v>8</v>
      </c>
      <c r="EZ774" s="27" t="s">
        <v>7</v>
      </c>
      <c r="FA774" s="27" t="s">
        <v>8</v>
      </c>
      <c r="FB774" s="27" t="s">
        <v>7</v>
      </c>
      <c r="FC774" s="27" t="s">
        <v>8</v>
      </c>
      <c r="HX774" s="27" t="s">
        <v>7</v>
      </c>
      <c r="HY774" s="27" t="s">
        <v>8</v>
      </c>
    </row>
    <row r="775" spans="1:233" x14ac:dyDescent="0.25">
      <c r="A775" s="7">
        <v>2.4163937778356601E-2</v>
      </c>
      <c r="B775"/>
      <c r="C775"/>
      <c r="D775"/>
      <c r="E775"/>
      <c r="F775" s="27" t="s">
        <v>7</v>
      </c>
      <c r="BQ775" s="27" t="s">
        <v>8</v>
      </c>
      <c r="BR775" s="27" t="s">
        <v>7</v>
      </c>
      <c r="BS775" s="27" t="s">
        <v>8</v>
      </c>
      <c r="BZ775" s="27" t="s">
        <v>7</v>
      </c>
      <c r="CA775" s="27" t="s">
        <v>8</v>
      </c>
      <c r="CB775" s="27" t="s">
        <v>7</v>
      </c>
      <c r="CS775" s="27" t="s">
        <v>8</v>
      </c>
      <c r="CT775" s="27" t="s">
        <v>7</v>
      </c>
      <c r="ES775" s="27" t="s">
        <v>8</v>
      </c>
      <c r="ET775" s="27" t="s">
        <v>7</v>
      </c>
      <c r="EU775" s="27" t="s">
        <v>8</v>
      </c>
      <c r="EV775" s="27" t="s">
        <v>7</v>
      </c>
      <c r="EW775" s="27" t="s">
        <v>8</v>
      </c>
      <c r="EX775" s="27" t="s">
        <v>7</v>
      </c>
      <c r="EY775" s="27" t="s">
        <v>8</v>
      </c>
      <c r="EZ775" s="27" t="s">
        <v>7</v>
      </c>
      <c r="FA775" s="27" t="s">
        <v>8</v>
      </c>
      <c r="FB775" s="27" t="s">
        <v>7</v>
      </c>
      <c r="FC775" s="27" t="s">
        <v>8</v>
      </c>
      <c r="HX775" s="27" t="s">
        <v>7</v>
      </c>
      <c r="HY775" s="27" t="s">
        <v>8</v>
      </c>
    </row>
    <row r="776" spans="1:233" x14ac:dyDescent="0.25">
      <c r="A776" s="7">
        <v>2.3690135076820197E-2</v>
      </c>
      <c r="B776"/>
      <c r="C776"/>
      <c r="D776"/>
      <c r="E776"/>
      <c r="F776" s="27" t="s">
        <v>7</v>
      </c>
      <c r="BQ776" s="27" t="s">
        <v>8</v>
      </c>
      <c r="BR776" s="27" t="s">
        <v>7</v>
      </c>
      <c r="BS776" s="27" t="s">
        <v>8</v>
      </c>
      <c r="BZ776" s="27" t="s">
        <v>7</v>
      </c>
      <c r="CA776" s="27" t="s">
        <v>8</v>
      </c>
      <c r="CB776" s="27" t="s">
        <v>7</v>
      </c>
      <c r="CC776" s="27" t="s">
        <v>8</v>
      </c>
      <c r="CS776" s="27" t="s">
        <v>8</v>
      </c>
      <c r="CT776" s="27" t="s">
        <v>7</v>
      </c>
      <c r="DM776" s="27" t="s">
        <v>8</v>
      </c>
      <c r="ES776" s="27" t="s">
        <v>8</v>
      </c>
      <c r="ET776" s="27" t="s">
        <v>7</v>
      </c>
      <c r="EU776" s="27" t="s">
        <v>8</v>
      </c>
      <c r="EV776" s="27" t="s">
        <v>7</v>
      </c>
      <c r="EW776" s="27" t="s">
        <v>8</v>
      </c>
      <c r="EX776" s="27" t="s">
        <v>7</v>
      </c>
      <c r="EY776" s="27" t="s">
        <v>8</v>
      </c>
      <c r="EZ776" s="27" t="s">
        <v>7</v>
      </c>
      <c r="FA776" s="27" t="s">
        <v>8</v>
      </c>
      <c r="FB776" s="27" t="s">
        <v>7</v>
      </c>
      <c r="FC776" s="27" t="s">
        <v>8</v>
      </c>
      <c r="HX776" s="27" t="s">
        <v>7</v>
      </c>
      <c r="HY776" s="27" t="s">
        <v>8</v>
      </c>
    </row>
    <row r="777" spans="1:233" x14ac:dyDescent="0.25">
      <c r="A777" s="7">
        <v>2.3225622624333527E-2</v>
      </c>
      <c r="B777"/>
      <c r="C777"/>
      <c r="D777"/>
      <c r="E777"/>
      <c r="F777" s="27" t="s">
        <v>7</v>
      </c>
      <c r="BQ777" s="27" t="s">
        <v>8</v>
      </c>
      <c r="BR777" s="27" t="s">
        <v>7</v>
      </c>
      <c r="BS777" s="27" t="s">
        <v>8</v>
      </c>
      <c r="BZ777" s="27" t="s">
        <v>7</v>
      </c>
      <c r="CA777" s="27" t="s">
        <v>8</v>
      </c>
      <c r="CB777" s="27" t="s">
        <v>7</v>
      </c>
      <c r="CC777" s="27" t="s">
        <v>8</v>
      </c>
      <c r="CD777" s="27" t="s">
        <v>7</v>
      </c>
      <c r="CS777" s="27" t="s">
        <v>8</v>
      </c>
      <c r="CT777" s="27" t="s">
        <v>7</v>
      </c>
      <c r="DM777" s="27" t="s">
        <v>8</v>
      </c>
      <c r="DN777" s="27" t="s">
        <v>7</v>
      </c>
      <c r="ES777" s="27" t="s">
        <v>8</v>
      </c>
      <c r="ET777" s="27" t="s">
        <v>7</v>
      </c>
      <c r="EU777" s="27" t="s">
        <v>8</v>
      </c>
      <c r="EV777" s="27" t="s">
        <v>7</v>
      </c>
      <c r="EW777" s="27" t="s">
        <v>8</v>
      </c>
      <c r="EX777" s="27" t="s">
        <v>7</v>
      </c>
      <c r="EY777" s="27" t="s">
        <v>8</v>
      </c>
      <c r="EZ777" s="27" t="s">
        <v>7</v>
      </c>
      <c r="FB777" s="27" t="s">
        <v>7</v>
      </c>
      <c r="HX777" s="27" t="s">
        <v>7</v>
      </c>
      <c r="HY777" s="27" t="s">
        <v>8</v>
      </c>
    </row>
    <row r="778" spans="1:233" x14ac:dyDescent="0.25">
      <c r="A778" s="7">
        <v>2.2770218259150519E-2</v>
      </c>
      <c r="B778"/>
      <c r="C778"/>
      <c r="D778"/>
      <c r="E778"/>
      <c r="F778" s="27" t="s">
        <v>7</v>
      </c>
      <c r="BQ778" s="27" t="s">
        <v>8</v>
      </c>
      <c r="BR778" s="27" t="s">
        <v>7</v>
      </c>
      <c r="BS778" s="27" t="s">
        <v>8</v>
      </c>
      <c r="BZ778" s="27" t="s">
        <v>7</v>
      </c>
      <c r="CA778" s="27" t="s">
        <v>8</v>
      </c>
      <c r="CB778" s="27" t="s">
        <v>7</v>
      </c>
      <c r="CC778" s="27" t="s">
        <v>8</v>
      </c>
      <c r="CD778" s="27" t="s">
        <v>7</v>
      </c>
      <c r="CI778" s="27" t="s">
        <v>8</v>
      </c>
      <c r="CS778" s="27" t="s">
        <v>8</v>
      </c>
      <c r="CT778" s="27" t="s">
        <v>7</v>
      </c>
      <c r="DM778" s="27" t="s">
        <v>8</v>
      </c>
      <c r="DN778" s="27" t="s">
        <v>7</v>
      </c>
      <c r="ES778" s="27" t="s">
        <v>8</v>
      </c>
      <c r="ET778" s="27" t="s">
        <v>7</v>
      </c>
      <c r="EU778" s="27" t="s">
        <v>8</v>
      </c>
      <c r="EV778" s="27" t="s">
        <v>7</v>
      </c>
      <c r="EW778" s="27" t="s">
        <v>8</v>
      </c>
      <c r="EX778" s="27" t="s">
        <v>7</v>
      </c>
      <c r="EY778" s="27" t="s">
        <v>8</v>
      </c>
      <c r="HX778" s="27" t="s">
        <v>7</v>
      </c>
      <c r="HY778" s="27" t="s">
        <v>8</v>
      </c>
    </row>
    <row r="779" spans="1:233" x14ac:dyDescent="0.25">
      <c r="A779" s="7">
        <v>2.2323743391324039E-2</v>
      </c>
      <c r="B779"/>
      <c r="C779"/>
      <c r="D779"/>
      <c r="E779"/>
      <c r="F779" s="27" t="s">
        <v>7</v>
      </c>
      <c r="BQ779" s="27" t="s">
        <v>8</v>
      </c>
      <c r="BR779" s="27" t="s">
        <v>7</v>
      </c>
      <c r="BZ779" s="27" t="s">
        <v>7</v>
      </c>
      <c r="CA779" s="27" t="s">
        <v>8</v>
      </c>
      <c r="CB779" s="27" t="s">
        <v>7</v>
      </c>
      <c r="CC779" s="27" t="s">
        <v>8</v>
      </c>
      <c r="CD779" s="27" t="s">
        <v>7</v>
      </c>
      <c r="CE779" s="27" t="s">
        <v>8</v>
      </c>
      <c r="CI779" s="27" t="s">
        <v>8</v>
      </c>
      <c r="CJ779" s="27" t="s">
        <v>7</v>
      </c>
      <c r="CS779" s="27" t="s">
        <v>8</v>
      </c>
      <c r="CT779" s="27" t="s">
        <v>7</v>
      </c>
      <c r="DM779" s="27" t="s">
        <v>8</v>
      </c>
      <c r="DN779" s="27" t="s">
        <v>7</v>
      </c>
      <c r="ES779" s="27" t="s">
        <v>8</v>
      </c>
      <c r="ET779" s="27" t="s">
        <v>7</v>
      </c>
      <c r="EU779" s="27" t="s">
        <v>8</v>
      </c>
      <c r="EV779" s="27" t="s">
        <v>7</v>
      </c>
      <c r="EW779" s="27" t="s">
        <v>8</v>
      </c>
      <c r="EX779" s="27" t="s">
        <v>7</v>
      </c>
      <c r="EY779" s="27" t="s">
        <v>8</v>
      </c>
      <c r="HX779" s="27" t="s">
        <v>7</v>
      </c>
    </row>
    <row r="780" spans="1:233" x14ac:dyDescent="0.25">
      <c r="A780" s="7">
        <v>2.188602293267063E-2</v>
      </c>
      <c r="B780"/>
      <c r="C780"/>
      <c r="D780"/>
      <c r="E780"/>
      <c r="F780" s="27" t="s">
        <v>7</v>
      </c>
      <c r="BQ780" s="27" t="s">
        <v>8</v>
      </c>
      <c r="BZ780" s="27" t="s">
        <v>7</v>
      </c>
      <c r="CA780" s="27" t="s">
        <v>8</v>
      </c>
      <c r="CB780" s="27" t="s">
        <v>7</v>
      </c>
      <c r="CC780" s="27" t="s">
        <v>8</v>
      </c>
      <c r="CD780" s="27" t="s">
        <v>7</v>
      </c>
      <c r="CE780" s="27" t="s">
        <v>8</v>
      </c>
      <c r="CF780" s="27" t="s">
        <v>7</v>
      </c>
      <c r="CG780" s="27" t="s">
        <v>8</v>
      </c>
      <c r="CI780" s="27" t="s">
        <v>8</v>
      </c>
      <c r="CJ780" s="27" t="s">
        <v>7</v>
      </c>
      <c r="CS780" s="27" t="s">
        <v>8</v>
      </c>
      <c r="CT780" s="27" t="s">
        <v>7</v>
      </c>
      <c r="DM780" s="27" t="s">
        <v>8</v>
      </c>
      <c r="DN780" s="27" t="s">
        <v>7</v>
      </c>
      <c r="EO780" s="27" t="s">
        <v>8</v>
      </c>
      <c r="ES780" s="27" t="s">
        <v>8</v>
      </c>
      <c r="ET780" s="27" t="s">
        <v>7</v>
      </c>
      <c r="EU780" s="27" t="s">
        <v>8</v>
      </c>
      <c r="EV780" s="27" t="s">
        <v>7</v>
      </c>
      <c r="EX780" s="27" t="s">
        <v>7</v>
      </c>
      <c r="EY780" s="27" t="s">
        <v>8</v>
      </c>
    </row>
    <row r="781" spans="1:233" x14ac:dyDescent="0.25">
      <c r="A781" s="7">
        <v>2.1456885228108461E-2</v>
      </c>
      <c r="B781"/>
      <c r="C781"/>
      <c r="D781"/>
      <c r="E781"/>
      <c r="F781" s="27" t="s">
        <v>7</v>
      </c>
      <c r="BQ781" s="27" t="s">
        <v>8</v>
      </c>
      <c r="BZ781" s="27" t="s">
        <v>7</v>
      </c>
      <c r="CA781" s="27" t="s">
        <v>8</v>
      </c>
      <c r="CB781" s="27" t="s">
        <v>7</v>
      </c>
      <c r="CD781" s="27" t="s">
        <v>7</v>
      </c>
      <c r="CE781" s="27" t="s">
        <v>8</v>
      </c>
      <c r="CF781" s="27" t="s">
        <v>7</v>
      </c>
      <c r="CG781" s="27" t="s">
        <v>8</v>
      </c>
      <c r="CH781" s="27" t="s">
        <v>7</v>
      </c>
      <c r="CI781" s="27" t="s">
        <v>8</v>
      </c>
      <c r="CJ781" s="27" t="s">
        <v>7</v>
      </c>
      <c r="CS781" s="27" t="s">
        <v>8</v>
      </c>
      <c r="CT781" s="27" t="s">
        <v>7</v>
      </c>
      <c r="DM781" s="27" t="s">
        <v>8</v>
      </c>
      <c r="DN781" s="27" t="s">
        <v>7</v>
      </c>
      <c r="EO781" s="27" t="s">
        <v>8</v>
      </c>
      <c r="EP781" s="27" t="s">
        <v>7</v>
      </c>
      <c r="ES781" s="27" t="s">
        <v>8</v>
      </c>
      <c r="ET781" s="27" t="s">
        <v>7</v>
      </c>
      <c r="EU781" s="27" t="s">
        <v>8</v>
      </c>
      <c r="EX781" s="27" t="s">
        <v>7</v>
      </c>
      <c r="EY781" s="27" t="s">
        <v>8</v>
      </c>
    </row>
    <row r="782" spans="1:233" x14ac:dyDescent="0.25">
      <c r="A782" s="7">
        <v>2.1036161988341632E-2</v>
      </c>
      <c r="B782"/>
      <c r="C782"/>
      <c r="D782"/>
      <c r="E782"/>
      <c r="F782" s="27" t="s">
        <v>7</v>
      </c>
      <c r="BI782" s="27" t="s">
        <v>8</v>
      </c>
      <c r="BQ782" s="27" t="s">
        <v>8</v>
      </c>
      <c r="BZ782" s="27" t="s">
        <v>7</v>
      </c>
      <c r="CA782" s="27" t="s">
        <v>8</v>
      </c>
      <c r="CD782" s="27" t="s">
        <v>7</v>
      </c>
      <c r="CF782" s="27" t="s">
        <v>7</v>
      </c>
      <c r="CG782" s="27" t="s">
        <v>8</v>
      </c>
      <c r="CH782" s="27" t="s">
        <v>7</v>
      </c>
      <c r="CI782" s="27" t="s">
        <v>8</v>
      </c>
      <c r="CJ782" s="27" t="s">
        <v>7</v>
      </c>
      <c r="CQ782" s="27" t="s">
        <v>8</v>
      </c>
      <c r="CS782" s="27" t="s">
        <v>8</v>
      </c>
      <c r="CT782" s="27" t="s">
        <v>7</v>
      </c>
      <c r="DM782" s="27" t="s">
        <v>8</v>
      </c>
      <c r="DN782" s="27" t="s">
        <v>7</v>
      </c>
      <c r="EO782" s="27" t="s">
        <v>8</v>
      </c>
      <c r="EP782" s="27" t="s">
        <v>7</v>
      </c>
      <c r="EQ782" s="27" t="s">
        <v>8</v>
      </c>
      <c r="ES782" s="27" t="s">
        <v>8</v>
      </c>
      <c r="ET782" s="27" t="s">
        <v>7</v>
      </c>
      <c r="EU782" s="27" t="s">
        <v>8</v>
      </c>
      <c r="EX782" s="27" t="s">
        <v>7</v>
      </c>
      <c r="EY782" s="27" t="s">
        <v>8</v>
      </c>
    </row>
    <row r="783" spans="1:233" x14ac:dyDescent="0.25">
      <c r="A783" s="7">
        <v>2.0623688223864345E-2</v>
      </c>
      <c r="B783"/>
      <c r="C783"/>
      <c r="D783"/>
      <c r="E783"/>
      <c r="F783" s="27" t="s">
        <v>7</v>
      </c>
      <c r="BG783" s="27" t="s">
        <v>8</v>
      </c>
      <c r="BI783" s="27" t="s">
        <v>8</v>
      </c>
      <c r="BJ783" s="27" t="s">
        <v>7</v>
      </c>
      <c r="BQ783" s="27" t="s">
        <v>8</v>
      </c>
      <c r="BZ783" s="27" t="s">
        <v>7</v>
      </c>
      <c r="CA783" s="27" t="s">
        <v>8</v>
      </c>
      <c r="CF783" s="27" t="s">
        <v>7</v>
      </c>
      <c r="CG783" s="27" t="s">
        <v>8</v>
      </c>
      <c r="CH783" s="27" t="s">
        <v>7</v>
      </c>
      <c r="CI783" s="27" t="s">
        <v>8</v>
      </c>
      <c r="CJ783" s="27" t="s">
        <v>7</v>
      </c>
      <c r="CK783" s="27" t="s">
        <v>8</v>
      </c>
      <c r="CQ783" s="27" t="s">
        <v>8</v>
      </c>
      <c r="CR783" s="27" t="s">
        <v>7</v>
      </c>
      <c r="CS783" s="27" t="s">
        <v>8</v>
      </c>
      <c r="CT783" s="27" t="s">
        <v>7</v>
      </c>
      <c r="DM783" s="27" t="s">
        <v>8</v>
      </c>
      <c r="DN783" s="27" t="s">
        <v>7</v>
      </c>
      <c r="EO783" s="27" t="s">
        <v>8</v>
      </c>
      <c r="EP783" s="27" t="s">
        <v>7</v>
      </c>
      <c r="EQ783" s="27" t="s">
        <v>8</v>
      </c>
      <c r="ER783" s="27" t="s">
        <v>7</v>
      </c>
      <c r="ES783" s="27" t="s">
        <v>8</v>
      </c>
      <c r="ET783" s="27" t="s">
        <v>7</v>
      </c>
      <c r="EU783" s="27" t="s">
        <v>8</v>
      </c>
      <c r="EX783" s="27" t="s">
        <v>7</v>
      </c>
      <c r="EY783" s="27" t="s">
        <v>8</v>
      </c>
    </row>
    <row r="784" spans="1:233" x14ac:dyDescent="0.25">
      <c r="A784" s="7">
        <v>2.021930218025916E-2</v>
      </c>
      <c r="B784"/>
      <c r="C784"/>
      <c r="D784"/>
      <c r="E784"/>
      <c r="F784" s="27" t="s">
        <v>7</v>
      </c>
      <c r="BG784" s="27" t="s">
        <v>8</v>
      </c>
      <c r="BH784" s="27" t="s">
        <v>7</v>
      </c>
      <c r="BI784" s="27" t="s">
        <v>8</v>
      </c>
      <c r="BJ784" s="27" t="s">
        <v>7</v>
      </c>
      <c r="BO784" s="27" t="s">
        <v>8</v>
      </c>
      <c r="BQ784" s="27" t="s">
        <v>8</v>
      </c>
      <c r="BZ784" s="27" t="s">
        <v>7</v>
      </c>
      <c r="CA784" s="27" t="s">
        <v>8</v>
      </c>
      <c r="CF784" s="27" t="s">
        <v>7</v>
      </c>
      <c r="CG784" s="27" t="s">
        <v>8</v>
      </c>
      <c r="CH784" s="27" t="s">
        <v>7</v>
      </c>
      <c r="CI784" s="27" t="s">
        <v>8</v>
      </c>
      <c r="CJ784" s="27" t="s">
        <v>7</v>
      </c>
      <c r="CK784" s="27" t="s">
        <v>8</v>
      </c>
      <c r="CL784" s="27" t="s">
        <v>7</v>
      </c>
      <c r="CQ784" s="27" t="s">
        <v>8</v>
      </c>
      <c r="CR784" s="27" t="s">
        <v>7</v>
      </c>
      <c r="CS784" s="27" t="s">
        <v>8</v>
      </c>
      <c r="CT784" s="27" t="s">
        <v>7</v>
      </c>
      <c r="DM784" s="27" t="s">
        <v>8</v>
      </c>
      <c r="DN784" s="27" t="s">
        <v>7</v>
      </c>
      <c r="EA784" s="27" t="s">
        <v>8</v>
      </c>
      <c r="EO784" s="27" t="s">
        <v>8</v>
      </c>
      <c r="EP784" s="27" t="s">
        <v>7</v>
      </c>
      <c r="EQ784" s="27" t="s">
        <v>8</v>
      </c>
      <c r="ER784" s="27" t="s">
        <v>7</v>
      </c>
      <c r="ES784" s="27" t="s">
        <v>8</v>
      </c>
      <c r="ET784" s="27" t="s">
        <v>7</v>
      </c>
      <c r="EU784" s="27" t="s">
        <v>8</v>
      </c>
      <c r="EX784" s="27" t="s">
        <v>7</v>
      </c>
    </row>
    <row r="785" spans="1:150" x14ac:dyDescent="0.25">
      <c r="A785" s="7">
        <v>1.9822845274763884E-2</v>
      </c>
      <c r="B785"/>
      <c r="C785"/>
      <c r="D785"/>
      <c r="E785"/>
      <c r="F785" s="27" t="s">
        <v>7</v>
      </c>
      <c r="BG785" s="27" t="s">
        <v>8</v>
      </c>
      <c r="BH785" s="27" t="s">
        <v>7</v>
      </c>
      <c r="BI785" s="27" t="s">
        <v>8</v>
      </c>
      <c r="BJ785" s="27" t="s">
        <v>7</v>
      </c>
      <c r="BO785" s="27" t="s">
        <v>8</v>
      </c>
      <c r="BP785" s="27" t="s">
        <v>7</v>
      </c>
      <c r="BQ785" s="27" t="s">
        <v>8</v>
      </c>
      <c r="BZ785" s="27" t="s">
        <v>7</v>
      </c>
      <c r="CA785" s="27" t="s">
        <v>8</v>
      </c>
      <c r="CF785" s="27" t="s">
        <v>7</v>
      </c>
      <c r="CG785" s="27" t="s">
        <v>8</v>
      </c>
      <c r="CH785" s="27" t="s">
        <v>7</v>
      </c>
      <c r="CI785" s="27" t="s">
        <v>8</v>
      </c>
      <c r="CJ785" s="27" t="s">
        <v>7</v>
      </c>
      <c r="CK785" s="27" t="s">
        <v>8</v>
      </c>
      <c r="CL785" s="27" t="s">
        <v>7</v>
      </c>
      <c r="CQ785" s="27" t="s">
        <v>8</v>
      </c>
      <c r="CR785" s="27" t="s">
        <v>7</v>
      </c>
      <c r="CS785" s="27" t="s">
        <v>8</v>
      </c>
      <c r="CT785" s="27" t="s">
        <v>7</v>
      </c>
      <c r="DM785" s="27" t="s">
        <v>8</v>
      </c>
      <c r="DN785" s="27" t="s">
        <v>7</v>
      </c>
      <c r="DW785" s="27" t="s">
        <v>8</v>
      </c>
      <c r="EA785" s="27" t="s">
        <v>8</v>
      </c>
      <c r="EB785" s="27" t="s">
        <v>7</v>
      </c>
      <c r="EM785" s="27" t="s">
        <v>8</v>
      </c>
      <c r="EO785" s="27" t="s">
        <v>8</v>
      </c>
      <c r="EP785" s="27" t="s">
        <v>7</v>
      </c>
      <c r="EQ785" s="27" t="s">
        <v>8</v>
      </c>
      <c r="ER785" s="27" t="s">
        <v>7</v>
      </c>
      <c r="ES785" s="27" t="s">
        <v>8</v>
      </c>
      <c r="ET785" s="27" t="s">
        <v>7</v>
      </c>
    </row>
    <row r="786" spans="1:150" x14ac:dyDescent="0.25">
      <c r="A786" s="7">
        <v>1.9434162034082238E-2</v>
      </c>
      <c r="B786"/>
      <c r="C786"/>
      <c r="D786"/>
      <c r="E786"/>
      <c r="F786" s="27" t="s">
        <v>7</v>
      </c>
      <c r="BG786" s="27" t="s">
        <v>8</v>
      </c>
      <c r="BH786" s="27" t="s">
        <v>7</v>
      </c>
      <c r="BI786" s="27" t="s">
        <v>8</v>
      </c>
      <c r="BJ786" s="27" t="s">
        <v>7</v>
      </c>
      <c r="BO786" s="27" t="s">
        <v>8</v>
      </c>
      <c r="BP786" s="27" t="s">
        <v>7</v>
      </c>
      <c r="BQ786" s="27" t="s">
        <v>8</v>
      </c>
      <c r="BZ786" s="27" t="s">
        <v>7</v>
      </c>
      <c r="CA786" s="27" t="s">
        <v>8</v>
      </c>
      <c r="CF786" s="27" t="s">
        <v>7</v>
      </c>
      <c r="CG786" s="27" t="s">
        <v>8</v>
      </c>
      <c r="CH786" s="27" t="s">
        <v>7</v>
      </c>
      <c r="CI786" s="27" t="s">
        <v>8</v>
      </c>
      <c r="CJ786" s="27" t="s">
        <v>7</v>
      </c>
      <c r="CK786" s="27" t="s">
        <v>8</v>
      </c>
      <c r="CL786" s="27" t="s">
        <v>7</v>
      </c>
      <c r="CO786" s="27" t="s">
        <v>8</v>
      </c>
      <c r="CQ786" s="27" t="s">
        <v>8</v>
      </c>
      <c r="CR786" s="27" t="s">
        <v>7</v>
      </c>
      <c r="CS786" s="27" t="s">
        <v>8</v>
      </c>
      <c r="CT786" s="27" t="s">
        <v>7</v>
      </c>
      <c r="DM786" s="27" t="s">
        <v>8</v>
      </c>
      <c r="DN786" s="27" t="s">
        <v>7</v>
      </c>
      <c r="DW786" s="27" t="s">
        <v>8</v>
      </c>
      <c r="DX786" s="27" t="s">
        <v>7</v>
      </c>
      <c r="DY786" s="27" t="s">
        <v>8</v>
      </c>
      <c r="EA786" s="27" t="s">
        <v>8</v>
      </c>
      <c r="EB786" s="27" t="s">
        <v>7</v>
      </c>
      <c r="EM786" s="27" t="s">
        <v>8</v>
      </c>
      <c r="EN786" s="27" t="s">
        <v>7</v>
      </c>
      <c r="EO786" s="27" t="s">
        <v>8</v>
      </c>
      <c r="EP786" s="27" t="s">
        <v>7</v>
      </c>
      <c r="EQ786" s="27" t="s">
        <v>8</v>
      </c>
      <c r="ER786" s="27" t="s">
        <v>7</v>
      </c>
      <c r="ES786" s="27" t="s">
        <v>8</v>
      </c>
    </row>
    <row r="787" spans="1:150" x14ac:dyDescent="0.25">
      <c r="A787" s="7">
        <v>1.9053100033413959E-2</v>
      </c>
      <c r="B787"/>
      <c r="C787"/>
      <c r="D787"/>
      <c r="E787"/>
      <c r="F787" s="27" t="s">
        <v>7</v>
      </c>
      <c r="BG787" s="27" t="s">
        <v>8</v>
      </c>
      <c r="BH787" s="27" t="s">
        <v>7</v>
      </c>
      <c r="BI787" s="27" t="s">
        <v>8</v>
      </c>
      <c r="BJ787" s="27" t="s">
        <v>7</v>
      </c>
      <c r="BO787" s="27" t="s">
        <v>8</v>
      </c>
      <c r="BP787" s="27" t="s">
        <v>7</v>
      </c>
      <c r="BQ787" s="27" t="s">
        <v>8</v>
      </c>
      <c r="BZ787" s="27" t="s">
        <v>7</v>
      </c>
      <c r="CA787" s="27" t="s">
        <v>8</v>
      </c>
      <c r="CF787" s="27" t="s">
        <v>7</v>
      </c>
      <c r="CG787" s="27" t="s">
        <v>8</v>
      </c>
      <c r="CH787" s="27" t="s">
        <v>7</v>
      </c>
      <c r="CI787" s="27" t="s">
        <v>8</v>
      </c>
      <c r="CJ787" s="27" t="s">
        <v>7</v>
      </c>
      <c r="CK787" s="27" t="s">
        <v>8</v>
      </c>
      <c r="CL787" s="27" t="s">
        <v>7</v>
      </c>
      <c r="CO787" s="27" t="s">
        <v>8</v>
      </c>
      <c r="CP787" s="27" t="s">
        <v>7</v>
      </c>
      <c r="CQ787" s="27" t="s">
        <v>8</v>
      </c>
      <c r="CR787" s="27" t="s">
        <v>7</v>
      </c>
      <c r="CT787" s="27" t="s">
        <v>7</v>
      </c>
      <c r="DM787" s="27" t="s">
        <v>8</v>
      </c>
      <c r="DN787" s="27" t="s">
        <v>7</v>
      </c>
      <c r="DW787" s="27" t="s">
        <v>8</v>
      </c>
      <c r="DX787" s="27" t="s">
        <v>7</v>
      </c>
      <c r="DY787" s="27" t="s">
        <v>8</v>
      </c>
      <c r="DZ787" s="27" t="s">
        <v>7</v>
      </c>
      <c r="EA787" s="27" t="s">
        <v>8</v>
      </c>
      <c r="EB787" s="27" t="s">
        <v>7</v>
      </c>
      <c r="EC787" s="27" t="s">
        <v>8</v>
      </c>
      <c r="EM787" s="27" t="s">
        <v>8</v>
      </c>
      <c r="EN787" s="27" t="s">
        <v>7</v>
      </c>
      <c r="EO787" s="27" t="s">
        <v>8</v>
      </c>
      <c r="EP787" s="27" t="s">
        <v>7</v>
      </c>
      <c r="EQ787" s="27" t="s">
        <v>8</v>
      </c>
      <c r="ER787" s="27" t="s">
        <v>7</v>
      </c>
      <c r="ES787" s="27" t="s">
        <v>8</v>
      </c>
    </row>
    <row r="788" spans="1:150" x14ac:dyDescent="0.25">
      <c r="A788" s="7">
        <v>1.867950983668035E-2</v>
      </c>
      <c r="B788"/>
      <c r="C788"/>
      <c r="D788"/>
      <c r="E788"/>
      <c r="F788" s="27" t="s">
        <v>7</v>
      </c>
      <c r="BA788" s="27" t="s">
        <v>8</v>
      </c>
      <c r="BG788" s="27" t="s">
        <v>8</v>
      </c>
      <c r="BH788" s="27" t="s">
        <v>7</v>
      </c>
      <c r="BI788" s="27" t="s">
        <v>8</v>
      </c>
      <c r="BJ788" s="27" t="s">
        <v>7</v>
      </c>
      <c r="BO788" s="27" t="s">
        <v>8</v>
      </c>
      <c r="BP788" s="27" t="s">
        <v>7</v>
      </c>
      <c r="BZ788" s="27" t="s">
        <v>7</v>
      </c>
      <c r="CA788" s="27" t="s">
        <v>8</v>
      </c>
      <c r="CF788" s="27" t="s">
        <v>7</v>
      </c>
      <c r="CG788" s="27" t="s">
        <v>8</v>
      </c>
      <c r="CH788" s="27" t="s">
        <v>7</v>
      </c>
      <c r="CJ788" s="27" t="s">
        <v>7</v>
      </c>
      <c r="CK788" s="27" t="s">
        <v>8</v>
      </c>
      <c r="CL788" s="27" t="s">
        <v>7</v>
      </c>
      <c r="CO788" s="27" t="s">
        <v>8</v>
      </c>
      <c r="CP788" s="27" t="s">
        <v>7</v>
      </c>
      <c r="CQ788" s="27" t="s">
        <v>8</v>
      </c>
      <c r="CT788" s="27" t="s">
        <v>7</v>
      </c>
      <c r="CU788" s="27" t="s">
        <v>8</v>
      </c>
      <c r="CW788" s="27" t="s">
        <v>8</v>
      </c>
      <c r="DM788" s="27" t="s">
        <v>8</v>
      </c>
      <c r="DN788" s="27" t="s">
        <v>7</v>
      </c>
      <c r="DW788" s="27" t="s">
        <v>8</v>
      </c>
      <c r="DX788" s="27" t="s">
        <v>7</v>
      </c>
      <c r="DY788" s="27" t="s">
        <v>8</v>
      </c>
      <c r="DZ788" s="27" t="s">
        <v>7</v>
      </c>
      <c r="EA788" s="27" t="s">
        <v>8</v>
      </c>
      <c r="EB788" s="27" t="s">
        <v>7</v>
      </c>
      <c r="EC788" s="27" t="s">
        <v>8</v>
      </c>
      <c r="ED788" s="27" t="s">
        <v>7</v>
      </c>
      <c r="EM788" s="27" t="s">
        <v>8</v>
      </c>
      <c r="EN788" s="27" t="s">
        <v>7</v>
      </c>
      <c r="EO788" s="27" t="s">
        <v>8</v>
      </c>
      <c r="EP788" s="27" t="s">
        <v>7</v>
      </c>
      <c r="EQ788" s="27" t="s">
        <v>8</v>
      </c>
      <c r="ER788" s="27" t="s">
        <v>7</v>
      </c>
      <c r="ES788" s="27" t="s">
        <v>8</v>
      </c>
    </row>
    <row r="789" spans="1:150" x14ac:dyDescent="0.25">
      <c r="A789" s="7">
        <v>1.8313244937921913E-2</v>
      </c>
      <c r="B789"/>
      <c r="C789"/>
      <c r="D789"/>
      <c r="E789"/>
      <c r="F789" s="27" t="s">
        <v>7</v>
      </c>
      <c r="K789" s="27" t="s">
        <v>8</v>
      </c>
      <c r="BA789" s="27" t="s">
        <v>8</v>
      </c>
      <c r="BB789" s="27" t="s">
        <v>7</v>
      </c>
      <c r="BG789" s="27" t="s">
        <v>8</v>
      </c>
      <c r="BH789" s="27" t="s">
        <v>7</v>
      </c>
      <c r="BJ789" s="27" t="s">
        <v>7</v>
      </c>
      <c r="BO789" s="27" t="s">
        <v>8</v>
      </c>
      <c r="BZ789" s="27" t="s">
        <v>7</v>
      </c>
      <c r="CA789" s="27" t="s">
        <v>8</v>
      </c>
      <c r="CF789" s="27" t="s">
        <v>7</v>
      </c>
      <c r="CG789" s="27" t="s">
        <v>8</v>
      </c>
      <c r="CJ789" s="27" t="s">
        <v>7</v>
      </c>
      <c r="CK789" s="27" t="s">
        <v>8</v>
      </c>
      <c r="CL789" s="27" t="s">
        <v>7</v>
      </c>
      <c r="CM789" s="27" t="s">
        <v>8</v>
      </c>
      <c r="CO789" s="27" t="s">
        <v>8</v>
      </c>
      <c r="CP789" s="27" t="s">
        <v>7</v>
      </c>
      <c r="CQ789" s="27" t="s">
        <v>8</v>
      </c>
      <c r="CT789" s="27" t="s">
        <v>7</v>
      </c>
      <c r="CU789" s="27" t="s">
        <v>8</v>
      </c>
      <c r="CV789" s="27" t="s">
        <v>7</v>
      </c>
      <c r="CW789" s="27" t="s">
        <v>8</v>
      </c>
      <c r="CX789" s="27" t="s">
        <v>7</v>
      </c>
      <c r="DM789" s="27" t="s">
        <v>8</v>
      </c>
      <c r="DN789" s="27" t="s">
        <v>7</v>
      </c>
      <c r="DO789" s="27" t="s">
        <v>8</v>
      </c>
      <c r="DW789" s="27" t="s">
        <v>8</v>
      </c>
      <c r="DX789" s="27" t="s">
        <v>7</v>
      </c>
      <c r="DY789" s="27" t="s">
        <v>8</v>
      </c>
      <c r="DZ789" s="27" t="s">
        <v>7</v>
      </c>
      <c r="EA789" s="27" t="s">
        <v>8</v>
      </c>
      <c r="EB789" s="27" t="s">
        <v>7</v>
      </c>
      <c r="EC789" s="27" t="s">
        <v>8</v>
      </c>
      <c r="ED789" s="27" t="s">
        <v>7</v>
      </c>
      <c r="EI789" s="27" t="s">
        <v>8</v>
      </c>
      <c r="EM789" s="27" t="s">
        <v>8</v>
      </c>
      <c r="EN789" s="27" t="s">
        <v>7</v>
      </c>
      <c r="EO789" s="27" t="s">
        <v>8</v>
      </c>
      <c r="EP789" s="27" t="s">
        <v>7</v>
      </c>
      <c r="EQ789" s="27" t="s">
        <v>8</v>
      </c>
      <c r="ER789" s="27" t="s">
        <v>7</v>
      </c>
      <c r="ES789" s="27" t="s">
        <v>8</v>
      </c>
    </row>
    <row r="790" spans="1:150" x14ac:dyDescent="0.25">
      <c r="A790" s="7">
        <v>1.7954161703845013E-2</v>
      </c>
      <c r="B790"/>
      <c r="C790"/>
      <c r="D790"/>
      <c r="E790"/>
      <c r="F790" s="27" t="s">
        <v>7</v>
      </c>
      <c r="K790" s="27" t="s">
        <v>8</v>
      </c>
      <c r="L790" s="27" t="s">
        <v>7</v>
      </c>
      <c r="BA790" s="27" t="s">
        <v>8</v>
      </c>
      <c r="BB790" s="27" t="s">
        <v>7</v>
      </c>
      <c r="BC790" s="27" t="s">
        <v>8</v>
      </c>
      <c r="BG790" s="27" t="s">
        <v>8</v>
      </c>
      <c r="BJ790" s="27" t="s">
        <v>7</v>
      </c>
      <c r="BO790" s="27" t="s">
        <v>8</v>
      </c>
      <c r="BZ790" s="27" t="s">
        <v>7</v>
      </c>
      <c r="CA790" s="27" t="s">
        <v>8</v>
      </c>
      <c r="CF790" s="27" t="s">
        <v>7</v>
      </c>
      <c r="CG790" s="27" t="s">
        <v>8</v>
      </c>
      <c r="CJ790" s="27" t="s">
        <v>7</v>
      </c>
      <c r="CK790" s="27" t="s">
        <v>8</v>
      </c>
      <c r="CL790" s="27" t="s">
        <v>7</v>
      </c>
      <c r="CM790" s="27" t="s">
        <v>8</v>
      </c>
      <c r="CN790" s="27" t="s">
        <v>7</v>
      </c>
      <c r="CO790" s="27" t="s">
        <v>8</v>
      </c>
      <c r="CP790" s="27" t="s">
        <v>7</v>
      </c>
      <c r="CQ790" s="27" t="s">
        <v>8</v>
      </c>
      <c r="CT790" s="27" t="s">
        <v>7</v>
      </c>
      <c r="CU790" s="27" t="s">
        <v>8</v>
      </c>
      <c r="CV790" s="27" t="s">
        <v>7</v>
      </c>
      <c r="CW790" s="27" t="s">
        <v>8</v>
      </c>
      <c r="CX790" s="27" t="s">
        <v>7</v>
      </c>
      <c r="DK790" s="27" t="s">
        <v>8</v>
      </c>
      <c r="DM790" s="27" t="s">
        <v>8</v>
      </c>
      <c r="DN790" s="27" t="s">
        <v>7</v>
      </c>
      <c r="DO790" s="27" t="s">
        <v>8</v>
      </c>
      <c r="DP790" s="27" t="s">
        <v>7</v>
      </c>
      <c r="DU790" s="27" t="s">
        <v>8</v>
      </c>
      <c r="DW790" s="27" t="s">
        <v>8</v>
      </c>
      <c r="DX790" s="27" t="s">
        <v>7</v>
      </c>
      <c r="DY790" s="27" t="s">
        <v>8</v>
      </c>
      <c r="DZ790" s="27" t="s">
        <v>7</v>
      </c>
      <c r="EA790" s="27" t="s">
        <v>8</v>
      </c>
      <c r="EB790" s="27" t="s">
        <v>7</v>
      </c>
      <c r="EC790" s="27" t="s">
        <v>8</v>
      </c>
      <c r="ED790" s="27" t="s">
        <v>7</v>
      </c>
      <c r="EI790" s="27" t="s">
        <v>8</v>
      </c>
      <c r="EJ790" s="27" t="s">
        <v>7</v>
      </c>
      <c r="EM790" s="27" t="s">
        <v>8</v>
      </c>
      <c r="EN790" s="27" t="s">
        <v>7</v>
      </c>
      <c r="EO790" s="27" t="s">
        <v>8</v>
      </c>
      <c r="EP790" s="27" t="s">
        <v>7</v>
      </c>
      <c r="ER790" s="27" t="s">
        <v>7</v>
      </c>
      <c r="ES790" s="27" t="s">
        <v>8</v>
      </c>
    </row>
    <row r="791" spans="1:150" x14ac:dyDescent="0.25">
      <c r="A791" s="7">
        <v>1.7602119317495109E-2</v>
      </c>
      <c r="B791"/>
      <c r="C791"/>
      <c r="D791"/>
      <c r="E791"/>
      <c r="F791" s="27" t="s">
        <v>7</v>
      </c>
      <c r="K791" s="27" t="s">
        <v>8</v>
      </c>
      <c r="L791" s="27" t="s">
        <v>7</v>
      </c>
      <c r="AQ791" s="27" t="s">
        <v>8</v>
      </c>
      <c r="BA791" s="27" t="s">
        <v>8</v>
      </c>
      <c r="BB791" s="27" t="s">
        <v>7</v>
      </c>
      <c r="BC791" s="27" t="s">
        <v>8</v>
      </c>
      <c r="BD791" s="27" t="s">
        <v>7</v>
      </c>
      <c r="BG791" s="27" t="s">
        <v>8</v>
      </c>
      <c r="BJ791" s="27" t="s">
        <v>7</v>
      </c>
      <c r="BK791" s="27" t="s">
        <v>8</v>
      </c>
      <c r="BO791" s="27" t="s">
        <v>8</v>
      </c>
      <c r="BZ791" s="27" t="s">
        <v>7</v>
      </c>
      <c r="CA791" s="27" t="s">
        <v>8</v>
      </c>
      <c r="CF791" s="27" t="s">
        <v>7</v>
      </c>
      <c r="CJ791" s="27" t="s">
        <v>7</v>
      </c>
      <c r="CK791" s="27" t="s">
        <v>8</v>
      </c>
      <c r="CL791" s="27" t="s">
        <v>7</v>
      </c>
      <c r="CM791" s="27" t="s">
        <v>8</v>
      </c>
      <c r="CN791" s="27" t="s">
        <v>7</v>
      </c>
      <c r="CO791" s="27" t="s">
        <v>8</v>
      </c>
      <c r="CP791" s="27" t="s">
        <v>7</v>
      </c>
      <c r="CQ791" s="27" t="s">
        <v>8</v>
      </c>
      <c r="CT791" s="27" t="s">
        <v>7</v>
      </c>
      <c r="CU791" s="27" t="s">
        <v>8</v>
      </c>
      <c r="CV791" s="27" t="s">
        <v>7</v>
      </c>
      <c r="CW791" s="27" t="s">
        <v>8</v>
      </c>
      <c r="CX791" s="27" t="s">
        <v>7</v>
      </c>
      <c r="DG791" s="27" t="s">
        <v>8</v>
      </c>
      <c r="DK791" s="27" t="s">
        <v>8</v>
      </c>
      <c r="DL791" s="27" t="s">
        <v>7</v>
      </c>
      <c r="DM791" s="27" t="s">
        <v>8</v>
      </c>
      <c r="DN791" s="27" t="s">
        <v>7</v>
      </c>
      <c r="DO791" s="27" t="s">
        <v>8</v>
      </c>
      <c r="DP791" s="27" t="s">
        <v>7</v>
      </c>
      <c r="DU791" s="27" t="s">
        <v>8</v>
      </c>
      <c r="DV791" s="27" t="s">
        <v>7</v>
      </c>
      <c r="DW791" s="27" t="s">
        <v>8</v>
      </c>
      <c r="DX791" s="27" t="s">
        <v>7</v>
      </c>
      <c r="DZ791" s="27" t="s">
        <v>7</v>
      </c>
      <c r="EB791" s="27" t="s">
        <v>7</v>
      </c>
      <c r="ED791" s="27" t="s">
        <v>7</v>
      </c>
      <c r="EG791" s="27" t="s">
        <v>8</v>
      </c>
      <c r="EI791" s="27" t="s">
        <v>8</v>
      </c>
      <c r="EJ791" s="27" t="s">
        <v>7</v>
      </c>
      <c r="EK791" s="27" t="s">
        <v>8</v>
      </c>
      <c r="EM791" s="27" t="s">
        <v>8</v>
      </c>
      <c r="EN791" s="27" t="s">
        <v>7</v>
      </c>
      <c r="EO791" s="27" t="s">
        <v>8</v>
      </c>
      <c r="ER791" s="27" t="s">
        <v>7</v>
      </c>
      <c r="ES791" s="27" t="s">
        <v>8</v>
      </c>
    </row>
    <row r="792" spans="1:150" x14ac:dyDescent="0.25">
      <c r="A792" s="7">
        <v>1.7256979723034419E-2</v>
      </c>
      <c r="B792"/>
      <c r="C792"/>
      <c r="D792"/>
      <c r="E792"/>
      <c r="F792" s="27" t="s">
        <v>7</v>
      </c>
      <c r="K792" s="27" t="s">
        <v>8</v>
      </c>
      <c r="L792" s="27" t="s">
        <v>7</v>
      </c>
      <c r="AQ792" s="27" t="s">
        <v>8</v>
      </c>
      <c r="AR792" s="27" t="s">
        <v>7</v>
      </c>
      <c r="BA792" s="27" t="s">
        <v>8</v>
      </c>
      <c r="BB792" s="27" t="s">
        <v>7</v>
      </c>
      <c r="BC792" s="27" t="s">
        <v>8</v>
      </c>
      <c r="BD792" s="27" t="s">
        <v>7</v>
      </c>
      <c r="BG792" s="27" t="s">
        <v>8</v>
      </c>
      <c r="BJ792" s="27" t="s">
        <v>7</v>
      </c>
      <c r="BK792" s="27" t="s">
        <v>8</v>
      </c>
      <c r="BL792" s="27" t="s">
        <v>7</v>
      </c>
      <c r="BM792" s="27" t="s">
        <v>8</v>
      </c>
      <c r="BO792" s="27" t="s">
        <v>8</v>
      </c>
      <c r="BZ792" s="27" t="s">
        <v>7</v>
      </c>
      <c r="CA792" s="27" t="s">
        <v>8</v>
      </c>
      <c r="CJ792" s="27" t="s">
        <v>7</v>
      </c>
      <c r="CK792" s="27" t="s">
        <v>8</v>
      </c>
      <c r="CL792" s="27" t="s">
        <v>7</v>
      </c>
      <c r="CN792" s="27" t="s">
        <v>7</v>
      </c>
      <c r="CO792" s="27" t="s">
        <v>8</v>
      </c>
      <c r="CP792" s="27" t="s">
        <v>7</v>
      </c>
      <c r="CQ792" s="27" t="s">
        <v>8</v>
      </c>
      <c r="CT792" s="27" t="s">
        <v>7</v>
      </c>
      <c r="CV792" s="27" t="s">
        <v>7</v>
      </c>
      <c r="CW792" s="27" t="s">
        <v>8</v>
      </c>
      <c r="CX792" s="27" t="s">
        <v>7</v>
      </c>
      <c r="DC792" s="27" t="s">
        <v>8</v>
      </c>
      <c r="DE792" s="27" t="s">
        <v>8</v>
      </c>
      <c r="DG792" s="27" t="s">
        <v>8</v>
      </c>
      <c r="DH792" s="27" t="s">
        <v>7</v>
      </c>
      <c r="DK792" s="27" t="s">
        <v>8</v>
      </c>
      <c r="DL792" s="27" t="s">
        <v>7</v>
      </c>
      <c r="DM792" s="27" t="s">
        <v>8</v>
      </c>
      <c r="DN792" s="27" t="s">
        <v>7</v>
      </c>
      <c r="DO792" s="27" t="s">
        <v>8</v>
      </c>
      <c r="DP792" s="27" t="s">
        <v>7</v>
      </c>
      <c r="DU792" s="27" t="s">
        <v>8</v>
      </c>
      <c r="DV792" s="27" t="s">
        <v>7</v>
      </c>
      <c r="DW792" s="27" t="s">
        <v>8</v>
      </c>
      <c r="ED792" s="27" t="s">
        <v>7</v>
      </c>
      <c r="EG792" s="27" t="s">
        <v>8</v>
      </c>
      <c r="EH792" s="27" t="s">
        <v>7</v>
      </c>
      <c r="EI792" s="27" t="s">
        <v>8</v>
      </c>
      <c r="EJ792" s="27" t="s">
        <v>7</v>
      </c>
      <c r="EK792" s="27" t="s">
        <v>8</v>
      </c>
      <c r="EL792" s="27" t="s">
        <v>7</v>
      </c>
      <c r="EM792" s="27" t="s">
        <v>8</v>
      </c>
      <c r="EN792" s="27" t="s">
        <v>7</v>
      </c>
      <c r="EO792" s="27" t="s">
        <v>8</v>
      </c>
      <c r="ER792" s="27" t="s">
        <v>7</v>
      </c>
    </row>
    <row r="793" spans="1:150" x14ac:dyDescent="0.25">
      <c r="A793" s="7">
        <v>1.6918607571602372E-2</v>
      </c>
      <c r="B793"/>
      <c r="C793"/>
      <c r="D793"/>
      <c r="E793"/>
      <c r="F793" s="27" t="s">
        <v>7</v>
      </c>
      <c r="K793" s="27" t="s">
        <v>8</v>
      </c>
      <c r="L793" s="27" t="s">
        <v>7</v>
      </c>
      <c r="AQ793" s="27" t="s">
        <v>8</v>
      </c>
      <c r="AR793" s="27" t="s">
        <v>7</v>
      </c>
      <c r="BA793" s="27" t="s">
        <v>8</v>
      </c>
      <c r="BB793" s="27" t="s">
        <v>7</v>
      </c>
      <c r="BC793" s="27" t="s">
        <v>8</v>
      </c>
      <c r="BD793" s="27" t="s">
        <v>7</v>
      </c>
      <c r="BE793" s="27" t="s">
        <v>8</v>
      </c>
      <c r="BG793" s="27" t="s">
        <v>8</v>
      </c>
      <c r="BJ793" s="27" t="s">
        <v>7</v>
      </c>
      <c r="BK793" s="27" t="s">
        <v>8</v>
      </c>
      <c r="BL793" s="27" t="s">
        <v>7</v>
      </c>
      <c r="BM793" s="27" t="s">
        <v>8</v>
      </c>
      <c r="BN793" s="27" t="s">
        <v>7</v>
      </c>
      <c r="BO793" s="27" t="s">
        <v>8</v>
      </c>
      <c r="BZ793" s="27" t="s">
        <v>7</v>
      </c>
      <c r="CA793" s="27" t="s">
        <v>8</v>
      </c>
      <c r="CJ793" s="27" t="s">
        <v>7</v>
      </c>
      <c r="CK793" s="27" t="s">
        <v>8</v>
      </c>
      <c r="CN793" s="27" t="s">
        <v>7</v>
      </c>
      <c r="CO793" s="27" t="s">
        <v>8</v>
      </c>
      <c r="CP793" s="27" t="s">
        <v>7</v>
      </c>
      <c r="CV793" s="27" t="s">
        <v>7</v>
      </c>
      <c r="CW793" s="27" t="s">
        <v>8</v>
      </c>
      <c r="CX793" s="27" t="s">
        <v>7</v>
      </c>
      <c r="DC793" s="27" t="s">
        <v>8</v>
      </c>
      <c r="DD793" s="27" t="s">
        <v>7</v>
      </c>
      <c r="DE793" s="27" t="s">
        <v>8</v>
      </c>
      <c r="DF793" s="27" t="s">
        <v>7</v>
      </c>
      <c r="DG793" s="27" t="s">
        <v>8</v>
      </c>
      <c r="DH793" s="27" t="s">
        <v>7</v>
      </c>
      <c r="DK793" s="27" t="s">
        <v>8</v>
      </c>
      <c r="DL793" s="27" t="s">
        <v>7</v>
      </c>
      <c r="DM793" s="27" t="s">
        <v>8</v>
      </c>
      <c r="DN793" s="27" t="s">
        <v>7</v>
      </c>
      <c r="DO793" s="27" t="s">
        <v>8</v>
      </c>
      <c r="DP793" s="27" t="s">
        <v>7</v>
      </c>
      <c r="DQ793" s="27" t="s">
        <v>8</v>
      </c>
      <c r="DU793" s="27" t="s">
        <v>8</v>
      </c>
      <c r="DV793" s="27" t="s">
        <v>7</v>
      </c>
      <c r="ED793" s="27" t="s">
        <v>7</v>
      </c>
      <c r="EG793" s="27" t="s">
        <v>8</v>
      </c>
      <c r="EH793" s="27" t="s">
        <v>7</v>
      </c>
      <c r="EI793" s="27" t="s">
        <v>8</v>
      </c>
      <c r="EJ793" s="27" t="s">
        <v>7</v>
      </c>
      <c r="EK793" s="27" t="s">
        <v>8</v>
      </c>
      <c r="EL793" s="27" t="s">
        <v>7</v>
      </c>
      <c r="EM793" s="27" t="s">
        <v>8</v>
      </c>
      <c r="EN793" s="27" t="s">
        <v>7</v>
      </c>
      <c r="EO793" s="27" t="s">
        <v>8</v>
      </c>
    </row>
    <row r="794" spans="1:150" x14ac:dyDescent="0.25">
      <c r="A794" s="7">
        <v>1.6586870168237622E-2</v>
      </c>
      <c r="B794"/>
      <c r="C794"/>
      <c r="D794"/>
      <c r="E794"/>
      <c r="F794" s="27" t="s">
        <v>7</v>
      </c>
      <c r="G794" s="27" t="s">
        <v>8</v>
      </c>
      <c r="K794" s="27" t="s">
        <v>8</v>
      </c>
      <c r="L794" s="27" t="s">
        <v>7</v>
      </c>
      <c r="AQ794" s="27" t="s">
        <v>8</v>
      </c>
      <c r="AR794" s="27" t="s">
        <v>7</v>
      </c>
      <c r="BA794" s="27" t="s">
        <v>8</v>
      </c>
      <c r="BB794" s="27" t="s">
        <v>7</v>
      </c>
      <c r="BC794" s="27" t="s">
        <v>8</v>
      </c>
      <c r="BD794" s="27" t="s">
        <v>7</v>
      </c>
      <c r="BE794" s="27" t="s">
        <v>8</v>
      </c>
      <c r="BF794" s="27" t="s">
        <v>7</v>
      </c>
      <c r="BG794" s="27" t="s">
        <v>8</v>
      </c>
      <c r="BJ794" s="27" t="s">
        <v>7</v>
      </c>
      <c r="BK794" s="27" t="s">
        <v>8</v>
      </c>
      <c r="BL794" s="27" t="s">
        <v>7</v>
      </c>
      <c r="BM794" s="27" t="s">
        <v>8</v>
      </c>
      <c r="BN794" s="27" t="s">
        <v>7</v>
      </c>
      <c r="BO794" s="27" t="s">
        <v>8</v>
      </c>
      <c r="BZ794" s="27" t="s">
        <v>7</v>
      </c>
      <c r="CA794" s="27" t="s">
        <v>8</v>
      </c>
      <c r="CJ794" s="27" t="s">
        <v>7</v>
      </c>
      <c r="CK794" s="27" t="s">
        <v>8</v>
      </c>
      <c r="CN794" s="27" t="s">
        <v>7</v>
      </c>
      <c r="CO794" s="27" t="s">
        <v>8</v>
      </c>
      <c r="CV794" s="27" t="s">
        <v>7</v>
      </c>
      <c r="CW794" s="27" t="s">
        <v>8</v>
      </c>
      <c r="CX794" s="27" t="s">
        <v>7</v>
      </c>
      <c r="DC794" s="27" t="s">
        <v>8</v>
      </c>
      <c r="DD794" s="27" t="s">
        <v>7</v>
      </c>
      <c r="DE794" s="27" t="s">
        <v>8</v>
      </c>
      <c r="DF794" s="27" t="s">
        <v>7</v>
      </c>
      <c r="DG794" s="27" t="s">
        <v>8</v>
      </c>
      <c r="DH794" s="27" t="s">
        <v>7</v>
      </c>
      <c r="DK794" s="27" t="s">
        <v>8</v>
      </c>
      <c r="DL794" s="27" t="s">
        <v>7</v>
      </c>
      <c r="DM794" s="27" t="s">
        <v>8</v>
      </c>
      <c r="DN794" s="27" t="s">
        <v>7</v>
      </c>
      <c r="DO794" s="27" t="s">
        <v>8</v>
      </c>
      <c r="DP794" s="27" t="s">
        <v>7</v>
      </c>
      <c r="DQ794" s="27" t="s">
        <v>8</v>
      </c>
      <c r="DR794" s="27" t="s">
        <v>7</v>
      </c>
      <c r="DS794" s="27" t="s">
        <v>8</v>
      </c>
      <c r="DU794" s="27" t="s">
        <v>8</v>
      </c>
      <c r="ED794" s="27" t="s">
        <v>7</v>
      </c>
      <c r="EE794" s="27" t="s">
        <v>8</v>
      </c>
      <c r="EG794" s="27" t="s">
        <v>8</v>
      </c>
      <c r="EH794" s="27" t="s">
        <v>7</v>
      </c>
      <c r="EI794" s="27" t="s">
        <v>8</v>
      </c>
      <c r="EJ794" s="27" t="s">
        <v>7</v>
      </c>
      <c r="EK794" s="27" t="s">
        <v>8</v>
      </c>
      <c r="EL794" s="27" t="s">
        <v>7</v>
      </c>
      <c r="EM794" s="27" t="s">
        <v>8</v>
      </c>
      <c r="EN794" s="27" t="s">
        <v>7</v>
      </c>
      <c r="EO794" s="27" t="s">
        <v>8</v>
      </c>
    </row>
    <row r="795" spans="1:150" x14ac:dyDescent="0.25">
      <c r="A795" s="7">
        <v>1.6261637419840807E-2</v>
      </c>
      <c r="B795"/>
      <c r="C795"/>
      <c r="D795"/>
      <c r="E795"/>
      <c r="F795" s="27" t="s">
        <v>7</v>
      </c>
      <c r="G795" s="27" t="s">
        <v>8</v>
      </c>
      <c r="H795" s="27" t="s">
        <v>7</v>
      </c>
      <c r="K795" s="27" t="s">
        <v>8</v>
      </c>
      <c r="L795" s="27" t="s">
        <v>7</v>
      </c>
      <c r="AQ795" s="27" t="s">
        <v>8</v>
      </c>
      <c r="AR795" s="27" t="s">
        <v>7</v>
      </c>
      <c r="AS795" s="27" t="s">
        <v>8</v>
      </c>
      <c r="BA795" s="27" t="s">
        <v>8</v>
      </c>
      <c r="BB795" s="27" t="s">
        <v>7</v>
      </c>
      <c r="BD795" s="27" t="s">
        <v>7</v>
      </c>
      <c r="BE795" s="27" t="s">
        <v>8</v>
      </c>
      <c r="BF795" s="27" t="s">
        <v>7</v>
      </c>
      <c r="BG795" s="27" t="s">
        <v>8</v>
      </c>
      <c r="BJ795" s="27" t="s">
        <v>7</v>
      </c>
      <c r="BK795" s="27" t="s">
        <v>8</v>
      </c>
      <c r="BL795" s="27" t="s">
        <v>7</v>
      </c>
      <c r="BM795" s="27" t="s">
        <v>8</v>
      </c>
      <c r="BN795" s="27" t="s">
        <v>7</v>
      </c>
      <c r="BZ795" s="27" t="s">
        <v>7</v>
      </c>
      <c r="CA795" s="27" t="s">
        <v>8</v>
      </c>
      <c r="CJ795" s="27" t="s">
        <v>7</v>
      </c>
      <c r="CK795" s="27" t="s">
        <v>8</v>
      </c>
      <c r="CN795" s="27" t="s">
        <v>7</v>
      </c>
      <c r="CV795" s="27" t="s">
        <v>7</v>
      </c>
      <c r="CW795" s="27" t="s">
        <v>8</v>
      </c>
      <c r="CX795" s="27" t="s">
        <v>7</v>
      </c>
      <c r="DC795" s="27" t="s">
        <v>8</v>
      </c>
      <c r="DD795" s="27" t="s">
        <v>7</v>
      </c>
      <c r="DE795" s="27" t="s">
        <v>8</v>
      </c>
      <c r="DF795" s="27" t="s">
        <v>7</v>
      </c>
      <c r="DG795" s="27" t="s">
        <v>8</v>
      </c>
      <c r="DH795" s="27" t="s">
        <v>7</v>
      </c>
      <c r="DI795" s="27" t="s">
        <v>8</v>
      </c>
      <c r="DK795" s="27" t="s">
        <v>8</v>
      </c>
      <c r="DL795" s="27" t="s">
        <v>7</v>
      </c>
      <c r="DM795" s="27" t="s">
        <v>8</v>
      </c>
      <c r="DN795" s="27" t="s">
        <v>7</v>
      </c>
      <c r="DP795" s="27" t="s">
        <v>7</v>
      </c>
      <c r="DQ795" s="27" t="s">
        <v>8</v>
      </c>
      <c r="DR795" s="27" t="s">
        <v>7</v>
      </c>
      <c r="DS795" s="27" t="s">
        <v>8</v>
      </c>
      <c r="DT795" s="27" t="s">
        <v>7</v>
      </c>
      <c r="DU795" s="27" t="s">
        <v>8</v>
      </c>
      <c r="ED795" s="27" t="s">
        <v>7</v>
      </c>
      <c r="EE795" s="27" t="s">
        <v>8</v>
      </c>
      <c r="EF795" s="27" t="s">
        <v>7</v>
      </c>
      <c r="EG795" s="27" t="s">
        <v>8</v>
      </c>
      <c r="EH795" s="27" t="s">
        <v>7</v>
      </c>
      <c r="EI795" s="27" t="s">
        <v>8</v>
      </c>
      <c r="EJ795" s="27" t="s">
        <v>7</v>
      </c>
      <c r="EK795" s="27" t="s">
        <v>8</v>
      </c>
      <c r="EL795" s="27" t="s">
        <v>7</v>
      </c>
      <c r="EN795" s="27" t="s">
        <v>7</v>
      </c>
      <c r="EO795" s="27" t="s">
        <v>8</v>
      </c>
    </row>
    <row r="796" spans="1:150" x14ac:dyDescent="0.25">
      <c r="A796" s="7">
        <v>1.5942781784157655E-2</v>
      </c>
      <c r="B796"/>
      <c r="C796"/>
      <c r="D796"/>
      <c r="E796"/>
      <c r="F796" s="27" t="s">
        <v>7</v>
      </c>
      <c r="G796" s="27" t="s">
        <v>8</v>
      </c>
      <c r="H796" s="27" t="s">
        <v>7</v>
      </c>
      <c r="I796" s="27" t="s">
        <v>8</v>
      </c>
      <c r="K796" s="27" t="s">
        <v>8</v>
      </c>
      <c r="L796" s="27" t="s">
        <v>7</v>
      </c>
      <c r="AQ796" s="27" t="s">
        <v>8</v>
      </c>
      <c r="AR796" s="27" t="s">
        <v>7</v>
      </c>
      <c r="AS796" s="27" t="s">
        <v>8</v>
      </c>
      <c r="AT796" s="27" t="s">
        <v>7</v>
      </c>
      <c r="BA796" s="27" t="s">
        <v>8</v>
      </c>
      <c r="BD796" s="27" t="s">
        <v>7</v>
      </c>
      <c r="BE796" s="27" t="s">
        <v>8</v>
      </c>
      <c r="BF796" s="27" t="s">
        <v>7</v>
      </c>
      <c r="BJ796" s="27" t="s">
        <v>7</v>
      </c>
      <c r="BK796" s="27" t="s">
        <v>8</v>
      </c>
      <c r="BL796" s="27" t="s">
        <v>7</v>
      </c>
      <c r="BZ796" s="27" t="s">
        <v>7</v>
      </c>
      <c r="CA796" s="27" t="s">
        <v>8</v>
      </c>
      <c r="CJ796" s="27" t="s">
        <v>7</v>
      </c>
      <c r="CV796" s="27" t="s">
        <v>7</v>
      </c>
      <c r="CX796" s="27" t="s">
        <v>7</v>
      </c>
      <c r="DA796" s="27" t="s">
        <v>8</v>
      </c>
      <c r="DC796" s="27" t="s">
        <v>8</v>
      </c>
      <c r="DD796" s="27" t="s">
        <v>7</v>
      </c>
      <c r="DE796" s="27" t="s">
        <v>8</v>
      </c>
      <c r="DF796" s="27" t="s">
        <v>7</v>
      </c>
      <c r="DG796" s="27" t="s">
        <v>8</v>
      </c>
      <c r="DH796" s="27" t="s">
        <v>7</v>
      </c>
      <c r="DI796" s="27" t="s">
        <v>8</v>
      </c>
      <c r="DJ796" s="27" t="s">
        <v>7</v>
      </c>
      <c r="DK796" s="27" t="s">
        <v>8</v>
      </c>
      <c r="DL796" s="27" t="s">
        <v>7</v>
      </c>
      <c r="DM796" s="27" t="s">
        <v>8</v>
      </c>
      <c r="DP796" s="27" t="s">
        <v>7</v>
      </c>
      <c r="DQ796" s="27" t="s">
        <v>8</v>
      </c>
      <c r="DR796" s="27" t="s">
        <v>7</v>
      </c>
      <c r="DS796" s="27" t="s">
        <v>8</v>
      </c>
      <c r="DT796" s="27" t="s">
        <v>7</v>
      </c>
      <c r="DU796" s="27" t="s">
        <v>8</v>
      </c>
      <c r="ED796" s="27" t="s">
        <v>7</v>
      </c>
      <c r="EE796" s="27" t="s">
        <v>8</v>
      </c>
      <c r="EF796" s="27" t="s">
        <v>7</v>
      </c>
      <c r="EG796" s="27" t="s">
        <v>8</v>
      </c>
      <c r="EH796" s="27" t="s">
        <v>7</v>
      </c>
      <c r="EI796" s="27" t="s">
        <v>8</v>
      </c>
      <c r="EJ796" s="27" t="s">
        <v>7</v>
      </c>
      <c r="EK796" s="27" t="s">
        <v>8</v>
      </c>
      <c r="EN796" s="27" t="s">
        <v>7</v>
      </c>
      <c r="EO796" s="27" t="s">
        <v>8</v>
      </c>
    </row>
    <row r="797" spans="1:150" x14ac:dyDescent="0.25">
      <c r="A797" s="7">
        <v>1.5630178219762408E-2</v>
      </c>
      <c r="B797"/>
      <c r="C797"/>
      <c r="D797"/>
      <c r="E797"/>
      <c r="F797" s="27" t="s">
        <v>7</v>
      </c>
      <c r="G797" s="27" t="s">
        <v>8</v>
      </c>
      <c r="H797" s="27" t="s">
        <v>7</v>
      </c>
      <c r="I797" s="27" t="s">
        <v>8</v>
      </c>
      <c r="J797" s="27" t="s">
        <v>7</v>
      </c>
      <c r="K797" s="27" t="s">
        <v>8</v>
      </c>
      <c r="L797" s="27" t="s">
        <v>7</v>
      </c>
      <c r="AQ797" s="27" t="s">
        <v>8</v>
      </c>
      <c r="AR797" s="27" t="s">
        <v>7</v>
      </c>
      <c r="AS797" s="27" t="s">
        <v>8</v>
      </c>
      <c r="AT797" s="27" t="s">
        <v>7</v>
      </c>
      <c r="AU797" s="27" t="s">
        <v>8</v>
      </c>
      <c r="BA797" s="27" t="s">
        <v>8</v>
      </c>
      <c r="BD797" s="27" t="s">
        <v>7</v>
      </c>
      <c r="BE797" s="27" t="s">
        <v>8</v>
      </c>
      <c r="BJ797" s="27" t="s">
        <v>7</v>
      </c>
      <c r="BZ797" s="27" t="s">
        <v>7</v>
      </c>
      <c r="CX797" s="27" t="s">
        <v>7</v>
      </c>
      <c r="DA797" s="27" t="s">
        <v>8</v>
      </c>
      <c r="DB797" s="27" t="s">
        <v>7</v>
      </c>
      <c r="DC797" s="27" t="s">
        <v>8</v>
      </c>
      <c r="DD797" s="27" t="s">
        <v>7</v>
      </c>
      <c r="DE797" s="27" t="s">
        <v>8</v>
      </c>
      <c r="DF797" s="27" t="s">
        <v>7</v>
      </c>
      <c r="DG797" s="27" t="s">
        <v>8</v>
      </c>
      <c r="DH797" s="27" t="s">
        <v>7</v>
      </c>
      <c r="DI797" s="27" t="s">
        <v>8</v>
      </c>
      <c r="DJ797" s="27" t="s">
        <v>7</v>
      </c>
      <c r="DK797" s="27" t="s">
        <v>8</v>
      </c>
      <c r="DL797" s="27" t="s">
        <v>7</v>
      </c>
      <c r="DM797" s="27" t="s">
        <v>8</v>
      </c>
      <c r="DP797" s="27" t="s">
        <v>7</v>
      </c>
      <c r="DR797" s="27" t="s">
        <v>7</v>
      </c>
      <c r="DS797" s="27" t="s">
        <v>8</v>
      </c>
      <c r="DT797" s="27" t="s">
        <v>7</v>
      </c>
      <c r="DU797" s="27" t="s">
        <v>8</v>
      </c>
      <c r="ED797" s="27" t="s">
        <v>7</v>
      </c>
      <c r="EE797" s="27" t="s">
        <v>8</v>
      </c>
      <c r="EF797" s="27" t="s">
        <v>7</v>
      </c>
      <c r="EH797" s="27" t="s">
        <v>7</v>
      </c>
      <c r="EI797" s="27" t="s">
        <v>8</v>
      </c>
      <c r="EJ797" s="27" t="s">
        <v>7</v>
      </c>
      <c r="EK797" s="27" t="s">
        <v>8</v>
      </c>
      <c r="EN797" s="27" t="s">
        <v>7</v>
      </c>
      <c r="EO797" s="27" t="s">
        <v>8</v>
      </c>
    </row>
    <row r="798" spans="1:150" x14ac:dyDescent="0.25">
      <c r="A798" s="7">
        <v>1.5323704137021967E-2</v>
      </c>
      <c r="B798"/>
      <c r="C798"/>
      <c r="D798"/>
      <c r="E798"/>
      <c r="F798" s="27" t="s">
        <v>7</v>
      </c>
      <c r="G798" s="27" t="s">
        <v>8</v>
      </c>
      <c r="H798" s="27" t="s">
        <v>7</v>
      </c>
      <c r="I798" s="27" t="s">
        <v>8</v>
      </c>
      <c r="J798" s="27" t="s">
        <v>7</v>
      </c>
      <c r="K798" s="27" t="s">
        <v>8</v>
      </c>
      <c r="L798" s="27" t="s">
        <v>7</v>
      </c>
      <c r="AQ798" s="27" t="s">
        <v>8</v>
      </c>
      <c r="AR798" s="27" t="s">
        <v>7</v>
      </c>
      <c r="AS798" s="27" t="s">
        <v>8</v>
      </c>
      <c r="AT798" s="27" t="s">
        <v>7</v>
      </c>
      <c r="AU798" s="27" t="s">
        <v>8</v>
      </c>
      <c r="AV798" s="27" t="s">
        <v>7</v>
      </c>
      <c r="BA798" s="27" t="s">
        <v>8</v>
      </c>
      <c r="BD798" s="27" t="s">
        <v>7</v>
      </c>
      <c r="CX798" s="27" t="s">
        <v>7</v>
      </c>
      <c r="CY798" s="27" t="s">
        <v>8</v>
      </c>
      <c r="DA798" s="27" t="s">
        <v>8</v>
      </c>
      <c r="DB798" s="27" t="s">
        <v>7</v>
      </c>
      <c r="DC798" s="27" t="s">
        <v>8</v>
      </c>
      <c r="DD798" s="27" t="s">
        <v>7</v>
      </c>
      <c r="DF798" s="27" t="s">
        <v>7</v>
      </c>
      <c r="DH798" s="27" t="s">
        <v>7</v>
      </c>
      <c r="DI798" s="27" t="s">
        <v>8</v>
      </c>
      <c r="DJ798" s="27" t="s">
        <v>7</v>
      </c>
      <c r="DL798" s="27" t="s">
        <v>7</v>
      </c>
      <c r="DM798" s="27" t="s">
        <v>8</v>
      </c>
      <c r="DR798" s="27" t="s">
        <v>7</v>
      </c>
      <c r="DS798" s="27" t="s">
        <v>8</v>
      </c>
      <c r="DT798" s="27" t="s">
        <v>7</v>
      </c>
      <c r="ED798" s="27" t="s">
        <v>7</v>
      </c>
      <c r="EE798" s="27" t="s">
        <v>8</v>
      </c>
      <c r="EH798" s="27" t="s">
        <v>7</v>
      </c>
      <c r="EJ798" s="27" t="s">
        <v>7</v>
      </c>
      <c r="EK798" s="27" t="s">
        <v>8</v>
      </c>
      <c r="EN798" s="27" t="s">
        <v>7</v>
      </c>
      <c r="EO798" s="27" t="s">
        <v>8</v>
      </c>
    </row>
    <row r="799" spans="1:150" x14ac:dyDescent="0.25">
      <c r="A799" s="7">
        <v>1.5023239350021535E-2</v>
      </c>
      <c r="B799"/>
      <c r="C799"/>
      <c r="D799"/>
      <c r="E799"/>
      <c r="F799" s="27" t="s">
        <v>7</v>
      </c>
      <c r="G799" s="27" t="s">
        <v>8</v>
      </c>
      <c r="H799" s="27" t="s">
        <v>7</v>
      </c>
      <c r="I799" s="27" t="s">
        <v>8</v>
      </c>
      <c r="J799" s="27" t="s">
        <v>7</v>
      </c>
      <c r="K799" s="27" t="s">
        <v>8</v>
      </c>
      <c r="L799" s="27" t="s">
        <v>7</v>
      </c>
      <c r="M799" s="27" t="s">
        <v>8</v>
      </c>
      <c r="AQ799" s="27" t="s">
        <v>8</v>
      </c>
      <c r="AR799" s="27" t="s">
        <v>7</v>
      </c>
      <c r="AS799" s="27" t="s">
        <v>8</v>
      </c>
      <c r="AT799" s="27" t="s">
        <v>7</v>
      </c>
      <c r="AU799" s="27" t="s">
        <v>8</v>
      </c>
      <c r="AV799" s="27" t="s">
        <v>7</v>
      </c>
      <c r="BA799" s="27" t="s">
        <v>8</v>
      </c>
      <c r="CX799" s="27" t="s">
        <v>7</v>
      </c>
      <c r="CY799" s="27" t="s">
        <v>8</v>
      </c>
      <c r="CZ799" s="27" t="s">
        <v>7</v>
      </c>
      <c r="DA799" s="27" t="s">
        <v>8</v>
      </c>
      <c r="DB799" s="27" t="s">
        <v>7</v>
      </c>
      <c r="DC799" s="27" t="s">
        <v>8</v>
      </c>
      <c r="DH799" s="27" t="s">
        <v>7</v>
      </c>
      <c r="DI799" s="27" t="s">
        <v>8</v>
      </c>
      <c r="DL799" s="27" t="s">
        <v>7</v>
      </c>
      <c r="DM799" s="27" t="s">
        <v>8</v>
      </c>
      <c r="DR799" s="27" t="s">
        <v>7</v>
      </c>
      <c r="ED799" s="27" t="s">
        <v>7</v>
      </c>
      <c r="EE799" s="27" t="s">
        <v>8</v>
      </c>
      <c r="EJ799" s="27" t="s">
        <v>7</v>
      </c>
      <c r="EN799" s="27" t="s">
        <v>7</v>
      </c>
    </row>
    <row r="800" spans="1:150" x14ac:dyDescent="0.25">
      <c r="A800" s="7">
        <v>1.4728666029432878E-2</v>
      </c>
      <c r="B800"/>
      <c r="C800"/>
      <c r="D800"/>
      <c r="E800"/>
      <c r="F800" s="27" t="s">
        <v>7</v>
      </c>
      <c r="G800" s="27" t="s">
        <v>8</v>
      </c>
      <c r="H800" s="27" t="s">
        <v>7</v>
      </c>
      <c r="I800" s="27" t="s">
        <v>8</v>
      </c>
      <c r="J800" s="27" t="s">
        <v>7</v>
      </c>
      <c r="K800" s="27" t="s">
        <v>8</v>
      </c>
      <c r="L800" s="27" t="s">
        <v>7</v>
      </c>
      <c r="M800" s="27" t="s">
        <v>8</v>
      </c>
      <c r="N800" s="27" t="s">
        <v>7</v>
      </c>
      <c r="O800" s="27" t="s">
        <v>8</v>
      </c>
      <c r="AM800" s="27" t="s">
        <v>8</v>
      </c>
      <c r="AQ800" s="27" t="s">
        <v>8</v>
      </c>
      <c r="AR800" s="27" t="s">
        <v>7</v>
      </c>
      <c r="AT800" s="27" t="s">
        <v>7</v>
      </c>
      <c r="AU800" s="27" t="s">
        <v>8</v>
      </c>
      <c r="AV800" s="27" t="s">
        <v>7</v>
      </c>
      <c r="BA800" s="27" t="s">
        <v>8</v>
      </c>
      <c r="CX800" s="27" t="s">
        <v>7</v>
      </c>
      <c r="CY800" s="27" t="s">
        <v>8</v>
      </c>
      <c r="CZ800" s="27" t="s">
        <v>7</v>
      </c>
      <c r="DA800" s="27" t="s">
        <v>8</v>
      </c>
      <c r="DB800" s="27" t="s">
        <v>7</v>
      </c>
      <c r="DC800" s="27" t="s">
        <v>8</v>
      </c>
      <c r="DH800" s="27" t="s">
        <v>7</v>
      </c>
      <c r="DL800" s="27" t="s">
        <v>7</v>
      </c>
      <c r="DM800" s="27" t="s">
        <v>8</v>
      </c>
      <c r="ED800" s="27" t="s">
        <v>7</v>
      </c>
    </row>
    <row r="801" spans="1:117" x14ac:dyDescent="0.25">
      <c r="A801" s="7">
        <v>1.4439868656306743E-2</v>
      </c>
      <c r="B801"/>
      <c r="C801"/>
      <c r="D801"/>
      <c r="E801"/>
      <c r="F801" s="27" t="s">
        <v>7</v>
      </c>
      <c r="G801" s="27" t="s">
        <v>8</v>
      </c>
      <c r="H801" s="27" t="s">
        <v>7</v>
      </c>
      <c r="I801" s="27" t="s">
        <v>8</v>
      </c>
      <c r="J801" s="27" t="s">
        <v>7</v>
      </c>
      <c r="K801" s="27" t="s">
        <v>8</v>
      </c>
      <c r="L801" s="27" t="s">
        <v>7</v>
      </c>
      <c r="M801" s="27" t="s">
        <v>8</v>
      </c>
      <c r="N801" s="27" t="s">
        <v>7</v>
      </c>
      <c r="O801" s="27" t="s">
        <v>8</v>
      </c>
      <c r="P801" s="27" t="s">
        <v>7</v>
      </c>
      <c r="AM801" s="27" t="s">
        <v>8</v>
      </c>
      <c r="AN801" s="27" t="s">
        <v>7</v>
      </c>
      <c r="AQ801" s="27" t="s">
        <v>8</v>
      </c>
      <c r="AT801" s="27" t="s">
        <v>7</v>
      </c>
      <c r="AU801" s="27" t="s">
        <v>8</v>
      </c>
      <c r="AV801" s="27" t="s">
        <v>7</v>
      </c>
      <c r="BA801" s="27" t="s">
        <v>8</v>
      </c>
      <c r="CX801" s="27" t="s">
        <v>7</v>
      </c>
      <c r="CY801" s="27" t="s">
        <v>8</v>
      </c>
      <c r="CZ801" s="27" t="s">
        <v>7</v>
      </c>
      <c r="DA801" s="27" t="s">
        <v>8</v>
      </c>
      <c r="DB801" s="27" t="s">
        <v>7</v>
      </c>
      <c r="DL801" s="27" t="s">
        <v>7</v>
      </c>
      <c r="DM801" s="27" t="s">
        <v>8</v>
      </c>
    </row>
    <row r="802" spans="1:117" x14ac:dyDescent="0.25">
      <c r="A802" s="7">
        <v>1.4156733976771318E-2</v>
      </c>
      <c r="B802"/>
      <c r="C802"/>
      <c r="D802"/>
      <c r="E802"/>
      <c r="F802" s="27" t="s">
        <v>7</v>
      </c>
      <c r="G802" s="27" t="s">
        <v>8</v>
      </c>
      <c r="H802" s="27" t="s">
        <v>7</v>
      </c>
      <c r="J802" s="27" t="s">
        <v>7</v>
      </c>
      <c r="K802" s="27" t="s">
        <v>8</v>
      </c>
      <c r="L802" s="27" t="s">
        <v>7</v>
      </c>
      <c r="N802" s="27" t="s">
        <v>7</v>
      </c>
      <c r="O802" s="27" t="s">
        <v>8</v>
      </c>
      <c r="P802" s="27" t="s">
        <v>7</v>
      </c>
      <c r="AM802" s="27" t="s">
        <v>8</v>
      </c>
      <c r="AN802" s="27" t="s">
        <v>7</v>
      </c>
      <c r="AO802" s="27" t="s">
        <v>8</v>
      </c>
      <c r="AQ802" s="27" t="s">
        <v>8</v>
      </c>
      <c r="AT802" s="27" t="s">
        <v>7</v>
      </c>
      <c r="AV802" s="27" t="s">
        <v>7</v>
      </c>
      <c r="AW802" s="27" t="s">
        <v>8</v>
      </c>
      <c r="AY802" s="27" t="s">
        <v>8</v>
      </c>
      <c r="BA802" s="27" t="s">
        <v>8</v>
      </c>
      <c r="CX802" s="27" t="s">
        <v>7</v>
      </c>
      <c r="CZ802" s="27" t="s">
        <v>7</v>
      </c>
      <c r="DA802" s="27" t="s">
        <v>8</v>
      </c>
      <c r="DL802" s="27" t="s">
        <v>7</v>
      </c>
    </row>
    <row r="803" spans="1:117" x14ac:dyDescent="0.25">
      <c r="A803" s="7">
        <v>1.3879150957618939E-2</v>
      </c>
      <c r="B803"/>
      <c r="C803"/>
      <c r="D803"/>
      <c r="E803"/>
      <c r="F803" s="27" t="s">
        <v>7</v>
      </c>
      <c r="J803" s="27" t="s">
        <v>7</v>
      </c>
      <c r="N803" s="27" t="s">
        <v>7</v>
      </c>
      <c r="P803" s="27" t="s">
        <v>7</v>
      </c>
      <c r="AK803" s="27" t="s">
        <v>8</v>
      </c>
      <c r="AM803" s="27" t="s">
        <v>8</v>
      </c>
      <c r="AN803" s="27" t="s">
        <v>7</v>
      </c>
      <c r="AO803" s="27" t="s">
        <v>8</v>
      </c>
      <c r="AP803" s="27" t="s">
        <v>7</v>
      </c>
      <c r="AQ803" s="27" t="s">
        <v>8</v>
      </c>
      <c r="AV803" s="27" t="s">
        <v>7</v>
      </c>
      <c r="AW803" s="27" t="s">
        <v>8</v>
      </c>
      <c r="AX803" s="27" t="s">
        <v>7</v>
      </c>
      <c r="AY803" s="27" t="s">
        <v>8</v>
      </c>
      <c r="AZ803" s="27" t="s">
        <v>7</v>
      </c>
      <c r="BA803" s="27" t="s">
        <v>8</v>
      </c>
      <c r="CZ803" s="27" t="s">
        <v>7</v>
      </c>
      <c r="DA803" s="27" t="s">
        <v>8</v>
      </c>
    </row>
    <row r="804" spans="1:117" x14ac:dyDescent="0.25">
      <c r="A804" s="7">
        <v>1.3607010742763666E-2</v>
      </c>
      <c r="B804"/>
      <c r="C804"/>
      <c r="D804"/>
      <c r="E804"/>
      <c r="P804" s="27" t="s">
        <v>7</v>
      </c>
      <c r="AK804" s="27" t="s">
        <v>8</v>
      </c>
      <c r="AL804" s="27" t="s">
        <v>7</v>
      </c>
      <c r="AM804" s="27" t="s">
        <v>8</v>
      </c>
      <c r="AN804" s="27" t="s">
        <v>7</v>
      </c>
      <c r="AO804" s="27" t="s">
        <v>8</v>
      </c>
      <c r="AP804" s="27" t="s">
        <v>7</v>
      </c>
      <c r="AQ804" s="27" t="s">
        <v>8</v>
      </c>
      <c r="AV804" s="27" t="s">
        <v>7</v>
      </c>
      <c r="AW804" s="27" t="s">
        <v>8</v>
      </c>
      <c r="AX804" s="27" t="s">
        <v>7</v>
      </c>
      <c r="AY804" s="27" t="s">
        <v>8</v>
      </c>
      <c r="AZ804" s="27" t="s">
        <v>7</v>
      </c>
      <c r="BA804" s="27" t="s">
        <v>8</v>
      </c>
      <c r="CZ804" s="27" t="s">
        <v>7</v>
      </c>
    </row>
    <row r="805" spans="1:117" x14ac:dyDescent="0.25">
      <c r="A805" s="7">
        <v>1.3340206610552614E-2</v>
      </c>
      <c r="B805"/>
      <c r="C805"/>
      <c r="D805"/>
      <c r="E805"/>
      <c r="P805" s="27" t="s">
        <v>7</v>
      </c>
      <c r="AK805" s="27" t="s">
        <v>8</v>
      </c>
      <c r="AL805" s="27" t="s">
        <v>7</v>
      </c>
      <c r="AM805" s="27" t="s">
        <v>8</v>
      </c>
      <c r="AN805" s="27" t="s">
        <v>7</v>
      </c>
      <c r="AP805" s="27" t="s">
        <v>7</v>
      </c>
      <c r="AQ805" s="27" t="s">
        <v>8</v>
      </c>
      <c r="AV805" s="27" t="s">
        <v>7</v>
      </c>
      <c r="AW805" s="27" t="s">
        <v>8</v>
      </c>
      <c r="AX805" s="27" t="s">
        <v>7</v>
      </c>
      <c r="AY805" s="27" t="s">
        <v>8</v>
      </c>
      <c r="AZ805" s="27" t="s">
        <v>7</v>
      </c>
      <c r="BA805" s="27" t="s">
        <v>8</v>
      </c>
    </row>
    <row r="806" spans="1:117" x14ac:dyDescent="0.25">
      <c r="A806" s="7">
        <v>1.3078633931914328E-2</v>
      </c>
      <c r="B806"/>
      <c r="C806"/>
      <c r="D806"/>
      <c r="E806"/>
      <c r="P806" s="27" t="s">
        <v>7</v>
      </c>
      <c r="AK806" s="27" t="s">
        <v>8</v>
      </c>
      <c r="AL806" s="27" t="s">
        <v>7</v>
      </c>
      <c r="AP806" s="27" t="s">
        <v>7</v>
      </c>
      <c r="AQ806" s="27" t="s">
        <v>8</v>
      </c>
      <c r="AV806" s="27" t="s">
        <v>7</v>
      </c>
      <c r="AW806" s="27" t="s">
        <v>8</v>
      </c>
      <c r="AX806" s="27" t="s">
        <v>7</v>
      </c>
      <c r="AY806" s="27" t="s">
        <v>8</v>
      </c>
      <c r="AZ806" s="27" t="s">
        <v>7</v>
      </c>
    </row>
    <row r="807" spans="1:117" x14ac:dyDescent="0.25">
      <c r="A807" s="7">
        <v>1.2822190129327771E-2</v>
      </c>
      <c r="B807"/>
      <c r="C807"/>
      <c r="D807"/>
      <c r="E807"/>
      <c r="P807" s="27" t="s">
        <v>7</v>
      </c>
      <c r="AG807" s="27" t="s">
        <v>8</v>
      </c>
      <c r="AI807" s="27" t="s">
        <v>8</v>
      </c>
      <c r="AK807" s="27" t="s">
        <v>8</v>
      </c>
      <c r="AP807" s="27" t="s">
        <v>7</v>
      </c>
      <c r="AQ807" s="27" t="s">
        <v>8</v>
      </c>
      <c r="AV807" s="27" t="s">
        <v>7</v>
      </c>
      <c r="AX807" s="27" t="s">
        <v>7</v>
      </c>
      <c r="AY807" s="27" t="s">
        <v>8</v>
      </c>
    </row>
    <row r="808" spans="1:117" x14ac:dyDescent="0.25">
      <c r="A808" s="7">
        <v>1.2570774636595854E-2</v>
      </c>
      <c r="B808"/>
      <c r="C808"/>
      <c r="D808"/>
      <c r="E808"/>
      <c r="P808" s="27" t="s">
        <v>7</v>
      </c>
      <c r="Q808" s="27" t="s">
        <v>8</v>
      </c>
      <c r="S808" s="27" t="s">
        <v>8</v>
      </c>
      <c r="W808" s="27" t="s">
        <v>8</v>
      </c>
      <c r="AE808" s="27" t="s">
        <v>8</v>
      </c>
      <c r="AG808" s="27" t="s">
        <v>8</v>
      </c>
      <c r="AH808" s="27" t="s">
        <v>7</v>
      </c>
      <c r="AI808" s="27" t="s">
        <v>8</v>
      </c>
      <c r="AJ808" s="27" t="s">
        <v>7</v>
      </c>
      <c r="AK808" s="27" t="s">
        <v>8</v>
      </c>
      <c r="AP808" s="27" t="s">
        <v>7</v>
      </c>
      <c r="AQ808" s="27" t="s">
        <v>8</v>
      </c>
      <c r="AX808" s="27" t="s">
        <v>7</v>
      </c>
    </row>
    <row r="809" spans="1:117" x14ac:dyDescent="0.25">
      <c r="A809" s="7">
        <v>1.23242888594077E-2</v>
      </c>
      <c r="B809"/>
      <c r="C809"/>
      <c r="D809"/>
      <c r="E809"/>
      <c r="P809" s="27" t="s">
        <v>7</v>
      </c>
      <c r="Q809" s="27" t="s">
        <v>8</v>
      </c>
      <c r="R809" s="27" t="s">
        <v>7</v>
      </c>
      <c r="S809" s="27" t="s">
        <v>8</v>
      </c>
      <c r="T809" s="27" t="s">
        <v>7</v>
      </c>
      <c r="W809" s="27" t="s">
        <v>8</v>
      </c>
      <c r="X809" s="27" t="s">
        <v>7</v>
      </c>
      <c r="AE809" s="27" t="s">
        <v>8</v>
      </c>
      <c r="AF809" s="27" t="s">
        <v>7</v>
      </c>
      <c r="AG809" s="27" t="s">
        <v>8</v>
      </c>
      <c r="AH809" s="27" t="s">
        <v>7</v>
      </c>
      <c r="AI809" s="27" t="s">
        <v>8</v>
      </c>
      <c r="AJ809" s="27" t="s">
        <v>7</v>
      </c>
      <c r="AK809" s="27" t="s">
        <v>8</v>
      </c>
      <c r="AP809" s="27" t="s">
        <v>7</v>
      </c>
      <c r="AQ809" s="27" t="s">
        <v>8</v>
      </c>
    </row>
    <row r="810" spans="1:117" x14ac:dyDescent="0.25">
      <c r="A810" s="7">
        <v>1.2082636136674216E-2</v>
      </c>
      <c r="B810"/>
      <c r="C810"/>
      <c r="D810"/>
      <c r="E810"/>
      <c r="P810" s="27" t="s">
        <v>7</v>
      </c>
      <c r="Q810" s="27" t="s">
        <v>8</v>
      </c>
      <c r="R810" s="27" t="s">
        <v>7</v>
      </c>
      <c r="S810" s="27" t="s">
        <v>8</v>
      </c>
      <c r="T810" s="27" t="s">
        <v>7</v>
      </c>
      <c r="W810" s="27" t="s">
        <v>8</v>
      </c>
      <c r="X810" s="27" t="s">
        <v>7</v>
      </c>
      <c r="Y810" s="27" t="s">
        <v>8</v>
      </c>
      <c r="AE810" s="27" t="s">
        <v>8</v>
      </c>
      <c r="AF810" s="27" t="s">
        <v>7</v>
      </c>
      <c r="AG810" s="27" t="s">
        <v>8</v>
      </c>
      <c r="AH810" s="27" t="s">
        <v>7</v>
      </c>
      <c r="AI810" s="27" t="s">
        <v>8</v>
      </c>
      <c r="AJ810" s="27" t="s">
        <v>7</v>
      </c>
      <c r="AK810" s="27" t="s">
        <v>8</v>
      </c>
      <c r="AP810" s="27" t="s">
        <v>7</v>
      </c>
      <c r="AQ810" s="27" t="s">
        <v>8</v>
      </c>
    </row>
    <row r="811" spans="1:117" x14ac:dyDescent="0.25">
      <c r="A811" s="7">
        <v>1.184572170262178E-2</v>
      </c>
      <c r="B811"/>
      <c r="C811"/>
      <c r="D811"/>
      <c r="E811"/>
      <c r="P811" s="27" t="s">
        <v>7</v>
      </c>
      <c r="Q811" s="27" t="s">
        <v>8</v>
      </c>
      <c r="R811" s="27" t="s">
        <v>7</v>
      </c>
      <c r="S811" s="27" t="s">
        <v>8</v>
      </c>
      <c r="T811" s="27" t="s">
        <v>7</v>
      </c>
      <c r="U811" s="27" t="s">
        <v>8</v>
      </c>
      <c r="W811" s="27" t="s">
        <v>8</v>
      </c>
      <c r="X811" s="27" t="s">
        <v>7</v>
      </c>
      <c r="Y811" s="27" t="s">
        <v>8</v>
      </c>
      <c r="Z811" s="27" t="s">
        <v>7</v>
      </c>
      <c r="AE811" s="27" t="s">
        <v>8</v>
      </c>
      <c r="AF811" s="27" t="s">
        <v>7</v>
      </c>
      <c r="AG811" s="27" t="s">
        <v>8</v>
      </c>
      <c r="AH811" s="27" t="s">
        <v>7</v>
      </c>
      <c r="AI811" s="27" t="s">
        <v>8</v>
      </c>
      <c r="AJ811" s="27" t="s">
        <v>7</v>
      </c>
      <c r="AK811" s="27" t="s">
        <v>8</v>
      </c>
      <c r="AP811" s="27" t="s">
        <v>7</v>
      </c>
      <c r="AQ811" s="27" t="s">
        <v>8</v>
      </c>
    </row>
    <row r="812" spans="1:117" x14ac:dyDescent="0.25">
      <c r="A812" s="7">
        <v>1.1613452649629196E-2</v>
      </c>
      <c r="B812"/>
      <c r="C812"/>
      <c r="D812"/>
      <c r="E812"/>
      <c r="P812" s="27" t="s">
        <v>7</v>
      </c>
      <c r="R812" s="27" t="s">
        <v>7</v>
      </c>
      <c r="S812" s="27" t="s">
        <v>8</v>
      </c>
      <c r="T812" s="27" t="s">
        <v>7</v>
      </c>
      <c r="U812" s="27" t="s">
        <v>8</v>
      </c>
      <c r="V812" s="27" t="s">
        <v>7</v>
      </c>
      <c r="W812" s="27" t="s">
        <v>8</v>
      </c>
      <c r="X812" s="27" t="s">
        <v>7</v>
      </c>
      <c r="Y812" s="27" t="s">
        <v>8</v>
      </c>
      <c r="Z812" s="27" t="s">
        <v>7</v>
      </c>
      <c r="AE812" s="27" t="s">
        <v>8</v>
      </c>
      <c r="AF812" s="27" t="s">
        <v>7</v>
      </c>
      <c r="AG812" s="27" t="s">
        <v>8</v>
      </c>
      <c r="AH812" s="27" t="s">
        <v>7</v>
      </c>
      <c r="AI812" s="27" t="s">
        <v>8</v>
      </c>
      <c r="AJ812" s="27" t="s">
        <v>7</v>
      </c>
      <c r="AP812" s="27" t="s">
        <v>7</v>
      </c>
    </row>
    <row r="813" spans="1:117" x14ac:dyDescent="0.25">
      <c r="A813" s="7">
        <v>1.138573789179333E-2</v>
      </c>
      <c r="B813"/>
      <c r="C813"/>
      <c r="D813"/>
      <c r="E813"/>
      <c r="R813" s="27" t="s">
        <v>7</v>
      </c>
      <c r="T813" s="27" t="s">
        <v>7</v>
      </c>
      <c r="U813" s="27" t="s">
        <v>8</v>
      </c>
      <c r="V813" s="27" t="s">
        <v>7</v>
      </c>
      <c r="W813" s="27" t="s">
        <v>8</v>
      </c>
      <c r="X813" s="27" t="s">
        <v>7</v>
      </c>
      <c r="Z813" s="27" t="s">
        <v>7</v>
      </c>
      <c r="AE813" s="27" t="s">
        <v>8</v>
      </c>
      <c r="AF813" s="27" t="s">
        <v>7</v>
      </c>
      <c r="AG813" s="27" t="s">
        <v>8</v>
      </c>
      <c r="AH813" s="27" t="s">
        <v>7</v>
      </c>
    </row>
    <row r="814" spans="1:117" x14ac:dyDescent="0.25">
      <c r="A814" s="7">
        <v>1.1162488129209149E-2</v>
      </c>
      <c r="B814"/>
      <c r="C814"/>
      <c r="D814"/>
      <c r="E814"/>
      <c r="T814" s="27" t="s">
        <v>7</v>
      </c>
      <c r="U814" s="27" t="s">
        <v>8</v>
      </c>
      <c r="V814" s="27" t="s">
        <v>7</v>
      </c>
      <c r="Z814" s="27" t="s">
        <v>7</v>
      </c>
      <c r="AA814" s="27" t="s">
        <v>8</v>
      </c>
      <c r="AE814" s="27" t="s">
        <v>8</v>
      </c>
      <c r="AF814" s="27" t="s">
        <v>7</v>
      </c>
      <c r="AG814" s="27" t="s">
        <v>8</v>
      </c>
    </row>
    <row r="815" spans="1:117" x14ac:dyDescent="0.25">
      <c r="A815" s="7">
        <v>1.0943615812950145E-2</v>
      </c>
      <c r="B815"/>
      <c r="C815"/>
      <c r="D815"/>
      <c r="E815"/>
      <c r="T815" s="27" t="s">
        <v>7</v>
      </c>
      <c r="Z815" s="27" t="s">
        <v>7</v>
      </c>
      <c r="AA815" s="27" t="s">
        <v>8</v>
      </c>
      <c r="AB815" s="27" t="s">
        <v>7</v>
      </c>
      <c r="AC815" s="27" t="s">
        <v>8</v>
      </c>
      <c r="AE815" s="27" t="s">
        <v>8</v>
      </c>
      <c r="AF815" s="27" t="s">
        <v>7</v>
      </c>
    </row>
    <row r="816" spans="1:117" x14ac:dyDescent="0.25">
      <c r="A816" s="7">
        <v>1.0729035110735436E-2</v>
      </c>
      <c r="B816"/>
      <c r="C816"/>
      <c r="D816"/>
      <c r="E816"/>
      <c r="Z816" s="27" t="s">
        <v>7</v>
      </c>
      <c r="AA816" s="27" t="s">
        <v>8</v>
      </c>
      <c r="AB816" s="27" t="s">
        <v>7</v>
      </c>
      <c r="AC816" s="27" t="s">
        <v>8</v>
      </c>
      <c r="AD816" s="27" t="s">
        <v>7</v>
      </c>
      <c r="AE816" s="27" t="s">
        <v>8</v>
      </c>
    </row>
    <row r="817" spans="1:31" x14ac:dyDescent="0.25">
      <c r="A817" s="7">
        <v>1.0518661873270036E-2</v>
      </c>
      <c r="B817"/>
      <c r="C817"/>
      <c r="D817"/>
      <c r="E817"/>
      <c r="Z817" s="27" t="s">
        <v>7</v>
      </c>
      <c r="AA817" s="27" t="s">
        <v>8</v>
      </c>
      <c r="AB817" s="27" t="s">
        <v>7</v>
      </c>
      <c r="AC817" s="27" t="s">
        <v>8</v>
      </c>
      <c r="AD817" s="27" t="s">
        <v>7</v>
      </c>
      <c r="AE817" s="27" t="s">
        <v>8</v>
      </c>
    </row>
    <row r="818" spans="1:31" x14ac:dyDescent="0.25">
      <c r="A818" s="7">
        <v>1.0312413601245135E-2</v>
      </c>
      <c r="B818"/>
      <c r="C818"/>
      <c r="D818"/>
      <c r="E818"/>
      <c r="Z818" s="27" t="s">
        <v>7</v>
      </c>
      <c r="AA818" s="27" t="s">
        <v>8</v>
      </c>
      <c r="AB818" s="27" t="s">
        <v>7</v>
      </c>
      <c r="AC818" s="27" t="s">
        <v>8</v>
      </c>
      <c r="AD818" s="27" t="s">
        <v>7</v>
      </c>
    </row>
    <row r="819" spans="1:31" x14ac:dyDescent="0.25">
      <c r="A819" s="7">
        <v>1.0110209412985426E-2</v>
      </c>
      <c r="B819"/>
      <c r="C819"/>
      <c r="D819"/>
      <c r="E819"/>
      <c r="Z819" s="27" t="s">
        <v>7</v>
      </c>
      <c r="AA819" s="27" t="s">
        <v>8</v>
      </c>
      <c r="AB819" s="27" t="s">
        <v>7</v>
      </c>
    </row>
    <row r="820" spans="1:31" x14ac:dyDescent="0.25">
      <c r="A820" s="7">
        <v>9.9119700127308103E-3</v>
      </c>
      <c r="B820"/>
      <c r="C820"/>
      <c r="D820"/>
      <c r="E820"/>
      <c r="Z820" s="27" t="s">
        <v>7</v>
      </c>
      <c r="AA820" s="27" t="s">
        <v>8</v>
      </c>
    </row>
    <row r="821" spans="1:31" x14ac:dyDescent="0.25">
      <c r="A821" s="7">
        <v>9.717617659540009E-3</v>
      </c>
      <c r="B821"/>
      <c r="C821"/>
      <c r="D821"/>
      <c r="E821"/>
      <c r="Z821" s="27" t="s">
        <v>7</v>
      </c>
    </row>
    <row r="822" spans="1:31" x14ac:dyDescent="0.25">
      <c r="A822" s="7">
        <v>9.5270761368039299E-3</v>
      </c>
      <c r="B822"/>
      <c r="C822"/>
      <c r="D822"/>
      <c r="E822"/>
    </row>
    <row r="823" spans="1:31" x14ac:dyDescent="0.25">
      <c r="A823" s="7">
        <v>9.3402707223567936E-3</v>
      </c>
      <c r="B823"/>
      <c r="C823"/>
      <c r="D823"/>
      <c r="E823"/>
    </row>
    <row r="824" spans="1:31" x14ac:dyDescent="0.25">
      <c r="A824" s="7">
        <v>9.1571281591733261E-3</v>
      </c>
      <c r="B824"/>
      <c r="C824"/>
      <c r="D824"/>
      <c r="E824"/>
    </row>
    <row r="825" spans="1:31" x14ac:dyDescent="0.25">
      <c r="A825" s="7">
        <v>8.9775766266405148E-3</v>
      </c>
      <c r="B825"/>
      <c r="C825"/>
      <c r="D825"/>
      <c r="E825"/>
    </row>
    <row r="826" spans="1:31" x14ac:dyDescent="0.25">
      <c r="A826" s="7">
        <v>8.8015457123926614E-3</v>
      </c>
      <c r="B826"/>
      <c r="C826"/>
      <c r="D826"/>
      <c r="E826"/>
    </row>
    <row r="827" spans="1:31" x14ac:dyDescent="0.25">
      <c r="A827" s="7">
        <v>8.6289663846986879E-3</v>
      </c>
      <c r="B827"/>
      <c r="C827"/>
      <c r="D827"/>
      <c r="E827"/>
    </row>
    <row r="828" spans="1:31" x14ac:dyDescent="0.25">
      <c r="A828" s="7">
        <v>8.4597709653908715E-3</v>
      </c>
      <c r="B828"/>
      <c r="C828"/>
      <c r="D828"/>
      <c r="E828"/>
    </row>
    <row r="829" spans="1:31" x14ac:dyDescent="0.25">
      <c r="A829" s="7">
        <v>8.2938931033243839E-3</v>
      </c>
      <c r="B829"/>
      <c r="C829"/>
      <c r="D829"/>
      <c r="E829"/>
    </row>
    <row r="830" spans="1:31" x14ac:dyDescent="0.25">
      <c r="A830" s="7">
        <v>8.1312677483572383E-3</v>
      </c>
      <c r="B830"/>
      <c r="C830"/>
      <c r="D830"/>
      <c r="E830"/>
    </row>
    <row r="831" spans="1:31" x14ac:dyDescent="0.25">
      <c r="A831" s="7">
        <v>7.9718311258404305E-3</v>
      </c>
      <c r="B831"/>
      <c r="C831"/>
      <c r="D831"/>
      <c r="E831"/>
    </row>
    <row r="832" spans="1:31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79" operator="equal">
      <formula>$U$1</formula>
    </cfRule>
    <cfRule type="cellIs" dxfId="89" priority="1080" operator="equal">
      <formula>$S$1</formula>
    </cfRule>
  </conditionalFormatting>
  <conditionalFormatting sqref="D27">
    <cfRule type="cellIs" dxfId="88" priority="1077" operator="equal">
      <formula>$S$1</formula>
    </cfRule>
    <cfRule type="cellIs" dxfId="87" priority="1078" operator="equal">
      <formula>$U$1</formula>
    </cfRule>
  </conditionalFormatting>
  <conditionalFormatting sqref="C164">
    <cfRule type="cellIs" dxfId="86" priority="1075" operator="equal">
      <formula>$U$1</formula>
    </cfRule>
    <cfRule type="cellIs" dxfId="85" priority="1076" operator="equal">
      <formula>$S$1</formula>
    </cfRule>
  </conditionalFormatting>
  <conditionalFormatting sqref="D164">
    <cfRule type="cellIs" dxfId="84" priority="1073" operator="equal">
      <formula>$S$1</formula>
    </cfRule>
    <cfRule type="cellIs" dxfId="83" priority="1074" operator="equal">
      <formula>$U$1</formula>
    </cfRule>
  </conditionalFormatting>
  <conditionalFormatting sqref="C55">
    <cfRule type="cellIs" dxfId="82" priority="1071" operator="equal">
      <formula>$U$1</formula>
    </cfRule>
    <cfRule type="cellIs" dxfId="81" priority="1072" operator="equal">
      <formula>$S$1</formula>
    </cfRule>
  </conditionalFormatting>
  <conditionalFormatting sqref="D55">
    <cfRule type="cellIs" dxfId="80" priority="1069" operator="equal">
      <formula>$S$1</formula>
    </cfRule>
    <cfRule type="cellIs" dxfId="79" priority="1070" operator="equal">
      <formula>$U$1</formula>
    </cfRule>
  </conditionalFormatting>
  <conditionalFormatting sqref="C89">
    <cfRule type="cellIs" dxfId="78" priority="1067" operator="equal">
      <formula>$U$1</formula>
    </cfRule>
    <cfRule type="cellIs" dxfId="77" priority="1068" operator="equal">
      <formula>$S$1</formula>
    </cfRule>
  </conditionalFormatting>
  <conditionalFormatting sqref="D89">
    <cfRule type="cellIs" dxfId="76" priority="1065" operator="equal">
      <formula>$S$1</formula>
    </cfRule>
    <cfRule type="cellIs" dxfId="75" priority="1066" operator="equal">
      <formula>$U$1</formula>
    </cfRule>
  </conditionalFormatting>
  <conditionalFormatting sqref="C136">
    <cfRule type="cellIs" dxfId="74" priority="1063" operator="equal">
      <formula>$U$1</formula>
    </cfRule>
    <cfRule type="cellIs" dxfId="73" priority="1064" operator="equal">
      <formula>$S$1</formula>
    </cfRule>
  </conditionalFormatting>
  <conditionalFormatting sqref="D136">
    <cfRule type="cellIs" dxfId="72" priority="1061" operator="equal">
      <formula>$S$1</formula>
    </cfRule>
    <cfRule type="cellIs" dxfId="71" priority="1062" operator="equal">
      <formula>$U$1</formula>
    </cfRule>
  </conditionalFormatting>
  <conditionalFormatting sqref="C1">
    <cfRule type="cellIs" dxfId="70" priority="106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83" zoomScale="90" zoomScaleNormal="90" workbookViewId="0">
      <pane xSplit="4" topLeftCell="BE1" activePane="topRight" state="frozen"/>
      <selection activeCell="A109" sqref="A109"/>
      <selection pane="topRight" activeCell="FE294" sqref="FE29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$A$293</v>
      </c>
      <c r="D111" s="1" t="str">
        <f>ADDRESS(C121-1,D121,1,1)</f>
        <v>$FE$293</v>
      </c>
      <c r="E111"/>
    </row>
    <row r="112" spans="1:5" x14ac:dyDescent="0.25">
      <c r="A112" s="30">
        <v>515.50191262726139</v>
      </c>
      <c r="C112" s="1" t="str">
        <f>ADDRESS(C121,1,1,1)</f>
        <v>$A$294</v>
      </c>
      <c r="D112" s="1" t="str">
        <f>ADDRESS(C121,D121-1,1,1)</f>
        <v>$FD$294</v>
      </c>
      <c r="E112"/>
    </row>
    <row r="113" spans="1:5" x14ac:dyDescent="0.25">
      <c r="A113" s="30">
        <v>490.95420250215363</v>
      </c>
      <c r="C113" s="1" t="str">
        <f>ADDRESS(C121+1,1,1,1)</f>
        <v>$A$295</v>
      </c>
      <c r="D113" s="1" t="str">
        <f>ADDRESS(C121-1,D121+1,1,1)</f>
        <v>$FF$293</v>
      </c>
    </row>
    <row r="114" spans="1:5" x14ac:dyDescent="0.25">
      <c r="A114" s="30">
        <v>467.57543095443202</v>
      </c>
      <c r="C114" s="1" t="str">
        <f>ADDRESS(C121,D121,1,1)</f>
        <v>$FE$294</v>
      </c>
      <c r="D114" s="1" t="str">
        <f>ADDRESS(C121+1,D121+1,1,1)</f>
        <v>$FF$295</v>
      </c>
    </row>
    <row r="115" spans="1:5" x14ac:dyDescent="0.25">
      <c r="A115" s="30">
        <v>445.30993424231622</v>
      </c>
      <c r="C115" s="1" t="str">
        <f>ADDRESS(C121+1,D121,1,1)</f>
        <v>$FE$295</v>
      </c>
    </row>
    <row r="116" spans="1:5" x14ac:dyDescent="0.25">
      <c r="A116" s="30">
        <v>424.10469927839637</v>
      </c>
      <c r="C116" s="1">
        <f>C117-1</f>
        <v>293</v>
      </c>
    </row>
    <row r="117" spans="1:5" x14ac:dyDescent="0.25">
      <c r="A117" s="30">
        <v>403.9092374079965</v>
      </c>
      <c r="C117" s="1">
        <f>C121</f>
        <v>294</v>
      </c>
      <c r="D117" s="1">
        <f>D121</f>
        <v>161</v>
      </c>
    </row>
    <row r="118" spans="1:5" x14ac:dyDescent="0.25">
      <c r="A118" s="30">
        <v>384.6754641980919</v>
      </c>
      <c r="C118" s="1">
        <f>C117+1</f>
        <v>295</v>
      </c>
      <c r="D118" s="1">
        <f>D117+1</f>
        <v>162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294</v>
      </c>
      <c r="D121" s="19">
        <v>161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R294</v>
      </c>
      <c r="D123" s="1" t="str">
        <f>"C"&amp;D121</f>
        <v>C161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7.1742721991251604E-2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40" x14ac:dyDescent="0.25">
      <c r="A257" s="30">
        <v>0.43629668761085438</v>
      </c>
      <c r="B257"/>
      <c r="C257"/>
      <c r="D257"/>
      <c r="E257"/>
      <c r="F257" s="27" t="s">
        <v>7</v>
      </c>
    </row>
    <row r="258" spans="1:140" x14ac:dyDescent="0.25">
      <c r="A258" s="30">
        <v>0.41552065486748019</v>
      </c>
      <c r="B258"/>
      <c r="C258"/>
      <c r="D258"/>
      <c r="E258"/>
      <c r="F258" s="27" t="s">
        <v>7</v>
      </c>
    </row>
    <row r="259" spans="1:140" x14ac:dyDescent="0.25">
      <c r="A259" s="30">
        <v>0.39573395701664765</v>
      </c>
      <c r="B259"/>
      <c r="C259"/>
      <c r="D259"/>
      <c r="E259"/>
      <c r="F259" s="27" t="s">
        <v>7</v>
      </c>
    </row>
    <row r="260" spans="1:140" x14ac:dyDescent="0.25">
      <c r="A260" s="30">
        <v>0.37688948287299762</v>
      </c>
      <c r="B260"/>
      <c r="C260"/>
      <c r="D260"/>
      <c r="E260"/>
      <c r="F260" s="27" t="s">
        <v>7</v>
      </c>
    </row>
    <row r="261" spans="1:140" x14ac:dyDescent="0.25">
      <c r="A261" s="30">
        <v>0.35894236464094997</v>
      </c>
      <c r="B261"/>
      <c r="C261"/>
      <c r="D261"/>
      <c r="E261"/>
      <c r="F261" s="27" t="s">
        <v>7</v>
      </c>
    </row>
    <row r="262" spans="1:140" x14ac:dyDescent="0.25">
      <c r="A262" s="30">
        <v>0.34184987108661891</v>
      </c>
      <c r="B262"/>
      <c r="C262"/>
      <c r="D262"/>
      <c r="E262"/>
      <c r="F262" s="27" t="s">
        <v>7</v>
      </c>
    </row>
    <row r="263" spans="1:140" x14ac:dyDescent="0.25">
      <c r="A263" s="30">
        <v>0.32557130579677979</v>
      </c>
      <c r="B263"/>
      <c r="C263"/>
      <c r="D263"/>
      <c r="E263"/>
      <c r="F263" s="27" t="s">
        <v>7</v>
      </c>
    </row>
    <row r="264" spans="1:140" x14ac:dyDescent="0.25">
      <c r="A264" s="30">
        <v>0.3100679102826473</v>
      </c>
      <c r="B264"/>
      <c r="C264"/>
      <c r="D264"/>
      <c r="E264"/>
      <c r="F264" s="27" t="s">
        <v>7</v>
      </c>
    </row>
    <row r="265" spans="1:140" x14ac:dyDescent="0.25">
      <c r="A265" s="30">
        <v>0.2953027716977592</v>
      </c>
      <c r="B265"/>
      <c r="C265"/>
      <c r="D265"/>
      <c r="E265"/>
      <c r="F265" s="27" t="s">
        <v>7</v>
      </c>
    </row>
    <row r="266" spans="1:140" x14ac:dyDescent="0.25">
      <c r="A266" s="30">
        <v>0.28124073495024676</v>
      </c>
      <c r="B266"/>
      <c r="C266"/>
      <c r="D266"/>
      <c r="E266"/>
      <c r="F266" s="27" t="s">
        <v>7</v>
      </c>
      <c r="EG266" s="27" t="s">
        <v>8</v>
      </c>
    </row>
    <row r="267" spans="1:140" x14ac:dyDescent="0.25">
      <c r="A267" s="30">
        <v>0.26784831900023492</v>
      </c>
      <c r="B267"/>
      <c r="C267"/>
      <c r="D267"/>
      <c r="E267"/>
      <c r="F267" s="27" t="s">
        <v>7</v>
      </c>
      <c r="EG267" s="27" t="s">
        <v>8</v>
      </c>
      <c r="EH267" s="27" t="s">
        <v>7</v>
      </c>
    </row>
    <row r="268" spans="1:140" x14ac:dyDescent="0.25">
      <c r="A268" s="30">
        <v>0.25509363714308075</v>
      </c>
      <c r="B268"/>
      <c r="C268"/>
      <c r="D268"/>
      <c r="E268"/>
      <c r="F268" s="27" t="s">
        <v>7</v>
      </c>
      <c r="EG268" s="27" t="s">
        <v>8</v>
      </c>
      <c r="EH268" s="27" t="s">
        <v>7</v>
      </c>
    </row>
    <row r="269" spans="1:140" x14ac:dyDescent="0.25">
      <c r="A269" s="30">
        <v>0.24294632108864825</v>
      </c>
      <c r="B269"/>
      <c r="C269"/>
      <c r="D269"/>
      <c r="E269"/>
      <c r="F269" s="27" t="s">
        <v>7</v>
      </c>
      <c r="EG269" s="27" t="s">
        <v>8</v>
      </c>
      <c r="EH269" s="27" t="s">
        <v>7</v>
      </c>
    </row>
    <row r="270" spans="1:140" x14ac:dyDescent="0.25">
      <c r="A270" s="30">
        <v>0.23137744865585538</v>
      </c>
      <c r="B270"/>
      <c r="C270"/>
      <c r="D270"/>
      <c r="E270"/>
      <c r="F270" s="27" t="s">
        <v>7</v>
      </c>
      <c r="EG270" s="27" t="s">
        <v>8</v>
      </c>
      <c r="EH270" s="27" t="s">
        <v>7</v>
      </c>
      <c r="EI270" s="27" t="s">
        <v>8</v>
      </c>
    </row>
    <row r="271" spans="1:140" x14ac:dyDescent="0.25">
      <c r="A271" s="30">
        <v>0.22035947491033836</v>
      </c>
      <c r="B271"/>
      <c r="C271"/>
      <c r="D271"/>
      <c r="E271"/>
      <c r="F271" s="27" t="s">
        <v>7</v>
      </c>
      <c r="EG271" s="27" t="s">
        <v>8</v>
      </c>
      <c r="EH271" s="27" t="s">
        <v>7</v>
      </c>
      <c r="EI271" s="27" t="s">
        <v>8</v>
      </c>
      <c r="EJ271" s="27" t="s">
        <v>7</v>
      </c>
    </row>
    <row r="272" spans="1:140" x14ac:dyDescent="0.25">
      <c r="A272" s="30">
        <v>0.20986616658127455</v>
      </c>
      <c r="B272"/>
      <c r="C272"/>
      <c r="D272"/>
      <c r="E272"/>
      <c r="F272" s="27" t="s">
        <v>7</v>
      </c>
      <c r="EG272" s="27" t="s">
        <v>8</v>
      </c>
      <c r="EH272" s="27" t="s">
        <v>7</v>
      </c>
      <c r="EI272" s="27" t="s">
        <v>8</v>
      </c>
      <c r="EJ272" s="27" t="s">
        <v>7</v>
      </c>
    </row>
    <row r="273" spans="1:160" x14ac:dyDescent="0.25">
      <c r="A273" s="30">
        <v>0.19987253960121379</v>
      </c>
      <c r="B273"/>
      <c r="C273"/>
      <c r="D273"/>
      <c r="E273"/>
      <c r="F273" s="27" t="s">
        <v>7</v>
      </c>
      <c r="EG273" s="27" t="s">
        <v>8</v>
      </c>
      <c r="EH273" s="27" t="s">
        <v>7</v>
      </c>
      <c r="EI273" s="27" t="s">
        <v>8</v>
      </c>
      <c r="EJ273" s="27" t="s">
        <v>7</v>
      </c>
    </row>
    <row r="274" spans="1:160" x14ac:dyDescent="0.25">
      <c r="A274" s="30">
        <v>0.19035479962020352</v>
      </c>
      <c r="B274"/>
      <c r="C274"/>
      <c r="D274"/>
      <c r="E274"/>
      <c r="F274" s="27" t="s">
        <v>7</v>
      </c>
      <c r="EG274" s="27" t="s">
        <v>8</v>
      </c>
      <c r="EH274" s="27" t="s">
        <v>7</v>
      </c>
      <c r="EI274" s="27" t="s">
        <v>8</v>
      </c>
      <c r="EJ274" s="27" t="s">
        <v>7</v>
      </c>
    </row>
    <row r="275" spans="1:160" x14ac:dyDescent="0.25">
      <c r="A275" s="30">
        <v>0.18129028535257471</v>
      </c>
      <c r="B275"/>
      <c r="C275"/>
      <c r="D275"/>
      <c r="E275"/>
      <c r="F275" s="27" t="s">
        <v>7</v>
      </c>
      <c r="EG275" s="27" t="s">
        <v>8</v>
      </c>
      <c r="EH275" s="27" t="s">
        <v>7</v>
      </c>
      <c r="EI275" s="27" t="s">
        <v>8</v>
      </c>
      <c r="EJ275" s="27" t="s">
        <v>7</v>
      </c>
      <c r="EK275" s="27" t="s">
        <v>8</v>
      </c>
      <c r="ES275" s="27" t="s">
        <v>8</v>
      </c>
    </row>
    <row r="276" spans="1:160" x14ac:dyDescent="0.25">
      <c r="A276" s="30">
        <v>0.17265741462149967</v>
      </c>
      <c r="B276"/>
      <c r="C276"/>
      <c r="D276"/>
      <c r="E276"/>
      <c r="F276" s="27" t="s">
        <v>7</v>
      </c>
      <c r="EG276" s="27" t="s">
        <v>8</v>
      </c>
      <c r="EH276" s="27" t="s">
        <v>7</v>
      </c>
      <c r="EI276" s="27" t="s">
        <v>8</v>
      </c>
      <c r="EJ276" s="27" t="s">
        <v>7</v>
      </c>
      <c r="EK276" s="27" t="s">
        <v>8</v>
      </c>
      <c r="EL276" s="27" t="s">
        <v>7</v>
      </c>
      <c r="EO276" s="27" t="s">
        <v>8</v>
      </c>
      <c r="ES276" s="27" t="s">
        <v>8</v>
      </c>
      <c r="ET276" s="27" t="s">
        <v>7</v>
      </c>
    </row>
    <row r="277" spans="1:160" x14ac:dyDescent="0.25">
      <c r="A277" s="30">
        <v>0.16443563297285677</v>
      </c>
      <c r="B277"/>
      <c r="C277"/>
      <c r="D277"/>
      <c r="E277"/>
      <c r="F277" s="27" t="s">
        <v>7</v>
      </c>
      <c r="EG277" s="27" t="s">
        <v>8</v>
      </c>
      <c r="EH277" s="27" t="s">
        <v>7</v>
      </c>
      <c r="EI277" s="27" t="s">
        <v>8</v>
      </c>
      <c r="EJ277" s="27" t="s">
        <v>7</v>
      </c>
      <c r="EK277" s="27" t="s">
        <v>8</v>
      </c>
      <c r="EL277" s="27" t="s">
        <v>7</v>
      </c>
      <c r="EO277" s="27" t="s">
        <v>8</v>
      </c>
      <c r="EP277" s="27" t="s">
        <v>7</v>
      </c>
      <c r="EQ277" s="27" t="s">
        <v>8</v>
      </c>
      <c r="ES277" s="27" t="s">
        <v>8</v>
      </c>
      <c r="ET277" s="27" t="s">
        <v>7</v>
      </c>
    </row>
    <row r="278" spans="1:160" x14ac:dyDescent="0.25">
      <c r="A278" s="30">
        <v>0.15660536473605399</v>
      </c>
      <c r="B278"/>
      <c r="C278"/>
      <c r="D278"/>
      <c r="E278"/>
      <c r="F278" s="27" t="s">
        <v>7</v>
      </c>
      <c r="EG278" s="27" t="s">
        <v>8</v>
      </c>
      <c r="EH278" s="27" t="s">
        <v>7</v>
      </c>
      <c r="EI278" s="27" t="s">
        <v>8</v>
      </c>
      <c r="EJ278" s="27" t="s">
        <v>7</v>
      </c>
      <c r="EK278" s="27" t="s">
        <v>8</v>
      </c>
      <c r="EL278" s="27" t="s">
        <v>7</v>
      </c>
      <c r="EO278" s="27" t="s">
        <v>8</v>
      </c>
      <c r="EP278" s="27" t="s">
        <v>7</v>
      </c>
      <c r="EQ278" s="27" t="s">
        <v>8</v>
      </c>
      <c r="ER278" s="27" t="s">
        <v>7</v>
      </c>
      <c r="ES278" s="27" t="s">
        <v>8</v>
      </c>
      <c r="ET278" s="27" t="s">
        <v>7</v>
      </c>
    </row>
    <row r="279" spans="1:160" x14ac:dyDescent="0.25">
      <c r="A279" s="30">
        <v>0.14914796641528946</v>
      </c>
      <c r="B279"/>
      <c r="C279"/>
      <c r="D279"/>
      <c r="E279"/>
      <c r="F279" s="27" t="s">
        <v>7</v>
      </c>
      <c r="EG279" s="27" t="s">
        <v>8</v>
      </c>
      <c r="EH279" s="27" t="s">
        <v>7</v>
      </c>
      <c r="EI279" s="27" t="s">
        <v>8</v>
      </c>
      <c r="EJ279" s="27" t="s">
        <v>7</v>
      </c>
      <c r="EK279" s="27" t="s">
        <v>8</v>
      </c>
      <c r="EL279" s="27" t="s">
        <v>7</v>
      </c>
      <c r="EM279" s="27" t="s">
        <v>8</v>
      </c>
      <c r="EO279" s="27" t="s">
        <v>8</v>
      </c>
      <c r="EP279" s="27" t="s">
        <v>7</v>
      </c>
      <c r="EQ279" s="27" t="s">
        <v>8</v>
      </c>
      <c r="ER279" s="27" t="s">
        <v>7</v>
      </c>
      <c r="ES279" s="27" t="s">
        <v>8</v>
      </c>
      <c r="ET279" s="27" t="s">
        <v>7</v>
      </c>
    </row>
    <row r="280" spans="1:160" x14ac:dyDescent="0.25">
      <c r="A280" s="30">
        <v>0.14204568230027562</v>
      </c>
      <c r="B280"/>
      <c r="C280"/>
      <c r="D280"/>
      <c r="E280"/>
      <c r="F280" s="27" t="s">
        <v>7</v>
      </c>
      <c r="EG280" s="27" t="s">
        <v>8</v>
      </c>
      <c r="EH280" s="27" t="s">
        <v>7</v>
      </c>
      <c r="EI280" s="27" t="s">
        <v>8</v>
      </c>
      <c r="EJ280" s="27" t="s">
        <v>7</v>
      </c>
      <c r="EK280" s="27" t="s">
        <v>8</v>
      </c>
      <c r="EL280" s="27" t="s">
        <v>7</v>
      </c>
      <c r="EM280" s="27" t="s">
        <v>8</v>
      </c>
      <c r="EN280" s="27" t="s">
        <v>7</v>
      </c>
      <c r="EO280" s="27" t="s">
        <v>8</v>
      </c>
      <c r="EP280" s="27" t="s">
        <v>7</v>
      </c>
      <c r="EQ280" s="27" t="s">
        <v>8</v>
      </c>
      <c r="ER280" s="27" t="s">
        <v>7</v>
      </c>
      <c r="ES280" s="27" t="s">
        <v>8</v>
      </c>
      <c r="ET280" s="27" t="s">
        <v>7</v>
      </c>
    </row>
    <row r="281" spans="1:160" x14ac:dyDescent="0.25">
      <c r="A281" s="30">
        <v>0.13528160219073862</v>
      </c>
      <c r="B281"/>
      <c r="C281"/>
      <c r="D281"/>
      <c r="E281"/>
      <c r="F281" s="27" t="s">
        <v>7</v>
      </c>
      <c r="EG281" s="27" t="s">
        <v>8</v>
      </c>
      <c r="EH281" s="27" t="s">
        <v>7</v>
      </c>
      <c r="EI281" s="27" t="s">
        <v>8</v>
      </c>
      <c r="EJ281" s="27" t="s">
        <v>7</v>
      </c>
      <c r="EL281" s="27" t="s">
        <v>7</v>
      </c>
      <c r="EM281" s="27" t="s">
        <v>8</v>
      </c>
      <c r="EN281" s="27" t="s">
        <v>7</v>
      </c>
      <c r="EO281" s="27" t="s">
        <v>8</v>
      </c>
      <c r="EP281" s="27" t="s">
        <v>7</v>
      </c>
      <c r="EQ281" s="27" t="s">
        <v>8</v>
      </c>
      <c r="ER281" s="27" t="s">
        <v>7</v>
      </c>
      <c r="ET281" s="27" t="s">
        <v>7</v>
      </c>
    </row>
    <row r="282" spans="1:160" x14ac:dyDescent="0.25">
      <c r="A282" s="30">
        <v>0.12883962113403674</v>
      </c>
      <c r="B282"/>
      <c r="C282"/>
      <c r="D282"/>
      <c r="E282"/>
      <c r="F282" s="27" t="s">
        <v>7</v>
      </c>
      <c r="CC282" s="27" t="s">
        <v>8</v>
      </c>
      <c r="CI282" s="27" t="s">
        <v>8</v>
      </c>
      <c r="EG282" s="27" t="s">
        <v>8</v>
      </c>
      <c r="EH282" s="27" t="s">
        <v>7</v>
      </c>
      <c r="EL282" s="27" t="s">
        <v>7</v>
      </c>
      <c r="EM282" s="27" t="s">
        <v>8</v>
      </c>
      <c r="EN282" s="27" t="s">
        <v>7</v>
      </c>
      <c r="EO282" s="27" t="s">
        <v>8</v>
      </c>
      <c r="EP282" s="27" t="s">
        <v>7</v>
      </c>
      <c r="EQ282" s="27" t="s">
        <v>8</v>
      </c>
      <c r="ET282" s="27" t="s">
        <v>7</v>
      </c>
      <c r="EW282" s="27" t="s">
        <v>8</v>
      </c>
    </row>
    <row r="283" spans="1:160" x14ac:dyDescent="0.25">
      <c r="A283" s="30">
        <v>0.12270440108003494</v>
      </c>
      <c r="B283"/>
      <c r="C283"/>
      <c r="D283"/>
      <c r="E283"/>
      <c r="F283" s="27" t="s">
        <v>7</v>
      </c>
      <c r="CC283" s="27" t="s">
        <v>8</v>
      </c>
      <c r="CD283" s="27" t="s">
        <v>7</v>
      </c>
      <c r="CI283" s="27" t="s">
        <v>8</v>
      </c>
      <c r="CJ283" s="27" t="s">
        <v>7</v>
      </c>
      <c r="EG283" s="27" t="s">
        <v>8</v>
      </c>
      <c r="EL283" s="27" t="s">
        <v>7</v>
      </c>
      <c r="EN283" s="27" t="s">
        <v>7</v>
      </c>
      <c r="EP283" s="27" t="s">
        <v>7</v>
      </c>
      <c r="ET283" s="27" t="s">
        <v>7</v>
      </c>
      <c r="EW283" s="27" t="s">
        <v>8</v>
      </c>
      <c r="EX283" s="27" t="s">
        <v>7</v>
      </c>
      <c r="FA283" s="27" t="s">
        <v>8</v>
      </c>
    </row>
    <row r="284" spans="1:160" x14ac:dyDescent="0.25">
      <c r="A284" s="30">
        <v>0.11686133436193799</v>
      </c>
      <c r="B284"/>
      <c r="C284"/>
      <c r="D284"/>
      <c r="E284"/>
      <c r="F284" s="27" t="s">
        <v>7</v>
      </c>
      <c r="CC284" s="27" t="s">
        <v>8</v>
      </c>
      <c r="CD284" s="27" t="s">
        <v>7</v>
      </c>
      <c r="CI284" s="27" t="s">
        <v>8</v>
      </c>
      <c r="CJ284" s="27" t="s">
        <v>7</v>
      </c>
      <c r="EG284" s="27" t="s">
        <v>8</v>
      </c>
      <c r="ET284" s="27" t="s">
        <v>7</v>
      </c>
      <c r="EU284" s="27" t="s">
        <v>8</v>
      </c>
      <c r="EW284" s="27" t="s">
        <v>8</v>
      </c>
      <c r="EX284" s="27" t="s">
        <v>7</v>
      </c>
      <c r="EY284" s="27" t="s">
        <v>8</v>
      </c>
      <c r="FA284" s="27" t="s">
        <v>8</v>
      </c>
      <c r="FB284" s="27" t="s">
        <v>7</v>
      </c>
    </row>
    <row r="285" spans="1:160" x14ac:dyDescent="0.25">
      <c r="A285" s="30">
        <v>0.11129650891613138</v>
      </c>
      <c r="B285"/>
      <c r="C285"/>
      <c r="D285"/>
      <c r="E285"/>
      <c r="F285" s="27" t="s">
        <v>7</v>
      </c>
      <c r="CC285" s="27" t="s">
        <v>8</v>
      </c>
      <c r="CD285" s="27" t="s">
        <v>7</v>
      </c>
      <c r="CI285" s="27" t="s">
        <v>8</v>
      </c>
      <c r="CJ285" s="27" t="s">
        <v>7</v>
      </c>
      <c r="EG285" s="27" t="s">
        <v>8</v>
      </c>
      <c r="ET285" s="27" t="s">
        <v>7</v>
      </c>
      <c r="EU285" s="27" t="s">
        <v>8</v>
      </c>
      <c r="EV285" s="27" t="s">
        <v>7</v>
      </c>
      <c r="EW285" s="27" t="s">
        <v>8</v>
      </c>
      <c r="EX285" s="27" t="s">
        <v>7</v>
      </c>
      <c r="EY285" s="27" t="s">
        <v>8</v>
      </c>
      <c r="EZ285" s="27" t="s">
        <v>7</v>
      </c>
      <c r="FA285" s="27" t="s">
        <v>8</v>
      </c>
      <c r="FB285" s="27" t="s">
        <v>7</v>
      </c>
    </row>
    <row r="286" spans="1:160" x14ac:dyDescent="0.25">
      <c r="A286" s="30">
        <v>0.10599667515822032</v>
      </c>
      <c r="B286"/>
      <c r="C286"/>
      <c r="D286"/>
      <c r="E286"/>
      <c r="F286" s="27" t="s">
        <v>7</v>
      </c>
      <c r="BY286" s="27" t="s">
        <v>8</v>
      </c>
      <c r="CC286" s="27" t="s">
        <v>8</v>
      </c>
      <c r="CD286" s="27" t="s">
        <v>7</v>
      </c>
      <c r="CI286" s="27" t="s">
        <v>8</v>
      </c>
      <c r="CJ286" s="27" t="s">
        <v>7</v>
      </c>
      <c r="CM286" s="27" t="s">
        <v>8</v>
      </c>
      <c r="EG286" s="27" t="s">
        <v>8</v>
      </c>
      <c r="ET286" s="27" t="s">
        <v>7</v>
      </c>
      <c r="EU286" s="27" t="s">
        <v>8</v>
      </c>
      <c r="EV286" s="27" t="s">
        <v>7</v>
      </c>
      <c r="EW286" s="27" t="s">
        <v>8</v>
      </c>
      <c r="EX286" s="27" t="s">
        <v>7</v>
      </c>
      <c r="EY286" s="27" t="s">
        <v>8</v>
      </c>
      <c r="EZ286" s="27" t="s">
        <v>7</v>
      </c>
      <c r="FA286" s="27" t="s">
        <v>8</v>
      </c>
      <c r="FB286" s="27" t="s">
        <v>7</v>
      </c>
    </row>
    <row r="287" spans="1:160" x14ac:dyDescent="0.25">
      <c r="A287" s="30">
        <v>0.10094921443640027</v>
      </c>
      <c r="B287"/>
      <c r="C287"/>
      <c r="D287"/>
      <c r="E287"/>
      <c r="F287" s="27" t="s">
        <v>7</v>
      </c>
      <c r="BY287" s="27" t="s">
        <v>8</v>
      </c>
      <c r="BZ287" s="27" t="s">
        <v>7</v>
      </c>
      <c r="CA287" s="27" t="s">
        <v>8</v>
      </c>
      <c r="CC287" s="27" t="s">
        <v>8</v>
      </c>
      <c r="CD287" s="27" t="s">
        <v>7</v>
      </c>
      <c r="CE287" s="27" t="s">
        <v>8</v>
      </c>
      <c r="CI287" s="27" t="s">
        <v>8</v>
      </c>
      <c r="CJ287" s="27" t="s">
        <v>7</v>
      </c>
      <c r="CM287" s="27" t="s">
        <v>8</v>
      </c>
      <c r="CN287" s="27" t="s">
        <v>7</v>
      </c>
      <c r="EG287" s="27" t="s">
        <v>8</v>
      </c>
      <c r="ET287" s="27" t="s">
        <v>7</v>
      </c>
      <c r="EU287" s="27" t="s">
        <v>8</v>
      </c>
      <c r="EV287" s="27" t="s">
        <v>7</v>
      </c>
      <c r="EW287" s="27" t="s">
        <v>8</v>
      </c>
      <c r="EX287" s="27" t="s">
        <v>7</v>
      </c>
      <c r="EY287" s="27" t="s">
        <v>8</v>
      </c>
      <c r="EZ287" s="27" t="s">
        <v>7</v>
      </c>
      <c r="FB287" s="27" t="s">
        <v>7</v>
      </c>
      <c r="FC287" s="27" t="s">
        <v>8</v>
      </c>
    </row>
    <row r="288" spans="1:160" x14ac:dyDescent="0.25">
      <c r="A288" s="30">
        <v>9.6142108987047836E-2</v>
      </c>
      <c r="B288"/>
      <c r="C288"/>
      <c r="D288"/>
      <c r="E288"/>
      <c r="F288" s="27" t="s">
        <v>7</v>
      </c>
      <c r="BY288" s="27" t="s">
        <v>8</v>
      </c>
      <c r="BZ288" s="27" t="s">
        <v>7</v>
      </c>
      <c r="CA288" s="27" t="s">
        <v>8</v>
      </c>
      <c r="CB288" s="27" t="s">
        <v>7</v>
      </c>
      <c r="CC288" s="27" t="s">
        <v>8</v>
      </c>
      <c r="CD288" s="27" t="s">
        <v>7</v>
      </c>
      <c r="CE288" s="27" t="s">
        <v>8</v>
      </c>
      <c r="CF288" s="27" t="s">
        <v>7</v>
      </c>
      <c r="CI288" s="27" t="s">
        <v>8</v>
      </c>
      <c r="CJ288" s="27" t="s">
        <v>7</v>
      </c>
      <c r="CK288" s="27" t="s">
        <v>8</v>
      </c>
      <c r="CM288" s="27" t="s">
        <v>8</v>
      </c>
      <c r="CN288" s="27" t="s">
        <v>7</v>
      </c>
      <c r="EG288" s="27" t="s">
        <v>8</v>
      </c>
      <c r="ET288" s="27" t="s">
        <v>7</v>
      </c>
      <c r="EU288" s="27" t="s">
        <v>8</v>
      </c>
      <c r="EV288" s="27" t="s">
        <v>7</v>
      </c>
      <c r="EX288" s="27" t="s">
        <v>7</v>
      </c>
      <c r="EY288" s="27" t="s">
        <v>8</v>
      </c>
      <c r="FB288" s="27" t="s">
        <v>7</v>
      </c>
      <c r="FC288" s="27" t="s">
        <v>8</v>
      </c>
      <c r="FD288" s="27" t="s">
        <v>7</v>
      </c>
    </row>
    <row r="289" spans="1:161" x14ac:dyDescent="0.25">
      <c r="A289" s="30">
        <v>9.1563913320997906E-2</v>
      </c>
      <c r="B289"/>
      <c r="C289"/>
      <c r="D289"/>
      <c r="E289"/>
      <c r="F289" s="27" t="s">
        <v>7</v>
      </c>
      <c r="BY289" s="27" t="s">
        <v>8</v>
      </c>
      <c r="BZ289" s="27" t="s">
        <v>7</v>
      </c>
      <c r="CA289" s="27" t="s">
        <v>8</v>
      </c>
      <c r="CB289" s="27" t="s">
        <v>7</v>
      </c>
      <c r="CC289" s="27" t="s">
        <v>8</v>
      </c>
      <c r="CD289" s="27" t="s">
        <v>7</v>
      </c>
      <c r="CE289" s="27" t="s">
        <v>8</v>
      </c>
      <c r="CF289" s="27" t="s">
        <v>7</v>
      </c>
      <c r="CI289" s="27" t="s">
        <v>8</v>
      </c>
      <c r="CJ289" s="27" t="s">
        <v>7</v>
      </c>
      <c r="CK289" s="27" t="s">
        <v>8</v>
      </c>
      <c r="CL289" s="27" t="s">
        <v>7</v>
      </c>
      <c r="CM289" s="27" t="s">
        <v>8</v>
      </c>
      <c r="CN289" s="27" t="s">
        <v>7</v>
      </c>
      <c r="EG289" s="27" t="s">
        <v>8</v>
      </c>
      <c r="ET289" s="27" t="s">
        <v>7</v>
      </c>
      <c r="EX289" s="27" t="s">
        <v>7</v>
      </c>
      <c r="FB289" s="27" t="s">
        <v>7</v>
      </c>
      <c r="FC289" s="27" t="s">
        <v>8</v>
      </c>
      <c r="FD289" s="27" t="s">
        <v>7</v>
      </c>
    </row>
    <row r="290" spans="1:161" x14ac:dyDescent="0.25">
      <c r="A290" s="30">
        <v>8.7203726972378923E-2</v>
      </c>
      <c r="B290"/>
      <c r="C290"/>
      <c r="D290"/>
      <c r="E290"/>
      <c r="F290" s="27" t="s">
        <v>7</v>
      </c>
      <c r="BY290" s="27" t="s">
        <v>8</v>
      </c>
      <c r="BZ290" s="27" t="s">
        <v>7</v>
      </c>
      <c r="CB290" s="27" t="s">
        <v>7</v>
      </c>
      <c r="CC290" s="27" t="s">
        <v>8</v>
      </c>
      <c r="CD290" s="27" t="s">
        <v>7</v>
      </c>
      <c r="CE290" s="27" t="s">
        <v>8</v>
      </c>
      <c r="CF290" s="27" t="s">
        <v>7</v>
      </c>
      <c r="CG290" s="27" t="s">
        <v>8</v>
      </c>
      <c r="CI290" s="27" t="s">
        <v>8</v>
      </c>
      <c r="CJ290" s="27" t="s">
        <v>7</v>
      </c>
      <c r="CK290" s="27" t="s">
        <v>8</v>
      </c>
      <c r="CL290" s="27" t="s">
        <v>7</v>
      </c>
      <c r="CM290" s="27" t="s">
        <v>8</v>
      </c>
      <c r="CN290" s="27" t="s">
        <v>7</v>
      </c>
      <c r="DA290" s="31" t="s">
        <v>8</v>
      </c>
      <c r="DY290" s="27" t="s">
        <v>8</v>
      </c>
      <c r="EG290" s="27" t="s">
        <v>8</v>
      </c>
      <c r="FB290" s="27" t="s">
        <v>7</v>
      </c>
      <c r="FD290" s="27" t="s">
        <v>7</v>
      </c>
    </row>
    <row r="291" spans="1:161" x14ac:dyDescent="0.25">
      <c r="A291" s="30">
        <v>8.3051168545122747E-2</v>
      </c>
      <c r="B291"/>
      <c r="C291"/>
      <c r="D291"/>
      <c r="E291"/>
      <c r="F291" s="27" t="s">
        <v>7</v>
      </c>
      <c r="BS291" s="27" t="s">
        <v>8</v>
      </c>
      <c r="BW291" s="27" t="s">
        <v>8</v>
      </c>
      <c r="BY291" s="27" t="s">
        <v>8</v>
      </c>
      <c r="CB291" s="27" t="s">
        <v>7</v>
      </c>
      <c r="CC291" s="27" t="s">
        <v>8</v>
      </c>
      <c r="CD291" s="27" t="s">
        <v>7</v>
      </c>
      <c r="CE291" s="27" t="s">
        <v>8</v>
      </c>
      <c r="CF291" s="27" t="s">
        <v>7</v>
      </c>
      <c r="CG291" s="27" t="s">
        <v>8</v>
      </c>
      <c r="CH291" s="27" t="s">
        <v>7</v>
      </c>
      <c r="CI291" s="27" t="s">
        <v>8</v>
      </c>
      <c r="CJ291" s="27" t="s">
        <v>7</v>
      </c>
      <c r="CK291" s="27" t="s">
        <v>8</v>
      </c>
      <c r="CL291" s="27" t="s">
        <v>7</v>
      </c>
      <c r="CM291" s="27" t="s">
        <v>8</v>
      </c>
      <c r="CN291" s="27" t="s">
        <v>7</v>
      </c>
      <c r="DA291" s="27" t="s">
        <v>8</v>
      </c>
      <c r="DB291" s="31" t="s">
        <v>7</v>
      </c>
      <c r="DY291" s="27" t="s">
        <v>8</v>
      </c>
      <c r="DZ291" s="27" t="s">
        <v>7</v>
      </c>
      <c r="EG291" s="27" t="s">
        <v>8</v>
      </c>
      <c r="FD291" s="27" t="s">
        <v>7</v>
      </c>
    </row>
    <row r="292" spans="1:161" x14ac:dyDescent="0.25">
      <c r="A292" s="30">
        <v>7.9096350995354961E-2</v>
      </c>
      <c r="B292"/>
      <c r="C292"/>
      <c r="D292"/>
      <c r="E292"/>
      <c r="F292" s="27" t="s">
        <v>7</v>
      </c>
      <c r="BS292" s="27" t="s">
        <v>8</v>
      </c>
      <c r="BT292" s="27" t="s">
        <v>7</v>
      </c>
      <c r="BW292" s="27" t="s">
        <v>8</v>
      </c>
      <c r="BX292" s="27" t="s">
        <v>7</v>
      </c>
      <c r="BY292" s="27" t="s">
        <v>8</v>
      </c>
      <c r="CB292" s="27" t="s">
        <v>7</v>
      </c>
      <c r="CC292" s="27" t="s">
        <v>8</v>
      </c>
      <c r="CD292" s="27" t="s">
        <v>7</v>
      </c>
      <c r="CE292" s="27" t="s">
        <v>8</v>
      </c>
      <c r="CF292" s="27" t="s">
        <v>7</v>
      </c>
      <c r="CG292" s="27" t="s">
        <v>8</v>
      </c>
      <c r="CH292" s="27" t="s">
        <v>7</v>
      </c>
      <c r="CI292" s="27" t="s">
        <v>8</v>
      </c>
      <c r="CJ292" s="27" t="s">
        <v>7</v>
      </c>
      <c r="CK292" s="27" t="s">
        <v>8</v>
      </c>
      <c r="CL292" s="27" t="s">
        <v>7</v>
      </c>
      <c r="CM292" s="27" t="s">
        <v>8</v>
      </c>
      <c r="CN292" s="27" t="s">
        <v>7</v>
      </c>
      <c r="CO292" s="27" t="s">
        <v>8</v>
      </c>
      <c r="DA292" s="27" t="s">
        <v>8</v>
      </c>
      <c r="DB292" s="27" t="s">
        <v>7</v>
      </c>
      <c r="DC292" s="31"/>
      <c r="DY292" s="27" t="s">
        <v>8</v>
      </c>
      <c r="DZ292" s="27" t="s">
        <v>7</v>
      </c>
      <c r="EE292" s="27" t="s">
        <v>8</v>
      </c>
      <c r="EG292" s="27" t="s">
        <v>8</v>
      </c>
      <c r="FD292" s="27" t="s">
        <v>7</v>
      </c>
    </row>
    <row r="293" spans="1:161" x14ac:dyDescent="0.25">
      <c r="A293" s="30">
        <v>7.5329858090814217E-2</v>
      </c>
      <c r="B293"/>
      <c r="C293"/>
      <c r="D293"/>
      <c r="E293"/>
      <c r="F293" s="27" t="s">
        <v>7</v>
      </c>
      <c r="BS293" s="27" t="s">
        <v>8</v>
      </c>
      <c r="BT293" s="27" t="s">
        <v>7</v>
      </c>
      <c r="BU293" s="27" t="s">
        <v>8</v>
      </c>
      <c r="BW293" s="27" t="s">
        <v>8</v>
      </c>
      <c r="BX293" s="27" t="s">
        <v>7</v>
      </c>
      <c r="BY293" s="27" t="s">
        <v>8</v>
      </c>
      <c r="CB293" s="27" t="s">
        <v>7</v>
      </c>
      <c r="CC293" s="27" t="s">
        <v>8</v>
      </c>
      <c r="CD293" s="27" t="s">
        <v>7</v>
      </c>
      <c r="CE293" s="27" t="s">
        <v>8</v>
      </c>
      <c r="CF293" s="27" t="s">
        <v>7</v>
      </c>
      <c r="CH293" s="27" t="s">
        <v>7</v>
      </c>
      <c r="CI293" s="27" t="s">
        <v>8</v>
      </c>
      <c r="CJ293" s="27" t="s">
        <v>7</v>
      </c>
      <c r="CK293" s="27" t="s">
        <v>8</v>
      </c>
      <c r="CL293" s="27" t="s">
        <v>7</v>
      </c>
      <c r="CM293" s="27" t="s">
        <v>8</v>
      </c>
      <c r="CN293" s="27" t="s">
        <v>7</v>
      </c>
      <c r="CO293" s="27" t="s">
        <v>8</v>
      </c>
      <c r="CP293" s="27" t="s">
        <v>7</v>
      </c>
      <c r="CQ293" s="27" t="s">
        <v>8</v>
      </c>
      <c r="CS293" s="27" t="s">
        <v>8</v>
      </c>
      <c r="DA293" s="27" t="s">
        <v>8</v>
      </c>
      <c r="DB293" s="27" t="s">
        <v>7</v>
      </c>
      <c r="DD293" s="31"/>
      <c r="DY293" s="27" t="s">
        <v>8</v>
      </c>
      <c r="DZ293" s="27" t="s">
        <v>7</v>
      </c>
      <c r="EE293" s="27" t="s">
        <v>8</v>
      </c>
      <c r="EF293" s="27" t="s">
        <v>7</v>
      </c>
      <c r="EG293" s="27" t="s">
        <v>8</v>
      </c>
      <c r="FD293" s="27" t="s">
        <v>7</v>
      </c>
    </row>
    <row r="294" spans="1:161" x14ac:dyDescent="0.25">
      <c r="A294" s="30">
        <v>7.1742721991251604E-2</v>
      </c>
      <c r="B294"/>
      <c r="C294"/>
      <c r="D294"/>
      <c r="E294"/>
      <c r="F294" s="27" t="s">
        <v>7</v>
      </c>
      <c r="BS294" s="27" t="s">
        <v>8</v>
      </c>
      <c r="BT294" s="27" t="s">
        <v>7</v>
      </c>
      <c r="BU294" s="27" t="s">
        <v>8</v>
      </c>
      <c r="BV294" s="27" t="s">
        <v>7</v>
      </c>
      <c r="BW294" s="27" t="s">
        <v>8</v>
      </c>
      <c r="BX294" s="27" t="s">
        <v>7</v>
      </c>
      <c r="BY294" s="27" t="s">
        <v>8</v>
      </c>
      <c r="CB294" s="27" t="s">
        <v>7</v>
      </c>
      <c r="CC294" s="27" t="s">
        <v>8</v>
      </c>
      <c r="CD294" s="27" t="s">
        <v>7</v>
      </c>
      <c r="CE294" s="27" t="s">
        <v>8</v>
      </c>
      <c r="CH294" s="27" t="s">
        <v>7</v>
      </c>
      <c r="CI294" s="27" t="s">
        <v>8</v>
      </c>
      <c r="CJ294" s="27" t="s">
        <v>7</v>
      </c>
      <c r="CK294" s="27" t="s">
        <v>8</v>
      </c>
      <c r="CL294" s="27" t="s">
        <v>7</v>
      </c>
      <c r="CM294" s="27" t="s">
        <v>8</v>
      </c>
      <c r="CN294" s="27" t="s">
        <v>7</v>
      </c>
      <c r="CO294" s="27" t="s">
        <v>8</v>
      </c>
      <c r="CP294" s="27" t="s">
        <v>7</v>
      </c>
      <c r="CQ294" s="27" t="s">
        <v>8</v>
      </c>
      <c r="CR294" s="27" t="s">
        <v>7</v>
      </c>
      <c r="CS294" s="27" t="s">
        <v>8</v>
      </c>
      <c r="CT294" s="27" t="s">
        <v>7</v>
      </c>
      <c r="DA294" s="27" t="s">
        <v>8</v>
      </c>
      <c r="DB294" s="27" t="s">
        <v>7</v>
      </c>
      <c r="DE294" s="31"/>
      <c r="DU294" s="27" t="s">
        <v>8</v>
      </c>
      <c r="DW294" s="27" t="s">
        <v>8</v>
      </c>
      <c r="DY294" s="27" t="s">
        <v>8</v>
      </c>
      <c r="DZ294" s="27" t="s">
        <v>7</v>
      </c>
      <c r="EE294" s="27" t="s">
        <v>8</v>
      </c>
      <c r="EF294" s="27" t="s">
        <v>7</v>
      </c>
      <c r="EG294" s="27" t="s">
        <v>8</v>
      </c>
      <c r="FD294" s="27" t="s">
        <v>7</v>
      </c>
      <c r="FE294" s="27" t="s">
        <v>8</v>
      </c>
    </row>
    <row r="295" spans="1:161" x14ac:dyDescent="0.25">
      <c r="A295" s="30">
        <v>6.8326401896430078E-2</v>
      </c>
      <c r="B295"/>
      <c r="C295"/>
      <c r="D295"/>
      <c r="E295"/>
      <c r="F295" s="27" t="s">
        <v>7</v>
      </c>
      <c r="BS295" s="27" t="s">
        <v>8</v>
      </c>
      <c r="BT295" s="27" t="s">
        <v>7</v>
      </c>
      <c r="BU295" s="27" t="s">
        <v>8</v>
      </c>
      <c r="BV295" s="27" t="s">
        <v>7</v>
      </c>
      <c r="BW295" s="27" t="s">
        <v>8</v>
      </c>
      <c r="BX295" s="27" t="s">
        <v>7</v>
      </c>
      <c r="BY295" s="27" t="s">
        <v>8</v>
      </c>
      <c r="CB295" s="27" t="s">
        <v>7</v>
      </c>
      <c r="CD295" s="27" t="s">
        <v>7</v>
      </c>
      <c r="CH295" s="27" t="s">
        <v>7</v>
      </c>
      <c r="CI295" s="27" t="s">
        <v>8</v>
      </c>
      <c r="CJ295" s="27" t="s">
        <v>7</v>
      </c>
      <c r="CK295" s="27" t="s">
        <v>8</v>
      </c>
      <c r="CL295" s="27" t="s">
        <v>7</v>
      </c>
      <c r="CN295" s="27" t="s">
        <v>7</v>
      </c>
      <c r="CP295" s="27" t="s">
        <v>7</v>
      </c>
      <c r="CQ295" s="27" t="s">
        <v>8</v>
      </c>
      <c r="CR295" s="27" t="s">
        <v>7</v>
      </c>
      <c r="CS295" s="27" t="s">
        <v>8</v>
      </c>
      <c r="CT295" s="27" t="s">
        <v>7</v>
      </c>
      <c r="DA295" s="27" t="s">
        <v>8</v>
      </c>
      <c r="DB295" s="27" t="s">
        <v>7</v>
      </c>
      <c r="DF295" s="31"/>
      <c r="DU295" s="27" t="s">
        <v>8</v>
      </c>
      <c r="DV295" s="27" t="s">
        <v>7</v>
      </c>
      <c r="DW295" s="27" t="s">
        <v>8</v>
      </c>
      <c r="DX295" s="27" t="s">
        <v>7</v>
      </c>
      <c r="DY295" s="27" t="s">
        <v>8</v>
      </c>
      <c r="DZ295" s="27" t="s">
        <v>7</v>
      </c>
      <c r="EE295" s="27" t="s">
        <v>8</v>
      </c>
      <c r="EF295" s="27" t="s">
        <v>7</v>
      </c>
      <c r="EG295" s="27" t="s">
        <v>8</v>
      </c>
      <c r="FD295" s="27" t="s">
        <v>7</v>
      </c>
      <c r="FE295" s="27" t="s">
        <v>8</v>
      </c>
    </row>
    <row r="296" spans="1:161" x14ac:dyDescent="0.25">
      <c r="A296" s="30">
        <v>6.5072763710885759E-2</v>
      </c>
      <c r="B296"/>
      <c r="C296"/>
      <c r="D296"/>
      <c r="E296"/>
      <c r="F296" s="27" t="s">
        <v>7</v>
      </c>
      <c r="BS296" s="27" t="s">
        <v>8</v>
      </c>
      <c r="BT296" s="27" t="s">
        <v>7</v>
      </c>
      <c r="BU296" s="27" t="s">
        <v>8</v>
      </c>
      <c r="BV296" s="27" t="s">
        <v>7</v>
      </c>
      <c r="BW296" s="27" t="s">
        <v>8</v>
      </c>
      <c r="BX296" s="27" t="s">
        <v>7</v>
      </c>
      <c r="CH296" s="27" t="s">
        <v>7</v>
      </c>
      <c r="CJ296" s="27" t="s">
        <v>7</v>
      </c>
      <c r="CP296" s="27" t="s">
        <v>7</v>
      </c>
      <c r="CR296" s="27" t="s">
        <v>7</v>
      </c>
      <c r="CS296" s="27" t="s">
        <v>8</v>
      </c>
      <c r="CT296" s="27" t="s">
        <v>7</v>
      </c>
      <c r="CU296" s="27" t="s">
        <v>8</v>
      </c>
      <c r="DA296" s="27" t="s">
        <v>8</v>
      </c>
      <c r="DB296" s="27" t="s">
        <v>7</v>
      </c>
      <c r="DG296" s="31"/>
      <c r="DU296" s="27" t="s">
        <v>8</v>
      </c>
      <c r="DV296" s="27" t="s">
        <v>7</v>
      </c>
      <c r="DW296" s="27" t="s">
        <v>8</v>
      </c>
      <c r="DX296" s="27" t="s">
        <v>7</v>
      </c>
      <c r="DY296" s="27" t="s">
        <v>8</v>
      </c>
      <c r="DZ296" s="27" t="s">
        <v>7</v>
      </c>
      <c r="EE296" s="27" t="s">
        <v>8</v>
      </c>
      <c r="EF296" s="27" t="s">
        <v>7</v>
      </c>
      <c r="EG296" s="27" t="s">
        <v>8</v>
      </c>
      <c r="FD296" s="27" t="s">
        <v>7</v>
      </c>
      <c r="FE296" s="27" t="s">
        <v>8</v>
      </c>
    </row>
    <row r="297" spans="1:161" x14ac:dyDescent="0.25">
      <c r="A297" s="30">
        <v>6.197406067703403E-2</v>
      </c>
      <c r="B297"/>
      <c r="C297"/>
      <c r="D297"/>
      <c r="E297"/>
      <c r="F297" s="27" t="s">
        <v>7</v>
      </c>
      <c r="BS297" s="27" t="s">
        <v>8</v>
      </c>
      <c r="BT297" s="27" t="s">
        <v>7</v>
      </c>
      <c r="BU297" s="27" t="s">
        <v>8</v>
      </c>
      <c r="BV297" s="27" t="s">
        <v>7</v>
      </c>
      <c r="BW297" s="27" t="s">
        <v>8</v>
      </c>
      <c r="CR297" s="27" t="s">
        <v>7</v>
      </c>
      <c r="CS297" s="27" t="s">
        <v>8</v>
      </c>
      <c r="CT297" s="27" t="s">
        <v>7</v>
      </c>
      <c r="CU297" s="27" t="s">
        <v>8</v>
      </c>
      <c r="CV297" s="27" t="s">
        <v>7</v>
      </c>
      <c r="CY297" s="27" t="s">
        <v>8</v>
      </c>
      <c r="DA297" s="27" t="s">
        <v>8</v>
      </c>
      <c r="DB297" s="27" t="s">
        <v>7</v>
      </c>
      <c r="DH297" s="31"/>
      <c r="DU297" s="27" t="s">
        <v>8</v>
      </c>
      <c r="DV297" s="27" t="s">
        <v>7</v>
      </c>
      <c r="DW297" s="27" t="s">
        <v>8</v>
      </c>
      <c r="DX297" s="27" t="s">
        <v>7</v>
      </c>
      <c r="DZ297" s="27" t="s">
        <v>7</v>
      </c>
      <c r="EA297" s="27" t="s">
        <v>8</v>
      </c>
      <c r="EE297" s="27" t="s">
        <v>8</v>
      </c>
      <c r="EF297" s="27" t="s">
        <v>7</v>
      </c>
      <c r="EG297" s="27" t="s">
        <v>8</v>
      </c>
      <c r="FD297" s="27" t="s">
        <v>7</v>
      </c>
      <c r="FE297" s="27" t="s">
        <v>8</v>
      </c>
    </row>
    <row r="298" spans="1:161" x14ac:dyDescent="0.25">
      <c r="A298" s="30">
        <v>5.9022914930508576E-2</v>
      </c>
      <c r="B298"/>
      <c r="C298"/>
      <c r="D298"/>
      <c r="E298"/>
      <c r="F298" s="27" t="s">
        <v>7</v>
      </c>
      <c r="BS298" s="27" t="s">
        <v>8</v>
      </c>
      <c r="BT298" s="27" t="s">
        <v>7</v>
      </c>
      <c r="BV298" s="27" t="s">
        <v>7</v>
      </c>
      <c r="CR298" s="27" t="s">
        <v>7</v>
      </c>
      <c r="CS298" s="27" t="s">
        <v>8</v>
      </c>
      <c r="CT298" s="27" t="s">
        <v>7</v>
      </c>
      <c r="CU298" s="27" t="s">
        <v>8</v>
      </c>
      <c r="CV298" s="27" t="s">
        <v>7</v>
      </c>
      <c r="CW298" s="27" t="s">
        <v>8</v>
      </c>
      <c r="CY298" s="27" t="s">
        <v>8</v>
      </c>
      <c r="CZ298" s="27" t="s">
        <v>7</v>
      </c>
      <c r="DA298" s="27" t="s">
        <v>8</v>
      </c>
      <c r="DB298" s="27" t="s">
        <v>7</v>
      </c>
      <c r="DI298" s="31"/>
      <c r="DU298" s="27" t="s">
        <v>8</v>
      </c>
      <c r="DV298" s="27" t="s">
        <v>7</v>
      </c>
      <c r="DZ298" s="27" t="s">
        <v>7</v>
      </c>
      <c r="EA298" s="27" t="s">
        <v>8</v>
      </c>
      <c r="EB298" s="27" t="s">
        <v>7</v>
      </c>
      <c r="EE298" s="27" t="s">
        <v>8</v>
      </c>
      <c r="EF298" s="27" t="s">
        <v>7</v>
      </c>
      <c r="EG298" s="27" t="s">
        <v>8</v>
      </c>
      <c r="FD298" s="27" t="s">
        <v>7</v>
      </c>
    </row>
    <row r="299" spans="1:161" x14ac:dyDescent="0.25">
      <c r="A299" s="30">
        <v>5.6212299933817669E-2</v>
      </c>
      <c r="B299"/>
      <c r="C299"/>
      <c r="D299"/>
      <c r="E299"/>
      <c r="F299" s="27" t="s">
        <v>7</v>
      </c>
      <c r="BI299" s="27" t="s">
        <v>8</v>
      </c>
      <c r="BS299" s="27" t="s">
        <v>8</v>
      </c>
      <c r="CR299" s="27" t="s">
        <v>7</v>
      </c>
      <c r="CS299" s="27" t="s">
        <v>8</v>
      </c>
      <c r="CT299" s="27" t="s">
        <v>7</v>
      </c>
      <c r="CU299" s="27" t="s">
        <v>8</v>
      </c>
      <c r="CV299" s="27" t="s">
        <v>7</v>
      </c>
      <c r="CW299" s="27" t="s">
        <v>8</v>
      </c>
      <c r="CX299" s="27" t="s">
        <v>7</v>
      </c>
      <c r="CY299" s="27" t="s">
        <v>8</v>
      </c>
      <c r="CZ299" s="27" t="s">
        <v>7</v>
      </c>
      <c r="DA299" s="27" t="s">
        <v>8</v>
      </c>
      <c r="DB299" s="27" t="s">
        <v>7</v>
      </c>
      <c r="DJ299" s="31"/>
      <c r="DS299" s="27" t="s">
        <v>8</v>
      </c>
      <c r="DU299" s="27" t="s">
        <v>8</v>
      </c>
      <c r="DZ299" s="27" t="s">
        <v>7</v>
      </c>
      <c r="EA299" s="27" t="s">
        <v>8</v>
      </c>
      <c r="EB299" s="27" t="s">
        <v>7</v>
      </c>
      <c r="EE299" s="27" t="s">
        <v>8</v>
      </c>
      <c r="EF299" s="27" t="s">
        <v>7</v>
      </c>
    </row>
    <row r="300" spans="1:161" x14ac:dyDescent="0.25">
      <c r="A300" s="30">
        <v>5.3535523746492994E-2</v>
      </c>
      <c r="B300"/>
      <c r="C300"/>
      <c r="D300"/>
      <c r="E300"/>
      <c r="F300" s="27" t="s">
        <v>7</v>
      </c>
      <c r="BI300" s="27" t="s">
        <v>8</v>
      </c>
      <c r="BJ300" s="27" t="s">
        <v>7</v>
      </c>
      <c r="BQ300" s="27" t="s">
        <v>8</v>
      </c>
      <c r="BS300" s="27" t="s">
        <v>8</v>
      </c>
      <c r="CR300" s="27" t="s">
        <v>7</v>
      </c>
      <c r="CS300" s="27" t="s">
        <v>8</v>
      </c>
      <c r="CT300" s="27" t="s">
        <v>7</v>
      </c>
      <c r="CU300" s="27" t="s">
        <v>8</v>
      </c>
      <c r="CV300" s="27" t="s">
        <v>7</v>
      </c>
      <c r="CW300" s="27" t="s">
        <v>8</v>
      </c>
      <c r="CX300" s="27" t="s">
        <v>7</v>
      </c>
      <c r="CY300" s="27" t="s">
        <v>8</v>
      </c>
      <c r="CZ300" s="27" t="s">
        <v>7</v>
      </c>
      <c r="DA300" s="27" t="s">
        <v>8</v>
      </c>
      <c r="DB300" s="27" t="s">
        <v>7</v>
      </c>
      <c r="DC300" s="27" t="s">
        <v>8</v>
      </c>
      <c r="DK300" s="31" t="s">
        <v>8</v>
      </c>
      <c r="DO300" s="27" t="s">
        <v>8</v>
      </c>
      <c r="DS300" s="27" t="s">
        <v>8</v>
      </c>
      <c r="DT300" s="27" t="s">
        <v>7</v>
      </c>
      <c r="DU300" s="27" t="s">
        <v>8</v>
      </c>
      <c r="DZ300" s="27" t="s">
        <v>7</v>
      </c>
      <c r="EB300" s="27" t="s">
        <v>7</v>
      </c>
      <c r="EC300" s="27" t="s">
        <v>8</v>
      </c>
      <c r="EE300" s="27" t="s">
        <v>8</v>
      </c>
    </row>
    <row r="301" spans="1:161" x14ac:dyDescent="0.25">
      <c r="A301" s="30">
        <v>5.0986213091898068E-2</v>
      </c>
      <c r="B301"/>
      <c r="C301"/>
      <c r="D301"/>
      <c r="E301"/>
      <c r="F301" s="27" t="s">
        <v>7</v>
      </c>
      <c r="BI301" s="27" t="s">
        <v>8</v>
      </c>
      <c r="BJ301" s="27" t="s">
        <v>7</v>
      </c>
      <c r="BK301" s="27" t="s">
        <v>8</v>
      </c>
      <c r="BQ301" s="27" t="s">
        <v>8</v>
      </c>
      <c r="BR301" s="27" t="s">
        <v>7</v>
      </c>
      <c r="BS301" s="27" t="s">
        <v>8</v>
      </c>
      <c r="CR301" s="27" t="s">
        <v>7</v>
      </c>
      <c r="CS301" s="27" t="s">
        <v>8</v>
      </c>
      <c r="CT301" s="27" t="s">
        <v>7</v>
      </c>
      <c r="CU301" s="27" t="s">
        <v>8</v>
      </c>
      <c r="CV301" s="27" t="s">
        <v>7</v>
      </c>
      <c r="CW301" s="27" t="s">
        <v>8</v>
      </c>
      <c r="CX301" s="27" t="s">
        <v>7</v>
      </c>
      <c r="CY301" s="27" t="s">
        <v>8</v>
      </c>
      <c r="CZ301" s="27" t="s">
        <v>7</v>
      </c>
      <c r="DA301" s="27" t="s">
        <v>8</v>
      </c>
      <c r="DB301" s="27" t="s">
        <v>7</v>
      </c>
      <c r="DC301" s="27" t="s">
        <v>8</v>
      </c>
      <c r="DD301" s="27" t="s">
        <v>7</v>
      </c>
      <c r="DK301" s="27" t="s">
        <v>8</v>
      </c>
      <c r="DL301" s="31" t="s">
        <v>7</v>
      </c>
      <c r="DO301" s="27" t="s">
        <v>8</v>
      </c>
      <c r="DP301" s="27" t="s">
        <v>7</v>
      </c>
      <c r="DS301" s="27" t="s">
        <v>8</v>
      </c>
      <c r="DT301" s="27" t="s">
        <v>7</v>
      </c>
      <c r="DU301" s="27" t="s">
        <v>8</v>
      </c>
      <c r="EB301" s="27" t="s">
        <v>7</v>
      </c>
      <c r="EC301" s="27" t="s">
        <v>8</v>
      </c>
      <c r="ED301" s="27" t="s">
        <v>7</v>
      </c>
      <c r="EE301" s="27" t="s">
        <v>8</v>
      </c>
    </row>
    <row r="302" spans="1:161" x14ac:dyDescent="0.25">
      <c r="A302" s="30">
        <v>4.8558298182760043E-2</v>
      </c>
      <c r="B302"/>
      <c r="C302"/>
      <c r="D302"/>
      <c r="E302"/>
      <c r="F302" s="27" t="s">
        <v>7</v>
      </c>
      <c r="BI302" s="27" t="s">
        <v>8</v>
      </c>
      <c r="BJ302" s="27" t="s">
        <v>7</v>
      </c>
      <c r="BK302" s="27" t="s">
        <v>8</v>
      </c>
      <c r="BL302" s="27" t="s">
        <v>7</v>
      </c>
      <c r="BO302" s="27" t="s">
        <v>8</v>
      </c>
      <c r="BQ302" s="27" t="s">
        <v>8</v>
      </c>
      <c r="BR302" s="27" t="s">
        <v>7</v>
      </c>
      <c r="BS302" s="27" t="s">
        <v>8</v>
      </c>
      <c r="CR302" s="27" t="s">
        <v>7</v>
      </c>
      <c r="CS302" s="27" t="s">
        <v>8</v>
      </c>
      <c r="CT302" s="27" t="s">
        <v>7</v>
      </c>
      <c r="CU302" s="27" t="s">
        <v>8</v>
      </c>
      <c r="CV302" s="27" t="s">
        <v>7</v>
      </c>
      <c r="CW302" s="27" t="s">
        <v>8</v>
      </c>
      <c r="CX302" s="27" t="s">
        <v>7</v>
      </c>
      <c r="CZ302" s="27" t="s">
        <v>7</v>
      </c>
      <c r="DA302" s="27" t="s">
        <v>8</v>
      </c>
      <c r="DB302" s="27" t="s">
        <v>7</v>
      </c>
      <c r="DC302" s="27" t="s">
        <v>8</v>
      </c>
      <c r="DD302" s="27" t="s">
        <v>7</v>
      </c>
      <c r="DI302" s="27" t="s">
        <v>8</v>
      </c>
      <c r="DK302" s="27" t="s">
        <v>8</v>
      </c>
      <c r="DL302" s="27" t="s">
        <v>7</v>
      </c>
      <c r="DM302" s="31" t="s">
        <v>8</v>
      </c>
      <c r="DO302" s="27" t="s">
        <v>8</v>
      </c>
      <c r="DP302" s="27" t="s">
        <v>7</v>
      </c>
      <c r="DQ302" s="27" t="s">
        <v>8</v>
      </c>
      <c r="DS302" s="27" t="s">
        <v>8</v>
      </c>
      <c r="DT302" s="27" t="s">
        <v>7</v>
      </c>
      <c r="EB302" s="27" t="s">
        <v>7</v>
      </c>
      <c r="EC302" s="27" t="s">
        <v>8</v>
      </c>
      <c r="ED302" s="27" t="s">
        <v>7</v>
      </c>
      <c r="EE302" s="27" t="s">
        <v>8</v>
      </c>
    </row>
    <row r="303" spans="1:161" x14ac:dyDescent="0.25">
      <c r="A303" s="30">
        <v>4.6245998269295263E-2</v>
      </c>
      <c r="B303"/>
      <c r="C303"/>
      <c r="D303"/>
      <c r="E303"/>
      <c r="F303" s="27" t="s">
        <v>7</v>
      </c>
      <c r="BI303" s="27" t="s">
        <v>8</v>
      </c>
      <c r="BJ303" s="27" t="s">
        <v>7</v>
      </c>
      <c r="BK303" s="27" t="s">
        <v>8</v>
      </c>
      <c r="BL303" s="27" t="s">
        <v>7</v>
      </c>
      <c r="BO303" s="27" t="s">
        <v>8</v>
      </c>
      <c r="BP303" s="27" t="s">
        <v>7</v>
      </c>
      <c r="BQ303" s="27" t="s">
        <v>8</v>
      </c>
      <c r="BR303" s="27" t="s">
        <v>7</v>
      </c>
      <c r="BS303" s="27" t="s">
        <v>8</v>
      </c>
      <c r="CR303" s="27" t="s">
        <v>7</v>
      </c>
      <c r="CS303" s="27" t="s">
        <v>8</v>
      </c>
      <c r="CT303" s="27" t="s">
        <v>7</v>
      </c>
      <c r="CU303" s="27" t="s">
        <v>8</v>
      </c>
      <c r="CV303" s="27" t="s">
        <v>7</v>
      </c>
      <c r="CZ303" s="27" t="s">
        <v>7</v>
      </c>
      <c r="DA303" s="27" t="s">
        <v>8</v>
      </c>
      <c r="DB303" s="27" t="s">
        <v>7</v>
      </c>
      <c r="DC303" s="27" t="s">
        <v>8</v>
      </c>
      <c r="DD303" s="27" t="s">
        <v>7</v>
      </c>
      <c r="DI303" s="27" t="s">
        <v>8</v>
      </c>
      <c r="DJ303" s="27" t="s">
        <v>7</v>
      </c>
      <c r="DK303" s="27" t="s">
        <v>8</v>
      </c>
      <c r="DL303" s="27" t="s">
        <v>7</v>
      </c>
      <c r="DM303" s="27" t="s">
        <v>8</v>
      </c>
      <c r="DN303" s="31" t="s">
        <v>7</v>
      </c>
      <c r="DO303" s="27" t="s">
        <v>8</v>
      </c>
      <c r="DP303" s="27" t="s">
        <v>7</v>
      </c>
      <c r="DQ303" s="27" t="s">
        <v>8</v>
      </c>
      <c r="DR303" s="27" t="s">
        <v>7</v>
      </c>
      <c r="DS303" s="27" t="s">
        <v>8</v>
      </c>
      <c r="EB303" s="27" t="s">
        <v>7</v>
      </c>
      <c r="EC303" s="27" t="s">
        <v>8</v>
      </c>
      <c r="ED303" s="27" t="s">
        <v>7</v>
      </c>
      <c r="EE303" s="27" t="s">
        <v>8</v>
      </c>
    </row>
    <row r="304" spans="1:161" x14ac:dyDescent="0.25">
      <c r="A304" s="30">
        <v>4.4043807875519279E-2</v>
      </c>
      <c r="B304"/>
      <c r="C304"/>
      <c r="D304"/>
      <c r="E304"/>
      <c r="F304" s="27" t="s">
        <v>7</v>
      </c>
      <c r="BG304" s="27" t="s">
        <v>8</v>
      </c>
      <c r="BI304" s="27" t="s">
        <v>8</v>
      </c>
      <c r="BJ304" s="27" t="s">
        <v>7</v>
      </c>
      <c r="BK304" s="27" t="s">
        <v>8</v>
      </c>
      <c r="BL304" s="27" t="s">
        <v>7</v>
      </c>
      <c r="BO304" s="27" t="s">
        <v>8</v>
      </c>
      <c r="BP304" s="27" t="s">
        <v>7</v>
      </c>
      <c r="BQ304" s="27" t="s">
        <v>8</v>
      </c>
      <c r="BR304" s="27" t="s">
        <v>7</v>
      </c>
      <c r="BS304" s="27" t="s">
        <v>8</v>
      </c>
      <c r="CR304" s="27" t="s">
        <v>7</v>
      </c>
      <c r="CS304" s="27" t="s">
        <v>8</v>
      </c>
      <c r="CT304" s="27" t="s">
        <v>7</v>
      </c>
      <c r="CU304" s="27" t="s">
        <v>8</v>
      </c>
      <c r="CZ304" s="27" t="s">
        <v>7</v>
      </c>
      <c r="DA304" s="27" t="s">
        <v>8</v>
      </c>
      <c r="DB304" s="27" t="s">
        <v>7</v>
      </c>
      <c r="DD304" s="27" t="s">
        <v>7</v>
      </c>
      <c r="DE304" s="27" t="s">
        <v>8</v>
      </c>
      <c r="DI304" s="27" t="s">
        <v>8</v>
      </c>
      <c r="DJ304" s="27" t="s">
        <v>7</v>
      </c>
      <c r="DK304" s="27" t="s">
        <v>8</v>
      </c>
      <c r="DL304" s="27" t="s">
        <v>7</v>
      </c>
      <c r="DM304" s="27" t="s">
        <v>8</v>
      </c>
      <c r="DN304" s="27" t="s">
        <v>7</v>
      </c>
      <c r="DO304" s="27" t="s">
        <v>8</v>
      </c>
      <c r="DP304" s="27" t="s">
        <v>7</v>
      </c>
      <c r="DQ304" s="27" t="s">
        <v>8</v>
      </c>
      <c r="DR304" s="27" t="s">
        <v>7</v>
      </c>
      <c r="DS304" s="27" t="s">
        <v>8</v>
      </c>
      <c r="EB304" s="27" t="s">
        <v>7</v>
      </c>
      <c r="ED304" s="27" t="s">
        <v>7</v>
      </c>
    </row>
    <row r="305" spans="1:123" x14ac:dyDescent="0.25">
      <c r="A305" s="30">
        <v>4.1946483690970725E-2</v>
      </c>
      <c r="B305"/>
      <c r="C305"/>
      <c r="D305"/>
      <c r="E305"/>
      <c r="F305" s="27" t="s">
        <v>7</v>
      </c>
      <c r="BG305" s="27" t="s">
        <v>8</v>
      </c>
      <c r="BH305" s="27" t="s">
        <v>7</v>
      </c>
      <c r="BI305" s="27" t="s">
        <v>8</v>
      </c>
      <c r="BJ305" s="27" t="s">
        <v>7</v>
      </c>
      <c r="BL305" s="27" t="s">
        <v>7</v>
      </c>
      <c r="BO305" s="27" t="s">
        <v>8</v>
      </c>
      <c r="BP305" s="27" t="s">
        <v>7</v>
      </c>
      <c r="BQ305" s="27" t="s">
        <v>8</v>
      </c>
      <c r="BR305" s="27" t="s">
        <v>7</v>
      </c>
      <c r="CR305" s="27" t="s">
        <v>7</v>
      </c>
      <c r="CS305" s="27" t="s">
        <v>8</v>
      </c>
      <c r="CT305" s="27" t="s">
        <v>7</v>
      </c>
      <c r="CZ305" s="27" t="s">
        <v>7</v>
      </c>
      <c r="DD305" s="27" t="s">
        <v>7</v>
      </c>
      <c r="DE305" s="27" t="s">
        <v>8</v>
      </c>
      <c r="DF305" s="27" t="s">
        <v>7</v>
      </c>
      <c r="DI305" s="27" t="s">
        <v>8</v>
      </c>
      <c r="DJ305" s="27" t="s">
        <v>7</v>
      </c>
      <c r="DK305" s="27" t="s">
        <v>8</v>
      </c>
      <c r="DL305" s="27" t="s">
        <v>7</v>
      </c>
      <c r="DM305" s="27" t="s">
        <v>8</v>
      </c>
      <c r="DN305" s="27" t="s">
        <v>7</v>
      </c>
      <c r="DO305" s="27" t="s">
        <v>8</v>
      </c>
      <c r="DP305" s="27" t="s">
        <v>7</v>
      </c>
      <c r="DQ305" s="27" t="s">
        <v>8</v>
      </c>
      <c r="DR305" s="27" t="s">
        <v>7</v>
      </c>
      <c r="DS305" s="27" t="s">
        <v>8</v>
      </c>
    </row>
    <row r="306" spans="1:123" x14ac:dyDescent="0.25">
      <c r="A306" s="30">
        <v>3.9949032086638768E-2</v>
      </c>
      <c r="B306"/>
      <c r="C306"/>
      <c r="D306"/>
      <c r="E306"/>
      <c r="F306" s="27" t="s">
        <v>7</v>
      </c>
      <c r="U306" s="27" t="s">
        <v>8</v>
      </c>
      <c r="BG306" s="27" t="s">
        <v>8</v>
      </c>
      <c r="BH306" s="27" t="s">
        <v>7</v>
      </c>
      <c r="BI306" s="27" t="s">
        <v>8</v>
      </c>
      <c r="BL306" s="27" t="s">
        <v>7</v>
      </c>
      <c r="BM306" s="27" t="s">
        <v>8</v>
      </c>
      <c r="BO306" s="27" t="s">
        <v>8</v>
      </c>
      <c r="BP306" s="27" t="s">
        <v>7</v>
      </c>
      <c r="BQ306" s="27" t="s">
        <v>8</v>
      </c>
      <c r="CR306" s="27" t="s">
        <v>7</v>
      </c>
      <c r="CS306" s="27" t="s">
        <v>8</v>
      </c>
      <c r="DD306" s="27" t="s">
        <v>7</v>
      </c>
      <c r="DE306" s="27" t="s">
        <v>8</v>
      </c>
      <c r="DF306" s="27" t="s">
        <v>7</v>
      </c>
      <c r="DG306" s="27" t="s">
        <v>8</v>
      </c>
      <c r="DI306" s="27" t="s">
        <v>8</v>
      </c>
      <c r="DJ306" s="27" t="s">
        <v>7</v>
      </c>
      <c r="DK306" s="27" t="s">
        <v>8</v>
      </c>
      <c r="DL306" s="27" t="s">
        <v>7</v>
      </c>
      <c r="DN306" s="27" t="s">
        <v>7</v>
      </c>
      <c r="DP306" s="27" t="s">
        <v>7</v>
      </c>
      <c r="DR306" s="27" t="s">
        <v>7</v>
      </c>
      <c r="DS306" s="27" t="s">
        <v>8</v>
      </c>
    </row>
    <row r="307" spans="1:123" x14ac:dyDescent="0.25">
      <c r="A307" s="30">
        <v>3.8046697225370241E-2</v>
      </c>
      <c r="B307"/>
      <c r="C307"/>
      <c r="D307"/>
      <c r="E307"/>
      <c r="F307" s="27" t="s">
        <v>7</v>
      </c>
      <c r="U307" s="27" t="s">
        <v>8</v>
      </c>
      <c r="V307" s="27" t="s">
        <v>7</v>
      </c>
      <c r="BG307" s="27" t="s">
        <v>8</v>
      </c>
      <c r="BH307" s="27" t="s">
        <v>7</v>
      </c>
      <c r="BI307" s="27" t="s">
        <v>8</v>
      </c>
      <c r="BL307" s="27" t="s">
        <v>7</v>
      </c>
      <c r="BM307" s="27" t="s">
        <v>8</v>
      </c>
      <c r="BN307" s="27" t="s">
        <v>7</v>
      </c>
      <c r="BO307" s="27" t="s">
        <v>8</v>
      </c>
      <c r="BP307" s="27" t="s">
        <v>7</v>
      </c>
      <c r="CR307" s="27" t="s">
        <v>7</v>
      </c>
      <c r="CS307" s="27" t="s">
        <v>8</v>
      </c>
      <c r="DD307" s="27" t="s">
        <v>7</v>
      </c>
      <c r="DE307" s="27" t="s">
        <v>8</v>
      </c>
      <c r="DF307" s="27" t="s">
        <v>7</v>
      </c>
      <c r="DG307" s="27" t="s">
        <v>8</v>
      </c>
      <c r="DH307" s="27" t="s">
        <v>7</v>
      </c>
      <c r="DI307" s="27" t="s">
        <v>8</v>
      </c>
      <c r="DJ307" s="27" t="s">
        <v>7</v>
      </c>
      <c r="DR307" s="18" t="s">
        <v>7</v>
      </c>
      <c r="DS307" s="27" t="s">
        <v>8</v>
      </c>
    </row>
    <row r="308" spans="1:123" x14ac:dyDescent="0.25">
      <c r="A308" s="30">
        <v>3.6234949738447833E-2</v>
      </c>
      <c r="B308"/>
      <c r="C308"/>
      <c r="D308"/>
      <c r="E308"/>
      <c r="F308" s="27" t="s">
        <v>7</v>
      </c>
      <c r="U308" s="27" t="s">
        <v>8</v>
      </c>
      <c r="V308" s="27" t="s">
        <v>7</v>
      </c>
      <c r="W308" s="27" t="s">
        <v>8</v>
      </c>
      <c r="BG308" s="27" t="s">
        <v>8</v>
      </c>
      <c r="BH308" s="27" t="s">
        <v>7</v>
      </c>
      <c r="BI308" s="27" t="s">
        <v>8</v>
      </c>
      <c r="BL308" s="27" t="s">
        <v>7</v>
      </c>
      <c r="BM308" s="27" t="s">
        <v>8</v>
      </c>
      <c r="BN308" s="27" t="s">
        <v>7</v>
      </c>
      <c r="BO308" s="27" t="s">
        <v>8</v>
      </c>
      <c r="CR308" s="27" t="s">
        <v>7</v>
      </c>
      <c r="CS308" s="27" t="s">
        <v>8</v>
      </c>
      <c r="DD308" s="27" t="s">
        <v>7</v>
      </c>
      <c r="DE308" s="27" t="s">
        <v>8</v>
      </c>
      <c r="DF308" s="27" t="s">
        <v>7</v>
      </c>
      <c r="DG308" s="27" t="s">
        <v>8</v>
      </c>
      <c r="DH308" s="27" t="s">
        <v>7</v>
      </c>
      <c r="DI308" s="27" t="s">
        <v>8</v>
      </c>
      <c r="DR308" s="27" t="s">
        <v>7</v>
      </c>
      <c r="DS308" s="27" t="s">
        <v>8</v>
      </c>
    </row>
    <row r="309" spans="1:123" x14ac:dyDescent="0.25">
      <c r="A309" s="30">
        <v>3.4509475941378875E-2</v>
      </c>
      <c r="B309"/>
      <c r="C309"/>
      <c r="D309"/>
      <c r="E309"/>
      <c r="F309" s="27" t="s">
        <v>7</v>
      </c>
      <c r="S309" s="27" t="s">
        <v>8</v>
      </c>
      <c r="U309" s="27" t="s">
        <v>8</v>
      </c>
      <c r="V309" s="27" t="s">
        <v>7</v>
      </c>
      <c r="W309" s="27" t="s">
        <v>8</v>
      </c>
      <c r="X309" s="27" t="s">
        <v>7</v>
      </c>
      <c r="Y309" s="27" t="s">
        <v>8</v>
      </c>
      <c r="BC309" s="27" t="s">
        <v>8</v>
      </c>
      <c r="BG309" s="27" t="s">
        <v>8</v>
      </c>
      <c r="BH309" s="27" t="s">
        <v>7</v>
      </c>
      <c r="BL309" s="27" t="s">
        <v>7</v>
      </c>
      <c r="BM309" s="27" t="s">
        <v>8</v>
      </c>
      <c r="BN309" s="27" t="s">
        <v>7</v>
      </c>
      <c r="CR309" s="27" t="s">
        <v>7</v>
      </c>
      <c r="DD309" s="27" t="s">
        <v>7</v>
      </c>
      <c r="DE309" s="27" t="s">
        <v>8</v>
      </c>
      <c r="DF309" s="27" t="s">
        <v>7</v>
      </c>
      <c r="DG309" s="27" t="s">
        <v>8</v>
      </c>
      <c r="DH309" s="27" t="s">
        <v>7</v>
      </c>
      <c r="DR309" s="27" t="s">
        <v>7</v>
      </c>
      <c r="DS309" s="27" t="s">
        <v>8</v>
      </c>
    </row>
    <row r="310" spans="1:123" x14ac:dyDescent="0.25">
      <c r="A310" s="30">
        <v>3.286616756321796E-2</v>
      </c>
      <c r="B310"/>
      <c r="C310"/>
      <c r="D310"/>
      <c r="E310"/>
      <c r="F310" s="27" t="s">
        <v>7</v>
      </c>
      <c r="S310" s="27" t="s">
        <v>8</v>
      </c>
      <c r="T310" s="27" t="s">
        <v>7</v>
      </c>
      <c r="U310" s="27" t="s">
        <v>8</v>
      </c>
      <c r="V310" s="27" t="s">
        <v>7</v>
      </c>
      <c r="W310" s="27" t="s">
        <v>8</v>
      </c>
      <c r="X310" s="27" t="s">
        <v>7</v>
      </c>
      <c r="Y310" s="27" t="s">
        <v>8</v>
      </c>
      <c r="Z310" s="27" t="s">
        <v>7</v>
      </c>
      <c r="BC310" s="27" t="s">
        <v>8</v>
      </c>
      <c r="BD310" s="27" t="s">
        <v>7</v>
      </c>
      <c r="BG310" s="27" t="s">
        <v>8</v>
      </c>
      <c r="BL310" s="27" t="s">
        <v>7</v>
      </c>
      <c r="BM310" s="27" t="s">
        <v>8</v>
      </c>
      <c r="DD310" s="27" t="s">
        <v>7</v>
      </c>
      <c r="DE310" s="27" t="s">
        <v>8</v>
      </c>
      <c r="DF310" s="27" t="s">
        <v>7</v>
      </c>
      <c r="DG310" s="27" t="s">
        <v>8</v>
      </c>
      <c r="DR310" s="27" t="s">
        <v>7</v>
      </c>
    </row>
    <row r="311" spans="1:123" x14ac:dyDescent="0.25">
      <c r="A311" s="30">
        <v>3.1301111964969472E-2</v>
      </c>
      <c r="B311"/>
      <c r="C311"/>
      <c r="D311"/>
      <c r="E311"/>
      <c r="F311" s="27" t="s">
        <v>7</v>
      </c>
      <c r="S311" s="27" t="s">
        <v>8</v>
      </c>
      <c r="T311" s="27" t="s">
        <v>7</v>
      </c>
      <c r="U311" s="27" t="s">
        <v>8</v>
      </c>
      <c r="V311" s="27" t="s">
        <v>7</v>
      </c>
      <c r="X311" s="27" t="s">
        <v>7</v>
      </c>
      <c r="Y311" s="27" t="s">
        <v>8</v>
      </c>
      <c r="Z311" s="27" t="s">
        <v>7</v>
      </c>
      <c r="BC311" s="27" t="s">
        <v>8</v>
      </c>
      <c r="BD311" s="27" t="s">
        <v>7</v>
      </c>
      <c r="BG311" s="27" t="s">
        <v>8</v>
      </c>
      <c r="BL311" s="27" t="s">
        <v>7</v>
      </c>
      <c r="BM311" s="27" t="s">
        <v>8</v>
      </c>
      <c r="DD311" s="27" t="s">
        <v>7</v>
      </c>
      <c r="DE311" s="27" t="s">
        <v>8</v>
      </c>
      <c r="DF311" s="27" t="s">
        <v>7</v>
      </c>
    </row>
    <row r="312" spans="1:123" x14ac:dyDescent="0.25">
      <c r="A312" s="30">
        <v>2.9810582823780438E-2</v>
      </c>
      <c r="B312"/>
      <c r="C312"/>
      <c r="D312"/>
      <c r="E312"/>
      <c r="F312" s="27" t="s">
        <v>7</v>
      </c>
      <c r="S312" s="27" t="s">
        <v>8</v>
      </c>
      <c r="T312" s="27" t="s">
        <v>7</v>
      </c>
      <c r="U312" s="27" t="s">
        <v>8</v>
      </c>
      <c r="X312" s="27" t="s">
        <v>7</v>
      </c>
      <c r="Z312" s="27" t="s">
        <v>7</v>
      </c>
      <c r="BC312" s="27" t="s">
        <v>8</v>
      </c>
      <c r="BD312" s="27" t="s">
        <v>7</v>
      </c>
      <c r="BG312" s="27" t="s">
        <v>8</v>
      </c>
      <c r="BL312" s="27" t="s">
        <v>7</v>
      </c>
      <c r="BM312" s="27" t="s">
        <v>8</v>
      </c>
      <c r="DD312" s="27" t="s">
        <v>7</v>
      </c>
      <c r="DE312" s="27" t="s">
        <v>8</v>
      </c>
    </row>
    <row r="313" spans="1:123" x14ac:dyDescent="0.25">
      <c r="A313" s="30">
        <v>2.8391031260743264E-2</v>
      </c>
      <c r="B313"/>
      <c r="C313"/>
      <c r="D313"/>
      <c r="E313"/>
      <c r="F313" s="27" t="s">
        <v>7</v>
      </c>
      <c r="S313" s="27" t="s">
        <v>8</v>
      </c>
      <c r="T313" s="27" t="s">
        <v>7</v>
      </c>
      <c r="U313" s="27" t="s">
        <v>8</v>
      </c>
      <c r="Z313" s="27" t="s">
        <v>7</v>
      </c>
      <c r="BC313" s="27" t="s">
        <v>8</v>
      </c>
      <c r="BD313" s="27" t="s">
        <v>7</v>
      </c>
      <c r="BG313" s="27" t="s">
        <v>8</v>
      </c>
      <c r="BL313" s="27" t="s">
        <v>7</v>
      </c>
      <c r="DD313" s="27" t="s">
        <v>7</v>
      </c>
      <c r="DE313" s="27" t="s">
        <v>8</v>
      </c>
    </row>
    <row r="314" spans="1:123" x14ac:dyDescent="0.25">
      <c r="A314" s="30">
        <v>2.7039077391184052E-2</v>
      </c>
      <c r="B314"/>
      <c r="C314"/>
      <c r="D314"/>
      <c r="E314"/>
      <c r="F314" s="27" t="s">
        <v>7</v>
      </c>
      <c r="S314" s="27" t="s">
        <v>8</v>
      </c>
      <c r="T314" s="27" t="s">
        <v>7</v>
      </c>
      <c r="Z314" s="27" t="s">
        <v>7</v>
      </c>
      <c r="BC314" s="27" t="s">
        <v>8</v>
      </c>
      <c r="BD314" s="27" t="s">
        <v>7</v>
      </c>
      <c r="BE314" s="27" t="s">
        <v>8</v>
      </c>
      <c r="BG314" s="27" t="s">
        <v>8</v>
      </c>
      <c r="DD314" s="27" t="s">
        <v>7</v>
      </c>
      <c r="DE314" s="27" t="s">
        <v>8</v>
      </c>
    </row>
    <row r="315" spans="1:123" x14ac:dyDescent="0.25">
      <c r="A315" s="30">
        <v>2.5751502277318133E-2</v>
      </c>
      <c r="B315"/>
      <c r="C315"/>
      <c r="D315"/>
      <c r="E315"/>
      <c r="F315" s="27" t="s">
        <v>7</v>
      </c>
      <c r="S315" s="27" t="s">
        <v>8</v>
      </c>
      <c r="Z315" s="27" t="s">
        <v>7</v>
      </c>
      <c r="AA315" s="27" t="s">
        <v>8</v>
      </c>
      <c r="AY315" s="27" t="s">
        <v>8</v>
      </c>
      <c r="BA315" s="27" t="s">
        <v>8</v>
      </c>
      <c r="BC315" s="27" t="s">
        <v>8</v>
      </c>
      <c r="BD315" s="27" t="s">
        <v>7</v>
      </c>
      <c r="BE315" s="27" t="s">
        <v>8</v>
      </c>
      <c r="BF315" s="27" t="s">
        <v>7</v>
      </c>
      <c r="BG315" s="27" t="s">
        <v>8</v>
      </c>
      <c r="DD315" s="27" t="s">
        <v>7</v>
      </c>
      <c r="DE315" s="27" t="s">
        <v>8</v>
      </c>
    </row>
    <row r="316" spans="1:123" x14ac:dyDescent="0.25">
      <c r="A316" s="30">
        <v>2.4525240264112496E-2</v>
      </c>
      <c r="B316"/>
      <c r="C316"/>
      <c r="D316"/>
      <c r="E316"/>
      <c r="F316" s="27" t="s">
        <v>7</v>
      </c>
      <c r="S316" s="27" t="s">
        <v>8</v>
      </c>
      <c r="Z316" s="27" t="s">
        <v>7</v>
      </c>
      <c r="AA316" s="27" t="s">
        <v>8</v>
      </c>
      <c r="AB316" s="27" t="s">
        <v>7</v>
      </c>
      <c r="AG316" s="27" t="s">
        <v>8</v>
      </c>
      <c r="AW316" s="27" t="s">
        <v>8</v>
      </c>
      <c r="AY316" s="27" t="s">
        <v>8</v>
      </c>
      <c r="AZ316" s="27" t="s">
        <v>7</v>
      </c>
      <c r="BA316" s="27" t="s">
        <v>8</v>
      </c>
      <c r="BB316" s="27" t="s">
        <v>7</v>
      </c>
      <c r="BC316" s="27" t="s">
        <v>8</v>
      </c>
      <c r="BD316" s="27" t="s">
        <v>7</v>
      </c>
      <c r="BE316" s="27" t="s">
        <v>8</v>
      </c>
      <c r="BF316" s="27" t="s">
        <v>7</v>
      </c>
      <c r="BG316" s="27" t="s">
        <v>8</v>
      </c>
      <c r="DD316" s="27" t="s">
        <v>7</v>
      </c>
      <c r="DE316" s="27" t="s">
        <v>8</v>
      </c>
    </row>
    <row r="317" spans="1:123" x14ac:dyDescent="0.25">
      <c r="A317" s="30">
        <v>2.3357371680107129E-2</v>
      </c>
      <c r="B317"/>
      <c r="C317"/>
      <c r="D317"/>
      <c r="E317"/>
      <c r="F317" s="27" t="s">
        <v>7</v>
      </c>
      <c r="S317" s="27" t="s">
        <v>8</v>
      </c>
      <c r="Z317" s="27" t="s">
        <v>7</v>
      </c>
      <c r="AA317" s="27" t="s">
        <v>8</v>
      </c>
      <c r="AB317" s="27" t="s">
        <v>7</v>
      </c>
      <c r="AG317" s="27" t="s">
        <v>8</v>
      </c>
      <c r="AH317" s="27" t="s">
        <v>7</v>
      </c>
      <c r="AM317" s="27" t="s">
        <v>8</v>
      </c>
      <c r="AW317" s="27" t="s">
        <v>8</v>
      </c>
      <c r="AX317" s="27" t="s">
        <v>7</v>
      </c>
      <c r="AY317" s="27" t="s">
        <v>8</v>
      </c>
      <c r="AZ317" s="27" t="s">
        <v>7</v>
      </c>
      <c r="BA317" s="27" t="s">
        <v>8</v>
      </c>
      <c r="BB317" s="27" t="s">
        <v>7</v>
      </c>
      <c r="BC317" s="27" t="s">
        <v>8</v>
      </c>
      <c r="BD317" s="27" t="s">
        <v>7</v>
      </c>
      <c r="BF317" s="27" t="s">
        <v>7</v>
      </c>
      <c r="DD317" s="27" t="s">
        <v>7</v>
      </c>
      <c r="DE317" s="27" t="s">
        <v>8</v>
      </c>
    </row>
    <row r="318" spans="1:123" x14ac:dyDescent="0.25">
      <c r="A318" s="30">
        <v>2.2245115885816305E-2</v>
      </c>
      <c r="B318"/>
      <c r="C318"/>
      <c r="D318"/>
      <c r="E318"/>
      <c r="F318" s="27" t="s">
        <v>7</v>
      </c>
      <c r="S318" s="27" t="s">
        <v>8</v>
      </c>
      <c r="Z318" s="27" t="s">
        <v>7</v>
      </c>
      <c r="AA318" s="27" t="s">
        <v>8</v>
      </c>
      <c r="AB318" s="27" t="s">
        <v>7</v>
      </c>
      <c r="AC318" s="27" t="s">
        <v>8</v>
      </c>
      <c r="AG318" s="27" t="s">
        <v>8</v>
      </c>
      <c r="AH318" s="27" t="s">
        <v>7</v>
      </c>
      <c r="AM318" s="27" t="s">
        <v>8</v>
      </c>
      <c r="AN318" s="27" t="s">
        <v>7</v>
      </c>
      <c r="AW318" s="27" t="s">
        <v>8</v>
      </c>
      <c r="AX318" s="27" t="s">
        <v>7</v>
      </c>
      <c r="AY318" s="27" t="s">
        <v>8</v>
      </c>
      <c r="AZ318" s="27" t="s">
        <v>7</v>
      </c>
      <c r="BA318" s="27" t="s">
        <v>8</v>
      </c>
      <c r="BB318" s="27" t="s">
        <v>7</v>
      </c>
      <c r="BC318" s="27" t="s">
        <v>8</v>
      </c>
      <c r="DD318" s="27" t="s">
        <v>7</v>
      </c>
    </row>
    <row r="319" spans="1:123" x14ac:dyDescent="0.25">
      <c r="A319" s="30">
        <v>2.1185824653158377E-2</v>
      </c>
      <c r="B319"/>
      <c r="C319"/>
      <c r="D319"/>
      <c r="E319"/>
      <c r="F319" s="27" t="s">
        <v>7</v>
      </c>
      <c r="S319" s="27" t="s">
        <v>8</v>
      </c>
      <c r="Z319" s="27" t="s">
        <v>7</v>
      </c>
      <c r="AA319" s="27" t="s">
        <v>8</v>
      </c>
      <c r="AB319" s="27" t="s">
        <v>7</v>
      </c>
      <c r="AC319" s="27" t="s">
        <v>8</v>
      </c>
      <c r="AD319" s="27" t="s">
        <v>7</v>
      </c>
      <c r="AG319" s="27" t="s">
        <v>8</v>
      </c>
      <c r="AH319" s="27" t="s">
        <v>7</v>
      </c>
      <c r="AM319" s="27" t="s">
        <v>8</v>
      </c>
      <c r="AN319" s="27" t="s">
        <v>7</v>
      </c>
      <c r="AU319" s="27" t="s">
        <v>8</v>
      </c>
      <c r="AW319" s="27" t="s">
        <v>8</v>
      </c>
      <c r="AX319" s="27" t="s">
        <v>7</v>
      </c>
      <c r="AY319" s="27" t="s">
        <v>8</v>
      </c>
      <c r="AZ319" s="27" t="s">
        <v>7</v>
      </c>
      <c r="BA319" s="27" t="s">
        <v>8</v>
      </c>
      <c r="BB319" s="27" t="s">
        <v>7</v>
      </c>
      <c r="BC319" s="27" t="s">
        <v>8</v>
      </c>
    </row>
    <row r="320" spans="1:123" x14ac:dyDescent="0.25">
      <c r="A320" s="30">
        <v>2.0176975860150829E-2</v>
      </c>
      <c r="B320"/>
      <c r="C320"/>
      <c r="D320"/>
      <c r="E320"/>
      <c r="F320" s="27" t="s">
        <v>7</v>
      </c>
      <c r="Q320" s="27" t="s">
        <v>8</v>
      </c>
      <c r="S320" s="27" t="s">
        <v>8</v>
      </c>
      <c r="Z320" s="27" t="s">
        <v>7</v>
      </c>
      <c r="AA320" s="27" t="s">
        <v>8</v>
      </c>
      <c r="AB320" s="27" t="s">
        <v>7</v>
      </c>
      <c r="AC320" s="27" t="s">
        <v>8</v>
      </c>
      <c r="AD320" s="27" t="s">
        <v>7</v>
      </c>
      <c r="AE320" s="27" t="s">
        <v>8</v>
      </c>
      <c r="AG320" s="27" t="s">
        <v>8</v>
      </c>
      <c r="AH320" s="27" t="s">
        <v>7</v>
      </c>
      <c r="AM320" s="27" t="s">
        <v>8</v>
      </c>
      <c r="AN320" s="27" t="s">
        <v>7</v>
      </c>
      <c r="AO320" s="27" t="s">
        <v>8</v>
      </c>
      <c r="AU320" s="27" t="s">
        <v>8</v>
      </c>
      <c r="AV320" s="27" t="s">
        <v>7</v>
      </c>
      <c r="AW320" s="27" t="s">
        <v>8</v>
      </c>
      <c r="AX320" s="27" t="s">
        <v>7</v>
      </c>
      <c r="AY320" s="27" t="s">
        <v>8</v>
      </c>
      <c r="AZ320" s="27" t="s">
        <v>7</v>
      </c>
      <c r="BB320" s="27" t="s">
        <v>7</v>
      </c>
    </row>
    <row r="321" spans="1:51" x14ac:dyDescent="0.25">
      <c r="A321" s="30">
        <v>1.9216167485857926E-2</v>
      </c>
      <c r="B321"/>
      <c r="C321"/>
      <c r="D321"/>
      <c r="E321"/>
      <c r="F321" s="27" t="s">
        <v>7</v>
      </c>
      <c r="Q321" s="27" t="s">
        <v>8</v>
      </c>
      <c r="R321" s="27" t="s">
        <v>7</v>
      </c>
      <c r="S321" s="27" t="s">
        <v>8</v>
      </c>
      <c r="Z321" s="27" t="s">
        <v>7</v>
      </c>
      <c r="AA321" s="27" t="s">
        <v>8</v>
      </c>
      <c r="AB321" s="27" t="s">
        <v>7</v>
      </c>
      <c r="AC321" s="27" t="s">
        <v>8</v>
      </c>
      <c r="AD321" s="27" t="s">
        <v>7</v>
      </c>
      <c r="AE321" s="27" t="s">
        <v>8</v>
      </c>
      <c r="AF321" s="27" t="s">
        <v>7</v>
      </c>
      <c r="AG321" s="27" t="s">
        <v>8</v>
      </c>
      <c r="AH321" s="27" t="s">
        <v>7</v>
      </c>
      <c r="AM321" s="27" t="s">
        <v>8</v>
      </c>
      <c r="AN321" s="27" t="s">
        <v>7</v>
      </c>
      <c r="AO321" s="27" t="s">
        <v>8</v>
      </c>
      <c r="AP321" s="27" t="s">
        <v>7</v>
      </c>
      <c r="AS321" s="27" t="s">
        <v>8</v>
      </c>
      <c r="AU321" s="27" t="s">
        <v>8</v>
      </c>
      <c r="AV321" s="27" t="s">
        <v>7</v>
      </c>
      <c r="AW321" s="27" t="s">
        <v>8</v>
      </c>
      <c r="AX321" s="27" t="s">
        <v>7</v>
      </c>
      <c r="AY321" s="27" t="s">
        <v>8</v>
      </c>
    </row>
    <row r="322" spans="1:51" x14ac:dyDescent="0.25">
      <c r="A322" s="30">
        <v>1.8301111891293256E-2</v>
      </c>
      <c r="B322"/>
      <c r="C322"/>
      <c r="D322"/>
      <c r="E322"/>
      <c r="F322" s="27" t="s">
        <v>7</v>
      </c>
      <c r="I322" s="27" t="s">
        <v>8</v>
      </c>
      <c r="O322" s="27" t="s">
        <v>8</v>
      </c>
      <c r="Q322" s="27" t="s">
        <v>8</v>
      </c>
      <c r="R322" s="27" t="s">
        <v>7</v>
      </c>
      <c r="S322" s="27" t="s">
        <v>8</v>
      </c>
      <c r="Z322" s="27" t="s">
        <v>7</v>
      </c>
      <c r="AA322" s="27" t="s">
        <v>8</v>
      </c>
      <c r="AB322" s="27" t="s">
        <v>7</v>
      </c>
      <c r="AC322" s="27" t="s">
        <v>8</v>
      </c>
      <c r="AD322" s="27" t="s">
        <v>7</v>
      </c>
      <c r="AE322" s="27" t="s">
        <v>8</v>
      </c>
      <c r="AF322" s="27" t="s">
        <v>7</v>
      </c>
      <c r="AG322" s="27" t="s">
        <v>8</v>
      </c>
      <c r="AH322" s="27" t="s">
        <v>7</v>
      </c>
      <c r="AM322" s="27" t="s">
        <v>8</v>
      </c>
      <c r="AN322" s="27" t="s">
        <v>7</v>
      </c>
      <c r="AO322" s="27" t="s">
        <v>8</v>
      </c>
      <c r="AP322" s="27" t="s">
        <v>7</v>
      </c>
      <c r="AQ322" s="27" t="s">
        <v>8</v>
      </c>
      <c r="AS322" s="27" t="s">
        <v>8</v>
      </c>
      <c r="AT322" s="27" t="s">
        <v>7</v>
      </c>
      <c r="AU322" s="27" t="s">
        <v>8</v>
      </c>
      <c r="AV322" s="27" t="s">
        <v>7</v>
      </c>
      <c r="AX322" s="27" t="s">
        <v>7</v>
      </c>
      <c r="AY322" s="27" t="s">
        <v>8</v>
      </c>
    </row>
    <row r="323" spans="1:51" x14ac:dyDescent="0.25">
      <c r="A323" s="30">
        <v>1.7429630372660238E-2</v>
      </c>
      <c r="B323"/>
      <c r="C323"/>
      <c r="D323"/>
      <c r="E323"/>
      <c r="F323" s="27" t="s">
        <v>7</v>
      </c>
      <c r="G323" s="27" t="s">
        <v>8</v>
      </c>
      <c r="I323" s="27" t="s">
        <v>8</v>
      </c>
      <c r="J323" s="27" t="s">
        <v>7</v>
      </c>
      <c r="M323" s="27" t="s">
        <v>8</v>
      </c>
      <c r="O323" s="27" t="s">
        <v>8</v>
      </c>
      <c r="P323" s="27" t="s">
        <v>7</v>
      </c>
      <c r="Q323" s="27" t="s">
        <v>8</v>
      </c>
      <c r="R323" s="27" t="s">
        <v>7</v>
      </c>
      <c r="S323" s="27" t="s">
        <v>8</v>
      </c>
      <c r="Z323" s="27" t="s">
        <v>7</v>
      </c>
      <c r="AA323" s="27" t="s">
        <v>8</v>
      </c>
      <c r="AB323" s="27" t="s">
        <v>7</v>
      </c>
      <c r="AD323" s="27" t="s">
        <v>7</v>
      </c>
      <c r="AE323" s="27" t="s">
        <v>8</v>
      </c>
      <c r="AF323" s="27" t="s">
        <v>7</v>
      </c>
      <c r="AG323" s="27" t="s">
        <v>8</v>
      </c>
      <c r="AH323" s="27" t="s">
        <v>7</v>
      </c>
      <c r="AI323" s="27" t="s">
        <v>8</v>
      </c>
      <c r="AK323" s="27" t="s">
        <v>8</v>
      </c>
      <c r="AM323" s="27" t="s">
        <v>8</v>
      </c>
      <c r="AN323" s="27" t="s">
        <v>7</v>
      </c>
      <c r="AO323" s="27" t="s">
        <v>8</v>
      </c>
      <c r="AP323" s="27" t="s">
        <v>7</v>
      </c>
      <c r="AQ323" s="27" t="s">
        <v>8</v>
      </c>
      <c r="AR323" s="27" t="s">
        <v>7</v>
      </c>
      <c r="AS323" s="27" t="s">
        <v>8</v>
      </c>
      <c r="AT323" s="27" t="s">
        <v>7</v>
      </c>
      <c r="AU323" s="27" t="s">
        <v>8</v>
      </c>
      <c r="AX323" s="27" t="s">
        <v>7</v>
      </c>
    </row>
    <row r="324" spans="1:51" x14ac:dyDescent="0.25">
      <c r="A324" s="30">
        <v>1.6599647973962125E-2</v>
      </c>
      <c r="B324"/>
      <c r="C324"/>
      <c r="D324"/>
      <c r="E324"/>
      <c r="F324" s="27" t="s">
        <v>7</v>
      </c>
      <c r="G324" s="27" t="s">
        <v>8</v>
      </c>
      <c r="H324" s="27" t="s">
        <v>7</v>
      </c>
      <c r="I324" s="27" t="s">
        <v>8</v>
      </c>
      <c r="J324" s="27" t="s">
        <v>7</v>
      </c>
      <c r="M324" s="27" t="s">
        <v>8</v>
      </c>
      <c r="N324" s="27" t="s">
        <v>7</v>
      </c>
      <c r="O324" s="27" t="s">
        <v>8</v>
      </c>
      <c r="P324" s="27" t="s">
        <v>7</v>
      </c>
      <c r="Q324" s="27" t="s">
        <v>8</v>
      </c>
      <c r="R324" s="27" t="s">
        <v>7</v>
      </c>
      <c r="S324" s="27" t="s">
        <v>8</v>
      </c>
      <c r="Z324" s="27" t="s">
        <v>7</v>
      </c>
      <c r="AA324" s="27" t="s">
        <v>8</v>
      </c>
      <c r="AD324" s="27" t="s">
        <v>7</v>
      </c>
      <c r="AE324" s="27" t="s">
        <v>8</v>
      </c>
      <c r="AF324" s="27" t="s">
        <v>7</v>
      </c>
      <c r="AH324" s="27" t="s">
        <v>7</v>
      </c>
      <c r="AI324" s="27" t="s">
        <v>8</v>
      </c>
      <c r="AJ324" s="27" t="s">
        <v>7</v>
      </c>
      <c r="AK324" s="27" t="s">
        <v>8</v>
      </c>
      <c r="AL324" s="27" t="s">
        <v>7</v>
      </c>
      <c r="AM324" s="27" t="s">
        <v>8</v>
      </c>
      <c r="AN324" s="27" t="s">
        <v>7</v>
      </c>
      <c r="AO324" s="27" t="s">
        <v>8</v>
      </c>
      <c r="AP324" s="27" t="s">
        <v>7</v>
      </c>
      <c r="AQ324" s="27" t="s">
        <v>8</v>
      </c>
      <c r="AR324" s="27" t="s">
        <v>7</v>
      </c>
      <c r="AS324" s="27" t="s">
        <v>8</v>
      </c>
      <c r="AT324" s="27" t="s">
        <v>7</v>
      </c>
      <c r="AU324" s="27" t="s">
        <v>8</v>
      </c>
    </row>
    <row r="325" spans="1:51" x14ac:dyDescent="0.25">
      <c r="A325" s="30">
        <v>1.580918854663059E-2</v>
      </c>
      <c r="B325"/>
      <c r="C325"/>
      <c r="D325"/>
      <c r="E325"/>
      <c r="F325" s="27" t="s">
        <v>7</v>
      </c>
      <c r="G325" s="27" t="s">
        <v>8</v>
      </c>
      <c r="H325" s="27" t="s">
        <v>7</v>
      </c>
      <c r="I325" s="27" t="s">
        <v>8</v>
      </c>
      <c r="J325" s="27" t="s">
        <v>7</v>
      </c>
      <c r="M325" s="27" t="s">
        <v>8</v>
      </c>
      <c r="N325" s="27" t="s">
        <v>7</v>
      </c>
      <c r="O325" s="27" t="s">
        <v>8</v>
      </c>
      <c r="P325" s="27" t="s">
        <v>7</v>
      </c>
      <c r="R325" s="27" t="s">
        <v>7</v>
      </c>
      <c r="Z325" s="27" t="s">
        <v>7</v>
      </c>
      <c r="AD325" s="27" t="s">
        <v>7</v>
      </c>
      <c r="AH325" s="27" t="s">
        <v>7</v>
      </c>
      <c r="AI325" s="27" t="s">
        <v>8</v>
      </c>
      <c r="AJ325" s="27" t="s">
        <v>7</v>
      </c>
      <c r="AK325" s="27" t="s">
        <v>8</v>
      </c>
      <c r="AL325" s="27" t="s">
        <v>7</v>
      </c>
      <c r="AM325" s="27" t="s">
        <v>8</v>
      </c>
      <c r="AN325" s="27" t="s">
        <v>7</v>
      </c>
      <c r="AO325" s="27" t="s">
        <v>8</v>
      </c>
      <c r="AP325" s="27" t="s">
        <v>7</v>
      </c>
      <c r="AQ325" s="27" t="s">
        <v>8</v>
      </c>
      <c r="AR325" s="27" t="s">
        <v>7</v>
      </c>
      <c r="AS325" s="27" t="s">
        <v>8</v>
      </c>
      <c r="AT325" s="27" t="s">
        <v>7</v>
      </c>
      <c r="AU325" s="27" t="s">
        <v>8</v>
      </c>
    </row>
    <row r="326" spans="1:51" x14ac:dyDescent="0.25">
      <c r="A326" s="30">
        <v>1.5056370044410079E-2</v>
      </c>
      <c r="B326"/>
      <c r="C326"/>
      <c r="D326"/>
      <c r="E326"/>
      <c r="F326" s="27" t="s">
        <v>7</v>
      </c>
      <c r="G326" s="27" t="s">
        <v>8</v>
      </c>
      <c r="H326" s="27" t="s">
        <v>7</v>
      </c>
      <c r="I326" s="27" t="s">
        <v>8</v>
      </c>
      <c r="J326" s="27" t="s">
        <v>7</v>
      </c>
      <c r="M326" s="27" t="s">
        <v>8</v>
      </c>
      <c r="N326" s="27" t="s">
        <v>7</v>
      </c>
      <c r="O326" s="27" t="s">
        <v>8</v>
      </c>
      <c r="AH326" s="27" t="s">
        <v>7</v>
      </c>
      <c r="AI326" s="27" t="s">
        <v>8</v>
      </c>
      <c r="AJ326" s="27" t="s">
        <v>7</v>
      </c>
      <c r="AL326" s="27" t="s">
        <v>7</v>
      </c>
      <c r="AM326" s="27" t="s">
        <v>8</v>
      </c>
      <c r="AN326" s="27" t="s">
        <v>7</v>
      </c>
      <c r="AP326" s="27" t="s">
        <v>7</v>
      </c>
      <c r="AR326" s="27" t="s">
        <v>7</v>
      </c>
      <c r="AT326" s="27" t="s">
        <v>7</v>
      </c>
    </row>
    <row r="327" spans="1:51" x14ac:dyDescent="0.25">
      <c r="A327" s="30">
        <v>1.4339400042295308E-2</v>
      </c>
      <c r="B327"/>
      <c r="C327"/>
      <c r="D327"/>
      <c r="E327"/>
      <c r="F327" s="27" t="s">
        <v>7</v>
      </c>
      <c r="H327" s="27" t="s">
        <v>7</v>
      </c>
      <c r="J327" s="27" t="s">
        <v>7</v>
      </c>
      <c r="K327" s="27" t="s">
        <v>8</v>
      </c>
      <c r="M327" s="27" t="s">
        <v>8</v>
      </c>
      <c r="N327" s="27" t="s">
        <v>7</v>
      </c>
      <c r="O327" s="27" t="s">
        <v>8</v>
      </c>
      <c r="AH327" s="27" t="s">
        <v>7</v>
      </c>
      <c r="AI327" s="27" t="s">
        <v>8</v>
      </c>
      <c r="AL327" s="27" t="s">
        <v>7</v>
      </c>
      <c r="AM327" s="27" t="s">
        <v>8</v>
      </c>
    </row>
    <row r="328" spans="1:51" x14ac:dyDescent="0.25">
      <c r="A328" s="30">
        <v>1.365657146885267E-2</v>
      </c>
      <c r="B328"/>
      <c r="C328"/>
      <c r="D328"/>
      <c r="E328"/>
      <c r="J328" s="27" t="s">
        <v>7</v>
      </c>
      <c r="K328" s="27" t="s">
        <v>8</v>
      </c>
      <c r="L328" s="27" t="s">
        <v>7</v>
      </c>
      <c r="M328" s="27" t="s">
        <v>8</v>
      </c>
      <c r="N328" s="27" t="s">
        <v>7</v>
      </c>
      <c r="O328" s="27" t="s">
        <v>8</v>
      </c>
      <c r="AH328" s="27" t="s">
        <v>7</v>
      </c>
      <c r="AL328" s="27" t="s">
        <v>7</v>
      </c>
    </row>
    <row r="329" spans="1:51" x14ac:dyDescent="0.25">
      <c r="A329" s="30">
        <v>1.3006258541764442E-2</v>
      </c>
      <c r="B329"/>
      <c r="C329"/>
      <c r="D329"/>
      <c r="E329"/>
      <c r="J329" s="27" t="s">
        <v>7</v>
      </c>
      <c r="K329" s="27" t="s">
        <v>8</v>
      </c>
      <c r="L329" s="27" t="s">
        <v>7</v>
      </c>
      <c r="M329" s="27" t="s">
        <v>8</v>
      </c>
      <c r="N329" s="27" t="s">
        <v>7</v>
      </c>
    </row>
    <row r="330" spans="1:51" x14ac:dyDescent="0.25">
      <c r="A330" s="30">
        <v>1.2386912896918512E-2</v>
      </c>
      <c r="B330"/>
      <c r="C330"/>
      <c r="D330"/>
      <c r="E330"/>
      <c r="J330" s="27" t="s">
        <v>7</v>
      </c>
      <c r="K330" s="27" t="s">
        <v>8</v>
      </c>
      <c r="L330" s="27" t="s">
        <v>7</v>
      </c>
      <c r="M330" s="27" t="s">
        <v>8</v>
      </c>
    </row>
    <row r="331" spans="1:51" x14ac:dyDescent="0.25">
      <c r="A331" s="30">
        <v>1.179705990182715E-2</v>
      </c>
      <c r="B331"/>
      <c r="C331"/>
      <c r="D331"/>
      <c r="E331"/>
      <c r="J331" s="27" t="s">
        <v>7</v>
      </c>
      <c r="K331" s="27" t="s">
        <v>8</v>
      </c>
      <c r="L331" s="27" t="s">
        <v>7</v>
      </c>
    </row>
    <row r="332" spans="1:51" x14ac:dyDescent="0.25">
      <c r="A332" s="30">
        <v>1.1235295144597281E-2</v>
      </c>
      <c r="B332"/>
      <c r="C332"/>
      <c r="D332"/>
      <c r="E332"/>
      <c r="J332" s="27" t="s">
        <v>7</v>
      </c>
      <c r="K332" s="27" t="s">
        <v>8</v>
      </c>
    </row>
    <row r="333" spans="1:51" x14ac:dyDescent="0.25">
      <c r="A333" s="30">
        <v>1.0700281090092644E-2</v>
      </c>
      <c r="B333"/>
      <c r="C333"/>
      <c r="D333"/>
      <c r="E333"/>
      <c r="J333" s="27" t="s">
        <v>7</v>
      </c>
      <c r="K333" s="27" t="s">
        <v>8</v>
      </c>
    </row>
    <row r="334" spans="1:51" x14ac:dyDescent="0.25">
      <c r="A334" s="30">
        <v>1.0190743895326324E-2</v>
      </c>
      <c r="B334"/>
      <c r="C334"/>
      <c r="D334"/>
      <c r="E334"/>
      <c r="J334" s="27" t="s">
        <v>7</v>
      </c>
      <c r="K334" s="27" t="s">
        <v>8</v>
      </c>
    </row>
    <row r="335" spans="1:51" x14ac:dyDescent="0.25">
      <c r="A335" s="30">
        <v>9.7054703765012563E-3</v>
      </c>
      <c r="B335"/>
      <c r="C335"/>
      <c r="D335"/>
      <c r="E335"/>
      <c r="J335" s="27" t="s">
        <v>7</v>
      </c>
    </row>
    <row r="336" spans="1:51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94" operator="equal">
      <formula>$U$1</formula>
    </cfRule>
    <cfRule type="cellIs" dxfId="67" priority="1095" operator="equal">
      <formula>$S$1</formula>
    </cfRule>
  </conditionalFormatting>
  <conditionalFormatting sqref="D136">
    <cfRule type="cellIs" dxfId="66" priority="1092" operator="equal">
      <formula>$S$1</formula>
    </cfRule>
    <cfRule type="cellIs" dxfId="65" priority="1093" operator="equal">
      <formula>$U$1</formula>
    </cfRule>
  </conditionalFormatting>
  <conditionalFormatting sqref="C162">
    <cfRule type="cellIs" dxfId="64" priority="1090" operator="equal">
      <formula>$U$1</formula>
    </cfRule>
    <cfRule type="cellIs" dxfId="63" priority="1091" operator="equal">
      <formula>$S$1</formula>
    </cfRule>
  </conditionalFormatting>
  <conditionalFormatting sqref="D162">
    <cfRule type="cellIs" dxfId="62" priority="1088" operator="equal">
      <formula>$S$1</formula>
    </cfRule>
    <cfRule type="cellIs" dxfId="61" priority="1089" operator="equal">
      <formula>$U$1</formula>
    </cfRule>
  </conditionalFormatting>
  <conditionalFormatting sqref="C187">
    <cfRule type="cellIs" dxfId="60" priority="1086" operator="equal">
      <formula>$U$1</formula>
    </cfRule>
    <cfRule type="cellIs" dxfId="59" priority="1087" operator="equal">
      <formula>$S$1</formula>
    </cfRule>
  </conditionalFormatting>
  <conditionalFormatting sqref="D187">
    <cfRule type="cellIs" dxfId="58" priority="1084" operator="equal">
      <formula>$S$1</formula>
    </cfRule>
    <cfRule type="cellIs" dxfId="57" priority="1085" operator="equal">
      <formula>$U$1</formula>
    </cfRule>
  </conditionalFormatting>
  <conditionalFormatting sqref="C212">
    <cfRule type="cellIs" dxfId="56" priority="1082" operator="equal">
      <formula>$U$1</formula>
    </cfRule>
    <cfRule type="cellIs" dxfId="55" priority="1083" operator="equal">
      <formula>$S$1</formula>
    </cfRule>
  </conditionalFormatting>
  <conditionalFormatting sqref="D212">
    <cfRule type="cellIs" dxfId="54" priority="1080" operator="equal">
      <formula>$S$1</formula>
    </cfRule>
    <cfRule type="cellIs" dxfId="53" priority="1081" operator="equal">
      <formula>$U$1</formula>
    </cfRule>
  </conditionalFormatting>
  <conditionalFormatting sqref="C237">
    <cfRule type="cellIs" dxfId="52" priority="1078" operator="equal">
      <formula>$U$1</formula>
    </cfRule>
    <cfRule type="cellIs" dxfId="51" priority="1079" operator="equal">
      <formula>$S$1</formula>
    </cfRule>
  </conditionalFormatting>
  <conditionalFormatting sqref="D237">
    <cfRule type="cellIs" dxfId="50" priority="1076" operator="equal">
      <formula>$S$1</formula>
    </cfRule>
    <cfRule type="cellIs" dxfId="49" priority="1077" operator="equal">
      <formula>$U$1</formula>
    </cfRule>
  </conditionalFormatting>
  <conditionalFormatting sqref="C106">
    <cfRule type="cellIs" dxfId="48" priority="1074" operator="equal">
      <formula>$U$1</formula>
    </cfRule>
    <cfRule type="cellIs" dxfId="47" priority="1075" operator="equal">
      <formula>$S$1</formula>
    </cfRule>
  </conditionalFormatting>
  <conditionalFormatting sqref="D106">
    <cfRule type="cellIs" dxfId="46" priority="1072" operator="equal">
      <formula>$S$1</formula>
    </cfRule>
    <cfRule type="cellIs" dxfId="45" priority="1073" operator="equal">
      <formula>$U$1</formula>
    </cfRule>
  </conditionalFormatting>
  <conditionalFormatting sqref="C81">
    <cfRule type="cellIs" dxfId="44" priority="1070" operator="equal">
      <formula>$U$1</formula>
    </cfRule>
    <cfRule type="cellIs" dxfId="43" priority="1071" operator="equal">
      <formula>$S$1</formula>
    </cfRule>
  </conditionalFormatting>
  <conditionalFormatting sqref="D81">
    <cfRule type="cellIs" dxfId="42" priority="1068" operator="equal">
      <formula>$S$1</formula>
    </cfRule>
    <cfRule type="cellIs" dxfId="41" priority="1069" operator="equal">
      <formula>$U$1</formula>
    </cfRule>
  </conditionalFormatting>
  <conditionalFormatting sqref="C56">
    <cfRule type="cellIs" dxfId="40" priority="1066" operator="equal">
      <formula>$U$1</formula>
    </cfRule>
    <cfRule type="cellIs" dxfId="39" priority="1067" operator="equal">
      <formula>$S$1</formula>
    </cfRule>
  </conditionalFormatting>
  <conditionalFormatting sqref="D56">
    <cfRule type="cellIs" dxfId="38" priority="1064" operator="equal">
      <formula>$S$1</formula>
    </cfRule>
    <cfRule type="cellIs" dxfId="37" priority="1065" operator="equal">
      <formula>$U$1</formula>
    </cfRule>
  </conditionalFormatting>
  <conditionalFormatting sqref="C31">
    <cfRule type="cellIs" dxfId="36" priority="1062" operator="equal">
      <formula>$U$1</formula>
    </cfRule>
    <cfRule type="cellIs" dxfId="35" priority="1063" operator="equal">
      <formula>$S$1</formula>
    </cfRule>
  </conditionalFormatting>
  <conditionalFormatting sqref="D31">
    <cfRule type="cellIs" dxfId="34" priority="1060" operator="equal">
      <formula>$S$1</formula>
    </cfRule>
    <cfRule type="cellIs" dxfId="33" priority="106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9" zoomScale="90" zoomScaleNormal="90" workbookViewId="0">
      <pane xSplit="4" topLeftCell="G1" activePane="topRight" state="frozen"/>
      <selection activeCell="A109" sqref="A109"/>
      <selection pane="topRight" activeCell="BT151" sqref="BT15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$A$150</v>
      </c>
      <c r="D111" s="1" t="str">
        <f>ADDRESS(C121-1,D121,1,1)</f>
        <v>$BT$150</v>
      </c>
      <c r="E111"/>
    </row>
    <row r="112" spans="1:5" x14ac:dyDescent="0.25">
      <c r="A112" s="30">
        <v>2.3579476910000019</v>
      </c>
      <c r="C112" s="1" t="str">
        <f>ADDRESS(C121,1,1,1)</f>
        <v>$A$151</v>
      </c>
      <c r="D112" s="1" t="str">
        <f>ADDRESS(C121,D121-1,1,1)</f>
        <v>$BS$151</v>
      </c>
      <c r="E112"/>
    </row>
    <row r="113" spans="1:6" x14ac:dyDescent="0.25">
      <c r="A113" s="30">
        <v>2.1435888100000016</v>
      </c>
      <c r="C113" s="1" t="str">
        <f>ADDRESS(C121+1,1,1,1)</f>
        <v>$A$152</v>
      </c>
      <c r="D113" s="1" t="str">
        <f>ADDRESS(C121-1,D121+1,1,1)</f>
        <v>$BU$150</v>
      </c>
    </row>
    <row r="114" spans="1:6" x14ac:dyDescent="0.25">
      <c r="A114" s="30">
        <v>1.9487171000000014</v>
      </c>
      <c r="C114" s="1" t="str">
        <f>ADDRESS(C121,D121,1,1)</f>
        <v>$BT$151</v>
      </c>
      <c r="D114" s="1" t="str">
        <f>ADDRESS(C121+1,D121+1,1,1)</f>
        <v>$BU$152</v>
      </c>
    </row>
    <row r="115" spans="1:6" x14ac:dyDescent="0.25">
      <c r="A115" s="30">
        <v>1.7715610000000011</v>
      </c>
      <c r="C115" s="1" t="str">
        <f>ADDRESS(C121+1,D121,1,1)</f>
        <v>$BT$152</v>
      </c>
    </row>
    <row r="116" spans="1:6" x14ac:dyDescent="0.25">
      <c r="A116" s="30">
        <v>1.6105100000000008</v>
      </c>
      <c r="C116" s="1">
        <f>C117-1</f>
        <v>150</v>
      </c>
    </row>
    <row r="117" spans="1:6" x14ac:dyDescent="0.25">
      <c r="A117" s="30">
        <v>1.4641000000000006</v>
      </c>
      <c r="C117" s="1">
        <f>C121</f>
        <v>151</v>
      </c>
      <c r="D117" s="1">
        <f>D121</f>
        <v>72</v>
      </c>
    </row>
    <row r="118" spans="1:6" x14ac:dyDescent="0.25">
      <c r="A118" s="30">
        <v>1.3310000000000004</v>
      </c>
      <c r="C118" s="1">
        <f>C117+1</f>
        <v>152</v>
      </c>
      <c r="D118" s="1">
        <f>D117+1</f>
        <v>73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151</v>
      </c>
      <c r="D121" s="19">
        <v>72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R151</v>
      </c>
      <c r="D123" s="1" t="str">
        <f>"C"&amp;D121</f>
        <v>C72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5.7308553301167818E-2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7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72" x14ac:dyDescent="0.25">
      <c r="A130" s="30">
        <v>0.42409761837248428</v>
      </c>
      <c r="C130" s="6"/>
      <c r="D130" s="6"/>
      <c r="E130"/>
      <c r="F130" s="27" t="s">
        <v>7</v>
      </c>
    </row>
    <row r="131" spans="1:72" x14ac:dyDescent="0.25">
      <c r="A131" s="30">
        <v>0.38554328942953109</v>
      </c>
      <c r="E131"/>
      <c r="F131" s="27" t="s">
        <v>7</v>
      </c>
    </row>
    <row r="132" spans="1:72" x14ac:dyDescent="0.25">
      <c r="A132" s="30">
        <v>0.35049389948139187</v>
      </c>
      <c r="C132" s="1" t="s">
        <v>13</v>
      </c>
      <c r="E132"/>
      <c r="F132" s="27" t="s">
        <v>7</v>
      </c>
    </row>
    <row r="133" spans="1:72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72" x14ac:dyDescent="0.25">
      <c r="A134" s="30">
        <v>0.28966437973668741</v>
      </c>
      <c r="C134"/>
      <c r="D134"/>
      <c r="E134"/>
      <c r="F134" s="27" t="s">
        <v>7</v>
      </c>
      <c r="BG134" s="27" t="s">
        <v>8</v>
      </c>
    </row>
    <row r="135" spans="1:72" x14ac:dyDescent="0.25">
      <c r="A135" s="30">
        <v>0.2633312543060794</v>
      </c>
      <c r="C135" s="1" t="s">
        <v>14</v>
      </c>
      <c r="E135"/>
      <c r="F135" s="27" t="s">
        <v>7</v>
      </c>
      <c r="BG135" s="27" t="s">
        <v>8</v>
      </c>
      <c r="BH135" s="27" t="s">
        <v>7</v>
      </c>
    </row>
    <row r="136" spans="1:7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BG136" s="27" t="s">
        <v>8</v>
      </c>
      <c r="BH136" s="27" t="s">
        <v>7</v>
      </c>
    </row>
    <row r="137" spans="1:72" x14ac:dyDescent="0.25">
      <c r="A137" s="30">
        <v>0.2176291357901482</v>
      </c>
      <c r="E137"/>
      <c r="F137" s="27" t="s">
        <v>7</v>
      </c>
      <c r="BG137" s="27" t="s">
        <v>8</v>
      </c>
      <c r="BH137" s="27" t="s">
        <v>7</v>
      </c>
      <c r="BI137" s="27" t="s">
        <v>8</v>
      </c>
    </row>
    <row r="138" spans="1:7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BG138" s="27" t="s">
        <v>8</v>
      </c>
      <c r="BH138" s="27" t="s">
        <v>7</v>
      </c>
      <c r="BI138" s="27" t="s">
        <v>8</v>
      </c>
      <c r="BJ138" s="27" t="s">
        <v>7</v>
      </c>
    </row>
    <row r="139" spans="1:72" x14ac:dyDescent="0.25">
      <c r="A139" s="30">
        <v>0.17985878990921333</v>
      </c>
      <c r="E139"/>
      <c r="F139" s="27" t="s">
        <v>7</v>
      </c>
      <c r="BG139" s="27" t="s">
        <v>8</v>
      </c>
      <c r="BH139" s="27" t="s">
        <v>7</v>
      </c>
      <c r="BI139" s="27" t="s">
        <v>8</v>
      </c>
      <c r="BJ139" s="27" t="s">
        <v>7</v>
      </c>
      <c r="BK139" s="27" t="s">
        <v>8</v>
      </c>
      <c r="BO139" s="27" t="s">
        <v>8</v>
      </c>
    </row>
    <row r="140" spans="1:72" x14ac:dyDescent="0.25">
      <c r="A140" s="30">
        <v>0.16350799082655756</v>
      </c>
      <c r="C140" s="1">
        <v>0</v>
      </c>
      <c r="E140"/>
      <c r="F140" s="27" t="s">
        <v>7</v>
      </c>
      <c r="BG140" s="27" t="s">
        <v>8</v>
      </c>
      <c r="BH140" s="27" t="s">
        <v>7</v>
      </c>
      <c r="BI140" s="27" t="s">
        <v>8</v>
      </c>
      <c r="BJ140" s="27" t="s">
        <v>7</v>
      </c>
      <c r="BK140" s="27" t="s">
        <v>8</v>
      </c>
      <c r="BL140" s="27" t="s">
        <v>7</v>
      </c>
      <c r="BM140" s="27" t="s">
        <v>8</v>
      </c>
      <c r="BO140" s="27" t="s">
        <v>8</v>
      </c>
      <c r="BP140" s="27" t="s">
        <v>7</v>
      </c>
    </row>
    <row r="141" spans="1:72" x14ac:dyDescent="0.25">
      <c r="A141" s="30">
        <v>0.14864362802414322</v>
      </c>
      <c r="C141" s="1">
        <v>1</v>
      </c>
      <c r="E141"/>
      <c r="F141" s="27" t="s">
        <v>7</v>
      </c>
      <c r="BG141" s="27" t="s">
        <v>8</v>
      </c>
      <c r="BH141" s="27" t="s">
        <v>7</v>
      </c>
      <c r="BI141" s="27" t="s">
        <v>8</v>
      </c>
      <c r="BJ141" s="27" t="s">
        <v>7</v>
      </c>
      <c r="BK141" s="27" t="s">
        <v>8</v>
      </c>
      <c r="BL141" s="27" t="s">
        <v>7</v>
      </c>
      <c r="BM141" s="27" t="s">
        <v>8</v>
      </c>
      <c r="BN141" s="27" t="s">
        <v>7</v>
      </c>
      <c r="BO141" s="27" t="s">
        <v>8</v>
      </c>
      <c r="BP141" s="27" t="s">
        <v>7</v>
      </c>
    </row>
    <row r="142" spans="1:72" x14ac:dyDescent="0.25">
      <c r="A142" s="30">
        <v>0.13513057093103928</v>
      </c>
      <c r="C142" s="1">
        <v>2</v>
      </c>
      <c r="E142"/>
      <c r="F142" s="27" t="s">
        <v>7</v>
      </c>
      <c r="BG142" s="27" t="s">
        <v>8</v>
      </c>
      <c r="BH142" s="27" t="s">
        <v>7</v>
      </c>
      <c r="BJ142" s="27" t="s">
        <v>7</v>
      </c>
      <c r="BL142" s="27" t="s">
        <v>7</v>
      </c>
      <c r="BM142" s="27" t="s">
        <v>8</v>
      </c>
      <c r="BN142" s="27" t="s">
        <v>7</v>
      </c>
      <c r="BO142" s="27" t="s">
        <v>8</v>
      </c>
      <c r="BP142" s="27" t="s">
        <v>7</v>
      </c>
    </row>
    <row r="143" spans="1:72" x14ac:dyDescent="0.25">
      <c r="A143" s="30">
        <v>0.12284597357367205</v>
      </c>
      <c r="C143" s="1">
        <v>3</v>
      </c>
      <c r="E143"/>
      <c r="F143" s="27" t="s">
        <v>7</v>
      </c>
      <c r="AI143" s="27" t="s">
        <v>8</v>
      </c>
      <c r="AM143" s="27" t="s">
        <v>8</v>
      </c>
      <c r="BG143" s="27" t="s">
        <v>8</v>
      </c>
      <c r="BL143" s="27" t="s">
        <v>7</v>
      </c>
      <c r="BN143" s="27" t="s">
        <v>7</v>
      </c>
      <c r="BP143" s="27" t="s">
        <v>7</v>
      </c>
      <c r="BQ143" s="27" t="s">
        <v>8</v>
      </c>
      <c r="BS143" s="27" t="s">
        <v>8</v>
      </c>
    </row>
    <row r="144" spans="1:72" x14ac:dyDescent="0.25">
      <c r="A144" s="30">
        <v>0.11167815779424731</v>
      </c>
      <c r="C144" s="1">
        <v>4</v>
      </c>
      <c r="E144"/>
      <c r="F144" s="27" t="s">
        <v>7</v>
      </c>
      <c r="AI144" s="27" t="s">
        <v>8</v>
      </c>
      <c r="AJ144" s="27" t="s">
        <v>7</v>
      </c>
      <c r="AM144" s="27" t="s">
        <v>8</v>
      </c>
      <c r="AN144" s="27" t="s">
        <v>7</v>
      </c>
      <c r="BG144" s="27" t="s">
        <v>8</v>
      </c>
      <c r="BP144" s="27" t="s">
        <v>7</v>
      </c>
      <c r="BQ144" s="27" t="s">
        <v>8</v>
      </c>
      <c r="BR144" s="27" t="s">
        <v>7</v>
      </c>
      <c r="BS144" s="27" t="s">
        <v>8</v>
      </c>
      <c r="BT144" s="27" t="s">
        <v>7</v>
      </c>
    </row>
    <row r="145" spans="1:72" x14ac:dyDescent="0.25">
      <c r="A145" s="30">
        <v>0.10152559799477026</v>
      </c>
      <c r="B145"/>
      <c r="C145"/>
      <c r="D145"/>
      <c r="E145"/>
      <c r="F145" s="27" t="s">
        <v>7</v>
      </c>
      <c r="AG145" s="27" t="s">
        <v>8</v>
      </c>
      <c r="AI145" s="27" t="s">
        <v>8</v>
      </c>
      <c r="AJ145" s="27" t="s">
        <v>7</v>
      </c>
      <c r="AM145" s="27" t="s">
        <v>8</v>
      </c>
      <c r="AN145" s="27" t="s">
        <v>7</v>
      </c>
      <c r="AQ145" s="27" t="s">
        <v>8</v>
      </c>
      <c r="BG145" s="27" t="s">
        <v>8</v>
      </c>
      <c r="BP145" s="27" t="s">
        <v>7</v>
      </c>
      <c r="BQ145" s="27" t="s">
        <v>8</v>
      </c>
      <c r="BR145" s="27" t="s">
        <v>7</v>
      </c>
      <c r="BS145" s="27" t="s">
        <v>8</v>
      </c>
      <c r="BT145" s="27" t="s">
        <v>7</v>
      </c>
    </row>
    <row r="146" spans="1:72" x14ac:dyDescent="0.25">
      <c r="A146" s="30">
        <v>9.2295998177063854E-2</v>
      </c>
      <c r="B146"/>
      <c r="C146"/>
      <c r="D146"/>
      <c r="E146"/>
      <c r="F146" s="27" t="s">
        <v>7</v>
      </c>
      <c r="AG146" s="27" t="s">
        <v>8</v>
      </c>
      <c r="AH146" s="27" t="s">
        <v>7</v>
      </c>
      <c r="AI146" s="27" t="s">
        <v>8</v>
      </c>
      <c r="AJ146" s="27" t="s">
        <v>7</v>
      </c>
      <c r="AK146" s="27" t="s">
        <v>8</v>
      </c>
      <c r="AM146" s="27" t="s">
        <v>8</v>
      </c>
      <c r="AN146" s="27" t="s">
        <v>7</v>
      </c>
      <c r="AO146" s="27" t="s">
        <v>8</v>
      </c>
      <c r="AQ146" s="27" t="s">
        <v>8</v>
      </c>
      <c r="AR146" s="27" t="s">
        <v>7</v>
      </c>
      <c r="BG146" s="27" t="s">
        <v>8</v>
      </c>
      <c r="BP146" s="27" t="s">
        <v>7</v>
      </c>
      <c r="BR146" s="27" t="s">
        <v>7</v>
      </c>
      <c r="BT146" s="27" t="s">
        <v>7</v>
      </c>
    </row>
    <row r="147" spans="1:72" x14ac:dyDescent="0.25">
      <c r="A147" s="30">
        <v>8.3905452888239848E-2</v>
      </c>
      <c r="B147"/>
      <c r="C147"/>
      <c r="D147"/>
      <c r="E147"/>
      <c r="F147" s="27" t="s">
        <v>7</v>
      </c>
      <c r="AE147" s="27" t="s">
        <v>8</v>
      </c>
      <c r="AG147" s="27" t="s">
        <v>8</v>
      </c>
      <c r="AH147" s="27" t="s">
        <v>7</v>
      </c>
      <c r="AI147" s="27" t="s">
        <v>8</v>
      </c>
      <c r="AJ147" s="27" t="s">
        <v>7</v>
      </c>
      <c r="AK147" s="27" t="s">
        <v>8</v>
      </c>
      <c r="AL147" s="27" t="s">
        <v>7</v>
      </c>
      <c r="AM147" s="27" t="s">
        <v>8</v>
      </c>
      <c r="AN147" s="27" t="s">
        <v>7</v>
      </c>
      <c r="AO147" s="27" t="s">
        <v>8</v>
      </c>
      <c r="AP147" s="27" t="s">
        <v>7</v>
      </c>
      <c r="AQ147" s="27" t="s">
        <v>8</v>
      </c>
      <c r="AR147" s="27" t="s">
        <v>7</v>
      </c>
      <c r="AW147" s="27" t="s">
        <v>8</v>
      </c>
      <c r="BC147" s="27" t="s">
        <v>8</v>
      </c>
      <c r="BG147" s="27" t="s">
        <v>8</v>
      </c>
      <c r="BT147" s="27" t="s">
        <v>7</v>
      </c>
    </row>
    <row r="148" spans="1:72" x14ac:dyDescent="0.25">
      <c r="A148" s="30">
        <v>7.6277684443854396E-2</v>
      </c>
      <c r="B148"/>
      <c r="C148"/>
      <c r="D148"/>
      <c r="E148"/>
      <c r="F148" s="27" t="s">
        <v>7</v>
      </c>
      <c r="AA148" s="27" t="s">
        <v>8</v>
      </c>
      <c r="AC148" s="27" t="s">
        <v>8</v>
      </c>
      <c r="AE148" s="27" t="s">
        <v>8</v>
      </c>
      <c r="AF148" s="27" t="s">
        <v>7</v>
      </c>
      <c r="AG148" s="27" t="s">
        <v>8</v>
      </c>
      <c r="AH148" s="27" t="s">
        <v>7</v>
      </c>
      <c r="AI148" s="27" t="s">
        <v>8</v>
      </c>
      <c r="AJ148" s="27" t="s">
        <v>7</v>
      </c>
      <c r="AK148" s="27" t="s">
        <v>8</v>
      </c>
      <c r="AL148" s="27" t="s">
        <v>7</v>
      </c>
      <c r="AM148" s="27" t="s">
        <v>8</v>
      </c>
      <c r="AN148" s="27" t="s">
        <v>7</v>
      </c>
      <c r="AO148" s="27" t="s">
        <v>8</v>
      </c>
      <c r="AP148" s="27" t="s">
        <v>7</v>
      </c>
      <c r="AQ148" s="27" t="s">
        <v>8</v>
      </c>
      <c r="AR148" s="27" t="s">
        <v>7</v>
      </c>
      <c r="AS148" s="27" t="s">
        <v>8</v>
      </c>
      <c r="AW148" s="27" t="s">
        <v>8</v>
      </c>
      <c r="AX148" s="27" t="s">
        <v>7</v>
      </c>
      <c r="BC148" s="27" t="s">
        <v>8</v>
      </c>
      <c r="BD148" s="27" t="s">
        <v>7</v>
      </c>
      <c r="BE148" s="27" t="s">
        <v>8</v>
      </c>
      <c r="BG148" s="27" t="s">
        <v>8</v>
      </c>
      <c r="BT148" s="27" t="s">
        <v>7</v>
      </c>
    </row>
    <row r="149" spans="1:72" x14ac:dyDescent="0.25">
      <c r="A149" s="30">
        <v>6.9343349494413078E-2</v>
      </c>
      <c r="B149"/>
      <c r="C149"/>
      <c r="D149"/>
      <c r="E149"/>
      <c r="F149" s="27" t="s">
        <v>7</v>
      </c>
      <c r="AA149" s="27" t="s">
        <v>8</v>
      </c>
      <c r="AB149" s="27" t="s">
        <v>7</v>
      </c>
      <c r="AC149" s="27" t="s">
        <v>8</v>
      </c>
      <c r="AD149" s="27" t="s">
        <v>7</v>
      </c>
      <c r="AE149" s="27" t="s">
        <v>8</v>
      </c>
      <c r="AF149" s="27" t="s">
        <v>7</v>
      </c>
      <c r="AG149" s="27" t="s">
        <v>8</v>
      </c>
      <c r="AH149" s="27" t="s">
        <v>7</v>
      </c>
      <c r="AJ149" s="27" t="s">
        <v>7</v>
      </c>
      <c r="AL149" s="27" t="s">
        <v>7</v>
      </c>
      <c r="AN149" s="27" t="s">
        <v>7</v>
      </c>
      <c r="AP149" s="27" t="s">
        <v>7</v>
      </c>
      <c r="AR149" s="27" t="s">
        <v>7</v>
      </c>
      <c r="AS149" s="27" t="s">
        <v>8</v>
      </c>
      <c r="AT149" s="27" t="s">
        <v>7</v>
      </c>
      <c r="AW149" s="27" t="s">
        <v>8</v>
      </c>
      <c r="AX149" s="27" t="s">
        <v>7</v>
      </c>
      <c r="BC149" s="27" t="s">
        <v>8</v>
      </c>
      <c r="BD149" s="27" t="s">
        <v>7</v>
      </c>
      <c r="BE149" s="27" t="s">
        <v>8</v>
      </c>
      <c r="BF149" s="27" t="s">
        <v>7</v>
      </c>
      <c r="BG149" s="27" t="s">
        <v>8</v>
      </c>
      <c r="BT149" s="27" t="s">
        <v>7</v>
      </c>
    </row>
    <row r="150" spans="1:72" x14ac:dyDescent="0.25">
      <c r="A150" s="30">
        <v>6.3039408631284613E-2</v>
      </c>
      <c r="B150"/>
      <c r="C150"/>
      <c r="D150"/>
      <c r="E150"/>
      <c r="F150" s="27" t="s">
        <v>7</v>
      </c>
      <c r="AA150" s="27" t="s">
        <v>8</v>
      </c>
      <c r="AB150" s="27" t="s">
        <v>7</v>
      </c>
      <c r="AC150" s="27" t="s">
        <v>8</v>
      </c>
      <c r="AD150" s="27" t="s">
        <v>7</v>
      </c>
      <c r="AE150" s="27" t="s">
        <v>8</v>
      </c>
      <c r="AF150" s="27" t="s">
        <v>7</v>
      </c>
      <c r="AR150" s="27" t="s">
        <v>7</v>
      </c>
      <c r="AS150" s="27" t="s">
        <v>8</v>
      </c>
      <c r="AT150" s="27" t="s">
        <v>7</v>
      </c>
      <c r="AU150" s="27" t="s">
        <v>8</v>
      </c>
      <c r="AW150" s="27" t="s">
        <v>8</v>
      </c>
      <c r="AX150" s="27" t="s">
        <v>7</v>
      </c>
      <c r="BC150" s="27" t="s">
        <v>8</v>
      </c>
      <c r="BD150" s="27" t="s">
        <v>7</v>
      </c>
      <c r="BE150" s="27" t="s">
        <v>8</v>
      </c>
      <c r="BF150" s="27" t="s">
        <v>7</v>
      </c>
      <c r="BG150" s="27" t="s">
        <v>8</v>
      </c>
      <c r="BT150" s="27" t="s">
        <v>7</v>
      </c>
    </row>
    <row r="151" spans="1:72" x14ac:dyDescent="0.25">
      <c r="A151" s="30">
        <v>5.7308553301167818E-2</v>
      </c>
      <c r="B151"/>
      <c r="C151"/>
      <c r="D151"/>
      <c r="E151"/>
      <c r="F151" s="27" t="s">
        <v>7</v>
      </c>
      <c r="AA151" s="27" t="s">
        <v>8</v>
      </c>
      <c r="AB151" s="27" t="s">
        <v>7</v>
      </c>
      <c r="AD151" s="27" t="s">
        <v>7</v>
      </c>
      <c r="AR151" s="27" t="s">
        <v>7</v>
      </c>
      <c r="AS151" s="27" t="s">
        <v>8</v>
      </c>
      <c r="AT151" s="27" t="s">
        <v>7</v>
      </c>
      <c r="AU151" s="27" t="s">
        <v>8</v>
      </c>
      <c r="AV151" s="27" t="s">
        <v>7</v>
      </c>
      <c r="AW151" s="27" t="s">
        <v>8</v>
      </c>
      <c r="AX151" s="27" t="s">
        <v>7</v>
      </c>
      <c r="BC151" s="27" t="s">
        <v>8</v>
      </c>
      <c r="BD151" s="27" t="s">
        <v>7</v>
      </c>
      <c r="BE151" s="27" t="s">
        <v>8</v>
      </c>
      <c r="BF151" s="27" t="s">
        <v>7</v>
      </c>
      <c r="BT151" s="27" t="s">
        <v>7</v>
      </c>
    </row>
    <row r="152" spans="1:72" x14ac:dyDescent="0.25">
      <c r="A152" s="30">
        <v>5.2098684819243464E-2</v>
      </c>
      <c r="B152"/>
      <c r="C152"/>
      <c r="D152"/>
      <c r="E152"/>
      <c r="F152" s="27" t="s">
        <v>7</v>
      </c>
      <c r="Y152" s="27" t="s">
        <v>8</v>
      </c>
      <c r="AA152" s="27" t="s">
        <v>8</v>
      </c>
      <c r="AR152" s="27" t="s">
        <v>7</v>
      </c>
      <c r="AS152" s="27" t="s">
        <v>8</v>
      </c>
      <c r="AT152" s="27" t="s">
        <v>7</v>
      </c>
      <c r="AU152" s="27" t="s">
        <v>8</v>
      </c>
      <c r="AV152" s="27" t="s">
        <v>7</v>
      </c>
      <c r="AW152" s="27" t="s">
        <v>8</v>
      </c>
      <c r="AX152" s="27" t="s">
        <v>7</v>
      </c>
      <c r="BA152" s="27" t="s">
        <v>8</v>
      </c>
      <c r="BC152" s="27" t="s">
        <v>8</v>
      </c>
      <c r="BD152" s="27" t="s">
        <v>7</v>
      </c>
      <c r="BE152" s="27" t="s">
        <v>8</v>
      </c>
    </row>
    <row r="153" spans="1:72" x14ac:dyDescent="0.25">
      <c r="A153" s="30">
        <v>4.7362440744766775E-2</v>
      </c>
      <c r="B153"/>
      <c r="C153"/>
      <c r="D153"/>
      <c r="E153"/>
      <c r="F153" s="27" t="s">
        <v>7</v>
      </c>
      <c r="Y153" s="27" t="s">
        <v>8</v>
      </c>
      <c r="Z153" s="27" t="s">
        <v>7</v>
      </c>
      <c r="AA153" s="27" t="s">
        <v>8</v>
      </c>
      <c r="AR153" s="27" t="s">
        <v>7</v>
      </c>
      <c r="AS153" s="27" t="s">
        <v>8</v>
      </c>
      <c r="AT153" s="27" t="s">
        <v>7</v>
      </c>
      <c r="AU153" s="27" t="s">
        <v>8</v>
      </c>
      <c r="AV153" s="27" t="s">
        <v>7</v>
      </c>
      <c r="AW153" s="27" t="s">
        <v>8</v>
      </c>
      <c r="AX153" s="27" t="s">
        <v>7</v>
      </c>
      <c r="BA153" s="27" t="s">
        <v>8</v>
      </c>
      <c r="BB153" s="27" t="s">
        <v>7</v>
      </c>
      <c r="BC153" s="27" t="s">
        <v>8</v>
      </c>
      <c r="BD153" s="27" t="s">
        <v>7</v>
      </c>
    </row>
    <row r="154" spans="1:72" x14ac:dyDescent="0.25">
      <c r="A154" s="30">
        <v>4.3056764313424332E-2</v>
      </c>
      <c r="B154"/>
      <c r="C154"/>
      <c r="D154"/>
      <c r="E154"/>
      <c r="F154" s="27" t="s">
        <v>7</v>
      </c>
      <c r="Y154" s="27" t="s">
        <v>8</v>
      </c>
      <c r="Z154" s="27" t="s">
        <v>7</v>
      </c>
      <c r="AA154" s="27" t="s">
        <v>8</v>
      </c>
      <c r="AR154" s="27" t="s">
        <v>7</v>
      </c>
      <c r="AS154" s="27" t="s">
        <v>8</v>
      </c>
      <c r="AT154" s="27" t="s">
        <v>7</v>
      </c>
      <c r="AV154" s="27" t="s">
        <v>7</v>
      </c>
      <c r="AX154" s="27" t="s">
        <v>7</v>
      </c>
      <c r="AY154" s="27" t="s">
        <v>8</v>
      </c>
      <c r="BA154" s="27" t="s">
        <v>8</v>
      </c>
      <c r="BB154" s="27" t="s">
        <v>7</v>
      </c>
      <c r="BC154" s="27" t="s">
        <v>8</v>
      </c>
    </row>
    <row r="155" spans="1:72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W155" s="27" t="s">
        <v>8</v>
      </c>
      <c r="Y155" s="27" t="s">
        <v>8</v>
      </c>
      <c r="Z155" s="27" t="s">
        <v>7</v>
      </c>
      <c r="AA155" s="27" t="s">
        <v>8</v>
      </c>
      <c r="AR155" s="27" t="s">
        <v>7</v>
      </c>
      <c r="AS155" s="27" t="s">
        <v>8</v>
      </c>
      <c r="AX155" s="27" t="s">
        <v>7</v>
      </c>
      <c r="AY155" s="27" t="s">
        <v>8</v>
      </c>
      <c r="AZ155" s="27" t="s">
        <v>7</v>
      </c>
      <c r="BA155" s="27" t="s">
        <v>8</v>
      </c>
      <c r="BB155" s="18" t="s">
        <v>7</v>
      </c>
      <c r="BC155" s="27" t="s">
        <v>8</v>
      </c>
    </row>
    <row r="156" spans="1:72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W156" s="27" t="s">
        <v>8</v>
      </c>
      <c r="X156" s="27" t="s">
        <v>7</v>
      </c>
      <c r="Y156" s="27" t="s">
        <v>8</v>
      </c>
      <c r="Z156" s="27" t="s">
        <v>7</v>
      </c>
      <c r="AA156" s="27" t="s">
        <v>8</v>
      </c>
      <c r="AR156" s="27" t="s">
        <v>7</v>
      </c>
      <c r="AX156" s="27" t="s">
        <v>7</v>
      </c>
      <c r="AY156" s="27" t="s">
        <v>8</v>
      </c>
      <c r="AZ156" s="27" t="s">
        <v>7</v>
      </c>
      <c r="BA156" s="27" t="s">
        <v>8</v>
      </c>
      <c r="BB156" s="27" t="s">
        <v>7</v>
      </c>
    </row>
    <row r="157" spans="1:72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U157" s="27" t="s">
        <v>8</v>
      </c>
      <c r="W157" s="27" t="s">
        <v>8</v>
      </c>
      <c r="X157" s="27" t="s">
        <v>7</v>
      </c>
      <c r="Y157" s="27" t="s">
        <v>8</v>
      </c>
      <c r="Z157" s="27" t="s">
        <v>7</v>
      </c>
      <c r="AA157" s="27" t="s">
        <v>8</v>
      </c>
      <c r="AX157" s="27" t="s">
        <v>7</v>
      </c>
      <c r="AY157" s="27" t="s">
        <v>8</v>
      </c>
      <c r="AZ157" s="27" t="s">
        <v>7</v>
      </c>
    </row>
    <row r="158" spans="1:72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U158" s="27" t="s">
        <v>8</v>
      </c>
      <c r="V158" s="27" t="s">
        <v>7</v>
      </c>
      <c r="W158" s="27" t="s">
        <v>8</v>
      </c>
      <c r="X158" s="27" t="s">
        <v>7</v>
      </c>
      <c r="Z158" s="27" t="s">
        <v>7</v>
      </c>
      <c r="AX158" s="27" t="s">
        <v>7</v>
      </c>
      <c r="AY158" s="27" t="s">
        <v>8</v>
      </c>
    </row>
    <row r="159" spans="1:72" x14ac:dyDescent="0.25">
      <c r="A159" s="30">
        <v>2.6734863064137627E-2</v>
      </c>
      <c r="B159"/>
      <c r="C159"/>
      <c r="D159"/>
      <c r="E159"/>
      <c r="F159" s="27" t="s">
        <v>7</v>
      </c>
      <c r="G159" s="27" t="s">
        <v>8</v>
      </c>
      <c r="H159" s="27" t="s">
        <v>7</v>
      </c>
      <c r="S159" s="27" t="s">
        <v>8</v>
      </c>
      <c r="U159" s="27" t="s">
        <v>8</v>
      </c>
      <c r="V159" s="27" t="s">
        <v>7</v>
      </c>
      <c r="W159" s="27" t="s">
        <v>8</v>
      </c>
      <c r="AX159" s="27" t="s">
        <v>7</v>
      </c>
      <c r="AY159" s="27" t="s">
        <v>8</v>
      </c>
    </row>
    <row r="160" spans="1:72" x14ac:dyDescent="0.25">
      <c r="A160" s="30">
        <v>2.4304420967397839E-2</v>
      </c>
      <c r="B160"/>
      <c r="C160"/>
      <c r="D160"/>
      <c r="E160"/>
      <c r="F160" s="27" t="s">
        <v>7</v>
      </c>
      <c r="G160" s="27" t="s">
        <v>8</v>
      </c>
      <c r="H160" s="27" t="s">
        <v>7</v>
      </c>
      <c r="I160" s="27" t="s">
        <v>8</v>
      </c>
      <c r="K160" s="27" t="s">
        <v>8</v>
      </c>
      <c r="Q160" s="27" t="s">
        <v>8</v>
      </c>
      <c r="S160" s="27" t="s">
        <v>8</v>
      </c>
      <c r="T160" s="27" t="s">
        <v>7</v>
      </c>
      <c r="U160" s="27" t="s">
        <v>8</v>
      </c>
      <c r="V160" s="27" t="s">
        <v>7</v>
      </c>
      <c r="AX160" s="27" t="s">
        <v>7</v>
      </c>
      <c r="AY160" s="27" t="s">
        <v>8</v>
      </c>
    </row>
    <row r="161" spans="1:50" x14ac:dyDescent="0.25">
      <c r="A161" s="30">
        <v>2.2094928152179852E-2</v>
      </c>
      <c r="B161"/>
      <c r="C161"/>
      <c r="D161"/>
      <c r="E161"/>
      <c r="F161" s="27" t="s">
        <v>7</v>
      </c>
      <c r="G161" s="27" t="s">
        <v>8</v>
      </c>
      <c r="H161" s="27" t="s">
        <v>7</v>
      </c>
      <c r="I161" s="27" t="s">
        <v>8</v>
      </c>
      <c r="J161" s="27" t="s">
        <v>7</v>
      </c>
      <c r="K161" s="27" t="s">
        <v>8</v>
      </c>
      <c r="L161" s="27" t="s">
        <v>7</v>
      </c>
      <c r="M161" s="27" t="s">
        <v>8</v>
      </c>
      <c r="Q161" s="27" t="s">
        <v>8</v>
      </c>
      <c r="R161" s="27" t="s">
        <v>7</v>
      </c>
      <c r="S161" s="27" t="s">
        <v>8</v>
      </c>
      <c r="T161" s="27" t="s">
        <v>7</v>
      </c>
      <c r="U161" s="27" t="s">
        <v>8</v>
      </c>
      <c r="AX161" s="27" t="s">
        <v>7</v>
      </c>
    </row>
    <row r="162" spans="1:50" x14ac:dyDescent="0.25">
      <c r="A162" s="30">
        <v>2.0086298320163499E-2</v>
      </c>
      <c r="B162"/>
      <c r="C162"/>
      <c r="D162"/>
      <c r="E162"/>
      <c r="F162" s="27" t="s">
        <v>7</v>
      </c>
      <c r="G162" s="27" t="s">
        <v>8</v>
      </c>
      <c r="H162" s="27" t="s">
        <v>7</v>
      </c>
      <c r="I162" s="27" t="s">
        <v>8</v>
      </c>
      <c r="J162" s="27" t="s">
        <v>7</v>
      </c>
      <c r="K162" s="27" t="s">
        <v>8</v>
      </c>
      <c r="L162" s="27" t="s">
        <v>7</v>
      </c>
      <c r="M162" s="27" t="s">
        <v>8</v>
      </c>
      <c r="N162" s="27" t="s">
        <v>7</v>
      </c>
      <c r="O162" s="27" t="s">
        <v>8</v>
      </c>
      <c r="Q162" s="27" t="s">
        <v>8</v>
      </c>
      <c r="R162" s="27" t="s">
        <v>7</v>
      </c>
      <c r="S162" s="27" t="s">
        <v>8</v>
      </c>
      <c r="T162" s="27" t="s">
        <v>7</v>
      </c>
    </row>
    <row r="163" spans="1:50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H163" s="27" t="s">
        <v>7</v>
      </c>
      <c r="I163" s="27" t="s">
        <v>8</v>
      </c>
      <c r="J163" s="27" t="s">
        <v>7</v>
      </c>
      <c r="K163" s="27" t="s">
        <v>8</v>
      </c>
      <c r="L163" s="27" t="s">
        <v>7</v>
      </c>
      <c r="M163" s="27" t="s">
        <v>8</v>
      </c>
      <c r="N163" s="27" t="s">
        <v>7</v>
      </c>
      <c r="O163" s="27" t="s">
        <v>8</v>
      </c>
      <c r="P163" s="27" t="s">
        <v>7</v>
      </c>
      <c r="Q163" s="27" t="s">
        <v>8</v>
      </c>
      <c r="R163" s="27" t="s">
        <v>7</v>
      </c>
    </row>
    <row r="164" spans="1:50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H164" s="27" t="s">
        <v>7</v>
      </c>
      <c r="J164" s="27" t="s">
        <v>7</v>
      </c>
      <c r="L164" s="27" t="s">
        <v>7</v>
      </c>
      <c r="M164" s="27" t="s">
        <v>8</v>
      </c>
      <c r="N164" s="27" t="s">
        <v>7</v>
      </c>
      <c r="O164" s="27" t="s">
        <v>8</v>
      </c>
      <c r="P164" s="27" t="s">
        <v>7</v>
      </c>
      <c r="Q164" s="27" t="s">
        <v>8</v>
      </c>
    </row>
    <row r="165" spans="1:50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L165" s="27" t="s">
        <v>7</v>
      </c>
      <c r="M165" s="27" t="s">
        <v>8</v>
      </c>
      <c r="N165" s="27" t="s">
        <v>7</v>
      </c>
      <c r="P165" s="27" t="s">
        <v>7</v>
      </c>
    </row>
    <row r="166" spans="1:50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L166" s="27" t="s">
        <v>7</v>
      </c>
    </row>
    <row r="167" spans="1:50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</row>
    <row r="168" spans="1:50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</row>
    <row r="169" spans="1:50" x14ac:dyDescent="0.25">
      <c r="A169" s="30">
        <v>1.0307447048195697E-2</v>
      </c>
      <c r="B169"/>
      <c r="C169"/>
      <c r="D169"/>
      <c r="E169"/>
      <c r="F169" s="27" t="s">
        <v>7</v>
      </c>
    </row>
    <row r="170" spans="1:50" x14ac:dyDescent="0.25">
      <c r="A170" s="30">
        <v>9.3704064074506318E-3</v>
      </c>
      <c r="B170"/>
      <c r="C170"/>
      <c r="D170"/>
      <c r="E170"/>
    </row>
    <row r="171" spans="1:50" x14ac:dyDescent="0.25">
      <c r="A171" s="30">
        <v>8.5185512795005747E-3</v>
      </c>
    </row>
    <row r="172" spans="1:50" x14ac:dyDescent="0.25">
      <c r="A172" s="30">
        <v>7.744137526818704E-3</v>
      </c>
    </row>
    <row r="173" spans="1:50" x14ac:dyDescent="0.25">
      <c r="A173" s="30">
        <v>7.0401250243806394E-3</v>
      </c>
    </row>
    <row r="174" spans="1:50" x14ac:dyDescent="0.25">
      <c r="A174" s="30">
        <v>6.4001136585278536E-3</v>
      </c>
    </row>
    <row r="175" spans="1:50" x14ac:dyDescent="0.25">
      <c r="A175" s="30">
        <v>5.8182851441162305E-3</v>
      </c>
    </row>
    <row r="176" spans="1:50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78" operator="equal">
      <formula>$U$1</formula>
    </cfRule>
    <cfRule type="cellIs" dxfId="30" priority="1079" operator="equal">
      <formula>$S$1</formula>
    </cfRule>
  </conditionalFormatting>
  <conditionalFormatting sqref="D136">
    <cfRule type="cellIs" dxfId="29" priority="1076" operator="equal">
      <formula>$S$1</formula>
    </cfRule>
    <cfRule type="cellIs" dxfId="28" priority="1077" operator="equal">
      <formula>$U$1</formula>
    </cfRule>
  </conditionalFormatting>
  <conditionalFormatting sqref="C102">
    <cfRule type="cellIs" dxfId="27" priority="1074" operator="equal">
      <formula>$U$1</formula>
    </cfRule>
    <cfRule type="cellIs" dxfId="26" priority="1075" operator="equal">
      <formula>$S$1</formula>
    </cfRule>
  </conditionalFormatting>
  <conditionalFormatting sqref="D102">
    <cfRule type="cellIs" dxfId="25" priority="1072" operator="equal">
      <formula>$S$1</formula>
    </cfRule>
    <cfRule type="cellIs" dxfId="24" priority="1073" operator="equal">
      <formula>$U$1</formula>
    </cfRule>
  </conditionalFormatting>
  <conditionalFormatting sqref="C77">
    <cfRule type="cellIs" dxfId="23" priority="1070" operator="equal">
      <formula>$U$1</formula>
    </cfRule>
    <cfRule type="cellIs" dxfId="22" priority="1071" operator="equal">
      <formula>$S$1</formula>
    </cfRule>
  </conditionalFormatting>
  <conditionalFormatting sqref="D77">
    <cfRule type="cellIs" dxfId="21" priority="1068" operator="equal">
      <formula>$S$1</formula>
    </cfRule>
    <cfRule type="cellIs" dxfId="20" priority="1069" operator="equal">
      <formula>$U$1</formula>
    </cfRule>
  </conditionalFormatting>
  <conditionalFormatting sqref="C52">
    <cfRule type="cellIs" dxfId="19" priority="1066" operator="equal">
      <formula>$U$1</formula>
    </cfRule>
    <cfRule type="cellIs" dxfId="18" priority="1067" operator="equal">
      <formula>$S$1</formula>
    </cfRule>
  </conditionalFormatting>
  <conditionalFormatting sqref="D52">
    <cfRule type="cellIs" dxfId="17" priority="1064" operator="equal">
      <formula>$S$1</formula>
    </cfRule>
    <cfRule type="cellIs" dxfId="16" priority="1065" operator="equal">
      <formula>$U$1</formula>
    </cfRule>
  </conditionalFormatting>
  <conditionalFormatting sqref="C26">
    <cfRule type="cellIs" dxfId="15" priority="1062" operator="equal">
      <formula>$U$1</formula>
    </cfRule>
    <cfRule type="cellIs" dxfId="14" priority="1063" operator="equal">
      <formula>$S$1</formula>
    </cfRule>
  </conditionalFormatting>
  <conditionalFormatting sqref="D26">
    <cfRule type="cellIs" dxfId="13" priority="1060" operator="equal">
      <formula>$S$1</formula>
    </cfRule>
    <cfRule type="cellIs" dxfId="12" priority="106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2022-01-28T01:21:34Z</dcterms:modified>
</cp:coreProperties>
</file>