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A290A4E-46FB-4A5F-A8F3-A720C82D23D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4"/>
  <c r="C118" i="5"/>
  <c r="C116" i="5"/>
  <c r="C122" i="4"/>
  <c r="C133" i="4" s="1"/>
  <c r="C136" i="4" s="1"/>
  <c r="S766" i="1"/>
  <c r="T766" i="1" s="1"/>
  <c r="R765" i="1"/>
  <c r="S765" i="1" s="1"/>
  <c r="T765" i="1" s="1"/>
  <c r="D136" i="5"/>
  <c r="C136" i="5"/>
  <c r="C122" i="3"/>
  <c r="C133" i="3" s="1"/>
  <c r="C136" i="3" s="1"/>
  <c r="C118" i="3"/>
  <c r="C138" i="5" l="1"/>
  <c r="D136" i="4"/>
  <c r="C138" i="4" s="1"/>
  <c r="R764" i="1"/>
  <c r="R763" i="1" s="1"/>
  <c r="D136" i="3"/>
  <c r="C138" i="3" s="1"/>
  <c r="S764" i="1" l="1"/>
  <c r="T764" i="1" s="1"/>
  <c r="S763" i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S729" i="1" l="1"/>
  <c r="T729" i="1" s="1"/>
  <c r="R728" i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R670" i="1" l="1"/>
  <c r="S671" i="1"/>
  <c r="T671" i="1" s="1"/>
  <c r="S670" i="1" l="1"/>
  <c r="T670" i="1" s="1"/>
  <c r="R669" i="1"/>
  <c r="S669" i="1" l="1"/>
  <c r="T669" i="1" s="1"/>
  <c r="R668" i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S641" i="1" l="1"/>
  <c r="T641" i="1" s="1"/>
  <c r="R640" i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R542" i="1" l="1"/>
  <c r="S543" i="1"/>
  <c r="T543" i="1" s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R58" i="1" l="1"/>
  <c r="S59" i="1"/>
  <c r="T59" i="1" s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<sst xmlns="http://schemas.openxmlformats.org/spreadsheetml/2006/main" count="4068" uniqueCount="34">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</sst>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1753.1</c:v>
                </c:pt>
                <c:pt idx="1">
                  <c:v>1791.6</c:v>
                </c:pt>
                <c:pt idx="2">
                  <c:v>1712.6</c:v>
                </c:pt>
                <c:pt idx="3">
                  <c:v>1612.9</c:v>
                </c:pt>
                <c:pt idx="4">
                  <c:v>1680.3</c:v>
                </c:pt>
                <c:pt idx="5">
                  <c:v>1345.9</c:v>
                </c:pt>
                <c:pt idx="6">
                  <c:v>1414.3</c:v>
                </c:pt>
                <c:pt idx="7">
                  <c:v>1660.1</c:v>
                </c:pt>
                <c:pt idx="8">
                  <c:v>1598.7</c:v>
                </c:pt>
                <c:pt idx="9">
                  <c:v>1623.8</c:v>
                </c:pt>
                <c:pt idx="10">
                  <c:v>1460.5</c:v>
                </c:pt>
                <c:pt idx="11">
                  <c:v>1442.6</c:v>
                </c:pt>
                <c:pt idx="12">
                  <c:v>1417.4</c:v>
                </c:pt>
                <c:pt idx="13">
                  <c:v>1413.1</c:v>
                </c:pt>
                <c:pt idx="14">
                  <c:v>1305.9000000000001</c:v>
                </c:pt>
                <c:pt idx="15">
                  <c:v>1260.8</c:v>
                </c:pt>
                <c:pt idx="16">
                  <c:v>1212.0999999999999</c:v>
                </c:pt>
                <c:pt idx="17">
                  <c:v>1141.0999999999999</c:v>
                </c:pt>
                <c:pt idx="18">
                  <c:v>1230.2</c:v>
                </c:pt>
                <c:pt idx="19">
                  <c:v>1167.5999999999999</c:v>
                </c:pt>
                <c:pt idx="20">
                  <c:v>1123</c:v>
                </c:pt>
                <c:pt idx="21">
                  <c:v>1194.3</c:v>
                </c:pt>
                <c:pt idx="22">
                  <c:v>1194.9000000000001</c:v>
                </c:pt>
                <c:pt idx="23">
                  <c:v>1226.7</c:v>
                </c:pt>
                <c:pt idx="24">
                  <c:v>1210</c:v>
                </c:pt>
                <c:pt idx="25">
                  <c:v>1213.3</c:v>
                </c:pt>
                <c:pt idx="26">
                  <c:v>1217.9000000000001</c:v>
                </c:pt>
                <c:pt idx="27">
                  <c:v>1202.8</c:v>
                </c:pt>
                <c:pt idx="28">
                  <c:v>1168</c:v>
                </c:pt>
                <c:pt idx="29">
                  <c:v>1165</c:v>
                </c:pt>
                <c:pt idx="30">
                  <c:v>1182.7</c:v>
                </c:pt>
                <c:pt idx="31">
                  <c:v>1207.5999999999999</c:v>
                </c:pt>
                <c:pt idx="32">
                  <c:v>1258.0999999999999</c:v>
                </c:pt>
                <c:pt idx="33">
                  <c:v>1300.3</c:v>
                </c:pt>
                <c:pt idx="34">
                  <c:v>1310.4000000000001</c:v>
                </c:pt>
                <c:pt idx="35">
                  <c:v>1317.7</c:v>
                </c:pt>
                <c:pt idx="36">
                  <c:v>1302.2</c:v>
                </c:pt>
                <c:pt idx="37">
                  <c:v>1322</c:v>
                </c:pt>
                <c:pt idx="38">
                  <c:v>1308</c:v>
                </c:pt>
                <c:pt idx="39">
                  <c:v>1306.0999999999999</c:v>
                </c:pt>
                <c:pt idx="40">
                  <c:v>1332.2</c:v>
                </c:pt>
                <c:pt idx="41">
                  <c:v>1350.7</c:v>
                </c:pt>
                <c:pt idx="42">
                  <c:v>1362</c:v>
                </c:pt>
                <c:pt idx="43">
                  <c:v>1419.1</c:v>
                </c:pt>
                <c:pt idx="44">
                  <c:v>1370.6</c:v>
                </c:pt>
                <c:pt idx="45">
                  <c:v>1395.8</c:v>
                </c:pt>
                <c:pt idx="46">
                  <c:v>1537.8</c:v>
                </c:pt>
                <c:pt idx="47">
                  <c:v>1523.7</c:v>
                </c:pt>
                <c:pt idx="48">
                  <c:v>1500</c:v>
                </c:pt>
                <c:pt idx="49">
                  <c:v>1452.5</c:v>
                </c:pt>
                <c:pt idx="50">
                  <c:v>1398.2</c:v>
                </c:pt>
                <c:pt idx="51">
                  <c:v>1324.5</c:v>
                </c:pt>
                <c:pt idx="52">
                  <c:v>1337</c:v>
                </c:pt>
                <c:pt idx="53">
                  <c:v>1268.5999999999999</c:v>
                </c:pt>
                <c:pt idx="54">
                  <c:v>1306.9000000000001</c:v>
                </c:pt>
                <c:pt idx="55">
                  <c:v>1508.1</c:v>
                </c:pt>
                <c:pt idx="56">
                  <c:v>1546.5</c:v>
                </c:pt>
                <c:pt idx="57">
                  <c:v>1487.5</c:v>
                </c:pt>
                <c:pt idx="58">
                  <c:v>1358.1</c:v>
                </c:pt>
                <c:pt idx="59">
                  <c:v>1277.5</c:v>
                </c:pt>
                <c:pt idx="60">
                  <c:v>1271.5</c:v>
                </c:pt>
                <c:pt idx="61">
                  <c:v>1235.5999999999999</c:v>
                </c:pt>
                <c:pt idx="62">
                  <c:v>1218.3</c:v>
                </c:pt>
                <c:pt idx="63">
                  <c:v>1318.4</c:v>
                </c:pt>
                <c:pt idx="64">
                  <c:v>1195.3</c:v>
                </c:pt>
                <c:pt idx="65">
                  <c:v>1197.0999999999999</c:v>
                </c:pt>
                <c:pt idx="66">
                  <c:v>1116</c:v>
                </c:pt>
                <c:pt idx="67">
                  <c:v>1120.3</c:v>
                </c:pt>
                <c:pt idx="68">
                  <c:v>1159.9000000000001</c:v>
                </c:pt>
                <c:pt idx="69">
                  <c:v>1115.2</c:v>
                </c:pt>
                <c:pt idx="70">
                  <c:v>1083.4000000000001</c:v>
                </c:pt>
                <c:pt idx="71">
                  <c:v>1230.8</c:v>
                </c:pt>
                <c:pt idx="72">
                  <c:v>1304</c:v>
                </c:pt>
                <c:pt idx="73">
                  <c:v>1344.7</c:v>
                </c:pt>
                <c:pt idx="74">
                  <c:v>1389.4</c:v>
                </c:pt>
                <c:pt idx="75">
                  <c:v>1404.3</c:v>
                </c:pt>
                <c:pt idx="76">
                  <c:v>1359</c:v>
                </c:pt>
                <c:pt idx="77">
                  <c:v>1382.6</c:v>
                </c:pt>
                <c:pt idx="78">
                  <c:v>1413.8</c:v>
                </c:pt>
                <c:pt idx="79">
                  <c:v>1449.1</c:v>
                </c:pt>
                <c:pt idx="80">
                  <c:v>1461.3</c:v>
                </c:pt>
                <c:pt idx="81">
                  <c:v>1441.4</c:v>
                </c:pt>
                <c:pt idx="82">
                  <c:v>1450.8</c:v>
                </c:pt>
                <c:pt idx="83">
                  <c:v>1382</c:v>
                </c:pt>
                <c:pt idx="84">
                  <c:v>1343.8</c:v>
                </c:pt>
                <c:pt idx="85">
                  <c:v>1348.4</c:v>
                </c:pt>
                <c:pt idx="86">
                  <c:v>1306.2</c:v>
                </c:pt>
                <c:pt idx="87">
                  <c:v>1324.9</c:v>
                </c:pt>
                <c:pt idx="88">
                  <c:v>1315.3</c:v>
                </c:pt>
                <c:pt idx="89">
                  <c:v>1342.5</c:v>
                </c:pt>
                <c:pt idx="90">
                  <c:v>1379</c:v>
                </c:pt>
                <c:pt idx="91">
                  <c:v>1365</c:v>
                </c:pt>
                <c:pt idx="92">
                  <c:v>1284.2</c:v>
                </c:pt>
                <c:pt idx="93">
                  <c:v>1422.2</c:v>
                </c:pt>
                <c:pt idx="94">
                  <c:v>1313</c:v>
                </c:pt>
                <c:pt idx="95">
                  <c:v>1239.8</c:v>
                </c:pt>
                <c:pt idx="96">
                  <c:v>1255</c:v>
                </c:pt>
                <c:pt idx="97">
                  <c:v>1234.8</c:v>
                </c:pt>
                <c:pt idx="98">
                  <c:v>1238.8</c:v>
                </c:pt>
                <c:pt idx="99">
                  <c:v>1288.9000000000001</c:v>
                </c:pt>
                <c:pt idx="100">
                  <c:v>1210.0999999999999</c:v>
                </c:pt>
                <c:pt idx="101">
                  <c:v>1229.5</c:v>
                </c:pt>
                <c:pt idx="102">
                  <c:v>1266.4000000000001</c:v>
                </c:pt>
                <c:pt idx="103">
                  <c:v>1285.3</c:v>
                </c:pt>
                <c:pt idx="104">
                  <c:v>1215.8</c:v>
                </c:pt>
                <c:pt idx="105">
                  <c:v>1148.8</c:v>
                </c:pt>
                <c:pt idx="106">
                  <c:v>1200</c:v>
                </c:pt>
                <c:pt idx="107">
                  <c:v>1050</c:v>
                </c:pt>
                <c:pt idx="108">
                  <c:v>1078.4000000000001</c:v>
                </c:pt>
                <c:pt idx="109">
                  <c:v>1076.7</c:v>
                </c:pt>
                <c:pt idx="110">
                  <c:v>1097.4000000000001</c:v>
                </c:pt>
                <c:pt idx="111">
                  <c:v>1064.5999999999999</c:v>
                </c:pt>
                <c:pt idx="112">
                  <c:v>1060.3</c:v>
                </c:pt>
                <c:pt idx="113">
                  <c:v>1040.0999999999999</c:v>
                </c:pt>
                <c:pt idx="114">
                  <c:v>1088.9000000000001</c:v>
                </c:pt>
                <c:pt idx="115">
                  <c:v>1071.5999999999999</c:v>
                </c:pt>
                <c:pt idx="116">
                  <c:v>1111</c:v>
                </c:pt>
                <c:pt idx="117">
                  <c:v>1173.3</c:v>
                </c:pt>
                <c:pt idx="118">
                  <c:v>1092.2</c:v>
                </c:pt>
                <c:pt idx="119">
                  <c:v>1002.8</c:v>
                </c:pt>
                <c:pt idx="120">
                  <c:v>982.5</c:v>
                </c:pt>
                <c:pt idx="121">
                  <c:v>1009.8</c:v>
                </c:pt>
                <c:pt idx="122">
                  <c:v>1059.0999999999999</c:v>
                </c:pt>
                <c:pt idx="123">
                  <c:v>1067.5999999999999</c:v>
                </c:pt>
                <c:pt idx="124">
                  <c:v>1049</c:v>
                </c:pt>
                <c:pt idx="125">
                  <c:v>1046.0999999999999</c:v>
                </c:pt>
                <c:pt idx="126">
                  <c:v>1119.5</c:v>
                </c:pt>
                <c:pt idx="127">
                  <c:v>1124.5</c:v>
                </c:pt>
                <c:pt idx="128">
                  <c:v>992.3</c:v>
                </c:pt>
                <c:pt idx="129">
                  <c:v>1008.9</c:v>
                </c:pt>
                <c:pt idx="130">
                  <c:v>1044.4000000000001</c:v>
                </c:pt>
                <c:pt idx="131">
                  <c:v>1113.9000000000001</c:v>
                </c:pt>
                <c:pt idx="132">
                  <c:v>1069.8</c:v>
                </c:pt>
                <c:pt idx="133">
                  <c:v>1180.5</c:v>
                </c:pt>
                <c:pt idx="134">
                  <c:v>1167.9000000000001</c:v>
                </c:pt>
                <c:pt idx="135">
                  <c:v>1191.4000000000001</c:v>
                </c:pt>
                <c:pt idx="136">
                  <c:v>1096.0999999999999</c:v>
                </c:pt>
                <c:pt idx="137">
                  <c:v>1181.4000000000001</c:v>
                </c:pt>
                <c:pt idx="138">
                  <c:v>1204.9000000000001</c:v>
                </c:pt>
                <c:pt idx="139">
                  <c:v>1177</c:v>
                </c:pt>
                <c:pt idx="140">
                  <c:v>1241.3</c:v>
                </c:pt>
                <c:pt idx="141">
                  <c:v>1395.6</c:v>
                </c:pt>
                <c:pt idx="142">
                  <c:v>1111.2</c:v>
                </c:pt>
                <c:pt idx="143">
                  <c:v>1223.3</c:v>
                </c:pt>
                <c:pt idx="144">
                  <c:v>1263.8</c:v>
                </c:pt>
                <c:pt idx="145">
                  <c:v>1250.5999999999999</c:v>
                </c:pt>
                <c:pt idx="146">
                  <c:v>1197.5</c:v>
                </c:pt>
                <c:pt idx="147">
                  <c:v>1125</c:v>
                </c:pt>
                <c:pt idx="148">
                  <c:v>1108.8</c:v>
                </c:pt>
                <c:pt idx="149">
                  <c:v>1022.5</c:v>
                </c:pt>
                <c:pt idx="150">
                  <c:v>1020.3</c:v>
                </c:pt>
                <c:pt idx="151">
                  <c:v>1062.7</c:v>
                </c:pt>
                <c:pt idx="152">
                  <c:v>1071.3</c:v>
                </c:pt>
                <c:pt idx="153">
                  <c:v>1096.5999999999999</c:v>
                </c:pt>
                <c:pt idx="154">
                  <c:v>1047.9000000000001</c:v>
                </c:pt>
                <c:pt idx="155">
                  <c:v>1126.75</c:v>
                </c:pt>
                <c:pt idx="156">
                  <c:v>1133.3399999999999</c:v>
                </c:pt>
                <c:pt idx="157">
                  <c:v>1260.17</c:v>
                </c:pt>
                <c:pt idx="158">
                  <c:v>1264.4000000000001</c:v>
                </c:pt>
                <c:pt idx="159">
                  <c:v>1253.3</c:v>
                </c:pt>
                <c:pt idx="160">
                  <c:v>1198.24</c:v>
                </c:pt>
                <c:pt idx="161">
                  <c:v>1142.2</c:v>
                </c:pt>
                <c:pt idx="162">
                  <c:v>1068.67</c:v>
                </c:pt>
                <c:pt idx="163">
                  <c:v>1084.04</c:v>
                </c:pt>
                <c:pt idx="164">
                  <c:v>1117</c:v>
                </c:pt>
                <c:pt idx="165">
                  <c:v>1151.6199999999999</c:v>
                </c:pt>
                <c:pt idx="166">
                  <c:v>1186.33</c:v>
                </c:pt>
                <c:pt idx="167">
                  <c:v>1123.3800000000001</c:v>
                </c:pt>
                <c:pt idx="168">
                  <c:v>1022.33</c:v>
                </c:pt>
                <c:pt idx="169">
                  <c:v>1051.3399999999999</c:v>
                </c:pt>
                <c:pt idx="170">
                  <c:v>1055.22</c:v>
                </c:pt>
                <c:pt idx="171">
                  <c:v>1011.58</c:v>
                </c:pt>
                <c:pt idx="172">
                  <c:v>964.25</c:v>
                </c:pt>
                <c:pt idx="173">
                  <c:v>1052.27</c:v>
                </c:pt>
                <c:pt idx="174">
                  <c:v>1055</c:v>
                </c:pt>
                <c:pt idx="175">
                  <c:v>1053.5</c:v>
                </c:pt>
                <c:pt idx="176">
                  <c:v>1020.98</c:v>
                </c:pt>
                <c:pt idx="177">
                  <c:v>970.06</c:v>
                </c:pt>
                <c:pt idx="178">
                  <c:v>1014.81</c:v>
                </c:pt>
                <c:pt idx="179">
                  <c:v>1019.76</c:v>
                </c:pt>
                <c:pt idx="180">
                  <c:v>989.62</c:v>
                </c:pt>
                <c:pt idx="181">
                  <c:v>969.78</c:v>
                </c:pt>
                <c:pt idx="182">
                  <c:v>979.43</c:v>
                </c:pt>
                <c:pt idx="183">
                  <c:v>819.39</c:v>
                </c:pt>
                <c:pt idx="184">
                  <c:v>805.56</c:v>
                </c:pt>
                <c:pt idx="185">
                  <c:v>805</c:v>
                </c:pt>
                <c:pt idx="186">
                  <c:v>810</c:v>
                </c:pt>
                <c:pt idx="187">
                  <c:v>800.05</c:v>
                </c:pt>
                <c:pt idx="188">
                  <c:v>789.44</c:v>
                </c:pt>
                <c:pt idx="189">
                  <c:v>765.21</c:v>
                </c:pt>
                <c:pt idx="190">
                  <c:v>774.7</c:v>
                </c:pt>
                <c:pt idx="191">
                  <c:v>706.59</c:v>
                </c:pt>
                <c:pt idx="192">
                  <c:v>765.61</c:v>
                </c:pt>
                <c:pt idx="193">
                  <c:v>830.73</c:v>
                </c:pt>
                <c:pt idx="194">
                  <c:v>819.56</c:v>
                </c:pt>
                <c:pt idx="195">
                  <c:v>833.93</c:v>
                </c:pt>
                <c:pt idx="196">
                  <c:v>868</c:v>
                </c:pt>
                <c:pt idx="197">
                  <c:v>884</c:v>
                </c:pt>
                <c:pt idx="198">
                  <c:v>893.83</c:v>
                </c:pt>
                <c:pt idx="199">
                  <c:v>918.49</c:v>
                </c:pt>
                <c:pt idx="200">
                  <c:v>959.31</c:v>
                </c:pt>
                <c:pt idx="201">
                  <c:v>942.07</c:v>
                </c:pt>
                <c:pt idx="202">
                  <c:v>972.35</c:v>
                </c:pt>
                <c:pt idx="203">
                  <c:v>968.26</c:v>
                </c:pt>
                <c:pt idx="204">
                  <c:v>1026.29</c:v>
                </c:pt>
                <c:pt idx="205">
                  <c:v>1061</c:v>
                </c:pt>
                <c:pt idx="206">
                  <c:v>1040</c:v>
                </c:pt>
                <c:pt idx="207">
                  <c:v>1065.3800000000001</c:v>
                </c:pt>
                <c:pt idx="208">
                  <c:v>1031.33</c:v>
                </c:pt>
                <c:pt idx="209">
                  <c:v>1016.78</c:v>
                </c:pt>
                <c:pt idx="210">
                  <c:v>1013.37</c:v>
                </c:pt>
                <c:pt idx="211">
                  <c:v>1061.1500000000001</c:v>
                </c:pt>
                <c:pt idx="212">
                  <c:v>1061.3900000000001</c:v>
                </c:pt>
                <c:pt idx="213">
                  <c:v>1023</c:v>
                </c:pt>
                <c:pt idx="214">
                  <c:v>985</c:v>
                </c:pt>
                <c:pt idx="215">
                  <c:v>927.99</c:v>
                </c:pt>
                <c:pt idx="216">
                  <c:v>968.81</c:v>
                </c:pt>
                <c:pt idx="217">
                  <c:v>1061.18</c:v>
                </c:pt>
                <c:pt idx="218">
                  <c:v>1113.75</c:v>
                </c:pt>
                <c:pt idx="219">
                  <c:v>1105</c:v>
                </c:pt>
                <c:pt idx="220">
                  <c:v>1199.5</c:v>
                </c:pt>
                <c:pt idx="221">
                  <c:v>1475.12</c:v>
                </c:pt>
                <c:pt idx="222">
                  <c:v>1518.04</c:v>
                </c:pt>
                <c:pt idx="223">
                  <c:v>1442.63</c:v>
                </c:pt>
                <c:pt idx="224">
                  <c:v>1707.83</c:v>
                </c:pt>
                <c:pt idx="225">
                  <c:v>1471.65</c:v>
                </c:pt>
                <c:pt idx="226">
                  <c:v>1557.91</c:v>
                </c:pt>
                <c:pt idx="227">
                  <c:v>1619.19</c:v>
                </c:pt>
                <c:pt idx="228">
                  <c:v>1358</c:v>
                </c:pt>
                <c:pt idx="229">
                  <c:v>1100</c:v>
                </c:pt>
                <c:pt idx="230">
                  <c:v>1075.7</c:v>
                </c:pt>
                <c:pt idx="231">
                  <c:v>1005.06</c:v>
                </c:pt>
                <c:pt idx="232">
                  <c:v>1202</c:v>
                </c:pt>
                <c:pt idx="233">
                  <c:v>975.99</c:v>
                </c:pt>
                <c:pt idx="234">
                  <c:v>972.83</c:v>
                </c:pt>
                <c:pt idx="235">
                  <c:v>1069.6600000000001</c:v>
                </c:pt>
                <c:pt idx="236">
                  <c:v>1075.76</c:v>
                </c:pt>
                <c:pt idx="237">
                  <c:v>1155.3900000000001</c:v>
                </c:pt>
                <c:pt idx="238">
                  <c:v>1206.53</c:v>
                </c:pt>
                <c:pt idx="239">
                  <c:v>1077.82</c:v>
                </c:pt>
                <c:pt idx="240">
                  <c:v>986.71</c:v>
                </c:pt>
                <c:pt idx="241">
                  <c:v>954.49</c:v>
                </c:pt>
                <c:pt idx="242">
                  <c:v>885.18</c:v>
                </c:pt>
                <c:pt idx="243">
                  <c:v>838.36</c:v>
                </c:pt>
                <c:pt idx="244">
                  <c:v>861.17</c:v>
                </c:pt>
                <c:pt idx="245">
                  <c:v>1009.06</c:v>
                </c:pt>
                <c:pt idx="246">
                  <c:v>942.73</c:v>
                </c:pt>
                <c:pt idx="247">
                  <c:v>783.33</c:v>
                </c:pt>
                <c:pt idx="248">
                  <c:v>835.01</c:v>
                </c:pt>
                <c:pt idx="249">
                  <c:v>603.58000000000004</c:v>
                </c:pt>
                <c:pt idx="250">
                  <c:v>715.39</c:v>
                </c:pt>
                <c:pt idx="251">
                  <c:v>751.88</c:v>
                </c:pt>
                <c:pt idx="252">
                  <c:v>832.46</c:v>
                </c:pt>
                <c:pt idx="253">
                  <c:v>865.7</c:v>
                </c:pt>
                <c:pt idx="254">
                  <c:v>1219.5</c:v>
                </c:pt>
                <c:pt idx="255">
                  <c:v>1184.99</c:v>
                </c:pt>
                <c:pt idx="256">
                  <c:v>1289.25</c:v>
                </c:pt>
                <c:pt idx="257">
                  <c:v>1350.9</c:v>
                </c:pt>
                <c:pt idx="258">
                  <c:v>1448.94</c:v>
                </c:pt>
                <c:pt idx="259">
                  <c:v>1216.0899999999999</c:v>
                </c:pt>
                <c:pt idx="260">
                  <c:v>1260.1099999999999</c:v>
                </c:pt>
                <c:pt idx="261">
                  <c:v>1473</c:v>
                </c:pt>
                <c:pt idx="262">
                  <c:v>1454.4</c:v>
                </c:pt>
                <c:pt idx="263">
                  <c:v>1537.19</c:v>
                </c:pt>
                <c:pt idx="264">
                  <c:v>1538.3</c:v>
                </c:pt>
                <c:pt idx="265">
                  <c:v>1573.2</c:v>
                </c:pt>
                <c:pt idx="266">
                  <c:v>1607.74</c:v>
                </c:pt>
                <c:pt idx="267">
                  <c:v>1663.19</c:v>
                </c:pt>
                <c:pt idx="268">
                  <c:v>1636.87</c:v>
                </c:pt>
                <c:pt idx="269">
                  <c:v>1986.65</c:v>
                </c:pt>
                <c:pt idx="270">
                  <c:v>1720</c:v>
                </c:pt>
                <c:pt idx="271">
                  <c:v>1706.14</c:v>
                </c:pt>
                <c:pt idx="272">
                  <c:v>1771.55</c:v>
                </c:pt>
                <c:pt idx="273">
                  <c:v>1765.1</c:v>
                </c:pt>
                <c:pt idx="274">
                  <c:v>1401.93</c:v>
                </c:pt>
                <c:pt idx="275">
                  <c:v>1347.71</c:v>
                </c:pt>
                <c:pt idx="276">
                  <c:v>1322.91</c:v>
                </c:pt>
                <c:pt idx="277">
                  <c:v>1244.95</c:v>
                </c:pt>
                <c:pt idx="278">
                  <c:v>1369.64</c:v>
                </c:pt>
                <c:pt idx="279">
                  <c:v>1430</c:v>
                </c:pt>
                <c:pt idx="280">
                  <c:v>1481.85</c:v>
                </c:pt>
                <c:pt idx="281">
                  <c:v>1536</c:v>
                </c:pt>
                <c:pt idx="282">
                  <c:v>1894.93</c:v>
                </c:pt>
                <c:pt idx="283">
                  <c:v>1855.65</c:v>
                </c:pt>
                <c:pt idx="284">
                  <c:v>1869.75</c:v>
                </c:pt>
                <c:pt idx="285">
                  <c:v>2096.9</c:v>
                </c:pt>
                <c:pt idx="286">
                  <c:v>2188.04</c:v>
                </c:pt>
                <c:pt idx="287">
                  <c:v>2600</c:v>
                </c:pt>
                <c:pt idx="288">
                  <c:v>2488.6</c:v>
                </c:pt>
                <c:pt idx="289">
                  <c:v>2249.9699999999998</c:v>
                </c:pt>
                <c:pt idx="290">
                  <c:v>2149.92</c:v>
                </c:pt>
                <c:pt idx="291">
                  <c:v>1971.82</c:v>
                </c:pt>
                <c:pt idx="292">
                  <c:v>1962</c:v>
                </c:pt>
                <c:pt idx="293">
                  <c:v>1975</c:v>
                </c:pt>
                <c:pt idx="294">
                  <c:v>1994.68</c:v>
                </c:pt>
                <c:pt idx="295">
                  <c:v>1870</c:v>
                </c:pt>
                <c:pt idx="296">
                  <c:v>1855.11</c:v>
                </c:pt>
                <c:pt idx="297">
                  <c:v>1888.66</c:v>
                </c:pt>
                <c:pt idx="298">
                  <c:v>1830.4</c:v>
                </c:pt>
                <c:pt idx="299">
                  <c:v>1786.06</c:v>
                </c:pt>
                <c:pt idx="300">
                  <c:v>1934.11</c:v>
                </c:pt>
                <c:pt idx="301">
                  <c:v>2103.9499999999998</c:v>
                </c:pt>
                <c:pt idx="302">
                  <c:v>2063.94</c:v>
                </c:pt>
                <c:pt idx="303">
                  <c:v>2239.35</c:v>
                </c:pt>
                <c:pt idx="304">
                  <c:v>2225</c:v>
                </c:pt>
                <c:pt idx="305">
                  <c:v>2319</c:v>
                </c:pt>
                <c:pt idx="306">
                  <c:v>2261.85</c:v>
                </c:pt>
                <c:pt idx="307">
                  <c:v>1942.42</c:v>
                </c:pt>
                <c:pt idx="308">
                  <c:v>1868.01</c:v>
                </c:pt>
                <c:pt idx="309">
                  <c:v>1663.02</c:v>
                </c:pt>
                <c:pt idx="310">
                  <c:v>1768.27</c:v>
                </c:pt>
                <c:pt idx="311">
                  <c:v>1847.47</c:v>
                </c:pt>
                <c:pt idx="312">
                  <c:v>2156.4</c:v>
                </c:pt>
                <c:pt idx="313">
                  <c:v>2056.02</c:v>
                </c:pt>
                <c:pt idx="314">
                  <c:v>2030.61</c:v>
                </c:pt>
                <c:pt idx="315">
                  <c:v>2430.6</c:v>
                </c:pt>
                <c:pt idx="316">
                  <c:v>2687.14</c:v>
                </c:pt>
                <c:pt idx="317">
                  <c:v>3054.36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A-4314-ADBF-45CA87A4D7D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-2.2755107767130213E-4</c:v>
                </c:pt>
                <c:pt idx="1">
                  <c:v>-2.2725934687208187E-4</c:v>
                </c:pt>
                <c:pt idx="2">
                  <c:v>-2.3018194630507159E-4</c:v>
                </c:pt>
                <c:pt idx="3">
                  <c:v>-2.3112833582157437E-4</c:v>
                </c:pt>
                <c:pt idx="4">
                  <c:v>-2.3549941127671303E-4</c:v>
                </c:pt>
                <c:pt idx="5">
                  <c:v>-2.4284531990829197E-4</c:v>
                </c:pt>
                <c:pt idx="6">
                  <c:v>-2.4311878508550148E-4</c:v>
                </c:pt>
                <c:pt idx="7">
                  <c:v>-2.3495656347637695E-4</c:v>
                </c:pt>
                <c:pt idx="8">
                  <c:v>-2.3294964301910141E-4</c:v>
                </c:pt>
                <c:pt idx="9">
                  <c:v>-2.3253773698475323E-4</c:v>
                </c:pt>
                <c:pt idx="10">
                  <c:v>-2.3748797849882197E-4</c:v>
                </c:pt>
                <c:pt idx="11">
                  <c:v>-2.3664497864882197E-4</c:v>
                </c:pt>
                <c:pt idx="12">
                  <c:v>-2.3725310478215527E-4</c:v>
                </c:pt>
                <c:pt idx="13">
                  <c:v>-2.3496598566414287E-4</c:v>
                </c:pt>
                <c:pt idx="14">
                  <c:v>-2.3818243229780623E-4</c:v>
                </c:pt>
                <c:pt idx="15">
                  <c:v>-2.397619492660214E-4</c:v>
                </c:pt>
                <c:pt idx="16">
                  <c:v>-2.4166720598243929E-4</c:v>
                </c:pt>
                <c:pt idx="17">
                  <c:v>-2.423784671761771E-4</c:v>
                </c:pt>
                <c:pt idx="18">
                  <c:v>-2.4155374385601897E-4</c:v>
                </c:pt>
                <c:pt idx="19">
                  <c:v>-2.4220859260601899E-4</c:v>
                </c:pt>
                <c:pt idx="20">
                  <c:v>-2.4343763657779316E-4</c:v>
                </c:pt>
                <c:pt idx="21">
                  <c:v>-2.4206738784586878E-4</c:v>
                </c:pt>
                <c:pt idx="22">
                  <c:v>-2.4232099803383873E-4</c:v>
                </c:pt>
                <c:pt idx="23">
                  <c:v>-2.403355676943076E-4</c:v>
                </c:pt>
                <c:pt idx="24">
                  <c:v>-2.3881280741944909E-4</c:v>
                </c:pt>
                <c:pt idx="25">
                  <c:v>-2.3927106569759479E-4</c:v>
                </c:pt>
                <c:pt idx="26">
                  <c:v>-2.4011317472085058E-4</c:v>
                </c:pt>
                <c:pt idx="27">
                  <c:v>-2.4104544495340873E-4</c:v>
                </c:pt>
                <c:pt idx="28">
                  <c:v>-2.41749991280298E-4</c:v>
                </c:pt>
                <c:pt idx="29">
                  <c:v>-2.4097205794696466E-4</c:v>
                </c:pt>
                <c:pt idx="30">
                  <c:v>-2.3893427794696468E-4</c:v>
                </c:pt>
                <c:pt idx="31">
                  <c:v>-2.3996050116478648E-4</c:v>
                </c:pt>
                <c:pt idx="32">
                  <c:v>-2.3944646331543066E-4</c:v>
                </c:pt>
                <c:pt idx="33">
                  <c:v>-2.3796788056180748E-4</c:v>
                </c:pt>
                <c:pt idx="34">
                  <c:v>-2.3764598296180744E-4</c:v>
                </c:pt>
                <c:pt idx="35">
                  <c:v>-2.3602878274441616E-4</c:v>
                </c:pt>
                <c:pt idx="36">
                  <c:v>-2.3589848628423918E-4</c:v>
                </c:pt>
                <c:pt idx="37">
                  <c:v>-2.3417546628423918E-4</c:v>
                </c:pt>
                <c:pt idx="38">
                  <c:v>-2.3481512315498749E-4</c:v>
                </c:pt>
                <c:pt idx="39">
                  <c:v>-2.3759722855463226E-4</c:v>
                </c:pt>
                <c:pt idx="40">
                  <c:v>-2.3640124504111871E-4</c:v>
                </c:pt>
                <c:pt idx="41">
                  <c:v>-2.366124378493379E-4</c:v>
                </c:pt>
                <c:pt idx="42">
                  <c:v>-2.3651326931688259E-4</c:v>
                </c:pt>
                <c:pt idx="43">
                  <c:v>-2.3424492256466148E-4</c:v>
                </c:pt>
                <c:pt idx="44">
                  <c:v>-2.3589662489069551E-4</c:v>
                </c:pt>
                <c:pt idx="45">
                  <c:v>-2.3508075537040032E-4</c:v>
                </c:pt>
                <c:pt idx="46">
                  <c:v>-2.3177791193554416E-4</c:v>
                </c:pt>
                <c:pt idx="47">
                  <c:v>-2.3346618327031271E-4</c:v>
                </c:pt>
                <c:pt idx="48">
                  <c:v>-2.337143001629681E-4</c:v>
                </c:pt>
                <c:pt idx="49">
                  <c:v>-2.3325555474465888E-4</c:v>
                </c:pt>
                <c:pt idx="50">
                  <c:v>-2.3691370444615142E-4</c:v>
                </c:pt>
                <c:pt idx="51">
                  <c:v>-2.3969193384939101E-4</c:v>
                </c:pt>
                <c:pt idx="52">
                  <c:v>-2.3204905153231779E-4</c:v>
                </c:pt>
                <c:pt idx="53">
                  <c:v>-2.4993141935462904E-4</c:v>
                </c:pt>
                <c:pt idx="54">
                  <c:v>-2.4528046706704732E-4</c:v>
                </c:pt>
                <c:pt idx="55">
                  <c:v>-2.4143501473903572E-4</c:v>
                </c:pt>
                <c:pt idx="56">
                  <c:v>-2.4189622373173641E-4</c:v>
                </c:pt>
                <c:pt idx="57">
                  <c:v>-2.4354803850352066E-4</c:v>
                </c:pt>
                <c:pt idx="58">
                  <c:v>-2.5440397209966357E-4</c:v>
                </c:pt>
                <c:pt idx="59">
                  <c:v>-2.5441561374318211E-4</c:v>
                </c:pt>
                <c:pt idx="60">
                  <c:v>-2.5701246593649071E-4</c:v>
                </c:pt>
                <c:pt idx="61">
                  <c:v>-2.5951879250511809E-4</c:v>
                </c:pt>
                <c:pt idx="62">
                  <c:v>-2.5869605332986032E-4</c:v>
                </c:pt>
                <c:pt idx="63">
                  <c:v>-2.5729829058531426E-4</c:v>
                </c:pt>
                <c:pt idx="64">
                  <c:v>-2.5922702772027877E-4</c:v>
                </c:pt>
                <c:pt idx="65">
                  <c:v>-2.5928695904455721E-4</c:v>
                </c:pt>
                <c:pt idx="66">
                  <c:v>-2.6121786397859418E-4</c:v>
                </c:pt>
                <c:pt idx="67">
                  <c:v>-2.600450056318847E-4</c:v>
                </c:pt>
                <c:pt idx="68">
                  <c:v>-2.5803006445541412E-4</c:v>
                </c:pt>
                <c:pt idx="69">
                  <c:v>-2.6019276667988328E-4</c:v>
                </c:pt>
                <c:pt idx="70">
                  <c:v>-2.5956394535040352E-4</c:v>
                </c:pt>
                <c:pt idx="71">
                  <c:v>-2.55967222156022E-4</c:v>
                </c:pt>
                <c:pt idx="72">
                  <c:v>-2.5356289051760392E-4</c:v>
                </c:pt>
                <c:pt idx="73">
                  <c:v>-2.5571483192864683E-4</c:v>
                </c:pt>
                <c:pt idx="74">
                  <c:v>-2.5435919868494936E-4</c:v>
                </c:pt>
                <c:pt idx="75">
                  <c:v>-2.5411735671571859E-4</c:v>
                </c:pt>
                <c:pt idx="76">
                  <c:v>-2.5506103467466955E-4</c:v>
                </c:pt>
                <c:pt idx="77">
                  <c:v>-2.5477976623204662E-4</c:v>
                </c:pt>
                <c:pt idx="78">
                  <c:v>-2.5205440489783258E-4</c:v>
                </c:pt>
                <c:pt idx="79">
                  <c:v>-2.4943036084655053E-4</c:v>
                </c:pt>
                <c:pt idx="80">
                  <c:v>-2.4903038238269508E-4</c:v>
                </c:pt>
                <c:pt idx="81">
                  <c:v>-2.4845629598925246E-4</c:v>
                </c:pt>
                <c:pt idx="82">
                  <c:v>-2.4931369984817364E-4</c:v>
                </c:pt>
                <c:pt idx="83">
                  <c:v>-2.5187778984817364E-4</c:v>
                </c:pt>
                <c:pt idx="84">
                  <c:v>-2.5056104669127384E-4</c:v>
                </c:pt>
                <c:pt idx="85">
                  <c:v>-2.5359004780859225E-4</c:v>
                </c:pt>
                <c:pt idx="86">
                  <c:v>-2.5457592304154299E-4</c:v>
                </c:pt>
                <c:pt idx="87">
                  <c:v>-2.5243004169142852E-4</c:v>
                </c:pt>
                <c:pt idx="88">
                  <c:v>-2.5232561226559128E-4</c:v>
                </c:pt>
                <c:pt idx="89">
                  <c:v>-2.4993157364490155E-4</c:v>
                </c:pt>
                <c:pt idx="90">
                  <c:v>-2.4666786918847743E-4</c:v>
                </c:pt>
                <c:pt idx="91">
                  <c:v>-2.4478028448762275E-4</c:v>
                </c:pt>
                <c:pt idx="92">
                  <c:v>-2.4757715445539934E-4</c:v>
                </c:pt>
                <c:pt idx="93">
                  <c:v>-2.4215578232908352E-4</c:v>
                </c:pt>
                <c:pt idx="94">
                  <c:v>-2.5112296378566618E-4</c:v>
                </c:pt>
                <c:pt idx="95">
                  <c:v>-2.5432844437927351E-4</c:v>
                </c:pt>
                <c:pt idx="96">
                  <c:v>-2.5525149631297516E-4</c:v>
                </c:pt>
                <c:pt idx="97">
                  <c:v>-2.5783929978519737E-4</c:v>
                </c:pt>
                <c:pt idx="98">
                  <c:v>-2.571462033665927E-4</c:v>
                </c:pt>
                <c:pt idx="99">
                  <c:v>-2.5460684477923208E-4</c:v>
                </c:pt>
                <c:pt idx="100">
                  <c:v>-2.5640813766786974E-4</c:v>
                </c:pt>
                <c:pt idx="101">
                  <c:v>-2.54237445365585E-4</c:v>
                </c:pt>
                <c:pt idx="102">
                  <c:v>-2.5275485563549057E-4</c:v>
                </c:pt>
                <c:pt idx="103">
                  <c:v>-2.5336598225678765E-4</c:v>
                </c:pt>
                <c:pt idx="104">
                  <c:v>-2.5246957328318054E-4</c:v>
                </c:pt>
                <c:pt idx="105">
                  <c:v>-2.5660018774263996E-4</c:v>
                </c:pt>
                <c:pt idx="106">
                  <c:v>-2.5348057940930666E-4</c:v>
                </c:pt>
                <c:pt idx="107">
                  <c:v>-2.6519344933662346E-4</c:v>
                </c:pt>
                <c:pt idx="108">
                  <c:v>-2.6816360296565573E-4</c:v>
                </c:pt>
                <c:pt idx="109">
                  <c:v>-2.6556000479664163E-4</c:v>
                </c:pt>
                <c:pt idx="110">
                  <c:v>-2.6167710992572942E-4</c:v>
                </c:pt>
                <c:pt idx="111">
                  <c:v>-2.4639663906200586E-4</c:v>
                </c:pt>
                <c:pt idx="112">
                  <c:v>-2.4903379925133456E-4</c:v>
                </c:pt>
                <c:pt idx="113">
                  <c:v>-2.5427708721120079E-4</c:v>
                </c:pt>
                <c:pt idx="114">
                  <c:v>-2.4966573684975497E-4</c:v>
                </c:pt>
                <c:pt idx="115">
                  <c:v>-2.5351733584304357E-4</c:v>
                </c:pt>
                <c:pt idx="116">
                  <c:v>-2.5208266540009054E-4</c:v>
                </c:pt>
                <c:pt idx="117">
                  <c:v>-2.4523601829398126E-4</c:v>
                </c:pt>
                <c:pt idx="118">
                  <c:v>-2.4628682189124416E-4</c:v>
                </c:pt>
                <c:pt idx="119">
                  <c:v>-2.5223576219103003E-4</c:v>
                </c:pt>
                <c:pt idx="120">
                  <c:v>-2.5195066243026448E-4</c:v>
                </c:pt>
                <c:pt idx="121">
                  <c:v>-2.4869364283026452E-4</c:v>
                </c:pt>
                <c:pt idx="122">
                  <c:v>-2.4714193685548277E-4</c:v>
                </c:pt>
                <c:pt idx="123">
                  <c:v>-2.429363093881198E-4</c:v>
                </c:pt>
                <c:pt idx="124">
                  <c:v>-2.4571713236750769E-4</c:v>
                </c:pt>
                <c:pt idx="125">
                  <c:v>-2.4188335608179342E-4</c:v>
                </c:pt>
                <c:pt idx="126">
                  <c:v>-2.3993697538653676E-4</c:v>
                </c:pt>
                <c:pt idx="127">
                  <c:v>-2.4160444471524046E-4</c:v>
                </c:pt>
                <c:pt idx="128">
                  <c:v>-2.5699273191064277E-4</c:v>
                </c:pt>
                <c:pt idx="129">
                  <c:v>-2.4039846378214071E-4</c:v>
                </c:pt>
                <c:pt idx="130">
                  <c:v>-2.4034237091903639E-4</c:v>
                </c:pt>
                <c:pt idx="131">
                  <c:v>-2.3541076064157975E-4</c:v>
                </c:pt>
                <c:pt idx="132">
                  <c:v>-2.3472502484912696E-4</c:v>
                </c:pt>
                <c:pt idx="133">
                  <c:v>-2.2795426342383962E-4</c:v>
                </c:pt>
                <c:pt idx="134">
                  <c:v>-2.3343179243888752E-4</c:v>
                </c:pt>
                <c:pt idx="135">
                  <c:v>-2.35391204168029E-4</c:v>
                </c:pt>
                <c:pt idx="136">
                  <c:v>-2.4181962021140971E-4</c:v>
                </c:pt>
                <c:pt idx="137">
                  <c:v>-2.3772230220878157E-4</c:v>
                </c:pt>
                <c:pt idx="138">
                  <c:v>-2.3423293610276729E-4</c:v>
                </c:pt>
                <c:pt idx="139">
                  <c:v>-2.2701351485855141E-4</c:v>
                </c:pt>
                <c:pt idx="140">
                  <c:v>-1.9650669150314304E-4</c:v>
                </c:pt>
                <c:pt idx="141">
                  <c:v>-1.6176861429051647E-4</c:v>
                </c:pt>
                <c:pt idx="142">
                  <c:v>-1.7814226305763015E-4</c:v>
                </c:pt>
                <c:pt idx="143">
                  <c:v>-1.7409562798236132E-4</c:v>
                </c:pt>
                <c:pt idx="144">
                  <c:v>-1.7069228522748064E-4</c:v>
                </c:pt>
                <c:pt idx="145">
                  <c:v>-1.721461201470948E-4</c:v>
                </c:pt>
                <c:pt idx="146">
                  <c:v>-1.6650407123434309E-4</c:v>
                </c:pt>
                <c:pt idx="147">
                  <c:v>-1.685892026243787E-4</c:v>
                </c:pt>
                <c:pt idx="148">
                  <c:v>-1.6970009913464261E-4</c:v>
                </c:pt>
                <c:pt idx="149">
                  <c:v>-1.7333823929138243E-4</c:v>
                </c:pt>
                <c:pt idx="150">
                  <c:v>-1.7293380256654497E-4</c:v>
                </c:pt>
                <c:pt idx="151">
                  <c:v>-1.7024079206930741E-4</c:v>
                </c:pt>
                <c:pt idx="152">
                  <c:v>-1.6925202661791853E-4</c:v>
                </c:pt>
                <c:pt idx="153">
                  <c:v>-1.6875230897085971E-4</c:v>
                </c:pt>
                <c:pt idx="154">
                  <c:v>-1.7181093374996743E-4</c:v>
                </c:pt>
                <c:pt idx="155">
                  <c:v>-1.6777500782186788E-4</c:v>
                </c:pt>
                <c:pt idx="156">
                  <c:v>-1.6920496220821778E-4</c:v>
                </c:pt>
                <c:pt idx="157">
                  <c:v>-1.6581103788433115E-4</c:v>
                </c:pt>
                <c:pt idx="158">
                  <c:v>-1.6623419857911793E-4</c:v>
                </c:pt>
                <c:pt idx="159">
                  <c:v>-1.6661596777737072E-4</c:v>
                </c:pt>
                <c:pt idx="160">
                  <c:v>-1.6837368749902246E-4</c:v>
                </c:pt>
                <c:pt idx="161">
                  <c:v>-1.7055442742404075E-4</c:v>
                </c:pt>
                <c:pt idx="162">
                  <c:v>-1.7305757291343266E-4</c:v>
                </c:pt>
                <c:pt idx="163">
                  <c:v>-1.7337300099398476E-4</c:v>
                </c:pt>
                <c:pt idx="164">
                  <c:v>-1.6735039718436325E-4</c:v>
                </c:pt>
                <c:pt idx="165">
                  <c:v>-1.6057520703368757E-4</c:v>
                </c:pt>
                <c:pt idx="166">
                  <c:v>-1.6012479242564557E-4</c:v>
                </c:pt>
                <c:pt idx="167">
                  <c:v>-1.5022306528893168E-4</c:v>
                </c:pt>
                <c:pt idx="168">
                  <c:v>-1.560845391032063E-4</c:v>
                </c:pt>
                <c:pt idx="169">
                  <c:v>-1.5483313290231345E-4</c:v>
                </c:pt>
                <c:pt idx="170">
                  <c:v>-1.5186203972557117E-4</c:v>
                </c:pt>
                <c:pt idx="171">
                  <c:v>-1.566978826073063E-4</c:v>
                </c:pt>
                <c:pt idx="172">
                  <c:v>-1.5878651051639723E-4</c:v>
                </c:pt>
                <c:pt idx="173">
                  <c:v>-1.5203456114355491E-4</c:v>
                </c:pt>
                <c:pt idx="174">
                  <c:v>-1.5149676348897659E-4</c:v>
                </c:pt>
                <c:pt idx="175">
                  <c:v>-1.5290068584185017E-4</c:v>
                </c:pt>
                <c:pt idx="176">
                  <c:v>-1.5876600820654798E-4</c:v>
                </c:pt>
                <c:pt idx="177">
                  <c:v>-1.6206379286415928E-4</c:v>
                </c:pt>
                <c:pt idx="178">
                  <c:v>-1.6043028652256683E-4</c:v>
                </c:pt>
                <c:pt idx="179">
                  <c:v>-1.5927759889282001E-4</c:v>
                </c:pt>
                <c:pt idx="180">
                  <c:v>-1.471563649008091E-4</c:v>
                </c:pt>
                <c:pt idx="181">
                  <c:v>-1.4729899188738752E-4</c:v>
                </c:pt>
                <c:pt idx="182">
                  <c:v>-1.3726957101247261E-4</c:v>
                </c:pt>
                <c:pt idx="183">
                  <c:v>-1.5524610265644327E-4</c:v>
                </c:pt>
                <c:pt idx="184">
                  <c:v>-1.5693257632647619E-4</c:v>
                </c:pt>
                <c:pt idx="185">
                  <c:v>-1.5459633732575192E-4</c:v>
                </c:pt>
                <c:pt idx="186">
                  <c:v>-1.4664294098708762E-4</c:v>
                </c:pt>
                <c:pt idx="187">
                  <c:v>-1.4431882652042095E-4</c:v>
                </c:pt>
                <c:pt idx="188">
                  <c:v>-1.4569526369966621E-4</c:v>
                </c:pt>
                <c:pt idx="189">
                  <c:v>-1.3533125822806318E-4</c:v>
                </c:pt>
                <c:pt idx="190">
                  <c:v>-1.3598923696920415E-4</c:v>
                </c:pt>
                <c:pt idx="191">
                  <c:v>-1.384503478158861E-4</c:v>
                </c:pt>
                <c:pt idx="192">
                  <c:v>-1.3802211284456539E-4</c:v>
                </c:pt>
                <c:pt idx="193">
                  <c:v>-1.3590238630658644E-4</c:v>
                </c:pt>
                <c:pt idx="194">
                  <c:v>-1.352135305636287E-4</c:v>
                </c:pt>
                <c:pt idx="195">
                  <c:v>-1.3408109114156918E-4</c:v>
                </c:pt>
                <c:pt idx="196">
                  <c:v>-1.3197243222503501E-4</c:v>
                </c:pt>
                <c:pt idx="197">
                  <c:v>-1.3027758892126244E-4</c:v>
                </c:pt>
                <c:pt idx="198">
                  <c:v>-1.3093053258519686E-4</c:v>
                </c:pt>
                <c:pt idx="199">
                  <c:v>-1.2966953988215638E-4</c:v>
                </c:pt>
                <c:pt idx="200">
                  <c:v>-1.2840083844669611E-4</c:v>
                </c:pt>
                <c:pt idx="201">
                  <c:v>-1.3005241845733077E-4</c:v>
                </c:pt>
                <c:pt idx="202">
                  <c:v>-1.2860113014589875E-4</c:v>
                </c:pt>
                <c:pt idx="203">
                  <c:v>-1.2732547481125953E-4</c:v>
                </c:pt>
                <c:pt idx="204">
                  <c:v>-1.2500952488714249E-4</c:v>
                </c:pt>
                <c:pt idx="205">
                  <c:v>-1.2020460028870034E-4</c:v>
                </c:pt>
                <c:pt idx="206">
                  <c:v>-1.1936645393084289E-4</c:v>
                </c:pt>
                <c:pt idx="207">
                  <c:v>-1.1942149294560798E-4</c:v>
                </c:pt>
                <c:pt idx="208">
                  <c:v>-1.2062953300019506E-4</c:v>
                </c:pt>
                <c:pt idx="209">
                  <c:v>-1.2147330988882468E-4</c:v>
                </c:pt>
                <c:pt idx="210">
                  <c:v>-1.2414807307031583E-4</c:v>
                </c:pt>
                <c:pt idx="211">
                  <c:v>-1.2400691853701559E-4</c:v>
                </c:pt>
                <c:pt idx="212">
                  <c:v>-1.2652757534849929E-4</c:v>
                </c:pt>
                <c:pt idx="213">
                  <c:v>-1.248363997864692E-4</c:v>
                </c:pt>
                <c:pt idx="214">
                  <c:v>-1.2744169226685333E-4</c:v>
                </c:pt>
                <c:pt idx="215">
                  <c:v>-1.3042026975788301E-4</c:v>
                </c:pt>
                <c:pt idx="216">
                  <c:v>-1.293208536555392E-4</c:v>
                </c:pt>
                <c:pt idx="217">
                  <c:v>-1.247359811797844E-4</c:v>
                </c:pt>
                <c:pt idx="218">
                  <c:v>-1.1959299957211538E-4</c:v>
                </c:pt>
                <c:pt idx="219">
                  <c:v>-1.178977542572357E-4</c:v>
                </c:pt>
                <c:pt idx="220">
                  <c:v>-1.1535761043005634E-4</c:v>
                </c:pt>
                <c:pt idx="221">
                  <c:v>-1.0665760716870424E-4</c:v>
                </c:pt>
                <c:pt idx="222">
                  <c:v>-1.0855644295673109E-4</c:v>
                </c:pt>
                <c:pt idx="223">
                  <c:v>-1.112011917077285E-4</c:v>
                </c:pt>
                <c:pt idx="224">
                  <c:v>-8.9831365097102698E-5</c:v>
                </c:pt>
                <c:pt idx="225">
                  <c:v>-1.0040739827854822E-4</c:v>
                </c:pt>
                <c:pt idx="226">
                  <c:v>-9.7148119451431167E-5</c:v>
                </c:pt>
                <c:pt idx="227">
                  <c:v>-8.6390080068322447E-5</c:v>
                </c:pt>
                <c:pt idx="228">
                  <c:v>-1.1050024127377527E-4</c:v>
                </c:pt>
                <c:pt idx="229">
                  <c:v>-1.2218655336373711E-4</c:v>
                </c:pt>
                <c:pt idx="230">
                  <c:v>-1.236246257652729E-4</c:v>
                </c:pt>
                <c:pt idx="231">
                  <c:v>-1.2441219283957096E-4</c:v>
                </c:pt>
                <c:pt idx="232">
                  <c:v>-1.1200746149008948E-4</c:v>
                </c:pt>
                <c:pt idx="233">
                  <c:v>-1.1629703623162934E-4</c:v>
                </c:pt>
                <c:pt idx="234">
                  <c:v>-1.2054161802373169E-4</c:v>
                </c:pt>
                <c:pt idx="235">
                  <c:v>-1.1571159725815742E-4</c:v>
                </c:pt>
                <c:pt idx="236">
                  <c:v>-1.1116173065020316E-4</c:v>
                </c:pt>
                <c:pt idx="237">
                  <c:v>-1.07928614791282E-4</c:v>
                </c:pt>
                <c:pt idx="238">
                  <c:v>-1.1064494585280983E-4</c:v>
                </c:pt>
                <c:pt idx="239">
                  <c:v>-1.1584407243818347E-4</c:v>
                </c:pt>
                <c:pt idx="240">
                  <c:v>-1.174726005972766E-4</c:v>
                </c:pt>
                <c:pt idx="241">
                  <c:v>-1.2066902202470359E-4</c:v>
                </c:pt>
                <c:pt idx="242">
                  <c:v>-1.2655501822470358E-4</c:v>
                </c:pt>
                <c:pt idx="243">
                  <c:v>-1.2737400719642404E-4</c:v>
                </c:pt>
                <c:pt idx="244">
                  <c:v>-1.2702908318654266E-4</c:v>
                </c:pt>
                <c:pt idx="245">
                  <c:v>-1.1795671636584829E-4</c:v>
                </c:pt>
                <c:pt idx="246">
                  <c:v>-1.2285512666784646E-4</c:v>
                </c:pt>
                <c:pt idx="247">
                  <c:v>-1.2944751533373845E-4</c:v>
                </c:pt>
                <c:pt idx="248">
                  <c:v>-1.2767597838414074E-4</c:v>
                </c:pt>
                <c:pt idx="249">
                  <c:v>-1.418852132703482E-4</c:v>
                </c:pt>
                <c:pt idx="250">
                  <c:v>-1.480624955307313E-4</c:v>
                </c:pt>
                <c:pt idx="251">
                  <c:v>-1.4647964562682721E-4</c:v>
                </c:pt>
                <c:pt idx="252">
                  <c:v>-1.4930132215587038E-4</c:v>
                </c:pt>
                <c:pt idx="253">
                  <c:v>-1.5699277873937648E-4</c:v>
                </c:pt>
                <c:pt idx="254">
                  <c:v>-1.5404406201350505E-4</c:v>
                </c:pt>
                <c:pt idx="255">
                  <c:v>-1.5110269012622179E-4</c:v>
                </c:pt>
                <c:pt idx="256">
                  <c:v>-1.4428093150136164E-4</c:v>
                </c:pt>
                <c:pt idx="257">
                  <c:v>-1.4897382617410284E-4</c:v>
                </c:pt>
                <c:pt idx="258">
                  <c:v>-1.3350879068933942E-4</c:v>
                </c:pt>
                <c:pt idx="259">
                  <c:v>-1.510722460147735E-4</c:v>
                </c:pt>
                <c:pt idx="260">
                  <c:v>-1.4517368909207966E-4</c:v>
                </c:pt>
                <c:pt idx="261">
                  <c:v>-1.3342011869207966E-4</c:v>
                </c:pt>
                <c:pt idx="262">
                  <c:v>-1.4695861632789257E-4</c:v>
                </c:pt>
                <c:pt idx="263">
                  <c:v>-1.4058540341282979E-4</c:v>
                </c:pt>
                <c:pt idx="264">
                  <c:v>-1.3864557345082584E-4</c:v>
                </c:pt>
                <c:pt idx="265">
                  <c:v>-1.3569890443805441E-4</c:v>
                </c:pt>
                <c:pt idx="266">
                  <c:v>-1.328235976682976E-4</c:v>
                </c:pt>
                <c:pt idx="267">
                  <c:v>-1.2916107127307217E-4</c:v>
                </c:pt>
                <c:pt idx="268">
                  <c:v>-1.1944294435964489E-4</c:v>
                </c:pt>
                <c:pt idx="269">
                  <c:v>-9.6285014523062593E-5</c:v>
                </c:pt>
                <c:pt idx="270">
                  <c:v>-1.1375981060541907E-4</c:v>
                </c:pt>
                <c:pt idx="271">
                  <c:v>-1.2655359767824756E-4</c:v>
                </c:pt>
                <c:pt idx="272">
                  <c:v>-1.3236377517061401E-4</c:v>
                </c:pt>
                <c:pt idx="273">
                  <c:v>-1.3422947859669611E-4</c:v>
                </c:pt>
                <c:pt idx="274">
                  <c:v>-1.746538543165359E-4</c:v>
                </c:pt>
                <c:pt idx="275">
                  <c:v>-1.8254321870261154E-4</c:v>
                </c:pt>
                <c:pt idx="276">
                  <c:v>-1.7815961327455551E-4</c:v>
                </c:pt>
                <c:pt idx="277">
                  <c:v>-1.7417082235425936E-4</c:v>
                </c:pt>
                <c:pt idx="278">
                  <c:v>-1.6494450489783473E-4</c:v>
                </c:pt>
                <c:pt idx="279">
                  <c:v>-1.6445572902802643E-4</c:v>
                </c:pt>
                <c:pt idx="280">
                  <c:v>-1.7332104165725869E-4</c:v>
                </c:pt>
                <c:pt idx="281">
                  <c:v>-1.5973291489256762E-4</c:v>
                </c:pt>
                <c:pt idx="282">
                  <c:v>-1.5348531248618295E-4</c:v>
                </c:pt>
                <c:pt idx="283">
                  <c:v>-1.5889790585272046E-4</c:v>
                </c:pt>
                <c:pt idx="284">
                  <c:v>-1.5938753422479592E-4</c:v>
                </c:pt>
                <c:pt idx="285">
                  <c:v>-1.6579147345219164E-4</c:v>
                </c:pt>
                <c:pt idx="286">
                  <c:v>-1.5512046525506063E-4</c:v>
                </c:pt>
                <c:pt idx="287">
                  <c:v>-1.4407555986827088E-4</c:v>
                </c:pt>
                <c:pt idx="288">
                  <c:v>-1.5704297516827087E-4</c:v>
                </c:pt>
                <c:pt idx="289">
                  <c:v>-1.7501226044911E-4</c:v>
                </c:pt>
                <c:pt idx="290">
                  <c:v>-1.7591460909976894E-4</c:v>
                </c:pt>
                <c:pt idx="291">
                  <c:v>-1.9284584665751889E-4</c:v>
                </c:pt>
                <c:pt idx="292">
                  <c:v>-1.9837822289883074E-4</c:v>
                </c:pt>
                <c:pt idx="293">
                  <c:v>-1.9372722837247836E-4</c:v>
                </c:pt>
                <c:pt idx="294">
                  <c:v>-1.9708336745305103E-4</c:v>
                </c:pt>
                <c:pt idx="295">
                  <c:v>-2.0444717016272187E-4</c:v>
                </c:pt>
                <c:pt idx="296">
                  <c:v>-2.0708641846272187E-4</c:v>
                </c:pt>
                <c:pt idx="297">
                  <c:v>-2.0275178578684305E-4</c:v>
                </c:pt>
                <c:pt idx="298">
                  <c:v>-2.0029244924681621E-4</c:v>
                </c:pt>
                <c:pt idx="299">
                  <c:v>-1.9609272573019188E-4</c:v>
                </c:pt>
                <c:pt idx="300">
                  <c:v>-1.9010473842474471E-4</c:v>
                </c:pt>
                <c:pt idx="301">
                  <c:v>-1.8200924009532983E-4</c:v>
                </c:pt>
                <c:pt idx="302">
                  <c:v>-1.8398911951717262E-4</c:v>
                </c:pt>
                <c:pt idx="303">
                  <c:v>-1.7690336706743494E-4</c:v>
                </c:pt>
                <c:pt idx="304">
                  <c:v>-1.7738568675206655E-4</c:v>
                </c:pt>
                <c:pt idx="305">
                  <c:v>-1.7474682892275673E-4</c:v>
                </c:pt>
                <c:pt idx="306">
                  <c:v>-1.7486876354020012E-4</c:v>
                </c:pt>
                <c:pt idx="307">
                  <c:v>-1.8989841826323937E-4</c:v>
                </c:pt>
                <c:pt idx="308">
                  <c:v>-1.841438961613005E-4</c:v>
                </c:pt>
                <c:pt idx="309">
                  <c:v>-1.9753346390603051E-4</c:v>
                </c:pt>
                <c:pt idx="310">
                  <c:v>-1.8876732638609266E-4</c:v>
                </c:pt>
                <c:pt idx="311">
                  <c:v>-1.886488868052374E-4</c:v>
                </c:pt>
                <c:pt idx="312">
                  <c:v>-1.7292098969556049E-4</c:v>
                </c:pt>
                <c:pt idx="313">
                  <c:v>-1.8449563607517849E-4</c:v>
                </c:pt>
                <c:pt idx="314">
                  <c:v>-1.6902249721520665E-4</c:v>
                </c:pt>
                <c:pt idx="315">
                  <c:v>-1.5707962653021854E-4</c:v>
                </c:pt>
                <c:pt idx="316">
                  <c:v>-1.4656841117636726E-4</c:v>
                </c:pt>
                <c:pt idx="317">
                  <c:v>-1.0113465437495246E-4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A-4314-ADBF-45CA87A4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6278687"/>
        <c:axId val="1956276607"/>
      </c:lineChart>
      <c:dateAx>
        <c:axId val="19562786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76607"/>
        <c:crosses val="autoZero"/>
        <c:auto val="1"/>
        <c:lblOffset val="100"/>
        <c:baseTimeUnit val="days"/>
      </c:dateAx>
      <c:valAx>
        <c:axId val="195627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7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77C646-5B1F-4DA3-9FA5-AD7C8777E826}">
  <sheetPr/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867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A7541E-575C-4F6E-9B55-2F054D4C5A9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6450</v>
      </c>
      <c r="D2" s="4">
        <f>MIN(D3:D1912)</f>
        <v>371.48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8</v>
      </c>
    </row>
    <row r="5" spans="1:20" x14ac:dyDescent="0.25">
      <c r="A5" s="5">
        <v>44588</v>
      </c>
      <c r="B5">
        <v>1779.1</v>
      </c>
      <c r="C5">
        <v>1802.2</v>
      </c>
      <c r="D5">
        <v>1750.9</v>
      </c>
      <c r="E5">
        <v>1753.1</v>
      </c>
      <c r="F5">
        <v>31.91</v>
      </c>
      <c r="G5">
        <v>1753.1</v>
      </c>
      <c r="L5" t="s">
        <v>8</v>
      </c>
      <c r="M5" t="s">
        <v>8</v>
      </c>
      <c r="N5" t="s">
        <v>8</v>
      </c>
      <c r="P5">
        <f t="shared" ref="P5" si="0">IF(C5=D5,0,((E5-D5)-(C5-E5))/(C5-D5))</f>
        <v>-0.91423001949318439</v>
      </c>
      <c r="Q5">
        <f t="shared" ref="Q5" si="1">F5*P5</f>
        <v>-29.173079922027515</v>
      </c>
      <c r="R5">
        <f t="shared" ref="R5" si="2">R6+Q5</f>
        <v>-22755.107767130216</v>
      </c>
      <c r="S5">
        <f t="shared" ref="S5" si="3">R5/100000</f>
        <v>-0.22755107767130214</v>
      </c>
      <c r="T5">
        <f t="shared" ref="T5" si="4">S5/1000</f>
        <v>-2.2755107767130213E-4</v>
      </c>
    </row>
    <row r="6" spans="1:20" x14ac:dyDescent="0.25">
      <c r="A6" s="5">
        <v>44587</v>
      </c>
      <c r="B6">
        <v>1718.2</v>
      </c>
      <c r="C6">
        <v>1844.1</v>
      </c>
      <c r="D6">
        <v>1650.1</v>
      </c>
      <c r="E6">
        <v>1791.6</v>
      </c>
      <c r="F6">
        <v>637.06100000000004</v>
      </c>
      <c r="G6">
        <v>1791.6</v>
      </c>
      <c r="L6" t="s">
        <v>8</v>
      </c>
      <c r="M6" t="s">
        <v>8</v>
      </c>
      <c r="N6" t="s">
        <v>8</v>
      </c>
      <c r="P6">
        <f t="shared" ref="P6" si="5">IF(C6=D6,0,((E6-D6)-(C6-E6))/(C6-D6))</f>
        <v>0.45876288659793812</v>
      </c>
      <c r="Q6">
        <f t="shared" ref="Q6" si="6">F6*P6</f>
        <v>292.25994329896906</v>
      </c>
      <c r="R6">
        <f t="shared" ref="R6" si="7">R7+Q6</f>
        <v>-22725.934687208188</v>
      </c>
      <c r="S6">
        <f t="shared" ref="S6" si="8">R6/100000</f>
        <v>-0.22725934687208188</v>
      </c>
      <c r="T6">
        <f t="shared" ref="T6" si="9">S6/1000</f>
        <v>-2.2725934687208187E-4</v>
      </c>
    </row>
    <row r="7" spans="1:20" x14ac:dyDescent="0.25">
      <c r="A7" s="5">
        <v>44586</v>
      </c>
      <c r="B7">
        <v>1619.4</v>
      </c>
      <c r="C7">
        <v>1813.9</v>
      </c>
      <c r="D7">
        <v>1580</v>
      </c>
      <c r="E7">
        <v>1712.6</v>
      </c>
      <c r="F7">
        <v>707.22207000000003</v>
      </c>
      <c r="G7">
        <v>1712.6</v>
      </c>
      <c r="L7" t="s">
        <v>8</v>
      </c>
      <c r="M7" t="s">
        <v>8</v>
      </c>
      <c r="N7" t="s">
        <v>8</v>
      </c>
      <c r="P7">
        <f t="shared" ref="P7" si="10">IF(C7=D7,0,((E7-D7)-(C7-E7))/(C7-D7))</f>
        <v>0.13381787088499236</v>
      </c>
      <c r="Q7">
        <f t="shared" ref="Q7" si="11">F7*P7</f>
        <v>94.638951650277036</v>
      </c>
      <c r="R7">
        <f t="shared" ref="R7" si="12">R8+Q7</f>
        <v>-23018.194630507158</v>
      </c>
      <c r="S7">
        <f t="shared" ref="S7" si="13">R7/100000</f>
        <v>-0.23018194630507158</v>
      </c>
      <c r="T7">
        <f t="shared" ref="T7" si="14">S7/1000</f>
        <v>-2.3018194630507159E-4</v>
      </c>
    </row>
    <row r="8" spans="1:20" x14ac:dyDescent="0.25">
      <c r="A8" s="5">
        <v>44585</v>
      </c>
      <c r="B8">
        <v>1675.4</v>
      </c>
      <c r="C8">
        <v>1700</v>
      </c>
      <c r="D8">
        <v>1393.5</v>
      </c>
      <c r="E8">
        <v>1612.9</v>
      </c>
      <c r="F8">
        <v>1012.649</v>
      </c>
      <c r="G8">
        <v>1612.9</v>
      </c>
      <c r="L8" t="s">
        <v>7</v>
      </c>
      <c r="M8" t="s">
        <v>7</v>
      </c>
      <c r="N8" t="s">
        <v>8</v>
      </c>
      <c r="P8">
        <f t="shared" ref="P8" si="15">IF(C8=D8,0,((E8-D8)-(C8-E8))/(C8-D8))</f>
        <v>0.43164763458401362</v>
      </c>
      <c r="Q8">
        <f t="shared" ref="Q8" si="16">F8*P8</f>
        <v>437.1075455138668</v>
      </c>
      <c r="R8">
        <f t="shared" ref="R8" si="17">R9+Q8</f>
        <v>-23112.833582157436</v>
      </c>
      <c r="S8">
        <f t="shared" ref="S8" si="18">R8/100000</f>
        <v>-0.23112833582157435</v>
      </c>
      <c r="T8">
        <f t="shared" ref="T8" si="19">S8/1000</f>
        <v>-2.3112833582157437E-4</v>
      </c>
    </row>
    <row r="9" spans="1:20" x14ac:dyDescent="0.25">
      <c r="A9" s="5">
        <v>44584</v>
      </c>
      <c r="B9">
        <v>1347.9</v>
      </c>
      <c r="C9">
        <v>1689.9</v>
      </c>
      <c r="D9">
        <v>1347.9</v>
      </c>
      <c r="E9">
        <v>1680.3</v>
      </c>
      <c r="F9">
        <v>778.28399999999999</v>
      </c>
      <c r="G9">
        <v>1680.3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0.94385964912280618</v>
      </c>
      <c r="Q9">
        <f t="shared" ref="Q9" si="21">F9*P9</f>
        <v>734.59086315789409</v>
      </c>
      <c r="R9">
        <f t="shared" ref="R9" si="22">R10+Q9</f>
        <v>-23549.941127671304</v>
      </c>
      <c r="S9">
        <f t="shared" ref="S9" si="23">R9/100000</f>
        <v>-0.23549941127671303</v>
      </c>
      <c r="T9">
        <f t="shared" ref="T9" si="24">S9/1000</f>
        <v>-2.3549941127671303E-4</v>
      </c>
    </row>
    <row r="10" spans="1:20" x14ac:dyDescent="0.25">
      <c r="A10" s="5">
        <v>44583</v>
      </c>
      <c r="B10">
        <v>1416.4</v>
      </c>
      <c r="C10">
        <v>1452.9</v>
      </c>
      <c r="D10">
        <v>1230</v>
      </c>
      <c r="E10">
        <v>1345.9</v>
      </c>
      <c r="F10">
        <v>684.89200000000005</v>
      </c>
      <c r="G10">
        <v>1345.9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3.9928218932257009E-2</v>
      </c>
      <c r="Q10">
        <f t="shared" ref="Q10" si="26">F10*P10</f>
        <v>27.346517720951368</v>
      </c>
      <c r="R10">
        <f t="shared" ref="R10" si="27">R11+Q10</f>
        <v>-24284.531990829197</v>
      </c>
      <c r="S10">
        <f t="shared" ref="S10" si="28">R10/100000</f>
        <v>-0.24284531990829197</v>
      </c>
      <c r="T10">
        <f t="shared" ref="T10" si="29">S10/1000</f>
        <v>-2.4284531990829197E-4</v>
      </c>
    </row>
    <row r="11" spans="1:20" x14ac:dyDescent="0.25">
      <c r="A11" s="5">
        <v>44582</v>
      </c>
      <c r="B11">
        <v>1661</v>
      </c>
      <c r="C11">
        <v>1720</v>
      </c>
      <c r="D11">
        <v>1395.6</v>
      </c>
      <c r="E11">
        <v>1414.3</v>
      </c>
      <c r="F11">
        <v>922.58699999999999</v>
      </c>
      <c r="G11">
        <v>1414.3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-0.88471023427866802</v>
      </c>
      <c r="Q11">
        <f t="shared" ref="Q11" si="31">F11*P11</f>
        <v>-816.22216091245343</v>
      </c>
      <c r="R11">
        <f t="shared" ref="R11" si="32">R12+Q11</f>
        <v>-24311.878508550148</v>
      </c>
      <c r="S11">
        <f t="shared" ref="S11" si="33">R11/100000</f>
        <v>-0.24311878508550147</v>
      </c>
      <c r="T11">
        <f t="shared" ref="T11" si="34">S11/1000</f>
        <v>-2.4311878508550148E-4</v>
      </c>
    </row>
    <row r="12" spans="1:20" x14ac:dyDescent="0.25">
      <c r="A12" s="5">
        <v>44581</v>
      </c>
      <c r="B12">
        <v>1599.9</v>
      </c>
      <c r="C12">
        <v>1800</v>
      </c>
      <c r="D12">
        <v>1573.9</v>
      </c>
      <c r="E12">
        <v>1660.1</v>
      </c>
      <c r="F12">
        <v>844.99946999999997</v>
      </c>
      <c r="G12">
        <v>1660.1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-0.23750552852720166</v>
      </c>
      <c r="Q12">
        <f t="shared" ref="Q12" si="36">F12*P12</f>
        <v>-200.69204572755527</v>
      </c>
      <c r="R12">
        <f t="shared" ref="R12" si="37">R13+Q12</f>
        <v>-23495.656347637694</v>
      </c>
      <c r="S12">
        <f t="shared" ref="S12" si="38">R12/100000</f>
        <v>-0.23495656347637695</v>
      </c>
      <c r="T12">
        <f t="shared" ref="T12" si="39">S12/1000</f>
        <v>-2.3495656347637695E-4</v>
      </c>
    </row>
    <row r="13" spans="1:20" x14ac:dyDescent="0.25">
      <c r="A13" s="5">
        <v>44580</v>
      </c>
      <c r="B13">
        <v>1627.8</v>
      </c>
      <c r="C13">
        <v>1667.2</v>
      </c>
      <c r="D13">
        <v>1539.1</v>
      </c>
      <c r="E13">
        <v>1598.7</v>
      </c>
      <c r="F13">
        <v>592.86699999999996</v>
      </c>
      <c r="G13">
        <v>1598.7</v>
      </c>
      <c r="L13" t="s">
        <v>7</v>
      </c>
      <c r="M13" t="s">
        <v>8</v>
      </c>
      <c r="N13" t="s">
        <v>8</v>
      </c>
      <c r="P13">
        <f t="shared" ref="P13" si="40">IF(C13=D13,0,((E13-D13)-(C13-E13))/(C13-D13))</f>
        <v>-6.9476971116314235E-2</v>
      </c>
      <c r="Q13">
        <f t="shared" ref="Q13" si="41">F13*P13</f>
        <v>-41.19060343481587</v>
      </c>
      <c r="R13">
        <f t="shared" ref="R13" si="42">R14+Q13</f>
        <v>-23294.964301910139</v>
      </c>
      <c r="S13">
        <f t="shared" ref="S13" si="43">R13/100000</f>
        <v>-0.2329496430191014</v>
      </c>
      <c r="T13">
        <f t="shared" ref="T13" si="44">S13/1000</f>
        <v>-2.3294964301910141E-4</v>
      </c>
    </row>
    <row r="14" spans="1:20" x14ac:dyDescent="0.25">
      <c r="A14" s="5">
        <v>44579</v>
      </c>
      <c r="B14">
        <v>1462</v>
      </c>
      <c r="C14">
        <v>1649.5</v>
      </c>
      <c r="D14">
        <v>1425.6</v>
      </c>
      <c r="E14">
        <v>1623.8</v>
      </c>
      <c r="F14">
        <v>642.52700000000004</v>
      </c>
      <c r="G14">
        <v>1623.8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0.77043322912014256</v>
      </c>
      <c r="Q14">
        <f t="shared" ref="Q14" si="46">F14*P14</f>
        <v>495.02415140687788</v>
      </c>
      <c r="R14">
        <f t="shared" ref="R14" si="47">R15+Q14</f>
        <v>-23253.773698475321</v>
      </c>
      <c r="S14">
        <f t="shared" ref="S14" si="48">R14/100000</f>
        <v>-0.23253773698475322</v>
      </c>
      <c r="T14">
        <f t="shared" ref="T14" si="49">S14/1000</f>
        <v>-2.3253773698475323E-4</v>
      </c>
    </row>
    <row r="15" spans="1:20" x14ac:dyDescent="0.25">
      <c r="A15" s="5">
        <v>44578</v>
      </c>
      <c r="B15">
        <v>1443.9</v>
      </c>
      <c r="C15">
        <v>1530.4</v>
      </c>
      <c r="D15">
        <v>1410.4</v>
      </c>
      <c r="E15">
        <v>1460.5</v>
      </c>
      <c r="F15">
        <v>510.90899999999999</v>
      </c>
      <c r="G15">
        <v>1460.5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-0.16500000000000151</v>
      </c>
      <c r="Q15">
        <f t="shared" ref="Q15" si="51">F15*P15</f>
        <v>-84.299985000000774</v>
      </c>
      <c r="R15">
        <f t="shared" ref="R15" si="52">R16+Q15</f>
        <v>-23748.797849882198</v>
      </c>
      <c r="S15">
        <f t="shared" ref="S15" si="53">R15/100000</f>
        <v>-0.23748797849882197</v>
      </c>
      <c r="T15">
        <f t="shared" ref="T15" si="54">S15/1000</f>
        <v>-2.3748797849882197E-4</v>
      </c>
    </row>
    <row r="16" spans="1:20" x14ac:dyDescent="0.25">
      <c r="A16" s="5">
        <v>44577</v>
      </c>
      <c r="B16">
        <v>1418.9</v>
      </c>
      <c r="C16">
        <v>1485.7</v>
      </c>
      <c r="D16">
        <v>1373.2</v>
      </c>
      <c r="E16">
        <v>1442.6</v>
      </c>
      <c r="F16">
        <v>260.13</v>
      </c>
      <c r="G16">
        <v>1442.6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0.23377777777777536</v>
      </c>
      <c r="Q16">
        <f t="shared" ref="Q16" si="56">F16*P16</f>
        <v>60.812613333332706</v>
      </c>
      <c r="R16">
        <f t="shared" ref="R16" si="57">R17+Q16</f>
        <v>-23664.497864882196</v>
      </c>
      <c r="S16">
        <f t="shared" ref="S16" si="58">R16/100000</f>
        <v>-0.23664497864882197</v>
      </c>
      <c r="T16">
        <f t="shared" ref="T16" si="59">S16/1000</f>
        <v>-2.3664497864882197E-4</v>
      </c>
    </row>
    <row r="17" spans="1:20" x14ac:dyDescent="0.25">
      <c r="A17" s="5">
        <v>44576</v>
      </c>
      <c r="B17">
        <v>1418.7</v>
      </c>
      <c r="C17">
        <v>1485</v>
      </c>
      <c r="D17">
        <v>1404.5</v>
      </c>
      <c r="E17">
        <v>1417.4</v>
      </c>
      <c r="F17">
        <v>336.58699999999999</v>
      </c>
      <c r="G17">
        <v>1417.4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-0.67950310559005989</v>
      </c>
      <c r="Q17">
        <f t="shared" ref="Q17" si="61">F17*P17</f>
        <v>-228.71191180124148</v>
      </c>
      <c r="R17">
        <f t="shared" ref="R17" si="62">R18+Q17</f>
        <v>-23725.310478215528</v>
      </c>
      <c r="S17">
        <f t="shared" ref="S17" si="63">R17/100000</f>
        <v>-0.23725310478215528</v>
      </c>
      <c r="T17">
        <f t="shared" ref="T17" si="64">S17/1000</f>
        <v>-2.3725310478215527E-4</v>
      </c>
    </row>
    <row r="18" spans="1:20" x14ac:dyDescent="0.25">
      <c r="A18" s="5">
        <v>44575</v>
      </c>
      <c r="B18">
        <v>1307.5</v>
      </c>
      <c r="C18">
        <v>1450</v>
      </c>
      <c r="D18">
        <v>1298.5</v>
      </c>
      <c r="E18">
        <v>1413.1</v>
      </c>
      <c r="F18">
        <v>627.14499999999998</v>
      </c>
      <c r="G18">
        <v>1413.1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0.51287128712871166</v>
      </c>
      <c r="Q18">
        <f t="shared" ref="Q18" si="66">F18*P18</f>
        <v>321.64466336633586</v>
      </c>
      <c r="R18">
        <f t="shared" ref="R18" si="67">R19+Q18</f>
        <v>-23496.598566414286</v>
      </c>
      <c r="S18">
        <f t="shared" ref="S18" si="68">R18/100000</f>
        <v>-0.23496598566414287</v>
      </c>
      <c r="T18">
        <f t="shared" ref="T18" si="69">S18/1000</f>
        <v>-2.3496598566414287E-4</v>
      </c>
    </row>
    <row r="19" spans="1:20" x14ac:dyDescent="0.25">
      <c r="A19" s="5">
        <v>44574</v>
      </c>
      <c r="B19">
        <v>1260.5999999999999</v>
      </c>
      <c r="C19">
        <v>1323</v>
      </c>
      <c r="D19">
        <v>1241.2</v>
      </c>
      <c r="E19">
        <v>1305.9000000000001</v>
      </c>
      <c r="F19">
        <v>271.43799999999999</v>
      </c>
      <c r="G19">
        <v>1305.9000000000001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0.58190709046454969</v>
      </c>
      <c r="Q19">
        <f t="shared" ref="Q19" si="71">F19*P19</f>
        <v>157.95169682151644</v>
      </c>
      <c r="R19">
        <f t="shared" ref="R19" si="72">R20+Q19</f>
        <v>-23818.243229780623</v>
      </c>
      <c r="S19">
        <f t="shared" ref="S19" si="73">R19/100000</f>
        <v>-0.23818243229780622</v>
      </c>
      <c r="T19">
        <f t="shared" ref="T19" si="74">S19/1000</f>
        <v>-2.3818243229780623E-4</v>
      </c>
    </row>
    <row r="20" spans="1:20" x14ac:dyDescent="0.25">
      <c r="A20" s="5">
        <v>44573</v>
      </c>
      <c r="B20">
        <v>1214.9000000000001</v>
      </c>
      <c r="C20">
        <v>1261.5999999999999</v>
      </c>
      <c r="D20">
        <v>1208</v>
      </c>
      <c r="E20">
        <v>1260.8</v>
      </c>
      <c r="F20">
        <v>196.38800000000001</v>
      </c>
      <c r="G20">
        <v>1260.8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0.97014925373134497</v>
      </c>
      <c r="Q20">
        <f t="shared" ref="Q20" si="76">F20*P20</f>
        <v>190.52567164179138</v>
      </c>
      <c r="R20">
        <f t="shared" ref="R20" si="77">R21+Q20</f>
        <v>-23976.19492660214</v>
      </c>
      <c r="S20">
        <f t="shared" ref="S20" si="78">R20/100000</f>
        <v>-0.2397619492660214</v>
      </c>
      <c r="T20">
        <f t="shared" ref="T20" si="79">S20/1000</f>
        <v>-2.397619492660214E-4</v>
      </c>
    </row>
    <row r="21" spans="1:20" x14ac:dyDescent="0.25">
      <c r="A21" s="5">
        <v>44572</v>
      </c>
      <c r="B21">
        <v>1140.9000000000001</v>
      </c>
      <c r="C21">
        <v>1239.3</v>
      </c>
      <c r="D21">
        <v>1137.0999999999999</v>
      </c>
      <c r="E21">
        <v>1212.0999999999999</v>
      </c>
      <c r="F21">
        <v>152.07300000000001</v>
      </c>
      <c r="G21">
        <v>1212.0999999999999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0.46771037181996022</v>
      </c>
      <c r="Q21">
        <f t="shared" ref="Q21" si="81">F21*P21</f>
        <v>71.126119373776817</v>
      </c>
      <c r="R21">
        <f t="shared" ref="R21" si="82">R22+Q21</f>
        <v>-24166.72059824393</v>
      </c>
      <c r="S21">
        <f t="shared" ref="S21" si="83">R21/100000</f>
        <v>-0.24166720598243929</v>
      </c>
      <c r="T21">
        <f t="shared" ref="T21" si="84">S21/1000</f>
        <v>-2.4166720598243929E-4</v>
      </c>
    </row>
    <row r="22" spans="1:20" x14ac:dyDescent="0.25">
      <c r="A22" s="5">
        <v>44571</v>
      </c>
      <c r="B22">
        <v>1232.5999999999999</v>
      </c>
      <c r="C22">
        <v>1251.8</v>
      </c>
      <c r="D22">
        <v>1100</v>
      </c>
      <c r="E22">
        <v>1141.0999999999999</v>
      </c>
      <c r="F22">
        <v>179.875</v>
      </c>
      <c r="G22">
        <v>1141.0999999999999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-0.45849802371541604</v>
      </c>
      <c r="Q22">
        <f t="shared" ref="Q22" si="86">F22*P22</f>
        <v>-82.472332015810466</v>
      </c>
      <c r="R22">
        <f t="shared" ref="R22" si="87">R23+Q22</f>
        <v>-24237.846717617707</v>
      </c>
      <c r="S22">
        <f t="shared" ref="S22" si="88">R22/100000</f>
        <v>-0.24237846717617709</v>
      </c>
      <c r="T22">
        <f t="shared" ref="T22" si="89">S22/1000</f>
        <v>-2.423784671761771E-4</v>
      </c>
    </row>
    <row r="23" spans="1:20" x14ac:dyDescent="0.25">
      <c r="A23" s="5">
        <v>44570</v>
      </c>
      <c r="B23">
        <v>1170.3</v>
      </c>
      <c r="C23">
        <v>1249.5999999999999</v>
      </c>
      <c r="D23">
        <v>1144</v>
      </c>
      <c r="E23">
        <v>1230.2</v>
      </c>
      <c r="F23">
        <v>103.521</v>
      </c>
      <c r="G23">
        <v>1230.2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0.63257575757575979</v>
      </c>
      <c r="Q23">
        <f t="shared" ref="Q23" si="91">F23*P23</f>
        <v>65.48487500000023</v>
      </c>
      <c r="R23">
        <f t="shared" ref="R23" si="92">R24+Q23</f>
        <v>-24155.374385601895</v>
      </c>
      <c r="S23">
        <f t="shared" ref="S23" si="93">R23/100000</f>
        <v>-0.24155374385601897</v>
      </c>
      <c r="T23">
        <f t="shared" ref="T23" si="94">S23/1000</f>
        <v>-2.4155374385601897E-4</v>
      </c>
    </row>
    <row r="24" spans="1:20" x14ac:dyDescent="0.25">
      <c r="A24" s="5">
        <v>44569</v>
      </c>
      <c r="B24">
        <v>1127</v>
      </c>
      <c r="C24">
        <v>1185.3</v>
      </c>
      <c r="D24">
        <v>1086.0999999999999</v>
      </c>
      <c r="E24">
        <v>1167.5999999999999</v>
      </c>
      <c r="F24">
        <v>191.09899999999999</v>
      </c>
      <c r="G24">
        <v>1167.5999999999999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0.64314516129032184</v>
      </c>
      <c r="Q24">
        <f t="shared" ref="Q24" si="96">F24*P24</f>
        <v>122.90439717741921</v>
      </c>
      <c r="R24">
        <f t="shared" ref="R24" si="97">R25+Q24</f>
        <v>-24220.859260601897</v>
      </c>
      <c r="S24">
        <f t="shared" ref="S24" si="98">R24/100000</f>
        <v>-0.24220859260601899</v>
      </c>
      <c r="T24">
        <f t="shared" ref="T24" si="99">S24/1000</f>
        <v>-2.4220859260601899E-4</v>
      </c>
    </row>
    <row r="25" spans="1:20" x14ac:dyDescent="0.25">
      <c r="A25" s="5">
        <v>44568</v>
      </c>
      <c r="B25">
        <v>1194.5999999999999</v>
      </c>
      <c r="C25">
        <v>1194.5999999999999</v>
      </c>
      <c r="D25">
        <v>1104.7</v>
      </c>
      <c r="E25">
        <v>1123</v>
      </c>
      <c r="F25">
        <v>231.11699999999999</v>
      </c>
      <c r="G25">
        <v>1123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-0.59288097886540636</v>
      </c>
      <c r="Q25">
        <f t="shared" ref="Q25" si="101">F25*P25</f>
        <v>-137.0248731924361</v>
      </c>
      <c r="R25">
        <f t="shared" ref="R25" si="102">R26+Q25</f>
        <v>-24343.763657779316</v>
      </c>
      <c r="S25">
        <f t="shared" ref="S25" si="103">R25/100000</f>
        <v>-0.24343763657779316</v>
      </c>
      <c r="T25">
        <f t="shared" ref="T25" si="104">S25/1000</f>
        <v>-2.4343763657779316E-4</v>
      </c>
    </row>
    <row r="26" spans="1:20" x14ac:dyDescent="0.25">
      <c r="A26" s="5">
        <v>44567</v>
      </c>
      <c r="B26">
        <v>1192.2</v>
      </c>
      <c r="C26">
        <v>1218.2</v>
      </c>
      <c r="D26">
        <v>1165</v>
      </c>
      <c r="E26">
        <v>1194.3</v>
      </c>
      <c r="F26">
        <v>249.85300000000001</v>
      </c>
      <c r="G26">
        <v>1194.3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0.10150375939849358</v>
      </c>
      <c r="Q26">
        <f t="shared" ref="Q26" si="106">F26*P26</f>
        <v>25.361018796991818</v>
      </c>
      <c r="R26">
        <f t="shared" ref="R26" si="107">R27+Q26</f>
        <v>-24206.73878458688</v>
      </c>
      <c r="S26">
        <f t="shared" ref="S26" si="108">R26/100000</f>
        <v>-0.24206738784586879</v>
      </c>
      <c r="T26">
        <f t="shared" ref="T26" si="109">S26/1000</f>
        <v>-2.4206738784586878E-4</v>
      </c>
    </row>
    <row r="27" spans="1:20" x14ac:dyDescent="0.25">
      <c r="A27" s="5">
        <v>44566</v>
      </c>
      <c r="B27">
        <v>1224.4000000000001</v>
      </c>
      <c r="C27">
        <v>1288.7</v>
      </c>
      <c r="D27">
        <v>1165</v>
      </c>
      <c r="E27">
        <v>1194.9000000000001</v>
      </c>
      <c r="F27">
        <v>384.34699999999998</v>
      </c>
      <c r="G27">
        <v>1194.9000000000001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-0.51657235246564137</v>
      </c>
      <c r="Q27">
        <f t="shared" ref="Q27" si="111">F27*P27</f>
        <v>-198.54303395311186</v>
      </c>
      <c r="R27">
        <f t="shared" ref="R27" si="112">R28+Q27</f>
        <v>-24232.099803383873</v>
      </c>
      <c r="S27">
        <f t="shared" ref="S27" si="113">R27/100000</f>
        <v>-0.24232099803383872</v>
      </c>
      <c r="T27">
        <f t="shared" ref="T27" si="114">S27/1000</f>
        <v>-2.4232099803383873E-4</v>
      </c>
    </row>
    <row r="28" spans="1:20" x14ac:dyDescent="0.25">
      <c r="A28" s="5">
        <v>44565</v>
      </c>
      <c r="B28">
        <v>1208.8</v>
      </c>
      <c r="C28">
        <v>1319.6</v>
      </c>
      <c r="D28">
        <v>1195.9000000000001</v>
      </c>
      <c r="E28">
        <v>1226.7</v>
      </c>
      <c r="F28">
        <v>303.32600000000002</v>
      </c>
      <c r="G28">
        <v>1226.7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-0.50202101859337112</v>
      </c>
      <c r="Q28">
        <f t="shared" ref="Q28" si="116">F28*P28</f>
        <v>-152.27602748585289</v>
      </c>
      <c r="R28">
        <f t="shared" ref="R28" si="117">R29+Q28</f>
        <v>-24033.556769430761</v>
      </c>
      <c r="S28">
        <f t="shared" ref="S28" si="118">R28/100000</f>
        <v>-0.24033556769430761</v>
      </c>
      <c r="T28">
        <f t="shared" ref="T28" si="119">S28/1000</f>
        <v>-2.403355676943076E-4</v>
      </c>
    </row>
    <row r="29" spans="1:20" x14ac:dyDescent="0.25">
      <c r="A29" s="5">
        <v>44564</v>
      </c>
      <c r="B29">
        <v>1211.0999999999999</v>
      </c>
      <c r="C29">
        <v>1220.0999999999999</v>
      </c>
      <c r="D29">
        <v>1189.9000000000001</v>
      </c>
      <c r="E29">
        <v>1210</v>
      </c>
      <c r="F29">
        <v>138.39400000000001</v>
      </c>
      <c r="G29">
        <v>1210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0.33112582781457151</v>
      </c>
      <c r="Q29">
        <f t="shared" ref="Q29" si="121">F29*P29</f>
        <v>45.825827814569813</v>
      </c>
      <c r="R29">
        <f t="shared" ref="R29" si="122">R30+Q29</f>
        <v>-23881.280741944909</v>
      </c>
      <c r="S29">
        <f t="shared" ref="S29" si="123">R29/100000</f>
        <v>-0.2388128074194491</v>
      </c>
      <c r="T29">
        <f t="shared" ref="T29" si="124">S29/1000</f>
        <v>-2.3881280741944909E-4</v>
      </c>
    </row>
    <row r="30" spans="1:20" x14ac:dyDescent="0.25">
      <c r="A30" s="5">
        <v>44563</v>
      </c>
      <c r="B30">
        <v>1217</v>
      </c>
      <c r="C30">
        <v>1222</v>
      </c>
      <c r="D30">
        <v>1179</v>
      </c>
      <c r="E30">
        <v>1213.3</v>
      </c>
      <c r="F30">
        <v>141.44800000000001</v>
      </c>
      <c r="G30">
        <v>1213.3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0.59534883720930021</v>
      </c>
      <c r="Q30">
        <f t="shared" ref="Q30" si="126">F30*P30</f>
        <v>84.210902325581102</v>
      </c>
      <c r="R30">
        <f t="shared" ref="R30" si="127">R31+Q30</f>
        <v>-23927.106569759479</v>
      </c>
      <c r="S30">
        <f t="shared" ref="S30" si="128">R30/100000</f>
        <v>-0.23927106569759479</v>
      </c>
      <c r="T30">
        <f t="shared" ref="T30" si="129">S30/1000</f>
        <v>-2.3927106569759479E-4</v>
      </c>
    </row>
    <row r="31" spans="1:20" x14ac:dyDescent="0.25">
      <c r="A31" s="5">
        <v>44562</v>
      </c>
      <c r="B31">
        <v>1200.0999999999999</v>
      </c>
      <c r="C31">
        <v>1225.4000000000001</v>
      </c>
      <c r="D31">
        <v>1199.5999999999999</v>
      </c>
      <c r="E31">
        <v>1217.9000000000001</v>
      </c>
      <c r="F31">
        <v>222.709</v>
      </c>
      <c r="G31">
        <v>1217.9000000000001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0.41860465116279477</v>
      </c>
      <c r="Q31">
        <f t="shared" ref="Q31" si="131">F31*P31</f>
        <v>93.227023255814856</v>
      </c>
      <c r="R31">
        <f t="shared" ref="R31" si="132">R32+Q31</f>
        <v>-24011.317472085058</v>
      </c>
      <c r="S31">
        <f t="shared" ref="S31" si="133">R31/100000</f>
        <v>-0.24011317472085059</v>
      </c>
      <c r="T31">
        <f t="shared" ref="T31" si="134">S31/1000</f>
        <v>-2.4011317472085058E-4</v>
      </c>
    </row>
    <row r="32" spans="1:20" x14ac:dyDescent="0.25">
      <c r="A32" s="5">
        <v>44561</v>
      </c>
      <c r="B32">
        <v>1168</v>
      </c>
      <c r="C32">
        <v>1221.9000000000001</v>
      </c>
      <c r="D32">
        <v>1165</v>
      </c>
      <c r="E32">
        <v>1202.8</v>
      </c>
      <c r="F32">
        <v>214.37799999999999</v>
      </c>
      <c r="G32">
        <v>1202.8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0.32864674868189436</v>
      </c>
      <c r="Q32">
        <f t="shared" ref="Q32" si="136">F32*P32</f>
        <v>70.454632688927148</v>
      </c>
      <c r="R32">
        <f t="shared" ref="R32" si="137">R33+Q32</f>
        <v>-24104.544495340873</v>
      </c>
      <c r="S32">
        <f t="shared" ref="S32" si="138">R32/100000</f>
        <v>-0.24104544495340874</v>
      </c>
      <c r="T32">
        <f t="shared" ref="T32" si="139">S32/1000</f>
        <v>-2.4104544495340873E-4</v>
      </c>
    </row>
    <row r="33" spans="1:20" x14ac:dyDescent="0.25">
      <c r="A33" s="5">
        <v>44560</v>
      </c>
      <c r="B33">
        <v>1165</v>
      </c>
      <c r="C33">
        <v>1179.4000000000001</v>
      </c>
      <c r="D33">
        <v>1165</v>
      </c>
      <c r="E33">
        <v>1168</v>
      </c>
      <c r="F33">
        <v>133.36000000000001</v>
      </c>
      <c r="G33">
        <v>1168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-0.58333333333333592</v>
      </c>
      <c r="Q33">
        <f t="shared" ref="Q33" si="141">F33*P33</f>
        <v>-77.793333333333692</v>
      </c>
      <c r="R33">
        <f t="shared" ref="R33" si="142">R34+Q33</f>
        <v>-24174.999128029802</v>
      </c>
      <c r="S33">
        <f t="shared" ref="S33" si="143">R33/100000</f>
        <v>-0.241749991280298</v>
      </c>
      <c r="T33">
        <f t="shared" ref="T33" si="144">S33/1000</f>
        <v>-2.41749991280298E-4</v>
      </c>
    </row>
    <row r="34" spans="1:20" x14ac:dyDescent="0.25">
      <c r="A34" s="5">
        <v>44559</v>
      </c>
      <c r="B34">
        <v>1182.3</v>
      </c>
      <c r="C34">
        <v>1193.7</v>
      </c>
      <c r="D34">
        <v>1165</v>
      </c>
      <c r="E34">
        <v>1165</v>
      </c>
      <c r="F34">
        <v>203.77799999999999</v>
      </c>
      <c r="G34">
        <v>1165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-1</v>
      </c>
      <c r="Q34">
        <f t="shared" ref="Q34" si="146">F34*P34</f>
        <v>-203.77799999999999</v>
      </c>
      <c r="R34">
        <f t="shared" ref="R34" si="147">R35+Q34</f>
        <v>-24097.205794696467</v>
      </c>
      <c r="S34">
        <f t="shared" ref="S34" si="148">R34/100000</f>
        <v>-0.24097205794696466</v>
      </c>
      <c r="T34">
        <f t="shared" ref="T34" si="149">S34/1000</f>
        <v>-2.4097205794696466E-4</v>
      </c>
    </row>
    <row r="35" spans="1:20" x14ac:dyDescent="0.25">
      <c r="A35" s="5">
        <v>44558</v>
      </c>
      <c r="B35">
        <v>1203.5</v>
      </c>
      <c r="C35">
        <v>1211.4000000000001</v>
      </c>
      <c r="D35">
        <v>1130.5999999999999</v>
      </c>
      <c r="E35">
        <v>1182.7</v>
      </c>
      <c r="F35">
        <v>354.35399999999998</v>
      </c>
      <c r="G35">
        <v>1182.7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0.28960396039604008</v>
      </c>
      <c r="Q35">
        <f t="shared" ref="Q35" si="151">F35*P35</f>
        <v>102.62232178217839</v>
      </c>
      <c r="R35">
        <f t="shared" ref="R35" si="152">R36+Q35</f>
        <v>-23893.427794696468</v>
      </c>
      <c r="S35">
        <f t="shared" ref="S35" si="153">R35/100000</f>
        <v>-0.23893427794696467</v>
      </c>
      <c r="T35">
        <f t="shared" ref="T35" si="154">S35/1000</f>
        <v>-2.3893427794696468E-4</v>
      </c>
    </row>
    <row r="36" spans="1:20" x14ac:dyDescent="0.25">
      <c r="A36" s="5">
        <v>44557</v>
      </c>
      <c r="B36">
        <v>1257.7</v>
      </c>
      <c r="C36">
        <v>1264.9000000000001</v>
      </c>
      <c r="D36">
        <v>1164</v>
      </c>
      <c r="E36">
        <v>1207.5999999999999</v>
      </c>
      <c r="F36">
        <v>378.58699999999999</v>
      </c>
      <c r="G36">
        <v>1207.5999999999999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-0.13577799801784202</v>
      </c>
      <c r="Q36">
        <f t="shared" ref="Q36" si="156">F36*P36</f>
        <v>-51.403784935580752</v>
      </c>
      <c r="R36">
        <f t="shared" ref="R36" si="157">R37+Q36</f>
        <v>-23996.050116478647</v>
      </c>
      <c r="S36">
        <f t="shared" ref="S36" si="158">R36/100000</f>
        <v>-0.23996050116478648</v>
      </c>
      <c r="T36">
        <f t="shared" ref="T36" si="159">S36/1000</f>
        <v>-2.3996050116478648E-4</v>
      </c>
    </row>
    <row r="37" spans="1:20" x14ac:dyDescent="0.25">
      <c r="A37" s="5">
        <v>44556</v>
      </c>
      <c r="B37">
        <v>1300.3</v>
      </c>
      <c r="C37">
        <v>1300.3</v>
      </c>
      <c r="D37">
        <v>1252</v>
      </c>
      <c r="E37">
        <v>1258.0999999999999</v>
      </c>
      <c r="F37">
        <v>197.827</v>
      </c>
      <c r="G37">
        <v>1258.0999999999999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-0.74741200828157706</v>
      </c>
      <c r="Q37">
        <f t="shared" ref="Q37" si="161">F37*P37</f>
        <v>-147.85827536231955</v>
      </c>
      <c r="R37">
        <f t="shared" ref="R37" si="162">R38+Q37</f>
        <v>-23944.646331543066</v>
      </c>
      <c r="S37">
        <f t="shared" ref="S37" si="163">R37/100000</f>
        <v>-0.23944646331543065</v>
      </c>
      <c r="T37">
        <f t="shared" ref="T37" si="164">S37/1000</f>
        <v>-2.3944646331543066E-4</v>
      </c>
    </row>
    <row r="38" spans="1:20" x14ac:dyDescent="0.25">
      <c r="A38" s="5">
        <v>44555</v>
      </c>
      <c r="B38">
        <v>1307.5999999999999</v>
      </c>
      <c r="C38">
        <v>1330</v>
      </c>
      <c r="D38">
        <v>1285</v>
      </c>
      <c r="E38">
        <v>1300.3</v>
      </c>
      <c r="F38">
        <v>100.593</v>
      </c>
      <c r="G38">
        <v>1300.3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-0.32000000000000201</v>
      </c>
      <c r="Q38">
        <f t="shared" ref="Q38" si="166">F38*P38</f>
        <v>-32.189760000000206</v>
      </c>
      <c r="R38">
        <f t="shared" ref="R38" si="167">R39+Q38</f>
        <v>-23796.788056180747</v>
      </c>
      <c r="S38">
        <f t="shared" ref="S38" si="168">R38/100000</f>
        <v>-0.23796788056180748</v>
      </c>
      <c r="T38">
        <f t="shared" ref="T38" si="169">S38/1000</f>
        <v>-2.3796788056180748E-4</v>
      </c>
    </row>
    <row r="39" spans="1:20" x14ac:dyDescent="0.25">
      <c r="A39" s="5">
        <v>44554</v>
      </c>
      <c r="B39">
        <v>1317.1</v>
      </c>
      <c r="C39">
        <v>1379.6</v>
      </c>
      <c r="D39">
        <v>1306</v>
      </c>
      <c r="E39">
        <v>1310.4000000000001</v>
      </c>
      <c r="F39">
        <v>183.68199999999999</v>
      </c>
      <c r="G39">
        <v>1310.4000000000001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-0.88043478260869301</v>
      </c>
      <c r="Q39">
        <f t="shared" ref="Q39" si="171">F39*P39</f>
        <v>-161.72002173912995</v>
      </c>
      <c r="R39">
        <f t="shared" ref="R39" si="172">R40+Q39</f>
        <v>-23764.598296180746</v>
      </c>
      <c r="S39">
        <f t="shared" ref="S39" si="173">R39/100000</f>
        <v>-0.23764598296180744</v>
      </c>
      <c r="T39">
        <f t="shared" ref="T39" si="174">S39/1000</f>
        <v>-2.3764598296180744E-4</v>
      </c>
    </row>
    <row r="40" spans="1:20" x14ac:dyDescent="0.25">
      <c r="A40" s="5">
        <v>44553</v>
      </c>
      <c r="B40">
        <v>1302.2</v>
      </c>
      <c r="C40">
        <v>1360</v>
      </c>
      <c r="D40">
        <v>1280.9000000000001</v>
      </c>
      <c r="E40">
        <v>1317.7</v>
      </c>
      <c r="F40">
        <v>187.39</v>
      </c>
      <c r="G40">
        <v>1317.7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-6.9532237673830669E-2</v>
      </c>
      <c r="Q40">
        <f t="shared" ref="Q40" si="176">F40*P40</f>
        <v>-13.029646017699129</v>
      </c>
      <c r="R40">
        <f t="shared" ref="R40" si="177">R41+Q40</f>
        <v>-23602.878274441617</v>
      </c>
      <c r="S40">
        <f t="shared" ref="S40" si="178">R40/100000</f>
        <v>-0.23602878274441616</v>
      </c>
      <c r="T40">
        <f t="shared" ref="T40" si="179">S40/1000</f>
        <v>-2.3602878274441616E-4</v>
      </c>
    </row>
    <row r="41" spans="1:20" x14ac:dyDescent="0.25">
      <c r="A41" s="5">
        <v>44552</v>
      </c>
      <c r="B41">
        <v>1319.3</v>
      </c>
      <c r="C41">
        <v>1345</v>
      </c>
      <c r="D41">
        <v>1302.2</v>
      </c>
      <c r="E41">
        <v>1302.2</v>
      </c>
      <c r="F41">
        <v>172.30199999999999</v>
      </c>
      <c r="G41">
        <v>1302.2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-1</v>
      </c>
      <c r="Q41">
        <f t="shared" ref="Q41" si="181">F41*P41</f>
        <v>-172.30199999999999</v>
      </c>
      <c r="R41">
        <f t="shared" ref="R41" si="182">R42+Q41</f>
        <v>-23589.848628423919</v>
      </c>
      <c r="S41">
        <f t="shared" ref="S41" si="183">R41/100000</f>
        <v>-0.23589848628423918</v>
      </c>
      <c r="T41">
        <f t="shared" ref="T41" si="184">S41/1000</f>
        <v>-2.3589848628423918E-4</v>
      </c>
    </row>
    <row r="42" spans="1:20" x14ac:dyDescent="0.25">
      <c r="A42" s="5">
        <v>44551</v>
      </c>
      <c r="B42">
        <v>1305.7</v>
      </c>
      <c r="C42">
        <v>1329.4</v>
      </c>
      <c r="D42">
        <v>1285.3</v>
      </c>
      <c r="E42">
        <v>1322</v>
      </c>
      <c r="F42">
        <v>96.275999999999996</v>
      </c>
      <c r="G42">
        <v>1322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0.66439909297051847</v>
      </c>
      <c r="Q42">
        <f t="shared" ref="Q42" si="186">F42*P42</f>
        <v>63.965687074829631</v>
      </c>
      <c r="R42">
        <f t="shared" ref="R42" si="187">R43+Q42</f>
        <v>-23417.546628423919</v>
      </c>
      <c r="S42">
        <f t="shared" ref="S42" si="188">R42/100000</f>
        <v>-0.23417546628423919</v>
      </c>
      <c r="T42">
        <f t="shared" ref="T42" si="189">S42/1000</f>
        <v>-2.3417546628423918E-4</v>
      </c>
    </row>
    <row r="43" spans="1:20" x14ac:dyDescent="0.25">
      <c r="A43" s="5">
        <v>44550</v>
      </c>
      <c r="B43">
        <v>1306</v>
      </c>
      <c r="C43">
        <v>1314.1</v>
      </c>
      <c r="D43">
        <v>1201.5</v>
      </c>
      <c r="E43">
        <v>1308</v>
      </c>
      <c r="F43">
        <v>312.017</v>
      </c>
      <c r="G43">
        <v>1308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0.89165186500888249</v>
      </c>
      <c r="Q43">
        <f t="shared" ref="Q43" si="191">F43*P43</f>
        <v>278.21053996447648</v>
      </c>
      <c r="R43">
        <f t="shared" ref="R43" si="192">R44+Q43</f>
        <v>-23481.512315498749</v>
      </c>
      <c r="S43">
        <f t="shared" ref="S43" si="193">R43/100000</f>
        <v>-0.23481512315498748</v>
      </c>
      <c r="T43">
        <f t="shared" ref="T43" si="194">S43/1000</f>
        <v>-2.3481512315498749E-4</v>
      </c>
    </row>
    <row r="44" spans="1:20" x14ac:dyDescent="0.25">
      <c r="A44" s="5">
        <v>44549</v>
      </c>
      <c r="B44">
        <v>1330</v>
      </c>
      <c r="C44">
        <v>1355.6</v>
      </c>
      <c r="D44">
        <v>1300.0999999999999</v>
      </c>
      <c r="E44">
        <v>1306.0999999999999</v>
      </c>
      <c r="F44">
        <v>152.59100000000001</v>
      </c>
      <c r="G44">
        <v>1306.0999999999999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-0.78378378378378377</v>
      </c>
      <c r="Q44">
        <f t="shared" ref="Q44" si="196">F44*P44</f>
        <v>-119.59835135135135</v>
      </c>
      <c r="R44">
        <f t="shared" ref="R44" si="197">R45+Q44</f>
        <v>-23759.722855463224</v>
      </c>
      <c r="S44">
        <f t="shared" ref="S44" si="198">R44/100000</f>
        <v>-0.23759722855463225</v>
      </c>
      <c r="T44">
        <f t="shared" ref="T44" si="199">S44/1000</f>
        <v>-2.3759722855463226E-4</v>
      </c>
    </row>
    <row r="45" spans="1:20" x14ac:dyDescent="0.25">
      <c r="A45" s="5">
        <v>44548</v>
      </c>
      <c r="B45">
        <v>1348.1</v>
      </c>
      <c r="C45">
        <v>1358.4</v>
      </c>
      <c r="D45">
        <v>1300</v>
      </c>
      <c r="E45">
        <v>1332.2</v>
      </c>
      <c r="F45">
        <v>205.56100000000001</v>
      </c>
      <c r="G45">
        <v>1332.2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0.1027397260273971</v>
      </c>
      <c r="Q45">
        <f t="shared" ref="Q45" si="201">F45*P45</f>
        <v>21.119280821917776</v>
      </c>
      <c r="R45">
        <f t="shared" ref="R45" si="202">R46+Q45</f>
        <v>-23640.124504111871</v>
      </c>
      <c r="S45">
        <f t="shared" ref="S45" si="203">R45/100000</f>
        <v>-0.2364012450411187</v>
      </c>
      <c r="T45">
        <f t="shared" ref="T45" si="204">S45/1000</f>
        <v>-2.3640124504111871E-4</v>
      </c>
    </row>
    <row r="46" spans="1:20" x14ac:dyDescent="0.25">
      <c r="A46" s="5">
        <v>44547</v>
      </c>
      <c r="B46">
        <v>1362</v>
      </c>
      <c r="C46">
        <v>1406.3</v>
      </c>
      <c r="D46">
        <v>1300</v>
      </c>
      <c r="E46">
        <v>1350.7</v>
      </c>
      <c r="F46">
        <v>215.13499999999999</v>
      </c>
      <c r="G46">
        <v>1350.7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-4.6095954844777666E-2</v>
      </c>
      <c r="Q46">
        <f t="shared" ref="Q46" si="206">F46*P46</f>
        <v>-9.916853245531243</v>
      </c>
      <c r="R46">
        <f t="shared" ref="R46" si="207">R47+Q46</f>
        <v>-23661.243784933788</v>
      </c>
      <c r="S46">
        <f t="shared" ref="S46" si="208">R46/100000</f>
        <v>-0.23661243784933789</v>
      </c>
      <c r="T46">
        <f t="shared" ref="T46" si="209">S46/1000</f>
        <v>-2.366124378493379E-4</v>
      </c>
    </row>
    <row r="47" spans="1:20" x14ac:dyDescent="0.25">
      <c r="A47" s="5">
        <v>44546</v>
      </c>
      <c r="B47">
        <v>1418.7</v>
      </c>
      <c r="C47">
        <v>1451.3</v>
      </c>
      <c r="D47">
        <v>1350</v>
      </c>
      <c r="E47">
        <v>1362</v>
      </c>
      <c r="F47">
        <v>297.262</v>
      </c>
      <c r="G47">
        <v>1362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-0.76307996051332661</v>
      </c>
      <c r="Q47">
        <f t="shared" ref="Q47" si="211">F47*P47</f>
        <v>-226.83467522211248</v>
      </c>
      <c r="R47">
        <f t="shared" ref="R47" si="212">R48+Q47</f>
        <v>-23651.326931688258</v>
      </c>
      <c r="S47">
        <f t="shared" ref="S47" si="213">R47/100000</f>
        <v>-0.23651326931688257</v>
      </c>
      <c r="T47">
        <f t="shared" ref="T47" si="214">S47/1000</f>
        <v>-2.3651326931688259E-4</v>
      </c>
    </row>
    <row r="48" spans="1:20" x14ac:dyDescent="0.25">
      <c r="A48" s="5">
        <v>44545</v>
      </c>
      <c r="B48">
        <v>1370.6</v>
      </c>
      <c r="C48">
        <v>1464.5</v>
      </c>
      <c r="D48">
        <v>1259</v>
      </c>
      <c r="E48">
        <v>1419.1</v>
      </c>
      <c r="F48">
        <v>295.92399999999998</v>
      </c>
      <c r="G48">
        <v>1419.1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0.55815085158150768</v>
      </c>
      <c r="Q48">
        <f t="shared" ref="Q48" si="216">F48*P48</f>
        <v>165.17023260340608</v>
      </c>
      <c r="R48">
        <f t="shared" ref="R48" si="217">R49+Q48</f>
        <v>-23424.492256466147</v>
      </c>
      <c r="S48">
        <f t="shared" ref="S48" si="218">R48/100000</f>
        <v>-0.23424492256466148</v>
      </c>
      <c r="T48">
        <f t="shared" ref="T48" si="219">S48/1000</f>
        <v>-2.3424492256466148E-4</v>
      </c>
    </row>
    <row r="49" spans="1:20" x14ac:dyDescent="0.25">
      <c r="A49" s="5">
        <v>44544</v>
      </c>
      <c r="B49">
        <v>1395.8</v>
      </c>
      <c r="C49">
        <v>1438.4</v>
      </c>
      <c r="D49">
        <v>1330</v>
      </c>
      <c r="E49">
        <v>1370.6</v>
      </c>
      <c r="F49">
        <v>325.14800000000002</v>
      </c>
      <c r="G49">
        <v>1370.6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-0.25092250922509457</v>
      </c>
      <c r="Q49">
        <f t="shared" ref="Q49" si="221">F49*P49</f>
        <v>-81.586952029521058</v>
      </c>
      <c r="R49">
        <f t="shared" ref="R49" si="222">R50+Q49</f>
        <v>-23589.662489069553</v>
      </c>
      <c r="S49">
        <f t="shared" ref="S49" si="223">R49/100000</f>
        <v>-0.23589662489069552</v>
      </c>
      <c r="T49">
        <f t="shared" ref="T49" si="224">S49/1000</f>
        <v>-2.3589662489069551E-4</v>
      </c>
    </row>
    <row r="50" spans="1:20" x14ac:dyDescent="0.25">
      <c r="A50" s="5">
        <v>44543</v>
      </c>
      <c r="B50">
        <v>1537.8</v>
      </c>
      <c r="C50">
        <v>1537.8</v>
      </c>
      <c r="D50">
        <v>1360.5</v>
      </c>
      <c r="E50">
        <v>1395.8</v>
      </c>
      <c r="F50">
        <v>548.82299999999998</v>
      </c>
      <c r="G50">
        <v>1395.8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-0.60180485053581545</v>
      </c>
      <c r="Q50">
        <f t="shared" ref="Q50" si="226">F50*P50</f>
        <v>-330.28434348561785</v>
      </c>
      <c r="R50">
        <f t="shared" ref="R50" si="227">R51+Q50</f>
        <v>-23508.075537040033</v>
      </c>
      <c r="S50">
        <f t="shared" ref="S50" si="228">R50/100000</f>
        <v>-0.23508075537040032</v>
      </c>
      <c r="T50">
        <f t="shared" ref="T50" si="229">S50/1000</f>
        <v>-2.3508075537040032E-4</v>
      </c>
    </row>
    <row r="51" spans="1:20" x14ac:dyDescent="0.25">
      <c r="A51" s="5">
        <v>44542</v>
      </c>
      <c r="B51">
        <v>1547.1</v>
      </c>
      <c r="C51">
        <v>1560.3</v>
      </c>
      <c r="D51">
        <v>1467.4</v>
      </c>
      <c r="E51">
        <v>1537.8</v>
      </c>
      <c r="F51">
        <v>327.43299999999999</v>
      </c>
      <c r="G51">
        <v>1537.8</v>
      </c>
      <c r="L51" t="s">
        <v>7</v>
      </c>
      <c r="M51" t="s">
        <v>8</v>
      </c>
      <c r="N51" t="s">
        <v>8</v>
      </c>
      <c r="P51">
        <f t="shared" ref="P51" si="230">IF(C51=D51,0,((E51-D51)-(C51-E51))/(C51-D51))</f>
        <v>0.5156081808396118</v>
      </c>
      <c r="Q51">
        <f t="shared" ref="Q51" si="231">F51*P51</f>
        <v>168.8271334768566</v>
      </c>
      <c r="R51">
        <f t="shared" ref="R51" si="232">R52+Q51</f>
        <v>-23177.791193554414</v>
      </c>
      <c r="S51">
        <f t="shared" ref="S51" si="233">R51/100000</f>
        <v>-0.23177791193554415</v>
      </c>
      <c r="T51">
        <f t="shared" ref="T51" si="234">S51/1000</f>
        <v>-2.3177791193554416E-4</v>
      </c>
    </row>
    <row r="52" spans="1:20" x14ac:dyDescent="0.25">
      <c r="A52" s="5">
        <v>44541</v>
      </c>
      <c r="B52">
        <v>1503.5</v>
      </c>
      <c r="C52">
        <v>1527.8</v>
      </c>
      <c r="D52">
        <v>1474.7</v>
      </c>
      <c r="E52">
        <v>1523.7</v>
      </c>
      <c r="F52">
        <v>29.343</v>
      </c>
      <c r="G52">
        <v>1523.7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0.84557438794727247</v>
      </c>
      <c r="Q52">
        <f t="shared" ref="Q52" si="236">F52*P52</f>
        <v>24.811689265536817</v>
      </c>
      <c r="R52">
        <f t="shared" ref="R52" si="237">R53+Q52</f>
        <v>-23346.618327031272</v>
      </c>
      <c r="S52">
        <f t="shared" ref="S52" si="238">R52/100000</f>
        <v>-0.23346618327031271</v>
      </c>
      <c r="T52">
        <f t="shared" ref="T52" si="239">S52/1000</f>
        <v>-2.3346618327031271E-4</v>
      </c>
    </row>
    <row r="53" spans="1:20" x14ac:dyDescent="0.25">
      <c r="A53" s="5">
        <v>44540</v>
      </c>
      <c r="B53">
        <v>1452.5</v>
      </c>
      <c r="C53">
        <v>1619</v>
      </c>
      <c r="D53">
        <v>1390.7</v>
      </c>
      <c r="E53">
        <v>1500</v>
      </c>
      <c r="F53">
        <v>1079.7070000000001</v>
      </c>
      <c r="G53">
        <v>1500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-4.2487954445904717E-2</v>
      </c>
      <c r="Q53">
        <f t="shared" ref="Q53" si="241">F53*P53</f>
        <v>-45.87454183092445</v>
      </c>
      <c r="R53">
        <f t="shared" ref="R53" si="242">R54+Q53</f>
        <v>-23371.43001629681</v>
      </c>
      <c r="S53">
        <f t="shared" ref="S53" si="243">R53/100000</f>
        <v>-0.2337143001629681</v>
      </c>
      <c r="T53">
        <f t="shared" ref="T53" si="244">S53/1000</f>
        <v>-2.337143001629681E-4</v>
      </c>
    </row>
    <row r="54" spans="1:20" x14ac:dyDescent="0.25">
      <c r="A54" s="5">
        <v>44539</v>
      </c>
      <c r="B54">
        <v>1398.2</v>
      </c>
      <c r="C54">
        <v>1490</v>
      </c>
      <c r="D54">
        <v>1356</v>
      </c>
      <c r="E54">
        <v>1452.5</v>
      </c>
      <c r="F54">
        <v>830.83399999999995</v>
      </c>
      <c r="G54">
        <v>1452.5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0.44029850746268656</v>
      </c>
      <c r="Q54">
        <f t="shared" ref="Q54" si="246">F54*P54</f>
        <v>365.81497014925372</v>
      </c>
      <c r="R54">
        <f t="shared" ref="R54" si="247">R55+Q54</f>
        <v>-23325.555474465888</v>
      </c>
      <c r="S54">
        <f t="shared" ref="S54" si="248">R54/100000</f>
        <v>-0.23325555474465887</v>
      </c>
      <c r="T54">
        <f t="shared" ref="T54" si="249">S54/1000</f>
        <v>-2.3325555474465888E-4</v>
      </c>
    </row>
    <row r="55" spans="1:20" x14ac:dyDescent="0.25">
      <c r="A55" s="5">
        <v>44538</v>
      </c>
      <c r="B55">
        <v>1321.6</v>
      </c>
      <c r="C55">
        <v>1410.3</v>
      </c>
      <c r="D55">
        <v>1293</v>
      </c>
      <c r="E55">
        <v>1398.2</v>
      </c>
      <c r="F55">
        <v>350.03899999999999</v>
      </c>
      <c r="G55">
        <v>1398.2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0.79369138959931951</v>
      </c>
      <c r="Q55">
        <f t="shared" ref="Q55" si="251">F55*P55</f>
        <v>277.82294032395617</v>
      </c>
      <c r="R55">
        <f t="shared" ref="R55" si="252">R56+Q55</f>
        <v>-23691.370444615142</v>
      </c>
      <c r="S55">
        <f t="shared" ref="S55" si="253">R55/100000</f>
        <v>-0.23691370444615142</v>
      </c>
      <c r="T55">
        <f t="shared" ref="T55" si="254">S55/1000</f>
        <v>-2.3691370444615142E-4</v>
      </c>
    </row>
    <row r="56" spans="1:20" x14ac:dyDescent="0.25">
      <c r="A56" s="5">
        <v>44537</v>
      </c>
      <c r="B56">
        <v>1335.8</v>
      </c>
      <c r="C56">
        <v>1369</v>
      </c>
      <c r="D56">
        <v>1303.4000000000001</v>
      </c>
      <c r="E56">
        <v>1324.5</v>
      </c>
      <c r="F56">
        <v>2142.62</v>
      </c>
      <c r="G56">
        <v>1324.5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-0.3567073170731726</v>
      </c>
      <c r="Q56">
        <f t="shared" ref="Q56" si="256">F56*P56</f>
        <v>-764.28823170732107</v>
      </c>
      <c r="R56">
        <f t="shared" ref="R56" si="257">R57+Q56</f>
        <v>-23969.193384939099</v>
      </c>
      <c r="S56">
        <f t="shared" ref="S56" si="258">R56/100000</f>
        <v>-0.239691933849391</v>
      </c>
      <c r="T56">
        <f t="shared" ref="T56" si="259">S56/1000</f>
        <v>-2.3969193384939101E-4</v>
      </c>
    </row>
    <row r="57" spans="1:20" x14ac:dyDescent="0.25">
      <c r="A57" s="5">
        <v>44536</v>
      </c>
      <c r="B57">
        <v>1270.7</v>
      </c>
      <c r="C57">
        <v>1350</v>
      </c>
      <c r="D57">
        <v>1200.3</v>
      </c>
      <c r="E57">
        <v>1337</v>
      </c>
      <c r="F57">
        <v>2164.0990000000002</v>
      </c>
      <c r="G57">
        <v>1337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0.82631930527722119</v>
      </c>
      <c r="Q57">
        <f t="shared" ref="Q57" si="261">F57*P57</f>
        <v>1788.2367822311292</v>
      </c>
      <c r="R57">
        <f t="shared" ref="R57" si="262">R58+Q57</f>
        <v>-23204.905153231779</v>
      </c>
      <c r="S57">
        <f t="shared" ref="S57" si="263">R57/100000</f>
        <v>-0.23204905153231778</v>
      </c>
      <c r="T57">
        <f t="shared" ref="T57" si="264">S57/1000</f>
        <v>-2.3204905153231779E-4</v>
      </c>
    </row>
    <row r="58" spans="1:20" x14ac:dyDescent="0.25">
      <c r="A58" s="5">
        <v>44535</v>
      </c>
      <c r="B58">
        <v>1308.4000000000001</v>
      </c>
      <c r="C58">
        <v>1330</v>
      </c>
      <c r="D58">
        <v>1238.2</v>
      </c>
      <c r="E58">
        <v>1268.5999999999999</v>
      </c>
      <c r="F58">
        <v>1377.2819999999999</v>
      </c>
      <c r="G58">
        <v>1268.5999999999999</v>
      </c>
      <c r="L58" t="s">
        <v>8</v>
      </c>
      <c r="M58" t="s">
        <v>7</v>
      </c>
      <c r="N58" t="s">
        <v>8</v>
      </c>
      <c r="P58">
        <f t="shared" ref="P58" si="265">IF(C58=D58,0,((E58-D58)-(C58-E58))/(C58-D58))</f>
        <v>-0.33769063180828152</v>
      </c>
      <c r="Q58">
        <f t="shared" ref="Q58" si="266">F58*P58</f>
        <v>-465.09522875817356</v>
      </c>
      <c r="R58">
        <f t="shared" ref="R58" si="267">R59+Q58</f>
        <v>-24993.141935462907</v>
      </c>
      <c r="S58">
        <f t="shared" ref="S58" si="268">R58/100000</f>
        <v>-0.24993141935462906</v>
      </c>
      <c r="T58">
        <f t="shared" ref="T58" si="269">S58/1000</f>
        <v>-2.4993141935462904E-4</v>
      </c>
    </row>
    <row r="59" spans="1:20" x14ac:dyDescent="0.25">
      <c r="A59" s="5">
        <v>44534</v>
      </c>
      <c r="B59">
        <v>1509.8</v>
      </c>
      <c r="C59">
        <v>1517</v>
      </c>
      <c r="D59">
        <v>1172.5</v>
      </c>
      <c r="E59">
        <v>1306.9000000000001</v>
      </c>
      <c r="F59">
        <v>1750.011</v>
      </c>
      <c r="G59">
        <v>1306.9000000000001</v>
      </c>
      <c r="L59" t="s">
        <v>7</v>
      </c>
      <c r="M59" t="s">
        <v>7</v>
      </c>
      <c r="N59" t="s">
        <v>8</v>
      </c>
      <c r="P59">
        <f t="shared" ref="P59" si="270">IF(C59=D59,0,((E59-D59)-(C59-E59))/(C59-D59))</f>
        <v>-0.21973875181422298</v>
      </c>
      <c r="Q59">
        <f t="shared" ref="Q59" si="271">F59*P59</f>
        <v>-384.54523280116018</v>
      </c>
      <c r="R59">
        <f t="shared" ref="R59" si="272">R60+Q59</f>
        <v>-24528.046706704732</v>
      </c>
      <c r="S59">
        <f t="shared" ref="S59" si="273">R59/100000</f>
        <v>-0.24528046706704731</v>
      </c>
      <c r="T59">
        <f t="shared" ref="T59" si="274">S59/1000</f>
        <v>-2.4528046706704732E-4</v>
      </c>
    </row>
    <row r="60" spans="1:20" x14ac:dyDescent="0.25">
      <c r="A60" s="5">
        <v>44533</v>
      </c>
      <c r="B60">
        <v>1550.5</v>
      </c>
      <c r="C60">
        <v>1575</v>
      </c>
      <c r="D60">
        <v>1438</v>
      </c>
      <c r="E60">
        <v>1508.1</v>
      </c>
      <c r="F60">
        <v>1974.5509999999999</v>
      </c>
      <c r="G60">
        <v>1508.1</v>
      </c>
      <c r="L60" t="s">
        <v>7</v>
      </c>
      <c r="M60" t="s">
        <v>8</v>
      </c>
      <c r="N60" t="s">
        <v>8</v>
      </c>
      <c r="P60">
        <f t="shared" ref="P60" si="275">IF(C60=D60,0,((E60-D60)-(C60-E60))/(C60-D60))</f>
        <v>2.3357664233575316E-2</v>
      </c>
      <c r="Q60">
        <f t="shared" ref="Q60" si="276">F60*P60</f>
        <v>46.120899270070375</v>
      </c>
      <c r="R60">
        <f t="shared" ref="R60" si="277">R61+Q60</f>
        <v>-24143.501473903572</v>
      </c>
      <c r="S60">
        <f t="shared" ref="S60" si="278">R60/100000</f>
        <v>-0.24143501473903572</v>
      </c>
      <c r="T60">
        <f t="shared" ref="T60" si="279">S60/1000</f>
        <v>-2.4143501473903572E-4</v>
      </c>
    </row>
    <row r="61" spans="1:20" x14ac:dyDescent="0.25">
      <c r="A61" s="5">
        <v>44532</v>
      </c>
      <c r="B61">
        <v>1489.9</v>
      </c>
      <c r="C61">
        <v>1650</v>
      </c>
      <c r="D61">
        <v>1433.1</v>
      </c>
      <c r="E61">
        <v>1546.5</v>
      </c>
      <c r="F61">
        <v>3618.9760000000001</v>
      </c>
      <c r="G61">
        <v>1546.5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4.5643153526971354E-2</v>
      </c>
      <c r="Q61">
        <f t="shared" ref="Q61" si="281">F61*P61</f>
        <v>165.1814771784247</v>
      </c>
      <c r="R61">
        <f t="shared" ref="R61" si="282">R62+Q61</f>
        <v>-24189.622373173643</v>
      </c>
      <c r="S61">
        <f t="shared" ref="S61" si="283">R61/100000</f>
        <v>-0.24189622373173642</v>
      </c>
      <c r="T61">
        <f t="shared" ref="T61" si="284">S61/1000</f>
        <v>-2.4189622373173641E-4</v>
      </c>
    </row>
    <row r="62" spans="1:20" x14ac:dyDescent="0.25">
      <c r="A62" s="5">
        <v>44531</v>
      </c>
      <c r="B62">
        <v>1362.1</v>
      </c>
      <c r="C62">
        <v>1530.8</v>
      </c>
      <c r="D62">
        <v>1354.5</v>
      </c>
      <c r="E62">
        <v>1487.5</v>
      </c>
      <c r="F62">
        <v>2133.6689999999999</v>
      </c>
      <c r="G62">
        <v>1487.5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0.50879183210436796</v>
      </c>
      <c r="Q62">
        <f t="shared" ref="Q62" si="286">F62*P62</f>
        <v>1085.5933596142945</v>
      </c>
      <c r="R62">
        <f t="shared" ref="R62" si="287">R63+Q62</f>
        <v>-24354.803850352066</v>
      </c>
      <c r="S62">
        <f t="shared" ref="S62" si="288">R62/100000</f>
        <v>-0.24354803850352066</v>
      </c>
      <c r="T62">
        <f t="shared" ref="T62" si="289">S62/1000</f>
        <v>-2.4354803850352066E-4</v>
      </c>
    </row>
    <row r="63" spans="1:20" x14ac:dyDescent="0.25">
      <c r="A63" s="5">
        <v>44530</v>
      </c>
      <c r="B63">
        <v>1278.5</v>
      </c>
      <c r="C63">
        <v>1444.4</v>
      </c>
      <c r="D63">
        <v>1271.5999999999999</v>
      </c>
      <c r="E63">
        <v>1358.1</v>
      </c>
      <c r="F63">
        <v>1005.838</v>
      </c>
      <c r="G63">
        <v>1358.1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1.1574074074063535E-3</v>
      </c>
      <c r="Q63">
        <f t="shared" ref="Q63" si="291">F63*P63</f>
        <v>1.1641643518507918</v>
      </c>
      <c r="R63">
        <f t="shared" ref="R63" si="292">R64+Q63</f>
        <v>-25440.397209966359</v>
      </c>
      <c r="S63">
        <f t="shared" ref="S63" si="293">R63/100000</f>
        <v>-0.25440397209966359</v>
      </c>
      <c r="T63">
        <f t="shared" ref="T63" si="294">S63/1000</f>
        <v>-2.5440397209966357E-4</v>
      </c>
    </row>
    <row r="64" spans="1:20" x14ac:dyDescent="0.25">
      <c r="A64" s="5">
        <v>44529</v>
      </c>
      <c r="B64">
        <v>1271.5</v>
      </c>
      <c r="C64">
        <v>1281.5999999999999</v>
      </c>
      <c r="D64">
        <v>1227.8</v>
      </c>
      <c r="E64">
        <v>1277.5</v>
      </c>
      <c r="F64">
        <v>306.38299999999998</v>
      </c>
      <c r="G64">
        <v>1277.5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0.84758364312267986</v>
      </c>
      <c r="Q64">
        <f t="shared" ref="Q64" si="296">F64*P64</f>
        <v>259.685219330856</v>
      </c>
      <c r="R64">
        <f t="shared" ref="R64" si="297">R65+Q64</f>
        <v>-25441.561374318211</v>
      </c>
      <c r="S64">
        <f t="shared" ref="S64" si="298">R64/100000</f>
        <v>-0.25441561374318211</v>
      </c>
      <c r="T64">
        <f t="shared" ref="T64" si="299">S64/1000</f>
        <v>-2.5441561374318211E-4</v>
      </c>
    </row>
    <row r="65" spans="1:20" x14ac:dyDescent="0.25">
      <c r="A65" s="5">
        <v>44528</v>
      </c>
      <c r="B65">
        <v>1235.5999999999999</v>
      </c>
      <c r="C65">
        <v>1277.5999999999999</v>
      </c>
      <c r="D65">
        <v>1196</v>
      </c>
      <c r="E65">
        <v>1271.5</v>
      </c>
      <c r="F65">
        <v>294.69200000000001</v>
      </c>
      <c r="G65">
        <v>1271.5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0.85049019607843346</v>
      </c>
      <c r="Q65">
        <f t="shared" ref="Q65" si="301">F65*P65</f>
        <v>250.6326568627457</v>
      </c>
      <c r="R65">
        <f t="shared" ref="R65" si="302">R66+Q65</f>
        <v>-25701.246593649066</v>
      </c>
      <c r="S65">
        <f t="shared" ref="S65" si="303">R65/100000</f>
        <v>-0.25701246593649069</v>
      </c>
      <c r="T65">
        <f t="shared" ref="T65" si="304">S65/1000</f>
        <v>-2.5701246593649071E-4</v>
      </c>
    </row>
    <row r="66" spans="1:20" x14ac:dyDescent="0.25">
      <c r="A66" s="5">
        <v>44527</v>
      </c>
      <c r="B66">
        <v>1217.9000000000001</v>
      </c>
      <c r="C66">
        <v>1276.0999999999999</v>
      </c>
      <c r="D66">
        <v>1217.9000000000001</v>
      </c>
      <c r="E66">
        <v>1235.5999999999999</v>
      </c>
      <c r="F66">
        <v>210.01499999999999</v>
      </c>
      <c r="G66">
        <v>1235.5999999999999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-0.39175257731959195</v>
      </c>
      <c r="Q66">
        <f t="shared" ref="Q66" si="306">F66*P66</f>
        <v>-82.273917525774095</v>
      </c>
      <c r="R66">
        <f t="shared" ref="R66" si="307">R67+Q66</f>
        <v>-25951.879250511811</v>
      </c>
      <c r="S66">
        <f t="shared" ref="S66" si="308">R66/100000</f>
        <v>-0.25951879250511811</v>
      </c>
      <c r="T66">
        <f t="shared" ref="T66" si="309">S66/1000</f>
        <v>-2.5951879250511809E-4</v>
      </c>
    </row>
    <row r="67" spans="1:20" x14ac:dyDescent="0.25">
      <c r="A67" s="5">
        <v>44526</v>
      </c>
      <c r="B67">
        <v>1318.4</v>
      </c>
      <c r="C67">
        <v>1319.4</v>
      </c>
      <c r="D67">
        <v>1177.3</v>
      </c>
      <c r="E67">
        <v>1218.3</v>
      </c>
      <c r="F67">
        <v>330.48599999999999</v>
      </c>
      <c r="G67">
        <v>1218.3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-0.4229415904292757</v>
      </c>
      <c r="Q67">
        <f t="shared" ref="Q67" si="311">F67*P67</f>
        <v>-139.77627445460962</v>
      </c>
      <c r="R67">
        <f t="shared" ref="R67" si="312">R68+Q67</f>
        <v>-25869.605332986037</v>
      </c>
      <c r="S67">
        <f t="shared" ref="S67" si="313">R67/100000</f>
        <v>-0.25869605332986034</v>
      </c>
      <c r="T67">
        <f t="shared" ref="T67" si="314">S67/1000</f>
        <v>-2.5869605332986032E-4</v>
      </c>
    </row>
    <row r="68" spans="1:20" x14ac:dyDescent="0.25">
      <c r="A68" s="5">
        <v>44525</v>
      </c>
      <c r="B68">
        <v>1217.4000000000001</v>
      </c>
      <c r="C68">
        <v>1342.7</v>
      </c>
      <c r="D68">
        <v>1216</v>
      </c>
      <c r="E68">
        <v>1318.4</v>
      </c>
      <c r="F68">
        <v>312.89499999999998</v>
      </c>
      <c r="G68">
        <v>1318.4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0.61641673243883277</v>
      </c>
      <c r="Q68">
        <f t="shared" ref="Q68" si="316">F68*P68</f>
        <v>192.87371349644857</v>
      </c>
      <c r="R68">
        <f t="shared" ref="R68" si="317">R69+Q68</f>
        <v>-25729.829058531428</v>
      </c>
      <c r="S68">
        <f t="shared" ref="S68" si="318">R68/100000</f>
        <v>-0.25729829058531428</v>
      </c>
      <c r="T68">
        <f t="shared" ref="T68" si="319">S68/1000</f>
        <v>-2.5729829058531426E-4</v>
      </c>
    </row>
    <row r="69" spans="1:20" x14ac:dyDescent="0.25">
      <c r="A69" s="5">
        <v>44524</v>
      </c>
      <c r="B69">
        <v>1201.8</v>
      </c>
      <c r="C69">
        <v>1222</v>
      </c>
      <c r="D69">
        <v>1163.0999999999999</v>
      </c>
      <c r="E69">
        <v>1195.3</v>
      </c>
      <c r="F69">
        <v>64.180999999999997</v>
      </c>
      <c r="G69">
        <v>1195.3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9.3378607809847053E-2</v>
      </c>
      <c r="Q69">
        <f t="shared" ref="Q69" si="321">F69*P69</f>
        <v>5.9931324278437934</v>
      </c>
      <c r="R69">
        <f t="shared" ref="R69" si="322">R70+Q69</f>
        <v>-25922.702772027878</v>
      </c>
      <c r="S69">
        <f t="shared" ref="S69" si="323">R69/100000</f>
        <v>-0.25922702772027878</v>
      </c>
      <c r="T69">
        <f t="shared" ref="T69" si="324">S69/1000</f>
        <v>-2.5922702772027877E-4</v>
      </c>
    </row>
    <row r="70" spans="1:20" x14ac:dyDescent="0.25">
      <c r="A70" s="5">
        <v>44523</v>
      </c>
      <c r="B70">
        <v>1115.0999999999999</v>
      </c>
      <c r="C70">
        <v>1209</v>
      </c>
      <c r="D70">
        <v>1095.3</v>
      </c>
      <c r="E70">
        <v>1197.0999999999999</v>
      </c>
      <c r="F70">
        <v>244.209</v>
      </c>
      <c r="G70">
        <v>1197.0999999999999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0.79067722075637492</v>
      </c>
      <c r="Q70">
        <f t="shared" ref="Q70" si="326">F70*P70</f>
        <v>193.09049340369356</v>
      </c>
      <c r="R70">
        <f t="shared" ref="R70" si="327">R71+Q70</f>
        <v>-25928.695904455722</v>
      </c>
      <c r="S70">
        <f t="shared" ref="S70" si="328">R70/100000</f>
        <v>-0.25928695904455723</v>
      </c>
      <c r="T70">
        <f t="shared" ref="T70" si="329">S70/1000</f>
        <v>-2.5928695904455721E-4</v>
      </c>
    </row>
    <row r="71" spans="1:20" x14ac:dyDescent="0.25">
      <c r="A71" s="5">
        <v>44522</v>
      </c>
      <c r="B71">
        <v>1120</v>
      </c>
      <c r="C71">
        <v>1166.9000000000001</v>
      </c>
      <c r="D71">
        <v>1104.5999999999999</v>
      </c>
      <c r="E71">
        <v>1116</v>
      </c>
      <c r="F71">
        <v>184.98500000000001</v>
      </c>
      <c r="G71">
        <v>1116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-0.63402889245585692</v>
      </c>
      <c r="Q71">
        <f t="shared" ref="Q71" si="331">F71*P71</f>
        <v>-117.2858346709467</v>
      </c>
      <c r="R71">
        <f t="shared" ref="R71" si="332">R72+Q71</f>
        <v>-26121.786397859418</v>
      </c>
      <c r="S71">
        <f t="shared" ref="S71" si="333">R71/100000</f>
        <v>-0.2612178639785942</v>
      </c>
      <c r="T71">
        <f t="shared" ref="T71" si="334">S71/1000</f>
        <v>-2.6121786397859418E-4</v>
      </c>
    </row>
    <row r="72" spans="1:20" x14ac:dyDescent="0.25">
      <c r="A72" s="5">
        <v>44521</v>
      </c>
      <c r="B72">
        <v>1164.2</v>
      </c>
      <c r="C72">
        <v>1167.4000000000001</v>
      </c>
      <c r="D72">
        <v>1116.4000000000001</v>
      </c>
      <c r="E72">
        <v>1120.3</v>
      </c>
      <c r="F72">
        <v>237.875</v>
      </c>
      <c r="G72">
        <v>1120.3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-0.84705882352941708</v>
      </c>
      <c r="Q72">
        <f t="shared" ref="Q72" si="336">F72*P72</f>
        <v>-201.49411764706008</v>
      </c>
      <c r="R72">
        <f t="shared" ref="R72" si="337">R73+Q72</f>
        <v>-26004.500563188471</v>
      </c>
      <c r="S72">
        <f t="shared" ref="S72" si="338">R72/100000</f>
        <v>-0.26004500563188471</v>
      </c>
      <c r="T72">
        <f t="shared" ref="T72" si="339">S72/1000</f>
        <v>-2.600450056318847E-4</v>
      </c>
    </row>
    <row r="73" spans="1:20" x14ac:dyDescent="0.25">
      <c r="A73" s="5">
        <v>44520</v>
      </c>
      <c r="B73">
        <v>1115.3</v>
      </c>
      <c r="C73">
        <v>1178.0999999999999</v>
      </c>
      <c r="D73">
        <v>1079.2</v>
      </c>
      <c r="E73">
        <v>1159.9000000000001</v>
      </c>
      <c r="F73">
        <v>342.226</v>
      </c>
      <c r="G73">
        <v>1159.9000000000001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0.6319514661274046</v>
      </c>
      <c r="Q73">
        <f t="shared" ref="Q73" si="341">F73*P73</f>
        <v>216.27022244691716</v>
      </c>
      <c r="R73">
        <f t="shared" ref="R73" si="342">R74+Q73</f>
        <v>-25803.00644554141</v>
      </c>
      <c r="S73">
        <f t="shared" ref="S73" si="343">R73/100000</f>
        <v>-0.2580300644554141</v>
      </c>
      <c r="T73">
        <f t="shared" ref="T73" si="344">S73/1000</f>
        <v>-2.5803006445541412E-4</v>
      </c>
    </row>
    <row r="74" spans="1:20" x14ac:dyDescent="0.25">
      <c r="A74" s="5">
        <v>44519</v>
      </c>
      <c r="B74">
        <v>1083.4000000000001</v>
      </c>
      <c r="C74">
        <v>1164.2</v>
      </c>
      <c r="D74">
        <v>1077.7</v>
      </c>
      <c r="E74">
        <v>1115.2</v>
      </c>
      <c r="F74">
        <v>472.983</v>
      </c>
      <c r="G74">
        <v>1115.2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-0.13294797687861271</v>
      </c>
      <c r="Q74">
        <f t="shared" ref="Q74" si="346">F74*P74</f>
        <v>-62.882132947976871</v>
      </c>
      <c r="R74">
        <f t="shared" ref="R74" si="347">R75+Q74</f>
        <v>-26019.276667988328</v>
      </c>
      <c r="S74">
        <f t="shared" ref="S74" si="348">R74/100000</f>
        <v>-0.26019276667988328</v>
      </c>
      <c r="T74">
        <f t="shared" ref="T74" si="349">S74/1000</f>
        <v>-2.6019276667988328E-4</v>
      </c>
    </row>
    <row r="75" spans="1:20" x14ac:dyDescent="0.25">
      <c r="A75" s="5">
        <v>44518</v>
      </c>
      <c r="B75">
        <v>1233.3</v>
      </c>
      <c r="C75">
        <v>1255.3</v>
      </c>
      <c r="D75">
        <v>1034.5999999999999</v>
      </c>
      <c r="E75">
        <v>1083.4000000000001</v>
      </c>
      <c r="F75">
        <v>644.83900000000006</v>
      </c>
      <c r="G75">
        <v>1083.4000000000001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-0.55777072949705331</v>
      </c>
      <c r="Q75">
        <f t="shared" ref="Q75" si="351">F75*P75</f>
        <v>-359.6723194381504</v>
      </c>
      <c r="R75">
        <f t="shared" ref="R75" si="352">R76+Q75</f>
        <v>-25956.394535040352</v>
      </c>
      <c r="S75">
        <f t="shared" ref="S75" si="353">R75/100000</f>
        <v>-0.2595639453504035</v>
      </c>
      <c r="T75">
        <f t="shared" ref="T75" si="354">S75/1000</f>
        <v>-2.5956394535040352E-4</v>
      </c>
    </row>
    <row r="76" spans="1:20" x14ac:dyDescent="0.25">
      <c r="A76" s="5">
        <v>44517</v>
      </c>
      <c r="B76">
        <v>1303.8</v>
      </c>
      <c r="C76">
        <v>1303.8</v>
      </c>
      <c r="D76">
        <v>1215.3</v>
      </c>
      <c r="E76">
        <v>1230.8</v>
      </c>
      <c r="F76">
        <v>370.05799999999999</v>
      </c>
      <c r="G76">
        <v>1230.8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-0.64971751412429379</v>
      </c>
      <c r="Q76">
        <f t="shared" ref="Q76" si="356">F76*P76</f>
        <v>-240.4331638418079</v>
      </c>
      <c r="R76">
        <f t="shared" ref="R76" si="357">R77+Q76</f>
        <v>-25596.7222156022</v>
      </c>
      <c r="S76">
        <f t="shared" ref="S76" si="358">R76/100000</f>
        <v>-0.25596722215602202</v>
      </c>
      <c r="T76">
        <f t="shared" ref="T76" si="359">S76/1000</f>
        <v>-2.55967222156022E-4</v>
      </c>
    </row>
    <row r="77" spans="1:20" x14ac:dyDescent="0.25">
      <c r="A77" s="5">
        <v>44516</v>
      </c>
      <c r="B77">
        <v>1345</v>
      </c>
      <c r="C77">
        <v>1345</v>
      </c>
      <c r="D77">
        <v>1182</v>
      </c>
      <c r="E77">
        <v>1304</v>
      </c>
      <c r="F77">
        <v>433.04500000000002</v>
      </c>
      <c r="G77">
        <v>1304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0.49693251533742333</v>
      </c>
      <c r="Q77">
        <f t="shared" ref="Q77" si="361">F77*P77</f>
        <v>215.19414110429449</v>
      </c>
      <c r="R77">
        <f t="shared" ref="R77" si="362">R78+Q77</f>
        <v>-25356.289051760392</v>
      </c>
      <c r="S77">
        <f t="shared" ref="S77" si="363">R77/100000</f>
        <v>-0.25356289051760394</v>
      </c>
      <c r="T77">
        <f t="shared" ref="T77" si="364">S77/1000</f>
        <v>-2.5356289051760392E-4</v>
      </c>
    </row>
    <row r="78" spans="1:20" x14ac:dyDescent="0.25">
      <c r="A78" s="5">
        <v>44515</v>
      </c>
      <c r="B78">
        <v>1384.6</v>
      </c>
      <c r="C78">
        <v>1401.9</v>
      </c>
      <c r="D78">
        <v>1342.4</v>
      </c>
      <c r="E78">
        <v>1344.7</v>
      </c>
      <c r="F78">
        <v>146.922</v>
      </c>
      <c r="G78">
        <v>1344.7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-0.9226890756302536</v>
      </c>
      <c r="Q78">
        <f t="shared" ref="Q78" si="366">F78*P78</f>
        <v>-135.5633243697481</v>
      </c>
      <c r="R78">
        <f t="shared" ref="R78" si="367">R79+Q78</f>
        <v>-25571.483192864685</v>
      </c>
      <c r="S78">
        <f t="shared" ref="S78" si="368">R78/100000</f>
        <v>-0.25571483192864686</v>
      </c>
      <c r="T78">
        <f t="shared" ref="T78" si="369">S78/1000</f>
        <v>-2.5571483192864683E-4</v>
      </c>
    </row>
    <row r="79" spans="1:20" x14ac:dyDescent="0.25">
      <c r="A79" s="5">
        <v>44514</v>
      </c>
      <c r="B79">
        <v>1404.3</v>
      </c>
      <c r="C79">
        <v>1426</v>
      </c>
      <c r="D79">
        <v>1361</v>
      </c>
      <c r="E79">
        <v>1389.4</v>
      </c>
      <c r="F79">
        <v>191.70400000000001</v>
      </c>
      <c r="G79">
        <v>1389.4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-0.12615384615384337</v>
      </c>
      <c r="Q79">
        <f t="shared" ref="Q79" si="371">F79*P79</f>
        <v>-24.184196923076389</v>
      </c>
      <c r="R79">
        <f t="shared" ref="R79" si="372">R80+Q79</f>
        <v>-25435.919868494937</v>
      </c>
      <c r="S79">
        <f t="shared" ref="S79" si="373">R79/100000</f>
        <v>-0.25435919868494938</v>
      </c>
      <c r="T79">
        <f t="shared" ref="T79" si="374">S79/1000</f>
        <v>-2.5435919868494936E-4</v>
      </c>
    </row>
    <row r="80" spans="1:20" x14ac:dyDescent="0.25">
      <c r="A80" s="5">
        <v>44513</v>
      </c>
      <c r="B80">
        <v>1359</v>
      </c>
      <c r="C80">
        <v>1421.1</v>
      </c>
      <c r="D80">
        <v>1333.4</v>
      </c>
      <c r="E80">
        <v>1404.3</v>
      </c>
      <c r="F80">
        <v>152.977</v>
      </c>
      <c r="G80">
        <v>1404.3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0.61687571265678476</v>
      </c>
      <c r="Q80">
        <f t="shared" ref="Q80" si="376">F80*P80</f>
        <v>94.367795895096961</v>
      </c>
      <c r="R80">
        <f t="shared" ref="R80" si="377">R81+Q80</f>
        <v>-25411.73567157186</v>
      </c>
      <c r="S80">
        <f t="shared" ref="S80" si="378">R80/100000</f>
        <v>-0.25411735671571861</v>
      </c>
      <c r="T80">
        <f t="shared" ref="T80" si="379">S80/1000</f>
        <v>-2.5411735671571859E-4</v>
      </c>
    </row>
    <row r="81" spans="1:20" x14ac:dyDescent="0.25">
      <c r="A81" s="5">
        <v>44512</v>
      </c>
      <c r="B81">
        <v>1380.5</v>
      </c>
      <c r="C81">
        <v>1412.3</v>
      </c>
      <c r="D81">
        <v>1314.7</v>
      </c>
      <c r="E81">
        <v>1359</v>
      </c>
      <c r="F81">
        <v>305.02</v>
      </c>
      <c r="G81">
        <v>1359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-9.2213114754098449E-2</v>
      </c>
      <c r="Q81">
        <f t="shared" ref="Q81" si="381">F81*P81</f>
        <v>-28.126844262295108</v>
      </c>
      <c r="R81">
        <f t="shared" ref="R81" si="382">R82+Q81</f>
        <v>-25506.103467466957</v>
      </c>
      <c r="S81">
        <f t="shared" ref="S81" si="383">R81/100000</f>
        <v>-0.25506103467466956</v>
      </c>
      <c r="T81">
        <f t="shared" ref="T81" si="384">S81/1000</f>
        <v>-2.5506103467466955E-4</v>
      </c>
    </row>
    <row r="82" spans="1:20" x14ac:dyDescent="0.25">
      <c r="A82" s="5">
        <v>44511</v>
      </c>
      <c r="B82">
        <v>1411.6</v>
      </c>
      <c r="C82">
        <v>1445</v>
      </c>
      <c r="D82">
        <v>1369.3</v>
      </c>
      <c r="E82">
        <v>1382.6</v>
      </c>
      <c r="F82">
        <v>420.18299999999999</v>
      </c>
      <c r="G82">
        <v>1382.6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-0.64861294583883888</v>
      </c>
      <c r="Q82">
        <f t="shared" ref="Q82" si="386">F82*P82</f>
        <v>-272.53613342140085</v>
      </c>
      <c r="R82">
        <f t="shared" ref="R82" si="387">R83+Q82</f>
        <v>-25477.97662320466</v>
      </c>
      <c r="S82">
        <f t="shared" ref="S82" si="388">R82/100000</f>
        <v>-0.25477976623204662</v>
      </c>
      <c r="T82">
        <f t="shared" ref="T82" si="389">S82/1000</f>
        <v>-2.5477976623204662E-4</v>
      </c>
    </row>
    <row r="83" spans="1:20" x14ac:dyDescent="0.25">
      <c r="A83" s="5">
        <v>44510</v>
      </c>
      <c r="B83">
        <v>1447.5</v>
      </c>
      <c r="C83">
        <v>1499</v>
      </c>
      <c r="D83">
        <v>1382</v>
      </c>
      <c r="E83">
        <v>1413.8</v>
      </c>
      <c r="F83">
        <v>574.93100000000004</v>
      </c>
      <c r="G83">
        <v>1413.8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-0.45641025641025718</v>
      </c>
      <c r="Q83">
        <f t="shared" ref="Q83" si="391">F83*P83</f>
        <v>-262.40440512820561</v>
      </c>
      <c r="R83">
        <f t="shared" ref="R83" si="392">R84+Q83</f>
        <v>-25205.440489783261</v>
      </c>
      <c r="S83">
        <f t="shared" ref="S83" si="393">R83/100000</f>
        <v>-0.2520544048978326</v>
      </c>
      <c r="T83">
        <f t="shared" ref="T83" si="394">S83/1000</f>
        <v>-2.5205440489783258E-4</v>
      </c>
    </row>
    <row r="84" spans="1:20" x14ac:dyDescent="0.25">
      <c r="A84" s="5">
        <v>44509</v>
      </c>
      <c r="B84">
        <v>1461.6</v>
      </c>
      <c r="C84">
        <v>1486.4</v>
      </c>
      <c r="D84">
        <v>1420</v>
      </c>
      <c r="E84">
        <v>1449.1</v>
      </c>
      <c r="F84">
        <v>323.88499999999999</v>
      </c>
      <c r="G84">
        <v>1449.1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-0.12349397590361839</v>
      </c>
      <c r="Q84">
        <f t="shared" ref="Q84" si="396">F84*P84</f>
        <v>-39.99784638554344</v>
      </c>
      <c r="R84">
        <f t="shared" ref="R84" si="397">R85+Q84</f>
        <v>-24943.036084655054</v>
      </c>
      <c r="S84">
        <f t="shared" ref="S84" si="398">R84/100000</f>
        <v>-0.24943036084655054</v>
      </c>
      <c r="T84">
        <f t="shared" ref="T84" si="399">S84/1000</f>
        <v>-2.4943036084655053E-4</v>
      </c>
    </row>
    <row r="85" spans="1:20" x14ac:dyDescent="0.25">
      <c r="A85" s="5">
        <v>44508</v>
      </c>
      <c r="B85">
        <v>1446</v>
      </c>
      <c r="C85">
        <v>1497.3</v>
      </c>
      <c r="D85">
        <v>1436.3</v>
      </c>
      <c r="E85">
        <v>1461.3</v>
      </c>
      <c r="F85">
        <v>318.35700000000003</v>
      </c>
      <c r="G85">
        <v>1461.3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-0.18032786885245902</v>
      </c>
      <c r="Q85">
        <f t="shared" ref="Q85" si="401">F85*P85</f>
        <v>-57.408639344262305</v>
      </c>
      <c r="R85">
        <f t="shared" ref="R85" si="402">R86+Q85</f>
        <v>-24903.03823826951</v>
      </c>
      <c r="S85">
        <f t="shared" ref="S85" si="403">R85/100000</f>
        <v>-0.24903038238269509</v>
      </c>
      <c r="T85">
        <f t="shared" ref="T85" si="404">S85/1000</f>
        <v>-2.4903038238269508E-4</v>
      </c>
    </row>
    <row r="86" spans="1:20" x14ac:dyDescent="0.25">
      <c r="A86" s="5">
        <v>44507</v>
      </c>
      <c r="B86">
        <v>1448.7</v>
      </c>
      <c r="C86">
        <v>1459.2</v>
      </c>
      <c r="D86">
        <v>1411</v>
      </c>
      <c r="E86">
        <v>1441.4</v>
      </c>
      <c r="F86">
        <v>327.99099999999999</v>
      </c>
      <c r="G86">
        <v>1441.4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0.26141078838174531</v>
      </c>
      <c r="Q86">
        <f t="shared" ref="Q86" si="406">F86*P86</f>
        <v>85.740385892117018</v>
      </c>
      <c r="R86">
        <f t="shared" ref="R86" si="407">R87+Q86</f>
        <v>-24845.629598925247</v>
      </c>
      <c r="S86">
        <f t="shared" ref="S86" si="408">R86/100000</f>
        <v>-0.24845629598925248</v>
      </c>
      <c r="T86">
        <f t="shared" ref="T86" si="409">S86/1000</f>
        <v>-2.4845629598925246E-4</v>
      </c>
    </row>
    <row r="87" spans="1:20" x14ac:dyDescent="0.25">
      <c r="A87" s="5">
        <v>44506</v>
      </c>
      <c r="B87">
        <v>1386.6</v>
      </c>
      <c r="C87">
        <v>1450.8</v>
      </c>
      <c r="D87">
        <v>1356.2</v>
      </c>
      <c r="E87">
        <v>1450.8</v>
      </c>
      <c r="F87">
        <v>256.40899999999999</v>
      </c>
      <c r="G87">
        <v>1450.8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1</v>
      </c>
      <c r="Q87">
        <f t="shared" ref="Q87" si="411">F87*P87</f>
        <v>256.40899999999999</v>
      </c>
      <c r="R87">
        <f t="shared" ref="R87" si="412">R88+Q87</f>
        <v>-24931.369984817364</v>
      </c>
      <c r="S87">
        <f t="shared" ref="S87" si="413">R87/100000</f>
        <v>-0.24931369984817364</v>
      </c>
      <c r="T87">
        <f t="shared" ref="T87" si="414">S87/1000</f>
        <v>-2.4931369984817364E-4</v>
      </c>
    </row>
    <row r="88" spans="1:20" x14ac:dyDescent="0.25">
      <c r="A88" s="5">
        <v>44505</v>
      </c>
      <c r="B88">
        <v>1343.8</v>
      </c>
      <c r="C88">
        <v>1448</v>
      </c>
      <c r="D88">
        <v>1342.2</v>
      </c>
      <c r="E88">
        <v>1382</v>
      </c>
      <c r="F88">
        <v>531.72299999999996</v>
      </c>
      <c r="G88">
        <v>1382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-0.24763705103969808</v>
      </c>
      <c r="Q88">
        <f t="shared" ref="Q88" si="416">F88*P88</f>
        <v>-131.67431568998137</v>
      </c>
      <c r="R88">
        <f t="shared" ref="R88" si="417">R89+Q88</f>
        <v>-25187.778984817363</v>
      </c>
      <c r="S88">
        <f t="shared" ref="S88" si="418">R88/100000</f>
        <v>-0.25187778984817366</v>
      </c>
      <c r="T88">
        <f t="shared" ref="T88" si="419">S88/1000</f>
        <v>-2.5187778984817364E-4</v>
      </c>
    </row>
    <row r="89" spans="1:20" x14ac:dyDescent="0.25">
      <c r="A89" s="5">
        <v>44504</v>
      </c>
      <c r="B89">
        <v>1350.9</v>
      </c>
      <c r="C89">
        <v>1372</v>
      </c>
      <c r="D89">
        <v>1264.5999999999999</v>
      </c>
      <c r="E89">
        <v>1343.8</v>
      </c>
      <c r="F89">
        <v>637.87199999999996</v>
      </c>
      <c r="G89">
        <v>1343.8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0.47486033519553034</v>
      </c>
      <c r="Q89">
        <f t="shared" ref="Q89" si="421">F89*P89</f>
        <v>302.90011173184331</v>
      </c>
      <c r="R89">
        <f t="shared" ref="R89" si="422">R90+Q89</f>
        <v>-25056.10466912738</v>
      </c>
      <c r="S89">
        <f t="shared" ref="S89" si="423">R89/100000</f>
        <v>-0.25056104669127383</v>
      </c>
      <c r="T89">
        <f t="shared" ref="T89" si="424">S89/1000</f>
        <v>-2.5056104669127384E-4</v>
      </c>
    </row>
    <row r="90" spans="1:20" x14ac:dyDescent="0.25">
      <c r="A90" s="5">
        <v>44503</v>
      </c>
      <c r="B90">
        <v>1306.2</v>
      </c>
      <c r="C90">
        <v>1410</v>
      </c>
      <c r="D90">
        <v>1261.9000000000001</v>
      </c>
      <c r="E90">
        <v>1348.4</v>
      </c>
      <c r="F90">
        <v>586.37800000000004</v>
      </c>
      <c r="G90">
        <v>1348.4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0.16812964213369416</v>
      </c>
      <c r="Q90">
        <f t="shared" ref="Q90" si="426">F90*P90</f>
        <v>98.587523295071321</v>
      </c>
      <c r="R90">
        <f t="shared" ref="R90" si="427">R91+Q90</f>
        <v>-25359.004780859224</v>
      </c>
      <c r="S90">
        <f t="shared" ref="S90" si="428">R90/100000</f>
        <v>-0.25359004780859223</v>
      </c>
      <c r="T90">
        <f t="shared" ref="T90" si="429">S90/1000</f>
        <v>-2.5359004780859225E-4</v>
      </c>
    </row>
    <row r="91" spans="1:20" x14ac:dyDescent="0.25">
      <c r="A91" s="5">
        <v>44502</v>
      </c>
      <c r="B91">
        <v>1320.7</v>
      </c>
      <c r="C91">
        <v>1345.4</v>
      </c>
      <c r="D91">
        <v>1301.7</v>
      </c>
      <c r="E91">
        <v>1306.2</v>
      </c>
      <c r="F91">
        <v>270.245</v>
      </c>
      <c r="G91">
        <v>1306.2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-0.79405034324942814</v>
      </c>
      <c r="Q91">
        <f t="shared" ref="Q91" si="431">F91*P91</f>
        <v>-214.58813501144172</v>
      </c>
      <c r="R91">
        <f t="shared" ref="R91" si="432">R92+Q91</f>
        <v>-25457.592304154296</v>
      </c>
      <c r="S91">
        <f t="shared" ref="S91" si="433">R91/100000</f>
        <v>-0.25457592304154297</v>
      </c>
      <c r="T91">
        <f t="shared" ref="T91" si="434">S91/1000</f>
        <v>-2.5457592304154299E-4</v>
      </c>
    </row>
    <row r="92" spans="1:20" x14ac:dyDescent="0.25">
      <c r="A92" s="5">
        <v>44501</v>
      </c>
      <c r="B92">
        <v>1315.3</v>
      </c>
      <c r="C92">
        <v>1357.5</v>
      </c>
      <c r="D92">
        <v>1294.8</v>
      </c>
      <c r="E92">
        <v>1324.9</v>
      </c>
      <c r="F92">
        <v>261.90899999999999</v>
      </c>
      <c r="G92">
        <v>1324.9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-3.987240829345727E-2</v>
      </c>
      <c r="Q92">
        <f t="shared" ref="Q92" si="436">F92*P92</f>
        <v>-10.442942583731099</v>
      </c>
      <c r="R92">
        <f t="shared" ref="R92" si="437">R93+Q92</f>
        <v>-25243.004169142852</v>
      </c>
      <c r="S92">
        <f t="shared" ref="S92" si="438">R92/100000</f>
        <v>-0.25243004169142852</v>
      </c>
      <c r="T92">
        <f t="shared" ref="T92" si="439">S92/1000</f>
        <v>-2.5243004169142852E-4</v>
      </c>
    </row>
    <row r="93" spans="1:20" x14ac:dyDescent="0.25">
      <c r="A93" s="5">
        <v>44500</v>
      </c>
      <c r="B93">
        <v>1338.9</v>
      </c>
      <c r="C93">
        <v>1359.2</v>
      </c>
      <c r="D93">
        <v>1307</v>
      </c>
      <c r="E93">
        <v>1315.3</v>
      </c>
      <c r="F93">
        <v>351.036</v>
      </c>
      <c r="G93">
        <v>1315.3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-0.68199233716475294</v>
      </c>
      <c r="Q93">
        <f t="shared" ref="Q93" si="441">F93*P93</f>
        <v>-239.40386206896622</v>
      </c>
      <c r="R93">
        <f t="shared" ref="R93" si="442">R94+Q93</f>
        <v>-25232.561226559123</v>
      </c>
      <c r="S93">
        <f t="shared" ref="S93" si="443">R93/100000</f>
        <v>-0.25232561226559125</v>
      </c>
      <c r="T93">
        <f t="shared" ref="T93" si="444">S93/1000</f>
        <v>-2.5232561226559128E-4</v>
      </c>
    </row>
    <row r="94" spans="1:20" x14ac:dyDescent="0.25">
      <c r="A94" s="5">
        <v>44499</v>
      </c>
      <c r="B94">
        <v>1383.9</v>
      </c>
      <c r="C94">
        <v>1442.3</v>
      </c>
      <c r="D94">
        <v>1331</v>
      </c>
      <c r="E94">
        <v>1342.5</v>
      </c>
      <c r="F94">
        <v>411.38200000000001</v>
      </c>
      <c r="G94">
        <v>1342.5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-0.793351302785265</v>
      </c>
      <c r="Q94">
        <f t="shared" ref="Q94" si="446">F94*P94</f>
        <v>-326.3704456424079</v>
      </c>
      <c r="R94">
        <f t="shared" ref="R94" si="447">R95+Q94</f>
        <v>-24993.157364490155</v>
      </c>
      <c r="S94">
        <f t="shared" ref="S94" si="448">R94/100000</f>
        <v>-0.24993157364490154</v>
      </c>
      <c r="T94">
        <f t="shared" ref="T94" si="449">S94/1000</f>
        <v>-2.4993157364490155E-4</v>
      </c>
    </row>
    <row r="95" spans="1:20" x14ac:dyDescent="0.25">
      <c r="A95" s="5">
        <v>44498</v>
      </c>
      <c r="B95">
        <v>1365</v>
      </c>
      <c r="C95">
        <v>1447.5</v>
      </c>
      <c r="D95">
        <v>1353.9</v>
      </c>
      <c r="E95">
        <v>1379</v>
      </c>
      <c r="F95">
        <v>407.09199999999998</v>
      </c>
      <c r="G95">
        <v>1379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-0.46367521367521508</v>
      </c>
      <c r="Q95">
        <f t="shared" ref="Q95" si="451">F95*P95</f>
        <v>-188.75847008547066</v>
      </c>
      <c r="R95">
        <f t="shared" ref="R95" si="452">R96+Q95</f>
        <v>-24666.786918847745</v>
      </c>
      <c r="S95">
        <f t="shared" ref="S95" si="453">R95/100000</f>
        <v>-0.24666786918847744</v>
      </c>
      <c r="T95">
        <f t="shared" ref="T95" si="454">S95/1000</f>
        <v>-2.4666786918847743E-4</v>
      </c>
    </row>
    <row r="96" spans="1:20" x14ac:dyDescent="0.25">
      <c r="A96" s="5">
        <v>44497</v>
      </c>
      <c r="B96">
        <v>1284.2</v>
      </c>
      <c r="C96">
        <v>1375.1</v>
      </c>
      <c r="D96">
        <v>1282</v>
      </c>
      <c r="E96">
        <v>1365</v>
      </c>
      <c r="F96">
        <v>357.18599999999998</v>
      </c>
      <c r="G96">
        <v>1365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0.78302900107411555</v>
      </c>
      <c r="Q96">
        <f t="shared" ref="Q96" si="456">F96*P96</f>
        <v>279.68699677765903</v>
      </c>
      <c r="R96">
        <f t="shared" ref="R96" si="457">R97+Q96</f>
        <v>-24478.028448762274</v>
      </c>
      <c r="S96">
        <f t="shared" ref="S96" si="458">R96/100000</f>
        <v>-0.24478028448762273</v>
      </c>
      <c r="T96">
        <f t="shared" ref="T96" si="459">S96/1000</f>
        <v>-2.4478028448762275E-4</v>
      </c>
    </row>
    <row r="97" spans="1:20" x14ac:dyDescent="0.25">
      <c r="A97" s="5">
        <v>44496</v>
      </c>
      <c r="B97">
        <v>1422.2</v>
      </c>
      <c r="C97">
        <v>1450</v>
      </c>
      <c r="D97">
        <v>1260</v>
      </c>
      <c r="E97">
        <v>1284.2</v>
      </c>
      <c r="F97">
        <v>727.44399999999996</v>
      </c>
      <c r="G97">
        <v>1284.2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-0.74526315789473641</v>
      </c>
      <c r="Q97">
        <f t="shared" ref="Q97" si="461">F97*P97</f>
        <v>-542.13721263157856</v>
      </c>
      <c r="R97">
        <f t="shared" ref="R97" si="462">R98+Q97</f>
        <v>-24757.715445539932</v>
      </c>
      <c r="S97">
        <f t="shared" ref="S97" si="463">R97/100000</f>
        <v>-0.24757715445539932</v>
      </c>
      <c r="T97">
        <f t="shared" ref="T97" si="464">S97/1000</f>
        <v>-2.4757715445539934E-4</v>
      </c>
    </row>
    <row r="98" spans="1:20" x14ac:dyDescent="0.25">
      <c r="A98" s="5">
        <v>44495</v>
      </c>
      <c r="B98">
        <v>1313</v>
      </c>
      <c r="C98">
        <v>1450.8</v>
      </c>
      <c r="D98">
        <v>1308</v>
      </c>
      <c r="E98">
        <v>1422.2</v>
      </c>
      <c r="F98">
        <v>1495.9269999999999</v>
      </c>
      <c r="G98">
        <v>1422.2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0.59943977591036535</v>
      </c>
      <c r="Q98">
        <f t="shared" ref="Q98" si="466">F98*P98</f>
        <v>896.71814565826503</v>
      </c>
      <c r="R98">
        <f t="shared" ref="R98" si="467">R99+Q98</f>
        <v>-24215.578232908352</v>
      </c>
      <c r="S98">
        <f t="shared" ref="S98" si="468">R98/100000</f>
        <v>-0.24215578232908352</v>
      </c>
      <c r="T98">
        <f t="shared" ref="T98" si="469">S98/1000</f>
        <v>-2.4215578232908352E-4</v>
      </c>
    </row>
    <row r="99" spans="1:20" x14ac:dyDescent="0.25">
      <c r="A99" s="5">
        <v>44494</v>
      </c>
      <c r="B99">
        <v>1237.2</v>
      </c>
      <c r="C99">
        <v>1324.2</v>
      </c>
      <c r="D99">
        <v>1236.5999999999999</v>
      </c>
      <c r="E99">
        <v>1313</v>
      </c>
      <c r="F99">
        <v>430.67500000000001</v>
      </c>
      <c r="G99">
        <v>1313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0.74429223744292172</v>
      </c>
      <c r="Q99">
        <f t="shared" ref="Q99" si="471">F99*P99</f>
        <v>320.54805936073035</v>
      </c>
      <c r="R99">
        <f t="shared" ref="R99" si="472">R100+Q99</f>
        <v>-25112.296378566618</v>
      </c>
      <c r="S99">
        <f t="shared" ref="S99" si="473">R99/100000</f>
        <v>-0.25112296378566618</v>
      </c>
      <c r="T99">
        <f t="shared" ref="T99" si="474">S99/1000</f>
        <v>-2.5112296378566618E-4</v>
      </c>
    </row>
    <row r="100" spans="1:20" x14ac:dyDescent="0.25">
      <c r="A100" s="5">
        <v>44493</v>
      </c>
      <c r="B100">
        <v>1254</v>
      </c>
      <c r="C100">
        <v>1268</v>
      </c>
      <c r="D100">
        <v>1195.5999999999999</v>
      </c>
      <c r="E100">
        <v>1239.8</v>
      </c>
      <c r="F100">
        <v>417.68099999999998</v>
      </c>
      <c r="G100">
        <v>1239.8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0.22099447513812126</v>
      </c>
      <c r="Q100">
        <f t="shared" ref="Q100" si="476">F100*P100</f>
        <v>92.305193370165625</v>
      </c>
      <c r="R100">
        <f t="shared" ref="R100" si="477">R101+Q100</f>
        <v>-25432.84443792735</v>
      </c>
      <c r="S100">
        <f t="shared" ref="S100" si="478">R100/100000</f>
        <v>-0.25432844437927349</v>
      </c>
      <c r="T100">
        <f t="shared" ref="T100" si="479">S100/1000</f>
        <v>-2.5432844437927351E-4</v>
      </c>
    </row>
    <row r="101" spans="1:20" x14ac:dyDescent="0.25">
      <c r="A101" s="5">
        <v>44492</v>
      </c>
      <c r="B101">
        <v>1230.7</v>
      </c>
      <c r="C101">
        <v>1259.5999999999999</v>
      </c>
      <c r="D101">
        <v>1202</v>
      </c>
      <c r="E101">
        <v>1255</v>
      </c>
      <c r="F101">
        <v>307.97000000000003</v>
      </c>
      <c r="G101">
        <v>1255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0.84027777777778068</v>
      </c>
      <c r="Q101">
        <f t="shared" ref="Q101" si="481">F101*P101</f>
        <v>258.78034722222316</v>
      </c>
      <c r="R101">
        <f t="shared" ref="R101" si="482">R102+Q101</f>
        <v>-25525.149631297514</v>
      </c>
      <c r="S101">
        <f t="shared" ref="S101" si="483">R101/100000</f>
        <v>-0.25525149631297517</v>
      </c>
      <c r="T101">
        <f t="shared" ref="T101" si="484">S101/1000</f>
        <v>-2.5525149631297516E-4</v>
      </c>
    </row>
    <row r="102" spans="1:20" x14ac:dyDescent="0.25">
      <c r="A102" s="5">
        <v>44491</v>
      </c>
      <c r="B102">
        <v>1237.7</v>
      </c>
      <c r="C102">
        <v>1294.7</v>
      </c>
      <c r="D102">
        <v>1187.2</v>
      </c>
      <c r="E102">
        <v>1234.8</v>
      </c>
      <c r="F102">
        <v>605.755</v>
      </c>
      <c r="G102">
        <v>1234.8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-0.11441860465116448</v>
      </c>
      <c r="Q102">
        <f t="shared" ref="Q102" si="486">F102*P102</f>
        <v>-69.309641860466144</v>
      </c>
      <c r="R102">
        <f t="shared" ref="R102" si="487">R103+Q102</f>
        <v>-25783.929978519736</v>
      </c>
      <c r="S102">
        <f t="shared" ref="S102" si="488">R102/100000</f>
        <v>-0.25783929978519737</v>
      </c>
      <c r="T102">
        <f t="shared" ref="T102" si="489">S102/1000</f>
        <v>-2.5783929978519737E-4</v>
      </c>
    </row>
    <row r="103" spans="1:20" x14ac:dyDescent="0.25">
      <c r="A103" s="5">
        <v>44490</v>
      </c>
      <c r="B103">
        <v>1288.9000000000001</v>
      </c>
      <c r="C103">
        <v>1310</v>
      </c>
      <c r="D103">
        <v>1202.4000000000001</v>
      </c>
      <c r="E103">
        <v>1238.8</v>
      </c>
      <c r="F103">
        <v>785.15800000000002</v>
      </c>
      <c r="G103">
        <v>1238.8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-0.32342007434944436</v>
      </c>
      <c r="Q103">
        <f t="shared" ref="Q103" si="491">F103*P103</f>
        <v>-253.93585873606105</v>
      </c>
      <c r="R103">
        <f t="shared" ref="R103" si="492">R104+Q103</f>
        <v>-25714.620336659271</v>
      </c>
      <c r="S103">
        <f t="shared" ref="S103" si="493">R103/100000</f>
        <v>-0.25714620336659272</v>
      </c>
      <c r="T103">
        <f t="shared" ref="T103" si="494">S103/1000</f>
        <v>-2.571462033665927E-4</v>
      </c>
    </row>
    <row r="104" spans="1:20" x14ac:dyDescent="0.25">
      <c r="A104" s="5">
        <v>44489</v>
      </c>
      <c r="B104">
        <v>1210.0999999999999</v>
      </c>
      <c r="C104">
        <v>1360</v>
      </c>
      <c r="D104">
        <v>1183.0999999999999</v>
      </c>
      <c r="E104">
        <v>1288.9000000000001</v>
      </c>
      <c r="F104">
        <v>918.29600000000005</v>
      </c>
      <c r="G104">
        <v>1288.9000000000001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0.19615602035048194</v>
      </c>
      <c r="Q104">
        <f t="shared" ref="Q104" si="496">F104*P104</f>
        <v>180.12928886376616</v>
      </c>
      <c r="R104">
        <f t="shared" ref="R104" si="497">R105+Q104</f>
        <v>-25460.684477923209</v>
      </c>
      <c r="S104">
        <f t="shared" ref="S104" si="498">R104/100000</f>
        <v>-0.25460684477923207</v>
      </c>
      <c r="T104">
        <f t="shared" ref="T104" si="499">S104/1000</f>
        <v>-2.5460684477923208E-4</v>
      </c>
    </row>
    <row r="105" spans="1:20" x14ac:dyDescent="0.25">
      <c r="A105" s="5">
        <v>44488</v>
      </c>
      <c r="B105">
        <v>1228.0999999999999</v>
      </c>
      <c r="C105">
        <v>1253.2</v>
      </c>
      <c r="D105">
        <v>1196.3</v>
      </c>
      <c r="E105">
        <v>1210.0999999999999</v>
      </c>
      <c r="F105">
        <v>421.54399999999998</v>
      </c>
      <c r="G105">
        <v>1210.0999999999999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-0.5149384885764523</v>
      </c>
      <c r="Q105">
        <f t="shared" ref="Q105" si="501">F105*P105</f>
        <v>-217.06923022847201</v>
      </c>
      <c r="R105">
        <f t="shared" ref="R105" si="502">R106+Q105</f>
        <v>-25640.813766786974</v>
      </c>
      <c r="S105">
        <f t="shared" ref="S105" si="503">R105/100000</f>
        <v>-0.25640813766786974</v>
      </c>
      <c r="T105">
        <f t="shared" ref="T105" si="504">S105/1000</f>
        <v>-2.5640813766786974E-4</v>
      </c>
    </row>
    <row r="106" spans="1:20" x14ac:dyDescent="0.25">
      <c r="A106" s="5">
        <v>44487</v>
      </c>
      <c r="B106">
        <v>1267.0999999999999</v>
      </c>
      <c r="C106">
        <v>1274.0999999999999</v>
      </c>
      <c r="D106">
        <v>1200</v>
      </c>
      <c r="E106">
        <v>1229.5</v>
      </c>
      <c r="F106">
        <v>727.54899999999998</v>
      </c>
      <c r="G106">
        <v>1229.5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-0.20377867746288703</v>
      </c>
      <c r="Q106">
        <f t="shared" ref="Q106" si="506">F106*P106</f>
        <v>-148.25897300944598</v>
      </c>
      <c r="R106">
        <f t="shared" ref="R106" si="507">R107+Q106</f>
        <v>-25423.744536558501</v>
      </c>
      <c r="S106">
        <f t="shared" ref="S106" si="508">R106/100000</f>
        <v>-0.25423744536558501</v>
      </c>
      <c r="T106">
        <f t="shared" ref="T106" si="509">S106/1000</f>
        <v>-2.54237445365585E-4</v>
      </c>
    </row>
    <row r="107" spans="1:20" x14ac:dyDescent="0.25">
      <c r="A107" s="5">
        <v>44486</v>
      </c>
      <c r="B107">
        <v>1285.2</v>
      </c>
      <c r="C107">
        <v>1325</v>
      </c>
      <c r="D107">
        <v>1200.0999999999999</v>
      </c>
      <c r="E107">
        <v>1266.4000000000001</v>
      </c>
      <c r="F107">
        <v>991.29499999999996</v>
      </c>
      <c r="G107">
        <v>1266.4000000000001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6.1649319455566592E-2</v>
      </c>
      <c r="Q107">
        <f t="shared" ref="Q107" si="511">F107*P107</f>
        <v>61.112662129705882</v>
      </c>
      <c r="R107">
        <f t="shared" ref="R107" si="512">R108+Q107</f>
        <v>-25275.485563549057</v>
      </c>
      <c r="S107">
        <f t="shared" ref="S107" si="513">R107/100000</f>
        <v>-0.25275485563549055</v>
      </c>
      <c r="T107">
        <f t="shared" ref="T107" si="514">S107/1000</f>
        <v>-2.5275485563549057E-4</v>
      </c>
    </row>
    <row r="108" spans="1:20" x14ac:dyDescent="0.25">
      <c r="A108" s="5">
        <v>44485</v>
      </c>
      <c r="B108">
        <v>1215.8</v>
      </c>
      <c r="C108">
        <v>1393</v>
      </c>
      <c r="D108">
        <v>1188.4000000000001</v>
      </c>
      <c r="E108">
        <v>1285.3</v>
      </c>
      <c r="F108">
        <v>1698.1969999999999</v>
      </c>
      <c r="G108">
        <v>1285.3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-5.27859237536666E-2</v>
      </c>
      <c r="Q108">
        <f t="shared" ref="Q108" si="516">F108*P108</f>
        <v>-89.640897360705353</v>
      </c>
      <c r="R108">
        <f t="shared" ref="R108" si="517">R109+Q108</f>
        <v>-25336.598225678761</v>
      </c>
      <c r="S108">
        <f t="shared" ref="S108" si="518">R108/100000</f>
        <v>-0.25336598225678764</v>
      </c>
      <c r="T108">
        <f t="shared" ref="T108" si="519">S108/1000</f>
        <v>-2.5336598225678765E-4</v>
      </c>
    </row>
    <row r="109" spans="1:20" x14ac:dyDescent="0.25">
      <c r="A109" s="5">
        <v>44484</v>
      </c>
      <c r="B109">
        <v>1148.8</v>
      </c>
      <c r="C109">
        <v>1254.0999999999999</v>
      </c>
      <c r="D109">
        <v>1120.9000000000001</v>
      </c>
      <c r="E109">
        <v>1215.8</v>
      </c>
      <c r="F109">
        <v>972.08100000000002</v>
      </c>
      <c r="G109">
        <v>1215.8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0.42492492492492484</v>
      </c>
      <c r="Q109">
        <f t="shared" ref="Q109" si="521">F109*P109</f>
        <v>413.06144594594588</v>
      </c>
      <c r="R109">
        <f t="shared" ref="R109" si="522">R110+Q109</f>
        <v>-25246.957328318054</v>
      </c>
      <c r="S109">
        <f t="shared" ref="S109" si="523">R109/100000</f>
        <v>-0.25246957328318054</v>
      </c>
      <c r="T109">
        <f t="shared" ref="T109" si="524">S109/1000</f>
        <v>-2.5246957328318054E-4</v>
      </c>
    </row>
    <row r="110" spans="1:20" x14ac:dyDescent="0.25">
      <c r="A110" s="5">
        <v>44483</v>
      </c>
      <c r="B110">
        <v>1197.5999999999999</v>
      </c>
      <c r="C110">
        <v>1250</v>
      </c>
      <c r="D110">
        <v>1091.5999999999999</v>
      </c>
      <c r="E110">
        <v>1148.8</v>
      </c>
      <c r="F110">
        <v>1123.059</v>
      </c>
      <c r="G110">
        <v>1148.8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-0.27777777777777762</v>
      </c>
      <c r="Q110">
        <f t="shared" ref="Q110" si="526">F110*P110</f>
        <v>-311.96083333333314</v>
      </c>
      <c r="R110">
        <f t="shared" ref="R110" si="527">R111+Q110</f>
        <v>-25660.018774264001</v>
      </c>
      <c r="S110">
        <f t="shared" ref="S110" si="528">R110/100000</f>
        <v>-0.25660018774263998</v>
      </c>
      <c r="T110">
        <f t="shared" ref="T110" si="529">S110/1000</f>
        <v>-2.5660018774263996E-4</v>
      </c>
    </row>
    <row r="111" spans="1:20" x14ac:dyDescent="0.25">
      <c r="A111" s="5">
        <v>44482</v>
      </c>
      <c r="B111">
        <v>1050.4000000000001</v>
      </c>
      <c r="C111">
        <v>1211.3</v>
      </c>
      <c r="D111">
        <v>1046.2</v>
      </c>
      <c r="E111">
        <v>1200</v>
      </c>
      <c r="F111">
        <v>1357.049</v>
      </c>
      <c r="G111">
        <v>1200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0.86311326468806826</v>
      </c>
      <c r="Q111">
        <f t="shared" ref="Q111" si="531">F111*P111</f>
        <v>1171.2869927316783</v>
      </c>
      <c r="R111">
        <f t="shared" ref="R111" si="532">R112+Q111</f>
        <v>-25348.057940930667</v>
      </c>
      <c r="S111">
        <f t="shared" ref="S111" si="533">R111/100000</f>
        <v>-0.25348057940930668</v>
      </c>
      <c r="T111">
        <f t="shared" ref="T111" si="534">S111/1000</f>
        <v>-2.5348057940930666E-4</v>
      </c>
    </row>
    <row r="112" spans="1:20" x14ac:dyDescent="0.25">
      <c r="A112" s="5">
        <v>44481</v>
      </c>
      <c r="B112">
        <v>1078.2</v>
      </c>
      <c r="C112">
        <v>1079.2</v>
      </c>
      <c r="D112">
        <v>980</v>
      </c>
      <c r="E112">
        <v>1050</v>
      </c>
      <c r="F112">
        <v>722.15499999999997</v>
      </c>
      <c r="G112">
        <v>1050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0.41129032258064452</v>
      </c>
      <c r="Q112">
        <f t="shared" ref="Q112" si="536">F112*P112</f>
        <v>297.01536290322531</v>
      </c>
      <c r="R112">
        <f t="shared" ref="R112" si="537">R113+Q112</f>
        <v>-26519.344933662345</v>
      </c>
      <c r="S112">
        <f t="shared" ref="S112" si="538">R112/100000</f>
        <v>-0.26519344933662348</v>
      </c>
      <c r="T112">
        <f t="shared" ref="T112" si="539">S112/1000</f>
        <v>-2.6519344933662346E-4</v>
      </c>
    </row>
    <row r="113" spans="1:20" x14ac:dyDescent="0.25">
      <c r="A113" s="5">
        <v>44480</v>
      </c>
      <c r="B113">
        <v>1074.5</v>
      </c>
      <c r="C113">
        <v>1112</v>
      </c>
      <c r="D113">
        <v>1069.4000000000001</v>
      </c>
      <c r="E113">
        <v>1078.4000000000001</v>
      </c>
      <c r="F113">
        <v>450.86700000000002</v>
      </c>
      <c r="G113">
        <v>1078.4000000000001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-0.57746478873239349</v>
      </c>
      <c r="Q113">
        <f t="shared" ref="Q113" si="541">F113*P113</f>
        <v>-260.35981690140807</v>
      </c>
      <c r="R113">
        <f t="shared" ref="R113" si="542">R114+Q113</f>
        <v>-26816.36029656557</v>
      </c>
      <c r="S113">
        <f t="shared" ref="S113" si="543">R113/100000</f>
        <v>-0.26816360296565572</v>
      </c>
      <c r="T113">
        <f t="shared" ref="T113" si="544">S113/1000</f>
        <v>-2.6816360296565573E-4</v>
      </c>
    </row>
    <row r="114" spans="1:20" x14ac:dyDescent="0.25">
      <c r="A114" s="5">
        <v>44479</v>
      </c>
      <c r="B114">
        <v>1097.4000000000001</v>
      </c>
      <c r="C114">
        <v>1124.9000000000001</v>
      </c>
      <c r="D114">
        <v>1066.8</v>
      </c>
      <c r="E114">
        <v>1076.7</v>
      </c>
      <c r="F114">
        <v>589.024</v>
      </c>
      <c r="G114">
        <v>1076.7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-0.65920826161789781</v>
      </c>
      <c r="Q114">
        <f t="shared" ref="Q114" si="546">F114*P114</f>
        <v>-388.28948709122062</v>
      </c>
      <c r="R114">
        <f t="shared" ref="R114" si="547">R115+Q114</f>
        <v>-26556.000479664162</v>
      </c>
      <c r="S114">
        <f t="shared" ref="S114" si="548">R114/100000</f>
        <v>-0.2655600047966416</v>
      </c>
      <c r="T114">
        <f t="shared" ref="T114" si="549">S114/1000</f>
        <v>-2.6556000479664163E-4</v>
      </c>
    </row>
    <row r="115" spans="1:20" x14ac:dyDescent="0.25">
      <c r="A115" s="5">
        <v>44478</v>
      </c>
      <c r="B115">
        <v>1064.5</v>
      </c>
      <c r="C115">
        <v>1265</v>
      </c>
      <c r="D115">
        <v>1056.5999999999999</v>
      </c>
      <c r="E115">
        <v>1097.4000000000001</v>
      </c>
      <c r="F115">
        <v>2511.3960000000002</v>
      </c>
      <c r="G115">
        <v>1097.4000000000001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-0.60844529750479692</v>
      </c>
      <c r="Q115">
        <f t="shared" ref="Q115" si="551">F115*P115</f>
        <v>-1528.0470863723572</v>
      </c>
      <c r="R115">
        <f t="shared" ref="R115" si="552">R116+Q115</f>
        <v>-26167.710992572942</v>
      </c>
      <c r="S115">
        <f t="shared" ref="S115" si="553">R115/100000</f>
        <v>-0.2616771099257294</v>
      </c>
      <c r="T115">
        <f t="shared" ref="T115" si="554">S115/1000</f>
        <v>-2.6167710992572942E-4</v>
      </c>
    </row>
    <row r="116" spans="1:20" x14ac:dyDescent="0.25">
      <c r="A116" s="5">
        <v>44477</v>
      </c>
      <c r="B116">
        <v>1055.4000000000001</v>
      </c>
      <c r="C116">
        <v>1085</v>
      </c>
      <c r="D116">
        <v>1026.9000000000001</v>
      </c>
      <c r="E116">
        <v>1064.5999999999999</v>
      </c>
      <c r="F116">
        <v>885.65899999999999</v>
      </c>
      <c r="G116">
        <v>1064.5999999999999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0.2977624784853658</v>
      </c>
      <c r="Q116">
        <f t="shared" ref="Q116" si="556">F116*P116</f>
        <v>263.71601893287061</v>
      </c>
      <c r="R116">
        <f t="shared" ref="R116" si="557">R117+Q116</f>
        <v>-24639.663906200585</v>
      </c>
      <c r="S116">
        <f t="shared" ref="S116" si="558">R116/100000</f>
        <v>-0.24639663906200585</v>
      </c>
      <c r="T116">
        <f t="shared" ref="T116" si="559">S116/1000</f>
        <v>-2.4639663906200586E-4</v>
      </c>
    </row>
    <row r="117" spans="1:20" x14ac:dyDescent="0.25">
      <c r="A117" s="5">
        <v>44476</v>
      </c>
      <c r="B117">
        <v>1040.0999999999999</v>
      </c>
      <c r="C117">
        <v>1070.8</v>
      </c>
      <c r="D117">
        <v>1011</v>
      </c>
      <c r="E117">
        <v>1060.3</v>
      </c>
      <c r="F117">
        <v>808.11500000000001</v>
      </c>
      <c r="G117">
        <v>1060.3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0.64882943143812677</v>
      </c>
      <c r="Q117">
        <f t="shared" ref="Q117" si="561">F117*P117</f>
        <v>524.3287959866218</v>
      </c>
      <c r="R117">
        <f t="shared" ref="R117" si="562">R118+Q117</f>
        <v>-24903.379925133457</v>
      </c>
      <c r="S117">
        <f t="shared" ref="S117" si="563">R117/100000</f>
        <v>-0.24903379925133456</v>
      </c>
      <c r="T117">
        <f t="shared" ref="T117" si="564">S117/1000</f>
        <v>-2.4903379925133456E-4</v>
      </c>
    </row>
    <row r="118" spans="1:20" x14ac:dyDescent="0.25">
      <c r="A118" s="5">
        <v>44475</v>
      </c>
      <c r="B118">
        <v>1091.7</v>
      </c>
      <c r="C118">
        <v>1091.7</v>
      </c>
      <c r="D118">
        <v>1025.3</v>
      </c>
      <c r="E118">
        <v>1040.0999999999999</v>
      </c>
      <c r="F118">
        <v>832.048</v>
      </c>
      <c r="G118">
        <v>1040.0999999999999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-0.55421686746988152</v>
      </c>
      <c r="Q118">
        <f t="shared" ref="Q118" si="566">F118*P118</f>
        <v>-461.13503614458</v>
      </c>
      <c r="R118">
        <f t="shared" ref="R118" si="567">R119+Q118</f>
        <v>-25427.708721120078</v>
      </c>
      <c r="S118">
        <f t="shared" ref="S118" si="568">R118/100000</f>
        <v>-0.25427708721120079</v>
      </c>
      <c r="T118">
        <f t="shared" ref="T118" si="569">S118/1000</f>
        <v>-2.5427708721120079E-4</v>
      </c>
    </row>
    <row r="119" spans="1:20" x14ac:dyDescent="0.25">
      <c r="A119" s="5">
        <v>44474</v>
      </c>
      <c r="B119">
        <v>1071.5999999999999</v>
      </c>
      <c r="C119">
        <v>1095</v>
      </c>
      <c r="D119">
        <v>1050.3</v>
      </c>
      <c r="E119">
        <v>1088.9000000000001</v>
      </c>
      <c r="F119">
        <v>529.74300000000005</v>
      </c>
      <c r="G119">
        <v>1088.9000000000001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0.72706935123042937</v>
      </c>
      <c r="Q119">
        <f t="shared" ref="Q119" si="571">F119*P119</f>
        <v>385.1598993288614</v>
      </c>
      <c r="R119">
        <f t="shared" ref="R119" si="572">R120+Q119</f>
        <v>-24966.573684975498</v>
      </c>
      <c r="S119">
        <f t="shared" ref="S119" si="573">R119/100000</f>
        <v>-0.24966573684975499</v>
      </c>
      <c r="T119">
        <f t="shared" ref="T119" si="574">S119/1000</f>
        <v>-2.4966573684975497E-4</v>
      </c>
    </row>
    <row r="120" spans="1:20" x14ac:dyDescent="0.25">
      <c r="A120" s="5">
        <v>44473</v>
      </c>
      <c r="B120">
        <v>1113.9000000000001</v>
      </c>
      <c r="C120">
        <v>1155</v>
      </c>
      <c r="D120">
        <v>1006</v>
      </c>
      <c r="E120">
        <v>1071.5999999999999</v>
      </c>
      <c r="F120">
        <v>1200.932</v>
      </c>
      <c r="G120">
        <v>1071.5999999999999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-0.11946308724832337</v>
      </c>
      <c r="Q120">
        <f t="shared" ref="Q120" si="576">F120*P120</f>
        <v>-143.46704429530348</v>
      </c>
      <c r="R120">
        <f t="shared" ref="R120" si="577">R121+Q120</f>
        <v>-25351.733584304358</v>
      </c>
      <c r="S120">
        <f t="shared" ref="S120" si="578">R120/100000</f>
        <v>-0.25351733584304359</v>
      </c>
      <c r="T120">
        <f t="shared" ref="T120" si="579">S120/1000</f>
        <v>-2.5351733584304357E-4</v>
      </c>
    </row>
    <row r="121" spans="1:20" x14ac:dyDescent="0.25">
      <c r="A121" s="5">
        <v>44472</v>
      </c>
      <c r="B121">
        <v>1179.0999999999999</v>
      </c>
      <c r="C121">
        <v>1194.4000000000001</v>
      </c>
      <c r="D121">
        <v>1101.0999999999999</v>
      </c>
      <c r="E121">
        <v>1111</v>
      </c>
      <c r="F121">
        <v>869.10500000000002</v>
      </c>
      <c r="G121">
        <v>1111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-0.78778135048231357</v>
      </c>
      <c r="Q121">
        <f t="shared" ref="Q121" si="581">F121*P121</f>
        <v>-684.66471061093114</v>
      </c>
      <c r="R121">
        <f t="shared" ref="R121" si="582">R122+Q121</f>
        <v>-25208.266540009055</v>
      </c>
      <c r="S121">
        <f t="shared" ref="S121" si="583">R121/100000</f>
        <v>-0.25208266540009056</v>
      </c>
      <c r="T121">
        <f t="shared" ref="T121" si="584">S121/1000</f>
        <v>-2.5208266540009054E-4</v>
      </c>
    </row>
    <row r="122" spans="1:20" x14ac:dyDescent="0.25">
      <c r="A122" s="5">
        <v>44471</v>
      </c>
      <c r="B122">
        <v>1092.2</v>
      </c>
      <c r="C122">
        <v>1270</v>
      </c>
      <c r="D122">
        <v>1065.4000000000001</v>
      </c>
      <c r="E122">
        <v>1173.3</v>
      </c>
      <c r="F122">
        <v>1919.5930000000001</v>
      </c>
      <c r="G122">
        <v>1173.3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5.4740957966763551E-2</v>
      </c>
      <c r="Q122">
        <f t="shared" ref="Q122" si="586">F122*P122</f>
        <v>105.08035972629355</v>
      </c>
      <c r="R122">
        <f t="shared" ref="R122" si="587">R123+Q122</f>
        <v>-24523.601829398125</v>
      </c>
      <c r="S122">
        <f t="shared" ref="S122" si="588">R122/100000</f>
        <v>-0.24523601829398126</v>
      </c>
      <c r="T122">
        <f t="shared" ref="T122" si="589">S122/1000</f>
        <v>-2.4523601829398126E-4</v>
      </c>
    </row>
    <row r="123" spans="1:20" x14ac:dyDescent="0.25">
      <c r="A123" s="5">
        <v>44470</v>
      </c>
      <c r="B123">
        <v>1002.8</v>
      </c>
      <c r="C123">
        <v>1126.4000000000001</v>
      </c>
      <c r="D123">
        <v>986.3</v>
      </c>
      <c r="E123">
        <v>1092.2</v>
      </c>
      <c r="F123">
        <v>1162.4079999999999</v>
      </c>
      <c r="G123">
        <v>1092.2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0.51177730192719473</v>
      </c>
      <c r="Q123">
        <f t="shared" ref="Q123" si="591">F123*P123</f>
        <v>594.89402997858656</v>
      </c>
      <c r="R123">
        <f t="shared" ref="R123" si="592">R124+Q123</f>
        <v>-24628.682189124418</v>
      </c>
      <c r="S123">
        <f t="shared" ref="S123" si="593">R123/100000</f>
        <v>-0.24628682189124418</v>
      </c>
      <c r="T123">
        <f t="shared" ref="T123" si="594">S123/1000</f>
        <v>-2.4628682189124416E-4</v>
      </c>
    </row>
    <row r="124" spans="1:20" x14ac:dyDescent="0.25">
      <c r="A124" s="5">
        <v>44469</v>
      </c>
      <c r="B124">
        <v>983.3</v>
      </c>
      <c r="C124">
        <v>1036.7</v>
      </c>
      <c r="D124">
        <v>974</v>
      </c>
      <c r="E124">
        <v>1002.8</v>
      </c>
      <c r="F124">
        <v>350.505</v>
      </c>
      <c r="G124">
        <v>1002.8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-8.1339712918662405E-2</v>
      </c>
      <c r="Q124">
        <f t="shared" ref="Q124" si="596">F124*P124</f>
        <v>-28.509976076555766</v>
      </c>
      <c r="R124">
        <f t="shared" ref="R124" si="597">R125+Q124</f>
        <v>-25223.576219103004</v>
      </c>
      <c r="S124">
        <f t="shared" ref="S124" si="598">R124/100000</f>
        <v>-0.25223576219103006</v>
      </c>
      <c r="T124">
        <f t="shared" ref="T124" si="599">S124/1000</f>
        <v>-2.5223576219103003E-4</v>
      </c>
    </row>
    <row r="125" spans="1:20" x14ac:dyDescent="0.25">
      <c r="A125" s="5">
        <v>44468</v>
      </c>
      <c r="B125">
        <v>1009.9</v>
      </c>
      <c r="C125">
        <v>1074</v>
      </c>
      <c r="D125">
        <v>974</v>
      </c>
      <c r="E125">
        <v>982.5</v>
      </c>
      <c r="F125">
        <v>392.41199999999998</v>
      </c>
      <c r="G125">
        <v>982.5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-0.83</v>
      </c>
      <c r="Q125">
        <f t="shared" ref="Q125" si="601">F125*P125</f>
        <v>-325.70195999999999</v>
      </c>
      <c r="R125">
        <f t="shared" ref="R125" si="602">R126+Q125</f>
        <v>-25195.066243026449</v>
      </c>
      <c r="S125">
        <f t="shared" ref="S125" si="603">R125/100000</f>
        <v>-0.25195066243026448</v>
      </c>
      <c r="T125">
        <f t="shared" ref="T125" si="604">S125/1000</f>
        <v>-2.5195066243026448E-4</v>
      </c>
    </row>
    <row r="126" spans="1:20" x14ac:dyDescent="0.25">
      <c r="A126" s="5">
        <v>44467</v>
      </c>
      <c r="B126">
        <v>1059.8</v>
      </c>
      <c r="C126">
        <v>1078.9000000000001</v>
      </c>
      <c r="D126">
        <v>975.8</v>
      </c>
      <c r="E126">
        <v>1009.8</v>
      </c>
      <c r="F126">
        <v>455.786</v>
      </c>
      <c r="G126">
        <v>1009.8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-0.34044616876818712</v>
      </c>
      <c r="Q126">
        <f t="shared" ref="Q126" si="606">F126*P126</f>
        <v>-155.17059747817694</v>
      </c>
      <c r="R126">
        <f t="shared" ref="R126" si="607">R127+Q126</f>
        <v>-24869.364283026451</v>
      </c>
      <c r="S126">
        <f t="shared" ref="S126" si="608">R126/100000</f>
        <v>-0.24869364283026452</v>
      </c>
      <c r="T126">
        <f t="shared" ref="T126" si="609">S126/1000</f>
        <v>-2.4869364283026452E-4</v>
      </c>
    </row>
    <row r="127" spans="1:20" x14ac:dyDescent="0.25">
      <c r="A127" s="5">
        <v>44466</v>
      </c>
      <c r="B127">
        <v>1067.5999999999999</v>
      </c>
      <c r="C127">
        <v>1125</v>
      </c>
      <c r="D127">
        <v>1048.4000000000001</v>
      </c>
      <c r="E127">
        <v>1059.0999999999999</v>
      </c>
      <c r="F127">
        <v>583.60699999999997</v>
      </c>
      <c r="G127">
        <v>1059.0999999999999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-0.72062663185379028</v>
      </c>
      <c r="Q127">
        <f t="shared" ref="Q127" si="611">F127*P127</f>
        <v>-420.56274673629497</v>
      </c>
      <c r="R127">
        <f t="shared" ref="R127" si="612">R128+Q127</f>
        <v>-24714.193685548275</v>
      </c>
      <c r="S127">
        <f t="shared" ref="S127" si="613">R127/100000</f>
        <v>-0.24714193685548275</v>
      </c>
      <c r="T127">
        <f t="shared" ref="T127" si="614">S127/1000</f>
        <v>-2.4714193685548277E-4</v>
      </c>
    </row>
    <row r="128" spans="1:20" x14ac:dyDescent="0.25">
      <c r="A128" s="5">
        <v>44465</v>
      </c>
      <c r="B128">
        <v>1048.4000000000001</v>
      </c>
      <c r="C128">
        <v>1125</v>
      </c>
      <c r="D128">
        <v>964.9</v>
      </c>
      <c r="E128">
        <v>1067.5999999999999</v>
      </c>
      <c r="F128">
        <v>982.803</v>
      </c>
      <c r="G128">
        <v>1067.5999999999999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0.28294815740162294</v>
      </c>
      <c r="Q128">
        <f t="shared" ref="Q128" si="616">F128*P128</f>
        <v>278.08229793878724</v>
      </c>
      <c r="R128">
        <f t="shared" ref="R128" si="617">R129+Q128</f>
        <v>-24293.630938811981</v>
      </c>
      <c r="S128">
        <f t="shared" ref="S128" si="618">R128/100000</f>
        <v>-0.2429363093881198</v>
      </c>
      <c r="T128">
        <f t="shared" ref="T128" si="619">S128/1000</f>
        <v>-2.429363093881198E-4</v>
      </c>
    </row>
    <row r="129" spans="1:20" x14ac:dyDescent="0.25">
      <c r="A129" s="5">
        <v>44464</v>
      </c>
      <c r="B129">
        <v>1045</v>
      </c>
      <c r="C129">
        <v>1125.8</v>
      </c>
      <c r="D129">
        <v>1020.8</v>
      </c>
      <c r="E129">
        <v>1049</v>
      </c>
      <c r="F129">
        <v>828.28499999999997</v>
      </c>
      <c r="G129">
        <v>1049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-0.46285714285714197</v>
      </c>
      <c r="Q129">
        <f t="shared" ref="Q129" si="621">F129*P129</f>
        <v>-383.37762857142781</v>
      </c>
      <c r="R129">
        <f t="shared" ref="R129" si="622">R130+Q129</f>
        <v>-24571.713236750769</v>
      </c>
      <c r="S129">
        <f t="shared" ref="S129" si="623">R129/100000</f>
        <v>-0.2457171323675077</v>
      </c>
      <c r="T129">
        <f t="shared" ref="T129" si="624">S129/1000</f>
        <v>-2.4571713236750769E-4</v>
      </c>
    </row>
    <row r="130" spans="1:20" x14ac:dyDescent="0.25">
      <c r="A130" s="5">
        <v>44463</v>
      </c>
      <c r="B130">
        <v>1119.5</v>
      </c>
      <c r="C130">
        <v>1141.9000000000001</v>
      </c>
      <c r="D130">
        <v>988</v>
      </c>
      <c r="E130">
        <v>1046.0999999999999</v>
      </c>
      <c r="F130">
        <v>794.55700000000002</v>
      </c>
      <c r="G130">
        <v>1046.0999999999999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-0.24496426250812378</v>
      </c>
      <c r="Q130">
        <f t="shared" ref="Q130" si="626">F130*P130</f>
        <v>-194.63806952566731</v>
      </c>
      <c r="R130">
        <f t="shared" ref="R130" si="627">R131+Q130</f>
        <v>-24188.335608179343</v>
      </c>
      <c r="S130">
        <f t="shared" ref="S130" si="628">R130/100000</f>
        <v>-0.24188335608179343</v>
      </c>
      <c r="T130">
        <f t="shared" ref="T130" si="629">S130/1000</f>
        <v>-2.4188335608179342E-4</v>
      </c>
    </row>
    <row r="131" spans="1:20" x14ac:dyDescent="0.25">
      <c r="A131" s="5">
        <v>44462</v>
      </c>
      <c r="B131">
        <v>1118.8</v>
      </c>
      <c r="C131">
        <v>1151.4000000000001</v>
      </c>
      <c r="D131">
        <v>1065</v>
      </c>
      <c r="E131">
        <v>1119.5</v>
      </c>
      <c r="F131">
        <v>637.47500000000002</v>
      </c>
      <c r="G131">
        <v>1119.5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0.26157407407407274</v>
      </c>
      <c r="Q131">
        <f t="shared" ref="Q131" si="631">F131*P131</f>
        <v>166.74693287036953</v>
      </c>
      <c r="R131">
        <f t="shared" ref="R131" si="632">R132+Q131</f>
        <v>-23993.697538653676</v>
      </c>
      <c r="S131">
        <f t="shared" ref="S131" si="633">R131/100000</f>
        <v>-0.23993697538653677</v>
      </c>
      <c r="T131">
        <f t="shared" ref="T131" si="634">S131/1000</f>
        <v>-2.3993697538653676E-4</v>
      </c>
    </row>
    <row r="132" spans="1:20" x14ac:dyDescent="0.25">
      <c r="A132" s="5">
        <v>44461</v>
      </c>
      <c r="B132">
        <v>992.3</v>
      </c>
      <c r="C132">
        <v>1167.5</v>
      </c>
      <c r="D132">
        <v>950</v>
      </c>
      <c r="E132">
        <v>1124.5</v>
      </c>
      <c r="F132">
        <v>2545.2109999999998</v>
      </c>
      <c r="G132">
        <v>1124.5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0.60459770114942524</v>
      </c>
      <c r="Q132">
        <f t="shared" ref="Q132" si="636">F132*P132</f>
        <v>1538.8287195402297</v>
      </c>
      <c r="R132">
        <f t="shared" ref="R132" si="637">R133+Q132</f>
        <v>-24160.444471524046</v>
      </c>
      <c r="S132">
        <f t="shared" ref="S132" si="638">R132/100000</f>
        <v>-0.24160444471524045</v>
      </c>
      <c r="T132">
        <f t="shared" ref="T132" si="639">S132/1000</f>
        <v>-2.4160444471524046E-4</v>
      </c>
    </row>
    <row r="133" spans="1:20" x14ac:dyDescent="0.25">
      <c r="A133" s="5">
        <v>44460</v>
      </c>
      <c r="B133">
        <v>995.1</v>
      </c>
      <c r="C133">
        <v>1200.5999999999999</v>
      </c>
      <c r="D133">
        <v>932.9</v>
      </c>
      <c r="E133">
        <v>992.3</v>
      </c>
      <c r="F133">
        <v>2983.402</v>
      </c>
      <c r="G133">
        <v>992.3</v>
      </c>
      <c r="L133" t="s">
        <v>7</v>
      </c>
      <c r="M133" t="s">
        <v>8</v>
      </c>
      <c r="N133" t="s">
        <v>7</v>
      </c>
      <c r="P133">
        <f t="shared" ref="P133" si="640">IF(C133=D133,0,((E133-D133)-(C133-E133))/(C133-D133))</f>
        <v>-0.55621964886066499</v>
      </c>
      <c r="Q133">
        <f t="shared" ref="Q133" si="641">F133*P133</f>
        <v>-1659.4268128502056</v>
      </c>
      <c r="R133">
        <f t="shared" ref="R133" si="642">R134+Q133</f>
        <v>-25699.273191064276</v>
      </c>
      <c r="S133">
        <f t="shared" ref="S133" si="643">R133/100000</f>
        <v>-0.25699273191064276</v>
      </c>
      <c r="T133">
        <f t="shared" ref="T133" si="644">S133/1000</f>
        <v>-2.5699273191064277E-4</v>
      </c>
    </row>
    <row r="134" spans="1:20" x14ac:dyDescent="0.25">
      <c r="A134" s="5">
        <v>44459</v>
      </c>
      <c r="B134">
        <v>1042.4000000000001</v>
      </c>
      <c r="C134">
        <v>1048.5999999999999</v>
      </c>
      <c r="D134">
        <v>970</v>
      </c>
      <c r="E134">
        <v>1008.9</v>
      </c>
      <c r="F134">
        <v>551.11238000000003</v>
      </c>
      <c r="G134">
        <v>1008.9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-1.0178117048345489E-2</v>
      </c>
      <c r="Q134">
        <f t="shared" ref="Q134" si="646">F134*P134</f>
        <v>-5.6092863104322577</v>
      </c>
      <c r="R134">
        <f t="shared" ref="R134" si="647">R135+Q134</f>
        <v>-24039.846378214072</v>
      </c>
      <c r="S134">
        <f t="shared" ref="S134" si="648">R134/100000</f>
        <v>-0.24039846378214072</v>
      </c>
      <c r="T134">
        <f t="shared" ref="T134" si="649">S134/1000</f>
        <v>-2.4039846378214071E-4</v>
      </c>
    </row>
    <row r="135" spans="1:20" x14ac:dyDescent="0.25">
      <c r="A135" s="5">
        <v>44458</v>
      </c>
      <c r="B135">
        <v>1109.8</v>
      </c>
      <c r="C135">
        <v>1125.3</v>
      </c>
      <c r="D135">
        <v>1038.8</v>
      </c>
      <c r="E135">
        <v>1044.4000000000001</v>
      </c>
      <c r="F135">
        <v>566.51300000000003</v>
      </c>
      <c r="G135">
        <v>1044.4000000000001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-0.87052023121386968</v>
      </c>
      <c r="Q135">
        <f t="shared" ref="Q135" si="651">F135*P135</f>
        <v>-493.16102774566298</v>
      </c>
      <c r="R135">
        <f t="shared" ref="R135" si="652">R136+Q135</f>
        <v>-24034.23709190364</v>
      </c>
      <c r="S135">
        <f t="shared" ref="S135" si="653">R135/100000</f>
        <v>-0.2403423709190364</v>
      </c>
      <c r="T135">
        <f t="shared" ref="T135" si="654">S135/1000</f>
        <v>-2.4034237091903639E-4</v>
      </c>
    </row>
    <row r="136" spans="1:20" x14ac:dyDescent="0.25">
      <c r="A136" s="5">
        <v>44457</v>
      </c>
      <c r="B136">
        <v>1071.8</v>
      </c>
      <c r="C136">
        <v>1170</v>
      </c>
      <c r="D136">
        <v>1064</v>
      </c>
      <c r="E136">
        <v>1113.9000000000001</v>
      </c>
      <c r="F136">
        <v>1172.3869999999999</v>
      </c>
      <c r="G136">
        <v>1113.9000000000001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-5.8490566037734136E-2</v>
      </c>
      <c r="Q136">
        <f t="shared" ref="Q136" si="656">F136*P136</f>
        <v>-68.57357924528101</v>
      </c>
      <c r="R136">
        <f t="shared" ref="R136" si="657">R137+Q136</f>
        <v>-23541.076064157976</v>
      </c>
      <c r="S136">
        <f t="shared" ref="S136" si="658">R136/100000</f>
        <v>-0.23541076064157976</v>
      </c>
      <c r="T136">
        <f t="shared" ref="T136" si="659">S136/1000</f>
        <v>-2.3541076064157975E-4</v>
      </c>
    </row>
    <row r="137" spans="1:20" x14ac:dyDescent="0.25">
      <c r="A137" s="5">
        <v>44456</v>
      </c>
      <c r="B137">
        <v>1180.5999999999999</v>
      </c>
      <c r="C137">
        <v>1180.5999999999999</v>
      </c>
      <c r="D137">
        <v>1050.0999999999999</v>
      </c>
      <c r="E137">
        <v>1069.8</v>
      </c>
      <c r="F137">
        <v>969.90599999999995</v>
      </c>
      <c r="G137">
        <v>1069.8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-0.69808429118773874</v>
      </c>
      <c r="Q137">
        <f t="shared" ref="Q137" si="661">F137*P137</f>
        <v>-677.07614252873486</v>
      </c>
      <c r="R137">
        <f t="shared" ref="R137" si="662">R138+Q137</f>
        <v>-23472.502484912697</v>
      </c>
      <c r="S137">
        <f t="shared" ref="S137" si="663">R137/100000</f>
        <v>-0.23472502484912697</v>
      </c>
      <c r="T137">
        <f t="shared" ref="T137" si="664">S137/1000</f>
        <v>-2.3472502484912696E-4</v>
      </c>
    </row>
    <row r="138" spans="1:20" x14ac:dyDescent="0.25">
      <c r="A138" s="5">
        <v>44455</v>
      </c>
      <c r="B138">
        <v>1169.3</v>
      </c>
      <c r="C138">
        <v>1185.2</v>
      </c>
      <c r="D138">
        <v>1112.0999999999999</v>
      </c>
      <c r="E138">
        <v>1180.5</v>
      </c>
      <c r="F138">
        <v>628.58299999999997</v>
      </c>
      <c r="G138">
        <v>1180.5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0.87140902872776915</v>
      </c>
      <c r="Q138">
        <f t="shared" ref="Q138" si="666">F138*P138</f>
        <v>547.75290150478725</v>
      </c>
      <c r="R138">
        <f t="shared" ref="R138" si="667">R139+Q138</f>
        <v>-22795.426342383962</v>
      </c>
      <c r="S138">
        <f t="shared" ref="S138" si="668">R138/100000</f>
        <v>-0.22795426342383962</v>
      </c>
      <c r="T138">
        <f t="shared" ref="T138" si="669">S138/1000</f>
        <v>-2.2795426342383962E-4</v>
      </c>
    </row>
    <row r="139" spans="1:20" x14ac:dyDescent="0.25">
      <c r="A139" s="5">
        <v>44454</v>
      </c>
      <c r="B139">
        <v>1186</v>
      </c>
      <c r="C139">
        <v>1200</v>
      </c>
      <c r="D139">
        <v>1117.3</v>
      </c>
      <c r="E139">
        <v>1167.9000000000001</v>
      </c>
      <c r="F139">
        <v>875.91</v>
      </c>
      <c r="G139">
        <v>1167.9000000000001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0.22370012091898692</v>
      </c>
      <c r="Q139">
        <f t="shared" ref="Q139" si="671">F139*P139</f>
        <v>195.94117291414983</v>
      </c>
      <c r="R139">
        <f t="shared" ref="R139" si="672">R140+Q139</f>
        <v>-23343.17924388875</v>
      </c>
      <c r="S139">
        <f t="shared" ref="S139" si="673">R139/100000</f>
        <v>-0.23343179243888751</v>
      </c>
      <c r="T139">
        <f t="shared" ref="T139" si="674">S139/1000</f>
        <v>-2.3343179243888752E-4</v>
      </c>
    </row>
    <row r="140" spans="1:20" x14ac:dyDescent="0.25">
      <c r="A140" s="5">
        <v>44453</v>
      </c>
      <c r="B140">
        <v>1094.9000000000001</v>
      </c>
      <c r="C140">
        <v>1217</v>
      </c>
      <c r="D140">
        <v>1083.3</v>
      </c>
      <c r="E140">
        <v>1191.4000000000001</v>
      </c>
      <c r="F140">
        <v>1041.7929999999999</v>
      </c>
      <c r="G140">
        <v>1191.4000000000001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0.61705310396410018</v>
      </c>
      <c r="Q140">
        <f t="shared" ref="Q140" si="676">F140*P140</f>
        <v>642.84160433807176</v>
      </c>
      <c r="R140">
        <f t="shared" ref="R140" si="677">R141+Q140</f>
        <v>-23539.1204168029</v>
      </c>
      <c r="S140">
        <f t="shared" ref="S140" si="678">R140/100000</f>
        <v>-0.235391204168029</v>
      </c>
      <c r="T140">
        <f t="shared" ref="T140" si="679">S140/1000</f>
        <v>-2.35391204168029E-4</v>
      </c>
    </row>
    <row r="141" spans="1:20" x14ac:dyDescent="0.25">
      <c r="A141" s="5">
        <v>44452</v>
      </c>
      <c r="B141">
        <v>1181.7</v>
      </c>
      <c r="C141">
        <v>1202.2</v>
      </c>
      <c r="D141">
        <v>1050</v>
      </c>
      <c r="E141">
        <v>1096.0999999999999</v>
      </c>
      <c r="F141">
        <v>1039.3530000000001</v>
      </c>
      <c r="G141">
        <v>1096.0999999999999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-0.39421813403416694</v>
      </c>
      <c r="Q141">
        <f t="shared" ref="Q141" si="681">F141*P141</f>
        <v>-409.73180026281352</v>
      </c>
      <c r="R141">
        <f t="shared" ref="R141" si="682">R142+Q141</f>
        <v>-24181.962021140971</v>
      </c>
      <c r="S141">
        <f t="shared" ref="S141" si="683">R141/100000</f>
        <v>-0.24181962021140971</v>
      </c>
      <c r="T141">
        <f t="shared" ref="T141" si="684">S141/1000</f>
        <v>-2.4181962021140971E-4</v>
      </c>
    </row>
    <row r="142" spans="1:20" x14ac:dyDescent="0.25">
      <c r="A142" s="5">
        <v>44451</v>
      </c>
      <c r="B142">
        <v>1207.7</v>
      </c>
      <c r="C142">
        <v>1250</v>
      </c>
      <c r="D142">
        <v>1151.9000000000001</v>
      </c>
      <c r="E142">
        <v>1181.4000000000001</v>
      </c>
      <c r="F142">
        <v>875.46500000000003</v>
      </c>
      <c r="G142">
        <v>1181.4000000000001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-0.39857288481141634</v>
      </c>
      <c r="Q142">
        <f t="shared" ref="Q142" si="686">F142*P142</f>
        <v>-348.93661060142659</v>
      </c>
      <c r="R142">
        <f t="shared" ref="R142" si="687">R143+Q142</f>
        <v>-23772.230220878158</v>
      </c>
      <c r="S142">
        <f t="shared" ref="S142" si="688">R142/100000</f>
        <v>-0.23772230220878157</v>
      </c>
      <c r="T142">
        <f t="shared" ref="T142" si="689">S142/1000</f>
        <v>-2.3772230220878157E-4</v>
      </c>
    </row>
    <row r="143" spans="1:20" x14ac:dyDescent="0.25">
      <c r="A143" s="5">
        <v>44450</v>
      </c>
      <c r="B143">
        <v>1177</v>
      </c>
      <c r="C143">
        <v>1323.8</v>
      </c>
      <c r="D143">
        <v>1129.3</v>
      </c>
      <c r="E143">
        <v>1204.9000000000001</v>
      </c>
      <c r="F143">
        <v>3242.904</v>
      </c>
      <c r="G143">
        <v>1204.9000000000001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-0.22262210796915027</v>
      </c>
      <c r="Q143">
        <f t="shared" ref="Q143" si="691">F143*P143</f>
        <v>-721.94212442158926</v>
      </c>
      <c r="R143">
        <f t="shared" ref="R143" si="692">R144+Q143</f>
        <v>-23423.293610276731</v>
      </c>
      <c r="S143">
        <f t="shared" ref="S143" si="693">R143/100000</f>
        <v>-0.2342329361027673</v>
      </c>
      <c r="T143">
        <f t="shared" ref="T143" si="694">S143/1000</f>
        <v>-2.3423293610276729E-4</v>
      </c>
    </row>
    <row r="144" spans="1:20" x14ac:dyDescent="0.25">
      <c r="A144" s="5">
        <v>44449</v>
      </c>
      <c r="B144">
        <v>1249.3</v>
      </c>
      <c r="C144">
        <v>1426</v>
      </c>
      <c r="D144">
        <v>1154.2</v>
      </c>
      <c r="E144">
        <v>1177</v>
      </c>
      <c r="F144">
        <v>3665.674</v>
      </c>
      <c r="G144">
        <v>1177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-0.83222958057395169</v>
      </c>
      <c r="Q144">
        <f t="shared" ref="Q144" si="696">F144*P144</f>
        <v>-3050.6823355408396</v>
      </c>
      <c r="R144">
        <f t="shared" ref="R144" si="697">R145+Q144</f>
        <v>-22701.351485855143</v>
      </c>
      <c r="S144">
        <f t="shared" ref="S144" si="698">R144/100000</f>
        <v>-0.22701351485855142</v>
      </c>
      <c r="T144">
        <f t="shared" ref="T144" si="699">S144/1000</f>
        <v>-2.2701351485855141E-4</v>
      </c>
    </row>
    <row r="145" spans="1:20" x14ac:dyDescent="0.25">
      <c r="A145" s="5">
        <v>44448</v>
      </c>
      <c r="B145">
        <v>1396.2</v>
      </c>
      <c r="C145">
        <v>1517.4</v>
      </c>
      <c r="D145">
        <v>1181.5999999999999</v>
      </c>
      <c r="E145">
        <v>1241.3</v>
      </c>
      <c r="F145">
        <v>5390.5020000000004</v>
      </c>
      <c r="G145">
        <v>1241.3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-0.64443120905300766</v>
      </c>
      <c r="Q145">
        <f t="shared" ref="Q145" si="701">F145*P145</f>
        <v>-3473.8077212626563</v>
      </c>
      <c r="R145">
        <f t="shared" ref="R145" si="702">R146+Q145</f>
        <v>-19650.669150314305</v>
      </c>
      <c r="S145">
        <f t="shared" ref="S145" si="703">R145/100000</f>
        <v>-0.19650669150314304</v>
      </c>
      <c r="T145">
        <f t="shared" ref="T145" si="704">S145/1000</f>
        <v>-1.9650669150314304E-4</v>
      </c>
    </row>
    <row r="146" spans="1:20" x14ac:dyDescent="0.25">
      <c r="A146" s="5">
        <v>44447</v>
      </c>
      <c r="B146">
        <v>1106.8</v>
      </c>
      <c r="C146">
        <v>1695</v>
      </c>
      <c r="D146">
        <v>1009</v>
      </c>
      <c r="E146">
        <v>1395.6</v>
      </c>
      <c r="F146">
        <v>12881.10442</v>
      </c>
      <c r="G146">
        <v>1395.6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0.12711370262390645</v>
      </c>
      <c r="Q146">
        <f t="shared" ref="Q146" si="706">F146*P146</f>
        <v>1637.3648767113668</v>
      </c>
      <c r="R146">
        <f t="shared" ref="R146" si="707">R147+Q146</f>
        <v>-16176.861429051649</v>
      </c>
      <c r="S146">
        <f t="shared" ref="S146" si="708">R146/100000</f>
        <v>-0.16176861429051648</v>
      </c>
      <c r="T146">
        <f t="shared" ref="T146" si="709">S146/1000</f>
        <v>-1.6176861429051647E-4</v>
      </c>
    </row>
    <row r="147" spans="1:20" x14ac:dyDescent="0.25">
      <c r="A147" s="5">
        <v>44446</v>
      </c>
      <c r="B147">
        <v>1223.4000000000001</v>
      </c>
      <c r="C147">
        <v>1290</v>
      </c>
      <c r="D147">
        <v>1011</v>
      </c>
      <c r="E147">
        <v>1111.2</v>
      </c>
      <c r="F147">
        <v>1436.4010000000001</v>
      </c>
      <c r="G147">
        <v>1111.2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-0.28172043010752656</v>
      </c>
      <c r="Q147">
        <f t="shared" ref="Q147" si="711">F147*P147</f>
        <v>-404.66350752688129</v>
      </c>
      <c r="R147">
        <f t="shared" ref="R147" si="712">R148+Q147</f>
        <v>-17814.226305763015</v>
      </c>
      <c r="S147">
        <f t="shared" ref="S147" si="713">R147/100000</f>
        <v>-0.17814226305763015</v>
      </c>
      <c r="T147">
        <f t="shared" ref="T147" si="714">S147/1000</f>
        <v>-1.7814226305763015E-4</v>
      </c>
    </row>
    <row r="148" spans="1:20" x14ac:dyDescent="0.25">
      <c r="A148" s="5">
        <v>44445</v>
      </c>
      <c r="B148">
        <v>1271.2</v>
      </c>
      <c r="C148">
        <v>1336</v>
      </c>
      <c r="D148">
        <v>1197.7</v>
      </c>
      <c r="E148">
        <v>1223.3</v>
      </c>
      <c r="F148">
        <v>540.39300000000003</v>
      </c>
      <c r="G148">
        <v>1223.3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-0.62979031091829474</v>
      </c>
      <c r="Q148">
        <f t="shared" ref="Q148" si="716">F148*P148</f>
        <v>-340.33427548807009</v>
      </c>
      <c r="R148">
        <f t="shared" ref="R148" si="717">R149+Q148</f>
        <v>-17409.562798236133</v>
      </c>
      <c r="S148">
        <f t="shared" ref="S148" si="718">R148/100000</f>
        <v>-0.17409562798236133</v>
      </c>
      <c r="T148">
        <f t="shared" ref="T148" si="719">S148/1000</f>
        <v>-1.7409562798236132E-4</v>
      </c>
    </row>
    <row r="149" spans="1:20" x14ac:dyDescent="0.25">
      <c r="A149" s="5">
        <v>44444</v>
      </c>
      <c r="B149">
        <v>1250.2</v>
      </c>
      <c r="C149">
        <v>1295.3</v>
      </c>
      <c r="D149">
        <v>1202</v>
      </c>
      <c r="E149">
        <v>1263.8</v>
      </c>
      <c r="F149">
        <v>447.666</v>
      </c>
      <c r="G149">
        <v>1263.8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0.3247588424437296</v>
      </c>
      <c r="Q149">
        <f t="shared" ref="Q149" si="721">F149*P149</f>
        <v>145.38349196141465</v>
      </c>
      <c r="R149">
        <f t="shared" ref="R149" si="722">R150+Q149</f>
        <v>-17069.228522748064</v>
      </c>
      <c r="S149">
        <f t="shared" ref="S149" si="723">R149/100000</f>
        <v>-0.17069228522748064</v>
      </c>
      <c r="T149">
        <f t="shared" ref="T149" si="724">S149/1000</f>
        <v>-1.7069228522748064E-4</v>
      </c>
    </row>
    <row r="150" spans="1:20" x14ac:dyDescent="0.25">
      <c r="A150" s="5">
        <v>44443</v>
      </c>
      <c r="B150">
        <v>1205.9000000000001</v>
      </c>
      <c r="C150">
        <v>1364</v>
      </c>
      <c r="D150">
        <v>1185.2</v>
      </c>
      <c r="E150">
        <v>1250.5999999999999</v>
      </c>
      <c r="F150">
        <v>2101.6632199999999</v>
      </c>
      <c r="G150">
        <v>1250.5999999999999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-0.26845637583892751</v>
      </c>
      <c r="Q150">
        <f t="shared" ref="Q150" si="726">F150*P150</f>
        <v>-564.20489127517055</v>
      </c>
      <c r="R150">
        <f t="shared" ref="R150" si="727">R151+Q150</f>
        <v>-17214.612014709481</v>
      </c>
      <c r="S150">
        <f t="shared" ref="S150" si="728">R150/100000</f>
        <v>-0.17214612014709479</v>
      </c>
      <c r="T150">
        <f t="shared" ref="T150" si="729">S150/1000</f>
        <v>-1.721461201470948E-4</v>
      </c>
    </row>
    <row r="151" spans="1:20" x14ac:dyDescent="0.25">
      <c r="A151" s="5">
        <v>44442</v>
      </c>
      <c r="B151">
        <v>1119.0999999999999</v>
      </c>
      <c r="C151">
        <v>1241</v>
      </c>
      <c r="D151">
        <v>1100.5</v>
      </c>
      <c r="E151">
        <v>1197.5</v>
      </c>
      <c r="F151">
        <v>547.59058000000005</v>
      </c>
      <c r="G151">
        <v>1197.5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0.38078291814946619</v>
      </c>
      <c r="Q151">
        <f t="shared" ref="Q151" si="731">F151*P151</f>
        <v>208.51313900355873</v>
      </c>
      <c r="R151">
        <f t="shared" ref="R151" si="732">R152+Q151</f>
        <v>-16650.40712343431</v>
      </c>
      <c r="S151">
        <f t="shared" ref="S151" si="733">R151/100000</f>
        <v>-0.1665040712343431</v>
      </c>
      <c r="T151">
        <f t="shared" ref="T151" si="734">S151/1000</f>
        <v>-1.6650407123434309E-4</v>
      </c>
    </row>
    <row r="152" spans="1:20" x14ac:dyDescent="0.25">
      <c r="A152" s="5">
        <v>44441</v>
      </c>
      <c r="B152">
        <v>1108.8</v>
      </c>
      <c r="C152">
        <v>1150</v>
      </c>
      <c r="D152">
        <v>1081.8</v>
      </c>
      <c r="E152">
        <v>1125</v>
      </c>
      <c r="F152">
        <v>416.28100000000001</v>
      </c>
      <c r="G152">
        <v>1125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0.26686217008797702</v>
      </c>
      <c r="Q152">
        <f t="shared" ref="Q152" si="736">F152*P152</f>
        <v>111.08965102639317</v>
      </c>
      <c r="R152">
        <f t="shared" ref="R152" si="737">R153+Q152</f>
        <v>-16858.92026243787</v>
      </c>
      <c r="S152">
        <f t="shared" ref="S152" si="738">R152/100000</f>
        <v>-0.16858920262437871</v>
      </c>
      <c r="T152">
        <f t="shared" ref="T152" si="739">S152/1000</f>
        <v>-1.685892026243787E-4</v>
      </c>
    </row>
    <row r="153" spans="1:20" x14ac:dyDescent="0.25">
      <c r="A153" s="5">
        <v>44440</v>
      </c>
      <c r="B153">
        <v>1017.4</v>
      </c>
      <c r="C153">
        <v>1130</v>
      </c>
      <c r="D153">
        <v>1002.4</v>
      </c>
      <c r="E153">
        <v>1108.8</v>
      </c>
      <c r="F153">
        <v>544.86699999999996</v>
      </c>
      <c r="G153">
        <v>1108.8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0.66771159874608088</v>
      </c>
      <c r="Q153">
        <f t="shared" ref="Q153" si="741">F153*P153</f>
        <v>363.8140156739808</v>
      </c>
      <c r="R153">
        <f t="shared" ref="R153" si="742">R154+Q153</f>
        <v>-16970.009913464262</v>
      </c>
      <c r="S153">
        <f t="shared" ref="S153" si="743">R153/100000</f>
        <v>-0.16970009913464262</v>
      </c>
      <c r="T153">
        <f t="shared" ref="T153" si="744">S153/1000</f>
        <v>-1.6970009913464261E-4</v>
      </c>
    </row>
    <row r="154" spans="1:20" x14ac:dyDescent="0.25">
      <c r="A154" s="5">
        <v>44439</v>
      </c>
      <c r="B154">
        <v>1020.3</v>
      </c>
      <c r="C154">
        <v>1050</v>
      </c>
      <c r="D154">
        <v>1002.33</v>
      </c>
      <c r="E154">
        <v>1022.5</v>
      </c>
      <c r="F154">
        <v>263.02181000000002</v>
      </c>
      <c r="G154">
        <v>1022.5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-0.15376547094608867</v>
      </c>
      <c r="Q154">
        <f t="shared" ref="Q154" si="746">F154*P154</f>
        <v>-40.44367248374266</v>
      </c>
      <c r="R154">
        <f t="shared" ref="R154" si="747">R155+Q154</f>
        <v>-17333.823929138242</v>
      </c>
      <c r="S154">
        <f t="shared" ref="S154" si="748">R154/100000</f>
        <v>-0.17333823929138242</v>
      </c>
      <c r="T154">
        <f t="shared" ref="T154" si="749">S154/1000</f>
        <v>-1.7333823929138243E-4</v>
      </c>
    </row>
    <row r="155" spans="1:20" x14ac:dyDescent="0.25">
      <c r="A155" s="5">
        <v>44438</v>
      </c>
      <c r="B155">
        <v>1062.3</v>
      </c>
      <c r="C155">
        <v>1074.3</v>
      </c>
      <c r="D155">
        <v>1020</v>
      </c>
      <c r="E155">
        <v>1020.3</v>
      </c>
      <c r="F155">
        <v>272.31</v>
      </c>
      <c r="G155">
        <v>1020.3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-0.98895027624309562</v>
      </c>
      <c r="Q155">
        <f t="shared" ref="Q155" si="751">F155*P155</f>
        <v>-269.30104972375739</v>
      </c>
      <c r="R155">
        <f t="shared" ref="R155" si="752">R156+Q155</f>
        <v>-17293.380256654498</v>
      </c>
      <c r="S155">
        <f t="shared" ref="S155" si="753">R155/100000</f>
        <v>-0.17293380256654498</v>
      </c>
      <c r="T155">
        <f t="shared" ref="T155" si="754">S155/1000</f>
        <v>-1.7293380256654497E-4</v>
      </c>
    </row>
    <row r="156" spans="1:20" x14ac:dyDescent="0.25">
      <c r="A156" s="5">
        <v>44437</v>
      </c>
      <c r="B156">
        <v>1072</v>
      </c>
      <c r="C156">
        <v>1100</v>
      </c>
      <c r="D156">
        <v>1042.4000000000001</v>
      </c>
      <c r="E156">
        <v>1062.7</v>
      </c>
      <c r="F156">
        <v>335.017</v>
      </c>
      <c r="G156">
        <v>1062.7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-0.29513888888888934</v>
      </c>
      <c r="Q156">
        <f t="shared" ref="Q156" si="756">F156*P156</f>
        <v>-98.876545138889043</v>
      </c>
      <c r="R156">
        <f t="shared" ref="R156" si="757">R157+Q156</f>
        <v>-17024.079206930743</v>
      </c>
      <c r="S156">
        <f t="shared" ref="S156" si="758">R156/100000</f>
        <v>-0.17024079206930742</v>
      </c>
      <c r="T156">
        <f t="shared" ref="T156" si="759">S156/1000</f>
        <v>-1.7024079206930741E-4</v>
      </c>
    </row>
    <row r="157" spans="1:20" x14ac:dyDescent="0.25">
      <c r="A157" s="5">
        <v>44436</v>
      </c>
      <c r="B157">
        <v>1096.5999999999999</v>
      </c>
      <c r="C157">
        <v>1109</v>
      </c>
      <c r="D157">
        <v>1041</v>
      </c>
      <c r="E157">
        <v>1071.3</v>
      </c>
      <c r="F157">
        <v>459.2</v>
      </c>
      <c r="G157">
        <v>1071.3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-0.10882352941176604</v>
      </c>
      <c r="Q157">
        <f t="shared" ref="Q157" si="761">F157*P157</f>
        <v>-49.971764705882961</v>
      </c>
      <c r="R157">
        <f t="shared" ref="R157" si="762">R158+Q157</f>
        <v>-16925.202661791853</v>
      </c>
      <c r="S157">
        <f t="shared" ref="S157" si="763">R157/100000</f>
        <v>-0.16925202661791852</v>
      </c>
      <c r="T157">
        <f t="shared" ref="T157" si="764">S157/1000</f>
        <v>-1.6925202661791853E-4</v>
      </c>
    </row>
    <row r="158" spans="1:20" x14ac:dyDescent="0.25">
      <c r="A158" s="5">
        <v>44435</v>
      </c>
      <c r="B158">
        <v>1046.7</v>
      </c>
      <c r="C158">
        <v>1112</v>
      </c>
      <c r="D158">
        <v>1020.1</v>
      </c>
      <c r="E158">
        <v>1096.5999999999999</v>
      </c>
      <c r="F158">
        <v>460.04520000000002</v>
      </c>
      <c r="G158">
        <v>1096.5999999999999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0.66485310119695118</v>
      </c>
      <c r="Q158">
        <f t="shared" ref="Q158" si="766">F158*P158</f>
        <v>305.86247791077164</v>
      </c>
      <c r="R158">
        <f t="shared" ref="R158" si="767">R159+Q158</f>
        <v>-16875.23089708597</v>
      </c>
      <c r="S158">
        <f t="shared" ref="S158" si="768">R158/100000</f>
        <v>-0.16875230897085972</v>
      </c>
      <c r="T158">
        <f t="shared" ref="T158" si="769">S158/1000</f>
        <v>-1.6875230897085971E-4</v>
      </c>
    </row>
    <row r="159" spans="1:20" x14ac:dyDescent="0.25">
      <c r="A159" s="5">
        <v>44434</v>
      </c>
      <c r="B159">
        <v>1126.9100000000001</v>
      </c>
      <c r="C159">
        <v>1175.57</v>
      </c>
      <c r="D159">
        <v>1046.5999999999999</v>
      </c>
      <c r="E159">
        <v>1047.9000000000001</v>
      </c>
      <c r="F159">
        <v>411.89631000000003</v>
      </c>
      <c r="G159">
        <v>1047.9000000000001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-0.97984027293168674</v>
      </c>
      <c r="Q159">
        <f t="shared" ref="Q159" si="771">F159*P159</f>
        <v>-403.59259280995468</v>
      </c>
      <c r="R159">
        <f t="shared" ref="R159" si="772">R160+Q159</f>
        <v>-17181.093374996741</v>
      </c>
      <c r="S159">
        <f t="shared" ref="S159" si="773">R159/100000</f>
        <v>-0.17181093374996742</v>
      </c>
      <c r="T159">
        <f t="shared" ref="T159" si="774">S159/1000</f>
        <v>-1.7181093374996743E-4</v>
      </c>
    </row>
    <row r="160" spans="1:20" x14ac:dyDescent="0.25">
      <c r="A160" s="5">
        <v>44433</v>
      </c>
      <c r="B160">
        <v>1133.3499999999999</v>
      </c>
      <c r="C160">
        <v>1167.05</v>
      </c>
      <c r="D160">
        <v>1054.23</v>
      </c>
      <c r="E160">
        <v>1126.75</v>
      </c>
      <c r="F160">
        <v>500.70594</v>
      </c>
      <c r="G160">
        <v>1126.75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0.28558766176209932</v>
      </c>
      <c r="Q160">
        <f t="shared" ref="Q160" si="776">F160*P160</f>
        <v>142.995438634994</v>
      </c>
      <c r="R160">
        <f t="shared" ref="R160" si="777">R161+Q160</f>
        <v>-16777.500782186788</v>
      </c>
      <c r="S160">
        <f t="shared" ref="S160" si="778">R160/100000</f>
        <v>-0.16777500782186788</v>
      </c>
      <c r="T160">
        <f t="shared" ref="T160" si="779">S160/1000</f>
        <v>-1.6777500782186788E-4</v>
      </c>
    </row>
    <row r="161" spans="1:20" x14ac:dyDescent="0.25">
      <c r="A161" s="5">
        <v>44432</v>
      </c>
      <c r="B161">
        <v>1253.8699999999999</v>
      </c>
      <c r="C161">
        <v>1270</v>
      </c>
      <c r="D161">
        <v>1121.8</v>
      </c>
      <c r="E161">
        <v>1133.3399999999999</v>
      </c>
      <c r="F161">
        <v>401.99775</v>
      </c>
      <c r="G161">
        <v>1133.3399999999999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-0.84426450742240267</v>
      </c>
      <c r="Q161">
        <f t="shared" ref="Q161" si="781">F161*P161</f>
        <v>-339.39243238866419</v>
      </c>
      <c r="R161">
        <f t="shared" ref="R161" si="782">R162+Q161</f>
        <v>-16920.49622082178</v>
      </c>
      <c r="S161">
        <f t="shared" ref="S161" si="783">R161/100000</f>
        <v>-0.16920496220821779</v>
      </c>
      <c r="T161">
        <f t="shared" ref="T161" si="784">S161/1000</f>
        <v>-1.6920496220821778E-4</v>
      </c>
    </row>
    <row r="162" spans="1:20" x14ac:dyDescent="0.25">
      <c r="A162" s="5">
        <v>44431</v>
      </c>
      <c r="B162">
        <v>1195</v>
      </c>
      <c r="C162">
        <v>1320</v>
      </c>
      <c r="D162">
        <v>1189.18</v>
      </c>
      <c r="E162">
        <v>1260.17</v>
      </c>
      <c r="F162">
        <v>496.03836999999999</v>
      </c>
      <c r="G162">
        <v>1260.17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8.5308056872038587E-2</v>
      </c>
      <c r="Q162">
        <f t="shared" ref="Q162" si="786">F162*P162</f>
        <v>42.31606947867332</v>
      </c>
      <c r="R162">
        <f t="shared" ref="R162" si="787">R163+Q162</f>
        <v>-16581.103788433116</v>
      </c>
      <c r="S162">
        <f t="shared" ref="S162" si="788">R162/100000</f>
        <v>-0.16581103788433116</v>
      </c>
      <c r="T162">
        <f t="shared" ref="T162" si="789">S162/1000</f>
        <v>-1.6581103788433115E-4</v>
      </c>
    </row>
    <row r="163" spans="1:20" x14ac:dyDescent="0.25">
      <c r="A163" s="5">
        <v>44430</v>
      </c>
      <c r="B163">
        <v>1253.3</v>
      </c>
      <c r="C163">
        <v>1270.08</v>
      </c>
      <c r="D163">
        <v>1233.45</v>
      </c>
      <c r="E163">
        <v>1264.4000000000001</v>
      </c>
      <c r="F163">
        <v>55.33916</v>
      </c>
      <c r="G163">
        <v>1264.4000000000001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0.68987168987169778</v>
      </c>
      <c r="Q163">
        <f t="shared" ref="Q163" si="791">F163*P163</f>
        <v>38.176919825280265</v>
      </c>
      <c r="R163">
        <f t="shared" ref="R163" si="792">R164+Q163</f>
        <v>-16623.419857911791</v>
      </c>
      <c r="S163">
        <f t="shared" ref="S163" si="793">R163/100000</f>
        <v>-0.16623419857911792</v>
      </c>
      <c r="T163">
        <f t="shared" ref="T163" si="794">S163/1000</f>
        <v>-1.6623419857911793E-4</v>
      </c>
    </row>
    <row r="164" spans="1:20" x14ac:dyDescent="0.25">
      <c r="A164" s="5">
        <v>44429</v>
      </c>
      <c r="B164">
        <v>1198.24</v>
      </c>
      <c r="C164">
        <v>1286.21</v>
      </c>
      <c r="D164">
        <v>1175.78</v>
      </c>
      <c r="E164">
        <v>1253.3</v>
      </c>
      <c r="F164">
        <v>435.11541999999997</v>
      </c>
      <c r="G164">
        <v>1253.3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0.40396631350176471</v>
      </c>
      <c r="Q164">
        <f t="shared" ref="Q164" si="796">F164*P164</f>
        <v>175.771972165172</v>
      </c>
      <c r="R164">
        <f t="shared" ref="R164" si="797">R165+Q164</f>
        <v>-16661.596777737072</v>
      </c>
      <c r="S164">
        <f t="shared" ref="S164" si="798">R164/100000</f>
        <v>-0.16661596777737073</v>
      </c>
      <c r="T164">
        <f t="shared" ref="T164" si="799">S164/1000</f>
        <v>-1.6661596777737072E-4</v>
      </c>
    </row>
    <row r="165" spans="1:20" x14ac:dyDescent="0.25">
      <c r="A165" s="5">
        <v>44428</v>
      </c>
      <c r="B165">
        <v>1142.49</v>
      </c>
      <c r="C165">
        <v>1217.81</v>
      </c>
      <c r="D165">
        <v>1122.32</v>
      </c>
      <c r="E165">
        <v>1198.24</v>
      </c>
      <c r="F165">
        <v>369.54543999999999</v>
      </c>
      <c r="G165">
        <v>1198.24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0.59011414807833418</v>
      </c>
      <c r="Q165">
        <f t="shared" ref="Q165" si="801">F165*P165</f>
        <v>218.07399250183315</v>
      </c>
      <c r="R165">
        <f t="shared" ref="R165" si="802">R166+Q165</f>
        <v>-16837.368749902245</v>
      </c>
      <c r="S165">
        <f t="shared" ref="S165" si="803">R165/100000</f>
        <v>-0.16837368749902246</v>
      </c>
      <c r="T165">
        <f t="shared" ref="T165" si="804">S165/1000</f>
        <v>-1.6837368749902246E-4</v>
      </c>
    </row>
    <row r="166" spans="1:20" x14ac:dyDescent="0.25">
      <c r="A166" s="5">
        <v>44427</v>
      </c>
      <c r="B166">
        <v>1073.58</v>
      </c>
      <c r="C166">
        <v>1160</v>
      </c>
      <c r="D166">
        <v>1049.33</v>
      </c>
      <c r="E166">
        <v>1142.2</v>
      </c>
      <c r="F166">
        <v>369.01972999999998</v>
      </c>
      <c r="G166">
        <v>1142.2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0.67832294208005883</v>
      </c>
      <c r="Q166">
        <f t="shared" ref="Q166" si="806">F166*P166</f>
        <v>250.31454893918894</v>
      </c>
      <c r="R166">
        <f t="shared" ref="R166" si="807">R167+Q166</f>
        <v>-17055.442742404077</v>
      </c>
      <c r="S166">
        <f t="shared" ref="S166" si="808">R166/100000</f>
        <v>-0.17055442742404076</v>
      </c>
      <c r="T166">
        <f t="shared" ref="T166" si="809">S166/1000</f>
        <v>-1.7055442742404075E-4</v>
      </c>
    </row>
    <row r="167" spans="1:20" x14ac:dyDescent="0.25">
      <c r="A167" s="5">
        <v>44426</v>
      </c>
      <c r="B167">
        <v>1090.05</v>
      </c>
      <c r="C167">
        <v>1101.73</v>
      </c>
      <c r="D167">
        <v>1030</v>
      </c>
      <c r="E167">
        <v>1068.67</v>
      </c>
      <c r="F167">
        <v>403.30937999999998</v>
      </c>
      <c r="G167">
        <v>1068.67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7.8209953994146458E-2</v>
      </c>
      <c r="Q167">
        <f t="shared" ref="Q167" si="811">F167*P167</f>
        <v>31.542808055207729</v>
      </c>
      <c r="R167">
        <f t="shared" ref="R167" si="812">R168+Q167</f>
        <v>-17305.757291343267</v>
      </c>
      <c r="S167">
        <f t="shared" ref="S167" si="813">R167/100000</f>
        <v>-0.17305757291343266</v>
      </c>
      <c r="T167">
        <f t="shared" ref="T167" si="814">S167/1000</f>
        <v>-1.7305757291343266E-4</v>
      </c>
    </row>
    <row r="168" spans="1:20" x14ac:dyDescent="0.25">
      <c r="A168" s="5">
        <v>44425</v>
      </c>
      <c r="B168">
        <v>1122.74</v>
      </c>
      <c r="C168">
        <v>1194</v>
      </c>
      <c r="D168">
        <v>1078.01</v>
      </c>
      <c r="E168">
        <v>1084.04</v>
      </c>
      <c r="F168">
        <v>672.14646000000005</v>
      </c>
      <c r="G168">
        <v>1084.04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-0.89602551944133157</v>
      </c>
      <c r="Q168">
        <f t="shared" ref="Q168" si="816">F168*P168</f>
        <v>-602.26038096215223</v>
      </c>
      <c r="R168">
        <f t="shared" ref="R168" si="817">R169+Q168</f>
        <v>-17337.300099398475</v>
      </c>
      <c r="S168">
        <f t="shared" ref="S168" si="818">R168/100000</f>
        <v>-0.17337300099398475</v>
      </c>
      <c r="T168">
        <f t="shared" ref="T168" si="819">S168/1000</f>
        <v>-1.7337300099398476E-4</v>
      </c>
    </row>
    <row r="169" spans="1:20" x14ac:dyDescent="0.25">
      <c r="A169" s="5">
        <v>44424</v>
      </c>
      <c r="B169">
        <v>1151.6199999999999</v>
      </c>
      <c r="C169">
        <v>1225.81</v>
      </c>
      <c r="D169">
        <v>1110.3699999999999</v>
      </c>
      <c r="E169">
        <v>1117</v>
      </c>
      <c r="F169">
        <v>765.44132999999999</v>
      </c>
      <c r="G169">
        <v>1117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-0.88513513513513331</v>
      </c>
      <c r="Q169">
        <f t="shared" ref="Q169" si="821">F169*P169</f>
        <v>-677.51901506756622</v>
      </c>
      <c r="R169">
        <f t="shared" ref="R169" si="822">R170+Q169</f>
        <v>-16735.039718436325</v>
      </c>
      <c r="S169">
        <f t="shared" ref="S169" si="823">R169/100000</f>
        <v>-0.16735039718436326</v>
      </c>
      <c r="T169">
        <f t="shared" ref="T169" si="824">S169/1000</f>
        <v>-1.6735039718436325E-4</v>
      </c>
    </row>
    <row r="170" spans="1:20" x14ac:dyDescent="0.25">
      <c r="A170" s="5">
        <v>44423</v>
      </c>
      <c r="B170">
        <v>1185.8800000000001</v>
      </c>
      <c r="C170">
        <v>1200</v>
      </c>
      <c r="D170">
        <v>1113.33</v>
      </c>
      <c r="E170">
        <v>1151.6199999999999</v>
      </c>
      <c r="F170">
        <v>386.89231000000001</v>
      </c>
      <c r="G170">
        <v>1151.6199999999999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-0.11641859928464449</v>
      </c>
      <c r="Q170">
        <f t="shared" ref="Q170" si="826">F170*P170</f>
        <v>-45.041460804200455</v>
      </c>
      <c r="R170">
        <f t="shared" ref="R170" si="827">R171+Q170</f>
        <v>-16057.520703368757</v>
      </c>
      <c r="S170">
        <f t="shared" ref="S170" si="828">R170/100000</f>
        <v>-0.16057520703368758</v>
      </c>
      <c r="T170">
        <f t="shared" ref="T170" si="829">S170/1000</f>
        <v>-1.6057520703368757E-4</v>
      </c>
    </row>
    <row r="171" spans="1:20" x14ac:dyDescent="0.25">
      <c r="A171" s="5">
        <v>44422</v>
      </c>
      <c r="B171">
        <v>1123.3800000000001</v>
      </c>
      <c r="C171">
        <v>1390.34</v>
      </c>
      <c r="D171">
        <v>1096.5</v>
      </c>
      <c r="E171">
        <v>1186.33</v>
      </c>
      <c r="F171">
        <v>2548.1901400000002</v>
      </c>
      <c r="G171">
        <v>1186.33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-0.38857881840457426</v>
      </c>
      <c r="Q171">
        <f t="shared" ref="Q171" si="831">F171*P171</f>
        <v>-990.17271367138676</v>
      </c>
      <c r="R171">
        <f t="shared" ref="R171" si="832">R172+Q171</f>
        <v>-16012.479242564556</v>
      </c>
      <c r="S171">
        <f t="shared" ref="S171" si="833">R171/100000</f>
        <v>-0.16012479242564556</v>
      </c>
      <c r="T171">
        <f t="shared" ref="T171" si="834">S171/1000</f>
        <v>-1.6012479242564557E-4</v>
      </c>
    </row>
    <row r="172" spans="1:20" x14ac:dyDescent="0.25">
      <c r="A172" s="5">
        <v>44421</v>
      </c>
      <c r="B172">
        <v>1024.25</v>
      </c>
      <c r="C172">
        <v>1128.69</v>
      </c>
      <c r="D172">
        <v>1000</v>
      </c>
      <c r="E172">
        <v>1123.3800000000001</v>
      </c>
      <c r="F172">
        <v>638.86937</v>
      </c>
      <c r="G172">
        <v>1123.3800000000001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0.91747610536949342</v>
      </c>
      <c r="Q172">
        <f t="shared" ref="Q172" si="836">F172*P172</f>
        <v>586.14738142746194</v>
      </c>
      <c r="R172">
        <f t="shared" ref="R172" si="837">R173+Q172</f>
        <v>-15022.306528893168</v>
      </c>
      <c r="S172">
        <f t="shared" ref="S172" si="838">R172/100000</f>
        <v>-0.15022306528893167</v>
      </c>
      <c r="T172">
        <f t="shared" ref="T172" si="839">S172/1000</f>
        <v>-1.5022306528893168E-4</v>
      </c>
    </row>
    <row r="173" spans="1:20" x14ac:dyDescent="0.25">
      <c r="A173" s="5">
        <v>44420</v>
      </c>
      <c r="B173">
        <v>1051</v>
      </c>
      <c r="C173">
        <v>1093.4000000000001</v>
      </c>
      <c r="D173">
        <v>990.36</v>
      </c>
      <c r="E173">
        <v>1022.33</v>
      </c>
      <c r="F173">
        <v>329.78233999999998</v>
      </c>
      <c r="G173">
        <v>1022.33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-0.37946428571428564</v>
      </c>
      <c r="Q173">
        <f t="shared" ref="Q173" si="841">F173*P173</f>
        <v>-125.14062008928568</v>
      </c>
      <c r="R173">
        <f t="shared" ref="R173" si="842">R174+Q173</f>
        <v>-15608.45391032063</v>
      </c>
      <c r="S173">
        <f t="shared" ref="S173" si="843">R173/100000</f>
        <v>-0.1560845391032063</v>
      </c>
      <c r="T173">
        <f t="shared" ref="T173" si="844">S173/1000</f>
        <v>-1.560845391032063E-4</v>
      </c>
    </row>
    <row r="174" spans="1:20" x14ac:dyDescent="0.25">
      <c r="A174" s="5">
        <v>44419</v>
      </c>
      <c r="B174">
        <v>1051.3</v>
      </c>
      <c r="C174">
        <v>1120</v>
      </c>
      <c r="D174">
        <v>1023</v>
      </c>
      <c r="E174">
        <v>1051.3399999999999</v>
      </c>
      <c r="F174">
        <v>714.77192000000002</v>
      </c>
      <c r="G174">
        <v>1051.3399999999999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-0.41567010309278518</v>
      </c>
      <c r="Q174">
        <f t="shared" ref="Q174" si="846">F174*P174</f>
        <v>-297.10931767422801</v>
      </c>
      <c r="R174">
        <f t="shared" ref="R174" si="847">R175+Q174</f>
        <v>-15483.313290231345</v>
      </c>
      <c r="S174">
        <f t="shared" ref="S174" si="848">R174/100000</f>
        <v>-0.15483313290231346</v>
      </c>
      <c r="T174">
        <f t="shared" ref="T174" si="849">S174/1000</f>
        <v>-1.5483313290231345E-4</v>
      </c>
    </row>
    <row r="175" spans="1:20" x14ac:dyDescent="0.25">
      <c r="A175" s="5">
        <v>44418</v>
      </c>
      <c r="B175">
        <v>1011.59</v>
      </c>
      <c r="C175">
        <v>1058.6500000000001</v>
      </c>
      <c r="D175">
        <v>982</v>
      </c>
      <c r="E175">
        <v>1055.22</v>
      </c>
      <c r="F175">
        <v>531.11815000000001</v>
      </c>
      <c r="G175">
        <v>1055.22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0.91050228310502124</v>
      </c>
      <c r="Q175">
        <f t="shared" ref="Q175" si="851">F175*P175</f>
        <v>483.58428817351518</v>
      </c>
      <c r="R175">
        <f t="shared" ref="R175" si="852">R176+Q175</f>
        <v>-15186.203972557116</v>
      </c>
      <c r="S175">
        <f t="shared" ref="S175" si="853">R175/100000</f>
        <v>-0.15186203972557116</v>
      </c>
      <c r="T175">
        <f t="shared" ref="T175" si="854">S175/1000</f>
        <v>-1.5186203972557117E-4</v>
      </c>
    </row>
    <row r="176" spans="1:20" x14ac:dyDescent="0.25">
      <c r="A176" s="5">
        <v>44417</v>
      </c>
      <c r="B176">
        <v>966</v>
      </c>
      <c r="C176">
        <v>1034.94</v>
      </c>
      <c r="D176">
        <v>954.64</v>
      </c>
      <c r="E176">
        <v>1011.58</v>
      </c>
      <c r="F176">
        <v>499.4545</v>
      </c>
      <c r="G176">
        <v>1011.58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0.41818181818181832</v>
      </c>
      <c r="Q176">
        <f t="shared" ref="Q176" si="856">F176*P176</f>
        <v>208.86279090909099</v>
      </c>
      <c r="R176">
        <f t="shared" ref="R176" si="857">R177+Q176</f>
        <v>-15669.788260730631</v>
      </c>
      <c r="S176">
        <f t="shared" ref="S176" si="858">R176/100000</f>
        <v>-0.1566978826073063</v>
      </c>
      <c r="T176">
        <f t="shared" ref="T176" si="859">S176/1000</f>
        <v>-1.566978826073063E-4</v>
      </c>
    </row>
    <row r="177" spans="1:20" x14ac:dyDescent="0.25">
      <c r="A177" s="5">
        <v>44416</v>
      </c>
      <c r="B177">
        <v>1052.3499999999999</v>
      </c>
      <c r="C177">
        <v>1109.03</v>
      </c>
      <c r="D177">
        <v>938.36</v>
      </c>
      <c r="E177">
        <v>964.25</v>
      </c>
      <c r="F177">
        <v>969.26166999999998</v>
      </c>
      <c r="G177">
        <v>964.25</v>
      </c>
      <c r="L177" t="s">
        <v>8</v>
      </c>
      <c r="M177" t="s">
        <v>7</v>
      </c>
      <c r="N177" t="s">
        <v>8</v>
      </c>
      <c r="P177">
        <f t="shared" ref="P177" si="860">IF(C177=D177,0,((E177-D177)-(C177-E177))/(C177-D177))</f>
        <v>-0.6966074881349974</v>
      </c>
      <c r="Q177">
        <f t="shared" ref="Q177" si="861">F177*P177</f>
        <v>-675.19493728423276</v>
      </c>
      <c r="R177">
        <f t="shared" ref="R177" si="862">R178+Q177</f>
        <v>-15878.651051639721</v>
      </c>
      <c r="S177">
        <f t="shared" ref="S177" si="863">R177/100000</f>
        <v>-0.15878651051639722</v>
      </c>
      <c r="T177">
        <f t="shared" ref="T177" si="864">S177/1000</f>
        <v>-1.5878651051639723E-4</v>
      </c>
    </row>
    <row r="178" spans="1:20" x14ac:dyDescent="0.25">
      <c r="A178" s="5">
        <v>44415</v>
      </c>
      <c r="B178">
        <v>1054.99</v>
      </c>
      <c r="C178">
        <v>1088.05</v>
      </c>
      <c r="D178">
        <v>1024.3800000000001</v>
      </c>
      <c r="E178">
        <v>1052.27</v>
      </c>
      <c r="F178">
        <v>433.98703</v>
      </c>
      <c r="G178">
        <v>1052.27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-0.123920213601384</v>
      </c>
      <c r="Q178">
        <f t="shared" ref="Q178" si="866">F178*P178</f>
        <v>-53.779765457830244</v>
      </c>
      <c r="R178">
        <f t="shared" ref="R178" si="867">R179+Q178</f>
        <v>-15203.456114355489</v>
      </c>
      <c r="S178">
        <f t="shared" ref="S178" si="868">R178/100000</f>
        <v>-0.1520345611435549</v>
      </c>
      <c r="T178">
        <f t="shared" ref="T178" si="869">S178/1000</f>
        <v>-1.5203456114355491E-4</v>
      </c>
    </row>
    <row r="179" spans="1:20" x14ac:dyDescent="0.25">
      <c r="A179" s="5">
        <v>44414</v>
      </c>
      <c r="B179">
        <v>1053.5</v>
      </c>
      <c r="C179">
        <v>1087</v>
      </c>
      <c r="D179">
        <v>1000</v>
      </c>
      <c r="E179">
        <v>1055</v>
      </c>
      <c r="F179">
        <v>531.04889000000003</v>
      </c>
      <c r="G179">
        <v>1055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0.26436781609195403</v>
      </c>
      <c r="Q179">
        <f t="shared" ref="Q179" si="871">F179*P179</f>
        <v>140.39223528735633</v>
      </c>
      <c r="R179">
        <f t="shared" ref="R179" si="872">R180+Q179</f>
        <v>-15149.676348897659</v>
      </c>
      <c r="S179">
        <f t="shared" ref="S179" si="873">R179/100000</f>
        <v>-0.15149676348897659</v>
      </c>
      <c r="T179">
        <f t="shared" ref="T179" si="874">S179/1000</f>
        <v>-1.5149676348897659E-4</v>
      </c>
    </row>
    <row r="180" spans="1:20" x14ac:dyDescent="0.25">
      <c r="A180" s="5">
        <v>44413</v>
      </c>
      <c r="B180">
        <v>1018.04</v>
      </c>
      <c r="C180">
        <v>1069</v>
      </c>
      <c r="D180">
        <v>951.84</v>
      </c>
      <c r="E180">
        <v>1053.5</v>
      </c>
      <c r="F180">
        <v>797.56403</v>
      </c>
      <c r="G180">
        <v>1053.5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0.73540457494025258</v>
      </c>
      <c r="Q180">
        <f t="shared" ref="Q180" si="876">F180*P180</f>
        <v>586.53223646978483</v>
      </c>
      <c r="R180">
        <f t="shared" ref="R180" si="877">R181+Q180</f>
        <v>-15290.068584185015</v>
      </c>
      <c r="S180">
        <f t="shared" ref="S180" si="878">R180/100000</f>
        <v>-0.15290068584185015</v>
      </c>
      <c r="T180">
        <f t="shared" ref="T180" si="879">S180/1000</f>
        <v>-1.5290068584185017E-4</v>
      </c>
    </row>
    <row r="181" spans="1:20" x14ac:dyDescent="0.25">
      <c r="A181" s="5">
        <v>44412</v>
      </c>
      <c r="B181">
        <v>970.06</v>
      </c>
      <c r="C181">
        <v>1055</v>
      </c>
      <c r="D181">
        <v>928.74</v>
      </c>
      <c r="E181">
        <v>1020.98</v>
      </c>
      <c r="F181">
        <v>715.18084999999996</v>
      </c>
      <c r="G181">
        <v>1020.98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0.46111199112941575</v>
      </c>
      <c r="Q181">
        <f t="shared" ref="Q181" si="881">F181*P181</f>
        <v>329.77846576112802</v>
      </c>
      <c r="R181">
        <f t="shared" ref="R181" si="882">R182+Q181</f>
        <v>-15876.600820654799</v>
      </c>
      <c r="S181">
        <f t="shared" ref="S181" si="883">R181/100000</f>
        <v>-0.15876600820654799</v>
      </c>
      <c r="T181">
        <f t="shared" ref="T181" si="884">S181/1000</f>
        <v>-1.5876600820654798E-4</v>
      </c>
    </row>
    <row r="182" spans="1:20" x14ac:dyDescent="0.25">
      <c r="A182" s="5">
        <v>44411</v>
      </c>
      <c r="B182">
        <v>1014.81</v>
      </c>
      <c r="C182">
        <v>1019.68</v>
      </c>
      <c r="D182">
        <v>947.84</v>
      </c>
      <c r="E182">
        <v>970.06</v>
      </c>
      <c r="F182">
        <v>428.28867000000002</v>
      </c>
      <c r="G182">
        <v>970.06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-0.3814031180400908</v>
      </c>
      <c r="Q182">
        <f t="shared" ref="Q182" si="886">F182*P182</f>
        <v>-163.3506341592435</v>
      </c>
      <c r="R182">
        <f t="shared" ref="R182" si="887">R183+Q182</f>
        <v>-16206.379286415928</v>
      </c>
      <c r="S182">
        <f t="shared" ref="S182" si="888">R182/100000</f>
        <v>-0.16206379286415928</v>
      </c>
      <c r="T182">
        <f t="shared" ref="T182" si="889">S182/1000</f>
        <v>-1.6206379286415928E-4</v>
      </c>
    </row>
    <row r="183" spans="1:20" x14ac:dyDescent="0.25">
      <c r="A183" s="5">
        <v>44410</v>
      </c>
      <c r="B183">
        <v>1019.75</v>
      </c>
      <c r="C183">
        <v>1044.99</v>
      </c>
      <c r="D183">
        <v>994.43</v>
      </c>
      <c r="E183">
        <v>1014.81</v>
      </c>
      <c r="F183">
        <v>594.69272000000001</v>
      </c>
      <c r="G183">
        <v>1014.81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-0.19382911392405175</v>
      </c>
      <c r="Q183">
        <f t="shared" ref="Q183" si="891">F183*P183</f>
        <v>-115.26876297468421</v>
      </c>
      <c r="R183">
        <f t="shared" ref="R183" si="892">R184+Q183</f>
        <v>-16043.028652256684</v>
      </c>
      <c r="S183">
        <f t="shared" ref="S183" si="893">R183/100000</f>
        <v>-0.16043028652256683</v>
      </c>
      <c r="T183">
        <f t="shared" ref="T183" si="894">S183/1000</f>
        <v>-1.6043028652256683E-4</v>
      </c>
    </row>
    <row r="184" spans="1:20" x14ac:dyDescent="0.25">
      <c r="A184" s="5">
        <v>44409</v>
      </c>
      <c r="B184">
        <v>989.12</v>
      </c>
      <c r="C184">
        <v>1187.5</v>
      </c>
      <c r="D184">
        <v>982.22</v>
      </c>
      <c r="E184">
        <v>1019.76</v>
      </c>
      <c r="F184">
        <v>1911.0959399999999</v>
      </c>
      <c r="G184">
        <v>1019.76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-0.63425565081839475</v>
      </c>
      <c r="Q184">
        <f t="shared" ref="Q184" si="896">F184*P184</f>
        <v>-1212.1233992010918</v>
      </c>
      <c r="R184">
        <f t="shared" ref="R184" si="897">R185+Q184</f>
        <v>-15927.759889282001</v>
      </c>
      <c r="S184">
        <f t="shared" ref="S184" si="898">R184/100000</f>
        <v>-0.15927759889282</v>
      </c>
      <c r="T184">
        <f t="shared" ref="T184" si="899">S184/1000</f>
        <v>-1.5927759889282001E-4</v>
      </c>
    </row>
    <row r="185" spans="1:20" x14ac:dyDescent="0.25">
      <c r="A185" s="5">
        <v>44408</v>
      </c>
      <c r="B185">
        <v>970.78</v>
      </c>
      <c r="C185">
        <v>1030</v>
      </c>
      <c r="D185">
        <v>947.67</v>
      </c>
      <c r="E185">
        <v>989.62</v>
      </c>
      <c r="F185">
        <v>747.92864999999995</v>
      </c>
      <c r="G185">
        <v>989.62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1.9069597959432152E-2</v>
      </c>
      <c r="Q185">
        <f t="shared" ref="Q185" si="901">F185*P185</f>
        <v>14.262698657840843</v>
      </c>
      <c r="R185">
        <f t="shared" ref="R185" si="902">R186+Q185</f>
        <v>-14715.636490080909</v>
      </c>
      <c r="S185">
        <f t="shared" ref="S185" si="903">R185/100000</f>
        <v>-0.14715636490080911</v>
      </c>
      <c r="T185">
        <f t="shared" ref="T185" si="904">S185/1000</f>
        <v>-1.471563649008091E-4</v>
      </c>
    </row>
    <row r="186" spans="1:20" x14ac:dyDescent="0.25">
      <c r="A186" s="5">
        <v>44407</v>
      </c>
      <c r="B186">
        <v>979.43</v>
      </c>
      <c r="C186">
        <v>1090</v>
      </c>
      <c r="D186">
        <v>902</v>
      </c>
      <c r="E186">
        <v>969.78</v>
      </c>
      <c r="F186">
        <v>3595.5971100000002</v>
      </c>
      <c r="G186">
        <v>969.78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-0.27893617021276623</v>
      </c>
      <c r="Q186">
        <f t="shared" ref="Q186" si="906">F186*P186</f>
        <v>-1002.9420874914904</v>
      </c>
      <c r="R186">
        <f t="shared" ref="R186" si="907">R187+Q186</f>
        <v>-14729.899188738751</v>
      </c>
      <c r="S186">
        <f t="shared" ref="S186" si="908">R186/100000</f>
        <v>-0.14729899188738751</v>
      </c>
      <c r="T186">
        <f t="shared" ref="T186" si="909">S186/1000</f>
        <v>-1.4729899188738752E-4</v>
      </c>
    </row>
    <row r="187" spans="1:20" x14ac:dyDescent="0.25">
      <c r="A187" s="5">
        <v>44406</v>
      </c>
      <c r="B187">
        <v>819.39</v>
      </c>
      <c r="C187">
        <v>998.4</v>
      </c>
      <c r="D187">
        <v>802.11</v>
      </c>
      <c r="E187">
        <v>979.43</v>
      </c>
      <c r="F187">
        <v>2228.36337</v>
      </c>
      <c r="G187">
        <v>979.43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0.80671455499515987</v>
      </c>
      <c r="Q187">
        <f t="shared" ref="Q187" si="911">F187*P187</f>
        <v>1797.6531643970648</v>
      </c>
      <c r="R187">
        <f t="shared" ref="R187" si="912">R188+Q187</f>
        <v>-13726.957101247261</v>
      </c>
      <c r="S187">
        <f t="shared" ref="S187" si="913">R187/100000</f>
        <v>-0.13726957101247261</v>
      </c>
      <c r="T187">
        <f t="shared" ref="T187" si="914">S187/1000</f>
        <v>-1.3726957101247261E-4</v>
      </c>
    </row>
    <row r="188" spans="1:20" x14ac:dyDescent="0.25">
      <c r="A188" s="5">
        <v>44405</v>
      </c>
      <c r="B188">
        <v>804.22</v>
      </c>
      <c r="C188">
        <v>825</v>
      </c>
      <c r="D188">
        <v>797.67</v>
      </c>
      <c r="E188">
        <v>819.39</v>
      </c>
      <c r="F188">
        <v>286.10381999999998</v>
      </c>
      <c r="G188">
        <v>819.39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0.58946212952799082</v>
      </c>
      <c r="Q188">
        <f t="shared" ref="Q188" si="916">F188*P188</f>
        <v>168.64736700329297</v>
      </c>
      <c r="R188">
        <f t="shared" ref="R188" si="917">R189+Q188</f>
        <v>-15524.610265644325</v>
      </c>
      <c r="S188">
        <f t="shared" ref="S188" si="918">R188/100000</f>
        <v>-0.15524610265644326</v>
      </c>
      <c r="T188">
        <f t="shared" ref="T188" si="919">S188/1000</f>
        <v>-1.5524610265644327E-4</v>
      </c>
    </row>
    <row r="189" spans="1:20" x14ac:dyDescent="0.25">
      <c r="A189" s="5">
        <v>44404</v>
      </c>
      <c r="B189">
        <v>807.25</v>
      </c>
      <c r="C189">
        <v>849.65</v>
      </c>
      <c r="D189">
        <v>794.42</v>
      </c>
      <c r="E189">
        <v>805.56</v>
      </c>
      <c r="F189">
        <v>391.59478000000001</v>
      </c>
      <c r="G189">
        <v>805.56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-0.59659605286981776</v>
      </c>
      <c r="Q189">
        <f t="shared" ref="Q189" si="921">F189*P189</f>
        <v>-233.62390007242468</v>
      </c>
      <c r="R189">
        <f t="shared" ref="R189" si="922">R190+Q189</f>
        <v>-15693.257632647619</v>
      </c>
      <c r="S189">
        <f t="shared" ref="S189" si="923">R189/100000</f>
        <v>-0.1569325763264762</v>
      </c>
      <c r="T189">
        <f t="shared" ref="T189" si="924">S189/1000</f>
        <v>-1.5693257632647619E-4</v>
      </c>
    </row>
    <row r="190" spans="1:20" x14ac:dyDescent="0.25">
      <c r="A190" s="5">
        <v>44403</v>
      </c>
      <c r="B190">
        <v>810.01</v>
      </c>
      <c r="C190">
        <v>880</v>
      </c>
      <c r="D190">
        <v>800.34</v>
      </c>
      <c r="E190">
        <v>805</v>
      </c>
      <c r="F190">
        <v>900.72157000000004</v>
      </c>
      <c r="G190">
        <v>805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-0.88300276173738468</v>
      </c>
      <c r="Q190">
        <f t="shared" ref="Q190" si="926">F190*P190</f>
        <v>-795.33963386643313</v>
      </c>
      <c r="R190">
        <f t="shared" ref="R190" si="927">R191+Q190</f>
        <v>-15459.633732575194</v>
      </c>
      <c r="S190">
        <f t="shared" ref="S190" si="928">R190/100000</f>
        <v>-0.15459633732575193</v>
      </c>
      <c r="T190">
        <f t="shared" ref="T190" si="929">S190/1000</f>
        <v>-1.5459633732575192E-4</v>
      </c>
    </row>
    <row r="191" spans="1:20" x14ac:dyDescent="0.25">
      <c r="A191" s="5">
        <v>44402</v>
      </c>
      <c r="B191">
        <v>805.34</v>
      </c>
      <c r="C191">
        <v>860</v>
      </c>
      <c r="D191">
        <v>785</v>
      </c>
      <c r="E191">
        <v>810</v>
      </c>
      <c r="F191">
        <v>697.23433999999997</v>
      </c>
      <c r="G191">
        <v>810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-0.33333333333333331</v>
      </c>
      <c r="Q191">
        <f t="shared" ref="Q191" si="931">F191*P191</f>
        <v>-232.41144666666665</v>
      </c>
      <c r="R191">
        <f t="shared" ref="R191" si="932">R192+Q191</f>
        <v>-14664.29409870876</v>
      </c>
      <c r="S191">
        <f t="shared" ref="S191" si="933">R191/100000</f>
        <v>-0.14664294098708761</v>
      </c>
      <c r="T191">
        <f t="shared" ref="T191:T197" si="934">S191/1000</f>
        <v>-1.4664294098708762E-4</v>
      </c>
    </row>
    <row r="192" spans="1:20" x14ac:dyDescent="0.25">
      <c r="A192" s="5">
        <v>44401</v>
      </c>
      <c r="B192">
        <v>789.44</v>
      </c>
      <c r="C192">
        <v>820.29</v>
      </c>
      <c r="D192">
        <v>769.41</v>
      </c>
      <c r="E192">
        <v>800.05</v>
      </c>
      <c r="F192">
        <v>673.39541999999994</v>
      </c>
      <c r="G192">
        <v>800.05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0.20440251572327001</v>
      </c>
      <c r="Q192">
        <f t="shared" ref="Q192" si="936">F192*P192</f>
        <v>137.643717924528</v>
      </c>
      <c r="R192">
        <f t="shared" ref="R192" si="937">R193+Q192</f>
        <v>-14431.882652042093</v>
      </c>
      <c r="S192">
        <f t="shared" ref="S192" si="938">R192/100000</f>
        <v>-0.14431882652042094</v>
      </c>
      <c r="T192">
        <f t="shared" si="934"/>
        <v>-1.4431882652042095E-4</v>
      </c>
    </row>
    <row r="193" spans="1:20" x14ac:dyDescent="0.25">
      <c r="A193" s="5">
        <v>44400</v>
      </c>
      <c r="B193">
        <v>768.1</v>
      </c>
      <c r="C193">
        <v>880</v>
      </c>
      <c r="D193">
        <v>749</v>
      </c>
      <c r="E193">
        <v>789.44</v>
      </c>
      <c r="F193">
        <v>2708.8681499999998</v>
      </c>
      <c r="G193">
        <v>789.44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-0.38259541984732742</v>
      </c>
      <c r="Q193">
        <f t="shared" ref="Q193" si="940">F193*P193</f>
        <v>-1036.4005471603029</v>
      </c>
      <c r="R193">
        <f t="shared" ref="R193" si="941">R194+Q193</f>
        <v>-14569.526369966621</v>
      </c>
      <c r="S193">
        <f t="shared" ref="S193" si="942">R193/100000</f>
        <v>-0.14569526369966621</v>
      </c>
      <c r="T193">
        <f t="shared" si="934"/>
        <v>-1.4569526369966621E-4</v>
      </c>
    </row>
    <row r="194" spans="1:20" x14ac:dyDescent="0.25">
      <c r="A194" s="5">
        <v>44399</v>
      </c>
      <c r="B194">
        <v>774.71</v>
      </c>
      <c r="C194">
        <v>777.8</v>
      </c>
      <c r="D194">
        <v>748</v>
      </c>
      <c r="E194">
        <v>765.21</v>
      </c>
      <c r="F194">
        <v>424.41052999999999</v>
      </c>
      <c r="G194">
        <v>765.21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0.15503355704698407</v>
      </c>
      <c r="Q194">
        <f t="shared" ref="Q194" si="944">F194*P194</f>
        <v>65.797874114095748</v>
      </c>
      <c r="R194">
        <f t="shared" ref="R194" si="945">R195+Q194</f>
        <v>-13533.125822806318</v>
      </c>
      <c r="S194">
        <f t="shared" ref="S194" si="946">R194/100000</f>
        <v>-0.13533125822806319</v>
      </c>
      <c r="T194">
        <f t="shared" si="934"/>
        <v>-1.3533125822806318E-4</v>
      </c>
    </row>
    <row r="195" spans="1:20" x14ac:dyDescent="0.25">
      <c r="A195" s="5">
        <v>44398</v>
      </c>
      <c r="B195">
        <v>706.6</v>
      </c>
      <c r="C195">
        <v>802.67</v>
      </c>
      <c r="D195">
        <v>697.79</v>
      </c>
      <c r="E195">
        <v>774.7</v>
      </c>
      <c r="F195">
        <v>527.42399999999998</v>
      </c>
      <c r="G195">
        <v>774.7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0.46662852784134412</v>
      </c>
      <c r="Q195">
        <f t="shared" ref="Q195" si="948">F195*P195</f>
        <v>246.11108466819306</v>
      </c>
      <c r="R195">
        <f t="shared" ref="R195" si="949">R196+Q195</f>
        <v>-13598.923696920414</v>
      </c>
      <c r="S195">
        <f t="shared" ref="S195" si="950">R195/100000</f>
        <v>-0.13598923696920415</v>
      </c>
      <c r="T195">
        <f t="shared" si="934"/>
        <v>-1.3598923696920415E-4</v>
      </c>
    </row>
    <row r="196" spans="1:20" x14ac:dyDescent="0.25">
      <c r="A196" s="5">
        <v>44397</v>
      </c>
      <c r="B196">
        <v>765.61</v>
      </c>
      <c r="C196">
        <v>770.61</v>
      </c>
      <c r="D196">
        <v>651.42999999999995</v>
      </c>
      <c r="E196">
        <v>706.59</v>
      </c>
      <c r="F196">
        <v>576.03886999999997</v>
      </c>
      <c r="G196">
        <v>706.59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-7.4341332438327704E-2</v>
      </c>
      <c r="Q196">
        <f t="shared" ref="Q196" si="952">F196*P196</f>
        <v>-42.823497132068631</v>
      </c>
      <c r="R196">
        <f t="shared" ref="R196" si="953">R197+Q196</f>
        <v>-13845.034781588607</v>
      </c>
      <c r="S196">
        <f t="shared" ref="S196" si="954">R196/100000</f>
        <v>-0.13845034781588608</v>
      </c>
      <c r="T196">
        <f t="shared" si="934"/>
        <v>-1.384503478158861E-4</v>
      </c>
    </row>
    <row r="197" spans="1:20" x14ac:dyDescent="0.25">
      <c r="A197" s="5">
        <v>44396</v>
      </c>
      <c r="B197">
        <v>830.72</v>
      </c>
      <c r="C197">
        <v>830.72</v>
      </c>
      <c r="D197">
        <v>750.07</v>
      </c>
      <c r="E197">
        <v>765.61</v>
      </c>
      <c r="F197">
        <v>344.87783999999999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-0.61463112213267279</v>
      </c>
      <c r="Q197">
        <f t="shared" ref="Q197" si="956">F197*P197</f>
        <v>-211.97265379789238</v>
      </c>
      <c r="R197">
        <f t="shared" ref="R197" si="957">R198+Q197</f>
        <v>-13802.211284456538</v>
      </c>
      <c r="S197">
        <f t="shared" ref="S197" si="958">R197/100000</f>
        <v>-0.13802211284456539</v>
      </c>
      <c r="T197">
        <f t="shared" si="934"/>
        <v>-1.3802211284456539E-4</v>
      </c>
    </row>
    <row r="198" spans="1:20" x14ac:dyDescent="0.25">
      <c r="A198" s="5">
        <v>44395</v>
      </c>
      <c r="B198">
        <v>819.56</v>
      </c>
      <c r="C198">
        <v>859.98</v>
      </c>
      <c r="D198">
        <v>817.38</v>
      </c>
      <c r="E198">
        <v>830.73</v>
      </c>
      <c r="F198">
        <v>184.56135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-0.37323943661971759</v>
      </c>
      <c r="Q198">
        <f t="shared" ref="Q198:Q261" si="960">F198*P198</f>
        <v>-68.885574295774518</v>
      </c>
      <c r="R198">
        <f t="shared" ref="R198:R261" si="961">R199+Q198</f>
        <v>-13590.238630658645</v>
      </c>
      <c r="S198">
        <f t="shared" ref="S198:S261" si="962">R198/100000</f>
        <v>-0.13590238630658644</v>
      </c>
      <c r="T198">
        <f t="shared" ref="T198:T261" si="963">S198/1000</f>
        <v>-1.3590238630658644E-4</v>
      </c>
    </row>
    <row r="199" spans="1:20" x14ac:dyDescent="0.25">
      <c r="A199" s="5">
        <v>44394</v>
      </c>
      <c r="B199">
        <v>833.94</v>
      </c>
      <c r="C199">
        <v>853.58</v>
      </c>
      <c r="D199">
        <v>811.24</v>
      </c>
      <c r="E199">
        <v>819.56</v>
      </c>
      <c r="F199">
        <v>186.56609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-0.60699102503543079</v>
      </c>
      <c r="Q199">
        <f t="shared" si="960"/>
        <v>-113.24394220595244</v>
      </c>
      <c r="R199">
        <f t="shared" si="961"/>
        <v>-13521.35305636287</v>
      </c>
      <c r="S199">
        <f t="shared" si="962"/>
        <v>-0.1352135305636287</v>
      </c>
      <c r="T199">
        <f t="shared" si="963"/>
        <v>-1.352135305636287E-4</v>
      </c>
    </row>
    <row r="200" spans="1:20" x14ac:dyDescent="0.25">
      <c r="A200" s="5">
        <v>44393</v>
      </c>
      <c r="B200">
        <v>866.28</v>
      </c>
      <c r="C200">
        <v>880</v>
      </c>
      <c r="D200">
        <v>830.95</v>
      </c>
      <c r="E200">
        <v>833.93</v>
      </c>
      <c r="F200">
        <v>240.03183999999999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-0.87849133537207313</v>
      </c>
      <c r="Q200">
        <f t="shared" si="960"/>
        <v>-210.86589165341579</v>
      </c>
      <c r="R200">
        <f t="shared" si="961"/>
        <v>-13408.109114156918</v>
      </c>
      <c r="S200">
        <f t="shared" si="962"/>
        <v>-0.13408109114156919</v>
      </c>
      <c r="T200">
        <f t="shared" si="963"/>
        <v>-1.3408109114156918E-4</v>
      </c>
    </row>
    <row r="201" spans="1:20" x14ac:dyDescent="0.25">
      <c r="A201" s="5">
        <v>44392</v>
      </c>
      <c r="B201">
        <v>884</v>
      </c>
      <c r="C201">
        <v>931</v>
      </c>
      <c r="D201">
        <v>854.66</v>
      </c>
      <c r="E201">
        <v>868</v>
      </c>
      <c r="F201">
        <v>260.54034999999999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-0.65051087241288896</v>
      </c>
      <c r="Q201">
        <f t="shared" si="960"/>
        <v>-169.48433037725943</v>
      </c>
      <c r="R201">
        <f t="shared" si="961"/>
        <v>-13197.243222503503</v>
      </c>
      <c r="S201">
        <f t="shared" si="962"/>
        <v>-0.13197243222503502</v>
      </c>
      <c r="T201">
        <f t="shared" si="963"/>
        <v>-1.3197243222503501E-4</v>
      </c>
    </row>
    <row r="202" spans="1:20" x14ac:dyDescent="0.25">
      <c r="A202" s="5">
        <v>44391</v>
      </c>
      <c r="B202">
        <v>893.83</v>
      </c>
      <c r="C202">
        <v>906</v>
      </c>
      <c r="D202">
        <v>845</v>
      </c>
      <c r="E202">
        <v>884</v>
      </c>
      <c r="F202">
        <v>234.29155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0.27868852459016391</v>
      </c>
      <c r="Q202">
        <f t="shared" si="960"/>
        <v>65.294366393442616</v>
      </c>
      <c r="R202">
        <f t="shared" si="961"/>
        <v>-13027.758892126243</v>
      </c>
      <c r="S202">
        <f t="shared" si="962"/>
        <v>-0.13027758892126243</v>
      </c>
      <c r="T202">
        <f t="shared" si="963"/>
        <v>-1.3027758892126244E-4</v>
      </c>
    </row>
    <row r="203" spans="1:20" x14ac:dyDescent="0.25">
      <c r="A203" s="5">
        <v>44390</v>
      </c>
      <c r="B203">
        <v>919</v>
      </c>
      <c r="C203">
        <v>927.69</v>
      </c>
      <c r="D203">
        <v>880</v>
      </c>
      <c r="E203">
        <v>893.83</v>
      </c>
      <c r="F203">
        <v>300.23336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-0.42000419375130948</v>
      </c>
      <c r="Q203">
        <f t="shared" si="960"/>
        <v>-126.09927030404666</v>
      </c>
      <c r="R203">
        <f t="shared" si="961"/>
        <v>-13093.053258519685</v>
      </c>
      <c r="S203">
        <f t="shared" si="962"/>
        <v>-0.13093053258519685</v>
      </c>
      <c r="T203">
        <f t="shared" si="963"/>
        <v>-1.3093053258519686E-4</v>
      </c>
    </row>
    <row r="204" spans="1:20" x14ac:dyDescent="0.25">
      <c r="A204" s="5">
        <v>44389</v>
      </c>
      <c r="B204">
        <v>964.69</v>
      </c>
      <c r="C204">
        <v>975</v>
      </c>
      <c r="D204">
        <v>895.7</v>
      </c>
      <c r="E204">
        <v>918.49</v>
      </c>
      <c r="F204">
        <v>298.36306000000002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-0.42522068095838644</v>
      </c>
      <c r="Q204">
        <f t="shared" si="960"/>
        <v>-126.87014354602792</v>
      </c>
      <c r="R204">
        <f t="shared" si="961"/>
        <v>-12966.953988215639</v>
      </c>
      <c r="S204">
        <f t="shared" si="962"/>
        <v>-0.12966953988215638</v>
      </c>
      <c r="T204">
        <f t="shared" si="963"/>
        <v>-1.2966953988215638E-4</v>
      </c>
    </row>
    <row r="205" spans="1:20" x14ac:dyDescent="0.25">
      <c r="A205" s="5">
        <v>44388</v>
      </c>
      <c r="B205">
        <v>938</v>
      </c>
      <c r="C205">
        <v>967.49</v>
      </c>
      <c r="D205">
        <v>920.85</v>
      </c>
      <c r="E205">
        <v>959.31</v>
      </c>
      <c r="F205">
        <v>254.39132000000001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0.64922813036020299</v>
      </c>
      <c r="Q205">
        <f t="shared" si="960"/>
        <v>165.15800106346413</v>
      </c>
      <c r="R205">
        <f t="shared" si="961"/>
        <v>-12840.083844669611</v>
      </c>
      <c r="S205">
        <f t="shared" si="962"/>
        <v>-0.12840083844669611</v>
      </c>
      <c r="T205">
        <f t="shared" si="963"/>
        <v>-1.2840083844669611E-4</v>
      </c>
    </row>
    <row r="206" spans="1:20" x14ac:dyDescent="0.25">
      <c r="A206" s="5">
        <v>44387</v>
      </c>
      <c r="B206">
        <v>965.47</v>
      </c>
      <c r="C206">
        <v>976.64</v>
      </c>
      <c r="D206">
        <v>926.78</v>
      </c>
      <c r="E206">
        <v>942.07</v>
      </c>
      <c r="F206">
        <v>375.31761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-0.38668271159245593</v>
      </c>
      <c r="Q206">
        <f t="shared" si="960"/>
        <v>-145.12883114319985</v>
      </c>
      <c r="R206">
        <f t="shared" si="961"/>
        <v>-13005.241845733075</v>
      </c>
      <c r="S206">
        <f t="shared" si="962"/>
        <v>-0.13005241845733076</v>
      </c>
      <c r="T206">
        <f t="shared" si="963"/>
        <v>-1.3005241845733077E-4</v>
      </c>
    </row>
    <row r="207" spans="1:20" x14ac:dyDescent="0.25">
      <c r="A207" s="5">
        <v>44386</v>
      </c>
      <c r="B207">
        <v>975.39</v>
      </c>
      <c r="C207">
        <v>1041</v>
      </c>
      <c r="D207">
        <v>939.41</v>
      </c>
      <c r="E207">
        <v>972.35</v>
      </c>
      <c r="F207">
        <v>362.90625999999997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-0.35151097548971266</v>
      </c>
      <c r="Q207">
        <f t="shared" si="960"/>
        <v>-127.56553346392329</v>
      </c>
      <c r="R207">
        <f t="shared" si="961"/>
        <v>-12860.113014589875</v>
      </c>
      <c r="S207">
        <f t="shared" si="962"/>
        <v>-0.12860113014589875</v>
      </c>
      <c r="T207">
        <f t="shared" si="963"/>
        <v>-1.2860113014589875E-4</v>
      </c>
    </row>
    <row r="208" spans="1:20" x14ac:dyDescent="0.25">
      <c r="A208" s="5">
        <v>44385</v>
      </c>
      <c r="B208">
        <v>1026.27</v>
      </c>
      <c r="C208">
        <v>1026.27</v>
      </c>
      <c r="D208">
        <v>958.6</v>
      </c>
      <c r="E208">
        <v>968.26</v>
      </c>
      <c r="F208">
        <v>324.13718999999998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-0.71449682281661075</v>
      </c>
      <c r="Q208">
        <f t="shared" si="960"/>
        <v>-231.59499241170408</v>
      </c>
      <c r="R208">
        <f t="shared" si="961"/>
        <v>-12732.547481125952</v>
      </c>
      <c r="S208">
        <f t="shared" si="962"/>
        <v>-0.12732547481125953</v>
      </c>
      <c r="T208">
        <f t="shared" si="963"/>
        <v>-1.2732547481125953E-4</v>
      </c>
    </row>
    <row r="209" spans="1:20" x14ac:dyDescent="0.25">
      <c r="A209" s="5">
        <v>44384</v>
      </c>
      <c r="B209">
        <v>1070.8399999999999</v>
      </c>
      <c r="C209">
        <v>1099.3599999999999</v>
      </c>
      <c r="D209">
        <v>1018.48</v>
      </c>
      <c r="E209">
        <v>1026.29</v>
      </c>
      <c r="F209">
        <v>595.49847</v>
      </c>
      <c r="G209">
        <v>0</v>
      </c>
      <c r="L209" t="s">
        <v>7</v>
      </c>
      <c r="M209" t="s">
        <v>7</v>
      </c>
      <c r="N209" t="s">
        <v>7</v>
      </c>
      <c r="P209">
        <f t="shared" si="959"/>
        <v>-0.80687438180019888</v>
      </c>
      <c r="Q209">
        <f t="shared" si="960"/>
        <v>-480.4924598442143</v>
      </c>
      <c r="R209">
        <f t="shared" si="961"/>
        <v>-12500.952488714247</v>
      </c>
      <c r="S209">
        <f t="shared" si="962"/>
        <v>-0.12500952488714248</v>
      </c>
      <c r="T209">
        <f t="shared" si="963"/>
        <v>-1.2500952488714249E-4</v>
      </c>
    </row>
    <row r="210" spans="1:20" x14ac:dyDescent="0.25">
      <c r="A210" s="5">
        <v>44383</v>
      </c>
      <c r="B210">
        <v>1040</v>
      </c>
      <c r="C210">
        <v>1106</v>
      </c>
      <c r="D210">
        <v>1034.03</v>
      </c>
      <c r="E210">
        <v>1061</v>
      </c>
      <c r="F210">
        <v>334.56124999999997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-0.25052105043768191</v>
      </c>
      <c r="Q210">
        <f t="shared" si="960"/>
        <v>-83.814635785743903</v>
      </c>
      <c r="R210">
        <f t="shared" si="961"/>
        <v>-12020.460028870033</v>
      </c>
      <c r="S210">
        <f t="shared" si="962"/>
        <v>-0.12020460028870034</v>
      </c>
      <c r="T210">
        <f t="shared" si="963"/>
        <v>-1.2020460028870034E-4</v>
      </c>
    </row>
    <row r="211" spans="1:20" x14ac:dyDescent="0.25">
      <c r="A211" s="5">
        <v>44382</v>
      </c>
      <c r="B211">
        <v>1065.4000000000001</v>
      </c>
      <c r="C211">
        <v>1069</v>
      </c>
      <c r="D211">
        <v>1009.4</v>
      </c>
      <c r="E211">
        <v>1040</v>
      </c>
      <c r="F211">
        <v>205.02033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2.6845637583892988E-2</v>
      </c>
      <c r="Q211">
        <f t="shared" si="960"/>
        <v>5.5039014765101433</v>
      </c>
      <c r="R211">
        <f t="shared" si="961"/>
        <v>-11936.645393084289</v>
      </c>
      <c r="S211">
        <f t="shared" si="962"/>
        <v>-0.11936645393084289</v>
      </c>
      <c r="T211">
        <f t="shared" si="963"/>
        <v>-1.1936645393084289E-4</v>
      </c>
    </row>
    <row r="212" spans="1:20" x14ac:dyDescent="0.25">
      <c r="A212" s="5">
        <v>44381</v>
      </c>
      <c r="B212">
        <v>1031.3499999999999</v>
      </c>
      <c r="C212">
        <v>1095</v>
      </c>
      <c r="D212">
        <v>1003.22</v>
      </c>
      <c r="E212">
        <v>1065.3800000000001</v>
      </c>
      <c r="F212">
        <v>340.73115000000001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0.35454347352364568</v>
      </c>
      <c r="Q212">
        <f t="shared" si="960"/>
        <v>120.80400545870636</v>
      </c>
      <c r="R212">
        <f t="shared" si="961"/>
        <v>-11942.149294560799</v>
      </c>
      <c r="S212">
        <f t="shared" si="962"/>
        <v>-0.11942149294560798</v>
      </c>
      <c r="T212">
        <f t="shared" si="963"/>
        <v>-1.1942149294560798E-4</v>
      </c>
    </row>
    <row r="213" spans="1:20" x14ac:dyDescent="0.25">
      <c r="A213" s="5">
        <v>44380</v>
      </c>
      <c r="B213">
        <v>1016.75</v>
      </c>
      <c r="C213">
        <v>1055.57</v>
      </c>
      <c r="D213">
        <v>984.86</v>
      </c>
      <c r="E213">
        <v>1031.33</v>
      </c>
      <c r="F213">
        <v>268.39165000000003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0.31438268985999052</v>
      </c>
      <c r="Q213">
        <f t="shared" si="960"/>
        <v>84.377688862961136</v>
      </c>
      <c r="R213">
        <f t="shared" si="961"/>
        <v>-12062.953300019506</v>
      </c>
      <c r="S213">
        <f t="shared" si="962"/>
        <v>-0.12062953300019506</v>
      </c>
      <c r="T213">
        <f t="shared" si="963"/>
        <v>-1.2062953300019506E-4</v>
      </c>
    </row>
    <row r="214" spans="1:20" x14ac:dyDescent="0.25">
      <c r="A214" s="5">
        <v>44379</v>
      </c>
      <c r="B214">
        <v>1012.67</v>
      </c>
      <c r="C214">
        <v>1024.96</v>
      </c>
      <c r="D214">
        <v>959.91</v>
      </c>
      <c r="E214">
        <v>1016.78</v>
      </c>
      <c r="F214">
        <v>357.34924000000001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0.74850115295926045</v>
      </c>
      <c r="Q214">
        <f t="shared" si="960"/>
        <v>267.47631814911546</v>
      </c>
      <c r="R214">
        <f t="shared" si="961"/>
        <v>-12147.330988882468</v>
      </c>
      <c r="S214">
        <f t="shared" si="962"/>
        <v>-0.12147330988882468</v>
      </c>
      <c r="T214">
        <f t="shared" si="963"/>
        <v>-1.2147330988882468E-4</v>
      </c>
    </row>
    <row r="215" spans="1:20" x14ac:dyDescent="0.25">
      <c r="A215" s="5">
        <v>44378</v>
      </c>
      <c r="B215">
        <v>1061.0899999999999</v>
      </c>
      <c r="C215">
        <v>1061.0899999999999</v>
      </c>
      <c r="D215">
        <v>970.4</v>
      </c>
      <c r="E215">
        <v>1013.37</v>
      </c>
      <c r="F215">
        <v>269.50115</v>
      </c>
      <c r="G215">
        <v>0</v>
      </c>
      <c r="L215" t="s">
        <v>8</v>
      </c>
      <c r="M215" t="s">
        <v>7</v>
      </c>
      <c r="N215" t="s">
        <v>7</v>
      </c>
      <c r="P215">
        <f t="shared" si="959"/>
        <v>-5.2376226706361113E-2</v>
      </c>
      <c r="Q215">
        <f t="shared" si="960"/>
        <v>-14.115453330025032</v>
      </c>
      <c r="R215">
        <f t="shared" si="961"/>
        <v>-12414.807307031584</v>
      </c>
      <c r="S215">
        <f t="shared" si="962"/>
        <v>-0.12414807307031583</v>
      </c>
      <c r="T215">
        <f t="shared" si="963"/>
        <v>-1.2414807307031583E-4</v>
      </c>
    </row>
    <row r="216" spans="1:20" x14ac:dyDescent="0.25">
      <c r="A216" s="5">
        <v>44377</v>
      </c>
      <c r="B216">
        <v>1054.22</v>
      </c>
      <c r="C216">
        <v>1072.52</v>
      </c>
      <c r="D216">
        <v>983.35</v>
      </c>
      <c r="E216">
        <v>1061.1500000000001</v>
      </c>
      <c r="F216">
        <v>338.35160000000002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0.74498149601884278</v>
      </c>
      <c r="Q216">
        <f t="shared" si="960"/>
        <v>252.06568114836909</v>
      </c>
      <c r="R216">
        <f t="shared" si="961"/>
        <v>-12400.691853701559</v>
      </c>
      <c r="S216">
        <f t="shared" si="962"/>
        <v>-0.12400691853701559</v>
      </c>
      <c r="T216">
        <f t="shared" si="963"/>
        <v>-1.2400691853701559E-4</v>
      </c>
    </row>
    <row r="217" spans="1:20" x14ac:dyDescent="0.25">
      <c r="A217" s="5">
        <v>44376</v>
      </c>
      <c r="B217">
        <v>1019.09</v>
      </c>
      <c r="C217">
        <v>1149.1400000000001</v>
      </c>
      <c r="D217">
        <v>1016.14</v>
      </c>
      <c r="E217">
        <v>1061.3900000000001</v>
      </c>
      <c r="F217">
        <v>529.23847000000001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-0.31954887218045003</v>
      </c>
      <c r="Q217">
        <f t="shared" si="960"/>
        <v>-169.11755620300693</v>
      </c>
      <c r="R217">
        <f t="shared" si="961"/>
        <v>-12652.757534849929</v>
      </c>
      <c r="S217">
        <f t="shared" si="962"/>
        <v>-0.12652757534849929</v>
      </c>
      <c r="T217">
        <f t="shared" si="963"/>
        <v>-1.2652757534849929E-4</v>
      </c>
    </row>
    <row r="218" spans="1:20" x14ac:dyDescent="0.25">
      <c r="A218" s="5">
        <v>44375</v>
      </c>
      <c r="B218">
        <v>984.01</v>
      </c>
      <c r="C218">
        <v>1070</v>
      </c>
      <c r="D218">
        <v>935.67</v>
      </c>
      <c r="E218">
        <v>1023</v>
      </c>
      <c r="F218">
        <v>867.76329999999996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0.30023077495719519</v>
      </c>
      <c r="Q218">
        <f t="shared" si="960"/>
        <v>260.52924803841307</v>
      </c>
      <c r="R218">
        <f t="shared" si="961"/>
        <v>-12483.639978646921</v>
      </c>
      <c r="S218">
        <f t="shared" si="962"/>
        <v>-0.12483639978646921</v>
      </c>
      <c r="T218">
        <f t="shared" si="963"/>
        <v>-1.248363997864692E-4</v>
      </c>
    </row>
    <row r="219" spans="1:20" x14ac:dyDescent="0.25">
      <c r="A219" s="5">
        <v>44374</v>
      </c>
      <c r="B219">
        <v>928</v>
      </c>
      <c r="C219">
        <v>998.99</v>
      </c>
      <c r="D219">
        <v>910.03</v>
      </c>
      <c r="E219">
        <v>985</v>
      </c>
      <c r="F219">
        <v>434.52649000000002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0.68547661870503585</v>
      </c>
      <c r="Q219">
        <f t="shared" si="960"/>
        <v>297.8577491029676</v>
      </c>
      <c r="R219">
        <f t="shared" si="961"/>
        <v>-12744.169226685333</v>
      </c>
      <c r="S219">
        <f t="shared" si="962"/>
        <v>-0.12744169226685334</v>
      </c>
      <c r="T219">
        <f t="shared" si="963"/>
        <v>-1.2744169226685333E-4</v>
      </c>
    </row>
    <row r="220" spans="1:20" x14ac:dyDescent="0.25">
      <c r="A220" s="5">
        <v>44373</v>
      </c>
      <c r="B220">
        <v>962.35</v>
      </c>
      <c r="C220">
        <v>1001.84</v>
      </c>
      <c r="D220">
        <v>878.11</v>
      </c>
      <c r="E220">
        <v>927.99</v>
      </c>
      <c r="F220">
        <v>567.50418999999999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-0.19372827931786973</v>
      </c>
      <c r="Q220">
        <f t="shared" si="960"/>
        <v>-109.94161023438141</v>
      </c>
      <c r="R220">
        <f t="shared" si="961"/>
        <v>-13042.026975788302</v>
      </c>
      <c r="S220">
        <f t="shared" si="962"/>
        <v>-0.13042026975788301</v>
      </c>
      <c r="T220">
        <f t="shared" si="963"/>
        <v>-1.3042026975788301E-4</v>
      </c>
    </row>
    <row r="221" spans="1:20" x14ac:dyDescent="0.25">
      <c r="A221" s="5">
        <v>44372</v>
      </c>
      <c r="B221">
        <v>1061.18</v>
      </c>
      <c r="C221">
        <v>1099.29</v>
      </c>
      <c r="D221">
        <v>946.27</v>
      </c>
      <c r="E221">
        <v>968.81</v>
      </c>
      <c r="F221">
        <v>649.96960000000001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-0.70539798719121727</v>
      </c>
      <c r="Q221">
        <f t="shared" si="960"/>
        <v>-458.48724757548064</v>
      </c>
      <c r="R221">
        <f t="shared" si="961"/>
        <v>-12932.085365553919</v>
      </c>
      <c r="S221">
        <f t="shared" si="962"/>
        <v>-0.12932085365553919</v>
      </c>
      <c r="T221">
        <f t="shared" si="963"/>
        <v>-1.293208536555392E-4</v>
      </c>
    </row>
    <row r="222" spans="1:20" x14ac:dyDescent="0.25">
      <c r="A222" s="5">
        <v>44371</v>
      </c>
      <c r="B222">
        <v>1114.01</v>
      </c>
      <c r="C222">
        <v>1149.97</v>
      </c>
      <c r="D222">
        <v>1044.22</v>
      </c>
      <c r="E222">
        <v>1061.18</v>
      </c>
      <c r="F222">
        <v>757.16317000000004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-0.6792434988179662</v>
      </c>
      <c r="Q222">
        <f t="shared" si="960"/>
        <v>-514.29816076690258</v>
      </c>
      <c r="R222">
        <f t="shared" si="961"/>
        <v>-12473.598117978439</v>
      </c>
      <c r="S222">
        <f t="shared" si="962"/>
        <v>-0.12473598117978439</v>
      </c>
      <c r="T222">
        <f t="shared" si="963"/>
        <v>-1.247359811797844E-4</v>
      </c>
    </row>
    <row r="223" spans="1:20" x14ac:dyDescent="0.25">
      <c r="A223" s="5">
        <v>44370</v>
      </c>
      <c r="B223">
        <v>1098.6500000000001</v>
      </c>
      <c r="C223">
        <v>1214.99</v>
      </c>
      <c r="D223">
        <v>1062.5</v>
      </c>
      <c r="E223">
        <v>1113.75</v>
      </c>
      <c r="F223">
        <v>517.11933999999997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-0.3278247753951079</v>
      </c>
      <c r="Q223">
        <f t="shared" si="960"/>
        <v>-169.52453148796641</v>
      </c>
      <c r="R223">
        <f t="shared" si="961"/>
        <v>-11959.299957211537</v>
      </c>
      <c r="S223">
        <f t="shared" si="962"/>
        <v>-0.11959299957211537</v>
      </c>
      <c r="T223">
        <f t="shared" si="963"/>
        <v>-1.1959299957211538E-4</v>
      </c>
    </row>
    <row r="224" spans="1:20" x14ac:dyDescent="0.25">
      <c r="A224" s="5">
        <v>44369</v>
      </c>
      <c r="B224">
        <v>1205.06</v>
      </c>
      <c r="C224">
        <v>1335.82</v>
      </c>
      <c r="D224">
        <v>935.59</v>
      </c>
      <c r="E224">
        <v>1105</v>
      </c>
      <c r="F224">
        <v>1655.49872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-0.15343677385503332</v>
      </c>
      <c r="Q224">
        <f t="shared" si="960"/>
        <v>-254.01438271793714</v>
      </c>
      <c r="R224">
        <f t="shared" si="961"/>
        <v>-11789.77542572357</v>
      </c>
      <c r="S224">
        <f t="shared" si="962"/>
        <v>-0.1178977542572357</v>
      </c>
      <c r="T224">
        <f t="shared" si="963"/>
        <v>-1.178977542572357E-4</v>
      </c>
    </row>
    <row r="225" spans="1:20" x14ac:dyDescent="0.25">
      <c r="A225" s="5">
        <v>44368</v>
      </c>
      <c r="B225">
        <v>1475.57</v>
      </c>
      <c r="C225">
        <v>1513.13</v>
      </c>
      <c r="D225">
        <v>1197.77</v>
      </c>
      <c r="E225">
        <v>1199.5</v>
      </c>
      <c r="F225">
        <v>879.65150000000006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-0.98902841197361735</v>
      </c>
      <c r="Q225">
        <f t="shared" si="960"/>
        <v>-870.00032613521057</v>
      </c>
      <c r="R225">
        <f t="shared" si="961"/>
        <v>-11535.761043005634</v>
      </c>
      <c r="S225">
        <f t="shared" si="962"/>
        <v>-0.11535761043005634</v>
      </c>
      <c r="T225">
        <f t="shared" si="963"/>
        <v>-1.1535761043005634E-4</v>
      </c>
    </row>
    <row r="226" spans="1:20" x14ac:dyDescent="0.25">
      <c r="A226" s="5">
        <v>44367</v>
      </c>
      <c r="B226">
        <v>1514.12</v>
      </c>
      <c r="C226">
        <v>1598</v>
      </c>
      <c r="D226">
        <v>1300</v>
      </c>
      <c r="E226">
        <v>1475.12</v>
      </c>
      <c r="F226">
        <v>1083.17968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0.17530201342281806</v>
      </c>
      <c r="Q226">
        <f t="shared" si="960"/>
        <v>189.88357880268376</v>
      </c>
      <c r="R226">
        <f t="shared" si="961"/>
        <v>-10665.760716870423</v>
      </c>
      <c r="S226">
        <f t="shared" si="962"/>
        <v>-0.10665760716870423</v>
      </c>
      <c r="T226">
        <f t="shared" si="963"/>
        <v>-1.0665760716870424E-4</v>
      </c>
    </row>
    <row r="227" spans="1:20" x14ac:dyDescent="0.25">
      <c r="A227" s="5">
        <v>44366</v>
      </c>
      <c r="B227">
        <v>1436.91</v>
      </c>
      <c r="C227">
        <v>1569.99</v>
      </c>
      <c r="D227">
        <v>1426.12</v>
      </c>
      <c r="E227">
        <v>1518.04</v>
      </c>
      <c r="F227">
        <v>951.96397999999999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0.27782025439632996</v>
      </c>
      <c r="Q227">
        <f t="shared" si="960"/>
        <v>264.47487509974275</v>
      </c>
      <c r="R227">
        <f t="shared" si="961"/>
        <v>-10855.644295673108</v>
      </c>
      <c r="S227">
        <f t="shared" si="962"/>
        <v>-0.10855644295673109</v>
      </c>
      <c r="T227">
        <f t="shared" si="963"/>
        <v>-1.0855644295673109E-4</v>
      </c>
    </row>
    <row r="228" spans="1:20" x14ac:dyDescent="0.25">
      <c r="A228" s="5">
        <v>44365</v>
      </c>
      <c r="B228">
        <v>1698.48</v>
      </c>
      <c r="C228">
        <v>1948</v>
      </c>
      <c r="D228">
        <v>1363.01</v>
      </c>
      <c r="E228">
        <v>1442.63</v>
      </c>
      <c r="F228">
        <v>2936.2618600000001</v>
      </c>
      <c r="G228">
        <v>0</v>
      </c>
      <c r="L228" t="s">
        <v>8</v>
      </c>
      <c r="M228" t="s">
        <v>7</v>
      </c>
      <c r="N228" t="s">
        <v>8</v>
      </c>
      <c r="P228">
        <f t="shared" si="959"/>
        <v>-0.72779021863621562</v>
      </c>
      <c r="Q228">
        <f t="shared" si="960"/>
        <v>-2136.9826610625814</v>
      </c>
      <c r="R228">
        <f t="shared" si="961"/>
        <v>-11120.11917077285</v>
      </c>
      <c r="S228">
        <f t="shared" si="962"/>
        <v>-0.11120119170772851</v>
      </c>
      <c r="T228">
        <f t="shared" si="963"/>
        <v>-1.112011917077285E-4</v>
      </c>
    </row>
    <row r="229" spans="1:20" x14ac:dyDescent="0.25">
      <c r="A229" s="5">
        <v>44364</v>
      </c>
      <c r="B229">
        <v>1471.65</v>
      </c>
      <c r="C229">
        <v>1720</v>
      </c>
      <c r="D229">
        <v>1471.65</v>
      </c>
      <c r="E229">
        <v>1707.83</v>
      </c>
      <c r="F229">
        <v>1172.51812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0.90199315482182341</v>
      </c>
      <c r="Q229">
        <f t="shared" si="960"/>
        <v>1057.6033181445532</v>
      </c>
      <c r="R229">
        <f t="shared" si="961"/>
        <v>-8983.1365097102698</v>
      </c>
      <c r="S229">
        <f t="shared" si="962"/>
        <v>-8.9831365097102697E-2</v>
      </c>
      <c r="T229">
        <f t="shared" si="963"/>
        <v>-8.9831365097102698E-5</v>
      </c>
    </row>
    <row r="230" spans="1:20" x14ac:dyDescent="0.25">
      <c r="A230" s="5">
        <v>44363</v>
      </c>
      <c r="B230">
        <v>1551.9</v>
      </c>
      <c r="C230">
        <v>1599.96</v>
      </c>
      <c r="D230">
        <v>1438.77</v>
      </c>
      <c r="E230">
        <v>1471.65</v>
      </c>
      <c r="F230">
        <v>550.52201000000002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-0.59203424530057569</v>
      </c>
      <c r="Q230">
        <f t="shared" si="960"/>
        <v>-325.92788271170599</v>
      </c>
      <c r="R230">
        <f t="shared" si="961"/>
        <v>-10040.739827854823</v>
      </c>
      <c r="S230">
        <f t="shared" si="962"/>
        <v>-0.10040739827854822</v>
      </c>
      <c r="T230">
        <f t="shared" si="963"/>
        <v>-1.0040739827854822E-4</v>
      </c>
    </row>
    <row r="231" spans="1:20" x14ac:dyDescent="0.25">
      <c r="A231" s="5">
        <v>44362</v>
      </c>
      <c r="B231">
        <v>1619.19</v>
      </c>
      <c r="C231">
        <v>1760</v>
      </c>
      <c r="D231">
        <v>1489.92</v>
      </c>
      <c r="E231">
        <v>1557.91</v>
      </c>
      <c r="F231">
        <v>2166.6899899999999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-0.49651954976303297</v>
      </c>
      <c r="Q231">
        <f t="shared" si="960"/>
        <v>-1075.8039383108703</v>
      </c>
      <c r="R231">
        <f t="shared" si="961"/>
        <v>-9714.8119451431157</v>
      </c>
      <c r="S231">
        <f t="shared" si="962"/>
        <v>-9.7148119451431161E-2</v>
      </c>
      <c r="T231">
        <f t="shared" si="963"/>
        <v>-9.7148119451431167E-5</v>
      </c>
    </row>
    <row r="232" spans="1:20" x14ac:dyDescent="0.25">
      <c r="A232" s="5">
        <v>44361</v>
      </c>
      <c r="B232">
        <v>1358</v>
      </c>
      <c r="C232">
        <v>1700</v>
      </c>
      <c r="D232">
        <v>1307.54</v>
      </c>
      <c r="E232">
        <v>1619.19</v>
      </c>
      <c r="F232">
        <v>4099.0616300000002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0.58818733119298816</v>
      </c>
      <c r="Q232">
        <f t="shared" si="960"/>
        <v>2411.01612054528</v>
      </c>
      <c r="R232">
        <f t="shared" si="961"/>
        <v>-8639.0080068322459</v>
      </c>
      <c r="S232">
        <f t="shared" si="962"/>
        <v>-8.6390080068322453E-2</v>
      </c>
      <c r="T232">
        <f t="shared" si="963"/>
        <v>-8.6390080068322447E-5</v>
      </c>
    </row>
    <row r="233" spans="1:20" x14ac:dyDescent="0.25">
      <c r="A233" s="5">
        <v>44360</v>
      </c>
      <c r="B233">
        <v>1099.99</v>
      </c>
      <c r="C233">
        <v>1442.73</v>
      </c>
      <c r="D233">
        <v>1067.96</v>
      </c>
      <c r="E233">
        <v>1358</v>
      </c>
      <c r="F233">
        <v>2133.2030500000001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0.54782933532566624</v>
      </c>
      <c r="Q233">
        <f t="shared" si="960"/>
        <v>1168.6312089961841</v>
      </c>
      <c r="R233">
        <f t="shared" si="961"/>
        <v>-11050.024127377526</v>
      </c>
      <c r="S233">
        <f t="shared" si="962"/>
        <v>-0.11050024127377527</v>
      </c>
      <c r="T233">
        <f t="shared" si="963"/>
        <v>-1.1050024127377527E-4</v>
      </c>
    </row>
    <row r="234" spans="1:20" x14ac:dyDescent="0.25">
      <c r="A234" s="5">
        <v>44359</v>
      </c>
      <c r="B234">
        <v>1065.3599999999999</v>
      </c>
      <c r="C234">
        <v>1136.97</v>
      </c>
      <c r="D234">
        <v>1010</v>
      </c>
      <c r="E234">
        <v>1100</v>
      </c>
      <c r="F234">
        <v>344.31840999999997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0.41765771442072902</v>
      </c>
      <c r="Q234">
        <f t="shared" si="960"/>
        <v>143.80724015357947</v>
      </c>
      <c r="R234">
        <f t="shared" si="961"/>
        <v>-12218.655336373711</v>
      </c>
      <c r="S234">
        <f t="shared" si="962"/>
        <v>-0.12218655336373711</v>
      </c>
      <c r="T234">
        <f t="shared" si="963"/>
        <v>-1.2218655336373711E-4</v>
      </c>
    </row>
    <row r="235" spans="1:20" x14ac:dyDescent="0.25">
      <c r="A235" s="5">
        <v>44358</v>
      </c>
      <c r="B235">
        <v>1005.06</v>
      </c>
      <c r="C235">
        <v>1136.98</v>
      </c>
      <c r="D235">
        <v>993.45</v>
      </c>
      <c r="E235">
        <v>1075.7</v>
      </c>
      <c r="F235">
        <v>539.05341999999996</v>
      </c>
      <c r="G235">
        <v>0</v>
      </c>
      <c r="L235" t="s">
        <v>8</v>
      </c>
      <c r="M235" t="s">
        <v>7</v>
      </c>
      <c r="N235" t="s">
        <v>8</v>
      </c>
      <c r="P235">
        <f t="shared" si="959"/>
        <v>0.14610186023827793</v>
      </c>
      <c r="Q235">
        <f t="shared" si="960"/>
        <v>78.756707429805729</v>
      </c>
      <c r="R235">
        <f t="shared" si="961"/>
        <v>-12362.46257652729</v>
      </c>
      <c r="S235">
        <f t="shared" si="962"/>
        <v>-0.1236246257652729</v>
      </c>
      <c r="T235">
        <f t="shared" si="963"/>
        <v>-1.236246257652729E-4</v>
      </c>
    </row>
    <row r="236" spans="1:20" x14ac:dyDescent="0.25">
      <c r="A236" s="5">
        <v>44357</v>
      </c>
      <c r="B236">
        <v>1202</v>
      </c>
      <c r="C236">
        <v>1250</v>
      </c>
      <c r="D236">
        <v>980</v>
      </c>
      <c r="E236">
        <v>1005.06</v>
      </c>
      <c r="F236">
        <v>1523.2297000000001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-0.81437037037037074</v>
      </c>
      <c r="Q236">
        <f t="shared" si="960"/>
        <v>-1240.4731349481488</v>
      </c>
      <c r="R236">
        <f t="shared" si="961"/>
        <v>-12441.219283957096</v>
      </c>
      <c r="S236">
        <f t="shared" si="962"/>
        <v>-0.12441219283957096</v>
      </c>
      <c r="T236">
        <f t="shared" si="963"/>
        <v>-1.2441219283957096E-4</v>
      </c>
    </row>
    <row r="237" spans="1:20" x14ac:dyDescent="0.25">
      <c r="A237" s="5">
        <v>44356</v>
      </c>
      <c r="B237">
        <v>976.1</v>
      </c>
      <c r="C237">
        <v>1280</v>
      </c>
      <c r="D237">
        <v>917.89</v>
      </c>
      <c r="E237">
        <v>1202</v>
      </c>
      <c r="F237">
        <v>753.62568999999996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0.56919168208555415</v>
      </c>
      <c r="Q237">
        <f t="shared" si="960"/>
        <v>428.95747415398637</v>
      </c>
      <c r="R237">
        <f t="shared" si="961"/>
        <v>-11200.746149008948</v>
      </c>
      <c r="S237">
        <f t="shared" si="962"/>
        <v>-0.11200746149008949</v>
      </c>
      <c r="T237">
        <f t="shared" si="963"/>
        <v>-1.1200746149008948E-4</v>
      </c>
    </row>
    <row r="238" spans="1:20" x14ac:dyDescent="0.25">
      <c r="A238" s="5">
        <v>44355</v>
      </c>
      <c r="B238">
        <v>972.83</v>
      </c>
      <c r="C238">
        <v>1002.59</v>
      </c>
      <c r="D238">
        <v>840.01</v>
      </c>
      <c r="E238">
        <v>975.99</v>
      </c>
      <c r="F238">
        <v>630.90520000000004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0.672776479271743</v>
      </c>
      <c r="Q238">
        <f t="shared" si="960"/>
        <v>424.4581792102349</v>
      </c>
      <c r="R238">
        <f t="shared" si="961"/>
        <v>-11629.703623162934</v>
      </c>
      <c r="S238">
        <f t="shared" si="962"/>
        <v>-0.11629703623162933</v>
      </c>
      <c r="T238">
        <f t="shared" si="963"/>
        <v>-1.1629703623162934E-4</v>
      </c>
    </row>
    <row r="239" spans="1:20" x14ac:dyDescent="0.25">
      <c r="A239" s="5">
        <v>44354</v>
      </c>
      <c r="B239">
        <v>1069.6600000000001</v>
      </c>
      <c r="C239">
        <v>1200</v>
      </c>
      <c r="D239">
        <v>969.01</v>
      </c>
      <c r="E239">
        <v>972.83</v>
      </c>
      <c r="F239">
        <v>499.52384000000001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-0.96692497510714703</v>
      </c>
      <c r="Q239">
        <f t="shared" si="960"/>
        <v>-483.00207655742651</v>
      </c>
      <c r="R239">
        <f t="shared" si="961"/>
        <v>-12054.161802373168</v>
      </c>
      <c r="S239">
        <f t="shared" si="962"/>
        <v>-0.12054161802373169</v>
      </c>
      <c r="T239">
        <f t="shared" si="963"/>
        <v>-1.2054161802373169E-4</v>
      </c>
    </row>
    <row r="240" spans="1:20" x14ac:dyDescent="0.25">
      <c r="A240" s="5">
        <v>44353</v>
      </c>
      <c r="B240">
        <v>1078.1600000000001</v>
      </c>
      <c r="C240">
        <v>1228</v>
      </c>
      <c r="D240">
        <v>1025.97</v>
      </c>
      <c r="E240">
        <v>1069.6600000000001</v>
      </c>
      <c r="F240">
        <v>801.75277000000006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-0.56748997673612767</v>
      </c>
      <c r="Q240">
        <f t="shared" si="960"/>
        <v>-454.98666079542596</v>
      </c>
      <c r="R240">
        <f t="shared" si="961"/>
        <v>-11571.159725815742</v>
      </c>
      <c r="S240">
        <f t="shared" si="962"/>
        <v>-0.11571159725815741</v>
      </c>
      <c r="T240">
        <f t="shared" si="963"/>
        <v>-1.1571159725815742E-4</v>
      </c>
    </row>
    <row r="241" spans="1:20" x14ac:dyDescent="0.25">
      <c r="A241" s="5">
        <v>44352</v>
      </c>
      <c r="B241">
        <v>1146.94</v>
      </c>
      <c r="C241">
        <v>1229.98</v>
      </c>
      <c r="D241">
        <v>1034.77</v>
      </c>
      <c r="E241">
        <v>1075.76</v>
      </c>
      <c r="F241">
        <v>557.39340000000004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-0.5800420060447723</v>
      </c>
      <c r="Q241">
        <f t="shared" si="960"/>
        <v>-323.31158589211623</v>
      </c>
      <c r="R241">
        <f t="shared" si="961"/>
        <v>-11116.173065020315</v>
      </c>
      <c r="S241">
        <f t="shared" si="962"/>
        <v>-0.11116173065020316</v>
      </c>
      <c r="T241">
        <f t="shared" si="963"/>
        <v>-1.1116173065020316E-4</v>
      </c>
    </row>
    <row r="242" spans="1:20" x14ac:dyDescent="0.25">
      <c r="A242" s="5">
        <v>44351</v>
      </c>
      <c r="B242">
        <v>1199.76</v>
      </c>
      <c r="C242">
        <v>1216.01</v>
      </c>
      <c r="D242">
        <v>1013.5</v>
      </c>
      <c r="E242">
        <v>1155.3900000000001</v>
      </c>
      <c r="F242">
        <v>676.86009999999999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0.40131351538195748</v>
      </c>
      <c r="Q242">
        <f t="shared" si="960"/>
        <v>271.63310615278328</v>
      </c>
      <c r="R242">
        <f t="shared" si="961"/>
        <v>-10792.8614791282</v>
      </c>
      <c r="S242">
        <f t="shared" si="962"/>
        <v>-0.107928614791282</v>
      </c>
      <c r="T242">
        <f t="shared" si="963"/>
        <v>-1.07928614791282E-4</v>
      </c>
    </row>
    <row r="243" spans="1:20" x14ac:dyDescent="0.25">
      <c r="A243" s="5">
        <v>44350</v>
      </c>
      <c r="B243">
        <v>1077.93</v>
      </c>
      <c r="C243">
        <v>1225</v>
      </c>
      <c r="D243">
        <v>1036.71</v>
      </c>
      <c r="E243">
        <v>1206.53</v>
      </c>
      <c r="F243">
        <v>646.80776000000003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0.80381326676934484</v>
      </c>
      <c r="Q243">
        <f t="shared" si="960"/>
        <v>519.9126585373624</v>
      </c>
      <c r="R243">
        <f t="shared" si="961"/>
        <v>-11064.494585280983</v>
      </c>
      <c r="S243">
        <f t="shared" si="962"/>
        <v>-0.11064494585280983</v>
      </c>
      <c r="T243">
        <f t="shared" si="963"/>
        <v>-1.1064494585280983E-4</v>
      </c>
    </row>
    <row r="244" spans="1:20" x14ac:dyDescent="0.25">
      <c r="A244" s="5">
        <v>44349</v>
      </c>
      <c r="B244">
        <v>987.01</v>
      </c>
      <c r="C244">
        <v>1160</v>
      </c>
      <c r="D244">
        <v>955.34</v>
      </c>
      <c r="E244">
        <v>1077.82</v>
      </c>
      <c r="F244">
        <v>827.03368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0.19691195152936503</v>
      </c>
      <c r="Q244">
        <f t="shared" si="960"/>
        <v>162.8528159093124</v>
      </c>
      <c r="R244">
        <f t="shared" si="961"/>
        <v>-11584.407243818347</v>
      </c>
      <c r="S244">
        <f t="shared" si="962"/>
        <v>-0.11584407243818347</v>
      </c>
      <c r="T244">
        <f t="shared" si="963"/>
        <v>-1.1584407243818347E-4</v>
      </c>
    </row>
    <row r="245" spans="1:20" x14ac:dyDescent="0.25">
      <c r="A245" s="5">
        <v>44348</v>
      </c>
      <c r="B245">
        <v>945.82</v>
      </c>
      <c r="C245">
        <v>999.9</v>
      </c>
      <c r="D245">
        <v>928</v>
      </c>
      <c r="E245">
        <v>986.71</v>
      </c>
      <c r="F245">
        <v>504.88290999999998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0.63310152990264412</v>
      </c>
      <c r="Q245">
        <f t="shared" si="960"/>
        <v>319.64214274269898</v>
      </c>
      <c r="R245">
        <f t="shared" si="961"/>
        <v>-11747.26005972766</v>
      </c>
      <c r="S245">
        <f t="shared" si="962"/>
        <v>-0.1174726005972766</v>
      </c>
      <c r="T245">
        <f t="shared" si="963"/>
        <v>-1.174726005972766E-4</v>
      </c>
    </row>
    <row r="246" spans="1:20" x14ac:dyDescent="0.25">
      <c r="A246" s="5">
        <v>44347</v>
      </c>
      <c r="B246">
        <v>877.33</v>
      </c>
      <c r="C246">
        <v>954.49</v>
      </c>
      <c r="D246">
        <v>835.97</v>
      </c>
      <c r="E246">
        <v>954.49</v>
      </c>
      <c r="F246">
        <v>588.59961999999996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1</v>
      </c>
      <c r="Q246">
        <f t="shared" si="960"/>
        <v>588.59961999999996</v>
      </c>
      <c r="R246">
        <f t="shared" si="961"/>
        <v>-12066.902202470359</v>
      </c>
      <c r="S246">
        <f t="shared" si="962"/>
        <v>-0.12066902202470359</v>
      </c>
      <c r="T246">
        <f t="shared" si="963"/>
        <v>-1.2066902202470359E-4</v>
      </c>
    </row>
    <row r="247" spans="1:20" x14ac:dyDescent="0.25">
      <c r="A247" s="5">
        <v>44346</v>
      </c>
      <c r="B247">
        <v>831.22</v>
      </c>
      <c r="C247">
        <v>950.2</v>
      </c>
      <c r="D247">
        <v>785.77</v>
      </c>
      <c r="E247">
        <v>885.18</v>
      </c>
      <c r="F247">
        <v>391.58580000000001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0.20914674937663358</v>
      </c>
      <c r="Q247">
        <f t="shared" si="960"/>
        <v>81.898897172048564</v>
      </c>
      <c r="R247">
        <f t="shared" si="961"/>
        <v>-12655.501822470358</v>
      </c>
      <c r="S247">
        <f t="shared" si="962"/>
        <v>-0.12655501822470358</v>
      </c>
      <c r="T247">
        <f t="shared" si="963"/>
        <v>-1.2655501822470358E-4</v>
      </c>
    </row>
    <row r="248" spans="1:20" x14ac:dyDescent="0.25">
      <c r="A248" s="5">
        <v>44345</v>
      </c>
      <c r="B248">
        <v>867.31</v>
      </c>
      <c r="C248">
        <v>900</v>
      </c>
      <c r="D248">
        <v>783.62</v>
      </c>
      <c r="E248">
        <v>838.36</v>
      </c>
      <c r="F248">
        <v>581.77183000000002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-5.9288537549406925E-2</v>
      </c>
      <c r="Q248">
        <f t="shared" si="960"/>
        <v>-34.492400988142187</v>
      </c>
      <c r="R248">
        <f t="shared" si="961"/>
        <v>-12737.400719642406</v>
      </c>
      <c r="S248">
        <f t="shared" si="962"/>
        <v>-0.12737400719642405</v>
      </c>
      <c r="T248">
        <f t="shared" si="963"/>
        <v>-1.2737400719642404E-4</v>
      </c>
    </row>
    <row r="249" spans="1:20" x14ac:dyDescent="0.25">
      <c r="A249" s="5">
        <v>44344</v>
      </c>
      <c r="B249">
        <v>1003.81</v>
      </c>
      <c r="C249">
        <v>1088.3599999999999</v>
      </c>
      <c r="D249">
        <v>824.23</v>
      </c>
      <c r="E249">
        <v>861.17</v>
      </c>
      <c r="F249">
        <v>1259.54494</v>
      </c>
      <c r="G249">
        <v>0</v>
      </c>
      <c r="L249" t="s">
        <v>8</v>
      </c>
      <c r="M249" t="s">
        <v>8</v>
      </c>
      <c r="N249" t="s">
        <v>8</v>
      </c>
      <c r="P249">
        <f t="shared" si="959"/>
        <v>-0.72028925150494105</v>
      </c>
      <c r="Q249">
        <f t="shared" si="960"/>
        <v>-907.23668206943591</v>
      </c>
      <c r="R249">
        <f t="shared" si="961"/>
        <v>-12702.908318654265</v>
      </c>
      <c r="S249">
        <f t="shared" si="962"/>
        <v>-0.12702908318654266</v>
      </c>
      <c r="T249">
        <f t="shared" si="963"/>
        <v>-1.2702908318654266E-4</v>
      </c>
    </row>
    <row r="250" spans="1:20" x14ac:dyDescent="0.25">
      <c r="A250" s="5">
        <v>44343</v>
      </c>
      <c r="B250">
        <v>931.8</v>
      </c>
      <c r="C250">
        <v>1070</v>
      </c>
      <c r="D250">
        <v>841.29</v>
      </c>
      <c r="E250">
        <v>1009.06</v>
      </c>
      <c r="F250">
        <v>1048.6899000000001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0.4670980717939745</v>
      </c>
      <c r="Q250">
        <f t="shared" si="960"/>
        <v>489.84103019981598</v>
      </c>
      <c r="R250">
        <f t="shared" si="961"/>
        <v>-11795.67163658483</v>
      </c>
      <c r="S250">
        <f t="shared" si="962"/>
        <v>-0.1179567163658483</v>
      </c>
      <c r="T250">
        <f t="shared" si="963"/>
        <v>-1.1795671636584829E-4</v>
      </c>
    </row>
    <row r="251" spans="1:20" x14ac:dyDescent="0.25">
      <c r="A251" s="5">
        <v>44342</v>
      </c>
      <c r="B251">
        <v>778.01</v>
      </c>
      <c r="C251">
        <v>958.59</v>
      </c>
      <c r="D251">
        <v>777.87</v>
      </c>
      <c r="E251">
        <v>942.73</v>
      </c>
      <c r="F251">
        <v>799.58153000000004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0.82447985834440007</v>
      </c>
      <c r="Q251">
        <f t="shared" si="960"/>
        <v>659.23886658919866</v>
      </c>
      <c r="R251">
        <f t="shared" si="961"/>
        <v>-12285.512666784645</v>
      </c>
      <c r="S251">
        <f t="shared" si="962"/>
        <v>-0.12285512666784645</v>
      </c>
      <c r="T251">
        <f t="shared" si="963"/>
        <v>-1.2285512666784646E-4</v>
      </c>
    </row>
    <row r="252" spans="1:20" x14ac:dyDescent="0.25">
      <c r="A252" s="5">
        <v>44341</v>
      </c>
      <c r="B252">
        <v>825.26</v>
      </c>
      <c r="C252">
        <v>877.77</v>
      </c>
      <c r="D252">
        <v>723.65</v>
      </c>
      <c r="E252">
        <v>783.33</v>
      </c>
      <c r="F252">
        <v>785.46972000000005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-0.22553854139631377</v>
      </c>
      <c r="Q252">
        <f t="shared" si="960"/>
        <v>-177.153694959771</v>
      </c>
      <c r="R252">
        <f t="shared" si="961"/>
        <v>-12944.751533373845</v>
      </c>
      <c r="S252">
        <f t="shared" si="962"/>
        <v>-0.12944751533373844</v>
      </c>
      <c r="T252">
        <f t="shared" si="963"/>
        <v>-1.2944751533373845E-4</v>
      </c>
    </row>
    <row r="253" spans="1:20" x14ac:dyDescent="0.25">
      <c r="A253" s="5">
        <v>44340</v>
      </c>
      <c r="B253">
        <v>599.96</v>
      </c>
      <c r="C253">
        <v>837</v>
      </c>
      <c r="D253">
        <v>585.55999999999995</v>
      </c>
      <c r="E253">
        <v>835.01</v>
      </c>
      <c r="F253">
        <v>1443.7767799999999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0.98417117403754373</v>
      </c>
      <c r="Q253">
        <f t="shared" si="960"/>
        <v>1420.9234886207444</v>
      </c>
      <c r="R253">
        <f t="shared" si="961"/>
        <v>-12767.597838414074</v>
      </c>
      <c r="S253">
        <f t="shared" si="962"/>
        <v>-0.12767597838414074</v>
      </c>
      <c r="T253">
        <f t="shared" si="963"/>
        <v>-1.2767597838414074E-4</v>
      </c>
    </row>
    <row r="254" spans="1:20" x14ac:dyDescent="0.25">
      <c r="A254" s="5">
        <v>44339</v>
      </c>
      <c r="B254">
        <v>715.39</v>
      </c>
      <c r="C254">
        <v>735.87</v>
      </c>
      <c r="D254">
        <v>371.48</v>
      </c>
      <c r="E254">
        <v>603.58000000000004</v>
      </c>
      <c r="F254">
        <v>2255.2248100000002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0.27390982189412461</v>
      </c>
      <c r="Q254">
        <f t="shared" si="960"/>
        <v>617.72822603831105</v>
      </c>
      <c r="R254">
        <f t="shared" si="961"/>
        <v>-14188.521327034819</v>
      </c>
      <c r="S254">
        <f t="shared" si="962"/>
        <v>-0.1418852132703482</v>
      </c>
      <c r="T254">
        <f t="shared" si="963"/>
        <v>-1.418852132703482E-4</v>
      </c>
    </row>
    <row r="255" spans="1:20" x14ac:dyDescent="0.25">
      <c r="A255" s="5">
        <v>44338</v>
      </c>
      <c r="B255">
        <v>751.55</v>
      </c>
      <c r="C255">
        <v>793.4</v>
      </c>
      <c r="D255">
        <v>658.67</v>
      </c>
      <c r="E255">
        <v>715.39</v>
      </c>
      <c r="F255">
        <v>1001.67857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-0.15801974319008358</v>
      </c>
      <c r="Q255">
        <f t="shared" si="960"/>
        <v>-158.28499039041017</v>
      </c>
      <c r="R255">
        <f t="shared" si="961"/>
        <v>-14806.24955307313</v>
      </c>
      <c r="S255">
        <f t="shared" si="962"/>
        <v>-0.14806249553073131</v>
      </c>
      <c r="T255">
        <f t="shared" si="963"/>
        <v>-1.480624955307313E-4</v>
      </c>
    </row>
    <row r="256" spans="1:20" x14ac:dyDescent="0.25">
      <c r="A256" s="5">
        <v>44337</v>
      </c>
      <c r="B256">
        <v>830.47</v>
      </c>
      <c r="C256">
        <v>880</v>
      </c>
      <c r="D256">
        <v>590.5</v>
      </c>
      <c r="E256">
        <v>751.88</v>
      </c>
      <c r="F256">
        <v>2456.0293299999998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0.11488773747841102</v>
      </c>
      <c r="Q256">
        <f t="shared" si="960"/>
        <v>282.16765290431772</v>
      </c>
      <c r="R256">
        <f t="shared" si="961"/>
        <v>-14647.96456268272</v>
      </c>
      <c r="S256">
        <f t="shared" si="962"/>
        <v>-0.14647964562682719</v>
      </c>
      <c r="T256">
        <f t="shared" si="963"/>
        <v>-1.4647964562682721E-4</v>
      </c>
    </row>
    <row r="257" spans="1:20" x14ac:dyDescent="0.25">
      <c r="A257" s="5">
        <v>44336</v>
      </c>
      <c r="B257">
        <v>869.96</v>
      </c>
      <c r="C257">
        <v>899.99</v>
      </c>
      <c r="D257">
        <v>719.56</v>
      </c>
      <c r="E257">
        <v>832.46</v>
      </c>
      <c r="F257">
        <v>3058.78226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0.25145485783960597</v>
      </c>
      <c r="Q257">
        <f t="shared" si="960"/>
        <v>769.14565835060864</v>
      </c>
      <c r="R257">
        <f t="shared" si="961"/>
        <v>-14930.132215587038</v>
      </c>
      <c r="S257">
        <f t="shared" si="962"/>
        <v>-0.14930132215587039</v>
      </c>
      <c r="T257">
        <f t="shared" si="963"/>
        <v>-1.4930132215587038E-4</v>
      </c>
    </row>
    <row r="258" spans="1:20" x14ac:dyDescent="0.25">
      <c r="A258" s="5">
        <v>44335</v>
      </c>
      <c r="B258">
        <v>1214.42</v>
      </c>
      <c r="C258">
        <v>1225.45</v>
      </c>
      <c r="D258">
        <v>590</v>
      </c>
      <c r="E258">
        <v>865.7</v>
      </c>
      <c r="F258">
        <v>2229.34211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-0.13226847116216847</v>
      </c>
      <c r="Q258">
        <f t="shared" si="960"/>
        <v>-294.87167258714283</v>
      </c>
      <c r="R258">
        <f t="shared" si="961"/>
        <v>-15699.277873937646</v>
      </c>
      <c r="S258">
        <f t="shared" si="962"/>
        <v>-0.15699277873937648</v>
      </c>
      <c r="T258">
        <f t="shared" si="963"/>
        <v>-1.5699277873937648E-4</v>
      </c>
    </row>
    <row r="259" spans="1:20" x14ac:dyDescent="0.25">
      <c r="A259" s="5">
        <v>44334</v>
      </c>
      <c r="B259">
        <v>1184.99</v>
      </c>
      <c r="C259">
        <v>1300</v>
      </c>
      <c r="D259">
        <v>1180.6300000000001</v>
      </c>
      <c r="E259">
        <v>1219.5</v>
      </c>
      <c r="F259">
        <v>843.40994999999998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-0.34874759152215923</v>
      </c>
      <c r="Q259">
        <f t="shared" si="960"/>
        <v>-294.13718872832476</v>
      </c>
      <c r="R259">
        <f t="shared" si="961"/>
        <v>-15404.406201350503</v>
      </c>
      <c r="S259">
        <f t="shared" si="962"/>
        <v>-0.15404406201350504</v>
      </c>
      <c r="T259">
        <f t="shared" si="963"/>
        <v>-1.5404406201350505E-4</v>
      </c>
    </row>
    <row r="260" spans="1:20" x14ac:dyDescent="0.25">
      <c r="A260" s="5">
        <v>44333</v>
      </c>
      <c r="B260">
        <v>1282.73</v>
      </c>
      <c r="C260">
        <v>1335</v>
      </c>
      <c r="D260">
        <v>1138.3800000000001</v>
      </c>
      <c r="E260">
        <v>1184.99</v>
      </c>
      <c r="F260">
        <v>1297.1897300000001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-0.52588749872851259</v>
      </c>
      <c r="Q260">
        <f t="shared" si="960"/>
        <v>-682.17586248601458</v>
      </c>
      <c r="R260">
        <f t="shared" si="961"/>
        <v>-15110.269012622179</v>
      </c>
      <c r="S260">
        <f t="shared" si="962"/>
        <v>-0.15110269012622179</v>
      </c>
      <c r="T260">
        <f t="shared" si="963"/>
        <v>-1.5110269012622179E-4</v>
      </c>
    </row>
    <row r="261" spans="1:20" x14ac:dyDescent="0.25">
      <c r="A261" s="5">
        <v>44332</v>
      </c>
      <c r="B261">
        <v>1350.25</v>
      </c>
      <c r="C261">
        <v>1363</v>
      </c>
      <c r="D261">
        <v>1180.3800000000001</v>
      </c>
      <c r="E261">
        <v>1289.25</v>
      </c>
      <c r="F261">
        <v>2440.2517800000001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0.19231190450114943</v>
      </c>
      <c r="Q261">
        <f t="shared" si="960"/>
        <v>469.28946727411994</v>
      </c>
      <c r="R261">
        <f t="shared" si="961"/>
        <v>-14428.093150136165</v>
      </c>
      <c r="S261">
        <f t="shared" si="962"/>
        <v>-0.14428093150136165</v>
      </c>
      <c r="T261">
        <f t="shared" si="963"/>
        <v>-1.4428093150136164E-4</v>
      </c>
    </row>
    <row r="262" spans="1:20" x14ac:dyDescent="0.25">
      <c r="A262" s="5">
        <v>44331</v>
      </c>
      <c r="B262">
        <v>1448.93</v>
      </c>
      <c r="C262">
        <v>1504</v>
      </c>
      <c r="D262">
        <v>1332.57</v>
      </c>
      <c r="E262">
        <v>1350.9</v>
      </c>
      <c r="F262">
        <v>1967.1818900000001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-0.78615178206848102</v>
      </c>
      <c r="Q262">
        <f t="shared" ref="Q262:Q325" si="965">F262*P262</f>
        <v>-1546.5035484763428</v>
      </c>
      <c r="R262">
        <f t="shared" ref="R262:R325" si="966">R263+Q262</f>
        <v>-14897.382617410285</v>
      </c>
      <c r="S262">
        <f t="shared" ref="S262:S325" si="967">R262/100000</f>
        <v>-0.14897382617410285</v>
      </c>
      <c r="T262">
        <f t="shared" ref="T262:T325" si="968">S262/1000</f>
        <v>-1.4897382617410284E-4</v>
      </c>
    </row>
    <row r="263" spans="1:20" x14ac:dyDescent="0.25">
      <c r="A263" s="5">
        <v>44330</v>
      </c>
      <c r="B263">
        <v>1221.51</v>
      </c>
      <c r="C263">
        <v>1450</v>
      </c>
      <c r="D263">
        <v>1219.05</v>
      </c>
      <c r="E263">
        <v>1448.94</v>
      </c>
      <c r="F263">
        <v>1772.6172300000001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0.99082052392292752</v>
      </c>
      <c r="Q263">
        <f t="shared" si="965"/>
        <v>1756.3455325434086</v>
      </c>
      <c r="R263">
        <f t="shared" si="966"/>
        <v>-13350.879068933942</v>
      </c>
      <c r="S263">
        <f t="shared" si="967"/>
        <v>-0.13350879068933943</v>
      </c>
      <c r="T263">
        <f t="shared" si="968"/>
        <v>-1.3350879068933942E-4</v>
      </c>
    </row>
    <row r="264" spans="1:20" x14ac:dyDescent="0.25">
      <c r="A264" s="5">
        <v>44329</v>
      </c>
      <c r="B264">
        <v>1261.1500000000001</v>
      </c>
      <c r="C264">
        <v>1373.56</v>
      </c>
      <c r="D264">
        <v>1129</v>
      </c>
      <c r="E264">
        <v>1216.0899999999999</v>
      </c>
      <c r="F264">
        <v>2049.6605300000001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-0.28778213935230668</v>
      </c>
      <c r="Q264">
        <f t="shared" si="965"/>
        <v>-589.85569226938276</v>
      </c>
      <c r="R264">
        <f t="shared" si="966"/>
        <v>-15107.22460147735</v>
      </c>
      <c r="S264">
        <f t="shared" si="967"/>
        <v>-0.15107224601477351</v>
      </c>
      <c r="T264">
        <f t="shared" si="968"/>
        <v>-1.510722460147735E-4</v>
      </c>
    </row>
    <row r="265" spans="1:20" x14ac:dyDescent="0.25">
      <c r="A265" s="5">
        <v>44328</v>
      </c>
      <c r="B265">
        <v>1467.22</v>
      </c>
      <c r="C265">
        <v>1505</v>
      </c>
      <c r="D265">
        <v>1260.1099999999999</v>
      </c>
      <c r="E265">
        <v>1260.1099999999999</v>
      </c>
      <c r="F265">
        <v>1175.3570400000001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-1</v>
      </c>
      <c r="Q265">
        <f t="shared" si="965"/>
        <v>-1175.3570400000001</v>
      </c>
      <c r="R265">
        <f t="shared" si="966"/>
        <v>-14517.368909207968</v>
      </c>
      <c r="S265">
        <f t="shared" si="967"/>
        <v>-0.14517368909207967</v>
      </c>
      <c r="T265">
        <f t="shared" si="968"/>
        <v>-1.4517368909207966E-4</v>
      </c>
    </row>
    <row r="266" spans="1:20" x14ac:dyDescent="0.25">
      <c r="A266" s="5">
        <v>44327</v>
      </c>
      <c r="B266">
        <v>1445.69</v>
      </c>
      <c r="C266">
        <v>1494.99</v>
      </c>
      <c r="D266">
        <v>1133.5</v>
      </c>
      <c r="E266">
        <v>1473</v>
      </c>
      <c r="F266">
        <v>1541.3787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0.87833688345459071</v>
      </c>
      <c r="Q266">
        <f t="shared" si="965"/>
        <v>1353.8497635812885</v>
      </c>
      <c r="R266">
        <f t="shared" si="966"/>
        <v>-13342.011869207967</v>
      </c>
      <c r="S266">
        <f t="shared" si="967"/>
        <v>-0.13342011869207968</v>
      </c>
      <c r="T266">
        <f t="shared" si="968"/>
        <v>-1.3342011869207966E-4</v>
      </c>
    </row>
    <row r="267" spans="1:20" x14ac:dyDescent="0.25">
      <c r="A267" s="5">
        <v>44326</v>
      </c>
      <c r="B267">
        <v>1537.19</v>
      </c>
      <c r="C267">
        <v>1639</v>
      </c>
      <c r="D267">
        <v>1400</v>
      </c>
      <c r="E267">
        <v>1454.4</v>
      </c>
      <c r="F267">
        <v>1169.89085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-0.54476987447698666</v>
      </c>
      <c r="Q267">
        <f t="shared" si="965"/>
        <v>-637.3212915062752</v>
      </c>
      <c r="R267">
        <f t="shared" si="966"/>
        <v>-14695.861632789256</v>
      </c>
      <c r="S267">
        <f t="shared" si="967"/>
        <v>-0.14695861632789256</v>
      </c>
      <c r="T267">
        <f t="shared" si="968"/>
        <v>-1.4695861632789257E-4</v>
      </c>
    </row>
    <row r="268" spans="1:20" x14ac:dyDescent="0.25">
      <c r="A268" s="5">
        <v>44325</v>
      </c>
      <c r="B268">
        <v>1553.9</v>
      </c>
      <c r="C268">
        <v>1597</v>
      </c>
      <c r="D268">
        <v>1500.99</v>
      </c>
      <c r="E268">
        <v>1537.19</v>
      </c>
      <c r="F268">
        <v>788.83132000000001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-0.24591188417873036</v>
      </c>
      <c r="Q268">
        <f t="shared" si="965"/>
        <v>-193.98299620039498</v>
      </c>
      <c r="R268">
        <f t="shared" si="966"/>
        <v>-14058.54034128298</v>
      </c>
      <c r="S268">
        <f t="shared" si="967"/>
        <v>-0.1405854034128298</v>
      </c>
      <c r="T268">
        <f t="shared" si="968"/>
        <v>-1.4058540341282979E-4</v>
      </c>
    </row>
    <row r="269" spans="1:20" x14ac:dyDescent="0.25">
      <c r="A269" s="5">
        <v>44324</v>
      </c>
      <c r="B269">
        <v>1562.01</v>
      </c>
      <c r="C269">
        <v>1599.99</v>
      </c>
      <c r="D269">
        <v>1506.97</v>
      </c>
      <c r="E269">
        <v>1538.3</v>
      </c>
      <c r="F269">
        <v>902.82988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-0.32638142334981868</v>
      </c>
      <c r="Q269">
        <f t="shared" si="965"/>
        <v>-294.666901277146</v>
      </c>
      <c r="R269">
        <f t="shared" si="966"/>
        <v>-13864.557345082585</v>
      </c>
      <c r="S269">
        <f t="shared" si="967"/>
        <v>-0.13864557345082584</v>
      </c>
      <c r="T269">
        <f t="shared" si="968"/>
        <v>-1.3864557345082584E-4</v>
      </c>
    </row>
    <row r="270" spans="1:20" x14ac:dyDescent="0.25">
      <c r="A270" s="5">
        <v>44323</v>
      </c>
      <c r="B270">
        <v>1593.59</v>
      </c>
      <c r="C270">
        <v>1696.37</v>
      </c>
      <c r="D270">
        <v>1499.4</v>
      </c>
      <c r="E270">
        <v>1573.2</v>
      </c>
      <c r="F270">
        <v>1147.15247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-0.25064730669645091</v>
      </c>
      <c r="Q270">
        <f t="shared" si="965"/>
        <v>-287.53067697568122</v>
      </c>
      <c r="R270">
        <f t="shared" si="966"/>
        <v>-13569.89044380544</v>
      </c>
      <c r="S270">
        <f t="shared" si="967"/>
        <v>-0.13569890443805441</v>
      </c>
      <c r="T270">
        <f t="shared" si="968"/>
        <v>-1.3569890443805441E-4</v>
      </c>
    </row>
    <row r="271" spans="1:20" x14ac:dyDescent="0.25">
      <c r="A271" s="5">
        <v>44322</v>
      </c>
      <c r="B271">
        <v>1661.84</v>
      </c>
      <c r="C271">
        <v>1715.46</v>
      </c>
      <c r="D271">
        <v>1550</v>
      </c>
      <c r="E271">
        <v>1607.74</v>
      </c>
      <c r="F271">
        <v>1212.4882299999999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-0.30206696482533546</v>
      </c>
      <c r="Q271">
        <f t="shared" si="965"/>
        <v>-366.25263952254323</v>
      </c>
      <c r="R271">
        <f t="shared" si="966"/>
        <v>-13282.359766829759</v>
      </c>
      <c r="S271">
        <f t="shared" si="967"/>
        <v>-0.1328235976682976</v>
      </c>
      <c r="T271">
        <f t="shared" si="968"/>
        <v>-1.328235976682976E-4</v>
      </c>
    </row>
    <row r="272" spans="1:20" x14ac:dyDescent="0.25">
      <c r="A272" s="5">
        <v>44321</v>
      </c>
      <c r="B272">
        <v>1636.87</v>
      </c>
      <c r="C272">
        <v>1828.36</v>
      </c>
      <c r="D272">
        <v>1624</v>
      </c>
      <c r="E272">
        <v>1663.19</v>
      </c>
      <c r="F272">
        <v>1576.43786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-0.61646114699549737</v>
      </c>
      <c r="Q272">
        <f t="shared" si="965"/>
        <v>-971.81269134272725</v>
      </c>
      <c r="R272">
        <f t="shared" si="966"/>
        <v>-12916.107127307216</v>
      </c>
      <c r="S272">
        <f t="shared" si="967"/>
        <v>-0.12916107127307216</v>
      </c>
      <c r="T272">
        <f t="shared" si="968"/>
        <v>-1.2916107127307217E-4</v>
      </c>
    </row>
    <row r="273" spans="1:20" x14ac:dyDescent="0.25">
      <c r="A273" s="5">
        <v>44320</v>
      </c>
      <c r="B273">
        <v>1986.59</v>
      </c>
      <c r="C273">
        <v>1987.17</v>
      </c>
      <c r="D273">
        <v>1592.58</v>
      </c>
      <c r="E273">
        <v>1636.87</v>
      </c>
      <c r="F273">
        <v>2986.1401700000001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-0.77551382447603867</v>
      </c>
      <c r="Q273">
        <f t="shared" si="965"/>
        <v>-2315.7929836582284</v>
      </c>
      <c r="R273">
        <f t="shared" si="966"/>
        <v>-11944.294435964488</v>
      </c>
      <c r="S273">
        <f t="shared" si="967"/>
        <v>-0.11944294435964488</v>
      </c>
      <c r="T273">
        <f t="shared" si="968"/>
        <v>-1.1944294435964489E-4</v>
      </c>
    </row>
    <row r="274" spans="1:20" x14ac:dyDescent="0.25">
      <c r="A274" s="5">
        <v>44319</v>
      </c>
      <c r="B274">
        <v>1720.02</v>
      </c>
      <c r="C274">
        <v>2123</v>
      </c>
      <c r="D274">
        <v>1720.02</v>
      </c>
      <c r="E274">
        <v>1986.65</v>
      </c>
      <c r="F274">
        <v>5405.2758100000001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0.32329147848528511</v>
      </c>
      <c r="Q274">
        <f t="shared" si="965"/>
        <v>1747.479608235647</v>
      </c>
      <c r="R274">
        <f t="shared" si="966"/>
        <v>-9628.50145230626</v>
      </c>
      <c r="S274">
        <f t="shared" si="967"/>
        <v>-9.6285014523062595E-2</v>
      </c>
      <c r="T274">
        <f t="shared" si="968"/>
        <v>-9.6285014523062593E-5</v>
      </c>
    </row>
    <row r="275" spans="1:20" x14ac:dyDescent="0.25">
      <c r="A275" s="5">
        <v>44318</v>
      </c>
      <c r="B275">
        <v>1700.25</v>
      </c>
      <c r="C275">
        <v>1736.99</v>
      </c>
      <c r="D275">
        <v>1606.78</v>
      </c>
      <c r="E275">
        <v>1720</v>
      </c>
      <c r="F275">
        <v>1731.14311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0.73903694032716372</v>
      </c>
      <c r="Q275">
        <f t="shared" si="965"/>
        <v>1279.3787072828507</v>
      </c>
      <c r="R275">
        <f t="shared" si="966"/>
        <v>-11375.981060541906</v>
      </c>
      <c r="S275">
        <f t="shared" si="967"/>
        <v>-0.11375981060541906</v>
      </c>
      <c r="T275">
        <f t="shared" si="968"/>
        <v>-1.1375981060541907E-4</v>
      </c>
    </row>
    <row r="276" spans="1:20" x14ac:dyDescent="0.25">
      <c r="A276" s="5">
        <v>44317</v>
      </c>
      <c r="B276">
        <v>1777.75</v>
      </c>
      <c r="C276">
        <v>1777.75</v>
      </c>
      <c r="D276">
        <v>1585.18</v>
      </c>
      <c r="E276">
        <v>1706.14</v>
      </c>
      <c r="F276">
        <v>2267.20543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0.25627044711014257</v>
      </c>
      <c r="Q276">
        <f t="shared" si="965"/>
        <v>581.017749236643</v>
      </c>
      <c r="R276">
        <f t="shared" si="966"/>
        <v>-12655.359767824757</v>
      </c>
      <c r="S276">
        <f t="shared" si="967"/>
        <v>-0.12655359767824756</v>
      </c>
      <c r="T276">
        <f t="shared" si="968"/>
        <v>-1.2655359767824756E-4</v>
      </c>
    </row>
    <row r="277" spans="1:20" x14ac:dyDescent="0.25">
      <c r="A277" s="5">
        <v>44316</v>
      </c>
      <c r="B277">
        <v>1765.1</v>
      </c>
      <c r="C277">
        <v>1898</v>
      </c>
      <c r="D277">
        <v>1630</v>
      </c>
      <c r="E277">
        <v>1771.55</v>
      </c>
      <c r="F277">
        <v>3311.3146900000002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5.6343283582089211E-2</v>
      </c>
      <c r="Q277">
        <f t="shared" si="965"/>
        <v>186.57034260820782</v>
      </c>
      <c r="R277">
        <f t="shared" si="966"/>
        <v>-13236.377517061401</v>
      </c>
      <c r="S277">
        <f t="shared" si="967"/>
        <v>-0.13236377517061401</v>
      </c>
      <c r="T277">
        <f t="shared" si="968"/>
        <v>-1.3236377517061401E-4</v>
      </c>
    </row>
    <row r="278" spans="1:20" x14ac:dyDescent="0.25">
      <c r="A278" s="5">
        <v>44315</v>
      </c>
      <c r="B278">
        <v>1401.95</v>
      </c>
      <c r="C278">
        <v>1907.48</v>
      </c>
      <c r="D278">
        <v>1327.99</v>
      </c>
      <c r="E278">
        <v>1765.1</v>
      </c>
      <c r="F278">
        <v>7948.1292999999996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0.50860239175826982</v>
      </c>
      <c r="Q278">
        <f t="shared" si="965"/>
        <v>4042.4375719839827</v>
      </c>
      <c r="R278">
        <f t="shared" si="966"/>
        <v>-13422.947859669608</v>
      </c>
      <c r="S278">
        <f t="shared" si="967"/>
        <v>-0.13422947859669609</v>
      </c>
      <c r="T278">
        <f t="shared" si="968"/>
        <v>-1.3422947859669611E-4</v>
      </c>
    </row>
    <row r="279" spans="1:20" x14ac:dyDescent="0.25">
      <c r="A279" s="5">
        <v>44314</v>
      </c>
      <c r="B279">
        <v>1347.71</v>
      </c>
      <c r="C279">
        <v>1469.4</v>
      </c>
      <c r="D279">
        <v>1253.52</v>
      </c>
      <c r="E279">
        <v>1401.93</v>
      </c>
      <c r="F279">
        <v>2104.22039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0.37493051695386331</v>
      </c>
      <c r="Q279">
        <f t="shared" si="965"/>
        <v>788.93643860755981</v>
      </c>
      <c r="R279">
        <f t="shared" si="966"/>
        <v>-17465.385431653591</v>
      </c>
      <c r="S279">
        <f t="shared" si="967"/>
        <v>-0.17465385431653591</v>
      </c>
      <c r="T279">
        <f t="shared" si="968"/>
        <v>-1.746538543165359E-4</v>
      </c>
    </row>
    <row r="280" spans="1:20" x14ac:dyDescent="0.25">
      <c r="A280" s="5">
        <v>44313</v>
      </c>
      <c r="B280">
        <v>1316.74</v>
      </c>
      <c r="C280">
        <v>1500</v>
      </c>
      <c r="D280">
        <v>1250</v>
      </c>
      <c r="E280">
        <v>1347.71</v>
      </c>
      <c r="F280">
        <v>2007.8808300000001</v>
      </c>
      <c r="G280">
        <v>0</v>
      </c>
      <c r="L280" t="s">
        <v>8</v>
      </c>
      <c r="M280" t="s">
        <v>7</v>
      </c>
      <c r="N280" t="s">
        <v>7</v>
      </c>
      <c r="P280">
        <f t="shared" si="964"/>
        <v>-0.21831999999999971</v>
      </c>
      <c r="Q280">
        <f t="shared" si="965"/>
        <v>-438.36054280559944</v>
      </c>
      <c r="R280">
        <f t="shared" si="966"/>
        <v>-18254.321870261152</v>
      </c>
      <c r="S280">
        <f t="shared" si="967"/>
        <v>-0.18254321870261153</v>
      </c>
      <c r="T280">
        <f t="shared" si="968"/>
        <v>-1.8254321870261154E-4</v>
      </c>
    </row>
    <row r="281" spans="1:20" x14ac:dyDescent="0.25">
      <c r="A281" s="5">
        <v>44312</v>
      </c>
      <c r="B281">
        <v>1260.1099999999999</v>
      </c>
      <c r="C281">
        <v>1469.49</v>
      </c>
      <c r="D281">
        <v>1242.5999999999999</v>
      </c>
      <c r="E281">
        <v>1322.91</v>
      </c>
      <c r="F281">
        <v>1365.6507799999999</v>
      </c>
      <c r="G281">
        <v>0</v>
      </c>
      <c r="L281" t="s">
        <v>7</v>
      </c>
      <c r="M281" t="s">
        <v>7</v>
      </c>
      <c r="N281" t="s">
        <v>7</v>
      </c>
      <c r="P281">
        <f t="shared" si="964"/>
        <v>-0.29207986248842932</v>
      </c>
      <c r="Q281">
        <f t="shared" si="965"/>
        <v>-398.87909202961623</v>
      </c>
      <c r="R281">
        <f t="shared" si="966"/>
        <v>-17815.961327455552</v>
      </c>
      <c r="S281">
        <f t="shared" si="967"/>
        <v>-0.17815961327455551</v>
      </c>
      <c r="T281">
        <f t="shared" si="968"/>
        <v>-1.7815961327455551E-4</v>
      </c>
    </row>
    <row r="282" spans="1:20" x14ac:dyDescent="0.25">
      <c r="A282" s="5">
        <v>44311</v>
      </c>
      <c r="B282">
        <v>1369.56</v>
      </c>
      <c r="C282">
        <v>1514.26</v>
      </c>
      <c r="D282">
        <v>1200</v>
      </c>
      <c r="E282">
        <v>1244.95</v>
      </c>
      <c r="F282">
        <v>1292.3259599999999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-0.71393113982053047</v>
      </c>
      <c r="Q282">
        <f t="shared" si="965"/>
        <v>-922.63174564246117</v>
      </c>
      <c r="R282">
        <f t="shared" si="966"/>
        <v>-17417.082235425936</v>
      </c>
      <c r="S282">
        <f t="shared" si="967"/>
        <v>-0.17417082235425937</v>
      </c>
      <c r="T282">
        <f t="shared" si="968"/>
        <v>-1.7417082235425936E-4</v>
      </c>
    </row>
    <row r="283" spans="1:20" x14ac:dyDescent="0.25">
      <c r="A283" s="5">
        <v>44310</v>
      </c>
      <c r="B283">
        <v>1430.03</v>
      </c>
      <c r="C283">
        <v>1451.3</v>
      </c>
      <c r="D283">
        <v>1300</v>
      </c>
      <c r="E283">
        <v>1369.64</v>
      </c>
      <c r="F283">
        <v>615.23951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-7.9444811632516571E-2</v>
      </c>
      <c r="Q283">
        <f t="shared" si="965"/>
        <v>-48.877586980831794</v>
      </c>
      <c r="R283">
        <f t="shared" si="966"/>
        <v>-16494.450489783474</v>
      </c>
      <c r="S283">
        <f t="shared" si="967"/>
        <v>-0.16494450489783474</v>
      </c>
      <c r="T283">
        <f t="shared" si="968"/>
        <v>-1.6494450489783473E-4</v>
      </c>
    </row>
    <row r="284" spans="1:20" x14ac:dyDescent="0.25">
      <c r="A284" s="5">
        <v>44309</v>
      </c>
      <c r="B284">
        <v>1481.85</v>
      </c>
      <c r="C284">
        <v>1599.57</v>
      </c>
      <c r="D284">
        <v>1057.5999999999999</v>
      </c>
      <c r="E284">
        <v>1430</v>
      </c>
      <c r="F284">
        <v>2368.84755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0.37424580696348531</v>
      </c>
      <c r="Q284">
        <f t="shared" si="965"/>
        <v>886.53126292322509</v>
      </c>
      <c r="R284">
        <f t="shared" si="966"/>
        <v>-16445.572902802644</v>
      </c>
      <c r="S284">
        <f t="shared" si="967"/>
        <v>-0.16445572902802644</v>
      </c>
      <c r="T284">
        <f t="shared" si="968"/>
        <v>-1.6445572902802643E-4</v>
      </c>
    </row>
    <row r="285" spans="1:20" x14ac:dyDescent="0.25">
      <c r="A285" s="5">
        <v>44308</v>
      </c>
      <c r="B285">
        <v>1521.1</v>
      </c>
      <c r="C285">
        <v>1707.69</v>
      </c>
      <c r="D285">
        <v>1469.96</v>
      </c>
      <c r="E285">
        <v>1481.85</v>
      </c>
      <c r="F285">
        <v>1509.8412599999999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-0.89997055483111199</v>
      </c>
      <c r="Q285">
        <f t="shared" si="965"/>
        <v>-1358.8126764691051</v>
      </c>
      <c r="R285">
        <f t="shared" si="966"/>
        <v>-17332.104165725868</v>
      </c>
      <c r="S285">
        <f t="shared" si="967"/>
        <v>-0.17332104165725867</v>
      </c>
      <c r="T285">
        <f t="shared" si="968"/>
        <v>-1.7332104165725869E-4</v>
      </c>
    </row>
    <row r="286" spans="1:20" x14ac:dyDescent="0.25">
      <c r="A286" s="5">
        <v>44307</v>
      </c>
      <c r="B286">
        <v>1895.71</v>
      </c>
      <c r="C286">
        <v>1950.99</v>
      </c>
      <c r="D286">
        <v>1378.84</v>
      </c>
      <c r="E286">
        <v>1536</v>
      </c>
      <c r="F286">
        <v>1386.4041099999999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-0.45063357511142166</v>
      </c>
      <c r="Q286">
        <f t="shared" si="965"/>
        <v>-624.76024063846864</v>
      </c>
      <c r="R286">
        <f t="shared" si="966"/>
        <v>-15973.291489256762</v>
      </c>
      <c r="S286">
        <f t="shared" si="967"/>
        <v>-0.15973291489256763</v>
      </c>
      <c r="T286">
        <f t="shared" si="968"/>
        <v>-1.5973291489256762E-4</v>
      </c>
    </row>
    <row r="287" spans="1:20" x14ac:dyDescent="0.25">
      <c r="A287" s="5">
        <v>44306</v>
      </c>
      <c r="B287">
        <v>1836.31</v>
      </c>
      <c r="C287">
        <v>1950.99</v>
      </c>
      <c r="D287">
        <v>1600</v>
      </c>
      <c r="E287">
        <v>1894.93</v>
      </c>
      <c r="F287">
        <v>795.31383000000005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0.68056069973503552</v>
      </c>
      <c r="Q287">
        <f t="shared" si="965"/>
        <v>541.25933665375112</v>
      </c>
      <c r="R287">
        <f t="shared" si="966"/>
        <v>-15348.531248618294</v>
      </c>
      <c r="S287">
        <f t="shared" si="967"/>
        <v>-0.15348531248618294</v>
      </c>
      <c r="T287">
        <f t="shared" si="968"/>
        <v>-1.5348531248618295E-4</v>
      </c>
    </row>
    <row r="288" spans="1:20" x14ac:dyDescent="0.25">
      <c r="A288" s="5">
        <v>44305</v>
      </c>
      <c r="B288">
        <v>1869.75</v>
      </c>
      <c r="C288">
        <v>1992.49</v>
      </c>
      <c r="D288">
        <v>1700.99</v>
      </c>
      <c r="E288">
        <v>1855.65</v>
      </c>
      <c r="F288">
        <v>800.93529999999998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6.1132075471698674E-2</v>
      </c>
      <c r="Q288">
        <f t="shared" si="965"/>
        <v>48.962837207547615</v>
      </c>
      <c r="R288">
        <f t="shared" si="966"/>
        <v>-15889.790585272045</v>
      </c>
      <c r="S288">
        <f t="shared" si="967"/>
        <v>-0.15889790585272046</v>
      </c>
      <c r="T288">
        <f t="shared" si="968"/>
        <v>-1.5889790585272046E-4</v>
      </c>
    </row>
    <row r="289" spans="1:20" x14ac:dyDescent="0.25">
      <c r="A289" s="5">
        <v>44304</v>
      </c>
      <c r="B289">
        <v>2096.61</v>
      </c>
      <c r="C289">
        <v>2109.2399999999998</v>
      </c>
      <c r="D289">
        <v>1200.01</v>
      </c>
      <c r="E289">
        <v>1869.75</v>
      </c>
      <c r="F289">
        <v>1353.3186900000001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0.47320260000220005</v>
      </c>
      <c r="Q289">
        <f t="shared" si="965"/>
        <v>640.39392273957139</v>
      </c>
      <c r="R289">
        <f t="shared" si="966"/>
        <v>-15938.753422479593</v>
      </c>
      <c r="S289">
        <f t="shared" si="967"/>
        <v>-0.15938753422479593</v>
      </c>
      <c r="T289">
        <f t="shared" si="968"/>
        <v>-1.5938753422479592E-4</v>
      </c>
    </row>
    <row r="290" spans="1:20" x14ac:dyDescent="0.25">
      <c r="A290" s="5">
        <v>44303</v>
      </c>
      <c r="B290">
        <v>2188.09</v>
      </c>
      <c r="C290">
        <v>2333</v>
      </c>
      <c r="D290">
        <v>2082.04</v>
      </c>
      <c r="E290">
        <v>2096.9</v>
      </c>
      <c r="F290">
        <v>1210.44848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-0.88157475294867604</v>
      </c>
      <c r="Q290">
        <f t="shared" si="965"/>
        <v>-1067.1008197131005</v>
      </c>
      <c r="R290">
        <f t="shared" si="966"/>
        <v>-16579.147345219164</v>
      </c>
      <c r="S290">
        <f t="shared" si="967"/>
        <v>-0.16579147345219164</v>
      </c>
      <c r="T290">
        <f t="shared" si="968"/>
        <v>-1.6579147345219164E-4</v>
      </c>
    </row>
    <row r="291" spans="1:20" x14ac:dyDescent="0.25">
      <c r="A291" s="5">
        <v>44302</v>
      </c>
      <c r="B291">
        <v>2595</v>
      </c>
      <c r="C291">
        <v>2618</v>
      </c>
      <c r="D291">
        <v>2168.5</v>
      </c>
      <c r="E291">
        <v>2188.04</v>
      </c>
      <c r="F291">
        <v>1209.6596099999999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-0.91305895439377105</v>
      </c>
      <c r="Q291">
        <f t="shared" si="965"/>
        <v>-1104.4905386789769</v>
      </c>
      <c r="R291">
        <f t="shared" si="966"/>
        <v>-15512.046525506063</v>
      </c>
      <c r="S291">
        <f t="shared" si="967"/>
        <v>-0.15512046525506062</v>
      </c>
      <c r="T291">
        <f t="shared" si="968"/>
        <v>-1.5512046525506063E-4</v>
      </c>
    </row>
    <row r="292" spans="1:20" x14ac:dyDescent="0.25">
      <c r="A292" s="5">
        <v>44301</v>
      </c>
      <c r="B292">
        <v>2488.98</v>
      </c>
      <c r="C292">
        <v>2600</v>
      </c>
      <c r="D292">
        <v>2300</v>
      </c>
      <c r="E292">
        <v>2600</v>
      </c>
      <c r="F292">
        <v>1296.74153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1</v>
      </c>
      <c r="Q292">
        <f t="shared" si="965"/>
        <v>1296.74153</v>
      </c>
      <c r="R292">
        <f t="shared" si="966"/>
        <v>-14407.555986827087</v>
      </c>
      <c r="S292">
        <f t="shared" si="967"/>
        <v>-0.14407555986827086</v>
      </c>
      <c r="T292">
        <f t="shared" si="968"/>
        <v>-1.4407555986827088E-4</v>
      </c>
    </row>
    <row r="293" spans="1:20" x14ac:dyDescent="0.25">
      <c r="A293" s="5">
        <v>44300</v>
      </c>
      <c r="B293">
        <v>2249.9699999999998</v>
      </c>
      <c r="C293">
        <v>2500</v>
      </c>
      <c r="D293">
        <v>2214</v>
      </c>
      <c r="E293">
        <v>2488.6</v>
      </c>
      <c r="F293">
        <v>1952.58951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0.9202797202797196</v>
      </c>
      <c r="Q293">
        <f t="shared" si="965"/>
        <v>1796.9285280839147</v>
      </c>
      <c r="R293">
        <f t="shared" si="966"/>
        <v>-15704.297516827086</v>
      </c>
      <c r="S293">
        <f t="shared" si="967"/>
        <v>-0.15704297516827087</v>
      </c>
      <c r="T293">
        <f t="shared" si="968"/>
        <v>-1.5704297516827087E-4</v>
      </c>
    </row>
    <row r="294" spans="1:20" x14ac:dyDescent="0.25">
      <c r="A294" s="5">
        <v>44299</v>
      </c>
      <c r="B294">
        <v>2149.92</v>
      </c>
      <c r="C294">
        <v>2499</v>
      </c>
      <c r="D294">
        <v>1980</v>
      </c>
      <c r="E294">
        <v>2249.9699999999998</v>
      </c>
      <c r="F294">
        <v>2236.48018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4.0346820809247785E-2</v>
      </c>
      <c r="Q294">
        <f t="shared" si="965"/>
        <v>90.23486506589424</v>
      </c>
      <c r="R294">
        <f t="shared" si="966"/>
        <v>-17501.226044911</v>
      </c>
      <c r="S294">
        <f t="shared" si="967"/>
        <v>-0.17501226044911</v>
      </c>
      <c r="T294">
        <f t="shared" si="968"/>
        <v>-1.7501226044911E-4</v>
      </c>
    </row>
    <row r="295" spans="1:20" x14ac:dyDescent="0.25">
      <c r="A295" s="5">
        <v>44298</v>
      </c>
      <c r="B295">
        <v>1972.19</v>
      </c>
      <c r="C295">
        <v>2153.84</v>
      </c>
      <c r="D295">
        <v>1927</v>
      </c>
      <c r="E295">
        <v>2149.92</v>
      </c>
      <c r="F295">
        <v>1753.73604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0.96543819432198841</v>
      </c>
      <c r="Q295">
        <f t="shared" si="965"/>
        <v>1693.1237557749944</v>
      </c>
      <c r="R295">
        <f t="shared" si="966"/>
        <v>-17591.460909976893</v>
      </c>
      <c r="S295">
        <f t="shared" si="967"/>
        <v>-0.17591460909976894</v>
      </c>
      <c r="T295">
        <f t="shared" si="968"/>
        <v>-1.7591460909976894E-4</v>
      </c>
    </row>
    <row r="296" spans="1:20" x14ac:dyDescent="0.25">
      <c r="A296" s="5">
        <v>44297</v>
      </c>
      <c r="B296">
        <v>1960.08</v>
      </c>
      <c r="C296">
        <v>2000</v>
      </c>
      <c r="D296">
        <v>1855.78</v>
      </c>
      <c r="E296">
        <v>1971.82</v>
      </c>
      <c r="F296">
        <v>908.12576999999999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0.60920815420884677</v>
      </c>
      <c r="Q296">
        <f t="shared" si="965"/>
        <v>553.23762413118766</v>
      </c>
      <c r="R296">
        <f t="shared" si="966"/>
        <v>-19284.584665751889</v>
      </c>
      <c r="S296">
        <f t="shared" si="967"/>
        <v>-0.19284584665751889</v>
      </c>
      <c r="T296">
        <f t="shared" si="968"/>
        <v>-1.9284584665751889E-4</v>
      </c>
    </row>
    <row r="297" spans="1:20" x14ac:dyDescent="0.25">
      <c r="A297" s="5">
        <v>44296</v>
      </c>
      <c r="B297">
        <v>1975</v>
      </c>
      <c r="C297">
        <v>2090</v>
      </c>
      <c r="D297">
        <v>1928.99</v>
      </c>
      <c r="E297">
        <v>1962</v>
      </c>
      <c r="F297">
        <v>788.35311999999999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-0.58996335631327257</v>
      </c>
      <c r="Q297">
        <f t="shared" si="965"/>
        <v>-465.09945263524014</v>
      </c>
      <c r="R297">
        <f t="shared" si="966"/>
        <v>-19837.822289883075</v>
      </c>
      <c r="S297">
        <f t="shared" si="967"/>
        <v>-0.19837822289883075</v>
      </c>
      <c r="T297">
        <f t="shared" si="968"/>
        <v>-1.9837822289883074E-4</v>
      </c>
    </row>
    <row r="298" spans="1:20" x14ac:dyDescent="0.25">
      <c r="A298" s="5">
        <v>44295</v>
      </c>
      <c r="B298">
        <v>1994.71</v>
      </c>
      <c r="C298">
        <v>2009.2</v>
      </c>
      <c r="D298">
        <v>1898.84</v>
      </c>
      <c r="E298">
        <v>1975</v>
      </c>
      <c r="F298">
        <v>882.70617000000004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0.3802102210945994</v>
      </c>
      <c r="Q298">
        <f t="shared" si="965"/>
        <v>335.61390805726705</v>
      </c>
      <c r="R298">
        <f t="shared" si="966"/>
        <v>-19372.722837247835</v>
      </c>
      <c r="S298">
        <f t="shared" si="967"/>
        <v>-0.19372722837247836</v>
      </c>
      <c r="T298">
        <f t="shared" si="968"/>
        <v>-1.9372722837247836E-4</v>
      </c>
    </row>
    <row r="299" spans="1:20" x14ac:dyDescent="0.25">
      <c r="A299" s="5">
        <v>44294</v>
      </c>
      <c r="B299">
        <v>1869</v>
      </c>
      <c r="C299">
        <v>2018.1</v>
      </c>
      <c r="D299">
        <v>1851</v>
      </c>
      <c r="E299">
        <v>1994.68</v>
      </c>
      <c r="F299">
        <v>1023.1926099999999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0.71968880909635113</v>
      </c>
      <c r="Q299">
        <f t="shared" si="965"/>
        <v>736.3802709670872</v>
      </c>
      <c r="R299">
        <f t="shared" si="966"/>
        <v>-19708.336745305103</v>
      </c>
      <c r="S299">
        <f t="shared" si="967"/>
        <v>-0.19708336745305102</v>
      </c>
      <c r="T299">
        <f t="shared" si="968"/>
        <v>-1.9708336745305103E-4</v>
      </c>
    </row>
    <row r="300" spans="1:20" x14ac:dyDescent="0.25">
      <c r="A300" s="5">
        <v>44293</v>
      </c>
      <c r="B300">
        <v>1855.12</v>
      </c>
      <c r="C300">
        <v>1927.6</v>
      </c>
      <c r="D300">
        <v>1750</v>
      </c>
      <c r="E300">
        <v>1870</v>
      </c>
      <c r="F300">
        <v>751.17066999999997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0.35135135135135204</v>
      </c>
      <c r="Q300">
        <f t="shared" si="965"/>
        <v>263.9248300000005</v>
      </c>
      <c r="R300">
        <f t="shared" si="966"/>
        <v>-20444.717016272189</v>
      </c>
      <c r="S300">
        <f t="shared" si="967"/>
        <v>-0.20444717016272188</v>
      </c>
      <c r="T300">
        <f t="shared" si="968"/>
        <v>-2.0444717016272187E-4</v>
      </c>
    </row>
    <row r="301" spans="1:20" x14ac:dyDescent="0.25">
      <c r="A301" s="5">
        <v>44292</v>
      </c>
      <c r="B301">
        <v>1900.18</v>
      </c>
      <c r="C301">
        <v>1999.99</v>
      </c>
      <c r="D301">
        <v>1800</v>
      </c>
      <c r="E301">
        <v>1855.11</v>
      </c>
      <c r="F301">
        <v>965.67137000000002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-0.44887244362218215</v>
      </c>
      <c r="Q301">
        <f t="shared" si="965"/>
        <v>-433.46326758788041</v>
      </c>
      <c r="R301">
        <f t="shared" si="966"/>
        <v>-20708.641846272189</v>
      </c>
      <c r="S301">
        <f t="shared" si="967"/>
        <v>-0.20708641846272188</v>
      </c>
      <c r="T301">
        <f t="shared" si="968"/>
        <v>-2.0708641846272187E-4</v>
      </c>
    </row>
    <row r="302" spans="1:20" x14ac:dyDescent="0.25">
      <c r="A302" s="5">
        <v>44291</v>
      </c>
      <c r="B302">
        <v>1830.03</v>
      </c>
      <c r="C302">
        <v>2100</v>
      </c>
      <c r="D302">
        <v>1750.01</v>
      </c>
      <c r="E302">
        <v>1888.66</v>
      </c>
      <c r="F302">
        <v>1184.1287600000001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-0.20769164833280901</v>
      </c>
      <c r="Q302">
        <f t="shared" si="965"/>
        <v>-245.93365400268522</v>
      </c>
      <c r="R302">
        <f t="shared" si="966"/>
        <v>-20275.178578684307</v>
      </c>
      <c r="S302">
        <f t="shared" si="967"/>
        <v>-0.20275178578684305</v>
      </c>
      <c r="T302">
        <f t="shared" si="968"/>
        <v>-2.0275178578684305E-4</v>
      </c>
    </row>
    <row r="303" spans="1:20" x14ac:dyDescent="0.25">
      <c r="A303" s="5">
        <v>44290</v>
      </c>
      <c r="B303">
        <v>1795.12</v>
      </c>
      <c r="C303">
        <v>1977.98</v>
      </c>
      <c r="D303">
        <v>1781.04</v>
      </c>
      <c r="E303">
        <v>1830.4</v>
      </c>
      <c r="F303">
        <v>842.08262000000002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-0.49873057784096564</v>
      </c>
      <c r="Q303">
        <f t="shared" si="965"/>
        <v>-419.97235166243428</v>
      </c>
      <c r="R303">
        <f t="shared" si="966"/>
        <v>-20029.244924681621</v>
      </c>
      <c r="S303">
        <f t="shared" si="967"/>
        <v>-0.20029244924681622</v>
      </c>
      <c r="T303">
        <f t="shared" si="968"/>
        <v>-2.0029244924681621E-4</v>
      </c>
    </row>
    <row r="304" spans="1:20" x14ac:dyDescent="0.25">
      <c r="A304" s="5">
        <v>44289</v>
      </c>
      <c r="B304">
        <v>1934.11</v>
      </c>
      <c r="C304">
        <v>2071.36</v>
      </c>
      <c r="D304">
        <v>1715.21</v>
      </c>
      <c r="E304">
        <v>1786.06</v>
      </c>
      <c r="F304">
        <v>994.46103000000005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-0.60213393233188328</v>
      </c>
      <c r="Q304">
        <f t="shared" si="965"/>
        <v>-598.798730544715</v>
      </c>
      <c r="R304">
        <f t="shared" si="966"/>
        <v>-19609.272573019189</v>
      </c>
      <c r="S304">
        <f t="shared" si="967"/>
        <v>-0.19609272573019187</v>
      </c>
      <c r="T304">
        <f t="shared" si="968"/>
        <v>-1.9609272573019188E-4</v>
      </c>
    </row>
    <row r="305" spans="1:20" x14ac:dyDescent="0.25">
      <c r="A305" s="5">
        <v>44288</v>
      </c>
      <c r="B305">
        <v>2103.91</v>
      </c>
      <c r="C305">
        <v>2195</v>
      </c>
      <c r="D305">
        <v>1873.87</v>
      </c>
      <c r="E305">
        <v>1934.11</v>
      </c>
      <c r="F305">
        <v>1295.64285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-0.62482483729330807</v>
      </c>
      <c r="Q305">
        <f t="shared" si="965"/>
        <v>-809.54983294148792</v>
      </c>
      <c r="R305">
        <f t="shared" si="966"/>
        <v>-19010.473842474472</v>
      </c>
      <c r="S305">
        <f t="shared" si="967"/>
        <v>-0.19010473842474471</v>
      </c>
      <c r="T305">
        <f t="shared" si="968"/>
        <v>-1.9010473842474471E-4</v>
      </c>
    </row>
    <row r="306" spans="1:20" x14ac:dyDescent="0.25">
      <c r="A306" s="5">
        <v>44287</v>
      </c>
      <c r="B306">
        <v>2074.56</v>
      </c>
      <c r="C306">
        <v>2165</v>
      </c>
      <c r="D306">
        <v>2009.8</v>
      </c>
      <c r="E306">
        <v>2103.9499999999998</v>
      </c>
      <c r="F306">
        <v>928.33016999999995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0.21327319587628654</v>
      </c>
      <c r="Q306">
        <f t="shared" si="965"/>
        <v>197.98794218427636</v>
      </c>
      <c r="R306">
        <f t="shared" si="966"/>
        <v>-18200.924009532984</v>
      </c>
      <c r="S306">
        <f t="shared" si="967"/>
        <v>-0.18200924009532984</v>
      </c>
      <c r="T306">
        <f t="shared" si="968"/>
        <v>-1.8200924009532983E-4</v>
      </c>
    </row>
    <row r="307" spans="1:20" x14ac:dyDescent="0.25">
      <c r="A307" s="5">
        <v>44286</v>
      </c>
      <c r="B307">
        <v>2235.77</v>
      </c>
      <c r="C307">
        <v>2274.94</v>
      </c>
      <c r="D307">
        <v>1989.04</v>
      </c>
      <c r="E307">
        <v>2063.94</v>
      </c>
      <c r="F307">
        <v>1488.47658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-0.47604057362714186</v>
      </c>
      <c r="Q307">
        <f t="shared" si="965"/>
        <v>-708.5752449737663</v>
      </c>
      <c r="R307">
        <f t="shared" si="966"/>
        <v>-18398.911951717262</v>
      </c>
      <c r="S307">
        <f t="shared" si="967"/>
        <v>-0.18398911951717262</v>
      </c>
      <c r="T307">
        <f t="shared" si="968"/>
        <v>-1.8398911951717262E-4</v>
      </c>
    </row>
    <row r="308" spans="1:20" x14ac:dyDescent="0.25">
      <c r="A308" s="5">
        <v>44285</v>
      </c>
      <c r="B308">
        <v>2224.5</v>
      </c>
      <c r="C308">
        <v>2330</v>
      </c>
      <c r="D308">
        <v>2140</v>
      </c>
      <c r="E308">
        <v>2239.35</v>
      </c>
      <c r="F308">
        <v>1053.34184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4.5789473684209568E-2</v>
      </c>
      <c r="Q308">
        <f t="shared" si="965"/>
        <v>48.231968463156889</v>
      </c>
      <c r="R308">
        <f t="shared" si="966"/>
        <v>-17690.336706743496</v>
      </c>
      <c r="S308">
        <f t="shared" si="967"/>
        <v>-0.17690336706743495</v>
      </c>
      <c r="T308">
        <f t="shared" si="968"/>
        <v>-1.7690336706743494E-4</v>
      </c>
    </row>
    <row r="309" spans="1:20" x14ac:dyDescent="0.25">
      <c r="A309" s="5">
        <v>44284</v>
      </c>
      <c r="B309">
        <v>2319</v>
      </c>
      <c r="C309">
        <v>2327.94</v>
      </c>
      <c r="D309">
        <v>2164.65</v>
      </c>
      <c r="E309">
        <v>2225</v>
      </c>
      <c r="F309">
        <v>1011.73772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-0.26082430032457687</v>
      </c>
      <c r="Q309">
        <f t="shared" si="965"/>
        <v>-263.88578293098266</v>
      </c>
      <c r="R309">
        <f t="shared" si="966"/>
        <v>-17738.568675206654</v>
      </c>
      <c r="S309">
        <f t="shared" si="967"/>
        <v>-0.17738568675206653</v>
      </c>
      <c r="T309">
        <f t="shared" si="968"/>
        <v>-1.7738568675206655E-4</v>
      </c>
    </row>
    <row r="310" spans="1:20" x14ac:dyDescent="0.25">
      <c r="A310" s="5">
        <v>44283</v>
      </c>
      <c r="B310">
        <v>2261.84</v>
      </c>
      <c r="C310">
        <v>2450</v>
      </c>
      <c r="D310">
        <v>2186.29</v>
      </c>
      <c r="E310">
        <v>2319</v>
      </c>
      <c r="F310">
        <v>1880.43146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6.4843957377423538E-3</v>
      </c>
      <c r="Q310">
        <f t="shared" si="965"/>
        <v>12.193461744340631</v>
      </c>
      <c r="R310">
        <f t="shared" si="966"/>
        <v>-17474.682892275672</v>
      </c>
      <c r="S310">
        <f t="shared" si="967"/>
        <v>-0.17474682892275673</v>
      </c>
      <c r="T310">
        <f t="shared" si="968"/>
        <v>-1.7474682892275673E-4</v>
      </c>
    </row>
    <row r="311" spans="1:20" x14ac:dyDescent="0.25">
      <c r="A311" s="5">
        <v>44282</v>
      </c>
      <c r="B311">
        <v>1942.41</v>
      </c>
      <c r="C311">
        <v>2300.4899999999998</v>
      </c>
      <c r="D311">
        <v>1908.81</v>
      </c>
      <c r="E311">
        <v>2261.85</v>
      </c>
      <c r="F311">
        <v>1872.3966800000001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0.80269607843137314</v>
      </c>
      <c r="Q311">
        <f t="shared" si="965"/>
        <v>1502.9654723039228</v>
      </c>
      <c r="R311">
        <f t="shared" si="966"/>
        <v>-17486.876354020013</v>
      </c>
      <c r="S311">
        <f t="shared" si="967"/>
        <v>-0.17486876354020012</v>
      </c>
      <c r="T311">
        <f t="shared" si="968"/>
        <v>-1.7486876354020012E-4</v>
      </c>
    </row>
    <row r="312" spans="1:20" x14ac:dyDescent="0.25">
      <c r="A312" s="5">
        <v>44281</v>
      </c>
      <c r="B312">
        <v>1870.01</v>
      </c>
      <c r="C312">
        <v>2099</v>
      </c>
      <c r="D312">
        <v>1870</v>
      </c>
      <c r="E312">
        <v>1942.42</v>
      </c>
      <c r="F312">
        <v>1565.8098399999999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-0.36751091703056704</v>
      </c>
      <c r="Q312">
        <f t="shared" si="965"/>
        <v>-575.45221019388543</v>
      </c>
      <c r="R312">
        <f t="shared" si="966"/>
        <v>-18989.841826323936</v>
      </c>
      <c r="S312">
        <f t="shared" si="967"/>
        <v>-0.18989841826323936</v>
      </c>
      <c r="T312">
        <f t="shared" si="968"/>
        <v>-1.8989841826323937E-4</v>
      </c>
    </row>
    <row r="313" spans="1:20" x14ac:dyDescent="0.25">
      <c r="A313" s="5">
        <v>44280</v>
      </c>
      <c r="B313">
        <v>1663.03</v>
      </c>
      <c r="C313">
        <v>1985</v>
      </c>
      <c r="D313">
        <v>1571.43</v>
      </c>
      <c r="E313">
        <v>1868.01</v>
      </c>
      <c r="F313">
        <v>3083.4253199999998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0.43424329617718871</v>
      </c>
      <c r="Q313">
        <f t="shared" si="965"/>
        <v>1338.9567744730027</v>
      </c>
      <c r="R313">
        <f t="shared" si="966"/>
        <v>-18414.389616130051</v>
      </c>
      <c r="S313">
        <f t="shared" si="967"/>
        <v>-0.1841438961613005</v>
      </c>
      <c r="T313">
        <f t="shared" si="968"/>
        <v>-1.841438961613005E-4</v>
      </c>
    </row>
    <row r="314" spans="1:20" x14ac:dyDescent="0.25">
      <c r="A314" s="5">
        <v>44279</v>
      </c>
      <c r="B314">
        <v>1746.54</v>
      </c>
      <c r="C314">
        <v>1925</v>
      </c>
      <c r="D314">
        <v>1599.99</v>
      </c>
      <c r="E314">
        <v>1663.02</v>
      </c>
      <c r="F314">
        <v>1432.0594900000001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-0.6121350112304238</v>
      </c>
      <c r="Q314">
        <f t="shared" si="965"/>
        <v>-876.61375199378506</v>
      </c>
      <c r="R314">
        <f t="shared" si="966"/>
        <v>-19753.346390603052</v>
      </c>
      <c r="S314">
        <f t="shared" si="967"/>
        <v>-0.19753346390603052</v>
      </c>
      <c r="T314">
        <f t="shared" si="968"/>
        <v>-1.9753346390603051E-4</v>
      </c>
    </row>
    <row r="315" spans="1:20" x14ac:dyDescent="0.25">
      <c r="A315" s="5">
        <v>44278</v>
      </c>
      <c r="B315">
        <v>1850.46</v>
      </c>
      <c r="C315">
        <v>1875</v>
      </c>
      <c r="D315">
        <v>1663.14</v>
      </c>
      <c r="E315">
        <v>1768.27</v>
      </c>
      <c r="F315">
        <v>1568.2881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-7.5521570848680131E-3</v>
      </c>
      <c r="Q315">
        <f t="shared" si="965"/>
        <v>-11.843958085529195</v>
      </c>
      <c r="R315">
        <f t="shared" si="966"/>
        <v>-18876.732638609268</v>
      </c>
      <c r="S315">
        <f t="shared" si="967"/>
        <v>-0.18876732638609267</v>
      </c>
      <c r="T315">
        <f t="shared" si="968"/>
        <v>-1.8876732638609266E-4</v>
      </c>
    </row>
    <row r="316" spans="1:20" x14ac:dyDescent="0.25">
      <c r="A316" s="5">
        <v>44277</v>
      </c>
      <c r="B316">
        <v>2140.09</v>
      </c>
      <c r="C316">
        <v>2170</v>
      </c>
      <c r="D316">
        <v>1802.01</v>
      </c>
      <c r="E316">
        <v>1847.47</v>
      </c>
      <c r="F316">
        <v>2088.8977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-0.75292806869751872</v>
      </c>
      <c r="Q316">
        <f t="shared" si="965"/>
        <v>-1572.7897109676887</v>
      </c>
      <c r="R316">
        <f t="shared" si="966"/>
        <v>-18864.888680523738</v>
      </c>
      <c r="S316">
        <f t="shared" si="967"/>
        <v>-0.18864888680523739</v>
      </c>
      <c r="T316">
        <f t="shared" si="968"/>
        <v>-1.886488868052374E-4</v>
      </c>
    </row>
    <row r="317" spans="1:20" x14ac:dyDescent="0.25">
      <c r="A317" s="5">
        <v>44276</v>
      </c>
      <c r="B317">
        <v>2056.02</v>
      </c>
      <c r="C317">
        <v>2177.9899999999998</v>
      </c>
      <c r="D317">
        <v>1900</v>
      </c>
      <c r="E317">
        <v>2156.4</v>
      </c>
      <c r="F317">
        <v>1370.3146999999999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0.84467067160689446</v>
      </c>
      <c r="Q317">
        <f t="shared" si="965"/>
        <v>1157.4646379618</v>
      </c>
      <c r="R317">
        <f t="shared" si="966"/>
        <v>-17292.098969556049</v>
      </c>
      <c r="S317">
        <f t="shared" si="967"/>
        <v>-0.1729209896955605</v>
      </c>
      <c r="T317">
        <f t="shared" si="968"/>
        <v>-1.7292098969556049E-4</v>
      </c>
    </row>
    <row r="318" spans="1:20" x14ac:dyDescent="0.25">
      <c r="A318" s="5">
        <v>44275</v>
      </c>
      <c r="B318">
        <v>2030.01</v>
      </c>
      <c r="C318">
        <v>2345.5100000000002</v>
      </c>
      <c r="D318">
        <v>1997.58</v>
      </c>
      <c r="E318">
        <v>2056.02</v>
      </c>
      <c r="F318">
        <v>2330.0450999999998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-0.66407035898025457</v>
      </c>
      <c r="Q318">
        <f t="shared" si="965"/>
        <v>-1547.313885997183</v>
      </c>
      <c r="R318">
        <f t="shared" si="966"/>
        <v>-18449.563607517848</v>
      </c>
      <c r="S318">
        <f t="shared" si="967"/>
        <v>-0.18449563607517849</v>
      </c>
      <c r="T318">
        <f t="shared" si="968"/>
        <v>-1.8449563607517849E-4</v>
      </c>
    </row>
    <row r="319" spans="1:20" x14ac:dyDescent="0.25">
      <c r="A319" s="5">
        <v>44274</v>
      </c>
      <c r="B319">
        <v>2416.2399999999998</v>
      </c>
      <c r="C319">
        <v>2430.61</v>
      </c>
      <c r="D319">
        <v>1826.29</v>
      </c>
      <c r="E319">
        <v>2030.61</v>
      </c>
      <c r="F319">
        <v>3688.32564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-0.32380195922690003</v>
      </c>
      <c r="Q319">
        <f t="shared" si="965"/>
        <v>-1194.28706849881</v>
      </c>
      <c r="R319">
        <f t="shared" si="966"/>
        <v>-16902.249721520664</v>
      </c>
      <c r="S319">
        <f t="shared" si="967"/>
        <v>-0.16902249721520665</v>
      </c>
      <c r="T319">
        <f t="shared" si="968"/>
        <v>-1.6902249721520665E-4</v>
      </c>
    </row>
    <row r="320" spans="1:20" x14ac:dyDescent="0.25">
      <c r="A320" s="5">
        <v>44273</v>
      </c>
      <c r="B320">
        <v>2688.44</v>
      </c>
      <c r="C320">
        <v>2724.99</v>
      </c>
      <c r="D320">
        <v>2244.89</v>
      </c>
      <c r="E320">
        <v>2430.6</v>
      </c>
      <c r="F320">
        <v>4643.3883800000003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-0.22636950635284286</v>
      </c>
      <c r="Q320">
        <f t="shared" si="965"/>
        <v>-1051.1215353851269</v>
      </c>
      <c r="R320">
        <f t="shared" si="966"/>
        <v>-15707.962653021854</v>
      </c>
      <c r="S320">
        <f t="shared" si="967"/>
        <v>-0.15707962653021854</v>
      </c>
      <c r="T320">
        <f t="shared" si="968"/>
        <v>-1.5707962653021854E-4</v>
      </c>
    </row>
    <row r="321" spans="1:20" x14ac:dyDescent="0.25">
      <c r="A321" s="5">
        <v>44272</v>
      </c>
      <c r="B321">
        <v>3050</v>
      </c>
      <c r="C321">
        <v>3267.01</v>
      </c>
      <c r="D321">
        <v>2510</v>
      </c>
      <c r="E321">
        <v>2687.14</v>
      </c>
      <c r="F321">
        <v>8540.1654299999991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-0.53200089827082908</v>
      </c>
      <c r="Q321">
        <f t="shared" si="965"/>
        <v>-4543.3756801414811</v>
      </c>
      <c r="R321">
        <f t="shared" si="966"/>
        <v>-14656.841117636726</v>
      </c>
      <c r="S321">
        <f t="shared" si="967"/>
        <v>-0.14656841117636726</v>
      </c>
      <c r="T321">
        <f t="shared" si="968"/>
        <v>-1.4656841117636726E-4</v>
      </c>
    </row>
    <row r="322" spans="1:20" x14ac:dyDescent="0.25">
      <c r="A322" s="5">
        <v>44271</v>
      </c>
      <c r="B322">
        <v>1272</v>
      </c>
      <c r="C322">
        <v>6450</v>
      </c>
      <c r="D322">
        <v>1272</v>
      </c>
      <c r="E322">
        <v>3054.36</v>
      </c>
      <c r="F322">
        <v>32460.282179999998</v>
      </c>
      <c r="G322">
        <v>0</v>
      </c>
      <c r="P322">
        <f t="shared" si="964"/>
        <v>-0.31156431054461176</v>
      </c>
      <c r="Q322">
        <f t="shared" si="965"/>
        <v>-10113.465437495246</v>
      </c>
      <c r="R322">
        <f t="shared" si="966"/>
        <v>-10113.465437495246</v>
      </c>
      <c r="S322">
        <f t="shared" si="967"/>
        <v>-0.10113465437495246</v>
      </c>
      <c r="T322">
        <f t="shared" si="968"/>
        <v>-1.0113465437495246E-4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I208" sqref="FI20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$A$207</v>
      </c>
      <c r="D111" s="1" t="str">
        <f>ADDRESS(C121-1,D121,1,1)</f>
        <v>$FI$207</v>
      </c>
      <c r="E111"/>
    </row>
    <row r="112" spans="1:5" x14ac:dyDescent="0.25">
      <c r="A112" s="7">
        <v>12164.144957890772</v>
      </c>
      <c r="C112" s="1" t="str">
        <f>ADDRESS(C121,1,1,1)</f>
        <v>$A$208</v>
      </c>
      <c r="D112" s="1" t="str">
        <f>ADDRESS(C121,D121-1,1,1)</f>
        <v>$FH$208</v>
      </c>
      <c r="E112"/>
    </row>
    <row r="113" spans="1:5" x14ac:dyDescent="0.25">
      <c r="A113" s="7">
        <v>11925.63231165762</v>
      </c>
      <c r="C113" s="1" t="str">
        <f>ADDRESS(C121+1,1,1,1)</f>
        <v>$A$209</v>
      </c>
      <c r="D113" s="1" t="str">
        <f>ADDRESS(C121-1,D121+1,1,1)</f>
        <v>$FJ$207</v>
      </c>
    </row>
    <row r="114" spans="1:5" x14ac:dyDescent="0.25">
      <c r="A114" s="7">
        <v>11691.796383978059</v>
      </c>
      <c r="C114" s="1" t="str">
        <f>ADDRESS(C121,D121,1,1)</f>
        <v>$FI$208</v>
      </c>
      <c r="D114" s="1" t="str">
        <f>ADDRESS(C121+1,D121+1,1,1)</f>
        <v>$FJ$209</v>
      </c>
    </row>
    <row r="115" spans="1:5" x14ac:dyDescent="0.25">
      <c r="A115" s="7">
        <v>11462.545474488292</v>
      </c>
      <c r="C115" s="1" t="str">
        <f>ADDRESS(C121+1,D121,1,1)</f>
        <v>$FI$209</v>
      </c>
    </row>
    <row r="116" spans="1:5" x14ac:dyDescent="0.25">
      <c r="A116" s="7">
        <v>11237.789680870874</v>
      </c>
      <c r="C116" s="1">
        <f>C117-1</f>
        <v>207</v>
      </c>
    </row>
    <row r="117" spans="1:5" x14ac:dyDescent="0.25">
      <c r="A117" s="7">
        <v>11017.440863598895</v>
      </c>
      <c r="C117" s="1">
        <f>C121</f>
        <v>208</v>
      </c>
      <c r="D117" s="1">
        <f>D121</f>
        <v>165</v>
      </c>
    </row>
    <row r="118" spans="1:5" x14ac:dyDescent="0.25">
      <c r="A118" s="7">
        <v>10801.412611371465</v>
      </c>
      <c r="C118" s="1">
        <f>C117+1</f>
        <v>209</v>
      </c>
      <c r="D118" s="1">
        <f>D117+1</f>
        <v>166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208</v>
      </c>
      <c r="D121" s="19">
        <v>165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R208</v>
      </c>
      <c r="D123" s="1" t="str">
        <f>"C"&amp;D121</f>
        <v>C165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1817.4609893159429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22" x14ac:dyDescent="0.25">
      <c r="A177" s="7">
        <v>3357.9205969864443</v>
      </c>
      <c r="B177"/>
      <c r="C177"/>
      <c r="D177"/>
      <c r="E177"/>
    </row>
    <row r="178" spans="1:22" x14ac:dyDescent="0.25">
      <c r="A178" s="7">
        <v>3292.0790166533766</v>
      </c>
      <c r="B178"/>
      <c r="C178"/>
      <c r="D178"/>
      <c r="E178"/>
    </row>
    <row r="179" spans="1:22" x14ac:dyDescent="0.25">
      <c r="A179" s="7">
        <v>3227.5284476993888</v>
      </c>
      <c r="B179"/>
      <c r="C179"/>
      <c r="D179"/>
      <c r="E179" t="s">
        <v>8</v>
      </c>
    </row>
    <row r="180" spans="1:22" x14ac:dyDescent="0.25">
      <c r="A180" s="7">
        <v>3164.2435761758716</v>
      </c>
      <c r="B180"/>
      <c r="C180"/>
      <c r="D180"/>
      <c r="E180" t="s">
        <v>8</v>
      </c>
      <c r="F180" s="27" t="s">
        <v>7</v>
      </c>
    </row>
    <row r="181" spans="1:22" x14ac:dyDescent="0.25">
      <c r="A181" s="7">
        <v>3102.1995844861485</v>
      </c>
      <c r="B181"/>
      <c r="C181"/>
      <c r="D181"/>
      <c r="E181" t="s">
        <v>8</v>
      </c>
      <c r="F181" s="27" t="s">
        <v>7</v>
      </c>
    </row>
    <row r="182" spans="1:22" x14ac:dyDescent="0.25">
      <c r="A182" s="7">
        <v>3041.3721416530866</v>
      </c>
      <c r="B182"/>
      <c r="C182"/>
      <c r="D182"/>
      <c r="E182" t="s">
        <v>8</v>
      </c>
      <c r="F182" s="27" t="s">
        <v>7</v>
      </c>
    </row>
    <row r="183" spans="1:22" x14ac:dyDescent="0.25">
      <c r="A183" s="7">
        <v>2981.737393777536</v>
      </c>
      <c r="B183"/>
      <c r="C183"/>
      <c r="D183"/>
      <c r="E183" t="s">
        <v>8</v>
      </c>
      <c r="F183" s="27" t="s">
        <v>7</v>
      </c>
    </row>
    <row r="184" spans="1:22" x14ac:dyDescent="0.25">
      <c r="A184" s="7">
        <v>2923.2719546838589</v>
      </c>
      <c r="B184"/>
      <c r="C184"/>
      <c r="D184"/>
      <c r="E184" t="s">
        <v>8</v>
      </c>
      <c r="F184" s="27" t="s">
        <v>7</v>
      </c>
    </row>
    <row r="185" spans="1:22" x14ac:dyDescent="0.25">
      <c r="A185" s="7">
        <v>2865.9528967488814</v>
      </c>
      <c r="B185"/>
      <c r="C185"/>
      <c r="D185"/>
      <c r="E185" t="s">
        <v>8</v>
      </c>
      <c r="F185" s="27" t="s">
        <v>7</v>
      </c>
    </row>
    <row r="186" spans="1:22" x14ac:dyDescent="0.25">
      <c r="A186" s="7">
        <v>2809.7577419106678</v>
      </c>
      <c r="B186"/>
      <c r="C186"/>
      <c r="D186"/>
      <c r="E186" t="s">
        <v>8</v>
      </c>
      <c r="F186" s="27" t="s">
        <v>7</v>
      </c>
    </row>
    <row r="187" spans="1:22" x14ac:dyDescent="0.25">
      <c r="A187" s="7">
        <v>2754.6644528535958</v>
      </c>
      <c r="B187"/>
      <c r="C187"/>
      <c r="D187"/>
      <c r="E187" t="s">
        <v>8</v>
      </c>
      <c r="F187" s="27" t="s">
        <v>7</v>
      </c>
    </row>
    <row r="188" spans="1:22" x14ac:dyDescent="0.25">
      <c r="A188" s="7">
        <v>2700.6514243662705</v>
      </c>
      <c r="B188"/>
      <c r="C188"/>
      <c r="D188"/>
      <c r="E188" t="s">
        <v>8</v>
      </c>
      <c r="F188" s="27" t="s">
        <v>7</v>
      </c>
    </row>
    <row r="189" spans="1:22" x14ac:dyDescent="0.25">
      <c r="A189" s="7">
        <v>2647.6974748688926</v>
      </c>
      <c r="B189"/>
      <c r="C189"/>
      <c r="D189"/>
      <c r="E189" t="s">
        <v>8</v>
      </c>
      <c r="F189" s="27" t="s">
        <v>7</v>
      </c>
    </row>
    <row r="190" spans="1:22" x14ac:dyDescent="0.25">
      <c r="A190" s="7">
        <v>2595.7818381067573</v>
      </c>
      <c r="B190"/>
      <c r="C190"/>
      <c r="D190"/>
      <c r="E190" t="s">
        <v>8</v>
      </c>
      <c r="F190" s="27" t="s">
        <v>7</v>
      </c>
      <c r="U190" s="27" t="s">
        <v>8</v>
      </c>
    </row>
    <row r="191" spans="1:22" x14ac:dyDescent="0.25">
      <c r="A191" s="7">
        <v>2544.884155006625</v>
      </c>
      <c r="B191"/>
      <c r="C191"/>
      <c r="D191"/>
      <c r="E191" t="s">
        <v>8</v>
      </c>
      <c r="F191" s="27" t="s">
        <v>7</v>
      </c>
      <c r="U191" s="27" t="s">
        <v>8</v>
      </c>
      <c r="V191" s="27" t="s">
        <v>7</v>
      </c>
    </row>
    <row r="192" spans="1:22" x14ac:dyDescent="0.25">
      <c r="A192" s="7">
        <v>2494.9844656927694</v>
      </c>
      <c r="B192"/>
      <c r="C192"/>
      <c r="D192"/>
      <c r="E192" t="s">
        <v>8</v>
      </c>
      <c r="F192" s="27" t="s">
        <v>7</v>
      </c>
      <c r="S192" s="27" t="s">
        <v>8</v>
      </c>
      <c r="U192" s="27" t="s">
        <v>8</v>
      </c>
      <c r="V192" s="27" t="s">
        <v>7</v>
      </c>
    </row>
    <row r="193" spans="1:165" x14ac:dyDescent="0.25">
      <c r="A193" s="7">
        <v>2446.0632016595778</v>
      </c>
      <c r="B193"/>
      <c r="C193"/>
      <c r="D193"/>
      <c r="E193" t="s">
        <v>8</v>
      </c>
      <c r="F193" s="27" t="s">
        <v>7</v>
      </c>
      <c r="I193" s="27" t="s">
        <v>8</v>
      </c>
      <c r="S193" s="27" t="s">
        <v>8</v>
      </c>
      <c r="T193" s="27" t="s">
        <v>7</v>
      </c>
      <c r="U193" s="27" t="s">
        <v>8</v>
      </c>
      <c r="V193" s="27" t="s">
        <v>7</v>
      </c>
    </row>
    <row r="194" spans="1:165" x14ac:dyDescent="0.25">
      <c r="A194" s="7">
        <v>2398.1011780976251</v>
      </c>
      <c r="B194"/>
      <c r="C194"/>
      <c r="D194"/>
      <c r="E194" t="s">
        <v>8</v>
      </c>
      <c r="F194" s="27" t="s">
        <v>7</v>
      </c>
      <c r="I194" s="27" t="s">
        <v>8</v>
      </c>
      <c r="J194" s="27" t="s">
        <v>7</v>
      </c>
      <c r="S194" s="27" t="s">
        <v>8</v>
      </c>
      <c r="T194" s="27" t="s">
        <v>7</v>
      </c>
      <c r="U194" s="27" t="s">
        <v>8</v>
      </c>
      <c r="V194" s="27" t="s">
        <v>7</v>
      </c>
    </row>
    <row r="195" spans="1:165" x14ac:dyDescent="0.25">
      <c r="A195" s="7">
        <v>2351.0795863702206</v>
      </c>
      <c r="B195"/>
      <c r="C195"/>
      <c r="D195"/>
      <c r="E195" t="s">
        <v>8</v>
      </c>
      <c r="F195" s="27" t="s">
        <v>7</v>
      </c>
      <c r="I195" s="27" t="s">
        <v>8</v>
      </c>
      <c r="J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</row>
    <row r="196" spans="1:165" x14ac:dyDescent="0.25">
      <c r="A196" s="7">
        <v>2304.979986637471</v>
      </c>
      <c r="B196"/>
      <c r="C196"/>
      <c r="D196"/>
      <c r="E196" t="s">
        <v>8</v>
      </c>
      <c r="F196" s="27" t="s">
        <v>7</v>
      </c>
      <c r="G196" s="27" t="s">
        <v>8</v>
      </c>
      <c r="I196" s="27" t="s">
        <v>8</v>
      </c>
      <c r="J196" s="27" t="s">
        <v>7</v>
      </c>
      <c r="K196" s="27" t="s">
        <v>8</v>
      </c>
      <c r="S196" s="27" t="s">
        <v>8</v>
      </c>
      <c r="T196" s="27" t="s">
        <v>7</v>
      </c>
      <c r="U196" s="27" t="s">
        <v>8</v>
      </c>
      <c r="V196" s="27" t="s">
        <v>7</v>
      </c>
    </row>
    <row r="197" spans="1:165" x14ac:dyDescent="0.25">
      <c r="A197" s="7">
        <v>2259.7843006249714</v>
      </c>
      <c r="B197"/>
      <c r="C197"/>
      <c r="D197"/>
      <c r="E197" t="s">
        <v>8</v>
      </c>
      <c r="F197" s="27" t="s">
        <v>7</v>
      </c>
      <c r="G197" s="27" t="s">
        <v>8</v>
      </c>
      <c r="H197" s="27" t="s">
        <v>7</v>
      </c>
      <c r="I197" s="27" t="s">
        <v>8</v>
      </c>
      <c r="J197" s="27" t="s">
        <v>7</v>
      </c>
      <c r="K197" s="27" t="s">
        <v>8</v>
      </c>
      <c r="L197" s="27" t="s">
        <v>7</v>
      </c>
      <c r="S197" s="27" t="s">
        <v>8</v>
      </c>
      <c r="T197" s="27" t="s">
        <v>7</v>
      </c>
      <c r="U197" s="27" t="s">
        <v>8</v>
      </c>
      <c r="V197" s="27" t="s">
        <v>7</v>
      </c>
    </row>
    <row r="198" spans="1:165" x14ac:dyDescent="0.25">
      <c r="A198" s="7">
        <v>2215.4748045342858</v>
      </c>
      <c r="B198"/>
      <c r="C198"/>
      <c r="D198"/>
      <c r="E198" t="s">
        <v>8</v>
      </c>
      <c r="F198" s="27" t="s">
        <v>7</v>
      </c>
      <c r="G198" s="27" t="s">
        <v>8</v>
      </c>
      <c r="H198" s="27" t="s">
        <v>7</v>
      </c>
      <c r="I198" s="27" t="s">
        <v>8</v>
      </c>
      <c r="J198" s="27" t="s">
        <v>7</v>
      </c>
      <c r="K198" s="27" t="s">
        <v>8</v>
      </c>
      <c r="L198" s="27" t="s">
        <v>7</v>
      </c>
      <c r="S198" s="27" t="s">
        <v>8</v>
      </c>
      <c r="T198" s="27" t="s">
        <v>7</v>
      </c>
      <c r="V198" s="27" t="s">
        <v>7</v>
      </c>
    </row>
    <row r="199" spans="1:165" x14ac:dyDescent="0.25">
      <c r="A199" s="7">
        <v>2172.034122092437</v>
      </c>
      <c r="B199"/>
      <c r="C199"/>
      <c r="D199"/>
      <c r="E199" t="s">
        <v>8</v>
      </c>
      <c r="F199" s="27" t="s">
        <v>7</v>
      </c>
      <c r="G199" s="27" t="s">
        <v>8</v>
      </c>
      <c r="H199" s="27" t="s">
        <v>7</v>
      </c>
      <c r="I199" s="27" t="s">
        <v>8</v>
      </c>
      <c r="J199" s="27" t="s">
        <v>7</v>
      </c>
      <c r="L199" s="27" t="s">
        <v>7</v>
      </c>
      <c r="M199" s="27" t="s">
        <v>8</v>
      </c>
      <c r="S199" s="27" t="s">
        <v>8</v>
      </c>
      <c r="V199" s="27" t="s">
        <v>7</v>
      </c>
    </row>
    <row r="200" spans="1:165" x14ac:dyDescent="0.25">
      <c r="A200" s="7">
        <v>2129.4452177376834</v>
      </c>
      <c r="B200"/>
      <c r="C200"/>
      <c r="D200"/>
      <c r="E200" t="s">
        <v>8</v>
      </c>
      <c r="F200" s="27" t="s">
        <v>7</v>
      </c>
      <c r="G200" s="27" t="s">
        <v>8</v>
      </c>
      <c r="H200" s="27" t="s">
        <v>7</v>
      </c>
      <c r="I200" s="27" t="s">
        <v>8</v>
      </c>
      <c r="L200" s="27" t="s">
        <v>7</v>
      </c>
      <c r="M200" s="27" t="s">
        <v>8</v>
      </c>
      <c r="N200" s="27" t="s">
        <v>7</v>
      </c>
      <c r="S200" s="27" t="s">
        <v>8</v>
      </c>
      <c r="V200" s="27" t="s">
        <v>7</v>
      </c>
    </row>
    <row r="201" spans="1:165" x14ac:dyDescent="0.25">
      <c r="A201" s="7">
        <v>2087.6913899389051</v>
      </c>
      <c r="B201"/>
      <c r="C201"/>
      <c r="D201"/>
      <c r="E201" t="s">
        <v>8</v>
      </c>
      <c r="F201" s="27" t="s">
        <v>7</v>
      </c>
      <c r="G201" s="27" t="s">
        <v>8</v>
      </c>
      <c r="H201" s="27" t="s">
        <v>7</v>
      </c>
      <c r="I201" s="27" t="s">
        <v>8</v>
      </c>
      <c r="L201" s="27" t="s">
        <v>7</v>
      </c>
      <c r="M201" s="27" t="s">
        <v>8</v>
      </c>
      <c r="N201" s="27" t="s">
        <v>7</v>
      </c>
      <c r="O201" s="27" t="s">
        <v>8</v>
      </c>
      <c r="Q201" s="27" t="s">
        <v>8</v>
      </c>
      <c r="S201" s="27" t="s">
        <v>8</v>
      </c>
      <c r="V201" s="27" t="s">
        <v>7</v>
      </c>
      <c r="AG201" s="27" t="s">
        <v>8</v>
      </c>
    </row>
    <row r="202" spans="1:165" x14ac:dyDescent="0.25">
      <c r="A202" s="7">
        <v>2046.7562646459853</v>
      </c>
      <c r="B202"/>
      <c r="C202"/>
      <c r="D202"/>
      <c r="E202" t="s">
        <v>8</v>
      </c>
      <c r="F202" s="27" t="s">
        <v>7</v>
      </c>
      <c r="G202" s="27" t="s">
        <v>8</v>
      </c>
      <c r="H202" s="27" t="s">
        <v>7</v>
      </c>
      <c r="I202" s="27" t="s">
        <v>8</v>
      </c>
      <c r="L202" s="27" t="s">
        <v>7</v>
      </c>
      <c r="M202" s="27" t="s">
        <v>8</v>
      </c>
      <c r="N202" s="27" t="s">
        <v>7</v>
      </c>
      <c r="O202" s="27" t="s">
        <v>8</v>
      </c>
      <c r="P202" s="27" t="s">
        <v>7</v>
      </c>
      <c r="Q202" s="27" t="s">
        <v>8</v>
      </c>
      <c r="R202" s="27" t="s">
        <v>7</v>
      </c>
      <c r="S202" s="27" t="s">
        <v>8</v>
      </c>
      <c r="V202" s="27" t="s">
        <v>7</v>
      </c>
      <c r="AG202" s="27" t="s">
        <v>8</v>
      </c>
      <c r="AH202" s="27" t="s">
        <v>7</v>
      </c>
    </row>
    <row r="203" spans="1:165" x14ac:dyDescent="0.25">
      <c r="A203" s="7">
        <v>2006.623788868613</v>
      </c>
      <c r="B203"/>
      <c r="C203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L203" s="27" t="s">
        <v>7</v>
      </c>
      <c r="N203" s="27" t="s">
        <v>7</v>
      </c>
      <c r="O203" s="27" t="s">
        <v>8</v>
      </c>
      <c r="P203" s="27" t="s">
        <v>7</v>
      </c>
      <c r="Q203" s="27" t="s">
        <v>8</v>
      </c>
      <c r="R203" s="27" t="s">
        <v>7</v>
      </c>
      <c r="S203" s="27" t="s">
        <v>8</v>
      </c>
      <c r="V203" s="27" t="s">
        <v>7</v>
      </c>
      <c r="AG203" s="27" t="s">
        <v>8</v>
      </c>
      <c r="AH203" s="27" t="s">
        <v>7</v>
      </c>
    </row>
    <row r="204" spans="1:165" x14ac:dyDescent="0.25">
      <c r="A204" s="7">
        <v>1967.2782243809932</v>
      </c>
      <c r="B204"/>
      <c r="C204"/>
      <c r="D204"/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N204" s="27" t="s">
        <v>7</v>
      </c>
      <c r="O204" s="27" t="s">
        <v>8</v>
      </c>
      <c r="P204" s="27" t="s">
        <v>7</v>
      </c>
      <c r="Q204" s="27" t="s">
        <v>8</v>
      </c>
      <c r="R204" s="27" t="s">
        <v>7</v>
      </c>
      <c r="S204" s="27" t="s">
        <v>8</v>
      </c>
      <c r="V204" s="27" t="s">
        <v>7</v>
      </c>
      <c r="W204" s="27" t="s">
        <v>8</v>
      </c>
      <c r="AG204" s="27" t="s">
        <v>8</v>
      </c>
      <c r="AH204" s="27" t="s">
        <v>7</v>
      </c>
    </row>
    <row r="205" spans="1:165" x14ac:dyDescent="0.25">
      <c r="A205" s="7">
        <v>1928.7041415499932</v>
      </c>
      <c r="B205"/>
      <c r="C205"/>
      <c r="D205"/>
      <c r="E205" t="s">
        <v>8</v>
      </c>
      <c r="F205" s="27" t="s">
        <v>7</v>
      </c>
      <c r="G205" s="27" t="s">
        <v>8</v>
      </c>
      <c r="H205" s="27" t="s">
        <v>7</v>
      </c>
      <c r="I205" s="27" t="s">
        <v>8</v>
      </c>
      <c r="N205" s="27" t="s">
        <v>7</v>
      </c>
      <c r="O205" s="27" t="s">
        <v>8</v>
      </c>
      <c r="P205" s="27" t="s">
        <v>7</v>
      </c>
      <c r="Q205" s="27" t="s">
        <v>8</v>
      </c>
      <c r="R205" s="27" t="s">
        <v>7</v>
      </c>
      <c r="S205" s="27" t="s">
        <v>8</v>
      </c>
      <c r="V205" s="27" t="s">
        <v>7</v>
      </c>
      <c r="W205" s="27" t="s">
        <v>8</v>
      </c>
      <c r="X205" s="27" t="s">
        <v>7</v>
      </c>
      <c r="AG205" s="27" t="s">
        <v>8</v>
      </c>
      <c r="AH205" s="27" t="s">
        <v>7</v>
      </c>
      <c r="BI205" s="27" t="s">
        <v>8</v>
      </c>
    </row>
    <row r="206" spans="1:165" x14ac:dyDescent="0.25">
      <c r="A206" s="7">
        <v>1890.8864132843071</v>
      </c>
      <c r="B206"/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I206" s="27" t="s">
        <v>8</v>
      </c>
      <c r="N206" s="27" t="s">
        <v>7</v>
      </c>
      <c r="O206" s="27" t="s">
        <v>8</v>
      </c>
      <c r="P206" s="27" t="s">
        <v>7</v>
      </c>
      <c r="Q206" s="27" t="s">
        <v>8</v>
      </c>
      <c r="R206" s="27" t="s">
        <v>7</v>
      </c>
      <c r="V206" s="27" t="s">
        <v>7</v>
      </c>
      <c r="W206" s="27" t="s">
        <v>8</v>
      </c>
      <c r="X206" s="27" t="s">
        <v>7</v>
      </c>
      <c r="AE206" s="27" t="s">
        <v>8</v>
      </c>
      <c r="AG206" s="27" t="s">
        <v>8</v>
      </c>
      <c r="AH206" s="27" t="s">
        <v>7</v>
      </c>
      <c r="BI206" s="27" t="s">
        <v>8</v>
      </c>
      <c r="BJ206" s="27" t="s">
        <v>7</v>
      </c>
    </row>
    <row r="207" spans="1:165" x14ac:dyDescent="0.25">
      <c r="A207" s="7">
        <v>1853.8102091022618</v>
      </c>
      <c r="B207"/>
      <c r="C207"/>
      <c r="D207"/>
      <c r="E207" t="s">
        <v>8</v>
      </c>
      <c r="F207" s="27" t="s">
        <v>7</v>
      </c>
      <c r="H207" s="27" t="s">
        <v>7</v>
      </c>
      <c r="I207" s="27" t="s">
        <v>8</v>
      </c>
      <c r="N207" s="27" t="s">
        <v>7</v>
      </c>
      <c r="O207" s="27" t="s">
        <v>8</v>
      </c>
      <c r="P207" s="27" t="s">
        <v>7</v>
      </c>
      <c r="Q207" s="27" t="s">
        <v>8</v>
      </c>
      <c r="V207" s="27" t="s">
        <v>7</v>
      </c>
      <c r="W207" s="27" t="s">
        <v>8</v>
      </c>
      <c r="X207" s="27" t="s">
        <v>7</v>
      </c>
      <c r="AE207" s="27" t="s">
        <v>8</v>
      </c>
      <c r="AF207" s="27" t="s">
        <v>7</v>
      </c>
      <c r="AG207" s="27" t="s">
        <v>8</v>
      </c>
      <c r="AH207" s="27" t="s">
        <v>7</v>
      </c>
      <c r="BI207" s="27" t="s">
        <v>8</v>
      </c>
      <c r="BJ207" s="27" t="s">
        <v>7</v>
      </c>
    </row>
    <row r="208" spans="1:165" x14ac:dyDescent="0.25">
      <c r="A208" s="7">
        <v>1817.4609893159429</v>
      </c>
      <c r="B208"/>
      <c r="C208"/>
      <c r="D208"/>
      <c r="E208" t="s">
        <v>8</v>
      </c>
      <c r="H208" s="27" t="s">
        <v>7</v>
      </c>
      <c r="I208" s="27" t="s">
        <v>8</v>
      </c>
      <c r="N208" s="27" t="s">
        <v>7</v>
      </c>
      <c r="O208" s="27" t="s">
        <v>8</v>
      </c>
      <c r="P208" s="27" t="s">
        <v>7</v>
      </c>
      <c r="Q208" s="27" t="s">
        <v>8</v>
      </c>
      <c r="V208" s="27" t="s">
        <v>7</v>
      </c>
      <c r="W208" s="27" t="s">
        <v>8</v>
      </c>
      <c r="X208" s="27" t="s">
        <v>7</v>
      </c>
      <c r="AE208" s="27" t="s">
        <v>8</v>
      </c>
      <c r="AF208" s="27" t="s">
        <v>7</v>
      </c>
      <c r="AG208" s="27" t="s">
        <v>8</v>
      </c>
      <c r="AH208" s="27" t="s">
        <v>7</v>
      </c>
      <c r="AI208" s="27" t="s">
        <v>8</v>
      </c>
      <c r="BI208" s="27" t="s">
        <v>8</v>
      </c>
      <c r="BJ208" s="27" t="s">
        <v>7</v>
      </c>
      <c r="FI208" s="27" t="s">
        <v>8</v>
      </c>
    </row>
    <row r="209" spans="1:165" x14ac:dyDescent="0.25">
      <c r="A209" s="7">
        <v>1781.8244993293558</v>
      </c>
      <c r="B209"/>
      <c r="C209"/>
      <c r="D209"/>
      <c r="E209" t="s">
        <v>8</v>
      </c>
      <c r="H209" s="27" t="s">
        <v>7</v>
      </c>
      <c r="I209" s="27" t="s">
        <v>8</v>
      </c>
      <c r="N209" s="27" t="s">
        <v>7</v>
      </c>
      <c r="O209" s="27" t="s">
        <v>8</v>
      </c>
      <c r="P209" s="27" t="s">
        <v>7</v>
      </c>
      <c r="V209" s="27" t="s">
        <v>7</v>
      </c>
      <c r="W209" s="27" t="s">
        <v>8</v>
      </c>
      <c r="X209" s="27" t="s">
        <v>7</v>
      </c>
      <c r="AE209" s="27" t="s">
        <v>8</v>
      </c>
      <c r="AF209" s="27" t="s">
        <v>7</v>
      </c>
      <c r="AG209" s="27" t="s">
        <v>8</v>
      </c>
      <c r="AH209" s="27" t="s">
        <v>7</v>
      </c>
      <c r="AI209" s="27" t="s">
        <v>8</v>
      </c>
      <c r="AJ209" s="27" t="s">
        <v>7</v>
      </c>
      <c r="BI209" s="27" t="s">
        <v>8</v>
      </c>
      <c r="BJ209" s="27" t="s">
        <v>7</v>
      </c>
      <c r="FE209" s="27" t="s">
        <v>8</v>
      </c>
      <c r="FI209" s="27" t="s">
        <v>8</v>
      </c>
    </row>
    <row r="210" spans="1:165" x14ac:dyDescent="0.25">
      <c r="A210" s="7">
        <v>1746.8867640483879</v>
      </c>
      <c r="B210"/>
      <c r="C210"/>
      <c r="D210"/>
      <c r="E210" t="s">
        <v>8</v>
      </c>
      <c r="H210" s="27" t="s">
        <v>7</v>
      </c>
      <c r="I210" s="27" t="s">
        <v>8</v>
      </c>
      <c r="N210" s="27" t="s">
        <v>7</v>
      </c>
      <c r="V210" s="27" t="s">
        <v>7</v>
      </c>
      <c r="W210" s="27" t="s">
        <v>8</v>
      </c>
      <c r="X210" s="27" t="s">
        <v>7</v>
      </c>
      <c r="AE210" s="27" t="s">
        <v>8</v>
      </c>
      <c r="AF210" s="27" t="s">
        <v>7</v>
      </c>
      <c r="AG210" s="27" t="s">
        <v>8</v>
      </c>
      <c r="AH210" s="27" t="s">
        <v>7</v>
      </c>
      <c r="AI210" s="27" t="s">
        <v>8</v>
      </c>
      <c r="AJ210" s="27" t="s">
        <v>7</v>
      </c>
      <c r="BG210" s="27" t="s">
        <v>8</v>
      </c>
      <c r="BI210" s="27" t="s">
        <v>8</v>
      </c>
      <c r="BJ210" s="27" t="s">
        <v>7</v>
      </c>
      <c r="FE210" s="27" t="s">
        <v>8</v>
      </c>
      <c r="FF210" s="27" t="s">
        <v>7</v>
      </c>
      <c r="FI210" s="27" t="s">
        <v>8</v>
      </c>
    </row>
    <row r="211" spans="1:165" x14ac:dyDescent="0.25">
      <c r="A211" s="7">
        <v>1712.6340824003803</v>
      </c>
      <c r="B211"/>
      <c r="C211"/>
      <c r="D211"/>
      <c r="E211" t="s">
        <v>8</v>
      </c>
      <c r="H211" s="27" t="s">
        <v>7</v>
      </c>
      <c r="I211" s="27" t="s">
        <v>8</v>
      </c>
      <c r="V211" s="27" t="s">
        <v>7</v>
      </c>
      <c r="W211" s="27" t="s">
        <v>8</v>
      </c>
      <c r="X211" s="27" t="s">
        <v>7</v>
      </c>
      <c r="AE211" s="27" t="s">
        <v>8</v>
      </c>
      <c r="AF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BG211" s="27" t="s">
        <v>8</v>
      </c>
      <c r="BH211" s="27" t="s">
        <v>7</v>
      </c>
      <c r="BI211" s="27" t="s">
        <v>8</v>
      </c>
      <c r="BJ211" s="27" t="s">
        <v>7</v>
      </c>
      <c r="FE211" s="27" t="s">
        <v>8</v>
      </c>
      <c r="FF211" s="27" t="s">
        <v>7</v>
      </c>
      <c r="FI211" s="27" t="s">
        <v>8</v>
      </c>
    </row>
    <row r="212" spans="1:165" x14ac:dyDescent="0.25">
      <c r="A212" s="7">
        <v>1679.0530219611571</v>
      </c>
      <c r="B212"/>
      <c r="C212"/>
      <c r="D212"/>
      <c r="E212" t="s">
        <v>8</v>
      </c>
      <c r="H212" s="27" t="s">
        <v>7</v>
      </c>
      <c r="I212" s="27" t="s">
        <v>8</v>
      </c>
      <c r="V212" s="27" t="s">
        <v>7</v>
      </c>
      <c r="W212" s="27" t="s">
        <v>8</v>
      </c>
      <c r="X212" s="27" t="s">
        <v>7</v>
      </c>
      <c r="Y212" s="27" t="s">
        <v>8</v>
      </c>
      <c r="AE212" s="27" t="s">
        <v>8</v>
      </c>
      <c r="AF212" s="27" t="s">
        <v>7</v>
      </c>
      <c r="AG212" s="27" t="s">
        <v>8</v>
      </c>
      <c r="AH212" s="27" t="s">
        <v>7</v>
      </c>
      <c r="AI212" s="27" t="s">
        <v>8</v>
      </c>
      <c r="AJ212" s="27" t="s">
        <v>7</v>
      </c>
      <c r="BG212" s="27" t="s">
        <v>8</v>
      </c>
      <c r="BH212" s="27" t="s">
        <v>7</v>
      </c>
      <c r="BI212" s="27" t="s">
        <v>8</v>
      </c>
      <c r="BJ212" s="27" t="s">
        <v>7</v>
      </c>
      <c r="CU212" s="27" t="s">
        <v>8</v>
      </c>
      <c r="FE212" s="27" t="s">
        <v>8</v>
      </c>
      <c r="FF212" s="27" t="s">
        <v>7</v>
      </c>
      <c r="FG212" s="27" t="s">
        <v>8</v>
      </c>
      <c r="FI212" s="27" t="s">
        <v>8</v>
      </c>
    </row>
    <row r="213" spans="1:165" x14ac:dyDescent="0.25">
      <c r="A213" s="7">
        <v>1646.1304136874089</v>
      </c>
      <c r="B213"/>
      <c r="C213"/>
      <c r="D213"/>
      <c r="E213" t="s">
        <v>8</v>
      </c>
      <c r="H213" s="27" t="s">
        <v>7</v>
      </c>
      <c r="I213" s="27" t="s">
        <v>8</v>
      </c>
      <c r="V213" s="27" t="s">
        <v>7</v>
      </c>
      <c r="W213" s="27" t="s">
        <v>8</v>
      </c>
      <c r="X213" s="27" t="s">
        <v>7</v>
      </c>
      <c r="Y213" s="27" t="s">
        <v>8</v>
      </c>
      <c r="Z213" s="27" t="s">
        <v>7</v>
      </c>
      <c r="AE213" s="27" t="s">
        <v>8</v>
      </c>
      <c r="AF213" s="27" t="s">
        <v>7</v>
      </c>
      <c r="AG213" s="27" t="s">
        <v>8</v>
      </c>
      <c r="AH213" s="27" t="s">
        <v>7</v>
      </c>
      <c r="AI213" s="27" t="s">
        <v>8</v>
      </c>
      <c r="AJ213" s="27" t="s">
        <v>7</v>
      </c>
      <c r="BG213" s="27" t="s">
        <v>8</v>
      </c>
      <c r="BH213" s="27" t="s">
        <v>7</v>
      </c>
      <c r="BI213" s="27" t="s">
        <v>8</v>
      </c>
      <c r="BJ213" s="27" t="s">
        <v>7</v>
      </c>
      <c r="CU213" s="27" t="s">
        <v>8</v>
      </c>
      <c r="CV213" s="27" t="s">
        <v>7</v>
      </c>
      <c r="EM213" s="27" t="s">
        <v>8</v>
      </c>
      <c r="FC213" s="27" t="s">
        <v>8</v>
      </c>
      <c r="FE213" s="27" t="s">
        <v>8</v>
      </c>
      <c r="FF213" s="27" t="s">
        <v>7</v>
      </c>
      <c r="FG213" s="27" t="s">
        <v>8</v>
      </c>
      <c r="FH213" s="27" t="s">
        <v>7</v>
      </c>
      <c r="FI213" s="27" t="s">
        <v>8</v>
      </c>
    </row>
    <row r="214" spans="1:165" x14ac:dyDescent="0.25">
      <c r="A214" s="7">
        <v>1613.8533467523616</v>
      </c>
      <c r="B214"/>
      <c r="C214"/>
      <c r="D214"/>
      <c r="E214" t="s">
        <v>8</v>
      </c>
      <c r="H214" s="27" t="s">
        <v>7</v>
      </c>
      <c r="I214" s="27" t="s">
        <v>8</v>
      </c>
      <c r="V214" s="27" t="s">
        <v>7</v>
      </c>
      <c r="W214" s="27" t="s">
        <v>8</v>
      </c>
      <c r="X214" s="27" t="s">
        <v>7</v>
      </c>
      <c r="Y214" s="27" t="s">
        <v>8</v>
      </c>
      <c r="Z214" s="27" t="s">
        <v>7</v>
      </c>
      <c r="AE214" s="27" t="s">
        <v>8</v>
      </c>
      <c r="AF214" s="27" t="s">
        <v>7</v>
      </c>
      <c r="AH214" s="27" t="s">
        <v>7</v>
      </c>
      <c r="AJ214" s="27" t="s">
        <v>7</v>
      </c>
      <c r="BG214" s="27" t="s">
        <v>8</v>
      </c>
      <c r="BH214" s="27" t="s">
        <v>7</v>
      </c>
      <c r="BI214" s="27" t="s">
        <v>8</v>
      </c>
      <c r="BJ214" s="27" t="s">
        <v>7</v>
      </c>
      <c r="CU214" s="27" t="s">
        <v>8</v>
      </c>
      <c r="CV214" s="27" t="s">
        <v>7</v>
      </c>
      <c r="EM214" s="27" t="s">
        <v>8</v>
      </c>
      <c r="EN214" s="27" t="s">
        <v>7</v>
      </c>
      <c r="EQ214" s="27" t="s">
        <v>8</v>
      </c>
      <c r="FC214" s="27" t="s">
        <v>8</v>
      </c>
      <c r="FD214" s="27" t="s">
        <v>7</v>
      </c>
      <c r="FE214" s="27" t="s">
        <v>8</v>
      </c>
      <c r="FF214" s="27" t="s">
        <v>7</v>
      </c>
      <c r="FG214" s="27" t="s">
        <v>8</v>
      </c>
      <c r="FH214" s="27" t="s">
        <v>7</v>
      </c>
      <c r="FI214" s="27" t="s">
        <v>8</v>
      </c>
    </row>
    <row r="215" spans="1:165" x14ac:dyDescent="0.25">
      <c r="A215" s="7">
        <v>1582.2091634827075</v>
      </c>
      <c r="B215"/>
      <c r="C215"/>
      <c r="D215"/>
      <c r="E215" t="s">
        <v>8</v>
      </c>
      <c r="H215" s="27" t="s">
        <v>7</v>
      </c>
      <c r="V215" s="27" t="s">
        <v>7</v>
      </c>
      <c r="W215" s="27" t="s">
        <v>8</v>
      </c>
      <c r="X215" s="27" t="s">
        <v>7</v>
      </c>
      <c r="Y215" s="27" t="s">
        <v>8</v>
      </c>
      <c r="Z215" s="27" t="s">
        <v>7</v>
      </c>
      <c r="AE215" s="27" t="s">
        <v>8</v>
      </c>
      <c r="AJ215" s="27" t="s">
        <v>7</v>
      </c>
      <c r="BG215" s="27" t="s">
        <v>8</v>
      </c>
      <c r="BH215" s="27" t="s">
        <v>7</v>
      </c>
      <c r="BI215" s="27" t="s">
        <v>8</v>
      </c>
      <c r="BJ215" s="27" t="s">
        <v>7</v>
      </c>
      <c r="CU215" s="27" t="s">
        <v>8</v>
      </c>
      <c r="CV215" s="27" t="s">
        <v>7</v>
      </c>
      <c r="EM215" s="27" t="s">
        <v>8</v>
      </c>
      <c r="EN215" s="27" t="s">
        <v>7</v>
      </c>
      <c r="EQ215" s="27" t="s">
        <v>8</v>
      </c>
      <c r="ER215" s="27" t="s">
        <v>7</v>
      </c>
      <c r="FC215" s="27" t="s">
        <v>8</v>
      </c>
      <c r="FD215" s="27" t="s">
        <v>7</v>
      </c>
      <c r="FE215" s="27" t="s">
        <v>8</v>
      </c>
      <c r="FF215" s="27" t="s">
        <v>7</v>
      </c>
      <c r="FG215" s="27" t="s">
        <v>8</v>
      </c>
      <c r="FH215" s="27" t="s">
        <v>7</v>
      </c>
      <c r="FI215" s="27" t="s">
        <v>8</v>
      </c>
    </row>
    <row r="216" spans="1:165" x14ac:dyDescent="0.25">
      <c r="A216" s="7">
        <v>1551.1854543948111</v>
      </c>
      <c r="B216"/>
      <c r="C216"/>
      <c r="D216"/>
      <c r="E216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Z216" s="27" t="s">
        <v>7</v>
      </c>
      <c r="AE216" s="27" t="s">
        <v>8</v>
      </c>
      <c r="AJ216" s="27" t="s">
        <v>7</v>
      </c>
      <c r="BG216" s="27" t="s">
        <v>8</v>
      </c>
      <c r="BH216" s="27" t="s">
        <v>7</v>
      </c>
      <c r="BI216" s="27" t="s">
        <v>8</v>
      </c>
      <c r="BJ216" s="27" t="s">
        <v>7</v>
      </c>
      <c r="CU216" s="27" t="s">
        <v>8</v>
      </c>
      <c r="CV216" s="27" t="s">
        <v>7</v>
      </c>
      <c r="EM216" s="27" t="s">
        <v>8</v>
      </c>
      <c r="EN216" s="27" t="s">
        <v>7</v>
      </c>
      <c r="EQ216" s="27" t="s">
        <v>8</v>
      </c>
      <c r="ER216" s="27" t="s">
        <v>7</v>
      </c>
      <c r="FC216" s="27" t="s">
        <v>8</v>
      </c>
      <c r="FD216" s="27" t="s">
        <v>7</v>
      </c>
      <c r="FF216" s="27" t="s">
        <v>7</v>
      </c>
      <c r="FG216" s="27" t="s">
        <v>8</v>
      </c>
      <c r="FH216" s="27" t="s">
        <v>7</v>
      </c>
      <c r="FI216" s="27" t="s">
        <v>8</v>
      </c>
    </row>
    <row r="217" spans="1:165" x14ac:dyDescent="0.25">
      <c r="A217" s="7">
        <v>1520.7700533282461</v>
      </c>
      <c r="B217"/>
      <c r="C217"/>
      <c r="D217"/>
      <c r="E217" t="s">
        <v>8</v>
      </c>
      <c r="V217" s="27" t="s">
        <v>7</v>
      </c>
      <c r="W217" s="27" t="s">
        <v>8</v>
      </c>
      <c r="X217" s="27" t="s">
        <v>7</v>
      </c>
      <c r="Y217" s="27" t="s">
        <v>8</v>
      </c>
      <c r="Z217" s="27" t="s">
        <v>7</v>
      </c>
      <c r="AE217" s="27" t="s">
        <v>8</v>
      </c>
      <c r="AJ217" s="27" t="s">
        <v>7</v>
      </c>
      <c r="BG217" s="27" t="s">
        <v>8</v>
      </c>
      <c r="BH217" s="27" t="s">
        <v>7</v>
      </c>
      <c r="BI217" s="27" t="s">
        <v>8</v>
      </c>
      <c r="BJ217" s="27" t="s">
        <v>7</v>
      </c>
      <c r="CU217" s="27" t="s">
        <v>8</v>
      </c>
      <c r="CV217" s="27" t="s">
        <v>7</v>
      </c>
      <c r="EM217" s="27" t="s">
        <v>8</v>
      </c>
      <c r="EN217" s="27" t="s">
        <v>7</v>
      </c>
      <c r="EQ217" s="27" t="s">
        <v>8</v>
      </c>
      <c r="ER217" s="27" t="s">
        <v>7</v>
      </c>
      <c r="FC217" s="27" t="s">
        <v>8</v>
      </c>
      <c r="FF217" s="27" t="s">
        <v>7</v>
      </c>
      <c r="FG217" s="27" t="s">
        <v>8</v>
      </c>
      <c r="FH217" s="27" t="s">
        <v>7</v>
      </c>
      <c r="FI217" s="27" t="s">
        <v>8</v>
      </c>
    </row>
    <row r="218" spans="1:165" x14ac:dyDescent="0.25">
      <c r="A218" s="7">
        <v>1490.9510326747511</v>
      </c>
      <c r="B218"/>
      <c r="C218"/>
      <c r="D218"/>
      <c r="E218" t="s">
        <v>8</v>
      </c>
      <c r="V218" s="27" t="s">
        <v>7</v>
      </c>
      <c r="W218" s="27" t="s">
        <v>8</v>
      </c>
      <c r="X218" s="27" t="s">
        <v>7</v>
      </c>
      <c r="Y218" s="27" t="s">
        <v>8</v>
      </c>
      <c r="Z218" s="27" t="s">
        <v>7</v>
      </c>
      <c r="AA218" s="27" t="s">
        <v>8</v>
      </c>
      <c r="AC218" s="27" t="s">
        <v>8</v>
      </c>
      <c r="AE218" s="27" t="s">
        <v>8</v>
      </c>
      <c r="AJ218" s="27" t="s">
        <v>7</v>
      </c>
      <c r="AK218" s="27" t="s">
        <v>8</v>
      </c>
      <c r="AM218" s="27" t="s">
        <v>8</v>
      </c>
      <c r="BG218" s="27" t="s">
        <v>8</v>
      </c>
      <c r="BH218" s="27" t="s">
        <v>7</v>
      </c>
      <c r="BI218" s="27" t="s">
        <v>8</v>
      </c>
      <c r="BJ218" s="27" t="s">
        <v>7</v>
      </c>
      <c r="CU218" s="27" t="s">
        <v>8</v>
      </c>
      <c r="CV218" s="27" t="s">
        <v>7</v>
      </c>
      <c r="EA218" s="27" t="s">
        <v>8</v>
      </c>
      <c r="EM218" s="27" t="s">
        <v>8</v>
      </c>
      <c r="EN218" s="27" t="s">
        <v>7</v>
      </c>
      <c r="EQ218" s="27" t="s">
        <v>8</v>
      </c>
      <c r="ER218" s="27" t="s">
        <v>7</v>
      </c>
      <c r="FC218" s="27" t="s">
        <v>8</v>
      </c>
      <c r="FF218" s="27" t="s">
        <v>7</v>
      </c>
      <c r="FG218" s="27" t="s">
        <v>8</v>
      </c>
      <c r="FH218" s="27" t="s">
        <v>7</v>
      </c>
      <c r="FI218" s="27" t="s">
        <v>8</v>
      </c>
    </row>
    <row r="219" spans="1:165" x14ac:dyDescent="0.25">
      <c r="A219" s="7">
        <v>1461.7166987007363</v>
      </c>
      <c r="B219"/>
      <c r="C219"/>
      <c r="D219"/>
      <c r="E219" t="s">
        <v>8</v>
      </c>
      <c r="V219" s="27" t="s">
        <v>7</v>
      </c>
      <c r="W219" s="27" t="s">
        <v>8</v>
      </c>
      <c r="X219" s="27" t="s">
        <v>7</v>
      </c>
      <c r="Y219" s="27" t="s">
        <v>8</v>
      </c>
      <c r="Z219" s="27" t="s">
        <v>7</v>
      </c>
      <c r="AA219" s="27" t="s">
        <v>8</v>
      </c>
      <c r="AB219" s="27" t="s">
        <v>7</v>
      </c>
      <c r="AC219" s="27" t="s">
        <v>8</v>
      </c>
      <c r="AD219" s="27" t="s">
        <v>7</v>
      </c>
      <c r="AE219" s="27" t="s">
        <v>8</v>
      </c>
      <c r="AJ219" s="27" t="s">
        <v>7</v>
      </c>
      <c r="AK219" s="27" t="s">
        <v>8</v>
      </c>
      <c r="AL219" s="27" t="s">
        <v>7</v>
      </c>
      <c r="AM219" s="27" t="s">
        <v>8</v>
      </c>
      <c r="AN219" s="27" t="s">
        <v>7</v>
      </c>
      <c r="BG219" s="27" t="s">
        <v>8</v>
      </c>
      <c r="BH219" s="27" t="s">
        <v>7</v>
      </c>
      <c r="BJ219" s="27" t="s">
        <v>7</v>
      </c>
      <c r="CU219" s="27" t="s">
        <v>8</v>
      </c>
      <c r="CV219" s="27" t="s">
        <v>7</v>
      </c>
      <c r="EA219" s="27" t="s">
        <v>8</v>
      </c>
      <c r="EB219" s="27" t="s">
        <v>7</v>
      </c>
      <c r="EM219" s="27" t="s">
        <v>8</v>
      </c>
      <c r="EN219" s="27" t="s">
        <v>7</v>
      </c>
      <c r="EQ219" s="27" t="s">
        <v>8</v>
      </c>
      <c r="ER219" s="27" t="s">
        <v>7</v>
      </c>
      <c r="FA219" s="27" t="s">
        <v>8</v>
      </c>
      <c r="FC219" s="27" t="s">
        <v>8</v>
      </c>
      <c r="FF219" s="27" t="s">
        <v>7</v>
      </c>
      <c r="FG219" s="27" t="s">
        <v>8</v>
      </c>
      <c r="FH219" s="27" t="s">
        <v>7</v>
      </c>
      <c r="FI219" s="27" t="s">
        <v>8</v>
      </c>
    </row>
    <row r="220" spans="1:165" x14ac:dyDescent="0.25">
      <c r="A220" s="7">
        <v>1433.0555869615062</v>
      </c>
      <c r="B220"/>
      <c r="C220"/>
      <c r="D220"/>
      <c r="E220" t="s">
        <v>8</v>
      </c>
      <c r="V220" s="27" t="s">
        <v>7</v>
      </c>
      <c r="W220" s="27" t="s">
        <v>8</v>
      </c>
      <c r="X220" s="27" t="s">
        <v>7</v>
      </c>
      <c r="Y220" s="27" t="s">
        <v>8</v>
      </c>
      <c r="Z220" s="27" t="s">
        <v>7</v>
      </c>
      <c r="AA220" s="27" t="s">
        <v>8</v>
      </c>
      <c r="AB220" s="27" t="s">
        <v>7</v>
      </c>
      <c r="AC220" s="27" t="s">
        <v>8</v>
      </c>
      <c r="AD220" s="27" t="s">
        <v>7</v>
      </c>
      <c r="AE220" s="27" t="s">
        <v>8</v>
      </c>
      <c r="AJ220" s="27" t="s">
        <v>7</v>
      </c>
      <c r="AK220" s="27" t="s">
        <v>8</v>
      </c>
      <c r="AL220" s="27" t="s">
        <v>7</v>
      </c>
      <c r="AM220" s="27" t="s">
        <v>8</v>
      </c>
      <c r="AN220" s="27" t="s">
        <v>7</v>
      </c>
      <c r="BG220" s="27" t="s">
        <v>8</v>
      </c>
      <c r="BJ220" s="27" t="s">
        <v>7</v>
      </c>
      <c r="CU220" s="27" t="s">
        <v>8</v>
      </c>
      <c r="CV220" s="27" t="s">
        <v>7</v>
      </c>
      <c r="DW220" s="27" t="s">
        <v>8</v>
      </c>
      <c r="DY220" s="27" t="s">
        <v>8</v>
      </c>
      <c r="EA220" s="27" t="s">
        <v>8</v>
      </c>
      <c r="EB220" s="27" t="s">
        <v>7</v>
      </c>
      <c r="EM220" s="27" t="s">
        <v>8</v>
      </c>
      <c r="EN220" s="27" t="s">
        <v>7</v>
      </c>
      <c r="EQ220" s="27" t="s">
        <v>8</v>
      </c>
      <c r="ER220" s="27" t="s">
        <v>7</v>
      </c>
      <c r="ES220" s="27" t="s">
        <v>8</v>
      </c>
      <c r="FA220" s="27" t="s">
        <v>8</v>
      </c>
      <c r="FB220" s="27" t="s">
        <v>7</v>
      </c>
      <c r="FC220" s="27" t="s">
        <v>8</v>
      </c>
      <c r="FF220" s="27" t="s">
        <v>7</v>
      </c>
      <c r="FG220" s="27" t="s">
        <v>8</v>
      </c>
      <c r="FH220" s="27" t="s">
        <v>7</v>
      </c>
      <c r="FI220" s="27" t="s">
        <v>8</v>
      </c>
    </row>
    <row r="221" spans="1:165" x14ac:dyDescent="0.25">
      <c r="A221" s="7">
        <v>1404.9564578053983</v>
      </c>
      <c r="B221"/>
      <c r="C221"/>
      <c r="D221"/>
      <c r="E221" t="s">
        <v>8</v>
      </c>
      <c r="V221" s="27" t="s">
        <v>7</v>
      </c>
      <c r="W221" s="27" t="s">
        <v>8</v>
      </c>
      <c r="X221" s="27" t="s">
        <v>7</v>
      </c>
      <c r="Z221" s="27" t="s">
        <v>7</v>
      </c>
      <c r="AA221" s="27" t="s">
        <v>8</v>
      </c>
      <c r="AB221" s="27" t="s">
        <v>7</v>
      </c>
      <c r="AC221" s="27" t="s">
        <v>8</v>
      </c>
      <c r="AD221" s="27" t="s">
        <v>7</v>
      </c>
      <c r="AE221" s="27" t="s">
        <v>8</v>
      </c>
      <c r="AJ221" s="27" t="s">
        <v>7</v>
      </c>
      <c r="AK221" s="27" t="s">
        <v>8</v>
      </c>
      <c r="AL221" s="27" t="s">
        <v>7</v>
      </c>
      <c r="AM221" s="27" t="s">
        <v>8</v>
      </c>
      <c r="AN221" s="27" t="s">
        <v>7</v>
      </c>
      <c r="BG221" s="27" t="s">
        <v>8</v>
      </c>
      <c r="BJ221" s="27" t="s">
        <v>7</v>
      </c>
      <c r="CU221" s="27" t="s">
        <v>8</v>
      </c>
      <c r="CV221" s="27" t="s">
        <v>7</v>
      </c>
      <c r="DW221" s="27" t="s">
        <v>8</v>
      </c>
      <c r="DX221" s="27" t="s">
        <v>7</v>
      </c>
      <c r="DY221" s="27" t="s">
        <v>8</v>
      </c>
      <c r="DZ221" s="27" t="s">
        <v>7</v>
      </c>
      <c r="EA221" s="27" t="s">
        <v>8</v>
      </c>
      <c r="EB221" s="27" t="s">
        <v>7</v>
      </c>
      <c r="EC221" s="27" t="s">
        <v>8</v>
      </c>
      <c r="EM221" s="27" t="s">
        <v>8</v>
      </c>
      <c r="EN221" s="27" t="s">
        <v>7</v>
      </c>
      <c r="EQ221" s="27" t="s">
        <v>8</v>
      </c>
      <c r="ER221" s="27" t="s">
        <v>7</v>
      </c>
      <c r="ES221" s="27" t="s">
        <v>8</v>
      </c>
      <c r="ET221" s="27" t="s">
        <v>7</v>
      </c>
      <c r="FA221" s="27" t="s">
        <v>8</v>
      </c>
      <c r="FB221" s="27" t="s">
        <v>7</v>
      </c>
      <c r="FC221" s="27" t="s">
        <v>8</v>
      </c>
      <c r="FF221" s="27" t="s">
        <v>7</v>
      </c>
      <c r="FG221" s="27" t="s">
        <v>8</v>
      </c>
      <c r="FH221" s="27" t="s">
        <v>7</v>
      </c>
    </row>
    <row r="222" spans="1:165" x14ac:dyDescent="0.25">
      <c r="A222" s="7">
        <v>1377.4082919660766</v>
      </c>
      <c r="B222"/>
      <c r="C222"/>
      <c r="D222"/>
      <c r="E222" t="s">
        <v>8</v>
      </c>
      <c r="V222" s="27" t="s">
        <v>7</v>
      </c>
      <c r="W222" s="27" t="s">
        <v>8</v>
      </c>
      <c r="Z222" s="27" t="s">
        <v>7</v>
      </c>
      <c r="AA222" s="27" t="s">
        <v>8</v>
      </c>
      <c r="AB222" s="27" t="s">
        <v>7</v>
      </c>
      <c r="AC222" s="27" t="s">
        <v>8</v>
      </c>
      <c r="AD222" s="27" t="s">
        <v>7</v>
      </c>
      <c r="AE222" s="27" t="s">
        <v>8</v>
      </c>
      <c r="AJ222" s="27" t="s">
        <v>7</v>
      </c>
      <c r="AK222" s="27" t="s">
        <v>8</v>
      </c>
      <c r="AL222" s="27" t="s">
        <v>7</v>
      </c>
      <c r="AM222" s="27" t="s">
        <v>8</v>
      </c>
      <c r="AN222" s="27" t="s">
        <v>7</v>
      </c>
      <c r="BG222" s="27" t="s">
        <v>8</v>
      </c>
      <c r="BJ222" s="27" t="s">
        <v>7</v>
      </c>
      <c r="CI222" s="27" t="s">
        <v>8</v>
      </c>
      <c r="CU222" s="27" t="s">
        <v>8</v>
      </c>
      <c r="CV222" s="27" t="s">
        <v>7</v>
      </c>
      <c r="DS222" s="27" t="s">
        <v>8</v>
      </c>
      <c r="DW222" s="27" t="s">
        <v>8</v>
      </c>
      <c r="DX222" s="27" t="s">
        <v>7</v>
      </c>
      <c r="DY222" s="27" t="s">
        <v>8</v>
      </c>
      <c r="DZ222" s="27" t="s">
        <v>7</v>
      </c>
      <c r="EA222" s="27" t="s">
        <v>8</v>
      </c>
      <c r="EB222" s="27" t="s">
        <v>7</v>
      </c>
      <c r="EC222" s="27" t="s">
        <v>8</v>
      </c>
      <c r="ED222" s="27" t="s">
        <v>7</v>
      </c>
      <c r="EM222" s="27" t="s">
        <v>8</v>
      </c>
      <c r="EN222" s="27" t="s">
        <v>7</v>
      </c>
      <c r="EQ222" s="27" t="s">
        <v>8</v>
      </c>
      <c r="ER222" s="27" t="s">
        <v>7</v>
      </c>
      <c r="ES222" s="27" t="s">
        <v>8</v>
      </c>
      <c r="ET222" s="27" t="s">
        <v>7</v>
      </c>
      <c r="EU222" s="27" t="s">
        <v>8</v>
      </c>
      <c r="FA222" s="27" t="s">
        <v>8</v>
      </c>
      <c r="FB222" s="27" t="s">
        <v>7</v>
      </c>
      <c r="FF222" s="27" t="s">
        <v>7</v>
      </c>
      <c r="FG222" s="27" t="s">
        <v>8</v>
      </c>
    </row>
    <row r="223" spans="1:165" x14ac:dyDescent="0.25">
      <c r="A223" s="7">
        <v>1350.4002862412515</v>
      </c>
      <c r="B223"/>
      <c r="C223"/>
      <c r="D223"/>
      <c r="E223" t="s">
        <v>8</v>
      </c>
      <c r="V223" s="27" t="s">
        <v>7</v>
      </c>
      <c r="W223" s="27" t="s">
        <v>8</v>
      </c>
      <c r="Z223" s="27" t="s">
        <v>7</v>
      </c>
      <c r="AA223" s="27" t="s">
        <v>8</v>
      </c>
      <c r="AB223" s="27" t="s">
        <v>7</v>
      </c>
      <c r="AC223" s="27" t="s">
        <v>8</v>
      </c>
      <c r="AD223" s="27" t="s">
        <v>7</v>
      </c>
      <c r="AE223" s="27" t="s">
        <v>8</v>
      </c>
      <c r="AJ223" s="27" t="s">
        <v>7</v>
      </c>
      <c r="AK223" s="27" t="s">
        <v>8</v>
      </c>
      <c r="AL223" s="27" t="s">
        <v>7</v>
      </c>
      <c r="AM223" s="27" t="s">
        <v>8</v>
      </c>
      <c r="AN223" s="27" t="s">
        <v>7</v>
      </c>
      <c r="BG223" s="27" t="s">
        <v>8</v>
      </c>
      <c r="BJ223" s="27" t="s">
        <v>7</v>
      </c>
      <c r="CI223" s="27" t="s">
        <v>8</v>
      </c>
      <c r="CJ223" s="27" t="s">
        <v>7</v>
      </c>
      <c r="CS223" s="27" t="s">
        <v>8</v>
      </c>
      <c r="CU223" s="27" t="s">
        <v>8</v>
      </c>
      <c r="CV223" s="27" t="s">
        <v>7</v>
      </c>
      <c r="DS223" s="27" t="s">
        <v>8</v>
      </c>
      <c r="DT223" s="27" t="s">
        <v>7</v>
      </c>
      <c r="DU223" s="27" t="s">
        <v>8</v>
      </c>
      <c r="DW223" s="27" t="s">
        <v>8</v>
      </c>
      <c r="DX223" s="27" t="s">
        <v>7</v>
      </c>
      <c r="DY223" s="27" t="s">
        <v>8</v>
      </c>
      <c r="DZ223" s="27" t="s">
        <v>7</v>
      </c>
      <c r="EA223" s="27" t="s">
        <v>8</v>
      </c>
      <c r="EB223" s="27" t="s">
        <v>7</v>
      </c>
      <c r="EC223" s="27" t="s">
        <v>8</v>
      </c>
      <c r="ED223" s="27" t="s">
        <v>7</v>
      </c>
      <c r="EM223" s="27" t="s">
        <v>8</v>
      </c>
      <c r="EN223" s="27" t="s">
        <v>7</v>
      </c>
      <c r="EQ223" s="27" t="s">
        <v>8</v>
      </c>
      <c r="ER223" s="27" t="s">
        <v>7</v>
      </c>
      <c r="ES223" s="27" t="s">
        <v>8</v>
      </c>
      <c r="ET223" s="27" t="s">
        <v>7</v>
      </c>
      <c r="EU223" s="27" t="s">
        <v>8</v>
      </c>
      <c r="EV223" s="27" t="s">
        <v>7</v>
      </c>
      <c r="FA223" s="27" t="s">
        <v>8</v>
      </c>
      <c r="FF223" s="27" t="s">
        <v>7</v>
      </c>
      <c r="FG223" s="27" t="s">
        <v>8</v>
      </c>
    </row>
    <row r="224" spans="1:165" x14ac:dyDescent="0.25">
      <c r="A224" s="7">
        <v>1323.9218492561288</v>
      </c>
      <c r="B224"/>
      <c r="C224"/>
      <c r="D224"/>
      <c r="E224" t="s">
        <v>8</v>
      </c>
      <c r="V224" s="27" t="s">
        <v>7</v>
      </c>
      <c r="W224" s="27" t="s">
        <v>8</v>
      </c>
      <c r="Z224" s="27" t="s">
        <v>7</v>
      </c>
      <c r="AA224" s="27" t="s">
        <v>8</v>
      </c>
      <c r="AB224" s="27" t="s">
        <v>7</v>
      </c>
      <c r="AC224" s="27" t="s">
        <v>8</v>
      </c>
      <c r="AD224" s="27" t="s">
        <v>7</v>
      </c>
      <c r="AE224" s="27" t="s">
        <v>8</v>
      </c>
      <c r="AJ224" s="27" t="s">
        <v>7</v>
      </c>
      <c r="AK224" s="27" t="s">
        <v>8</v>
      </c>
      <c r="AL224" s="27" t="s">
        <v>7</v>
      </c>
      <c r="AM224" s="27" t="s">
        <v>8</v>
      </c>
      <c r="AN224" s="27" t="s">
        <v>7</v>
      </c>
      <c r="BG224" s="27" t="s">
        <v>8</v>
      </c>
      <c r="BJ224" s="27" t="s">
        <v>7</v>
      </c>
      <c r="CI224" s="27" t="s">
        <v>8</v>
      </c>
      <c r="CJ224" s="27" t="s">
        <v>7</v>
      </c>
      <c r="CS224" s="27" t="s">
        <v>8</v>
      </c>
      <c r="CT224" s="27" t="s">
        <v>7</v>
      </c>
      <c r="CU224" s="27" t="s">
        <v>8</v>
      </c>
      <c r="CV224" s="27" t="s">
        <v>7</v>
      </c>
      <c r="DS224" s="27" t="s">
        <v>8</v>
      </c>
      <c r="DT224" s="27" t="s">
        <v>7</v>
      </c>
      <c r="DU224" s="27" t="s">
        <v>8</v>
      </c>
      <c r="DV224" s="27" t="s">
        <v>7</v>
      </c>
      <c r="DW224" s="27" t="s">
        <v>8</v>
      </c>
      <c r="DX224" s="27" t="s">
        <v>7</v>
      </c>
      <c r="DY224" s="27" t="s">
        <v>8</v>
      </c>
      <c r="DZ224" s="27" t="s">
        <v>7</v>
      </c>
      <c r="EA224" s="27" t="s">
        <v>8</v>
      </c>
      <c r="EB224" s="27" t="s">
        <v>7</v>
      </c>
      <c r="ED224" s="27" t="s">
        <v>7</v>
      </c>
      <c r="EI224" s="27" t="s">
        <v>8</v>
      </c>
      <c r="EM224" s="27" t="s">
        <v>8</v>
      </c>
      <c r="EN224" s="27" t="s">
        <v>7</v>
      </c>
      <c r="EO224" s="27" t="s">
        <v>8</v>
      </c>
      <c r="EQ224" s="27" t="s">
        <v>8</v>
      </c>
      <c r="ER224" s="27" t="s">
        <v>7</v>
      </c>
      <c r="ES224" s="27" t="s">
        <v>8</v>
      </c>
      <c r="ET224" s="27" t="s">
        <v>7</v>
      </c>
      <c r="EU224" s="27" t="s">
        <v>8</v>
      </c>
      <c r="EV224" s="27" t="s">
        <v>7</v>
      </c>
      <c r="FA224" s="27" t="s">
        <v>8</v>
      </c>
      <c r="FF224" s="27" t="s">
        <v>7</v>
      </c>
      <c r="FG224" s="27" t="s">
        <v>8</v>
      </c>
    </row>
    <row r="225" spans="1:163" x14ac:dyDescent="0.25">
      <c r="A225" s="7">
        <v>1297.9625973099301</v>
      </c>
      <c r="B225"/>
      <c r="C225"/>
      <c r="D225"/>
      <c r="E225" t="s">
        <v>8</v>
      </c>
      <c r="V225" s="27" t="s">
        <v>7</v>
      </c>
      <c r="W225" s="27" t="s">
        <v>8</v>
      </c>
      <c r="Z225" s="27" t="s">
        <v>7</v>
      </c>
      <c r="AA225" s="27" t="s">
        <v>8</v>
      </c>
      <c r="AB225" s="27" t="s">
        <v>7</v>
      </c>
      <c r="AC225" s="27" t="s">
        <v>8</v>
      </c>
      <c r="AD225" s="27" t="s">
        <v>7</v>
      </c>
      <c r="AE225" s="27" t="s">
        <v>8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  <c r="AO225" s="27" t="s">
        <v>8</v>
      </c>
      <c r="BG225" s="27" t="s">
        <v>8</v>
      </c>
      <c r="BJ225" s="27" t="s">
        <v>7</v>
      </c>
      <c r="CI225" s="27" t="s">
        <v>8</v>
      </c>
      <c r="CJ225" s="27" t="s">
        <v>7</v>
      </c>
      <c r="CM225" s="27" t="s">
        <v>8</v>
      </c>
      <c r="CS225" s="27" t="s">
        <v>8</v>
      </c>
      <c r="CT225" s="27" t="s">
        <v>7</v>
      </c>
      <c r="CU225" s="27" t="s">
        <v>8</v>
      </c>
      <c r="CV225" s="27" t="s">
        <v>7</v>
      </c>
      <c r="DS225" s="27" t="s">
        <v>8</v>
      </c>
      <c r="DT225" s="27" t="s">
        <v>7</v>
      </c>
      <c r="DU225" s="27" t="s">
        <v>8</v>
      </c>
      <c r="DV225" s="27" t="s">
        <v>7</v>
      </c>
      <c r="DW225" s="27" t="s">
        <v>8</v>
      </c>
      <c r="DX225" s="27" t="s">
        <v>7</v>
      </c>
      <c r="DY225" s="27" t="s">
        <v>8</v>
      </c>
      <c r="DZ225" s="27" t="s">
        <v>7</v>
      </c>
      <c r="EA225" s="27" t="s">
        <v>8</v>
      </c>
      <c r="ED225" s="27" t="s">
        <v>7</v>
      </c>
      <c r="EE225" s="27" t="s">
        <v>8</v>
      </c>
      <c r="EI225" s="27" t="s">
        <v>8</v>
      </c>
      <c r="EJ225" s="27" t="s">
        <v>7</v>
      </c>
      <c r="EM225" s="27" t="s">
        <v>8</v>
      </c>
      <c r="EN225" s="27" t="s">
        <v>7</v>
      </c>
      <c r="EO225" s="27" t="s">
        <v>8</v>
      </c>
      <c r="EP225" s="27" t="s">
        <v>7</v>
      </c>
      <c r="EQ225" s="27" t="s">
        <v>8</v>
      </c>
      <c r="ER225" s="27" t="s">
        <v>7</v>
      </c>
      <c r="ES225" s="27" t="s">
        <v>8</v>
      </c>
      <c r="ET225" s="27" t="s">
        <v>7</v>
      </c>
      <c r="EU225" s="27" t="s">
        <v>8</v>
      </c>
      <c r="EV225" s="27" t="s">
        <v>7</v>
      </c>
      <c r="EW225" s="27" t="s">
        <v>8</v>
      </c>
      <c r="FA225" s="27" t="s">
        <v>8</v>
      </c>
      <c r="FF225" s="27" t="s">
        <v>7</v>
      </c>
      <c r="FG225" s="27" t="s">
        <v>8</v>
      </c>
    </row>
    <row r="226" spans="1:163" x14ac:dyDescent="0.25">
      <c r="A226" s="7">
        <v>1272.5123503038531</v>
      </c>
      <c r="B226"/>
      <c r="C226"/>
      <c r="D226"/>
      <c r="E226" t="s">
        <v>8</v>
      </c>
      <c r="V226" s="27" t="s">
        <v>7</v>
      </c>
      <c r="W226" s="27" t="s">
        <v>8</v>
      </c>
      <c r="Z226" s="27" t="s">
        <v>7</v>
      </c>
      <c r="AA226" s="27" t="s">
        <v>8</v>
      </c>
      <c r="AB226" s="27" t="s">
        <v>7</v>
      </c>
      <c r="AC226" s="27" t="s">
        <v>8</v>
      </c>
      <c r="AD226" s="27" t="s">
        <v>7</v>
      </c>
      <c r="AJ226" s="27" t="s">
        <v>7</v>
      </c>
      <c r="AK226" s="27" t="s">
        <v>8</v>
      </c>
      <c r="AL226" s="27" t="s">
        <v>7</v>
      </c>
      <c r="AM226" s="27" t="s">
        <v>8</v>
      </c>
      <c r="AN226" s="27" t="s">
        <v>7</v>
      </c>
      <c r="AO226" s="27" t="s">
        <v>8</v>
      </c>
      <c r="AP226" s="27" t="s">
        <v>7</v>
      </c>
      <c r="BC226" s="27" t="s">
        <v>8</v>
      </c>
      <c r="BG226" s="27" t="s">
        <v>8</v>
      </c>
      <c r="BJ226" s="27" t="s">
        <v>7</v>
      </c>
      <c r="CI226" s="27" t="s">
        <v>8</v>
      </c>
      <c r="CJ226" s="27" t="s">
        <v>7</v>
      </c>
      <c r="CM226" s="27" t="s">
        <v>8</v>
      </c>
      <c r="CN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  <c r="DW226" s="27" t="s">
        <v>8</v>
      </c>
      <c r="DX226" s="27" t="s">
        <v>7</v>
      </c>
      <c r="DZ226" s="27" t="s">
        <v>7</v>
      </c>
      <c r="ED226" s="27" t="s">
        <v>7</v>
      </c>
      <c r="EE226" s="27" t="s">
        <v>8</v>
      </c>
      <c r="EF226" s="27" t="s">
        <v>7</v>
      </c>
      <c r="EI226" s="27" t="s">
        <v>8</v>
      </c>
      <c r="EJ226" s="27" t="s">
        <v>7</v>
      </c>
      <c r="EK226" s="27" t="s">
        <v>8</v>
      </c>
      <c r="EM226" s="27" t="s">
        <v>8</v>
      </c>
      <c r="EN226" s="27" t="s">
        <v>7</v>
      </c>
      <c r="EO226" s="27" t="s">
        <v>8</v>
      </c>
      <c r="EP226" s="27" t="s">
        <v>7</v>
      </c>
      <c r="EQ226" s="27" t="s">
        <v>8</v>
      </c>
      <c r="ER226" s="27" t="s">
        <v>7</v>
      </c>
      <c r="ET226" s="27" t="s">
        <v>7</v>
      </c>
      <c r="EU226" s="27" t="s">
        <v>8</v>
      </c>
      <c r="EV226" s="27" t="s">
        <v>7</v>
      </c>
      <c r="EW226" s="27" t="s">
        <v>8</v>
      </c>
      <c r="EX226" s="27" t="s">
        <v>7</v>
      </c>
      <c r="FA226" s="27" t="s">
        <v>8</v>
      </c>
      <c r="FF226" s="27" t="s">
        <v>7</v>
      </c>
      <c r="FG226" s="27" t="s">
        <v>8</v>
      </c>
    </row>
    <row r="227" spans="1:163" x14ac:dyDescent="0.25">
      <c r="A227" s="7">
        <v>1247.5611277488756</v>
      </c>
      <c r="B227"/>
      <c r="C227"/>
      <c r="D227"/>
      <c r="E227" t="s">
        <v>8</v>
      </c>
      <c r="V227" s="27" t="s">
        <v>7</v>
      </c>
      <c r="W227" s="27" t="s">
        <v>8</v>
      </c>
      <c r="Z227" s="27" t="s">
        <v>7</v>
      </c>
      <c r="AA227" s="27" t="s">
        <v>8</v>
      </c>
      <c r="AB227" s="27" t="s">
        <v>7</v>
      </c>
      <c r="AJ227" s="27" t="s">
        <v>7</v>
      </c>
      <c r="AK227" s="27" t="s">
        <v>8</v>
      </c>
      <c r="AL227" s="27" t="s">
        <v>7</v>
      </c>
      <c r="AM227" s="27" t="s">
        <v>8</v>
      </c>
      <c r="AN227" s="27" t="s">
        <v>7</v>
      </c>
      <c r="AO227" s="27" t="s">
        <v>8</v>
      </c>
      <c r="AP227" s="27" t="s">
        <v>7</v>
      </c>
      <c r="BC227" s="27" t="s">
        <v>8</v>
      </c>
      <c r="BD227" s="27" t="s">
        <v>7</v>
      </c>
      <c r="BG227" s="27" t="s">
        <v>8</v>
      </c>
      <c r="BJ227" s="27" t="s">
        <v>7</v>
      </c>
      <c r="CI227" s="27" t="s">
        <v>8</v>
      </c>
      <c r="CJ227" s="27" t="s">
        <v>7</v>
      </c>
      <c r="CM227" s="27" t="s">
        <v>8</v>
      </c>
      <c r="CN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  <c r="CW227" s="27" t="s">
        <v>8</v>
      </c>
      <c r="DK227" s="27" t="s">
        <v>8</v>
      </c>
      <c r="DO227" s="27" t="s">
        <v>8</v>
      </c>
      <c r="DQ227" s="27" t="s">
        <v>8</v>
      </c>
      <c r="DS227" s="27" t="s">
        <v>8</v>
      </c>
      <c r="DT227" s="27" t="s">
        <v>7</v>
      </c>
      <c r="DU227" s="27" t="s">
        <v>8</v>
      </c>
      <c r="DV227" s="27" t="s">
        <v>7</v>
      </c>
      <c r="DW227" s="27" t="s">
        <v>8</v>
      </c>
      <c r="ED227" s="27" t="s">
        <v>7</v>
      </c>
      <c r="EE227" s="27" t="s">
        <v>8</v>
      </c>
      <c r="EF227" s="27" t="s">
        <v>7</v>
      </c>
      <c r="EI227" s="27" t="s">
        <v>8</v>
      </c>
      <c r="EJ227" s="27" t="s">
        <v>7</v>
      </c>
      <c r="EK227" s="27" t="s">
        <v>8</v>
      </c>
      <c r="EL227" s="27" t="s">
        <v>7</v>
      </c>
      <c r="EM227" s="27" t="s">
        <v>8</v>
      </c>
      <c r="EN227" s="27" t="s">
        <v>7</v>
      </c>
      <c r="EO227" s="27" t="s">
        <v>8</v>
      </c>
      <c r="EP227" s="27" t="s">
        <v>7</v>
      </c>
      <c r="EQ227" s="27" t="s">
        <v>8</v>
      </c>
      <c r="ET227" s="27" t="s">
        <v>7</v>
      </c>
      <c r="EU227" s="27" t="s">
        <v>8</v>
      </c>
      <c r="EV227" s="27" t="s">
        <v>7</v>
      </c>
      <c r="EW227" s="27" t="s">
        <v>8</v>
      </c>
      <c r="EX227" s="27" t="s">
        <v>7</v>
      </c>
      <c r="EY227" s="27" t="s">
        <v>8</v>
      </c>
      <c r="FA227" s="27" t="s">
        <v>8</v>
      </c>
      <c r="FF227" s="27" t="s">
        <v>7</v>
      </c>
    </row>
    <row r="228" spans="1:163" x14ac:dyDescent="0.25">
      <c r="A228" s="7">
        <v>1223.0991448518389</v>
      </c>
      <c r="B228"/>
      <c r="C228"/>
      <c r="D228"/>
      <c r="E228" t="s">
        <v>8</v>
      </c>
      <c r="V228" s="27" t="s">
        <v>7</v>
      </c>
      <c r="Z228" s="27" t="s">
        <v>7</v>
      </c>
      <c r="AA228" s="27" t="s">
        <v>8</v>
      </c>
      <c r="AJ228" s="27" t="s">
        <v>7</v>
      </c>
      <c r="AK228" s="27" t="s">
        <v>8</v>
      </c>
      <c r="AL228" s="27" t="s">
        <v>7</v>
      </c>
      <c r="AM228" s="27" t="s">
        <v>8</v>
      </c>
      <c r="AN228" s="27" t="s">
        <v>7</v>
      </c>
      <c r="AO228" s="27" t="s">
        <v>8</v>
      </c>
      <c r="AP228" s="27" t="s">
        <v>7</v>
      </c>
      <c r="AY228" s="27" t="s">
        <v>8</v>
      </c>
      <c r="BA228" s="27" t="s">
        <v>8</v>
      </c>
      <c r="BC228" s="27" t="s">
        <v>8</v>
      </c>
      <c r="BD228" s="27" t="s">
        <v>7</v>
      </c>
      <c r="BG228" s="27" t="s">
        <v>8</v>
      </c>
      <c r="BJ228" s="27" t="s">
        <v>7</v>
      </c>
      <c r="CI228" s="27" t="s">
        <v>8</v>
      </c>
      <c r="CJ228" s="27" t="s">
        <v>7</v>
      </c>
      <c r="CK228" s="27" t="s">
        <v>8</v>
      </c>
      <c r="CM228" s="27" t="s">
        <v>8</v>
      </c>
      <c r="CN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X228" s="27" t="s">
        <v>7</v>
      </c>
      <c r="DK228" s="27" t="s">
        <v>8</v>
      </c>
      <c r="DL228" s="27" t="s">
        <v>7</v>
      </c>
      <c r="DO228" s="27" t="s">
        <v>8</v>
      </c>
      <c r="DP228" s="27" t="s">
        <v>7</v>
      </c>
      <c r="DQ228" s="27" t="s">
        <v>8</v>
      </c>
      <c r="DR228" s="27" t="s">
        <v>7</v>
      </c>
      <c r="DS228" s="27" t="s">
        <v>8</v>
      </c>
      <c r="DT228" s="27" t="s">
        <v>7</v>
      </c>
      <c r="DU228" s="27" t="s">
        <v>8</v>
      </c>
      <c r="DV228" s="27" t="s">
        <v>7</v>
      </c>
      <c r="DW228" s="27" t="s">
        <v>8</v>
      </c>
      <c r="ED228" s="27" t="s">
        <v>7</v>
      </c>
      <c r="EE228" s="27" t="s">
        <v>8</v>
      </c>
      <c r="EF228" s="27" t="s">
        <v>7</v>
      </c>
      <c r="EI228" s="27" t="s">
        <v>8</v>
      </c>
      <c r="EJ228" s="27" t="s">
        <v>7</v>
      </c>
      <c r="EK228" s="27" t="s">
        <v>8</v>
      </c>
      <c r="EL228" s="27" t="s">
        <v>7</v>
      </c>
      <c r="EM228" s="27" t="s">
        <v>8</v>
      </c>
      <c r="EN228" s="27" t="s">
        <v>7</v>
      </c>
      <c r="EO228" s="27" t="s">
        <v>8</v>
      </c>
      <c r="EP228" s="27" t="s">
        <v>7</v>
      </c>
      <c r="ET228" s="27" t="s">
        <v>7</v>
      </c>
      <c r="EV228" s="27" t="s">
        <v>7</v>
      </c>
      <c r="EW228" s="27" t="s">
        <v>8</v>
      </c>
      <c r="EX228" s="27" t="s">
        <v>7</v>
      </c>
      <c r="EY228" s="27" t="s">
        <v>8</v>
      </c>
      <c r="EZ228" s="27" t="s">
        <v>7</v>
      </c>
      <c r="FA228" s="27" t="s">
        <v>8</v>
      </c>
    </row>
    <row r="229" spans="1:163" x14ac:dyDescent="0.25">
      <c r="A229" s="7">
        <v>1199.1168086782734</v>
      </c>
      <c r="B229"/>
      <c r="C229"/>
      <c r="D229"/>
      <c r="E229" t="s">
        <v>8</v>
      </c>
      <c r="Z229" s="27" t="s">
        <v>7</v>
      </c>
      <c r="AA229" s="27" t="s">
        <v>8</v>
      </c>
      <c r="AJ229" s="27" t="s">
        <v>7</v>
      </c>
      <c r="AK229" s="27" t="s">
        <v>8</v>
      </c>
      <c r="AL229" s="27" t="s">
        <v>7</v>
      </c>
      <c r="AM229" s="27" t="s">
        <v>8</v>
      </c>
      <c r="AN229" s="27" t="s">
        <v>7</v>
      </c>
      <c r="AO229" s="27" t="s">
        <v>8</v>
      </c>
      <c r="AP229" s="27" t="s">
        <v>7</v>
      </c>
      <c r="AY229" s="27" t="s">
        <v>8</v>
      </c>
      <c r="AZ229" s="27" t="s">
        <v>7</v>
      </c>
      <c r="BA229" s="27" t="s">
        <v>8</v>
      </c>
      <c r="BB229" s="27" t="s">
        <v>7</v>
      </c>
      <c r="BC229" s="27" t="s">
        <v>8</v>
      </c>
      <c r="BD229" s="27" t="s">
        <v>7</v>
      </c>
      <c r="BG229" s="27" t="s">
        <v>8</v>
      </c>
      <c r="BJ229" s="27" t="s">
        <v>7</v>
      </c>
      <c r="BK229" s="27" t="s">
        <v>8</v>
      </c>
      <c r="CI229" s="27" t="s">
        <v>8</v>
      </c>
      <c r="CJ229" s="27" t="s">
        <v>7</v>
      </c>
      <c r="CK229" s="27" t="s">
        <v>8</v>
      </c>
      <c r="CL229" s="27" t="s">
        <v>7</v>
      </c>
      <c r="CM229" s="27" t="s">
        <v>8</v>
      </c>
      <c r="CN229" s="27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  <c r="CW229" s="27" t="s">
        <v>8</v>
      </c>
      <c r="CX229" s="27" t="s">
        <v>7</v>
      </c>
      <c r="CY229" s="27" t="s">
        <v>8</v>
      </c>
      <c r="DK229" s="27" t="s">
        <v>8</v>
      </c>
      <c r="DL229" s="27" t="s">
        <v>7</v>
      </c>
      <c r="DO229" s="27" t="s">
        <v>8</v>
      </c>
      <c r="DP229" s="27" t="s">
        <v>7</v>
      </c>
      <c r="DQ229" s="27" t="s">
        <v>8</v>
      </c>
      <c r="DR229" s="27" t="s">
        <v>7</v>
      </c>
      <c r="DS229" s="27" t="s">
        <v>8</v>
      </c>
      <c r="DT229" s="27" t="s">
        <v>7</v>
      </c>
      <c r="DV229" s="27" t="s">
        <v>7</v>
      </c>
      <c r="ED229" s="27" t="s">
        <v>7</v>
      </c>
      <c r="EF229" s="27" t="s">
        <v>7</v>
      </c>
      <c r="EI229" s="27" t="s">
        <v>8</v>
      </c>
      <c r="EJ229" s="27" t="s">
        <v>7</v>
      </c>
      <c r="EL229" s="27" t="s">
        <v>7</v>
      </c>
      <c r="EN229" s="27" t="s">
        <v>7</v>
      </c>
      <c r="EO229" s="27" t="s">
        <v>8</v>
      </c>
      <c r="EV229" s="27" t="s">
        <v>7</v>
      </c>
      <c r="EW229" s="27" t="s">
        <v>8</v>
      </c>
      <c r="EX229" s="27" t="s">
        <v>7</v>
      </c>
      <c r="EY229" s="27" t="s">
        <v>8</v>
      </c>
      <c r="EZ229" s="27" t="s">
        <v>7</v>
      </c>
      <c r="FA229" s="27" t="s">
        <v>8</v>
      </c>
    </row>
    <row r="230" spans="1:163" x14ac:dyDescent="0.25">
      <c r="A230" s="7">
        <v>1175.6047143904641</v>
      </c>
      <c r="B230"/>
      <c r="C230"/>
      <c r="D230"/>
      <c r="E230" t="s">
        <v>8</v>
      </c>
      <c r="Z230" s="27" t="s">
        <v>7</v>
      </c>
      <c r="AA230" s="27" t="s">
        <v>8</v>
      </c>
      <c r="AJ230" s="27" t="s">
        <v>7</v>
      </c>
      <c r="AK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AP230" s="27" t="s">
        <v>7</v>
      </c>
      <c r="AY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D230" s="27" t="s">
        <v>7</v>
      </c>
      <c r="BG230" s="27" t="s">
        <v>8</v>
      </c>
      <c r="BJ230" s="27" t="s">
        <v>7</v>
      </c>
      <c r="BK230" s="27" t="s">
        <v>8</v>
      </c>
      <c r="BL230" s="27" t="s">
        <v>7</v>
      </c>
      <c r="CC230" s="27" t="s">
        <v>8</v>
      </c>
      <c r="CI230" s="27" t="s">
        <v>8</v>
      </c>
      <c r="CJ230" s="27" t="s">
        <v>7</v>
      </c>
      <c r="CK230" s="27" t="s">
        <v>8</v>
      </c>
      <c r="CL230" s="27" t="s">
        <v>7</v>
      </c>
      <c r="CM230" s="27" t="s">
        <v>8</v>
      </c>
      <c r="CN230" s="27" t="s">
        <v>7</v>
      </c>
      <c r="CS230" s="27" t="s">
        <v>8</v>
      </c>
      <c r="CT230" s="27" t="s">
        <v>7</v>
      </c>
      <c r="CU230" s="27" t="s">
        <v>8</v>
      </c>
      <c r="CV230" s="27" t="s">
        <v>7</v>
      </c>
      <c r="CW230" s="27" t="s">
        <v>8</v>
      </c>
      <c r="CX230" s="27" t="s">
        <v>7</v>
      </c>
      <c r="CY230" s="27" t="s">
        <v>8</v>
      </c>
      <c r="CZ230" s="27" t="s">
        <v>7</v>
      </c>
      <c r="DK230" s="27" t="s">
        <v>8</v>
      </c>
      <c r="DL230" s="27" t="s">
        <v>7</v>
      </c>
      <c r="DO230" s="27" t="s">
        <v>8</v>
      </c>
      <c r="DP230" s="27" t="s">
        <v>7</v>
      </c>
      <c r="DQ230" s="27" t="s">
        <v>8</v>
      </c>
      <c r="DR230" s="27" t="s">
        <v>7</v>
      </c>
      <c r="DS230" s="27" t="s">
        <v>8</v>
      </c>
      <c r="EF230" s="27" t="s">
        <v>7</v>
      </c>
      <c r="EG230" s="27" t="s">
        <v>8</v>
      </c>
      <c r="EI230" s="27" t="s">
        <v>8</v>
      </c>
      <c r="EN230" s="27" t="s">
        <v>7</v>
      </c>
      <c r="EV230" s="27" t="s">
        <v>7</v>
      </c>
      <c r="EW230" s="27" t="s">
        <v>8</v>
      </c>
      <c r="EX230" s="27" t="s">
        <v>7</v>
      </c>
      <c r="EY230" s="27" t="s">
        <v>8</v>
      </c>
      <c r="EZ230" s="27" t="s">
        <v>7</v>
      </c>
      <c r="FA230" s="27" t="s">
        <v>8</v>
      </c>
    </row>
    <row r="231" spans="1:163" x14ac:dyDescent="0.25">
      <c r="A231" s="7">
        <v>1152.5536415592785</v>
      </c>
      <c r="B231"/>
      <c r="C231"/>
      <c r="D231"/>
      <c r="E231" t="s">
        <v>8</v>
      </c>
      <c r="Z231" s="27" t="s">
        <v>7</v>
      </c>
      <c r="AA231" s="27" t="s">
        <v>8</v>
      </c>
      <c r="AJ231" s="27" t="s">
        <v>7</v>
      </c>
      <c r="AL231" s="27" t="s">
        <v>7</v>
      </c>
      <c r="AM231" s="27" t="s">
        <v>8</v>
      </c>
      <c r="AN231" s="27" t="s">
        <v>7</v>
      </c>
      <c r="AP231" s="27" t="s">
        <v>7</v>
      </c>
      <c r="AY231" s="27" t="s">
        <v>8</v>
      </c>
      <c r="AZ231" s="27" t="s">
        <v>7</v>
      </c>
      <c r="BA231" s="27" t="s">
        <v>8</v>
      </c>
      <c r="BB231" s="27" t="s">
        <v>7</v>
      </c>
      <c r="BC231" s="27" t="s">
        <v>8</v>
      </c>
      <c r="BD231" s="27" t="s">
        <v>7</v>
      </c>
      <c r="BG231" s="27" t="s">
        <v>8</v>
      </c>
      <c r="BJ231" s="27" t="s">
        <v>7</v>
      </c>
      <c r="BK231" s="27" t="s">
        <v>8</v>
      </c>
      <c r="BL231" s="27" t="s">
        <v>7</v>
      </c>
      <c r="CC231" s="27" t="s">
        <v>8</v>
      </c>
      <c r="CD231" s="27" t="s">
        <v>7</v>
      </c>
      <c r="CI231" s="27" t="s">
        <v>8</v>
      </c>
      <c r="CJ231" s="27" t="s">
        <v>7</v>
      </c>
      <c r="CK231" s="27" t="s">
        <v>8</v>
      </c>
      <c r="CL231" s="27" t="s">
        <v>7</v>
      </c>
      <c r="CM231" s="27" t="s">
        <v>8</v>
      </c>
      <c r="CN231" s="27" t="s">
        <v>7</v>
      </c>
      <c r="CO231" s="27" t="s">
        <v>8</v>
      </c>
      <c r="CS231" s="27" t="s">
        <v>8</v>
      </c>
      <c r="CT231" s="27" t="s">
        <v>7</v>
      </c>
      <c r="CU231" s="27" t="s">
        <v>8</v>
      </c>
      <c r="CV231" s="27" t="s">
        <v>7</v>
      </c>
      <c r="CW231" s="27" t="s">
        <v>8</v>
      </c>
      <c r="CX231" s="27" t="s">
        <v>7</v>
      </c>
      <c r="CY231" s="27" t="s">
        <v>8</v>
      </c>
      <c r="CZ231" s="27" t="s">
        <v>7</v>
      </c>
      <c r="DA231" s="27" t="s">
        <v>8</v>
      </c>
      <c r="DC231" s="27" t="s">
        <v>8</v>
      </c>
      <c r="DK231" s="27" t="s">
        <v>8</v>
      </c>
      <c r="DL231" s="27" t="s">
        <v>7</v>
      </c>
      <c r="DO231" s="27" t="s">
        <v>8</v>
      </c>
      <c r="DP231" s="27" t="s">
        <v>7</v>
      </c>
      <c r="DQ231" s="27" t="s">
        <v>8</v>
      </c>
      <c r="DR231" s="27" t="s">
        <v>7</v>
      </c>
      <c r="DS231" s="27" t="s">
        <v>8</v>
      </c>
      <c r="EF231" s="27" t="s">
        <v>7</v>
      </c>
      <c r="EG231" s="27" t="s">
        <v>8</v>
      </c>
      <c r="EH231" s="27" t="s">
        <v>7</v>
      </c>
      <c r="EI231" s="27" t="s">
        <v>8</v>
      </c>
      <c r="EV231" s="27" t="s">
        <v>7</v>
      </c>
      <c r="EX231" s="27" t="s">
        <v>7</v>
      </c>
      <c r="EY231" s="27" t="s">
        <v>8</v>
      </c>
      <c r="EZ231" s="27" t="s">
        <v>7</v>
      </c>
      <c r="FA231" s="27" t="s">
        <v>8</v>
      </c>
    </row>
    <row r="232" spans="1:163" x14ac:dyDescent="0.25">
      <c r="A232" s="7">
        <v>1129.9545505483122</v>
      </c>
      <c r="B232"/>
      <c r="C232"/>
      <c r="D232"/>
      <c r="E232" t="s">
        <v>8</v>
      </c>
      <c r="Z232" s="27" t="s">
        <v>7</v>
      </c>
      <c r="AA232" s="27" t="s">
        <v>8</v>
      </c>
      <c r="AL232" s="27" t="s">
        <v>7</v>
      </c>
      <c r="AP232" s="27" t="s">
        <v>7</v>
      </c>
      <c r="AY232" s="27" t="s">
        <v>8</v>
      </c>
      <c r="AZ232" s="27" t="s">
        <v>7</v>
      </c>
      <c r="BA232" s="27" t="s">
        <v>8</v>
      </c>
      <c r="BB232" s="27" t="s">
        <v>7</v>
      </c>
      <c r="BC232" s="27" t="s">
        <v>8</v>
      </c>
      <c r="BD232" s="27" t="s">
        <v>7</v>
      </c>
      <c r="BE232" s="27" t="s">
        <v>8</v>
      </c>
      <c r="BG232" s="27" t="s">
        <v>8</v>
      </c>
      <c r="BJ232" s="27" t="s">
        <v>7</v>
      </c>
      <c r="BK232" s="27" t="s">
        <v>8</v>
      </c>
      <c r="BL232" s="27" t="s">
        <v>7</v>
      </c>
      <c r="BM232" s="27" t="s">
        <v>8</v>
      </c>
      <c r="CC232" s="27" t="s">
        <v>8</v>
      </c>
      <c r="CD232" s="27" t="s">
        <v>7</v>
      </c>
      <c r="CI232" s="27" t="s">
        <v>8</v>
      </c>
      <c r="CJ232" s="27" t="s">
        <v>7</v>
      </c>
      <c r="CL232" s="27" t="s">
        <v>7</v>
      </c>
      <c r="CM232" s="27" t="s">
        <v>8</v>
      </c>
      <c r="CN232" s="27" t="s">
        <v>7</v>
      </c>
      <c r="CO232" s="27" t="s">
        <v>8</v>
      </c>
      <c r="CP232" s="27" t="s">
        <v>7</v>
      </c>
      <c r="CS232" s="27" t="s">
        <v>8</v>
      </c>
      <c r="CT232" s="27" t="s">
        <v>7</v>
      </c>
      <c r="CU232" s="27" t="s">
        <v>8</v>
      </c>
      <c r="CV232" s="27" t="s">
        <v>7</v>
      </c>
      <c r="CX232" s="27" t="s">
        <v>7</v>
      </c>
      <c r="CY232" s="27" t="s">
        <v>8</v>
      </c>
      <c r="CZ232" s="27" t="s">
        <v>7</v>
      </c>
      <c r="DA232" s="27" t="s">
        <v>8</v>
      </c>
      <c r="DB232" s="27" t="s">
        <v>7</v>
      </c>
      <c r="DC232" s="27" t="s">
        <v>8</v>
      </c>
      <c r="DD232" s="27" t="s">
        <v>7</v>
      </c>
      <c r="DK232" s="27" t="s">
        <v>8</v>
      </c>
      <c r="DL232" s="27" t="s">
        <v>7</v>
      </c>
      <c r="DO232" s="27" t="s">
        <v>8</v>
      </c>
      <c r="DP232" s="27" t="s">
        <v>7</v>
      </c>
      <c r="DQ232" s="27" t="s">
        <v>8</v>
      </c>
      <c r="DR232" s="27" t="s">
        <v>7</v>
      </c>
      <c r="EF232" s="27" t="s">
        <v>7</v>
      </c>
      <c r="EG232" s="27" t="s">
        <v>8</v>
      </c>
      <c r="EH232" s="27" t="s">
        <v>7</v>
      </c>
      <c r="EI232" s="27" t="s">
        <v>8</v>
      </c>
      <c r="EX232" s="27" t="s">
        <v>7</v>
      </c>
      <c r="EY232" s="27" t="s">
        <v>8</v>
      </c>
      <c r="EZ232" s="27" t="s">
        <v>7</v>
      </c>
      <c r="FA232" s="27" t="s">
        <v>8</v>
      </c>
    </row>
    <row r="233" spans="1:163" x14ac:dyDescent="0.25">
      <c r="A233" s="7">
        <v>1107.7985789689335</v>
      </c>
      <c r="B233"/>
      <c r="C233"/>
      <c r="D233"/>
      <c r="E233" t="s">
        <v>8</v>
      </c>
      <c r="Z233" s="27" t="s">
        <v>7</v>
      </c>
      <c r="AA233" s="27" t="s">
        <v>8</v>
      </c>
      <c r="AP233" s="27" t="s">
        <v>7</v>
      </c>
      <c r="AY233" s="27" t="s">
        <v>8</v>
      </c>
      <c r="AZ233" s="27" t="s">
        <v>7</v>
      </c>
      <c r="BA233" s="27" t="s">
        <v>8</v>
      </c>
      <c r="BB233" s="27" t="s">
        <v>7</v>
      </c>
      <c r="BC233" s="27" t="s">
        <v>8</v>
      </c>
      <c r="BD233" s="27" t="s">
        <v>7</v>
      </c>
      <c r="BE233" s="27" t="s">
        <v>8</v>
      </c>
      <c r="BF233" s="27" t="s">
        <v>7</v>
      </c>
      <c r="BG233" s="27" t="s">
        <v>8</v>
      </c>
      <c r="BJ233" s="27" t="s">
        <v>7</v>
      </c>
      <c r="BK233" s="27" t="s">
        <v>8</v>
      </c>
      <c r="BL233" s="27" t="s">
        <v>7</v>
      </c>
      <c r="BM233" s="27" t="s">
        <v>8</v>
      </c>
      <c r="BN233" s="27" t="s">
        <v>7</v>
      </c>
      <c r="CC233" s="27" t="s">
        <v>8</v>
      </c>
      <c r="CD233" s="27" t="s">
        <v>7</v>
      </c>
      <c r="CE233" s="27" t="s">
        <v>8</v>
      </c>
      <c r="CG233" s="27" t="s">
        <v>8</v>
      </c>
      <c r="CI233" s="27" t="s">
        <v>8</v>
      </c>
      <c r="CL233" s="27" t="s">
        <v>7</v>
      </c>
      <c r="CM233" s="27" t="s">
        <v>8</v>
      </c>
      <c r="CN233" s="27" t="s">
        <v>7</v>
      </c>
      <c r="CO233" s="27" t="s">
        <v>8</v>
      </c>
      <c r="CP233" s="27" t="s">
        <v>7</v>
      </c>
      <c r="CQ233" s="27" t="s">
        <v>8</v>
      </c>
      <c r="CS233" s="27" t="s">
        <v>8</v>
      </c>
      <c r="CT233" s="27" t="s">
        <v>7</v>
      </c>
      <c r="CU233" s="27" t="s">
        <v>8</v>
      </c>
      <c r="CX233" s="27" t="s">
        <v>7</v>
      </c>
      <c r="CY233" s="27" t="s">
        <v>8</v>
      </c>
      <c r="CZ233" s="27" t="s">
        <v>7</v>
      </c>
      <c r="DA233" s="27" t="s">
        <v>8</v>
      </c>
      <c r="DB233" s="27" t="s">
        <v>7</v>
      </c>
      <c r="DC233" s="27" t="s">
        <v>8</v>
      </c>
      <c r="DD233" s="27" t="s">
        <v>7</v>
      </c>
      <c r="DE233" s="27" t="s">
        <v>8</v>
      </c>
      <c r="DG233" s="27" t="s">
        <v>8</v>
      </c>
      <c r="DK233" s="27" t="s">
        <v>8</v>
      </c>
      <c r="DL233" s="27" t="s">
        <v>7</v>
      </c>
      <c r="DO233" s="27" t="s">
        <v>8</v>
      </c>
      <c r="DP233" s="27" t="s">
        <v>7</v>
      </c>
      <c r="DQ233" s="27" t="s">
        <v>8</v>
      </c>
      <c r="EF233" s="27" t="s">
        <v>7</v>
      </c>
      <c r="EG233" s="27" t="s">
        <v>8</v>
      </c>
      <c r="EH233" s="27" t="s">
        <v>7</v>
      </c>
      <c r="EX233" s="27" t="s">
        <v>7</v>
      </c>
      <c r="EZ233" s="27" t="s">
        <v>7</v>
      </c>
    </row>
    <row r="234" spans="1:163" x14ac:dyDescent="0.25">
      <c r="A234" s="7">
        <v>1086.0770382048368</v>
      </c>
      <c r="B234"/>
      <c r="C234"/>
      <c r="D234"/>
      <c r="E234" t="s">
        <v>8</v>
      </c>
      <c r="Z234" s="27" t="s">
        <v>7</v>
      </c>
      <c r="AA234" s="27" t="s">
        <v>8</v>
      </c>
      <c r="AP234" s="27" t="s">
        <v>7</v>
      </c>
      <c r="AU234" s="27" t="s">
        <v>8</v>
      </c>
      <c r="AY234" s="27" t="s">
        <v>8</v>
      </c>
      <c r="AZ234" s="27" t="s">
        <v>7</v>
      </c>
      <c r="BA234" s="27" t="s">
        <v>8</v>
      </c>
      <c r="BB234" s="27" t="s">
        <v>7</v>
      </c>
      <c r="BC234" s="27" t="s">
        <v>8</v>
      </c>
      <c r="BD234" s="27" t="s">
        <v>7</v>
      </c>
      <c r="BE234" s="27" t="s">
        <v>8</v>
      </c>
      <c r="BF234" s="27" t="s">
        <v>7</v>
      </c>
      <c r="BG234" s="27" t="s">
        <v>8</v>
      </c>
      <c r="BJ234" s="27" t="s">
        <v>7</v>
      </c>
      <c r="BK234" s="27" t="s">
        <v>8</v>
      </c>
      <c r="BL234" s="27" t="s">
        <v>7</v>
      </c>
      <c r="BM234" s="27" t="s">
        <v>8</v>
      </c>
      <c r="BN234" s="27" t="s">
        <v>7</v>
      </c>
      <c r="BQ234" s="27" t="s">
        <v>8</v>
      </c>
      <c r="BS234" s="27" t="s">
        <v>8</v>
      </c>
      <c r="CA234" s="27" t="s">
        <v>8</v>
      </c>
      <c r="CC234" s="27" t="s">
        <v>8</v>
      </c>
      <c r="CD234" s="27" t="s">
        <v>7</v>
      </c>
      <c r="CE234" s="27" t="s">
        <v>8</v>
      </c>
      <c r="CF234" s="27" t="s">
        <v>7</v>
      </c>
      <c r="CG234" s="27" t="s">
        <v>8</v>
      </c>
      <c r="CH234" s="27" t="s">
        <v>7</v>
      </c>
      <c r="CI234" s="27" t="s">
        <v>8</v>
      </c>
      <c r="CL234" s="27" t="s">
        <v>7</v>
      </c>
      <c r="CM234" s="27" t="s">
        <v>8</v>
      </c>
      <c r="CN234" s="27" t="s">
        <v>7</v>
      </c>
      <c r="CO234" s="27" t="s">
        <v>8</v>
      </c>
      <c r="CP234" s="27" t="s">
        <v>7</v>
      </c>
      <c r="CQ234" s="27" t="s">
        <v>8</v>
      </c>
      <c r="CR234" s="27" t="s">
        <v>7</v>
      </c>
      <c r="CS234" s="27" t="s">
        <v>8</v>
      </c>
      <c r="CT234" s="27" t="s">
        <v>7</v>
      </c>
      <c r="CU234" s="27" t="s">
        <v>8</v>
      </c>
      <c r="CX234" s="27" t="s">
        <v>7</v>
      </c>
      <c r="CY234" s="27" t="s">
        <v>8</v>
      </c>
      <c r="CZ234" s="27" t="s">
        <v>7</v>
      </c>
      <c r="DA234" s="27" t="s">
        <v>8</v>
      </c>
      <c r="DB234" s="27" t="s">
        <v>7</v>
      </c>
      <c r="DC234" s="27" t="s">
        <v>8</v>
      </c>
      <c r="DD234" s="27" t="s">
        <v>7</v>
      </c>
      <c r="DE234" s="27" t="s">
        <v>8</v>
      </c>
      <c r="DF234" s="27" t="s">
        <v>7</v>
      </c>
      <c r="DG234" s="27" t="s">
        <v>8</v>
      </c>
      <c r="DH234" s="27" t="s">
        <v>7</v>
      </c>
      <c r="DK234" s="27" t="s">
        <v>8</v>
      </c>
      <c r="DL234" s="27" t="s">
        <v>7</v>
      </c>
      <c r="DM234" s="27" t="s">
        <v>8</v>
      </c>
      <c r="DO234" s="27" t="s">
        <v>8</v>
      </c>
      <c r="DP234" s="27" t="s">
        <v>7</v>
      </c>
      <c r="DQ234" s="27" t="s">
        <v>8</v>
      </c>
      <c r="EF234" s="27" t="s">
        <v>7</v>
      </c>
      <c r="EG234" s="27" t="s">
        <v>8</v>
      </c>
    </row>
    <row r="235" spans="1:163" x14ac:dyDescent="0.25">
      <c r="A235" s="7">
        <v>1064.7814100047419</v>
      </c>
      <c r="B235"/>
      <c r="C235"/>
      <c r="D235"/>
      <c r="E235" t="s">
        <v>8</v>
      </c>
      <c r="Z235" s="27" t="s">
        <v>7</v>
      </c>
      <c r="AP235" s="27" t="s">
        <v>7</v>
      </c>
      <c r="AU235" s="27" t="s">
        <v>8</v>
      </c>
      <c r="AV235" s="27" t="s">
        <v>7</v>
      </c>
      <c r="AY235" s="27" t="s">
        <v>8</v>
      </c>
      <c r="AZ235" s="27" t="s">
        <v>7</v>
      </c>
      <c r="BA235" s="27" t="s">
        <v>8</v>
      </c>
      <c r="BB235" s="27" t="s">
        <v>7</v>
      </c>
      <c r="BC235" s="27" t="s">
        <v>8</v>
      </c>
      <c r="BD235" s="27" t="s">
        <v>7</v>
      </c>
      <c r="BE235" s="27" t="s">
        <v>8</v>
      </c>
      <c r="BF235" s="27" t="s">
        <v>7</v>
      </c>
      <c r="BG235" s="27" t="s">
        <v>8</v>
      </c>
      <c r="BJ235" s="27" t="s">
        <v>7</v>
      </c>
      <c r="BK235" s="27" t="s">
        <v>8</v>
      </c>
      <c r="BL235" s="27" t="s">
        <v>7</v>
      </c>
      <c r="BM235" s="27" t="s">
        <v>8</v>
      </c>
      <c r="BN235" s="27" t="s">
        <v>7</v>
      </c>
      <c r="BQ235" s="27" t="s">
        <v>8</v>
      </c>
      <c r="BR235" s="27" t="s">
        <v>7</v>
      </c>
      <c r="BS235" s="27" t="s">
        <v>8</v>
      </c>
      <c r="BT235" s="27" t="s">
        <v>7</v>
      </c>
      <c r="CA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F235" s="27" t="s">
        <v>7</v>
      </c>
      <c r="CG235" s="27" t="s">
        <v>8</v>
      </c>
      <c r="CH235" s="27" t="s">
        <v>7</v>
      </c>
      <c r="CI235" s="27" t="s">
        <v>8</v>
      </c>
      <c r="CL235" s="27" t="s">
        <v>7</v>
      </c>
      <c r="CM235" s="27" t="s">
        <v>8</v>
      </c>
      <c r="CN235" s="27" t="s">
        <v>7</v>
      </c>
      <c r="CP235" s="27" t="s">
        <v>7</v>
      </c>
      <c r="CQ235" s="27" t="s">
        <v>8</v>
      </c>
      <c r="CR235" s="27" t="s">
        <v>7</v>
      </c>
      <c r="CS235" s="27" t="s">
        <v>8</v>
      </c>
      <c r="CT235" s="27" t="s">
        <v>7</v>
      </c>
      <c r="CU235" s="27" t="s">
        <v>8</v>
      </c>
      <c r="CX235" s="27" t="s">
        <v>7</v>
      </c>
      <c r="CZ235" s="27" t="s">
        <v>7</v>
      </c>
      <c r="DB235" s="27" t="s">
        <v>7</v>
      </c>
      <c r="DC235" s="27" t="s">
        <v>8</v>
      </c>
      <c r="DD235" s="27" t="s">
        <v>7</v>
      </c>
      <c r="DE235" s="27" t="s">
        <v>8</v>
      </c>
      <c r="DF235" s="27" t="s">
        <v>7</v>
      </c>
      <c r="DG235" s="27" t="s">
        <v>8</v>
      </c>
      <c r="DH235" s="27" t="s">
        <v>7</v>
      </c>
      <c r="DI235" s="27" t="s">
        <v>8</v>
      </c>
      <c r="DK235" s="27" t="s">
        <v>8</v>
      </c>
      <c r="DL235" s="27" t="s">
        <v>7</v>
      </c>
      <c r="DM235" s="27" t="s">
        <v>8</v>
      </c>
      <c r="DN235" s="27" t="s">
        <v>7</v>
      </c>
      <c r="DO235" s="27" t="s">
        <v>8</v>
      </c>
      <c r="DP235" s="27" t="s">
        <v>7</v>
      </c>
      <c r="DQ235" s="27" t="s">
        <v>8</v>
      </c>
      <c r="EF235" s="27" t="s">
        <v>7</v>
      </c>
      <c r="EG235" s="27" t="s">
        <v>8</v>
      </c>
    </row>
    <row r="236" spans="1:163" x14ac:dyDescent="0.25">
      <c r="A236" s="7">
        <v>1043.9033431419039</v>
      </c>
      <c r="B236"/>
      <c r="C236"/>
      <c r="D236"/>
      <c r="E236" t="s">
        <v>8</v>
      </c>
      <c r="AP236" s="27" t="s">
        <v>7</v>
      </c>
      <c r="AU236" s="27" t="s">
        <v>8</v>
      </c>
      <c r="AV236" s="27" t="s">
        <v>7</v>
      </c>
      <c r="AY236" s="27" t="s">
        <v>8</v>
      </c>
      <c r="AZ236" s="27" t="s">
        <v>7</v>
      </c>
      <c r="BA236" s="27" t="s">
        <v>8</v>
      </c>
      <c r="BB236" s="27" t="s">
        <v>7</v>
      </c>
      <c r="BC236" s="27" t="s">
        <v>8</v>
      </c>
      <c r="BD236" s="27" t="s">
        <v>7</v>
      </c>
      <c r="BE236" s="27" t="s">
        <v>8</v>
      </c>
      <c r="BF236" s="27" t="s">
        <v>7</v>
      </c>
      <c r="BG236" s="27" t="s">
        <v>8</v>
      </c>
      <c r="BJ236" s="27" t="s">
        <v>7</v>
      </c>
      <c r="BK236" s="27" t="s">
        <v>8</v>
      </c>
      <c r="BL236" s="27" t="s">
        <v>7</v>
      </c>
      <c r="BM236" s="27" t="s">
        <v>8</v>
      </c>
      <c r="BN236" s="27" t="s">
        <v>7</v>
      </c>
      <c r="BO236" s="27" t="s">
        <v>8</v>
      </c>
      <c r="BQ236" s="27" t="s">
        <v>8</v>
      </c>
      <c r="BR236" s="27" t="s">
        <v>7</v>
      </c>
      <c r="BS236" s="27" t="s">
        <v>8</v>
      </c>
      <c r="BT236" s="27" t="s">
        <v>7</v>
      </c>
      <c r="CA236" s="27" t="s">
        <v>8</v>
      </c>
      <c r="CB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G236" s="27" t="s">
        <v>8</v>
      </c>
      <c r="CH236" s="27" t="s">
        <v>7</v>
      </c>
      <c r="CI236" s="27" t="s">
        <v>8</v>
      </c>
      <c r="CL236" s="27" t="s">
        <v>7</v>
      </c>
      <c r="CP236" s="27" t="s">
        <v>7</v>
      </c>
      <c r="CQ236" s="27" t="s">
        <v>8</v>
      </c>
      <c r="CR236" s="27" t="s">
        <v>7</v>
      </c>
      <c r="CS236" s="27" t="s">
        <v>8</v>
      </c>
      <c r="CT236" s="27" t="s">
        <v>7</v>
      </c>
      <c r="CU236" s="27" t="s">
        <v>8</v>
      </c>
      <c r="DB236" s="27" t="s">
        <v>7</v>
      </c>
      <c r="DC236" s="27" t="s">
        <v>8</v>
      </c>
      <c r="DD236" s="27" t="s">
        <v>7</v>
      </c>
      <c r="DE236" s="27" t="s">
        <v>8</v>
      </c>
      <c r="DF236" s="27" t="s">
        <v>7</v>
      </c>
      <c r="DG236" s="27" t="s">
        <v>8</v>
      </c>
      <c r="DH236" s="27" t="s">
        <v>7</v>
      </c>
      <c r="DI236" s="27" t="s">
        <v>8</v>
      </c>
      <c r="DJ236" s="27" t="s">
        <v>7</v>
      </c>
      <c r="DK236" s="27" t="s">
        <v>8</v>
      </c>
      <c r="DL236" s="27" t="s">
        <v>7</v>
      </c>
      <c r="DM236" s="27" t="s">
        <v>8</v>
      </c>
      <c r="DN236" s="27" t="s">
        <v>7</v>
      </c>
      <c r="DO236" s="27" t="s">
        <v>8</v>
      </c>
      <c r="DP236" s="27" t="s">
        <v>7</v>
      </c>
      <c r="DQ236" s="27" t="s">
        <v>8</v>
      </c>
      <c r="EF236" s="27" t="s">
        <v>7</v>
      </c>
    </row>
    <row r="237" spans="1:163" x14ac:dyDescent="0.25">
      <c r="A237" s="7">
        <v>1023.4346501391215</v>
      </c>
      <c r="B237"/>
      <c r="C237"/>
      <c r="D237"/>
      <c r="E237" t="s">
        <v>8</v>
      </c>
      <c r="AP237" s="27" t="s">
        <v>7</v>
      </c>
      <c r="AU237" s="27" t="s">
        <v>8</v>
      </c>
      <c r="AV237" s="27" t="s">
        <v>7</v>
      </c>
      <c r="AY237" s="27" t="s">
        <v>8</v>
      </c>
      <c r="AZ237" s="27" t="s">
        <v>7</v>
      </c>
      <c r="BB237" s="27" t="s">
        <v>7</v>
      </c>
      <c r="BC237" s="27" t="s">
        <v>8</v>
      </c>
      <c r="BD237" s="27" t="s">
        <v>7</v>
      </c>
      <c r="BE237" s="27" t="s">
        <v>8</v>
      </c>
      <c r="BF237" s="27" t="s">
        <v>7</v>
      </c>
      <c r="BJ237" s="27" t="s">
        <v>7</v>
      </c>
      <c r="BK237" s="27" t="s">
        <v>8</v>
      </c>
      <c r="BL237" s="27" t="s">
        <v>7</v>
      </c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BT237" s="27" t="s">
        <v>7</v>
      </c>
      <c r="CA237" s="27" t="s">
        <v>8</v>
      </c>
      <c r="CB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G237" s="27" t="s">
        <v>8</v>
      </c>
      <c r="CH237" s="27" t="s">
        <v>7</v>
      </c>
      <c r="CI237" s="27" t="s">
        <v>8</v>
      </c>
      <c r="CP237" s="27" t="s">
        <v>7</v>
      </c>
      <c r="CR237" s="27" t="s">
        <v>7</v>
      </c>
      <c r="CS237" s="27" t="s">
        <v>8</v>
      </c>
      <c r="CT237" s="27" t="s">
        <v>7</v>
      </c>
      <c r="DB237" s="27" t="s">
        <v>7</v>
      </c>
      <c r="DC237" s="27" t="s">
        <v>8</v>
      </c>
      <c r="DD237" s="27" t="s">
        <v>7</v>
      </c>
      <c r="DE237" s="27" t="s">
        <v>8</v>
      </c>
      <c r="DF237" s="27" t="s">
        <v>7</v>
      </c>
      <c r="DG237" s="27" t="s">
        <v>8</v>
      </c>
      <c r="DH237" s="27" t="s">
        <v>7</v>
      </c>
      <c r="DI237" s="27" t="s">
        <v>8</v>
      </c>
      <c r="DJ237" s="27" t="s">
        <v>7</v>
      </c>
      <c r="DK237" s="27" t="s">
        <v>8</v>
      </c>
      <c r="DL237" s="27" t="s">
        <v>7</v>
      </c>
      <c r="DN237" s="27" t="s">
        <v>7</v>
      </c>
      <c r="DP237" s="27" t="s">
        <v>7</v>
      </c>
      <c r="DQ237" s="27" t="s">
        <v>8</v>
      </c>
    </row>
    <row r="238" spans="1:163" x14ac:dyDescent="0.25">
      <c r="A238" s="7">
        <v>1003.3673040579622</v>
      </c>
      <c r="B238"/>
      <c r="C238"/>
      <c r="D238"/>
      <c r="E238" t="s">
        <v>8</v>
      </c>
      <c r="AP238" s="27" t="s">
        <v>7</v>
      </c>
      <c r="AU238" s="27" t="s">
        <v>8</v>
      </c>
      <c r="AV238" s="27" t="s">
        <v>7</v>
      </c>
      <c r="AY238" s="27" t="s">
        <v>8</v>
      </c>
      <c r="BB238" s="27" t="s">
        <v>7</v>
      </c>
      <c r="BC238" s="27" t="s">
        <v>8</v>
      </c>
      <c r="BD238" s="27" t="s">
        <v>7</v>
      </c>
      <c r="BE238" s="27" t="s">
        <v>8</v>
      </c>
      <c r="BJ238" s="27" t="s">
        <v>7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BP238" s="27" t="s">
        <v>7</v>
      </c>
      <c r="BQ238" s="27" t="s">
        <v>8</v>
      </c>
      <c r="BT238" s="27" t="s">
        <v>7</v>
      </c>
      <c r="CA238" s="27" t="s">
        <v>8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G238" s="27" t="s">
        <v>8</v>
      </c>
      <c r="CH238" s="27" t="s">
        <v>7</v>
      </c>
      <c r="CR238" s="27" t="s">
        <v>7</v>
      </c>
      <c r="DB238" s="27" t="s">
        <v>7</v>
      </c>
      <c r="DC238" s="27" t="s">
        <v>8</v>
      </c>
      <c r="DD238" s="27" t="s">
        <v>7</v>
      </c>
      <c r="DF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P238" s="27" t="s">
        <v>7</v>
      </c>
      <c r="DQ238" s="27" t="s">
        <v>8</v>
      </c>
    </row>
    <row r="239" spans="1:163" x14ac:dyDescent="0.25">
      <c r="A239" s="7">
        <v>983.69343535094333</v>
      </c>
      <c r="B239"/>
      <c r="C239"/>
      <c r="D239"/>
      <c r="E239" t="s">
        <v>8</v>
      </c>
      <c r="AP239" s="27" t="s">
        <v>7</v>
      </c>
      <c r="AU239" s="27" t="s">
        <v>8</v>
      </c>
      <c r="AV239" s="27" t="s">
        <v>7</v>
      </c>
      <c r="AY239" s="27" t="s">
        <v>8</v>
      </c>
      <c r="BB239" s="27" t="s">
        <v>7</v>
      </c>
      <c r="BC239" s="27" t="s">
        <v>8</v>
      </c>
      <c r="BD239" s="27" t="s">
        <v>7</v>
      </c>
      <c r="BJ239" s="27" t="s">
        <v>7</v>
      </c>
      <c r="BK239" s="27" t="s">
        <v>8</v>
      </c>
      <c r="BL239" s="27" t="s">
        <v>7</v>
      </c>
      <c r="BM239" s="27" t="s">
        <v>8</v>
      </c>
      <c r="BN239" s="27" t="s">
        <v>7</v>
      </c>
      <c r="BP239" s="27" t="s">
        <v>7</v>
      </c>
      <c r="BQ239" s="27" t="s">
        <v>8</v>
      </c>
      <c r="BT239" s="27" t="s">
        <v>7</v>
      </c>
      <c r="CA239" s="27" t="s">
        <v>8</v>
      </c>
      <c r="CB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G239" s="27" t="s">
        <v>8</v>
      </c>
      <c r="DB239" s="27" t="s">
        <v>7</v>
      </c>
      <c r="DC239" s="27" t="s">
        <v>8</v>
      </c>
      <c r="DF239" s="27" t="s">
        <v>7</v>
      </c>
      <c r="DH239" s="27" t="s">
        <v>7</v>
      </c>
      <c r="DJ239" s="27" t="s">
        <v>7</v>
      </c>
      <c r="DP239" s="27" t="s">
        <v>7</v>
      </c>
    </row>
    <row r="240" spans="1:163" x14ac:dyDescent="0.25">
      <c r="A240" s="7">
        <v>964.40532877543467</v>
      </c>
      <c r="B240"/>
      <c r="C240"/>
      <c r="D240"/>
      <c r="E240" t="s">
        <v>8</v>
      </c>
      <c r="AP240" s="27" t="s">
        <v>7</v>
      </c>
      <c r="AU240" s="27" t="s">
        <v>8</v>
      </c>
      <c r="AV240" s="27" t="s">
        <v>7</v>
      </c>
      <c r="AY240" s="27" t="s">
        <v>8</v>
      </c>
      <c r="BB240" s="27" t="s">
        <v>7</v>
      </c>
      <c r="BC240" s="27" t="s">
        <v>8</v>
      </c>
      <c r="BJ240" s="27" t="s">
        <v>7</v>
      </c>
      <c r="BK240" s="27" t="s">
        <v>8</v>
      </c>
      <c r="BL240" s="27" t="s">
        <v>7</v>
      </c>
      <c r="BM240" s="27" t="s">
        <v>8</v>
      </c>
      <c r="BP240" s="27" t="s">
        <v>7</v>
      </c>
      <c r="BT240" s="27" t="s">
        <v>7</v>
      </c>
      <c r="CA240" s="27" t="s">
        <v>8</v>
      </c>
      <c r="CB240" s="27" t="s">
        <v>7</v>
      </c>
      <c r="CD240" s="27" t="s">
        <v>7</v>
      </c>
      <c r="CE240" s="27" t="s">
        <v>8</v>
      </c>
      <c r="CF240" s="27" t="s">
        <v>7</v>
      </c>
      <c r="DB240" s="27" t="s">
        <v>7</v>
      </c>
      <c r="DC240" s="27" t="s">
        <v>8</v>
      </c>
    </row>
    <row r="241" spans="1:106" x14ac:dyDescent="0.25">
      <c r="A241" s="7">
        <v>945.49542036807316</v>
      </c>
      <c r="B241"/>
      <c r="C241"/>
      <c r="D241"/>
      <c r="E241" t="s">
        <v>8</v>
      </c>
      <c r="AP241" s="27" t="s">
        <v>7</v>
      </c>
      <c r="AU241" s="27" t="s">
        <v>8</v>
      </c>
      <c r="AV241" s="27" t="s">
        <v>7</v>
      </c>
      <c r="AW241" s="27" t="s">
        <v>8</v>
      </c>
      <c r="AY241" s="27" t="s">
        <v>8</v>
      </c>
      <c r="BB241" s="27" t="s">
        <v>7</v>
      </c>
      <c r="BC241" s="27" t="s">
        <v>8</v>
      </c>
      <c r="BJ241" s="27" t="s">
        <v>7</v>
      </c>
      <c r="BL241" s="27" t="s">
        <v>7</v>
      </c>
      <c r="BM241" s="27" t="s">
        <v>8</v>
      </c>
      <c r="BT241" s="27" t="s">
        <v>7</v>
      </c>
      <c r="CA241" s="27" t="s">
        <v>8</v>
      </c>
      <c r="CD241" s="27" t="s">
        <v>7</v>
      </c>
      <c r="DB241" s="27" t="s">
        <v>7</v>
      </c>
    </row>
    <row r="242" spans="1:106" x14ac:dyDescent="0.25">
      <c r="A242" s="7">
        <v>926.95629447850308</v>
      </c>
      <c r="B242"/>
      <c r="C242"/>
      <c r="D242"/>
      <c r="E242" t="s">
        <v>8</v>
      </c>
      <c r="AP242" s="27" t="s">
        <v>7</v>
      </c>
      <c r="AU242" s="27" t="s">
        <v>8</v>
      </c>
      <c r="AV242" s="27" t="s">
        <v>7</v>
      </c>
      <c r="AW242" s="27" t="s">
        <v>8</v>
      </c>
      <c r="AX242" s="27" t="s">
        <v>7</v>
      </c>
      <c r="AY242" s="27" t="s">
        <v>8</v>
      </c>
      <c r="BB242" s="27" t="s">
        <v>7</v>
      </c>
      <c r="BC242" s="27" t="s">
        <v>8</v>
      </c>
      <c r="BL242" s="27" t="s">
        <v>7</v>
      </c>
      <c r="BM242" s="27" t="s">
        <v>8</v>
      </c>
      <c r="BT242" s="27" t="s">
        <v>7</v>
      </c>
      <c r="BU242" s="27" t="s">
        <v>8</v>
      </c>
      <c r="CA242" s="27" t="s">
        <v>8</v>
      </c>
    </row>
    <row r="243" spans="1:106" x14ac:dyDescent="0.25">
      <c r="A243" s="7">
        <v>908.78068086127746</v>
      </c>
      <c r="B243"/>
      <c r="C243"/>
      <c r="D243"/>
      <c r="E243" t="s">
        <v>8</v>
      </c>
      <c r="AP243" s="27" t="s">
        <v>7</v>
      </c>
      <c r="AU243" s="27" t="s">
        <v>8</v>
      </c>
      <c r="AV243" s="27" t="s">
        <v>7</v>
      </c>
      <c r="AW243" s="27" t="s">
        <v>8</v>
      </c>
      <c r="AX243" s="27" t="s">
        <v>7</v>
      </c>
      <c r="AY243" s="27" t="s">
        <v>8</v>
      </c>
      <c r="BB243" s="27" t="s">
        <v>7</v>
      </c>
      <c r="BC243" s="27" t="s">
        <v>8</v>
      </c>
      <c r="BL243" s="27" t="s">
        <v>7</v>
      </c>
      <c r="BM243" s="27" t="s">
        <v>8</v>
      </c>
      <c r="BT243" s="27" t="s">
        <v>7</v>
      </c>
      <c r="BU243" s="27" t="s">
        <v>8</v>
      </c>
      <c r="BV243" s="27" t="s">
        <v>7</v>
      </c>
      <c r="CA243" s="27" t="s">
        <v>8</v>
      </c>
    </row>
    <row r="244" spans="1:106" x14ac:dyDescent="0.25">
      <c r="A244" s="7">
        <v>890.96145182478176</v>
      </c>
      <c r="B244"/>
      <c r="C244"/>
      <c r="D244"/>
      <c r="E244" t="s">
        <v>8</v>
      </c>
      <c r="AP244" s="27" t="s">
        <v>7</v>
      </c>
      <c r="AQ244" s="27" t="s">
        <v>8</v>
      </c>
      <c r="AU244" s="27" t="s">
        <v>8</v>
      </c>
      <c r="AV244" s="27" t="s">
        <v>7</v>
      </c>
      <c r="AW244" s="27" t="s">
        <v>8</v>
      </c>
      <c r="AX244" s="27" t="s">
        <v>7</v>
      </c>
      <c r="AY244" s="27" t="s">
        <v>8</v>
      </c>
      <c r="BB244" s="27" t="s">
        <v>7</v>
      </c>
      <c r="BC244" s="27" t="s">
        <v>8</v>
      </c>
      <c r="BL244" s="27" t="s">
        <v>7</v>
      </c>
      <c r="BT244" s="27" t="s">
        <v>7</v>
      </c>
      <c r="BU244" s="27" t="s">
        <v>8</v>
      </c>
      <c r="BV244" s="27" t="s">
        <v>7</v>
      </c>
      <c r="CA244" s="27" t="s">
        <v>8</v>
      </c>
    </row>
    <row r="245" spans="1:106" x14ac:dyDescent="0.25">
      <c r="A245" s="7">
        <v>873.49161943606055</v>
      </c>
      <c r="B245"/>
      <c r="C245"/>
      <c r="D245"/>
      <c r="E245" t="s">
        <v>8</v>
      </c>
      <c r="AP245" s="27" t="s">
        <v>7</v>
      </c>
      <c r="AQ245" s="27" t="s">
        <v>8</v>
      </c>
      <c r="AR245" s="27" t="s">
        <v>7</v>
      </c>
      <c r="AU245" s="27" t="s">
        <v>8</v>
      </c>
      <c r="AV245" s="27" t="s">
        <v>7</v>
      </c>
      <c r="AW245" s="27" t="s">
        <v>8</v>
      </c>
      <c r="AX245" s="27" t="s">
        <v>7</v>
      </c>
      <c r="AY245" s="27" t="s">
        <v>8</v>
      </c>
      <c r="BB245" s="27" t="s">
        <v>7</v>
      </c>
      <c r="BC245" s="27" t="s">
        <v>8</v>
      </c>
      <c r="BT245" s="27" t="s">
        <v>7</v>
      </c>
      <c r="BU245" s="27" t="s">
        <v>8</v>
      </c>
      <c r="BV245" s="27" t="s">
        <v>7</v>
      </c>
      <c r="BW245" s="27" t="s">
        <v>8</v>
      </c>
      <c r="BY245" s="27" t="s">
        <v>8</v>
      </c>
      <c r="CA245" s="27" t="s">
        <v>8</v>
      </c>
    </row>
    <row r="246" spans="1:106" x14ac:dyDescent="0.25">
      <c r="A246" s="7">
        <v>856.36433278045149</v>
      </c>
      <c r="B246"/>
      <c r="C246"/>
      <c r="D246"/>
      <c r="E246" t="s">
        <v>8</v>
      </c>
      <c r="AP246" s="27" t="s">
        <v>7</v>
      </c>
      <c r="AQ246" s="27" t="s">
        <v>8</v>
      </c>
      <c r="AR246" s="27" t="s">
        <v>7</v>
      </c>
      <c r="AU246" s="27" t="s">
        <v>8</v>
      </c>
      <c r="AV246" s="27" t="s">
        <v>7</v>
      </c>
      <c r="AW246" s="27" t="s">
        <v>8</v>
      </c>
      <c r="AX246" s="27" t="s">
        <v>7</v>
      </c>
      <c r="AY246" s="27" t="s">
        <v>8</v>
      </c>
      <c r="BB246" s="27" t="s">
        <v>7</v>
      </c>
      <c r="BT246" s="27" t="s">
        <v>7</v>
      </c>
      <c r="BV246" s="27" t="s">
        <v>7</v>
      </c>
      <c r="BW246" s="27" t="s">
        <v>8</v>
      </c>
      <c r="BX246" s="27" t="s">
        <v>7</v>
      </c>
      <c r="BY246" s="27" t="s">
        <v>8</v>
      </c>
      <c r="BZ246" s="27" t="s">
        <v>7</v>
      </c>
      <c r="CA246" s="27" t="s">
        <v>8</v>
      </c>
    </row>
    <row r="247" spans="1:106" x14ac:dyDescent="0.25">
      <c r="A247" s="7">
        <v>839.57287527495248</v>
      </c>
      <c r="B247"/>
      <c r="C247"/>
      <c r="D247"/>
      <c r="E247" t="s">
        <v>8</v>
      </c>
      <c r="AP247" s="27" t="s">
        <v>7</v>
      </c>
      <c r="AQ247" s="27" t="s">
        <v>8</v>
      </c>
      <c r="AR247" s="27" t="s">
        <v>7</v>
      </c>
      <c r="AU247" s="27" t="s">
        <v>8</v>
      </c>
      <c r="AV247" s="27" t="s">
        <v>7</v>
      </c>
      <c r="AW247" s="27" t="s">
        <v>8</v>
      </c>
      <c r="AX247" s="27" t="s">
        <v>7</v>
      </c>
      <c r="BV247" s="27" t="s">
        <v>7</v>
      </c>
      <c r="BW247" s="27" t="s">
        <v>8</v>
      </c>
      <c r="BX247" s="27" t="s">
        <v>7</v>
      </c>
      <c r="BY247" s="27" t="s">
        <v>8</v>
      </c>
      <c r="BZ247" s="27" t="s">
        <v>7</v>
      </c>
      <c r="CA247" s="27" t="s">
        <v>8</v>
      </c>
    </row>
    <row r="248" spans="1:106" x14ac:dyDescent="0.25">
      <c r="A248" s="7">
        <v>823.11066203426708</v>
      </c>
      <c r="B248"/>
      <c r="C248"/>
      <c r="D248"/>
      <c r="E248" t="s">
        <v>8</v>
      </c>
      <c r="AP248" s="27" t="s">
        <v>7</v>
      </c>
      <c r="AQ248" s="27" t="s">
        <v>8</v>
      </c>
      <c r="AR248" s="27" t="s">
        <v>7</v>
      </c>
      <c r="AU248" s="27" t="s">
        <v>8</v>
      </c>
      <c r="AV248" s="27" t="s">
        <v>7</v>
      </c>
      <c r="AW248" s="27" t="s">
        <v>8</v>
      </c>
      <c r="BV248" s="27" t="s">
        <v>7</v>
      </c>
      <c r="BW248" s="27" t="s">
        <v>8</v>
      </c>
      <c r="BX248" s="27" t="s">
        <v>7</v>
      </c>
      <c r="BY248" s="27" t="s">
        <v>8</v>
      </c>
      <c r="BZ248" s="27" t="s">
        <v>7</v>
      </c>
      <c r="CA248" s="27" t="s">
        <v>8</v>
      </c>
    </row>
    <row r="249" spans="1:106" x14ac:dyDescent="0.25">
      <c r="A249" s="7">
        <v>806.97123728849715</v>
      </c>
      <c r="B249"/>
      <c r="C249"/>
      <c r="D249"/>
      <c r="E249" t="s">
        <v>8</v>
      </c>
      <c r="AP249" s="27" t="s">
        <v>7</v>
      </c>
      <c r="AQ249" s="27" t="s">
        <v>8</v>
      </c>
      <c r="AR249" s="27" t="s">
        <v>7</v>
      </c>
      <c r="AU249" s="27" t="s">
        <v>8</v>
      </c>
      <c r="AV249" s="27" t="s">
        <v>7</v>
      </c>
      <c r="AW249" s="27" t="s">
        <v>8</v>
      </c>
      <c r="BV249" s="27" t="s">
        <v>7</v>
      </c>
      <c r="BW249" s="27" t="s">
        <v>8</v>
      </c>
      <c r="BX249" s="27" t="s">
        <v>7</v>
      </c>
      <c r="BY249" s="27" t="s">
        <v>8</v>
      </c>
      <c r="BZ249" s="27" t="s">
        <v>7</v>
      </c>
    </row>
    <row r="250" spans="1:106" x14ac:dyDescent="0.25">
      <c r="A250" s="7">
        <v>791.14827185146783</v>
      </c>
      <c r="B250"/>
      <c r="C250"/>
      <c r="D250"/>
      <c r="E250" t="s">
        <v>8</v>
      </c>
      <c r="AP250" s="27" t="s">
        <v>7</v>
      </c>
      <c r="AQ250" s="27" t="s">
        <v>8</v>
      </c>
      <c r="AR250" s="27" t="s">
        <v>7</v>
      </c>
      <c r="AS250" s="27" t="s">
        <v>8</v>
      </c>
      <c r="AU250" s="27" t="s">
        <v>8</v>
      </c>
      <c r="AV250" s="27" t="s">
        <v>7</v>
      </c>
      <c r="BV250" s="27" t="s">
        <v>7</v>
      </c>
      <c r="BW250" s="27" t="s">
        <v>8</v>
      </c>
      <c r="BX250" s="27" t="s">
        <v>7</v>
      </c>
      <c r="BY250" s="27" t="s">
        <v>8</v>
      </c>
    </row>
    <row r="251" spans="1:106" x14ac:dyDescent="0.25">
      <c r="A251" s="7">
        <v>775.63556063869396</v>
      </c>
      <c r="B251"/>
      <c r="C251"/>
      <c r="D251"/>
      <c r="E251" t="s">
        <v>8</v>
      </c>
      <c r="AP251" s="27" t="s">
        <v>7</v>
      </c>
      <c r="AQ251" s="27" t="s">
        <v>8</v>
      </c>
      <c r="AR251" s="27" t="s">
        <v>7</v>
      </c>
      <c r="AS251" s="27" t="s">
        <v>8</v>
      </c>
      <c r="AT251" s="27" t="s">
        <v>7</v>
      </c>
      <c r="AU251" s="27" t="s">
        <v>8</v>
      </c>
      <c r="BV251" s="27" t="s">
        <v>7</v>
      </c>
      <c r="BW251" s="27" t="s">
        <v>8</v>
      </c>
      <c r="BX251" s="27" t="s">
        <v>7</v>
      </c>
    </row>
    <row r="252" spans="1:106" x14ac:dyDescent="0.25">
      <c r="A252" s="7">
        <v>760.42702023401364</v>
      </c>
      <c r="B252"/>
      <c r="C252"/>
      <c r="D252"/>
      <c r="E252" t="s">
        <v>8</v>
      </c>
      <c r="AP252" s="27" t="s">
        <v>7</v>
      </c>
      <c r="AQ252" s="27" t="s">
        <v>8</v>
      </c>
      <c r="AR252" s="27" t="s">
        <v>7</v>
      </c>
      <c r="AS252" s="27" t="s">
        <v>8</v>
      </c>
      <c r="AT252" s="27" t="s">
        <v>7</v>
      </c>
      <c r="AU252" s="27" t="s">
        <v>8</v>
      </c>
      <c r="BV252" s="18" t="s">
        <v>7</v>
      </c>
      <c r="BW252" s="27" t="s">
        <v>8</v>
      </c>
    </row>
    <row r="253" spans="1:106" x14ac:dyDescent="0.25">
      <c r="A253" s="7">
        <v>745.51668650393492</v>
      </c>
      <c r="B253"/>
      <c r="C253"/>
      <c r="D253"/>
      <c r="E253" t="s">
        <v>8</v>
      </c>
      <c r="AP253" s="27" t="s">
        <v>7</v>
      </c>
      <c r="AQ253" s="27" t="s">
        <v>8</v>
      </c>
      <c r="AR253" s="27" t="s">
        <v>7</v>
      </c>
      <c r="AS253" s="27" t="s">
        <v>8</v>
      </c>
      <c r="AT253" s="27" t="s">
        <v>7</v>
      </c>
      <c r="AU253" s="27" t="s">
        <v>8</v>
      </c>
      <c r="BV253" s="27" t="s">
        <v>7</v>
      </c>
      <c r="BW253" s="27" t="s">
        <v>8</v>
      </c>
    </row>
    <row r="254" spans="1:106" x14ac:dyDescent="0.25">
      <c r="A254" s="7">
        <v>730.8987122587597</v>
      </c>
      <c r="B254"/>
      <c r="C254"/>
      <c r="D254"/>
      <c r="E254" t="s">
        <v>8</v>
      </c>
      <c r="AP254" s="27" t="s">
        <v>7</v>
      </c>
      <c r="AQ254" s="27" t="s">
        <v>8</v>
      </c>
      <c r="AR254" s="27" t="s">
        <v>7</v>
      </c>
      <c r="AS254" s="27" t="s">
        <v>8</v>
      </c>
      <c r="AT254" s="27" t="s">
        <v>7</v>
      </c>
      <c r="AU254" s="27" t="s">
        <v>8</v>
      </c>
      <c r="BV254" s="27" t="s">
        <v>7</v>
      </c>
      <c r="BW254" s="27" t="s">
        <v>8</v>
      </c>
    </row>
    <row r="255" spans="1:106" x14ac:dyDescent="0.25">
      <c r="A255" s="7">
        <v>716.56736495956829</v>
      </c>
      <c r="B255"/>
      <c r="C255"/>
      <c r="D255"/>
      <c r="E255" t="s">
        <v>8</v>
      </c>
      <c r="AP255" s="27" t="s">
        <v>7</v>
      </c>
      <c r="AQ255" s="27" t="s">
        <v>8</v>
      </c>
      <c r="AR255" s="27" t="s">
        <v>7</v>
      </c>
      <c r="AS255" s="27" t="s">
        <v>8</v>
      </c>
      <c r="AT255" s="27" t="s">
        <v>7</v>
      </c>
      <c r="AU255" s="27" t="s">
        <v>8</v>
      </c>
      <c r="BV255" s="27" t="s">
        <v>7</v>
      </c>
      <c r="BW255" s="27" t="s">
        <v>8</v>
      </c>
    </row>
    <row r="256" spans="1:106" x14ac:dyDescent="0.25">
      <c r="A256" s="7">
        <v>702.51702447016498</v>
      </c>
      <c r="B256"/>
      <c r="C256"/>
      <c r="D256"/>
      <c r="E256" t="s">
        <v>8</v>
      </c>
      <c r="AP256" s="27" t="s">
        <v>7</v>
      </c>
      <c r="AQ256" s="27" t="s">
        <v>8</v>
      </c>
      <c r="AR256" s="27" t="s">
        <v>7</v>
      </c>
      <c r="AS256" s="27" t="s">
        <v>8</v>
      </c>
      <c r="AT256" s="27" t="s">
        <v>7</v>
      </c>
      <c r="AU256" s="27" t="s">
        <v>8</v>
      </c>
      <c r="BV256" s="27" t="s">
        <v>7</v>
      </c>
      <c r="BW256" s="27" t="s">
        <v>8</v>
      </c>
    </row>
    <row r="257" spans="1:75" x14ac:dyDescent="0.25">
      <c r="A257" s="7">
        <v>688.74218085310292</v>
      </c>
      <c r="B257"/>
      <c r="C257"/>
      <c r="D257"/>
      <c r="E257" t="s">
        <v>8</v>
      </c>
      <c r="AP257" s="27" t="s">
        <v>7</v>
      </c>
      <c r="AQ257" s="27" t="s">
        <v>8</v>
      </c>
      <c r="AR257" s="27" t="s">
        <v>7</v>
      </c>
      <c r="AS257" s="27" t="s">
        <v>8</v>
      </c>
      <c r="AT257" s="27" t="s">
        <v>7</v>
      </c>
      <c r="AU257" s="27" t="s">
        <v>8</v>
      </c>
      <c r="BV257" s="27" t="s">
        <v>7</v>
      </c>
      <c r="BW257" s="27" t="s">
        <v>8</v>
      </c>
    </row>
    <row r="258" spans="1:75" x14ac:dyDescent="0.25">
      <c r="A258" s="7">
        <v>675.23743220892447</v>
      </c>
      <c r="B258"/>
      <c r="C258"/>
      <c r="D258"/>
      <c r="E258" t="s">
        <v>8</v>
      </c>
      <c r="AP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BV258" s="27" t="s">
        <v>7</v>
      </c>
      <c r="BW258" s="27" t="s">
        <v>8</v>
      </c>
    </row>
    <row r="259" spans="1:75" x14ac:dyDescent="0.25">
      <c r="A259" s="7">
        <v>661.9974825577691</v>
      </c>
      <c r="B259"/>
      <c r="C259"/>
      <c r="D259"/>
      <c r="E259" t="s">
        <v>8</v>
      </c>
      <c r="AP259" s="27" t="s">
        <v>7</v>
      </c>
      <c r="AQ259" s="27" t="s">
        <v>8</v>
      </c>
      <c r="AR259" s="27" t="s">
        <v>7</v>
      </c>
      <c r="AS259" s="27" t="s">
        <v>8</v>
      </c>
      <c r="AT259" s="27" t="s">
        <v>7</v>
      </c>
      <c r="AU259" s="27" t="s">
        <v>8</v>
      </c>
      <c r="BV259" s="27" t="s">
        <v>7</v>
      </c>
    </row>
    <row r="260" spans="1:75" x14ac:dyDescent="0.25">
      <c r="A260" s="7">
        <v>649.0171397625187</v>
      </c>
      <c r="B260"/>
      <c r="C260"/>
      <c r="D260"/>
      <c r="E260" t="s">
        <v>8</v>
      </c>
      <c r="AP260" s="27" t="s">
        <v>7</v>
      </c>
      <c r="AQ260" s="27" t="s">
        <v>8</v>
      </c>
      <c r="AR260" s="27" t="s">
        <v>7</v>
      </c>
      <c r="AS260" s="27" t="s">
        <v>8</v>
      </c>
      <c r="AT260" s="27" t="s">
        <v>7</v>
      </c>
      <c r="AU260" s="27" t="s">
        <v>8</v>
      </c>
    </row>
    <row r="261" spans="1:75" x14ac:dyDescent="0.25">
      <c r="A261" s="7">
        <v>636.29131349266538</v>
      </c>
      <c r="B261"/>
      <c r="C261"/>
      <c r="D261"/>
      <c r="E261" t="s">
        <v>8</v>
      </c>
      <c r="AP261" s="27" t="s">
        <v>7</v>
      </c>
      <c r="AQ261" s="27" t="s">
        <v>8</v>
      </c>
      <c r="AR261" s="27" t="s">
        <v>7</v>
      </c>
      <c r="AS261" s="27" t="s">
        <v>8</v>
      </c>
      <c r="AT261" s="27" t="s">
        <v>7</v>
      </c>
      <c r="AU261" s="27" t="s">
        <v>8</v>
      </c>
    </row>
    <row r="262" spans="1:75" x14ac:dyDescent="0.25">
      <c r="A262" s="7">
        <v>623.81501322810334</v>
      </c>
      <c r="B262"/>
      <c r="C262"/>
      <c r="D262"/>
      <c r="E262" t="s">
        <v>8</v>
      </c>
      <c r="AP262" s="27" t="s">
        <v>7</v>
      </c>
      <c r="AQ262" s="27" t="s">
        <v>8</v>
      </c>
      <c r="AR262" s="27" t="s">
        <v>7</v>
      </c>
      <c r="AS262" s="27" t="s">
        <v>8</v>
      </c>
      <c r="AT262" s="27" t="s">
        <v>7</v>
      </c>
      <c r="AU262" s="27" t="s">
        <v>8</v>
      </c>
    </row>
    <row r="263" spans="1:75" x14ac:dyDescent="0.25">
      <c r="A263" s="7">
        <v>611.58334630206207</v>
      </c>
      <c r="B263"/>
      <c r="C263"/>
      <c r="D263"/>
      <c r="E263" t="s">
        <v>8</v>
      </c>
      <c r="AP263" s="27" t="s">
        <v>7</v>
      </c>
      <c r="AQ263" s="27" t="s">
        <v>8</v>
      </c>
      <c r="AR263" s="27" t="s">
        <v>7</v>
      </c>
      <c r="AS263" s="27" t="s">
        <v>8</v>
      </c>
      <c r="AT263" s="27" t="s">
        <v>7</v>
      </c>
      <c r="AU263" s="27" t="s">
        <v>8</v>
      </c>
    </row>
    <row r="264" spans="1:75" x14ac:dyDescent="0.25">
      <c r="A264" s="7">
        <v>599.59151598241374</v>
      </c>
      <c r="B264"/>
      <c r="C264"/>
      <c r="D264"/>
      <c r="E264" t="s">
        <v>8</v>
      </c>
      <c r="AP264" s="27" t="s">
        <v>7</v>
      </c>
      <c r="AR264" s="27" t="s">
        <v>7</v>
      </c>
      <c r="AT264" s="27" t="s">
        <v>7</v>
      </c>
      <c r="AU264" s="27" t="s">
        <v>8</v>
      </c>
    </row>
    <row r="265" spans="1:75" x14ac:dyDescent="0.25">
      <c r="A265" s="7">
        <v>587.83481959060168</v>
      </c>
      <c r="B265"/>
      <c r="C265"/>
      <c r="D265"/>
      <c r="E265" t="s">
        <v>8</v>
      </c>
      <c r="AT265" s="27" t="s">
        <v>7</v>
      </c>
      <c r="AU265" s="27" t="s">
        <v>8</v>
      </c>
    </row>
    <row r="266" spans="1:75" x14ac:dyDescent="0.25">
      <c r="A266" s="7">
        <v>576.30864665745264</v>
      </c>
      <c r="B266"/>
      <c r="C266"/>
      <c r="D266"/>
      <c r="E266" t="s">
        <v>8</v>
      </c>
      <c r="AT266" s="27" t="s">
        <v>7</v>
      </c>
      <c r="AU266" s="27" t="s">
        <v>8</v>
      </c>
    </row>
    <row r="267" spans="1:75" x14ac:dyDescent="0.25">
      <c r="A267" s="7">
        <v>565.00847711514962</v>
      </c>
      <c r="B267"/>
      <c r="C267"/>
      <c r="D267"/>
      <c r="E267" t="s">
        <v>8</v>
      </c>
      <c r="AT267" s="27" t="s">
        <v>7</v>
      </c>
      <c r="AU267" s="27" t="s">
        <v>8</v>
      </c>
    </row>
    <row r="268" spans="1:75" x14ac:dyDescent="0.25">
      <c r="A268" s="7">
        <v>553.92987952465649</v>
      </c>
      <c r="B268"/>
      <c r="C268"/>
      <c r="D268"/>
      <c r="E268" t="s">
        <v>8</v>
      </c>
      <c r="AT268" s="27" t="s">
        <v>7</v>
      </c>
      <c r="AU268" s="27" t="s">
        <v>8</v>
      </c>
    </row>
    <row r="269" spans="1:75" x14ac:dyDescent="0.25">
      <c r="A269" s="7">
        <v>543.06850933789849</v>
      </c>
      <c r="B269"/>
      <c r="C269"/>
      <c r="D269"/>
      <c r="E269" t="s">
        <v>8</v>
      </c>
      <c r="AT269" s="27" t="s">
        <v>7</v>
      </c>
      <c r="AU269" s="27" t="s">
        <v>8</v>
      </c>
    </row>
    <row r="270" spans="1:75" x14ac:dyDescent="0.25">
      <c r="A270" s="7">
        <v>532.4201071940181</v>
      </c>
      <c r="B270"/>
      <c r="C270"/>
      <c r="D270"/>
      <c r="E270" t="s">
        <v>8</v>
      </c>
      <c r="AT270" s="27" t="s">
        <v>7</v>
      </c>
      <c r="AU270" s="27" t="s">
        <v>8</v>
      </c>
    </row>
    <row r="271" spans="1:75" x14ac:dyDescent="0.25">
      <c r="A271" s="7">
        <v>521.9804972490374</v>
      </c>
      <c r="B271"/>
      <c r="C271"/>
      <c r="D271"/>
      <c r="E271" t="s">
        <v>8</v>
      </c>
      <c r="AT271" s="27" t="s">
        <v>7</v>
      </c>
      <c r="AU271" s="27" t="s">
        <v>8</v>
      </c>
    </row>
    <row r="272" spans="1:75" x14ac:dyDescent="0.25">
      <c r="A272" s="7">
        <v>511.74558553827194</v>
      </c>
      <c r="B272"/>
      <c r="C272"/>
      <c r="D272"/>
      <c r="E272" t="s">
        <v>8</v>
      </c>
      <c r="AT272" s="27" t="s">
        <v>7</v>
      </c>
      <c r="AU272" s="27" t="s">
        <v>8</v>
      </c>
    </row>
    <row r="273" spans="1:47" x14ac:dyDescent="0.25">
      <c r="A273" s="7">
        <v>501.71135837085484</v>
      </c>
      <c r="B273"/>
      <c r="C273"/>
      <c r="D273"/>
      <c r="E273" t="s">
        <v>8</v>
      </c>
      <c r="AT273" s="27" t="s">
        <v>7</v>
      </c>
      <c r="AU273" s="27" t="s">
        <v>8</v>
      </c>
    </row>
    <row r="274" spans="1:47" x14ac:dyDescent="0.25">
      <c r="A274" s="7">
        <v>491.87388075574</v>
      </c>
      <c r="B274"/>
      <c r="C274"/>
      <c r="D274"/>
      <c r="E274" t="s">
        <v>8</v>
      </c>
      <c r="AT274" s="27" t="s">
        <v>7</v>
      </c>
      <c r="AU274" s="27" t="s">
        <v>8</v>
      </c>
    </row>
    <row r="275" spans="1:47" x14ac:dyDescent="0.25">
      <c r="A275" s="7">
        <v>482.22929485856861</v>
      </c>
      <c r="B275"/>
      <c r="C275"/>
      <c r="D275"/>
      <c r="E275" t="s">
        <v>8</v>
      </c>
      <c r="AT275" s="27" t="s">
        <v>7</v>
      </c>
      <c r="AU275" s="27" t="s">
        <v>8</v>
      </c>
    </row>
    <row r="276" spans="1:47" x14ac:dyDescent="0.25">
      <c r="A276" s="7">
        <v>472.77381848879276</v>
      </c>
      <c r="B276"/>
      <c r="C276"/>
      <c r="D276"/>
      <c r="E276" t="s">
        <v>8</v>
      </c>
      <c r="AT276" s="27" t="s">
        <v>7</v>
      </c>
      <c r="AU276" s="27" t="s">
        <v>8</v>
      </c>
    </row>
    <row r="277" spans="1:47" x14ac:dyDescent="0.25">
      <c r="A277" s="7">
        <v>463.50374361646345</v>
      </c>
      <c r="B277"/>
      <c r="C277"/>
      <c r="D277"/>
      <c r="E277" t="s">
        <v>8</v>
      </c>
      <c r="AT277" s="27" t="s">
        <v>7</v>
      </c>
      <c r="AU277" s="27" t="s">
        <v>8</v>
      </c>
    </row>
    <row r="278" spans="1:47" x14ac:dyDescent="0.25">
      <c r="A278" s="7">
        <v>454.41543491810143</v>
      </c>
      <c r="B278"/>
      <c r="C278"/>
      <c r="D278"/>
      <c r="E278" t="s">
        <v>8</v>
      </c>
      <c r="AT278" s="27" t="s">
        <v>7</v>
      </c>
      <c r="AU278" s="27" t="s">
        <v>8</v>
      </c>
    </row>
    <row r="279" spans="1:47" x14ac:dyDescent="0.25">
      <c r="A279" s="7">
        <v>445.50532835107981</v>
      </c>
      <c r="B279"/>
      <c r="C279"/>
      <c r="D279"/>
      <c r="E279" t="s">
        <v>8</v>
      </c>
      <c r="AT279" s="27" t="s">
        <v>7</v>
      </c>
      <c r="AU279" s="27" t="s">
        <v>8</v>
      </c>
    </row>
    <row r="280" spans="1:47" x14ac:dyDescent="0.25">
      <c r="A280" s="7">
        <v>436.76992975596062</v>
      </c>
      <c r="B280"/>
      <c r="C280"/>
      <c r="D280"/>
      <c r="E280" t="s">
        <v>8</v>
      </c>
      <c r="AT280" s="27" t="s">
        <v>7</v>
      </c>
      <c r="AU280" s="27" t="s">
        <v>8</v>
      </c>
    </row>
    <row r="281" spans="1:47" x14ac:dyDescent="0.25">
      <c r="A281" s="7">
        <v>428.20581348623591</v>
      </c>
      <c r="B281"/>
      <c r="C281"/>
      <c r="D281"/>
      <c r="E281" t="s">
        <v>8</v>
      </c>
      <c r="AT281" s="27" t="s">
        <v>7</v>
      </c>
      <c r="AU281" s="27" t="s">
        <v>8</v>
      </c>
    </row>
    <row r="282" spans="1:47" x14ac:dyDescent="0.25">
      <c r="A282" s="7">
        <v>419.80962106493718</v>
      </c>
      <c r="B282"/>
      <c r="C282"/>
      <c r="D282"/>
      <c r="E282" t="s">
        <v>8</v>
      </c>
      <c r="AT282" s="27" t="s">
        <v>7</v>
      </c>
      <c r="AU282" s="27" t="s">
        <v>8</v>
      </c>
    </row>
    <row r="283" spans="1:47" x14ac:dyDescent="0.25">
      <c r="A283" s="7">
        <v>411.57805986758547</v>
      </c>
      <c r="B283"/>
      <c r="C283"/>
      <c r="D283"/>
      <c r="E283" t="s">
        <v>8</v>
      </c>
      <c r="AT283" s="27" t="s">
        <v>7</v>
      </c>
      <c r="AU283" s="27" t="s">
        <v>8</v>
      </c>
    </row>
    <row r="284" spans="1:47" x14ac:dyDescent="0.25">
      <c r="A284" s="7">
        <v>403.50790183096615</v>
      </c>
      <c r="B284"/>
      <c r="C284"/>
      <c r="D284"/>
      <c r="E284" t="s">
        <v>8</v>
      </c>
      <c r="AT284" s="27" t="s">
        <v>7</v>
      </c>
      <c r="AU284" s="27" t="s">
        <v>8</v>
      </c>
    </row>
    <row r="285" spans="1:47" x14ac:dyDescent="0.25">
      <c r="A285" s="7">
        <v>395.59598218722169</v>
      </c>
      <c r="B285"/>
      <c r="C285"/>
      <c r="D285"/>
      <c r="E285" t="s">
        <v>8</v>
      </c>
      <c r="AT285" s="27" t="s">
        <v>7</v>
      </c>
      <c r="AU285" s="27" t="s">
        <v>8</v>
      </c>
    </row>
    <row r="286" spans="1:47" x14ac:dyDescent="0.25">
      <c r="A286" s="7">
        <v>387.83919822276636</v>
      </c>
      <c r="B286"/>
      <c r="C286"/>
      <c r="D286"/>
      <c r="E286" t="s">
        <v>8</v>
      </c>
      <c r="AT286" s="27" t="s">
        <v>7</v>
      </c>
      <c r="AU286" s="27" t="s">
        <v>8</v>
      </c>
    </row>
    <row r="287" spans="1:47" x14ac:dyDescent="0.25">
      <c r="A287" s="7">
        <v>380.23450806153562</v>
      </c>
      <c r="B287"/>
      <c r="C287"/>
      <c r="D287"/>
      <c r="E287" t="s">
        <v>8</v>
      </c>
      <c r="AT287" s="27" t="s">
        <v>7</v>
      </c>
      <c r="AU287" s="27" t="s">
        <v>8</v>
      </c>
    </row>
    <row r="288" spans="1:47" x14ac:dyDescent="0.25">
      <c r="A288" s="7">
        <v>372.77892947209375</v>
      </c>
      <c r="B288"/>
      <c r="C288"/>
      <c r="D288"/>
      <c r="E288" t="s">
        <v>8</v>
      </c>
      <c r="AT288" s="27" t="s">
        <v>7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23" operator="equal">
      <formula>$U$1</formula>
    </cfRule>
    <cfRule type="cellIs" dxfId="89" priority="724" operator="equal">
      <formula>$S$1</formula>
    </cfRule>
  </conditionalFormatting>
  <conditionalFormatting sqref="D27">
    <cfRule type="cellIs" dxfId="88" priority="721" operator="equal">
      <formula>$S$1</formula>
    </cfRule>
    <cfRule type="cellIs" dxfId="87" priority="722" operator="equal">
      <formula>$U$1</formula>
    </cfRule>
  </conditionalFormatting>
  <conditionalFormatting sqref="C164">
    <cfRule type="cellIs" dxfId="86" priority="719" operator="equal">
      <formula>$U$1</formula>
    </cfRule>
    <cfRule type="cellIs" dxfId="85" priority="720" operator="equal">
      <formula>$S$1</formula>
    </cfRule>
  </conditionalFormatting>
  <conditionalFormatting sqref="D164">
    <cfRule type="cellIs" dxfId="84" priority="717" operator="equal">
      <formula>$S$1</formula>
    </cfRule>
    <cfRule type="cellIs" dxfId="83" priority="718" operator="equal">
      <formula>$U$1</formula>
    </cfRule>
  </conditionalFormatting>
  <conditionalFormatting sqref="C55">
    <cfRule type="cellIs" dxfId="82" priority="715" operator="equal">
      <formula>$U$1</formula>
    </cfRule>
    <cfRule type="cellIs" dxfId="81" priority="716" operator="equal">
      <formula>$S$1</formula>
    </cfRule>
  </conditionalFormatting>
  <conditionalFormatting sqref="D55">
    <cfRule type="cellIs" dxfId="80" priority="713" operator="equal">
      <formula>$S$1</formula>
    </cfRule>
    <cfRule type="cellIs" dxfId="79" priority="714" operator="equal">
      <formula>$U$1</formula>
    </cfRule>
  </conditionalFormatting>
  <conditionalFormatting sqref="C89">
    <cfRule type="cellIs" dxfId="78" priority="711" operator="equal">
      <formula>$U$1</formula>
    </cfRule>
    <cfRule type="cellIs" dxfId="77" priority="712" operator="equal">
      <formula>$S$1</formula>
    </cfRule>
  </conditionalFormatting>
  <conditionalFormatting sqref="D89">
    <cfRule type="cellIs" dxfId="76" priority="709" operator="equal">
      <formula>$S$1</formula>
    </cfRule>
    <cfRule type="cellIs" dxfId="75" priority="710" operator="equal">
      <formula>$U$1</formula>
    </cfRule>
  </conditionalFormatting>
  <conditionalFormatting sqref="C136">
    <cfRule type="cellIs" dxfId="74" priority="707" operator="equal">
      <formula>$U$1</formula>
    </cfRule>
    <cfRule type="cellIs" dxfId="73" priority="708" operator="equal">
      <formula>$S$1</formula>
    </cfRule>
  </conditionalFormatting>
  <conditionalFormatting sqref="D136">
    <cfRule type="cellIs" dxfId="72" priority="705" operator="equal">
      <formula>$S$1</formula>
    </cfRule>
    <cfRule type="cellIs" dxfId="71" priority="706" operator="equal">
      <formula>$U$1</formula>
    </cfRule>
  </conditionalFormatting>
  <conditionalFormatting sqref="C1">
    <cfRule type="cellIs" dxfId="70" priority="70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69" zoomScale="90" zoomScaleNormal="90" workbookViewId="0">
      <pane xSplit="4" topLeftCell="G1" activePane="topRight" state="frozen"/>
      <selection activeCell="A109" sqref="A109"/>
      <selection pane="topRight" activeCell="BS86" sqref="BS8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12" x14ac:dyDescent="0.25">
      <c r="A65" s="30">
        <v>5106.5470445243318</v>
      </c>
      <c r="E65"/>
    </row>
    <row r="66" spans="1:12" x14ac:dyDescent="0.25">
      <c r="A66" s="30">
        <v>4863.3781376422203</v>
      </c>
      <c r="E66"/>
    </row>
    <row r="67" spans="1:12" x14ac:dyDescent="0.25">
      <c r="A67" s="30">
        <v>4631.7887025164</v>
      </c>
      <c r="E67"/>
    </row>
    <row r="68" spans="1:12" x14ac:dyDescent="0.25">
      <c r="A68" s="30">
        <v>4411.2273357299046</v>
      </c>
      <c r="E68"/>
    </row>
    <row r="69" spans="1:12" x14ac:dyDescent="0.25">
      <c r="A69" s="30">
        <v>4201.1688911713372</v>
      </c>
      <c r="E69"/>
    </row>
    <row r="70" spans="1:12" x14ac:dyDescent="0.25">
      <c r="A70" s="30">
        <v>4001.1132296869878</v>
      </c>
      <c r="E70"/>
    </row>
    <row r="71" spans="1:12" x14ac:dyDescent="0.25">
      <c r="A71" s="30">
        <v>3810.5840282733216</v>
      </c>
      <c r="C71" s="1" t="s">
        <v>15</v>
      </c>
      <c r="E71"/>
    </row>
    <row r="72" spans="1:12" x14ac:dyDescent="0.25">
      <c r="A72" s="30">
        <v>3629.1276459745918</v>
      </c>
      <c r="C72" s="7">
        <v>0.11686133436193799</v>
      </c>
      <c r="D72"/>
      <c r="E72"/>
    </row>
    <row r="73" spans="1:12" x14ac:dyDescent="0.25">
      <c r="A73" s="30">
        <v>3456.3120437853254</v>
      </c>
      <c r="E73"/>
    </row>
    <row r="74" spans="1:12" x14ac:dyDescent="0.25">
      <c r="A74" s="30">
        <v>3291.7257559860241</v>
      </c>
      <c r="C74" s="1" t="s">
        <v>11</v>
      </c>
      <c r="D74" s="1" t="s">
        <v>12</v>
      </c>
      <c r="E74"/>
    </row>
    <row r="75" spans="1:12" x14ac:dyDescent="0.25">
      <c r="A75" s="30">
        <v>3134.9769104628799</v>
      </c>
      <c r="C75"/>
      <c r="D75"/>
      <c r="E75" t="s">
        <v>8</v>
      </c>
    </row>
    <row r="76" spans="1:12" x14ac:dyDescent="0.25">
      <c r="A76" s="30">
        <v>2985.6922956789331</v>
      </c>
      <c r="E76" t="s">
        <v>8</v>
      </c>
      <c r="F76" s="27" t="s">
        <v>7</v>
      </c>
    </row>
    <row r="77" spans="1:12" x14ac:dyDescent="0.25">
      <c r="A77" s="30">
        <v>2843.5164720751741</v>
      </c>
      <c r="C77" s="1" t="s">
        <v>13</v>
      </c>
      <c r="E77" t="s">
        <v>8</v>
      </c>
      <c r="F77" s="27" t="s">
        <v>7</v>
      </c>
    </row>
    <row r="78" spans="1:12" x14ac:dyDescent="0.25">
      <c r="A78" s="30">
        <v>2708.1109257858798</v>
      </c>
      <c r="C78" s="1">
        <f>C67</f>
        <v>0</v>
      </c>
      <c r="E78" t="s">
        <v>8</v>
      </c>
      <c r="F78" s="27" t="s">
        <v>7</v>
      </c>
    </row>
    <row r="79" spans="1:12" x14ac:dyDescent="0.25">
      <c r="A79" s="30">
        <v>2579.1532626532189</v>
      </c>
      <c r="C79"/>
      <c r="E79" t="s">
        <v>8</v>
      </c>
      <c r="F79" s="27" t="s">
        <v>7</v>
      </c>
      <c r="K79" s="27" t="s">
        <v>8</v>
      </c>
    </row>
    <row r="80" spans="1:12" x14ac:dyDescent="0.25">
      <c r="A80" s="30">
        <v>2456.3364406221131</v>
      </c>
      <c r="C80" s="1" t="s">
        <v>14</v>
      </c>
      <c r="E80" t="s">
        <v>8</v>
      </c>
      <c r="F80" s="27" t="s">
        <v>7</v>
      </c>
      <c r="K80" s="27" t="s">
        <v>8</v>
      </c>
      <c r="L80" s="27" t="s">
        <v>7</v>
      </c>
    </row>
    <row r="81" spans="1:71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 t="s">
        <v>8</v>
      </c>
      <c r="F81" s="27" t="s">
        <v>7</v>
      </c>
      <c r="G81" s="27" t="s">
        <v>8</v>
      </c>
      <c r="I81" s="27" t="s">
        <v>8</v>
      </c>
      <c r="K81" s="27" t="s">
        <v>8</v>
      </c>
      <c r="L81" s="27" t="s">
        <v>7</v>
      </c>
    </row>
    <row r="82" spans="1:71" x14ac:dyDescent="0.25">
      <c r="A82" s="30">
        <v>2227.9695606549776</v>
      </c>
      <c r="E82" t="s">
        <v>8</v>
      </c>
      <c r="F82" s="27" t="s">
        <v>7</v>
      </c>
      <c r="G82" s="27" t="s">
        <v>8</v>
      </c>
      <c r="H82" s="27" t="s">
        <v>7</v>
      </c>
      <c r="I82" s="27" t="s">
        <v>8</v>
      </c>
      <c r="J82" s="27" t="s">
        <v>7</v>
      </c>
      <c r="K82" s="27" t="s">
        <v>8</v>
      </c>
      <c r="L82" s="27" t="s">
        <v>7</v>
      </c>
    </row>
    <row r="83" spans="1:71" x14ac:dyDescent="0.25">
      <c r="A83" s="30">
        <v>2121.8757720523595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J83" s="27" t="s">
        <v>7</v>
      </c>
      <c r="K83" s="27" t="s">
        <v>8</v>
      </c>
      <c r="L83" s="27" t="s">
        <v>7</v>
      </c>
      <c r="S83" s="27" t="s">
        <v>8</v>
      </c>
    </row>
    <row r="84" spans="1:71" x14ac:dyDescent="0.25">
      <c r="A84" s="30">
        <v>2020.8340686212948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K84" s="27" t="s">
        <v>8</v>
      </c>
      <c r="L84" s="27" t="s">
        <v>7</v>
      </c>
      <c r="S84" s="27" t="s">
        <v>8</v>
      </c>
      <c r="T84" s="27" t="s">
        <v>7</v>
      </c>
    </row>
    <row r="85" spans="1:71" x14ac:dyDescent="0.25">
      <c r="A85" s="30">
        <v>1924.6038748774236</v>
      </c>
      <c r="E85" t="s">
        <v>8</v>
      </c>
      <c r="F85" s="27" t="s">
        <v>7</v>
      </c>
      <c r="G85" s="27" t="s">
        <v>8</v>
      </c>
      <c r="H85" s="27" t="s">
        <v>7</v>
      </c>
      <c r="I85" s="27" t="s">
        <v>8</v>
      </c>
      <c r="J85" s="27" t="s">
        <v>7</v>
      </c>
      <c r="K85" s="27" t="s">
        <v>8</v>
      </c>
      <c r="L85" s="27" t="s">
        <v>7</v>
      </c>
      <c r="M85" s="27" t="s">
        <v>8</v>
      </c>
      <c r="S85" s="27" t="s">
        <v>8</v>
      </c>
      <c r="T85" s="27" t="s">
        <v>7</v>
      </c>
    </row>
    <row r="86" spans="1:71" x14ac:dyDescent="0.25">
      <c r="A86" s="30">
        <v>1832.9560713118319</v>
      </c>
      <c r="E86" t="s">
        <v>8</v>
      </c>
      <c r="F86" s="27" t="s">
        <v>7</v>
      </c>
      <c r="H86" s="27" t="s">
        <v>7</v>
      </c>
      <c r="I86" s="27" t="s">
        <v>8</v>
      </c>
      <c r="J86" s="27" t="s">
        <v>7</v>
      </c>
      <c r="K86" s="27" t="s">
        <v>8</v>
      </c>
      <c r="L86" s="27" t="s">
        <v>7</v>
      </c>
      <c r="M86" s="27" t="s">
        <v>8</v>
      </c>
      <c r="N86" s="27" t="s">
        <v>7</v>
      </c>
      <c r="S86" s="27" t="s">
        <v>8</v>
      </c>
      <c r="T86" s="27" t="s">
        <v>7</v>
      </c>
      <c r="BS86" s="27" t="s">
        <v>8</v>
      </c>
    </row>
    <row r="87" spans="1:71" x14ac:dyDescent="0.25">
      <c r="A87" s="30">
        <v>1745.6724488684113</v>
      </c>
      <c r="E87" t="s">
        <v>8</v>
      </c>
      <c r="H87" s="27" t="s">
        <v>7</v>
      </c>
      <c r="I87" s="27" t="s">
        <v>8</v>
      </c>
      <c r="J87" s="27" t="s">
        <v>7</v>
      </c>
      <c r="L87" s="27" t="s">
        <v>7</v>
      </c>
      <c r="M87" s="27" t="s">
        <v>8</v>
      </c>
      <c r="N87" s="27" t="s">
        <v>7</v>
      </c>
      <c r="S87" s="27" t="s">
        <v>8</v>
      </c>
      <c r="T87" s="27" t="s">
        <v>7</v>
      </c>
      <c r="AK87" s="31" t="s">
        <v>8</v>
      </c>
      <c r="BO87" s="27" t="s">
        <v>8</v>
      </c>
      <c r="BS87" s="27" t="s">
        <v>8</v>
      </c>
    </row>
    <row r="88" spans="1:71" x14ac:dyDescent="0.25">
      <c r="A88" s="30">
        <v>1662.5451893984869</v>
      </c>
      <c r="E88" t="s">
        <v>8</v>
      </c>
      <c r="H88" s="27" t="s">
        <v>7</v>
      </c>
      <c r="I88" s="27" t="s">
        <v>8</v>
      </c>
      <c r="L88" s="27" t="s">
        <v>7</v>
      </c>
      <c r="M88" s="27" t="s">
        <v>8</v>
      </c>
      <c r="N88" s="27" t="s">
        <v>7</v>
      </c>
      <c r="O88" s="27" t="s">
        <v>8</v>
      </c>
      <c r="S88" s="27" t="s">
        <v>8</v>
      </c>
      <c r="T88" s="27" t="s">
        <v>7</v>
      </c>
      <c r="AK88" s="27" t="s">
        <v>8</v>
      </c>
      <c r="AL88" s="31" t="s">
        <v>7</v>
      </c>
      <c r="AY88" s="27" t="s">
        <v>8</v>
      </c>
      <c r="BO88" s="27" t="s">
        <v>8</v>
      </c>
      <c r="BP88" s="27" t="s">
        <v>7</v>
      </c>
      <c r="BQ88" s="27" t="s">
        <v>8</v>
      </c>
      <c r="BS88" s="27" t="s">
        <v>8</v>
      </c>
    </row>
    <row r="89" spans="1:71" x14ac:dyDescent="0.25">
      <c r="A89" s="30">
        <v>1583.3763708557017</v>
      </c>
      <c r="E89" t="s">
        <v>8</v>
      </c>
      <c r="H89" s="27" t="s">
        <v>7</v>
      </c>
      <c r="L89" s="27" t="s">
        <v>7</v>
      </c>
      <c r="M89" s="27" t="s">
        <v>8</v>
      </c>
      <c r="N89" s="27" t="s">
        <v>7</v>
      </c>
      <c r="O89" s="27" t="s">
        <v>8</v>
      </c>
      <c r="P89" s="27" t="s">
        <v>7</v>
      </c>
      <c r="S89" s="27" t="s">
        <v>8</v>
      </c>
      <c r="T89" s="27" t="s">
        <v>7</v>
      </c>
      <c r="AK89" s="27" t="s">
        <v>8</v>
      </c>
      <c r="AL89" s="27" t="s">
        <v>7</v>
      </c>
      <c r="AM89" s="31"/>
      <c r="AY89" s="27" t="s">
        <v>8</v>
      </c>
      <c r="AZ89" s="27" t="s">
        <v>7</v>
      </c>
      <c r="BK89" s="27" t="s">
        <v>8</v>
      </c>
      <c r="BM89" s="27" t="s">
        <v>8</v>
      </c>
      <c r="BO89" s="27" t="s">
        <v>8</v>
      </c>
      <c r="BP89" s="27" t="s">
        <v>7</v>
      </c>
      <c r="BQ89" s="27" t="s">
        <v>8</v>
      </c>
      <c r="BR89" s="27" t="s">
        <v>7</v>
      </c>
      <c r="BS89" s="27" t="s">
        <v>8</v>
      </c>
    </row>
    <row r="90" spans="1:71" x14ac:dyDescent="0.25">
      <c r="A90" s="30">
        <v>1507.9774960530492</v>
      </c>
      <c r="E90" t="s">
        <v>8</v>
      </c>
      <c r="L90" s="27" t="s">
        <v>7</v>
      </c>
      <c r="M90" s="27" t="s">
        <v>8</v>
      </c>
      <c r="N90" s="27" t="s">
        <v>7</v>
      </c>
      <c r="O90" s="27" t="s">
        <v>8</v>
      </c>
      <c r="P90" s="27" t="s">
        <v>7</v>
      </c>
      <c r="Q90" s="27" t="s">
        <v>8</v>
      </c>
      <c r="S90" s="27" t="s">
        <v>8</v>
      </c>
      <c r="T90" s="27" t="s">
        <v>7</v>
      </c>
      <c r="AK90" s="27" t="s">
        <v>8</v>
      </c>
      <c r="AL90" s="27" t="s">
        <v>7</v>
      </c>
      <c r="AN90" s="31"/>
      <c r="AY90" s="27" t="s">
        <v>8</v>
      </c>
      <c r="AZ90" s="27" t="s">
        <v>7</v>
      </c>
      <c r="BK90" s="27" t="s">
        <v>8</v>
      </c>
      <c r="BL90" s="27" t="s">
        <v>7</v>
      </c>
      <c r="BM90" s="27" t="s">
        <v>8</v>
      </c>
      <c r="BN90" s="27" t="s">
        <v>7</v>
      </c>
      <c r="BO90" s="27" t="s">
        <v>8</v>
      </c>
      <c r="BP90" s="27" t="s">
        <v>7</v>
      </c>
      <c r="BQ90" s="27" t="s">
        <v>8</v>
      </c>
      <c r="BR90" s="27" t="s">
        <v>7</v>
      </c>
      <c r="BS90" s="27" t="s">
        <v>8</v>
      </c>
    </row>
    <row r="91" spans="1:71" x14ac:dyDescent="0.25">
      <c r="A91" s="30">
        <v>1436.1690438600467</v>
      </c>
      <c r="E91" t="s">
        <v>8</v>
      </c>
      <c r="L91" s="27" t="s">
        <v>7</v>
      </c>
      <c r="M91" s="27" t="s">
        <v>8</v>
      </c>
      <c r="N91" s="27" t="s">
        <v>7</v>
      </c>
      <c r="P91" s="27" t="s">
        <v>7</v>
      </c>
      <c r="Q91" s="27" t="s">
        <v>8</v>
      </c>
      <c r="R91" s="27" t="s">
        <v>7</v>
      </c>
      <c r="S91" s="27" t="s">
        <v>8</v>
      </c>
      <c r="T91" s="27" t="s">
        <v>7</v>
      </c>
      <c r="U91" s="27" t="s">
        <v>8</v>
      </c>
      <c r="W91" s="27" t="s">
        <v>8</v>
      </c>
      <c r="AK91" s="27" t="s">
        <v>8</v>
      </c>
      <c r="AL91" s="27" t="s">
        <v>7</v>
      </c>
      <c r="AO91" s="31"/>
      <c r="AY91" s="27" t="s">
        <v>8</v>
      </c>
      <c r="AZ91" s="27" t="s">
        <v>7</v>
      </c>
      <c r="BI91" s="27" t="s">
        <v>8</v>
      </c>
      <c r="BK91" s="27" t="s">
        <v>8</v>
      </c>
      <c r="BL91" s="27" t="s">
        <v>7</v>
      </c>
      <c r="BM91" s="27" t="s">
        <v>8</v>
      </c>
      <c r="BN91" s="27" t="s">
        <v>7</v>
      </c>
      <c r="BO91" s="27" t="s">
        <v>8</v>
      </c>
      <c r="BP91" s="27" t="s">
        <v>7</v>
      </c>
      <c r="BQ91" s="27" t="s">
        <v>8</v>
      </c>
      <c r="BR91" s="27" t="s">
        <v>7</v>
      </c>
    </row>
    <row r="92" spans="1:71" x14ac:dyDescent="0.25">
      <c r="A92" s="30">
        <v>1367.780041771473</v>
      </c>
      <c r="E92" t="s">
        <v>8</v>
      </c>
      <c r="L92" s="27" t="s">
        <v>7</v>
      </c>
      <c r="M92" s="27" t="s">
        <v>8</v>
      </c>
      <c r="P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U92" s="27" t="s">
        <v>8</v>
      </c>
      <c r="V92" s="27" t="s">
        <v>7</v>
      </c>
      <c r="W92" s="27" t="s">
        <v>8</v>
      </c>
      <c r="X92" s="27" t="s">
        <v>7</v>
      </c>
      <c r="AK92" s="27" t="s">
        <v>8</v>
      </c>
      <c r="AL92" s="27" t="s">
        <v>7</v>
      </c>
      <c r="AP92" s="31"/>
      <c r="AS92" s="27" t="s">
        <v>8</v>
      </c>
      <c r="AY92" s="27" t="s">
        <v>8</v>
      </c>
      <c r="AZ92" s="27" t="s">
        <v>7</v>
      </c>
      <c r="BI92" s="27" t="s">
        <v>8</v>
      </c>
      <c r="BJ92" s="27" t="s">
        <v>7</v>
      </c>
      <c r="BK92" s="27" t="s">
        <v>8</v>
      </c>
      <c r="BL92" s="27" t="s">
        <v>7</v>
      </c>
      <c r="BM92" s="27" t="s">
        <v>8</v>
      </c>
      <c r="BN92" s="27" t="s">
        <v>7</v>
      </c>
      <c r="BO92" s="27" t="s">
        <v>8</v>
      </c>
      <c r="BP92" s="27" t="s">
        <v>7</v>
      </c>
      <c r="BQ92" s="27" t="s">
        <v>8</v>
      </c>
    </row>
    <row r="93" spans="1:71" x14ac:dyDescent="0.25">
      <c r="A93" s="30">
        <v>1302.6476588299743</v>
      </c>
      <c r="E93" t="s">
        <v>8</v>
      </c>
      <c r="L93" s="27" t="s">
        <v>7</v>
      </c>
      <c r="M93" s="27" t="s">
        <v>8</v>
      </c>
      <c r="P93" s="27" t="s">
        <v>7</v>
      </c>
      <c r="Q93" s="27" t="s">
        <v>8</v>
      </c>
      <c r="R93" s="27" t="s">
        <v>7</v>
      </c>
      <c r="T93" s="27" t="s">
        <v>7</v>
      </c>
      <c r="U93" s="27" t="s">
        <v>8</v>
      </c>
      <c r="V93" s="27" t="s">
        <v>7</v>
      </c>
      <c r="W93" s="27" t="s">
        <v>8</v>
      </c>
      <c r="X93" s="27" t="s">
        <v>7</v>
      </c>
      <c r="AK93" s="27" t="s">
        <v>8</v>
      </c>
      <c r="AL93" s="27" t="s">
        <v>7</v>
      </c>
      <c r="AQ93" s="31"/>
      <c r="AS93" s="27" t="s">
        <v>8</v>
      </c>
      <c r="AT93" s="27" t="s">
        <v>7</v>
      </c>
      <c r="AU93" s="27" t="s">
        <v>8</v>
      </c>
      <c r="AW93" s="27" t="s">
        <v>8</v>
      </c>
      <c r="AY93" s="27" t="s">
        <v>8</v>
      </c>
      <c r="AZ93" s="27" t="s">
        <v>7</v>
      </c>
      <c r="BI93" s="27" t="s">
        <v>8</v>
      </c>
      <c r="BJ93" s="27" t="s">
        <v>7</v>
      </c>
      <c r="BK93" s="27" t="s">
        <v>8</v>
      </c>
      <c r="BL93" s="27" t="s">
        <v>7</v>
      </c>
      <c r="BM93" s="27" t="s">
        <v>8</v>
      </c>
      <c r="BN93" s="27" t="s">
        <v>7</v>
      </c>
      <c r="BO93" s="27" t="s">
        <v>8</v>
      </c>
      <c r="BP93" s="27" t="s">
        <v>7</v>
      </c>
      <c r="BQ93" s="27" t="s">
        <v>8</v>
      </c>
    </row>
    <row r="94" spans="1:71" x14ac:dyDescent="0.25">
      <c r="A94" s="30">
        <v>1240.6168179333088</v>
      </c>
      <c r="E94" t="s">
        <v>8</v>
      </c>
      <c r="L94" s="27" t="s">
        <v>7</v>
      </c>
      <c r="P94" s="27" t="s">
        <v>7</v>
      </c>
      <c r="Q94" s="27" t="s">
        <v>8</v>
      </c>
      <c r="T94" s="27" t="s">
        <v>7</v>
      </c>
      <c r="U94" s="27" t="s">
        <v>8</v>
      </c>
      <c r="V94" s="27" t="s">
        <v>7</v>
      </c>
      <c r="W94" s="27" t="s">
        <v>8</v>
      </c>
      <c r="X94" s="27" t="s">
        <v>7</v>
      </c>
      <c r="AI94" s="27" t="s">
        <v>8</v>
      </c>
      <c r="AK94" s="27" t="s">
        <v>8</v>
      </c>
      <c r="AL94" s="27" t="s">
        <v>7</v>
      </c>
      <c r="AR94" s="31"/>
      <c r="AS94" s="27" t="s">
        <v>8</v>
      </c>
      <c r="AT94" s="27" t="s">
        <v>7</v>
      </c>
      <c r="AU94" s="27" t="s">
        <v>8</v>
      </c>
      <c r="AV94" s="27" t="s">
        <v>7</v>
      </c>
      <c r="AW94" s="27" t="s">
        <v>8</v>
      </c>
      <c r="AX94" s="27" t="s">
        <v>7</v>
      </c>
      <c r="AY94" s="27" t="s">
        <v>8</v>
      </c>
      <c r="AZ94" s="27" t="s">
        <v>7</v>
      </c>
      <c r="BE94" s="27" t="s">
        <v>8</v>
      </c>
      <c r="BG94" s="27" t="s">
        <v>8</v>
      </c>
      <c r="BI94" s="27" t="s">
        <v>8</v>
      </c>
      <c r="BJ94" s="27" t="s">
        <v>7</v>
      </c>
      <c r="BK94" s="27" t="s">
        <v>8</v>
      </c>
      <c r="BL94" s="27" t="s">
        <v>7</v>
      </c>
      <c r="BM94" s="27" t="s">
        <v>8</v>
      </c>
      <c r="BN94" s="27" t="s">
        <v>7</v>
      </c>
      <c r="BO94" s="27" t="s">
        <v>8</v>
      </c>
      <c r="BP94" s="27" t="s">
        <v>7</v>
      </c>
    </row>
    <row r="95" spans="1:71" x14ac:dyDescent="0.25">
      <c r="A95" s="30">
        <v>1181.5398266031511</v>
      </c>
      <c r="E95" t="s">
        <v>8</v>
      </c>
      <c r="P95" s="27" t="s">
        <v>7</v>
      </c>
      <c r="Q95" s="27" t="s">
        <v>8</v>
      </c>
      <c r="T95" s="27" t="s">
        <v>7</v>
      </c>
      <c r="V95" s="27" t="s">
        <v>7</v>
      </c>
      <c r="X95" s="27" t="s">
        <v>7</v>
      </c>
      <c r="AE95" s="27" t="s">
        <v>8</v>
      </c>
      <c r="AG95" s="27" t="s">
        <v>8</v>
      </c>
      <c r="AI95" s="27" t="s">
        <v>8</v>
      </c>
      <c r="AJ95" s="27" t="s">
        <v>7</v>
      </c>
      <c r="AK95" s="27" t="s">
        <v>8</v>
      </c>
      <c r="AL95" s="27" t="s">
        <v>7</v>
      </c>
      <c r="AM95" s="27" t="s">
        <v>8</v>
      </c>
      <c r="AQ95" s="27" t="s">
        <v>8</v>
      </c>
      <c r="AS95" s="31" t="s">
        <v>8</v>
      </c>
      <c r="AT95" s="27" t="s">
        <v>7</v>
      </c>
      <c r="AU95" s="27" t="s">
        <v>8</v>
      </c>
      <c r="AV95" s="27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  <c r="BA95" s="27" t="s">
        <v>8</v>
      </c>
      <c r="BE95" s="27" t="s">
        <v>8</v>
      </c>
      <c r="BF95" s="27" t="s">
        <v>7</v>
      </c>
      <c r="BG95" s="27" t="s">
        <v>8</v>
      </c>
      <c r="BH95" s="27" t="s">
        <v>7</v>
      </c>
      <c r="BI95" s="27" t="s">
        <v>8</v>
      </c>
      <c r="BJ95" s="27" t="s">
        <v>7</v>
      </c>
      <c r="BK95" s="27" t="s">
        <v>8</v>
      </c>
      <c r="BL95" s="27" t="s">
        <v>7</v>
      </c>
      <c r="BN95" s="27" t="s">
        <v>7</v>
      </c>
      <c r="BO95" s="27" t="s">
        <v>8</v>
      </c>
    </row>
    <row r="96" spans="1:71" x14ac:dyDescent="0.25">
      <c r="A96" s="30">
        <v>1125.2760253363344</v>
      </c>
      <c r="C96" s="1" t="s">
        <v>15</v>
      </c>
      <c r="E96" t="s">
        <v>8</v>
      </c>
      <c r="P96" s="27" t="s">
        <v>7</v>
      </c>
      <c r="Q96" s="27" t="s">
        <v>8</v>
      </c>
      <c r="X96" s="27" t="s">
        <v>7</v>
      </c>
      <c r="AE96" s="27" t="s">
        <v>8</v>
      </c>
      <c r="AF96" s="27" t="s">
        <v>7</v>
      </c>
      <c r="AG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L96" s="27" t="s">
        <v>7</v>
      </c>
      <c r="AM96" s="27" t="s">
        <v>8</v>
      </c>
      <c r="AN96" s="27" t="s">
        <v>7</v>
      </c>
      <c r="AO96" s="27" t="s">
        <v>8</v>
      </c>
      <c r="AQ96" s="27" t="s">
        <v>8</v>
      </c>
      <c r="AR96" s="27" t="s">
        <v>7</v>
      </c>
      <c r="AS96" s="27" t="s">
        <v>8</v>
      </c>
      <c r="AT96" s="31" t="s">
        <v>7</v>
      </c>
      <c r="AU96" s="27" t="s">
        <v>8</v>
      </c>
      <c r="AV96" s="27" t="s">
        <v>7</v>
      </c>
      <c r="AW96" s="27" t="s">
        <v>8</v>
      </c>
      <c r="AX96" s="27" t="s">
        <v>7</v>
      </c>
      <c r="AY96" s="27" t="s">
        <v>8</v>
      </c>
      <c r="AZ96" s="27" t="s">
        <v>7</v>
      </c>
      <c r="BA96" s="27" t="s">
        <v>8</v>
      </c>
      <c r="BB96" s="27" t="s">
        <v>7</v>
      </c>
      <c r="BC96" s="27" t="s">
        <v>8</v>
      </c>
      <c r="BE96" s="27" t="s">
        <v>8</v>
      </c>
      <c r="BF96" s="27" t="s">
        <v>7</v>
      </c>
      <c r="BG96" s="27" t="s">
        <v>8</v>
      </c>
      <c r="BH96" s="27" t="s">
        <v>7</v>
      </c>
      <c r="BI96" s="27" t="s">
        <v>8</v>
      </c>
      <c r="BJ96" s="27" t="s">
        <v>7</v>
      </c>
      <c r="BK96" s="27" t="s">
        <v>8</v>
      </c>
      <c r="BN96" s="27" t="s">
        <v>7</v>
      </c>
    </row>
    <row r="97" spans="1:62" x14ac:dyDescent="0.25">
      <c r="A97" s="30">
        <v>1071.6914527012709</v>
      </c>
      <c r="C97" s="7">
        <v>0.11686133436193799</v>
      </c>
      <c r="D97"/>
      <c r="E97" t="s">
        <v>8</v>
      </c>
      <c r="P97" s="27" t="s">
        <v>7</v>
      </c>
      <c r="X97" s="27" t="s">
        <v>7</v>
      </c>
      <c r="AC97" s="27" t="s">
        <v>8</v>
      </c>
      <c r="AE97" s="27" t="s">
        <v>8</v>
      </c>
      <c r="AF97" s="27" t="s">
        <v>7</v>
      </c>
      <c r="AG97" s="27" t="s">
        <v>8</v>
      </c>
      <c r="AH97" s="27" t="s">
        <v>7</v>
      </c>
      <c r="AI97" s="27" t="s">
        <v>8</v>
      </c>
      <c r="AJ97" s="27" t="s">
        <v>7</v>
      </c>
      <c r="AK97" s="27" t="s">
        <v>8</v>
      </c>
      <c r="AL97" s="27" t="s">
        <v>7</v>
      </c>
      <c r="AM97" s="27" t="s">
        <v>8</v>
      </c>
      <c r="AN97" s="27" t="s">
        <v>7</v>
      </c>
      <c r="AO97" s="27" t="s">
        <v>8</v>
      </c>
      <c r="AP97" s="27" t="s">
        <v>7</v>
      </c>
      <c r="AQ97" s="27" t="s">
        <v>8</v>
      </c>
      <c r="AR97" s="27" t="s">
        <v>7</v>
      </c>
      <c r="AS97" s="27" t="s">
        <v>8</v>
      </c>
      <c r="AT97" s="27" t="s">
        <v>7</v>
      </c>
      <c r="AU97" s="31"/>
      <c r="AV97" s="27" t="s">
        <v>7</v>
      </c>
      <c r="AW97" s="27" t="s">
        <v>8</v>
      </c>
      <c r="AX97" s="27" t="s">
        <v>7</v>
      </c>
      <c r="AY97" s="27" t="s">
        <v>8</v>
      </c>
      <c r="AZ97" s="27" t="s">
        <v>7</v>
      </c>
      <c r="BA97" s="27" t="s">
        <v>8</v>
      </c>
      <c r="BB97" s="27" t="s">
        <v>7</v>
      </c>
      <c r="BC97" s="27" t="s">
        <v>8</v>
      </c>
      <c r="BD97" s="27" t="s">
        <v>7</v>
      </c>
      <c r="BE97" s="27" t="s">
        <v>8</v>
      </c>
      <c r="BF97" s="27" t="s">
        <v>7</v>
      </c>
      <c r="BG97" s="27" t="s">
        <v>8</v>
      </c>
      <c r="BH97" s="27" t="s">
        <v>7</v>
      </c>
      <c r="BI97" s="27" t="s">
        <v>8</v>
      </c>
      <c r="BJ97" s="27" t="s">
        <v>7</v>
      </c>
    </row>
    <row r="98" spans="1:62" x14ac:dyDescent="0.25">
      <c r="A98" s="30">
        <v>1020.6585263821628</v>
      </c>
      <c r="E98" t="s">
        <v>8</v>
      </c>
      <c r="X98" s="27" t="s">
        <v>7</v>
      </c>
      <c r="AC98" s="27" t="s">
        <v>8</v>
      </c>
      <c r="AD98" s="27" t="s">
        <v>7</v>
      </c>
      <c r="AE98" s="27" t="s">
        <v>8</v>
      </c>
      <c r="AF98" s="27" t="s">
        <v>7</v>
      </c>
      <c r="AH98" s="27" t="s">
        <v>7</v>
      </c>
      <c r="AI98" s="27" t="s">
        <v>8</v>
      </c>
      <c r="AJ98" s="27" t="s">
        <v>7</v>
      </c>
      <c r="AL98" s="27" t="s">
        <v>7</v>
      </c>
      <c r="AM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  <c r="AV98" s="27" t="s">
        <v>7</v>
      </c>
      <c r="AX98" s="27" t="s">
        <v>7</v>
      </c>
      <c r="AZ98" s="27" t="s">
        <v>7</v>
      </c>
      <c r="BA98" s="27" t="s">
        <v>8</v>
      </c>
      <c r="BB98" s="27" t="s">
        <v>7</v>
      </c>
      <c r="BC98" s="27" t="s">
        <v>8</v>
      </c>
      <c r="BD98" s="27" t="s">
        <v>7</v>
      </c>
      <c r="BE98" s="27" t="s">
        <v>8</v>
      </c>
      <c r="BF98" s="27" t="s">
        <v>7</v>
      </c>
      <c r="BH98" s="27" t="s">
        <v>7</v>
      </c>
    </row>
    <row r="99" spans="1:62" x14ac:dyDescent="0.25">
      <c r="A99" s="30">
        <v>972.05573941158355</v>
      </c>
      <c r="C99" s="1" t="s">
        <v>11</v>
      </c>
      <c r="D99" s="1" t="s">
        <v>12</v>
      </c>
      <c r="E99" t="s">
        <v>8</v>
      </c>
      <c r="X99" s="27" t="s">
        <v>7</v>
      </c>
      <c r="AC99" s="27" t="s">
        <v>8</v>
      </c>
      <c r="AD99" s="27" t="s">
        <v>7</v>
      </c>
      <c r="AE99" s="27" t="s">
        <v>8</v>
      </c>
      <c r="AH99" s="27" t="s">
        <v>7</v>
      </c>
      <c r="AI99" s="27" t="s">
        <v>8</v>
      </c>
      <c r="AL99" s="27" t="s">
        <v>7</v>
      </c>
      <c r="AN99" s="27" t="s">
        <v>7</v>
      </c>
      <c r="AO99" s="27" t="s">
        <v>8</v>
      </c>
      <c r="AP99" s="27" t="s">
        <v>7</v>
      </c>
      <c r="AQ99" s="27" t="s">
        <v>8</v>
      </c>
      <c r="AR99" s="27" t="s">
        <v>7</v>
      </c>
      <c r="AZ99" s="27" t="s">
        <v>7</v>
      </c>
      <c r="BB99" s="27" t="s">
        <v>7</v>
      </c>
      <c r="BD99" s="27" t="s">
        <v>7</v>
      </c>
    </row>
    <row r="100" spans="1:62" x14ac:dyDescent="0.25">
      <c r="A100" s="30">
        <v>925.76737086817479</v>
      </c>
      <c r="C100"/>
      <c r="D100"/>
      <c r="E100" t="s">
        <v>8</v>
      </c>
      <c r="X100" s="27" t="s">
        <v>7</v>
      </c>
      <c r="AC100" s="27" t="s">
        <v>8</v>
      </c>
      <c r="AD100" s="27" t="s">
        <v>7</v>
      </c>
      <c r="AE100" s="27" t="s">
        <v>8</v>
      </c>
      <c r="AH100" s="27" t="s">
        <v>7</v>
      </c>
      <c r="AI100" s="27" t="s">
        <v>8</v>
      </c>
      <c r="AN100" s="27" t="s">
        <v>7</v>
      </c>
      <c r="AO100" s="27" t="s">
        <v>8</v>
      </c>
      <c r="AP100" s="27" t="s">
        <v>7</v>
      </c>
      <c r="AQ100" s="27" t="s">
        <v>8</v>
      </c>
    </row>
    <row r="101" spans="1:62" x14ac:dyDescent="0.25">
      <c r="A101" s="30">
        <v>881.68321035064264</v>
      </c>
      <c r="E101" t="s">
        <v>8</v>
      </c>
      <c r="X101" s="27" t="s">
        <v>7</v>
      </c>
      <c r="Y101" s="27" t="s">
        <v>8</v>
      </c>
      <c r="AC101" s="27" t="s">
        <v>8</v>
      </c>
      <c r="AD101" s="27" t="s">
        <v>7</v>
      </c>
      <c r="AE101" s="27" t="s">
        <v>8</v>
      </c>
      <c r="AH101" s="27" t="s">
        <v>7</v>
      </c>
      <c r="AN101" s="27" t="s">
        <v>7</v>
      </c>
      <c r="AP101" s="27" t="s">
        <v>7</v>
      </c>
      <c r="AQ101" s="27" t="s">
        <v>8</v>
      </c>
    </row>
    <row r="102" spans="1:62" x14ac:dyDescent="0.25">
      <c r="A102" s="30">
        <v>839.69829557204059</v>
      </c>
      <c r="C102" s="1" t="s">
        <v>13</v>
      </c>
      <c r="E102" t="s">
        <v>8</v>
      </c>
      <c r="X102" s="27" t="s">
        <v>7</v>
      </c>
      <c r="Y102" s="27" t="s">
        <v>8</v>
      </c>
      <c r="Z102" s="27" t="s">
        <v>7</v>
      </c>
      <c r="AC102" s="27" t="s">
        <v>8</v>
      </c>
      <c r="AD102" s="27" t="s">
        <v>7</v>
      </c>
      <c r="AE102" s="27" t="s">
        <v>8</v>
      </c>
      <c r="AP102" s="27" t="s">
        <v>7</v>
      </c>
      <c r="AQ102" s="27" t="s">
        <v>8</v>
      </c>
    </row>
    <row r="103" spans="1:62" x14ac:dyDescent="0.25">
      <c r="A103" s="30">
        <v>799.71266244956246</v>
      </c>
      <c r="C103" s="1">
        <f>C92</f>
        <v>0</v>
      </c>
      <c r="E103" t="s">
        <v>8</v>
      </c>
      <c r="X103" s="27" t="s">
        <v>7</v>
      </c>
      <c r="Y103" s="27" t="s">
        <v>8</v>
      </c>
      <c r="Z103" s="27" t="s">
        <v>7</v>
      </c>
      <c r="AC103" s="27" t="s">
        <v>8</v>
      </c>
      <c r="AD103" s="27" t="s">
        <v>7</v>
      </c>
      <c r="AP103" s="27" t="s">
        <v>7</v>
      </c>
      <c r="AQ103" s="27" t="s">
        <v>8</v>
      </c>
    </row>
    <row r="104" spans="1:62" x14ac:dyDescent="0.25">
      <c r="A104" s="30">
        <v>761.63110709482135</v>
      </c>
      <c r="C104"/>
      <c r="E104" t="s">
        <v>8</v>
      </c>
      <c r="X104" s="27" t="s">
        <v>7</v>
      </c>
      <c r="Y104" s="27" t="s">
        <v>8</v>
      </c>
      <c r="Z104" s="27" t="s">
        <v>7</v>
      </c>
      <c r="AA104" s="27" t="s">
        <v>8</v>
      </c>
      <c r="AC104" s="27" t="s">
        <v>8</v>
      </c>
      <c r="AP104" s="18" t="s">
        <v>7</v>
      </c>
      <c r="AQ104" s="27" t="s">
        <v>8</v>
      </c>
    </row>
    <row r="105" spans="1:62" x14ac:dyDescent="0.25">
      <c r="A105" s="30">
        <v>725.36295913792503</v>
      </c>
      <c r="C105" s="1" t="s">
        <v>14</v>
      </c>
      <c r="E105" t="s">
        <v>8</v>
      </c>
      <c r="X105" s="27" t="s">
        <v>7</v>
      </c>
      <c r="Y105" s="27" t="s">
        <v>8</v>
      </c>
      <c r="Z105" s="27" t="s">
        <v>7</v>
      </c>
      <c r="AA105" s="27" t="s">
        <v>8</v>
      </c>
      <c r="AB105" s="27" t="s">
        <v>7</v>
      </c>
      <c r="AC105" s="27" t="s">
        <v>8</v>
      </c>
      <c r="AP105" s="27" t="s">
        <v>7</v>
      </c>
      <c r="AQ105" s="27" t="s">
        <v>8</v>
      </c>
    </row>
    <row r="106" spans="1:62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  <c r="X106" s="27" t="s">
        <v>7</v>
      </c>
      <c r="Y106" s="27" t="s">
        <v>8</v>
      </c>
      <c r="Z106" s="27" t="s">
        <v>7</v>
      </c>
      <c r="AA106" s="27" t="s">
        <v>8</v>
      </c>
      <c r="AB106" s="27" t="s">
        <v>7</v>
      </c>
      <c r="AC106" s="27" t="s">
        <v>8</v>
      </c>
      <c r="AP106" s="27" t="s">
        <v>7</v>
      </c>
      <c r="AQ106" s="27" t="s">
        <v>8</v>
      </c>
    </row>
    <row r="107" spans="1:62" x14ac:dyDescent="0.25">
      <c r="A107" s="30">
        <v>657.92558651965976</v>
      </c>
      <c r="E107" t="s">
        <v>8</v>
      </c>
      <c r="X107" s="27" t="s">
        <v>7</v>
      </c>
      <c r="Y107" s="27" t="s">
        <v>8</v>
      </c>
      <c r="Z107" s="27" t="s">
        <v>7</v>
      </c>
      <c r="AA107" s="27" t="s">
        <v>8</v>
      </c>
      <c r="AB107" s="27" t="s">
        <v>7</v>
      </c>
      <c r="AC107" s="27" t="s">
        <v>8</v>
      </c>
      <c r="AP107" s="27" t="s">
        <v>7</v>
      </c>
    </row>
    <row r="108" spans="1:62" x14ac:dyDescent="0.25">
      <c r="A108" s="30">
        <v>626.59579668539027</v>
      </c>
      <c r="E108" t="s">
        <v>8</v>
      </c>
      <c r="X108" s="27" t="s">
        <v>7</v>
      </c>
      <c r="Y108" s="27" t="s">
        <v>8</v>
      </c>
      <c r="Z108" s="27" t="s">
        <v>7</v>
      </c>
      <c r="AA108" s="27" t="s">
        <v>8</v>
      </c>
      <c r="AB108" s="27" t="s">
        <v>7</v>
      </c>
      <c r="AC108" s="27" t="s">
        <v>8</v>
      </c>
    </row>
    <row r="109" spans="1:62" x14ac:dyDescent="0.25">
      <c r="A109" s="30">
        <v>596.75790160513361</v>
      </c>
      <c r="E109" t="s">
        <v>8</v>
      </c>
      <c r="X109" s="27" t="s">
        <v>7</v>
      </c>
      <c r="Z109" s="27" t="s">
        <v>7</v>
      </c>
      <c r="AB109" s="27" t="s">
        <v>7</v>
      </c>
      <c r="AC109" s="27" t="s">
        <v>8</v>
      </c>
    </row>
    <row r="110" spans="1:62" x14ac:dyDescent="0.25">
      <c r="A110" s="30">
        <v>568.34085867155579</v>
      </c>
      <c r="E110" t="s">
        <v>8</v>
      </c>
      <c r="AB110" s="27" t="s">
        <v>7</v>
      </c>
      <c r="AC110" s="27" t="s">
        <v>8</v>
      </c>
    </row>
    <row r="111" spans="1:62" x14ac:dyDescent="0.25">
      <c r="A111" s="30">
        <v>541.27700825862451</v>
      </c>
      <c r="C111" s="1" t="str">
        <f>ADDRESS(C121-1,1,1,1)</f>
        <v>$A$85</v>
      </c>
      <c r="D111" s="1" t="str">
        <f>ADDRESS(C121-1,D121,1,1)</f>
        <v>$BS$85</v>
      </c>
      <c r="E111" t="s">
        <v>8</v>
      </c>
      <c r="AB111" s="27" t="s">
        <v>7</v>
      </c>
      <c r="AC111" s="27" t="s">
        <v>8</v>
      </c>
    </row>
    <row r="112" spans="1:62" x14ac:dyDescent="0.25">
      <c r="A112" s="30">
        <v>515.50191262726139</v>
      </c>
      <c r="C112" s="1" t="str">
        <f>ADDRESS(C121,1,1,1)</f>
        <v>$A$86</v>
      </c>
      <c r="D112" s="1" t="str">
        <f>ADDRESS(C121,D121-1,1,1)</f>
        <v>$BR$86</v>
      </c>
      <c r="E112" t="s">
        <v>8</v>
      </c>
      <c r="AB112" s="27" t="s">
        <v>7</v>
      </c>
      <c r="AC112" s="27" t="s">
        <v>8</v>
      </c>
    </row>
    <row r="113" spans="1:29" x14ac:dyDescent="0.25">
      <c r="A113" s="30">
        <v>490.95420250215363</v>
      </c>
      <c r="C113" s="1" t="str">
        <f>ADDRESS(C121+1,1,1,1)</f>
        <v>$A$87</v>
      </c>
      <c r="D113" s="1" t="str">
        <f>ADDRESS(C121-1,D121+1,1,1)</f>
        <v>$BT$85</v>
      </c>
      <c r="E113" s="1" t="s">
        <v>8</v>
      </c>
      <c r="AB113" s="27" t="s">
        <v>7</v>
      </c>
      <c r="AC113" s="27" t="s">
        <v>8</v>
      </c>
    </row>
    <row r="114" spans="1:29" x14ac:dyDescent="0.25">
      <c r="A114" s="30">
        <v>467.57543095443202</v>
      </c>
      <c r="C114" s="1" t="str">
        <f>ADDRESS(C121,D121,1,1)</f>
        <v>$BS$86</v>
      </c>
      <c r="D114" s="1" t="str">
        <f>ADDRESS(C121+1,D121+1,1,1)</f>
        <v>$BT$87</v>
      </c>
      <c r="E114" s="1" t="s">
        <v>8</v>
      </c>
      <c r="AB114" s="27" t="s">
        <v>7</v>
      </c>
      <c r="AC114" s="27" t="s">
        <v>8</v>
      </c>
    </row>
    <row r="115" spans="1:29" x14ac:dyDescent="0.25">
      <c r="A115" s="30">
        <v>445.30993424231622</v>
      </c>
      <c r="C115" s="1" t="str">
        <f>ADDRESS(C121+1,D121,1,1)</f>
        <v>$BS$87</v>
      </c>
      <c r="E115" s="1" t="s">
        <v>8</v>
      </c>
      <c r="AB115" s="27" t="s">
        <v>7</v>
      </c>
      <c r="AC115" s="27" t="s">
        <v>8</v>
      </c>
    </row>
    <row r="116" spans="1:29" x14ac:dyDescent="0.25">
      <c r="A116" s="30">
        <v>424.10469927839637</v>
      </c>
      <c r="C116" s="1">
        <f>C117-1</f>
        <v>85</v>
      </c>
      <c r="E116" s="1" t="s">
        <v>8</v>
      </c>
      <c r="AB116" s="27" t="s">
        <v>7</v>
      </c>
      <c r="AC116" s="27" t="s">
        <v>8</v>
      </c>
    </row>
    <row r="117" spans="1:29" x14ac:dyDescent="0.25">
      <c r="A117" s="30">
        <v>403.9092374079965</v>
      </c>
      <c r="C117" s="1">
        <f>C121</f>
        <v>86</v>
      </c>
      <c r="D117" s="1">
        <f>D121</f>
        <v>71</v>
      </c>
      <c r="E117" s="1" t="s">
        <v>8</v>
      </c>
      <c r="AB117" s="27" t="s">
        <v>7</v>
      </c>
      <c r="AC117" s="27" t="s">
        <v>8</v>
      </c>
    </row>
    <row r="118" spans="1:29" x14ac:dyDescent="0.25">
      <c r="A118" s="30">
        <v>384.6754641980919</v>
      </c>
      <c r="C118" s="1">
        <f>C117+1</f>
        <v>87</v>
      </c>
      <c r="D118" s="1">
        <f>D117+1</f>
        <v>72</v>
      </c>
      <c r="E118" s="1" t="s">
        <v>8</v>
      </c>
      <c r="AB118" s="27" t="s">
        <v>7</v>
      </c>
    </row>
    <row r="119" spans="1:29" x14ac:dyDescent="0.25">
      <c r="A119" s="30">
        <v>366.35758495056371</v>
      </c>
      <c r="E119" s="1" t="s">
        <v>8</v>
      </c>
    </row>
    <row r="120" spans="1:29" x14ac:dyDescent="0.25">
      <c r="A120" s="30">
        <v>348.91198566720351</v>
      </c>
      <c r="C120" s="1" t="s">
        <v>9</v>
      </c>
      <c r="E120" s="1" t="s">
        <v>8</v>
      </c>
    </row>
    <row r="121" spans="1:29" x14ac:dyDescent="0.25">
      <c r="A121" s="30">
        <v>332.29712920686046</v>
      </c>
      <c r="C121" s="18">
        <v>86</v>
      </c>
      <c r="D121" s="19">
        <v>71</v>
      </c>
      <c r="E121" s="19" t="s">
        <v>8</v>
      </c>
    </row>
    <row r="122" spans="1:29" x14ac:dyDescent="0.25">
      <c r="A122" s="30">
        <v>316.47345638748612</v>
      </c>
      <c r="C122" s="1" t="str">
        <f>INDEX(1:1048576,C117,D117)</f>
        <v>X</v>
      </c>
      <c r="E122" s="1" t="s">
        <v>8</v>
      </c>
    </row>
    <row r="123" spans="1:29" x14ac:dyDescent="0.25">
      <c r="A123" s="30">
        <v>301.40329179760585</v>
      </c>
      <c r="C123" s="1" t="str">
        <f>"R"&amp;C121</f>
        <v>R86</v>
      </c>
      <c r="D123" s="1" t="str">
        <f>"C"&amp;D121</f>
        <v>C71</v>
      </c>
      <c r="E123" s="1" t="s">
        <v>8</v>
      </c>
    </row>
    <row r="124" spans="1:29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29" x14ac:dyDescent="0.25">
      <c r="A125" s="30">
        <v>273.38167056472184</v>
      </c>
      <c r="E125" s="1" t="s">
        <v>8</v>
      </c>
    </row>
    <row r="126" spans="1:29" x14ac:dyDescent="0.25">
      <c r="A126" s="30">
        <v>260.36349577592557</v>
      </c>
      <c r="C126" s="1" t="s">
        <v>10</v>
      </c>
      <c r="E126" s="1" t="s">
        <v>8</v>
      </c>
    </row>
    <row r="127" spans="1:29" x14ac:dyDescent="0.25">
      <c r="A127" s="30">
        <v>247.96523407231004</v>
      </c>
      <c r="C127" s="30">
        <v>1832.9560713118319</v>
      </c>
      <c r="D127"/>
      <c r="E127" s="1" t="s">
        <v>8</v>
      </c>
    </row>
    <row r="128" spans="1:29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X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38" operator="equal">
      <formula>$U$1</formula>
    </cfRule>
    <cfRule type="cellIs" dxfId="67" priority="739" operator="equal">
      <formula>$S$1</formula>
    </cfRule>
  </conditionalFormatting>
  <conditionalFormatting sqref="D136">
    <cfRule type="cellIs" dxfId="66" priority="736" operator="equal">
      <formula>$S$1</formula>
    </cfRule>
    <cfRule type="cellIs" dxfId="65" priority="737" operator="equal">
      <formula>$U$1</formula>
    </cfRule>
  </conditionalFormatting>
  <conditionalFormatting sqref="C162">
    <cfRule type="cellIs" dxfId="64" priority="734" operator="equal">
      <formula>$U$1</formula>
    </cfRule>
    <cfRule type="cellIs" dxfId="63" priority="735" operator="equal">
      <formula>$S$1</formula>
    </cfRule>
  </conditionalFormatting>
  <conditionalFormatting sqref="D162">
    <cfRule type="cellIs" dxfId="62" priority="732" operator="equal">
      <formula>$S$1</formula>
    </cfRule>
    <cfRule type="cellIs" dxfId="61" priority="733" operator="equal">
      <formula>$U$1</formula>
    </cfRule>
  </conditionalFormatting>
  <conditionalFormatting sqref="C187">
    <cfRule type="cellIs" dxfId="60" priority="730" operator="equal">
      <formula>$U$1</formula>
    </cfRule>
    <cfRule type="cellIs" dxfId="59" priority="731" operator="equal">
      <formula>$S$1</formula>
    </cfRule>
  </conditionalFormatting>
  <conditionalFormatting sqref="D187">
    <cfRule type="cellIs" dxfId="58" priority="728" operator="equal">
      <formula>$S$1</formula>
    </cfRule>
    <cfRule type="cellIs" dxfId="57" priority="729" operator="equal">
      <formula>$U$1</formula>
    </cfRule>
  </conditionalFormatting>
  <conditionalFormatting sqref="C212">
    <cfRule type="cellIs" dxfId="56" priority="726" operator="equal">
      <formula>$U$1</formula>
    </cfRule>
    <cfRule type="cellIs" dxfId="55" priority="727" operator="equal">
      <formula>$S$1</formula>
    </cfRule>
  </conditionalFormatting>
  <conditionalFormatting sqref="D212">
    <cfRule type="cellIs" dxfId="54" priority="724" operator="equal">
      <formula>$S$1</formula>
    </cfRule>
    <cfRule type="cellIs" dxfId="53" priority="725" operator="equal">
      <formula>$U$1</formula>
    </cfRule>
  </conditionalFormatting>
  <conditionalFormatting sqref="C237">
    <cfRule type="cellIs" dxfId="52" priority="722" operator="equal">
      <formula>$U$1</formula>
    </cfRule>
    <cfRule type="cellIs" dxfId="51" priority="723" operator="equal">
      <formula>$S$1</formula>
    </cfRule>
  </conditionalFormatting>
  <conditionalFormatting sqref="D237">
    <cfRule type="cellIs" dxfId="50" priority="720" operator="equal">
      <formula>$S$1</formula>
    </cfRule>
    <cfRule type="cellIs" dxfId="49" priority="721" operator="equal">
      <formula>$U$1</formula>
    </cfRule>
  </conditionalFormatting>
  <conditionalFormatting sqref="C106">
    <cfRule type="cellIs" dxfId="48" priority="718" operator="equal">
      <formula>$U$1</formula>
    </cfRule>
    <cfRule type="cellIs" dxfId="47" priority="719" operator="equal">
      <formula>$S$1</formula>
    </cfRule>
  </conditionalFormatting>
  <conditionalFormatting sqref="D106">
    <cfRule type="cellIs" dxfId="46" priority="716" operator="equal">
      <formula>$S$1</formula>
    </cfRule>
    <cfRule type="cellIs" dxfId="45" priority="717" operator="equal">
      <formula>$U$1</formula>
    </cfRule>
  </conditionalFormatting>
  <conditionalFormatting sqref="C81">
    <cfRule type="cellIs" dxfId="44" priority="714" operator="equal">
      <formula>$U$1</formula>
    </cfRule>
    <cfRule type="cellIs" dxfId="43" priority="715" operator="equal">
      <formula>$S$1</formula>
    </cfRule>
  </conditionalFormatting>
  <conditionalFormatting sqref="D81">
    <cfRule type="cellIs" dxfId="42" priority="712" operator="equal">
      <formula>$S$1</formula>
    </cfRule>
    <cfRule type="cellIs" dxfId="41" priority="713" operator="equal">
      <formula>$U$1</formula>
    </cfRule>
  </conditionalFormatting>
  <conditionalFormatting sqref="C56">
    <cfRule type="cellIs" dxfId="40" priority="710" operator="equal">
      <formula>$U$1</formula>
    </cfRule>
    <cfRule type="cellIs" dxfId="39" priority="711" operator="equal">
      <formula>$S$1</formula>
    </cfRule>
  </conditionalFormatting>
  <conditionalFormatting sqref="D56">
    <cfRule type="cellIs" dxfId="38" priority="708" operator="equal">
      <formula>$S$1</formula>
    </cfRule>
    <cfRule type="cellIs" dxfId="37" priority="709" operator="equal">
      <formula>$U$1</formula>
    </cfRule>
  </conditionalFormatting>
  <conditionalFormatting sqref="C31">
    <cfRule type="cellIs" dxfId="36" priority="706" operator="equal">
      <formula>$U$1</formula>
    </cfRule>
    <cfRule type="cellIs" dxfId="35" priority="707" operator="equal">
      <formula>$S$1</formula>
    </cfRule>
  </conditionalFormatting>
  <conditionalFormatting sqref="D31">
    <cfRule type="cellIs" dxfId="34" priority="704" operator="equal">
      <formula>$S$1</formula>
    </cfRule>
    <cfRule type="cellIs" dxfId="33" priority="70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E43" sqref="AE4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31" x14ac:dyDescent="0.25">
      <c r="A33" s="30">
        <v>4390.927778387033</v>
      </c>
      <c r="E33"/>
    </row>
    <row r="34" spans="1:31" x14ac:dyDescent="0.25">
      <c r="A34" s="30">
        <v>3991.7525258063934</v>
      </c>
      <c r="E34"/>
    </row>
    <row r="35" spans="1:31" x14ac:dyDescent="0.25">
      <c r="A35" s="30">
        <v>3628.8659325512663</v>
      </c>
      <c r="E35"/>
    </row>
    <row r="36" spans="1:31" x14ac:dyDescent="0.25">
      <c r="A36" s="30">
        <v>3298.96902959206</v>
      </c>
      <c r="E36"/>
    </row>
    <row r="37" spans="1:31" x14ac:dyDescent="0.25">
      <c r="A37" s="30">
        <v>2999.0627541745998</v>
      </c>
      <c r="E37" t="s">
        <v>8</v>
      </c>
    </row>
    <row r="38" spans="1:31" x14ac:dyDescent="0.25">
      <c r="A38" s="30">
        <v>2726.4206856132723</v>
      </c>
      <c r="E38" t="s">
        <v>8</v>
      </c>
      <c r="F38" s="27" t="s">
        <v>7</v>
      </c>
    </row>
    <row r="39" spans="1:31" x14ac:dyDescent="0.25">
      <c r="A39" s="30">
        <v>2478.564259648429</v>
      </c>
      <c r="E39" t="s">
        <v>8</v>
      </c>
      <c r="F39" s="27" t="s">
        <v>7</v>
      </c>
      <c r="G39" s="27" t="s">
        <v>8</v>
      </c>
    </row>
    <row r="40" spans="1:31" x14ac:dyDescent="0.25">
      <c r="A40" s="30">
        <v>2253.240236044026</v>
      </c>
      <c r="E40" t="s">
        <v>8</v>
      </c>
      <c r="F40" s="27" t="s">
        <v>7</v>
      </c>
      <c r="G40" s="27" t="s">
        <v>8</v>
      </c>
      <c r="H40" s="27" t="s">
        <v>7</v>
      </c>
    </row>
    <row r="41" spans="1:31" x14ac:dyDescent="0.25">
      <c r="A41" s="30">
        <v>2048.4002145854779</v>
      </c>
      <c r="E41" t="s">
        <v>8</v>
      </c>
      <c r="F41" s="27" t="s">
        <v>7</v>
      </c>
      <c r="G41" s="27" t="s">
        <v>8</v>
      </c>
      <c r="H41" s="27" t="s">
        <v>7</v>
      </c>
      <c r="K41" s="27" t="s">
        <v>8</v>
      </c>
    </row>
    <row r="42" spans="1:31" x14ac:dyDescent="0.25">
      <c r="A42" s="30">
        <v>1862.1820132595253</v>
      </c>
      <c r="C42" s="1" t="s">
        <v>15</v>
      </c>
      <c r="E42" t="s">
        <v>8</v>
      </c>
      <c r="F42" s="27" t="s">
        <v>7</v>
      </c>
      <c r="G42" s="27" t="s">
        <v>8</v>
      </c>
      <c r="H42" s="27" t="s">
        <v>7</v>
      </c>
      <c r="I42" s="27" t="s">
        <v>8</v>
      </c>
      <c r="K42" s="27" t="s">
        <v>8</v>
      </c>
      <c r="L42" s="27" t="s">
        <v>7</v>
      </c>
      <c r="U42" s="27" t="s">
        <v>8</v>
      </c>
    </row>
    <row r="43" spans="1:31" x14ac:dyDescent="0.25">
      <c r="A43" s="30">
        <v>1692.8927393268411</v>
      </c>
      <c r="C43" s="7">
        <v>0.11167815779424731</v>
      </c>
      <c r="D43"/>
      <c r="E43" t="s">
        <v>8</v>
      </c>
      <c r="F43" s="27" t="s">
        <v>7</v>
      </c>
      <c r="H43" s="27" t="s">
        <v>7</v>
      </c>
      <c r="I43" s="27" t="s">
        <v>8</v>
      </c>
      <c r="J43" s="27" t="s">
        <v>7</v>
      </c>
      <c r="K43" s="27" t="s">
        <v>8</v>
      </c>
      <c r="L43" s="27" t="s">
        <v>7</v>
      </c>
      <c r="U43" s="27" t="s">
        <v>8</v>
      </c>
      <c r="V43" s="27" t="s">
        <v>7</v>
      </c>
      <c r="W43" s="27" t="s">
        <v>8</v>
      </c>
      <c r="AC43" s="27" t="s">
        <v>8</v>
      </c>
      <c r="AE43" s="27" t="s">
        <v>8</v>
      </c>
    </row>
    <row r="44" spans="1:31" x14ac:dyDescent="0.25">
      <c r="A44" s="30">
        <v>1538.9933993880372</v>
      </c>
      <c r="E44" t="s">
        <v>8</v>
      </c>
      <c r="H44" s="27" t="s">
        <v>7</v>
      </c>
      <c r="I44" s="27" t="s">
        <v>8</v>
      </c>
      <c r="J44" s="27" t="s">
        <v>7</v>
      </c>
      <c r="K44" s="27" t="s">
        <v>8</v>
      </c>
      <c r="L44" s="27" t="s">
        <v>7</v>
      </c>
      <c r="U44" s="27" t="s">
        <v>8</v>
      </c>
      <c r="V44" s="27" t="s">
        <v>7</v>
      </c>
      <c r="W44" s="27" t="s">
        <v>8</v>
      </c>
      <c r="X44" s="27" t="s">
        <v>7</v>
      </c>
      <c r="AA44" s="27" t="s">
        <v>8</v>
      </c>
      <c r="AC44" s="27" t="s">
        <v>8</v>
      </c>
      <c r="AD44" s="27" t="s">
        <v>7</v>
      </c>
      <c r="AE44" s="27" t="s">
        <v>8</v>
      </c>
    </row>
    <row r="45" spans="1:31" x14ac:dyDescent="0.25">
      <c r="A45" s="30">
        <v>1399.0849085345792</v>
      </c>
      <c r="C45" s="1" t="s">
        <v>11</v>
      </c>
      <c r="D45" s="1" t="s">
        <v>12</v>
      </c>
      <c r="E45" t="s">
        <v>8</v>
      </c>
      <c r="H45" s="27" t="s">
        <v>7</v>
      </c>
      <c r="I45" s="27" t="s">
        <v>8</v>
      </c>
      <c r="J45" s="27" t="s">
        <v>7</v>
      </c>
      <c r="K45" s="27" t="s">
        <v>8</v>
      </c>
      <c r="L45" s="27" t="s">
        <v>7</v>
      </c>
      <c r="U45" s="27" t="s">
        <v>8</v>
      </c>
      <c r="V45" s="27" t="s">
        <v>7</v>
      </c>
      <c r="W45" s="27" t="s">
        <v>8</v>
      </c>
      <c r="X45" s="27" t="s">
        <v>7</v>
      </c>
      <c r="Y45" s="27" t="s">
        <v>8</v>
      </c>
      <c r="AA45" s="27" t="s">
        <v>8</v>
      </c>
      <c r="AB45" s="27" t="s">
        <v>7</v>
      </c>
      <c r="AC45" s="27" t="s">
        <v>8</v>
      </c>
      <c r="AD45" s="27" t="s">
        <v>7</v>
      </c>
      <c r="AE45" s="27" t="s">
        <v>8</v>
      </c>
    </row>
    <row r="46" spans="1:31" x14ac:dyDescent="0.25">
      <c r="A46" s="30">
        <v>1271.8953713950718</v>
      </c>
      <c r="C46"/>
      <c r="D46"/>
      <c r="E46" t="s">
        <v>8</v>
      </c>
      <c r="H46" s="27" t="s">
        <v>7</v>
      </c>
      <c r="J46" s="27" t="s">
        <v>7</v>
      </c>
      <c r="K46" s="27" t="s">
        <v>8</v>
      </c>
      <c r="L46" s="27" t="s">
        <v>7</v>
      </c>
      <c r="U46" s="27" t="s">
        <v>8</v>
      </c>
      <c r="V46" s="27" t="s">
        <v>7</v>
      </c>
      <c r="W46" s="27" t="s">
        <v>8</v>
      </c>
      <c r="X46" s="27" t="s">
        <v>7</v>
      </c>
      <c r="Y46" s="27" t="s">
        <v>8</v>
      </c>
      <c r="Z46" s="27" t="s">
        <v>7</v>
      </c>
      <c r="AA46" s="27" t="s">
        <v>8</v>
      </c>
      <c r="AB46" s="27" t="s">
        <v>7</v>
      </c>
      <c r="AC46" s="27" t="s">
        <v>8</v>
      </c>
      <c r="AD46" s="27" t="s">
        <v>7</v>
      </c>
    </row>
    <row r="47" spans="1:31" x14ac:dyDescent="0.25">
      <c r="A47" s="30">
        <v>1156.2685194500652</v>
      </c>
      <c r="E47" t="s">
        <v>8</v>
      </c>
      <c r="J47" s="27" t="s">
        <v>7</v>
      </c>
      <c r="L47" s="27" t="s">
        <v>7</v>
      </c>
      <c r="S47" s="27" t="s">
        <v>8</v>
      </c>
      <c r="U47" s="27" t="s">
        <v>8</v>
      </c>
      <c r="V47" s="27" t="s">
        <v>7</v>
      </c>
      <c r="W47" s="27" t="s">
        <v>8</v>
      </c>
      <c r="X47" s="27" t="s">
        <v>7</v>
      </c>
      <c r="Y47" s="27" t="s">
        <v>8</v>
      </c>
      <c r="Z47" s="27" t="s">
        <v>7</v>
      </c>
      <c r="AA47" s="27" t="s">
        <v>8</v>
      </c>
      <c r="AB47" s="27" t="s">
        <v>7</v>
      </c>
    </row>
    <row r="48" spans="1:31" x14ac:dyDescent="0.25">
      <c r="A48" s="30">
        <v>1051.1531995000591</v>
      </c>
      <c r="C48" s="1" t="s">
        <v>13</v>
      </c>
      <c r="E48" t="s">
        <v>8</v>
      </c>
      <c r="L48" s="27" t="s">
        <v>7</v>
      </c>
      <c r="Q48" s="27" t="s">
        <v>8</v>
      </c>
      <c r="S48" s="27" t="s">
        <v>8</v>
      </c>
      <c r="T48" s="27" t="s">
        <v>7</v>
      </c>
      <c r="U48" s="27" t="s">
        <v>8</v>
      </c>
      <c r="V48" s="27" t="s">
        <v>7</v>
      </c>
      <c r="W48" s="27" t="s">
        <v>8</v>
      </c>
      <c r="X48" s="27" t="s">
        <v>7</v>
      </c>
      <c r="Y48" s="27" t="s">
        <v>8</v>
      </c>
      <c r="Z48" s="27" t="s">
        <v>7</v>
      </c>
    </row>
    <row r="49" spans="1:24" x14ac:dyDescent="0.25">
      <c r="A49" s="30">
        <v>955.59381772732638</v>
      </c>
      <c r="C49" s="1">
        <f>C38</f>
        <v>0</v>
      </c>
      <c r="E49" t="s">
        <v>8</v>
      </c>
      <c r="L49" s="27" t="s">
        <v>7</v>
      </c>
      <c r="Q49" s="27" t="s">
        <v>8</v>
      </c>
      <c r="R49" s="27" t="s">
        <v>7</v>
      </c>
      <c r="S49" s="27" t="s">
        <v>8</v>
      </c>
      <c r="T49" s="27" t="s">
        <v>7</v>
      </c>
      <c r="U49" s="27" t="s">
        <v>8</v>
      </c>
      <c r="V49" s="27" t="s">
        <v>7</v>
      </c>
      <c r="W49" s="27" t="s">
        <v>8</v>
      </c>
      <c r="X49" s="27" t="s">
        <v>7</v>
      </c>
    </row>
    <row r="50" spans="1:24" x14ac:dyDescent="0.25">
      <c r="A50" s="30">
        <v>868.72165247938756</v>
      </c>
      <c r="C50"/>
      <c r="D50"/>
      <c r="E50" t="s">
        <v>8</v>
      </c>
      <c r="L50" s="27" t="s">
        <v>7</v>
      </c>
      <c r="M50" s="27" t="s">
        <v>8</v>
      </c>
      <c r="Q50" s="27" t="s">
        <v>8</v>
      </c>
      <c r="R50" s="27" t="s">
        <v>7</v>
      </c>
      <c r="S50" s="27" t="s">
        <v>8</v>
      </c>
      <c r="T50" s="27" t="s">
        <v>7</v>
      </c>
      <c r="V50" s="27" t="s">
        <v>7</v>
      </c>
      <c r="W50" s="27" t="s">
        <v>8</v>
      </c>
    </row>
    <row r="51" spans="1:24" x14ac:dyDescent="0.25">
      <c r="A51" s="30">
        <v>789.74695679944318</v>
      </c>
      <c r="C51" s="1" t="s">
        <v>14</v>
      </c>
      <c r="E51" t="s">
        <v>8</v>
      </c>
      <c r="L51" s="27" t="s">
        <v>7</v>
      </c>
      <c r="M51" s="27" t="s">
        <v>8</v>
      </c>
      <c r="N51" s="27" t="s">
        <v>7</v>
      </c>
      <c r="O51" s="27" t="s">
        <v>8</v>
      </c>
      <c r="Q51" s="27" t="s">
        <v>8</v>
      </c>
      <c r="R51" s="27" t="s">
        <v>7</v>
      </c>
      <c r="V51" s="18" t="s">
        <v>7</v>
      </c>
      <c r="W51" s="27" t="s">
        <v>8</v>
      </c>
    </row>
    <row r="52" spans="1:24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  <c r="L52" s="27" t="s">
        <v>7</v>
      </c>
      <c r="M52" s="27" t="s">
        <v>8</v>
      </c>
      <c r="N52" s="27" t="s">
        <v>7</v>
      </c>
      <c r="O52" s="27" t="s">
        <v>8</v>
      </c>
      <c r="P52" s="27" t="s">
        <v>7</v>
      </c>
      <c r="Q52" s="27" t="s">
        <v>8</v>
      </c>
      <c r="V52" s="27" t="s">
        <v>7</v>
      </c>
      <c r="W52" s="27" t="s">
        <v>8</v>
      </c>
    </row>
    <row r="53" spans="1:24" x14ac:dyDescent="0.25">
      <c r="A53" s="30">
        <v>652.68343537144051</v>
      </c>
      <c r="E53" t="s">
        <v>8</v>
      </c>
      <c r="L53" s="27" t="s">
        <v>7</v>
      </c>
      <c r="M53" s="27" t="s">
        <v>8</v>
      </c>
      <c r="N53" s="27" t="s">
        <v>7</v>
      </c>
      <c r="O53" s="27" t="s">
        <v>8</v>
      </c>
      <c r="P53" s="27" t="s">
        <v>7</v>
      </c>
      <c r="Q53" s="27" t="s">
        <v>8</v>
      </c>
      <c r="V53" s="27" t="s">
        <v>7</v>
      </c>
    </row>
    <row r="54" spans="1:24" x14ac:dyDescent="0.25">
      <c r="A54" s="30">
        <v>593.34857761040041</v>
      </c>
      <c r="E54" t="s">
        <v>8</v>
      </c>
      <c r="L54" s="27" t="s">
        <v>7</v>
      </c>
      <c r="N54" s="27" t="s">
        <v>7</v>
      </c>
      <c r="P54" s="27" t="s">
        <v>7</v>
      </c>
      <c r="Q54" s="27" t="s">
        <v>8</v>
      </c>
    </row>
    <row r="55" spans="1:24" x14ac:dyDescent="0.25">
      <c r="A55" s="30">
        <v>539.40779782763673</v>
      </c>
      <c r="E55" t="s">
        <v>8</v>
      </c>
      <c r="P55" s="27" t="s">
        <v>7</v>
      </c>
      <c r="Q55" s="27" t="s">
        <v>8</v>
      </c>
    </row>
    <row r="56" spans="1:24" x14ac:dyDescent="0.25">
      <c r="A56" s="30">
        <v>490.37072529785149</v>
      </c>
      <c r="E56" t="s">
        <v>8</v>
      </c>
      <c r="P56" s="27" t="s">
        <v>7</v>
      </c>
      <c r="Q56" s="27" t="s">
        <v>8</v>
      </c>
    </row>
    <row r="57" spans="1:24" x14ac:dyDescent="0.25">
      <c r="A57" s="30">
        <v>445.79156845259223</v>
      </c>
      <c r="E57" t="s">
        <v>8</v>
      </c>
      <c r="P57" s="27" t="s">
        <v>7</v>
      </c>
      <c r="Q57" s="27" t="s">
        <v>8</v>
      </c>
    </row>
    <row r="58" spans="1:24" x14ac:dyDescent="0.25">
      <c r="A58" s="30">
        <v>405.26506222962928</v>
      </c>
      <c r="E58" t="s">
        <v>8</v>
      </c>
      <c r="P58" s="27" t="s">
        <v>7</v>
      </c>
    </row>
    <row r="59" spans="1:24" x14ac:dyDescent="0.25">
      <c r="A59" s="30">
        <v>368.42278384511752</v>
      </c>
      <c r="E59" t="s">
        <v>8</v>
      </c>
    </row>
    <row r="60" spans="1:24" x14ac:dyDescent="0.25">
      <c r="A60" s="30">
        <v>334.92980349556137</v>
      </c>
      <c r="E60" t="s">
        <v>8</v>
      </c>
    </row>
    <row r="61" spans="1:24" x14ac:dyDescent="0.25">
      <c r="A61" s="30">
        <v>304.48163954141938</v>
      </c>
      <c r="E61" t="s">
        <v>8</v>
      </c>
    </row>
    <row r="62" spans="1:24" x14ac:dyDescent="0.25">
      <c r="A62" s="30">
        <v>276.80149049219943</v>
      </c>
      <c r="E62" t="s">
        <v>8</v>
      </c>
    </row>
    <row r="63" spans="1:24" x14ac:dyDescent="0.25">
      <c r="A63" s="30">
        <v>251.63771862927217</v>
      </c>
      <c r="E63" t="s">
        <v>8</v>
      </c>
    </row>
    <row r="64" spans="1:24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$A$42</v>
      </c>
      <c r="D111" s="1" t="str">
        <f>ADDRESS(C121-1,D121,1,1)</f>
        <v>$AE$42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$A$43</v>
      </c>
      <c r="D112" s="1" t="str">
        <f>ADDRESS(C121,D121-1,1,1)</f>
        <v>$AD$43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$A$44</v>
      </c>
      <c r="D113" s="1" t="str">
        <f>ADDRESS(C121-1,D121+1,1,1)</f>
        <v>$AF$42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$AE$43</v>
      </c>
      <c r="D114" s="1" t="str">
        <f>ADDRESS(C121+1,D121+1,1,1)</f>
        <v>$AF$44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$AE$44</v>
      </c>
      <c r="E115" s="1" t="s">
        <v>8</v>
      </c>
    </row>
    <row r="116" spans="1:5" x14ac:dyDescent="0.25">
      <c r="A116" s="30">
        <v>1.6105100000000008</v>
      </c>
      <c r="C116" s="1">
        <f>C117-1</f>
        <v>42</v>
      </c>
      <c r="E116" s="1" t="s">
        <v>8</v>
      </c>
    </row>
    <row r="117" spans="1:5" x14ac:dyDescent="0.25">
      <c r="A117" s="30">
        <v>1.4641000000000006</v>
      </c>
      <c r="C117" s="1">
        <f>C121</f>
        <v>43</v>
      </c>
      <c r="D117" s="1">
        <f>D121</f>
        <v>31</v>
      </c>
      <c r="E117" s="1" t="s">
        <v>8</v>
      </c>
    </row>
    <row r="118" spans="1:5" x14ac:dyDescent="0.25">
      <c r="A118" s="30">
        <v>1.3310000000000004</v>
      </c>
      <c r="C118" s="1">
        <f>C117+1</f>
        <v>44</v>
      </c>
      <c r="D118" s="1">
        <f>D117+1</f>
        <v>32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43</v>
      </c>
      <c r="D121" s="19">
        <v>31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R43</v>
      </c>
      <c r="D123" s="1" t="str">
        <f>"C"&amp;D121</f>
        <v>C31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1692.8927393268411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22" operator="equal">
      <formula>$U$1</formula>
    </cfRule>
    <cfRule type="cellIs" dxfId="30" priority="723" operator="equal">
      <formula>$S$1</formula>
    </cfRule>
  </conditionalFormatting>
  <conditionalFormatting sqref="D136">
    <cfRule type="cellIs" dxfId="29" priority="720" operator="equal">
      <formula>$S$1</formula>
    </cfRule>
    <cfRule type="cellIs" dxfId="28" priority="721" operator="equal">
      <formula>$U$1</formula>
    </cfRule>
  </conditionalFormatting>
  <conditionalFormatting sqref="C102">
    <cfRule type="cellIs" dxfId="27" priority="718" operator="equal">
      <formula>$U$1</formula>
    </cfRule>
    <cfRule type="cellIs" dxfId="26" priority="719" operator="equal">
      <formula>$S$1</formula>
    </cfRule>
  </conditionalFormatting>
  <conditionalFormatting sqref="D102">
    <cfRule type="cellIs" dxfId="25" priority="716" operator="equal">
      <formula>$S$1</formula>
    </cfRule>
    <cfRule type="cellIs" dxfId="24" priority="717" operator="equal">
      <formula>$U$1</formula>
    </cfRule>
  </conditionalFormatting>
  <conditionalFormatting sqref="C77">
    <cfRule type="cellIs" dxfId="23" priority="714" operator="equal">
      <formula>$U$1</formula>
    </cfRule>
    <cfRule type="cellIs" dxfId="22" priority="715" operator="equal">
      <formula>$S$1</formula>
    </cfRule>
  </conditionalFormatting>
  <conditionalFormatting sqref="D77">
    <cfRule type="cellIs" dxfId="21" priority="712" operator="equal">
      <formula>$S$1</formula>
    </cfRule>
    <cfRule type="cellIs" dxfId="20" priority="713" operator="equal">
      <formula>$U$1</formula>
    </cfRule>
  </conditionalFormatting>
  <conditionalFormatting sqref="C52">
    <cfRule type="cellIs" dxfId="19" priority="710" operator="equal">
      <formula>$U$1</formula>
    </cfRule>
    <cfRule type="cellIs" dxfId="18" priority="711" operator="equal">
      <formula>$S$1</formula>
    </cfRule>
  </conditionalFormatting>
  <conditionalFormatting sqref="D52">
    <cfRule type="cellIs" dxfId="17" priority="708" operator="equal">
      <formula>$S$1</formula>
    </cfRule>
    <cfRule type="cellIs" dxfId="16" priority="709" operator="equal">
      <formula>$U$1</formula>
    </cfRule>
  </conditionalFormatting>
  <conditionalFormatting sqref="C26">
    <cfRule type="cellIs" dxfId="15" priority="706" operator="equal">
      <formula>$U$1</formula>
    </cfRule>
    <cfRule type="cellIs" dxfId="14" priority="707" operator="equal">
      <formula>$S$1</formula>
    </cfRule>
  </conditionalFormatting>
  <conditionalFormatting sqref="D26">
    <cfRule type="cellIs" dxfId="13" priority="704" operator="equal">
      <formula>$S$1</formula>
    </cfRule>
    <cfRule type="cellIs" dxfId="12" priority="70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2022-01-28T01:14:26Z</dcterms:modified>
</cp:coreProperties>
</file>