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5D53915-0311-4599-8F4F-A5D4A212818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Sheet1" sheetId="8" r:id="rId6"/>
    <sheet name="INVEST" sheetId="6" r:id="rId7"/>
    <sheet name="TEMP" sheetId="7" r:id="rId8"/>
    <sheet name="Chart1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44" i="1"/>
  <c r="Q744" i="1" s="1"/>
  <c r="R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44" i="1"/>
  <c r="T744" i="1" s="1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16" i="4"/>
  <c r="D136" i="5"/>
  <c r="C136" i="5"/>
  <c r="C122" i="4"/>
  <c r="C133" i="4" s="1"/>
  <c r="C136" i="4" s="1"/>
  <c r="C118" i="3"/>
  <c r="C122" i="3"/>
  <c r="C133" i="3" s="1"/>
  <c r="C136" i="3" s="1"/>
  <c r="R743" i="1"/>
  <c r="C138" i="5" l="1"/>
  <c r="D136" i="4"/>
  <c r="C138" i="4" s="1"/>
  <c r="D136" i="3"/>
  <c r="C138" i="3" s="1"/>
  <c r="R742" i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S613" i="1" l="1"/>
  <c r="T613" i="1" s="1"/>
  <c r="R612" i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S517" i="1" l="1"/>
  <c r="T517" i="1" s="1"/>
  <c r="R516" i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S477" i="1" l="1"/>
  <c r="T477" i="1" s="1"/>
  <c r="R476" i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S405" i="1" l="1"/>
  <c r="T405" i="1" s="1"/>
  <c r="R404" i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S373" i="1" l="1"/>
  <c r="T373" i="1" s="1"/>
  <c r="R372" i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S264" i="1" l="1"/>
  <c r="T264" i="1" s="1"/>
  <c r="R263" i="1"/>
  <c r="S263" i="1" l="1"/>
  <c r="T263" i="1" s="1"/>
  <c r="R262" i="1"/>
  <c r="R261" i="1" l="1"/>
  <c r="S262" i="1"/>
  <c r="T262" i="1" s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S133" i="1" l="1"/>
  <c r="T133" i="1" s="1"/>
  <c r="R132" i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S110" i="1" l="1"/>
  <c r="T110" i="1" s="1"/>
  <c r="R109" i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S94" i="1" l="1"/>
  <c r="T94" i="1" s="1"/>
  <c r="R93" i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S50" i="1" l="1"/>
  <c r="T50" i="1" s="1"/>
  <c r="R49" i="1"/>
  <c r="S49" i="1" l="1"/>
  <c r="T49" i="1" s="1"/>
  <c r="R48" i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<sst xmlns="http://schemas.openxmlformats.org/spreadsheetml/2006/main" count="1820" uniqueCount="34">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</sst>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2.2320000000000002</c:v>
                </c:pt>
                <c:pt idx="1">
                  <c:v>2.3090000000000002</c:v>
                </c:pt>
                <c:pt idx="2">
                  <c:v>2.319</c:v>
                </c:pt>
                <c:pt idx="3">
                  <c:v>2.3319999999999999</c:v>
                </c:pt>
                <c:pt idx="4">
                  <c:v>2.444</c:v>
                </c:pt>
                <c:pt idx="5">
                  <c:v>2.343</c:v>
                </c:pt>
                <c:pt idx="6">
                  <c:v>2.903</c:v>
                </c:pt>
                <c:pt idx="7">
                  <c:v>3.3490000000000002</c:v>
                </c:pt>
                <c:pt idx="8">
                  <c:v>3.3849999999999998</c:v>
                </c:pt>
                <c:pt idx="9">
                  <c:v>3.4430000000000001</c:v>
                </c:pt>
                <c:pt idx="10">
                  <c:v>3.4060000000000001</c:v>
                </c:pt>
                <c:pt idx="11">
                  <c:v>3.4940000000000002</c:v>
                </c:pt>
                <c:pt idx="12">
                  <c:v>3.4830000000000001</c:v>
                </c:pt>
                <c:pt idx="13">
                  <c:v>3.4580000000000002</c:v>
                </c:pt>
                <c:pt idx="14">
                  <c:v>3.2759999999999998</c:v>
                </c:pt>
                <c:pt idx="15">
                  <c:v>3.5950000000000002</c:v>
                </c:pt>
                <c:pt idx="16">
                  <c:v>3.4660000000000002</c:v>
                </c:pt>
                <c:pt idx="17">
                  <c:v>3.1930000000000001</c:v>
                </c:pt>
                <c:pt idx="18">
                  <c:v>3.339</c:v>
                </c:pt>
                <c:pt idx="19">
                  <c:v>3.238</c:v>
                </c:pt>
                <c:pt idx="20">
                  <c:v>3.363</c:v>
                </c:pt>
                <c:pt idx="21">
                  <c:v>3.6819999999999999</c:v>
                </c:pt>
                <c:pt idx="22">
                  <c:v>3.8860000000000001</c:v>
                </c:pt>
                <c:pt idx="23">
                  <c:v>3.7050000000000001</c:v>
                </c:pt>
                <c:pt idx="24">
                  <c:v>3.5630000000000002</c:v>
                </c:pt>
                <c:pt idx="25">
                  <c:v>3.778</c:v>
                </c:pt>
                <c:pt idx="26">
                  <c:v>3.734</c:v>
                </c:pt>
                <c:pt idx="27">
                  <c:v>3.5379999999999998</c:v>
                </c:pt>
                <c:pt idx="28">
                  <c:v>3.577</c:v>
                </c:pt>
                <c:pt idx="29">
                  <c:v>3.3570000000000002</c:v>
                </c:pt>
                <c:pt idx="30">
                  <c:v>3.5019999999999998</c:v>
                </c:pt>
                <c:pt idx="31">
                  <c:v>3.8620000000000001</c:v>
                </c:pt>
                <c:pt idx="32">
                  <c:v>3.82</c:v>
                </c:pt>
                <c:pt idx="33">
                  <c:v>3.5870000000000002</c:v>
                </c:pt>
                <c:pt idx="34">
                  <c:v>3.5569999999999999</c:v>
                </c:pt>
                <c:pt idx="35">
                  <c:v>3.706</c:v>
                </c:pt>
                <c:pt idx="36">
                  <c:v>3.3130000000000002</c:v>
                </c:pt>
                <c:pt idx="37">
                  <c:v>3.2330000000000001</c:v>
                </c:pt>
                <c:pt idx="38">
                  <c:v>3.15</c:v>
                </c:pt>
                <c:pt idx="39">
                  <c:v>3.1859999999999999</c:v>
                </c:pt>
                <c:pt idx="40">
                  <c:v>3.234</c:v>
                </c:pt>
                <c:pt idx="41">
                  <c:v>3.1709999999999998</c:v>
                </c:pt>
                <c:pt idx="42">
                  <c:v>3.3090000000000002</c:v>
                </c:pt>
                <c:pt idx="43">
                  <c:v>3.528</c:v>
                </c:pt>
                <c:pt idx="44">
                  <c:v>3.2280000000000002</c:v>
                </c:pt>
                <c:pt idx="45">
                  <c:v>3.2069999999999999</c:v>
                </c:pt>
                <c:pt idx="46">
                  <c:v>3.6459999999999999</c:v>
                </c:pt>
                <c:pt idx="47">
                  <c:v>3.472</c:v>
                </c:pt>
                <c:pt idx="48">
                  <c:v>3.4430000000000001</c:v>
                </c:pt>
                <c:pt idx="49">
                  <c:v>3.55</c:v>
                </c:pt>
                <c:pt idx="50">
                  <c:v>3.9609999999999999</c:v>
                </c:pt>
                <c:pt idx="51">
                  <c:v>3.9119999999999999</c:v>
                </c:pt>
                <c:pt idx="52">
                  <c:v>3.8039999999999998</c:v>
                </c:pt>
                <c:pt idx="53">
                  <c:v>3.5169999999999999</c:v>
                </c:pt>
                <c:pt idx="54">
                  <c:v>3.8370000000000002</c:v>
                </c:pt>
                <c:pt idx="55">
                  <c:v>4.2300000000000004</c:v>
                </c:pt>
                <c:pt idx="56">
                  <c:v>4.3630000000000004</c:v>
                </c:pt>
                <c:pt idx="57">
                  <c:v>4.5359999999999996</c:v>
                </c:pt>
                <c:pt idx="58">
                  <c:v>4.5469999999999997</c:v>
                </c:pt>
                <c:pt idx="59">
                  <c:v>4.8289999999999997</c:v>
                </c:pt>
                <c:pt idx="60">
                  <c:v>4.7839999999999998</c:v>
                </c:pt>
                <c:pt idx="61">
                  <c:v>4.7169999999999996</c:v>
                </c:pt>
                <c:pt idx="62">
                  <c:v>4.5860000000000003</c:v>
                </c:pt>
                <c:pt idx="63">
                  <c:v>5.0170000000000003</c:v>
                </c:pt>
                <c:pt idx="64">
                  <c:v>4.4889999999999999</c:v>
                </c:pt>
                <c:pt idx="65">
                  <c:v>4.492</c:v>
                </c:pt>
                <c:pt idx="66">
                  <c:v>4.3730000000000002</c:v>
                </c:pt>
                <c:pt idx="67">
                  <c:v>4.47</c:v>
                </c:pt>
                <c:pt idx="68">
                  <c:v>4.617</c:v>
                </c:pt>
                <c:pt idx="69">
                  <c:v>4.7140000000000004</c:v>
                </c:pt>
                <c:pt idx="70">
                  <c:v>4.1980000000000004</c:v>
                </c:pt>
                <c:pt idx="71">
                  <c:v>4.6420000000000003</c:v>
                </c:pt>
                <c:pt idx="72">
                  <c:v>4.4749999999999996</c:v>
                </c:pt>
                <c:pt idx="73">
                  <c:v>5.0739999999999998</c:v>
                </c:pt>
                <c:pt idx="74">
                  <c:v>5.3390000000000004</c:v>
                </c:pt>
                <c:pt idx="75">
                  <c:v>5.476</c:v>
                </c:pt>
                <c:pt idx="76">
                  <c:v>5.6340000000000003</c:v>
                </c:pt>
                <c:pt idx="77">
                  <c:v>5.8959999999999999</c:v>
                </c:pt>
                <c:pt idx="78">
                  <c:v>5.125</c:v>
                </c:pt>
                <c:pt idx="79">
                  <c:v>4.2670000000000003</c:v>
                </c:pt>
                <c:pt idx="80">
                  <c:v>4.367</c:v>
                </c:pt>
                <c:pt idx="81">
                  <c:v>4.3940000000000001</c:v>
                </c:pt>
                <c:pt idx="82">
                  <c:v>4.2409999999999997</c:v>
                </c:pt>
                <c:pt idx="83">
                  <c:v>4.306</c:v>
                </c:pt>
                <c:pt idx="84">
                  <c:v>4.2789999999999999</c:v>
                </c:pt>
                <c:pt idx="85">
                  <c:v>4.45</c:v>
                </c:pt>
                <c:pt idx="86">
                  <c:v>4.5259999999999998</c:v>
                </c:pt>
                <c:pt idx="87">
                  <c:v>4.4359999999999999</c:v>
                </c:pt>
                <c:pt idx="88">
                  <c:v>4.4610000000000003</c:v>
                </c:pt>
                <c:pt idx="89">
                  <c:v>4.4809999999999999</c:v>
                </c:pt>
                <c:pt idx="90">
                  <c:v>4.6390000000000002</c:v>
                </c:pt>
                <c:pt idx="91">
                  <c:v>4.6619999999999999</c:v>
                </c:pt>
                <c:pt idx="92">
                  <c:v>4.399</c:v>
                </c:pt>
                <c:pt idx="93">
                  <c:v>4.9370000000000003</c:v>
                </c:pt>
                <c:pt idx="94">
                  <c:v>4.843</c:v>
                </c:pt>
                <c:pt idx="95">
                  <c:v>4.5979999999999999</c:v>
                </c:pt>
                <c:pt idx="96">
                  <c:v>4.2009999999999996</c:v>
                </c:pt>
                <c:pt idx="97">
                  <c:v>4.2039999999999997</c:v>
                </c:pt>
                <c:pt idx="98">
                  <c:v>4.1920000000000002</c:v>
                </c:pt>
                <c:pt idx="99">
                  <c:v>4.2949999999999999</c:v>
                </c:pt>
                <c:pt idx="100">
                  <c:v>4.0190000000000001</c:v>
                </c:pt>
                <c:pt idx="101">
                  <c:v>4.0819999999999999</c:v>
                </c:pt>
                <c:pt idx="102">
                  <c:v>4.0990000000000002</c:v>
                </c:pt>
                <c:pt idx="103">
                  <c:v>4.18</c:v>
                </c:pt>
                <c:pt idx="104">
                  <c:v>4.21</c:v>
                </c:pt>
                <c:pt idx="105">
                  <c:v>4.3499999999999996</c:v>
                </c:pt>
                <c:pt idx="106">
                  <c:v>4.18</c:v>
                </c:pt>
                <c:pt idx="107">
                  <c:v>4.1790000000000003</c:v>
                </c:pt>
                <c:pt idx="108">
                  <c:v>4.2039999999999997</c:v>
                </c:pt>
                <c:pt idx="109">
                  <c:v>4.157</c:v>
                </c:pt>
                <c:pt idx="110">
                  <c:v>4.4509999999999996</c:v>
                </c:pt>
                <c:pt idx="111">
                  <c:v>4.5049999999999999</c:v>
                </c:pt>
                <c:pt idx="112">
                  <c:v>4.59</c:v>
                </c:pt>
                <c:pt idx="113">
                  <c:v>4.5670000000000002</c:v>
                </c:pt>
                <c:pt idx="114">
                  <c:v>4.6900000000000004</c:v>
                </c:pt>
                <c:pt idx="115">
                  <c:v>4.29</c:v>
                </c:pt>
                <c:pt idx="116">
                  <c:v>4.4859999999999998</c:v>
                </c:pt>
                <c:pt idx="117">
                  <c:v>4.46</c:v>
                </c:pt>
                <c:pt idx="118">
                  <c:v>4.5380000000000003</c:v>
                </c:pt>
                <c:pt idx="119">
                  <c:v>4.0670000000000002</c:v>
                </c:pt>
                <c:pt idx="120">
                  <c:v>3.9820000000000002</c:v>
                </c:pt>
                <c:pt idx="121">
                  <c:v>3.9470000000000001</c:v>
                </c:pt>
                <c:pt idx="122">
                  <c:v>4.1260000000000003</c:v>
                </c:pt>
                <c:pt idx="123">
                  <c:v>4.3940000000000001</c:v>
                </c:pt>
                <c:pt idx="124">
                  <c:v>4.13</c:v>
                </c:pt>
                <c:pt idx="125">
                  <c:v>4.26</c:v>
                </c:pt>
                <c:pt idx="126">
                  <c:v>4.8079999999999998</c:v>
                </c:pt>
                <c:pt idx="127">
                  <c:v>4.7190000000000003</c:v>
                </c:pt>
                <c:pt idx="128">
                  <c:v>4.2160000000000002</c:v>
                </c:pt>
                <c:pt idx="129">
                  <c:v>4.8259999999999996</c:v>
                </c:pt>
                <c:pt idx="130">
                  <c:v>5.3810000000000002</c:v>
                </c:pt>
                <c:pt idx="131">
                  <c:v>5.2830000000000004</c:v>
                </c:pt>
                <c:pt idx="132">
                  <c:v>5.1760000000000002</c:v>
                </c:pt>
                <c:pt idx="133">
                  <c:v>5.6760000000000002</c:v>
                </c:pt>
                <c:pt idx="134">
                  <c:v>5.9550000000000001</c:v>
                </c:pt>
                <c:pt idx="135">
                  <c:v>6.1580000000000004</c:v>
                </c:pt>
                <c:pt idx="136">
                  <c:v>5.7930000000000001</c:v>
                </c:pt>
                <c:pt idx="137">
                  <c:v>5.1440000000000001</c:v>
                </c:pt>
                <c:pt idx="138">
                  <c:v>5.226</c:v>
                </c:pt>
                <c:pt idx="139">
                  <c:v>5.6550000000000002</c:v>
                </c:pt>
                <c:pt idx="140">
                  <c:v>5.7670000000000003</c:v>
                </c:pt>
                <c:pt idx="141">
                  <c:v>4.0060000000000002</c:v>
                </c:pt>
                <c:pt idx="142">
                  <c:v>3.7890000000000001</c:v>
                </c:pt>
                <c:pt idx="143">
                  <c:v>4.1289999999999996</c:v>
                </c:pt>
                <c:pt idx="144">
                  <c:v>4.2469999999999999</c:v>
                </c:pt>
                <c:pt idx="145">
                  <c:v>3.7959999999999998</c:v>
                </c:pt>
                <c:pt idx="146">
                  <c:v>3.8479999999999999</c:v>
                </c:pt>
                <c:pt idx="147">
                  <c:v>3.956</c:v>
                </c:pt>
                <c:pt idx="148">
                  <c:v>4.1100000000000003</c:v>
                </c:pt>
                <c:pt idx="149">
                  <c:v>3.589</c:v>
                </c:pt>
                <c:pt idx="150">
                  <c:v>3.2450000000000001</c:v>
                </c:pt>
                <c:pt idx="151">
                  <c:v>2.887</c:v>
                </c:pt>
                <c:pt idx="152">
                  <c:v>2.9169999999999998</c:v>
                </c:pt>
                <c:pt idx="153">
                  <c:v>2.9620000000000002</c:v>
                </c:pt>
                <c:pt idx="154">
                  <c:v>2.7040000000000002</c:v>
                </c:pt>
                <c:pt idx="155">
                  <c:v>2.9420000000000002</c:v>
                </c:pt>
                <c:pt idx="156">
                  <c:v>2.8969999999999998</c:v>
                </c:pt>
                <c:pt idx="157">
                  <c:v>3.153</c:v>
                </c:pt>
                <c:pt idx="158">
                  <c:v>3.2189999999999999</c:v>
                </c:pt>
                <c:pt idx="159">
                  <c:v>3.1259999999999999</c:v>
                </c:pt>
                <c:pt idx="160">
                  <c:v>3.234</c:v>
                </c:pt>
                <c:pt idx="161">
                  <c:v>3.25</c:v>
                </c:pt>
                <c:pt idx="162">
                  <c:v>3.0870000000000002</c:v>
                </c:pt>
                <c:pt idx="163">
                  <c:v>3.198</c:v>
                </c:pt>
                <c:pt idx="164">
                  <c:v>3.3679999999999999</c:v>
                </c:pt>
                <c:pt idx="165">
                  <c:v>3.1419999999999999</c:v>
                </c:pt>
                <c:pt idx="166">
                  <c:v>2.9790000000000001</c:v>
                </c:pt>
                <c:pt idx="167">
                  <c:v>3.1469999999999998</c:v>
                </c:pt>
                <c:pt idx="168">
                  <c:v>2.8519999999999999</c:v>
                </c:pt>
                <c:pt idx="169">
                  <c:v>2.91</c:v>
                </c:pt>
                <c:pt idx="170">
                  <c:v>3.2370000000000001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2F-49E1-9DBD-A587945BB6C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-1.3738923196566668</c:v>
                </c:pt>
                <c:pt idx="1">
                  <c:v>-1.3716636514113838</c:v>
                </c:pt>
                <c:pt idx="2">
                  <c:v>-1.323806594382068</c:v>
                </c:pt>
                <c:pt idx="3">
                  <c:v>-1.3381301222511779</c:v>
                </c:pt>
                <c:pt idx="4">
                  <c:v>-1.3746058093962161</c:v>
                </c:pt>
                <c:pt idx="5">
                  <c:v>-1.3928372300971505</c:v>
                </c:pt>
                <c:pt idx="6">
                  <c:v>-1.3084707760923198</c:v>
                </c:pt>
                <c:pt idx="7">
                  <c:v>-1.2362517176637482</c:v>
                </c:pt>
                <c:pt idx="8">
                  <c:v>-1.1931179453001119</c:v>
                </c:pt>
                <c:pt idx="9">
                  <c:v>-1.1436184521182935</c:v>
                </c:pt>
                <c:pt idx="10">
                  <c:v>-1.1135634601957844</c:v>
                </c:pt>
                <c:pt idx="11">
                  <c:v>-1.1130416523450384</c:v>
                </c:pt>
                <c:pt idx="12">
                  <c:v>-1.1043652698912567</c:v>
                </c:pt>
                <c:pt idx="13">
                  <c:v>-1.0932451046518203</c:v>
                </c:pt>
                <c:pt idx="14">
                  <c:v>-1.1056269004451336</c:v>
                </c:pt>
                <c:pt idx="15">
                  <c:v>-1.0543379019963144</c:v>
                </c:pt>
                <c:pt idx="16">
                  <c:v>-1.0594974821319079</c:v>
                </c:pt>
                <c:pt idx="17">
                  <c:v>-1.0825798621319076</c:v>
                </c:pt>
                <c:pt idx="18">
                  <c:v>-1.081637579421834</c:v>
                </c:pt>
                <c:pt idx="19">
                  <c:v>-1.084286468384567</c:v>
                </c:pt>
                <c:pt idx="20">
                  <c:v>-1.0582660220165669</c:v>
                </c:pt>
                <c:pt idx="21">
                  <c:v>-1.0036028620568691</c:v>
                </c:pt>
                <c:pt idx="22">
                  <c:v>-0.96776302338217035</c:v>
                </c:pt>
                <c:pt idx="23">
                  <c:v>-0.98906512360385701</c:v>
                </c:pt>
                <c:pt idx="24">
                  <c:v>-0.99731874276327737</c:v>
                </c:pt>
                <c:pt idx="25">
                  <c:v>-0.97384552927917845</c:v>
                </c:pt>
                <c:pt idx="26">
                  <c:v>-0.98358357395610152</c:v>
                </c:pt>
                <c:pt idx="27">
                  <c:v>-1.0020484422227682</c:v>
                </c:pt>
                <c:pt idx="28">
                  <c:v>-0.98728714596075939</c:v>
                </c:pt>
                <c:pt idx="29">
                  <c:v>-0.98355356587292142</c:v>
                </c:pt>
                <c:pt idx="30">
                  <c:v>-0.95558543126860507</c:v>
                </c:pt>
                <c:pt idx="31">
                  <c:v>-0.92637326439014023</c:v>
                </c:pt>
                <c:pt idx="32">
                  <c:v>-0.87490254739939965</c:v>
                </c:pt>
                <c:pt idx="33">
                  <c:v>-0.90759922656726522</c:v>
                </c:pt>
                <c:pt idx="34">
                  <c:v>-0.90025524422044456</c:v>
                </c:pt>
                <c:pt idx="35">
                  <c:v>-0.87649270884180386</c:v>
                </c:pt>
                <c:pt idx="36">
                  <c:v>-0.92250970347709793</c:v>
                </c:pt>
                <c:pt idx="37">
                  <c:v>-0.90563873187997568</c:v>
                </c:pt>
                <c:pt idx="38">
                  <c:v>-0.91897242255873224</c:v>
                </c:pt>
                <c:pt idx="39">
                  <c:v>-0.92781965760524376</c:v>
                </c:pt>
                <c:pt idx="40">
                  <c:v>-0.91267719830346861</c:v>
                </c:pt>
                <c:pt idx="41">
                  <c:v>-0.9141400170602253</c:v>
                </c:pt>
                <c:pt idx="42">
                  <c:v>-0.89967725862413506</c:v>
                </c:pt>
                <c:pt idx="43">
                  <c:v>-0.86721609898230134</c:v>
                </c:pt>
                <c:pt idx="44">
                  <c:v>-0.89162931748013696</c:v>
                </c:pt>
                <c:pt idx="45">
                  <c:v>-0.89782361599865546</c:v>
                </c:pt>
                <c:pt idx="46">
                  <c:v>-0.85755687648380385</c:v>
                </c:pt>
                <c:pt idx="47">
                  <c:v>-0.85694048659067401</c:v>
                </c:pt>
                <c:pt idx="48">
                  <c:v>-0.85837050406608384</c:v>
                </c:pt>
                <c:pt idx="49">
                  <c:v>-0.82975713575972554</c:v>
                </c:pt>
                <c:pt idx="50">
                  <c:v>-0.79085973437919455</c:v>
                </c:pt>
                <c:pt idx="51">
                  <c:v>-0.82657140328193013</c:v>
                </c:pt>
                <c:pt idx="52">
                  <c:v>-0.8229442197525183</c:v>
                </c:pt>
                <c:pt idx="53">
                  <c:v>-0.87677772040706359</c:v>
                </c:pt>
                <c:pt idx="54">
                  <c:v>-0.84699126770180044</c:v>
                </c:pt>
                <c:pt idx="55">
                  <c:v>-0.85984236927306623</c:v>
                </c:pt>
                <c:pt idx="56">
                  <c:v>-0.83212233086588083</c:v>
                </c:pt>
                <c:pt idx="57">
                  <c:v>-0.8155746256535259</c:v>
                </c:pt>
                <c:pt idx="58">
                  <c:v>-0.76956094762559291</c:v>
                </c:pt>
                <c:pt idx="59">
                  <c:v>-0.71275835257003739</c:v>
                </c:pt>
                <c:pt idx="60">
                  <c:v>-0.73047985012599403</c:v>
                </c:pt>
                <c:pt idx="61">
                  <c:v>-0.77894907336788921</c:v>
                </c:pt>
                <c:pt idx="62">
                  <c:v>-0.73093052071163911</c:v>
                </c:pt>
                <c:pt idx="63">
                  <c:v>-0.69069019645620422</c:v>
                </c:pt>
                <c:pt idx="64">
                  <c:v>-0.62785247521876142</c:v>
                </c:pt>
                <c:pt idx="65">
                  <c:v>-0.6333134185073519</c:v>
                </c:pt>
                <c:pt idx="66">
                  <c:v>-0.60251529612190713</c:v>
                </c:pt>
                <c:pt idx="67">
                  <c:v>-0.56500640132240831</c:v>
                </c:pt>
                <c:pt idx="68">
                  <c:v>-0.51862994302829057</c:v>
                </c:pt>
                <c:pt idx="69">
                  <c:v>-0.5118044977065852</c:v>
                </c:pt>
                <c:pt idx="70">
                  <c:v>-0.55737856497566141</c:v>
                </c:pt>
                <c:pt idx="71">
                  <c:v>-0.49001393110366148</c:v>
                </c:pt>
                <c:pt idx="72">
                  <c:v>-0.51517098218787216</c:v>
                </c:pt>
                <c:pt idx="73">
                  <c:v>-0.40918832868112542</c:v>
                </c:pt>
                <c:pt idx="74">
                  <c:v>-0.32889577856112545</c:v>
                </c:pt>
                <c:pt idx="75">
                  <c:v>-0.34329074149222416</c:v>
                </c:pt>
                <c:pt idx="76">
                  <c:v>-0.27651008639564173</c:v>
                </c:pt>
                <c:pt idx="77">
                  <c:v>-0.18942204380088967</c:v>
                </c:pt>
                <c:pt idx="78">
                  <c:v>-0.25476437986137568</c:v>
                </c:pt>
                <c:pt idx="79">
                  <c:v>-0.29121191583890371</c:v>
                </c:pt>
                <c:pt idx="80">
                  <c:v>-0.24990468375529179</c:v>
                </c:pt>
                <c:pt idx="81">
                  <c:v>-0.25011620777638871</c:v>
                </c:pt>
                <c:pt idx="82">
                  <c:v>-0.26550005905638868</c:v>
                </c:pt>
                <c:pt idx="83">
                  <c:v>-0.26466120840173396</c:v>
                </c:pt>
                <c:pt idx="84">
                  <c:v>-0.27493174183684854</c:v>
                </c:pt>
                <c:pt idx="85">
                  <c:v>-0.24431928733211655</c:v>
                </c:pt>
                <c:pt idx="86">
                  <c:v>-0.22784877699878331</c:v>
                </c:pt>
                <c:pt idx="87">
                  <c:v>-0.26851253419337784</c:v>
                </c:pt>
                <c:pt idx="88">
                  <c:v>-0.24627056333702421</c:v>
                </c:pt>
                <c:pt idx="89">
                  <c:v>-0.27984585496447534</c:v>
                </c:pt>
                <c:pt idx="90">
                  <c:v>-0.26085066885247526</c:v>
                </c:pt>
                <c:pt idx="91">
                  <c:v>-0.24567613739533242</c:v>
                </c:pt>
                <c:pt idx="92">
                  <c:v>-0.24803773189832642</c:v>
                </c:pt>
                <c:pt idx="93">
                  <c:v>-0.17859997355988849</c:v>
                </c:pt>
                <c:pt idx="94">
                  <c:v>-0.13069026595689229</c:v>
                </c:pt>
                <c:pt idx="95">
                  <c:v>-0.18704761495689218</c:v>
                </c:pt>
                <c:pt idx="96">
                  <c:v>-0.23142886537634985</c:v>
                </c:pt>
                <c:pt idx="97">
                  <c:v>-0.22273629637634962</c:v>
                </c:pt>
                <c:pt idx="98">
                  <c:v>-0.2015770501998789</c:v>
                </c:pt>
                <c:pt idx="99">
                  <c:v>-0.15942575414654556</c:v>
                </c:pt>
                <c:pt idx="100">
                  <c:v>-0.18961363722346869</c:v>
                </c:pt>
                <c:pt idx="101">
                  <c:v>-0.17596781140068393</c:v>
                </c:pt>
                <c:pt idx="102">
                  <c:v>-0.17757847841063421</c:v>
                </c:pt>
                <c:pt idx="103">
                  <c:v>-0.17037938491691046</c:v>
                </c:pt>
                <c:pt idx="104">
                  <c:v>-0.16659198503318945</c:v>
                </c:pt>
                <c:pt idx="105">
                  <c:v>-0.14247189685851683</c:v>
                </c:pt>
                <c:pt idx="106">
                  <c:v>-0.14998356185851683</c:v>
                </c:pt>
                <c:pt idx="107">
                  <c:v>-0.15848370993511246</c:v>
                </c:pt>
                <c:pt idx="108">
                  <c:v>-0.16914207087549196</c:v>
                </c:pt>
                <c:pt idx="109">
                  <c:v>-0.13508484135611198</c:v>
                </c:pt>
                <c:pt idx="110">
                  <c:v>-9.9202197133889863E-2</c:v>
                </c:pt>
                <c:pt idx="111">
                  <c:v>-7.3162583711070706E-2</c:v>
                </c:pt>
                <c:pt idx="112">
                  <c:v>-4.1206554601180591E-2</c:v>
                </c:pt>
                <c:pt idx="113">
                  <c:v>-2.0959657992484833E-2</c:v>
                </c:pt>
                <c:pt idx="114">
                  <c:v>-1.3414888655050713E-2</c:v>
                </c:pt>
                <c:pt idx="115">
                  <c:v>-4.3990574655050879E-2</c:v>
                </c:pt>
                <c:pt idx="116">
                  <c:v>-1.4843599036494166E-2</c:v>
                </c:pt>
                <c:pt idx="117">
                  <c:v>-1.3267614323118402E-2</c:v>
                </c:pt>
                <c:pt idx="118">
                  <c:v>2.2268724153072041E-2</c:v>
                </c:pt>
                <c:pt idx="119">
                  <c:v>-4.6194059519883909E-2</c:v>
                </c:pt>
                <c:pt idx="120">
                  <c:v>-5.9750988873372331E-2</c:v>
                </c:pt>
                <c:pt idx="121">
                  <c:v>-2.9450602517816817E-2</c:v>
                </c:pt>
                <c:pt idx="122">
                  <c:v>1.3195880837483983E-2</c:v>
                </c:pt>
                <c:pt idx="123">
                  <c:v>0.10164939581309364</c:v>
                </c:pt>
                <c:pt idx="124">
                  <c:v>6.5609473369956262E-2</c:v>
                </c:pt>
                <c:pt idx="125">
                  <c:v>9.8305971848720836E-2</c:v>
                </c:pt>
                <c:pt idx="126">
                  <c:v>0.14090809995352988</c:v>
                </c:pt>
                <c:pt idx="127">
                  <c:v>0.11301706693011075</c:v>
                </c:pt>
                <c:pt idx="128">
                  <c:v>7.0088830080303269E-2</c:v>
                </c:pt>
                <c:pt idx="129">
                  <c:v>0.19685516073078876</c:v>
                </c:pt>
                <c:pt idx="130">
                  <c:v>0.23542446995983907</c:v>
                </c:pt>
                <c:pt idx="131">
                  <c:v>0.23743156861462023</c:v>
                </c:pt>
                <c:pt idx="132">
                  <c:v>0.25529120042693687</c:v>
                </c:pt>
                <c:pt idx="133">
                  <c:v>0.32964162530733143</c:v>
                </c:pt>
                <c:pt idx="134">
                  <c:v>0.34639723793968435</c:v>
                </c:pt>
                <c:pt idx="135">
                  <c:v>0.32387636709631085</c:v>
                </c:pt>
                <c:pt idx="136">
                  <c:v>0.27555487635414205</c:v>
                </c:pt>
                <c:pt idx="137">
                  <c:v>0.1008309539160943</c:v>
                </c:pt>
                <c:pt idx="138">
                  <c:v>0.11230276250607131</c:v>
                </c:pt>
                <c:pt idx="139">
                  <c:v>0.2157186215681956</c:v>
                </c:pt>
                <c:pt idx="140">
                  <c:v>0.15654605511111885</c:v>
                </c:pt>
                <c:pt idx="141">
                  <c:v>-0.13775057103885527</c:v>
                </c:pt>
                <c:pt idx="142">
                  <c:v>-0.21167978207707186</c:v>
                </c:pt>
                <c:pt idx="143">
                  <c:v>-0.25784078428469892</c:v>
                </c:pt>
                <c:pt idx="144">
                  <c:v>-0.19123239701345696</c:v>
                </c:pt>
                <c:pt idx="145">
                  <c:v>-0.25405508847934954</c:v>
                </c:pt>
                <c:pt idx="146">
                  <c:v>-0.18478240381989003</c:v>
                </c:pt>
                <c:pt idx="147">
                  <c:v>-0.10110937216771611</c:v>
                </c:pt>
                <c:pt idx="148">
                  <c:v>-5.125927034143539E-2</c:v>
                </c:pt>
                <c:pt idx="149">
                  <c:v>-9.2020671187167905E-2</c:v>
                </c:pt>
                <c:pt idx="150">
                  <c:v>-0.16190136939802074</c:v>
                </c:pt>
                <c:pt idx="151">
                  <c:v>-0.11213813568972315</c:v>
                </c:pt>
                <c:pt idx="152">
                  <c:v>-0.12377910480455569</c:v>
                </c:pt>
                <c:pt idx="153">
                  <c:v>-0.1130939578377507</c:v>
                </c:pt>
                <c:pt idx="154">
                  <c:v>-0.165669364889624</c:v>
                </c:pt>
                <c:pt idx="155">
                  <c:v>-0.11110830799891366</c:v>
                </c:pt>
                <c:pt idx="156">
                  <c:v>-0.11314246347891375</c:v>
                </c:pt>
                <c:pt idx="157">
                  <c:v>-7.4386747551641E-2</c:v>
                </c:pt>
                <c:pt idx="158">
                  <c:v>-4.5524296023981448E-2</c:v>
                </c:pt>
                <c:pt idx="159">
                  <c:v>-5.0033575157314769E-2</c:v>
                </c:pt>
                <c:pt idx="160">
                  <c:v>-5.7229527075743726E-2</c:v>
                </c:pt>
                <c:pt idx="161">
                  <c:v>-4.9558448161458032E-2</c:v>
                </c:pt>
                <c:pt idx="162">
                  <c:v>-6.9955570043810991E-2</c:v>
                </c:pt>
                <c:pt idx="163">
                  <c:v>-4.872750334478191E-2</c:v>
                </c:pt>
                <c:pt idx="164">
                  <c:v>2.0710438802181365E-3</c:v>
                </c:pt>
                <c:pt idx="165">
                  <c:v>-4.8855126404412092E-4</c:v>
                </c:pt>
                <c:pt idx="166">
                  <c:v>-2.6346258399179253E-2</c:v>
                </c:pt>
                <c:pt idx="167">
                  <c:v>-2.1647202493138999E-2</c:v>
                </c:pt>
                <c:pt idx="168">
                  <c:v>-6.2450308550119057E-2</c:v>
                </c:pt>
                <c:pt idx="169">
                  <c:v>-6.1255326117129368E-2</c:v>
                </c:pt>
                <c:pt idx="170">
                  <c:v>2.548223308649045E-2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2F-49E1-9DBD-A587945BB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05039"/>
        <c:axId val="79306703"/>
      </c:lineChart>
      <c:dateAx>
        <c:axId val="793050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06703"/>
        <c:crosses val="autoZero"/>
        <c:auto val="1"/>
        <c:lblOffset val="100"/>
        <c:baseTimeUnit val="days"/>
      </c:dateAx>
      <c:valAx>
        <c:axId val="79306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0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4E394BA-5278-428A-976C-DF17FB44CA40}">
  <sheetPr codeName="Chart9"/>
  <sheetViews>
    <sheetView zoomScale="10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813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BE4EA7-E964-4D04-8115-F75CF4DBD88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66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MAX(C3:C1890)</f>
        <v>6.6840000000000002</v>
      </c>
      <c r="D2" s="4">
        <f>MIN(D3:D1890)</f>
        <v>2.0499999999999998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2.3079999999999998</v>
      </c>
      <c r="C5">
        <v>2.3359999999999999</v>
      </c>
      <c r="D5">
        <v>2.23</v>
      </c>
      <c r="E5">
        <v>2.2320000000000002</v>
      </c>
      <c r="F5">
        <v>231606.7</v>
      </c>
      <c r="G5">
        <v>2.2320000000000002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-0.9622641509433919</v>
      </c>
      <c r="Q5">
        <f t="shared" ref="Q5" si="1">F5*P5</f>
        <v>-222866.8245283009</v>
      </c>
      <c r="R5">
        <f t="shared" ref="R5" si="2">R6+Q5</f>
        <v>-137389231.96566668</v>
      </c>
      <c r="S5">
        <f t="shared" ref="S5" si="3">R5/100000</f>
        <v>-1373.8923196566668</v>
      </c>
      <c r="T5">
        <f t="shared" ref="T5" si="4">S5/1000</f>
        <v>-1.3738923196566668</v>
      </c>
    </row>
    <row r="6" spans="1:20" x14ac:dyDescent="0.25">
      <c r="A6" s="5">
        <v>44587</v>
      </c>
      <c r="B6">
        <v>2.319</v>
      </c>
      <c r="C6">
        <v>2.5590000000000002</v>
      </c>
      <c r="D6">
        <v>2.2519999999999998</v>
      </c>
      <c r="E6">
        <v>2.3090000000000002</v>
      </c>
      <c r="F6">
        <v>7612495.5999999996</v>
      </c>
      <c r="G6">
        <v>2.3090000000000002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-0.62866449511400446</v>
      </c>
      <c r="Q6">
        <f t="shared" ref="Q6" si="6">F6*P6</f>
        <v>-4785705.7029315801</v>
      </c>
      <c r="R6">
        <f t="shared" ref="R6" si="7">R7+Q6</f>
        <v>-137166365.14113837</v>
      </c>
      <c r="S6">
        <f t="shared" ref="S6" si="8">R6/100000</f>
        <v>-1371.6636514113839</v>
      </c>
      <c r="T6">
        <f t="shared" ref="T6" si="9">S6/1000</f>
        <v>-1.3716636514113838</v>
      </c>
    </row>
    <row r="7" spans="1:20" x14ac:dyDescent="0.25">
      <c r="A7" s="5">
        <v>44586</v>
      </c>
      <c r="B7">
        <v>2.331</v>
      </c>
      <c r="C7">
        <v>2.39</v>
      </c>
      <c r="D7">
        <v>2.1989999999999998</v>
      </c>
      <c r="E7">
        <v>2.319</v>
      </c>
      <c r="F7">
        <v>5583252.7000000002</v>
      </c>
      <c r="G7">
        <v>2.319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0.25654450261780032</v>
      </c>
      <c r="Q7">
        <f t="shared" ref="Q7" si="11">F7*P7</f>
        <v>1432352.7869109907</v>
      </c>
      <c r="R7">
        <f t="shared" ref="R7" si="12">R8+Q7</f>
        <v>-132380659.43820679</v>
      </c>
      <c r="S7">
        <f t="shared" ref="S7" si="13">R7/100000</f>
        <v>-1323.8065943820679</v>
      </c>
      <c r="T7">
        <f t="shared" ref="T7" si="14">S7/1000</f>
        <v>-1.323806594382068</v>
      </c>
    </row>
    <row r="8" spans="1:20" x14ac:dyDescent="0.25">
      <c r="A8" s="5">
        <v>44585</v>
      </c>
      <c r="B8">
        <v>2.4430000000000001</v>
      </c>
      <c r="C8">
        <v>2.4430000000000001</v>
      </c>
      <c r="D8">
        <v>2.0499999999999998</v>
      </c>
      <c r="E8">
        <v>2.3319999999999999</v>
      </c>
      <c r="F8">
        <v>8383008.7999999998</v>
      </c>
      <c r="G8">
        <v>2.3319999999999999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0.43511450381679317</v>
      </c>
      <c r="Q8">
        <f t="shared" ref="Q8" si="16">F8*P8</f>
        <v>3647568.7145038107</v>
      </c>
      <c r="R8">
        <f t="shared" ref="R8" si="17">R9+Q8</f>
        <v>-133813012.22511779</v>
      </c>
      <c r="S8">
        <f t="shared" ref="S8" si="18">R8/100000</f>
        <v>-1338.1301222511779</v>
      </c>
      <c r="T8">
        <f t="shared" ref="T8" si="19">S8/1000</f>
        <v>-1.3381301222511779</v>
      </c>
    </row>
    <row r="9" spans="1:20" x14ac:dyDescent="0.25">
      <c r="A9" s="5">
        <v>44584</v>
      </c>
      <c r="B9">
        <v>2.3460000000000001</v>
      </c>
      <c r="C9">
        <v>2.5640000000000001</v>
      </c>
      <c r="D9">
        <v>2.2429999999999999</v>
      </c>
      <c r="E9">
        <v>2.444</v>
      </c>
      <c r="F9">
        <v>7225044.5</v>
      </c>
      <c r="G9">
        <v>2.444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0.25233644859813059</v>
      </c>
      <c r="Q9">
        <f t="shared" ref="Q9" si="21">F9*P9</f>
        <v>1823142.0700934562</v>
      </c>
      <c r="R9">
        <f t="shared" ref="R9" si="22">R10+Q9</f>
        <v>-137460580.9396216</v>
      </c>
      <c r="S9">
        <f t="shared" ref="S9" si="23">R9/100000</f>
        <v>-1374.605809396216</v>
      </c>
      <c r="T9">
        <f t="shared" ref="T9" si="24">S9/1000</f>
        <v>-1.3746058093962161</v>
      </c>
    </row>
    <row r="10" spans="1:20" x14ac:dyDescent="0.25">
      <c r="A10" s="5">
        <v>44583</v>
      </c>
      <c r="B10">
        <v>2.903</v>
      </c>
      <c r="C10">
        <v>3.0110000000000001</v>
      </c>
      <c r="D10">
        <v>2.1829999999999998</v>
      </c>
      <c r="E10">
        <v>2.343</v>
      </c>
      <c r="F10">
        <v>13751067.699999999</v>
      </c>
      <c r="G10">
        <v>2.343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-0.61352657004830902</v>
      </c>
      <c r="Q10">
        <f t="shared" ref="Q10" si="26">F10*P10</f>
        <v>-8436645.4004830886</v>
      </c>
      <c r="R10">
        <f t="shared" ref="R10" si="27">R11+Q10</f>
        <v>-139283723.00971505</v>
      </c>
      <c r="S10">
        <f t="shared" ref="S10" si="28">R10/100000</f>
        <v>-1392.8372300971505</v>
      </c>
      <c r="T10">
        <f t="shared" ref="T10" si="29">S10/1000</f>
        <v>-1.3928372300971505</v>
      </c>
    </row>
    <row r="11" spans="1:20" x14ac:dyDescent="0.25">
      <c r="A11" s="5">
        <v>44582</v>
      </c>
      <c r="B11">
        <v>3.351</v>
      </c>
      <c r="C11">
        <v>3.4380000000000002</v>
      </c>
      <c r="D11">
        <v>2.85</v>
      </c>
      <c r="E11">
        <v>2.903</v>
      </c>
      <c r="F11">
        <v>8810125.8000000007</v>
      </c>
      <c r="G11">
        <v>2.903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-0.81972789115646283</v>
      </c>
      <c r="Q11">
        <f t="shared" ref="Q11" si="31">F11*P11</f>
        <v>-7221905.8428571457</v>
      </c>
      <c r="R11">
        <f t="shared" ref="R11" si="32">R12+Q11</f>
        <v>-130847077.60923196</v>
      </c>
      <c r="S11">
        <f t="shared" ref="S11" si="33">R11/100000</f>
        <v>-1308.4707760923197</v>
      </c>
      <c r="T11">
        <f t="shared" ref="T11" si="34">S11/1000</f>
        <v>-1.3084707760923198</v>
      </c>
    </row>
    <row r="12" spans="1:20" x14ac:dyDescent="0.25">
      <c r="A12" s="5">
        <v>44581</v>
      </c>
      <c r="B12">
        <v>3.3879999999999999</v>
      </c>
      <c r="C12">
        <v>3.65</v>
      </c>
      <c r="D12">
        <v>3.32</v>
      </c>
      <c r="E12">
        <v>3.3490000000000002</v>
      </c>
      <c r="F12">
        <v>5233141.5</v>
      </c>
      <c r="G12">
        <v>3.3490000000000002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-0.82424242424242211</v>
      </c>
      <c r="Q12">
        <f t="shared" ref="Q12" si="36">F12*P12</f>
        <v>-4313377.2363636252</v>
      </c>
      <c r="R12">
        <f t="shared" ref="R12" si="37">R13+Q12</f>
        <v>-123625171.76637481</v>
      </c>
      <c r="S12">
        <f t="shared" ref="S12" si="38">R12/100000</f>
        <v>-1236.2517176637482</v>
      </c>
      <c r="T12">
        <f t="shared" ref="T12" si="39">S12/1000</f>
        <v>-1.2362517176637482</v>
      </c>
    </row>
    <row r="13" spans="1:20" x14ac:dyDescent="0.25">
      <c r="A13" s="5">
        <v>44580</v>
      </c>
      <c r="B13">
        <v>3.4460000000000002</v>
      </c>
      <c r="C13">
        <v>3.6880000000000002</v>
      </c>
      <c r="D13">
        <v>3.38</v>
      </c>
      <c r="E13">
        <v>3.3849999999999998</v>
      </c>
      <c r="F13">
        <v>5116055</v>
      </c>
      <c r="G13">
        <v>3.3849999999999998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-0.96753246753246824</v>
      </c>
      <c r="Q13">
        <f t="shared" ref="Q13" si="41">F13*P13</f>
        <v>-4949949.3181818221</v>
      </c>
      <c r="R13">
        <f t="shared" ref="R13" si="42">R14+Q13</f>
        <v>-119311794.53001119</v>
      </c>
      <c r="S13">
        <f t="shared" ref="S13" si="43">R13/100000</f>
        <v>-1193.1179453001118</v>
      </c>
      <c r="T13">
        <f t="shared" ref="T13" si="44">S13/1000</f>
        <v>-1.1931179453001119</v>
      </c>
    </row>
    <row r="14" spans="1:20" x14ac:dyDescent="0.25">
      <c r="A14" s="5">
        <v>44579</v>
      </c>
      <c r="B14">
        <v>3.41</v>
      </c>
      <c r="C14">
        <v>3.633</v>
      </c>
      <c r="D14">
        <v>3.3620000000000001</v>
      </c>
      <c r="E14">
        <v>3.4430000000000001</v>
      </c>
      <c r="F14">
        <v>7472387.9000000004</v>
      </c>
      <c r="G14">
        <v>3.4430000000000001</v>
      </c>
      <c r="L14" t="s">
        <v>8</v>
      </c>
      <c r="M14" t="s">
        <v>8</v>
      </c>
      <c r="N14" t="s">
        <v>7</v>
      </c>
      <c r="P14">
        <f t="shared" ref="P14" si="45">IF(C14=D14,0,((E14-D14)-(C14-E14))/(C14-D14))</f>
        <v>-0.40221402214022151</v>
      </c>
      <c r="Q14">
        <f t="shared" ref="Q14" si="46">F14*P14</f>
        <v>-3005499.1922509233</v>
      </c>
      <c r="R14">
        <f t="shared" ref="R14" si="47">R15+Q14</f>
        <v>-114361845.21182936</v>
      </c>
      <c r="S14">
        <f t="shared" ref="S14" si="48">R14/100000</f>
        <v>-1143.6184521182936</v>
      </c>
      <c r="T14">
        <f t="shared" ref="T14" si="49">S14/1000</f>
        <v>-1.1436184521182935</v>
      </c>
    </row>
    <row r="15" spans="1:20" x14ac:dyDescent="0.25">
      <c r="A15" s="5">
        <v>44578</v>
      </c>
      <c r="B15">
        <v>3.496</v>
      </c>
      <c r="C15">
        <v>3.508</v>
      </c>
      <c r="D15">
        <v>3.3069999999999999</v>
      </c>
      <c r="E15">
        <v>3.4060000000000001</v>
      </c>
      <c r="F15">
        <v>3496112.6</v>
      </c>
      <c r="G15">
        <v>3.4060000000000001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-1.492537313432671E-2</v>
      </c>
      <c r="Q15">
        <f t="shared" ref="Q15" si="51">F15*P15</f>
        <v>-52180.785074621104</v>
      </c>
      <c r="R15">
        <f t="shared" ref="R15" si="52">R16+Q15</f>
        <v>-111356346.01957844</v>
      </c>
      <c r="S15">
        <f t="shared" ref="S15" si="53">R15/100000</f>
        <v>-1113.5634601957845</v>
      </c>
      <c r="T15">
        <f t="shared" ref="T15" si="54">S15/1000</f>
        <v>-1.1135634601957844</v>
      </c>
    </row>
    <row r="16" spans="1:20" x14ac:dyDescent="0.25">
      <c r="A16" s="5">
        <v>44577</v>
      </c>
      <c r="B16">
        <v>3.4820000000000002</v>
      </c>
      <c r="C16">
        <v>3.5750000000000002</v>
      </c>
      <c r="D16">
        <v>3.456</v>
      </c>
      <c r="E16">
        <v>3.4940000000000002</v>
      </c>
      <c r="F16">
        <v>2401138.4</v>
      </c>
      <c r="G16">
        <v>3.4940000000000002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-0.36134453781512293</v>
      </c>
      <c r="Q16">
        <f t="shared" ref="Q16" si="56">F16*P16</f>
        <v>-867638.24537814374</v>
      </c>
      <c r="R16">
        <f t="shared" ref="R16" si="57">R17+Q16</f>
        <v>-111304165.23450382</v>
      </c>
      <c r="S16">
        <f t="shared" ref="S16" si="58">R16/100000</f>
        <v>-1113.0416523450383</v>
      </c>
      <c r="T16">
        <f t="shared" ref="T16" si="59">S16/1000</f>
        <v>-1.1130416523450384</v>
      </c>
    </row>
    <row r="17" spans="1:20" x14ac:dyDescent="0.25">
      <c r="A17" s="5">
        <v>44576</v>
      </c>
      <c r="B17">
        <v>3.4580000000000002</v>
      </c>
      <c r="C17">
        <v>3.63</v>
      </c>
      <c r="D17">
        <v>3.4169999999999998</v>
      </c>
      <c r="E17">
        <v>3.4830000000000001</v>
      </c>
      <c r="F17">
        <v>2924191.6</v>
      </c>
      <c r="G17">
        <v>3.4830000000000001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-0.38028169014084268</v>
      </c>
      <c r="Q17">
        <f t="shared" ref="Q17" si="61">F17*P17</f>
        <v>-1112016.523943655</v>
      </c>
      <c r="R17">
        <f t="shared" ref="R17" si="62">R18+Q17</f>
        <v>-110436526.98912568</v>
      </c>
      <c r="S17">
        <f t="shared" ref="S17" si="63">R17/100000</f>
        <v>-1104.3652698912567</v>
      </c>
      <c r="T17">
        <f t="shared" ref="T17" si="64">S17/1000</f>
        <v>-1.1043652698912567</v>
      </c>
    </row>
    <row r="18" spans="1:20" x14ac:dyDescent="0.25">
      <c r="A18" s="5">
        <v>44575</v>
      </c>
      <c r="B18">
        <v>3.278</v>
      </c>
      <c r="C18">
        <v>3.573</v>
      </c>
      <c r="D18">
        <v>3.2440000000000002</v>
      </c>
      <c r="E18">
        <v>3.4580000000000002</v>
      </c>
      <c r="F18">
        <v>4114758.4</v>
      </c>
      <c r="G18">
        <v>3.4580000000000002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0.30091185410334431</v>
      </c>
      <c r="Q18">
        <f t="shared" ref="Q18" si="66">F18*P18</f>
        <v>1238179.5793313105</v>
      </c>
      <c r="R18">
        <f t="shared" ref="R18" si="67">R19+Q18</f>
        <v>-109324510.46518204</v>
      </c>
      <c r="S18">
        <f t="shared" ref="S18" si="68">R18/100000</f>
        <v>-1093.2451046518204</v>
      </c>
      <c r="T18">
        <f t="shared" ref="T18" si="69">S18/1000</f>
        <v>-1.0932451046518203</v>
      </c>
    </row>
    <row r="19" spans="1:20" x14ac:dyDescent="0.25">
      <c r="A19" s="5">
        <v>44574</v>
      </c>
      <c r="B19">
        <v>3.597</v>
      </c>
      <c r="C19">
        <v>3.65</v>
      </c>
      <c r="D19">
        <v>3.2690000000000001</v>
      </c>
      <c r="E19">
        <v>3.2759999999999998</v>
      </c>
      <c r="F19">
        <v>5324552.7</v>
      </c>
      <c r="G19">
        <v>3.2759999999999998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-0.96325459317585471</v>
      </c>
      <c r="Q19">
        <f t="shared" ref="Q19" si="71">F19*P19</f>
        <v>-5128899.8448818987</v>
      </c>
      <c r="R19">
        <f t="shared" ref="R19" si="72">R20+Q19</f>
        <v>-110562690.04451334</v>
      </c>
      <c r="S19">
        <f t="shared" ref="S19" si="73">R19/100000</f>
        <v>-1105.6269004451335</v>
      </c>
      <c r="T19">
        <f t="shared" ref="T19" si="74">S19/1000</f>
        <v>-1.1056269004451336</v>
      </c>
    </row>
    <row r="20" spans="1:20" x14ac:dyDescent="0.25">
      <c r="A20" s="5">
        <v>44573</v>
      </c>
      <c r="B20">
        <v>3.4689999999999999</v>
      </c>
      <c r="C20">
        <v>3.7</v>
      </c>
      <c r="D20">
        <v>3.464</v>
      </c>
      <c r="E20">
        <v>3.5950000000000002</v>
      </c>
      <c r="F20">
        <v>4683311.2</v>
      </c>
      <c r="G20">
        <v>3.5950000000000002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0.11016949152542467</v>
      </c>
      <c r="Q20">
        <f t="shared" ref="Q20" si="76">F20*P20</f>
        <v>515958.01355932647</v>
      </c>
      <c r="R20">
        <f t="shared" ref="R20" si="77">R21+Q20</f>
        <v>-105433790.19963145</v>
      </c>
      <c r="S20">
        <f t="shared" ref="S20" si="78">R20/100000</f>
        <v>-1054.3379019963145</v>
      </c>
      <c r="T20">
        <f t="shared" ref="T20" si="79">S20/1000</f>
        <v>-1.0543379019963144</v>
      </c>
    </row>
    <row r="21" spans="1:20" x14ac:dyDescent="0.25">
      <c r="A21" s="5">
        <v>44572</v>
      </c>
      <c r="B21">
        <v>3.1909999999999998</v>
      </c>
      <c r="C21">
        <v>3.5779999999999998</v>
      </c>
      <c r="D21">
        <v>3.13</v>
      </c>
      <c r="E21">
        <v>3.4660000000000002</v>
      </c>
      <c r="F21">
        <v>4616476</v>
      </c>
      <c r="G21">
        <v>3.4660000000000002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0.50000000000000144</v>
      </c>
      <c r="Q21">
        <f t="shared" ref="Q21" si="81">F21*P21</f>
        <v>2308238.0000000065</v>
      </c>
      <c r="R21">
        <f t="shared" ref="R21" si="82">R22+Q21</f>
        <v>-105949748.21319078</v>
      </c>
      <c r="S21">
        <f t="shared" ref="S21" si="83">R21/100000</f>
        <v>-1059.4974821319079</v>
      </c>
      <c r="T21">
        <f t="shared" ref="T21" si="84">S21/1000</f>
        <v>-1.0594974821319079</v>
      </c>
    </row>
    <row r="22" spans="1:20" x14ac:dyDescent="0.25">
      <c r="A22" s="5">
        <v>44571</v>
      </c>
      <c r="B22">
        <v>3.34</v>
      </c>
      <c r="C22">
        <v>3.4</v>
      </c>
      <c r="D22">
        <v>2.9929999999999999</v>
      </c>
      <c r="E22">
        <v>3.1930000000000001</v>
      </c>
      <c r="F22">
        <v>5478700.9000000004</v>
      </c>
      <c r="G22">
        <v>3.1930000000000001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-1.7199017199016394E-2</v>
      </c>
      <c r="Q22">
        <f t="shared" ref="Q22" si="86">F22*P22</f>
        <v>-94228.271007366609</v>
      </c>
      <c r="R22">
        <f t="shared" ref="R22" si="87">R23+Q22</f>
        <v>-108257986.21319078</v>
      </c>
      <c r="S22">
        <f t="shared" ref="S22" si="88">R22/100000</f>
        <v>-1082.5798621319077</v>
      </c>
      <c r="T22">
        <f t="shared" ref="T22" si="89">S22/1000</f>
        <v>-1.0825798621319076</v>
      </c>
    </row>
    <row r="23" spans="1:20" x14ac:dyDescent="0.25">
      <c r="A23" s="5">
        <v>44570</v>
      </c>
      <c r="B23">
        <v>3.242</v>
      </c>
      <c r="C23">
        <v>3.4870000000000001</v>
      </c>
      <c r="D23">
        <v>3.165</v>
      </c>
      <c r="E23">
        <v>3.339</v>
      </c>
      <c r="F23">
        <v>3280547.1</v>
      </c>
      <c r="G23">
        <v>3.339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8.0745341614906194E-2</v>
      </c>
      <c r="Q23">
        <f t="shared" ref="Q23" si="91">F23*P23</f>
        <v>264888.89627328987</v>
      </c>
      <c r="R23">
        <f t="shared" ref="R23" si="92">R24+Q23</f>
        <v>-108163757.94218341</v>
      </c>
      <c r="S23">
        <f t="shared" ref="S23" si="93">R23/100000</f>
        <v>-1081.6375794218341</v>
      </c>
      <c r="T23">
        <f t="shared" ref="T23" si="94">S23/1000</f>
        <v>-1.081637579421834</v>
      </c>
    </row>
    <row r="24" spans="1:20" x14ac:dyDescent="0.25">
      <c r="A24" s="5">
        <v>44569</v>
      </c>
      <c r="B24">
        <v>3.3679999999999999</v>
      </c>
      <c r="C24">
        <v>3.5369999999999999</v>
      </c>
      <c r="D24">
        <v>3.1619999999999999</v>
      </c>
      <c r="E24">
        <v>3.238</v>
      </c>
      <c r="F24">
        <v>4375635.5999999996</v>
      </c>
      <c r="G24">
        <v>3.238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-0.59466666666666634</v>
      </c>
      <c r="Q24">
        <f t="shared" ref="Q24" si="96">F24*P24</f>
        <v>-2602044.6367999986</v>
      </c>
      <c r="R24">
        <f t="shared" ref="R24" si="97">R25+Q24</f>
        <v>-108428646.83845669</v>
      </c>
      <c r="S24">
        <f t="shared" ref="S24" si="98">R24/100000</f>
        <v>-1084.2864683845669</v>
      </c>
      <c r="T24">
        <f t="shared" ref="T24" si="99">S24/1000</f>
        <v>-1.084286468384567</v>
      </c>
    </row>
    <row r="25" spans="1:20" x14ac:dyDescent="0.25">
      <c r="A25" s="5">
        <v>44568</v>
      </c>
      <c r="B25">
        <v>3.6819999999999999</v>
      </c>
      <c r="C25">
        <v>3.698</v>
      </c>
      <c r="D25">
        <v>3.3010000000000002</v>
      </c>
      <c r="E25">
        <v>3.363</v>
      </c>
      <c r="F25">
        <v>7949184.7999999998</v>
      </c>
      <c r="G25">
        <v>3.363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-0.68765743073047925</v>
      </c>
      <c r="Q25">
        <f t="shared" ref="Q25" si="101">F25*P25</f>
        <v>-5466315.9959697789</v>
      </c>
      <c r="R25">
        <f t="shared" ref="R25" si="102">R26+Q25</f>
        <v>-105826602.20165668</v>
      </c>
      <c r="S25">
        <f t="shared" ref="S25" si="103">R25/100000</f>
        <v>-1058.2660220165669</v>
      </c>
      <c r="T25">
        <f t="shared" ref="T25" si="104">S25/1000</f>
        <v>-1.0582660220165669</v>
      </c>
    </row>
    <row r="26" spans="1:20" x14ac:dyDescent="0.25">
      <c r="A26" s="5">
        <v>44567</v>
      </c>
      <c r="B26">
        <v>3.8839999999999999</v>
      </c>
      <c r="C26">
        <v>4.09</v>
      </c>
      <c r="D26">
        <v>3.5089999999999999</v>
      </c>
      <c r="E26">
        <v>3.6819999999999999</v>
      </c>
      <c r="F26">
        <v>8860828.1999999993</v>
      </c>
      <c r="G26">
        <v>3.6819999999999999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-0.40447504302925968</v>
      </c>
      <c r="Q26">
        <f t="shared" ref="Q26" si="106">F26*P26</f>
        <v>-3583983.8674698775</v>
      </c>
      <c r="R26">
        <f t="shared" ref="R26" si="107">R27+Q26</f>
        <v>-100360286.20568691</v>
      </c>
      <c r="S26">
        <f t="shared" ref="S26" si="108">R26/100000</f>
        <v>-1003.6028620568691</v>
      </c>
      <c r="T26">
        <f t="shared" ref="T26" si="109">S26/1000</f>
        <v>-1.0036028620568691</v>
      </c>
    </row>
    <row r="27" spans="1:20" x14ac:dyDescent="0.25">
      <c r="A27" s="5">
        <v>44566</v>
      </c>
      <c r="B27">
        <v>3.702</v>
      </c>
      <c r="C27">
        <v>4.2480000000000002</v>
      </c>
      <c r="D27">
        <v>3.4180000000000001</v>
      </c>
      <c r="E27">
        <v>3.8860000000000001</v>
      </c>
      <c r="F27">
        <v>16679946.4</v>
      </c>
      <c r="G27">
        <v>3.8860000000000001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0.12771084337349381</v>
      </c>
      <c r="Q27">
        <f t="shared" ref="Q27" si="111">F27*P27</f>
        <v>2130210.0221686722</v>
      </c>
      <c r="R27">
        <f t="shared" ref="R27" si="112">R28+Q27</f>
        <v>-96776302.338217035</v>
      </c>
      <c r="S27">
        <f t="shared" ref="S27" si="113">R27/100000</f>
        <v>-967.76302338217033</v>
      </c>
      <c r="T27">
        <f t="shared" ref="T27" si="114">S27/1000</f>
        <v>-0.96776302338217035</v>
      </c>
    </row>
    <row r="28" spans="1:20" x14ac:dyDescent="0.25">
      <c r="A28" s="5">
        <v>44565</v>
      </c>
      <c r="B28">
        <v>3.5630000000000002</v>
      </c>
      <c r="C28">
        <v>3.89</v>
      </c>
      <c r="D28">
        <v>3.476</v>
      </c>
      <c r="E28">
        <v>3.7050000000000001</v>
      </c>
      <c r="F28">
        <v>7765905.2999999998</v>
      </c>
      <c r="G28">
        <v>3.7050000000000001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0.10628019323671503</v>
      </c>
      <c r="Q28">
        <f t="shared" ref="Q28" si="116">F28*P28</f>
        <v>825361.91594202945</v>
      </c>
      <c r="R28">
        <f t="shared" ref="R28" si="117">R29+Q28</f>
        <v>-98906512.360385701</v>
      </c>
      <c r="S28">
        <f t="shared" ref="S28" si="118">R28/100000</f>
        <v>-989.06512360385705</v>
      </c>
      <c r="T28">
        <f t="shared" ref="T28" si="119">S28/1000</f>
        <v>-0.98906512360385701</v>
      </c>
    </row>
    <row r="29" spans="1:20" x14ac:dyDescent="0.25">
      <c r="A29" s="5">
        <v>44564</v>
      </c>
      <c r="B29">
        <v>3.7770000000000001</v>
      </c>
      <c r="C29">
        <v>3.778</v>
      </c>
      <c r="D29">
        <v>3.4950000000000001</v>
      </c>
      <c r="E29">
        <v>3.5630000000000002</v>
      </c>
      <c r="F29">
        <v>4518992.8</v>
      </c>
      <c r="G29">
        <v>3.5630000000000002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-0.51943462897526449</v>
      </c>
      <c r="Q29">
        <f t="shared" ref="Q29" si="121">F29*P29</f>
        <v>-2347321.3484098916</v>
      </c>
      <c r="R29">
        <f t="shared" ref="R29" si="122">R30+Q29</f>
        <v>-99731874.276327729</v>
      </c>
      <c r="S29">
        <f t="shared" ref="S29" si="123">R29/100000</f>
        <v>-997.31874276327733</v>
      </c>
      <c r="T29">
        <f t="shared" ref="T29" si="124">S29/1000</f>
        <v>-0.99731874276327737</v>
      </c>
    </row>
    <row r="30" spans="1:20" x14ac:dyDescent="0.25">
      <c r="A30" s="5">
        <v>44563</v>
      </c>
      <c r="B30">
        <v>3.7320000000000002</v>
      </c>
      <c r="C30">
        <v>3.86</v>
      </c>
      <c r="D30">
        <v>3.6</v>
      </c>
      <c r="E30">
        <v>3.778</v>
      </c>
      <c r="F30">
        <v>2637387.1</v>
      </c>
      <c r="G30">
        <v>3.778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0.36923076923076986</v>
      </c>
      <c r="Q30">
        <f t="shared" ref="Q30" si="126">F30*P30</f>
        <v>973804.46769230941</v>
      </c>
      <c r="R30">
        <f t="shared" ref="R30" si="127">R31+Q30</f>
        <v>-97384552.927917838</v>
      </c>
      <c r="S30">
        <f t="shared" ref="S30" si="128">R30/100000</f>
        <v>-973.84552927917844</v>
      </c>
      <c r="T30">
        <f t="shared" ref="T30" si="129">S30/1000</f>
        <v>-0.97384552927917845</v>
      </c>
    </row>
    <row r="31" spans="1:20" x14ac:dyDescent="0.25">
      <c r="A31" s="5">
        <v>44562</v>
      </c>
      <c r="B31">
        <v>3.532</v>
      </c>
      <c r="C31">
        <v>3.742</v>
      </c>
      <c r="D31">
        <v>3.532</v>
      </c>
      <c r="E31">
        <v>3.734</v>
      </c>
      <c r="F31">
        <v>1998774.4</v>
      </c>
      <c r="G31">
        <v>3.734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0.92380952380952375</v>
      </c>
      <c r="Q31">
        <f t="shared" ref="Q31" si="131">F31*P31</f>
        <v>1846486.8266666664</v>
      </c>
      <c r="R31">
        <f t="shared" ref="R31" si="132">R32+Q31</f>
        <v>-98358357.395610154</v>
      </c>
      <c r="S31">
        <f t="shared" ref="S31" si="133">R31/100000</f>
        <v>-983.58357395610153</v>
      </c>
      <c r="T31">
        <f t="shared" ref="T31" si="134">S31/1000</f>
        <v>-0.98358357395610152</v>
      </c>
    </row>
    <row r="32" spans="1:20" x14ac:dyDescent="0.25">
      <c r="A32" s="5">
        <v>44561</v>
      </c>
      <c r="B32">
        <v>3.5760000000000001</v>
      </c>
      <c r="C32">
        <v>3.6989999999999998</v>
      </c>
      <c r="D32">
        <v>3.47</v>
      </c>
      <c r="E32">
        <v>3.5379999999999998</v>
      </c>
      <c r="F32">
        <v>3634770.8</v>
      </c>
      <c r="G32">
        <v>3.5379999999999998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-0.40611353711790638</v>
      </c>
      <c r="Q32">
        <f t="shared" ref="Q32" si="136">F32*P32</f>
        <v>-1476129.6262008823</v>
      </c>
      <c r="R32">
        <f t="shared" ref="R32" si="137">R33+Q32</f>
        <v>-100204844.22227682</v>
      </c>
      <c r="S32">
        <f t="shared" ref="S32" si="138">R32/100000</f>
        <v>-1002.0484422227682</v>
      </c>
      <c r="T32">
        <f t="shared" ref="T32" si="139">S32/1000</f>
        <v>-1.0020484422227682</v>
      </c>
    </row>
    <row r="33" spans="1:20" x14ac:dyDescent="0.25">
      <c r="A33" s="5">
        <v>44560</v>
      </c>
      <c r="B33">
        <v>3.359</v>
      </c>
      <c r="C33">
        <v>3.89</v>
      </c>
      <c r="D33">
        <v>3.298</v>
      </c>
      <c r="E33">
        <v>3.577</v>
      </c>
      <c r="F33">
        <v>6500821.7999999998</v>
      </c>
      <c r="G33">
        <v>3.577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-5.7432432432432852E-2</v>
      </c>
      <c r="Q33">
        <f t="shared" ref="Q33" si="141">F33*P33</f>
        <v>-373358.0087837865</v>
      </c>
      <c r="R33">
        <f t="shared" ref="R33" si="142">R34+Q33</f>
        <v>-98728714.596075937</v>
      </c>
      <c r="S33">
        <f t="shared" ref="S33" si="143">R33/100000</f>
        <v>-987.2871459607594</v>
      </c>
      <c r="T33">
        <f t="shared" ref="T33" si="144">S33/1000</f>
        <v>-0.98728714596075939</v>
      </c>
    </row>
    <row r="34" spans="1:20" x14ac:dyDescent="0.25">
      <c r="A34" s="5">
        <v>44559</v>
      </c>
      <c r="B34">
        <v>3.5059999999999998</v>
      </c>
      <c r="C34">
        <v>3.7240000000000002</v>
      </c>
      <c r="D34">
        <v>3.3069999999999999</v>
      </c>
      <c r="E34">
        <v>3.3570000000000002</v>
      </c>
      <c r="F34">
        <v>3679089</v>
      </c>
      <c r="G34">
        <v>3.3570000000000002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-0.7601918465227806</v>
      </c>
      <c r="Q34">
        <f t="shared" ref="Q34" si="146">F34*P34</f>
        <v>-2796813.4604316503</v>
      </c>
      <c r="R34">
        <f t="shared" ref="R34" si="147">R35+Q34</f>
        <v>-98355356.58729215</v>
      </c>
      <c r="S34">
        <f t="shared" ref="S34" si="148">R34/100000</f>
        <v>-983.55356587292147</v>
      </c>
      <c r="T34">
        <f t="shared" ref="T34" si="149">S34/1000</f>
        <v>-0.98355356587292142</v>
      </c>
    </row>
    <row r="35" spans="1:20" x14ac:dyDescent="0.25">
      <c r="A35" s="5">
        <v>44558</v>
      </c>
      <c r="B35">
        <v>3.855</v>
      </c>
      <c r="C35">
        <v>3.8559999999999999</v>
      </c>
      <c r="D35">
        <v>3.387</v>
      </c>
      <c r="E35">
        <v>3.5019999999999998</v>
      </c>
      <c r="F35">
        <v>5732429.4000000004</v>
      </c>
      <c r="G35">
        <v>3.5019999999999998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-0.50959488272921194</v>
      </c>
      <c r="Q35">
        <f t="shared" ref="Q35" si="151">F35*P35</f>
        <v>-2921216.6878464869</v>
      </c>
      <c r="R35">
        <f t="shared" ref="R35" si="152">R36+Q35</f>
        <v>-95558543.126860499</v>
      </c>
      <c r="S35">
        <f t="shared" ref="S35" si="153">R35/100000</f>
        <v>-955.58543126860502</v>
      </c>
      <c r="T35">
        <f t="shared" ref="T35" si="154">S35/1000</f>
        <v>-0.95558543126860507</v>
      </c>
    </row>
    <row r="36" spans="1:20" x14ac:dyDescent="0.25">
      <c r="A36" s="5">
        <v>44557</v>
      </c>
      <c r="B36">
        <v>3.8170000000000002</v>
      </c>
      <c r="C36">
        <v>4.22</v>
      </c>
      <c r="D36">
        <v>3.7879999999999998</v>
      </c>
      <c r="E36">
        <v>3.8620000000000001</v>
      </c>
      <c r="F36">
        <v>7829348.5</v>
      </c>
      <c r="G36">
        <v>3.8620000000000001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-0.657407407407406</v>
      </c>
      <c r="Q36">
        <f t="shared" ref="Q36" si="156">F36*P36</f>
        <v>-5147071.6990740635</v>
      </c>
      <c r="R36">
        <f t="shared" ref="R36" si="157">R37+Q36</f>
        <v>-92637326.439014018</v>
      </c>
      <c r="S36">
        <f t="shared" ref="S36" si="158">R36/100000</f>
        <v>-926.37326439014021</v>
      </c>
      <c r="T36">
        <f t="shared" ref="T36" si="159">S36/1000</f>
        <v>-0.92637326439014023</v>
      </c>
    </row>
    <row r="37" spans="1:20" x14ac:dyDescent="0.25">
      <c r="A37" s="5">
        <v>44556</v>
      </c>
      <c r="B37">
        <v>3.5859999999999999</v>
      </c>
      <c r="C37">
        <v>3.87</v>
      </c>
      <c r="D37">
        <v>3.4529999999999998</v>
      </c>
      <c r="E37">
        <v>3.82</v>
      </c>
      <c r="F37">
        <v>4301108.9000000004</v>
      </c>
      <c r="G37">
        <v>3.82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0.7601918465227806</v>
      </c>
      <c r="Q37">
        <f t="shared" ref="Q37" si="161">F37*P37</f>
        <v>3269667.9167865659</v>
      </c>
      <c r="R37">
        <f t="shared" ref="R37" si="162">R38+Q37</f>
        <v>-87490254.739939958</v>
      </c>
      <c r="S37">
        <f t="shared" ref="S37" si="163">R37/100000</f>
        <v>-874.90254739939962</v>
      </c>
      <c r="T37">
        <f t="shared" ref="T37" si="164">S37/1000</f>
        <v>-0.87490254739939965</v>
      </c>
    </row>
    <row r="38" spans="1:20" x14ac:dyDescent="0.25">
      <c r="A38" s="5">
        <v>44555</v>
      </c>
      <c r="B38">
        <v>3.5579999999999998</v>
      </c>
      <c r="C38">
        <v>3.698</v>
      </c>
      <c r="D38">
        <v>3.5249999999999999</v>
      </c>
      <c r="E38">
        <v>3.5870000000000002</v>
      </c>
      <c r="F38">
        <v>2592875.4</v>
      </c>
      <c r="G38">
        <v>3.5870000000000002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-0.28323699421965015</v>
      </c>
      <c r="Q38">
        <f t="shared" ref="Q38" si="166">F38*P38</f>
        <v>-734398.234682073</v>
      </c>
      <c r="R38">
        <f t="shared" ref="R38" si="167">R39+Q38</f>
        <v>-90759922.656726524</v>
      </c>
      <c r="S38">
        <f t="shared" ref="S38" si="168">R38/100000</f>
        <v>-907.59922656726519</v>
      </c>
      <c r="T38">
        <f t="shared" ref="T38" si="169">S38/1000</f>
        <v>-0.90759922656726522</v>
      </c>
    </row>
    <row r="39" spans="1:20" x14ac:dyDescent="0.25">
      <c r="A39" s="5">
        <v>44554</v>
      </c>
      <c r="B39">
        <v>3.7069999999999999</v>
      </c>
      <c r="C39">
        <v>3.7320000000000002</v>
      </c>
      <c r="D39">
        <v>3.5259999999999998</v>
      </c>
      <c r="E39">
        <v>3.5569999999999999</v>
      </c>
      <c r="F39">
        <v>3399362.7</v>
      </c>
      <c r="G39">
        <v>3.5569999999999999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-0.69902912621359148</v>
      </c>
      <c r="Q39">
        <f t="shared" ref="Q39" si="171">F39*P39</f>
        <v>-2376253.537864075</v>
      </c>
      <c r="R39">
        <f t="shared" ref="R39" si="172">R40+Q39</f>
        <v>-90025524.422044456</v>
      </c>
      <c r="S39">
        <f t="shared" ref="S39" si="173">R39/100000</f>
        <v>-900.25524422044452</v>
      </c>
      <c r="T39">
        <f t="shared" ref="T39" si="174">S39/1000</f>
        <v>-0.90025524422044456</v>
      </c>
    </row>
    <row r="40" spans="1:20" x14ac:dyDescent="0.25">
      <c r="A40" s="5">
        <v>44553</v>
      </c>
      <c r="B40">
        <v>3.3109999999999999</v>
      </c>
      <c r="C40">
        <v>3.7690000000000001</v>
      </c>
      <c r="D40">
        <v>3.2589999999999999</v>
      </c>
      <c r="E40">
        <v>3.706</v>
      </c>
      <c r="F40">
        <v>6111632.0999999996</v>
      </c>
      <c r="G40">
        <v>3.706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0.75294117647058767</v>
      </c>
      <c r="Q40">
        <f t="shared" ref="Q40" si="176">F40*P40</f>
        <v>4601699.463529408</v>
      </c>
      <c r="R40">
        <f t="shared" ref="R40" si="177">R41+Q40</f>
        <v>-87649270.884180382</v>
      </c>
      <c r="S40">
        <f t="shared" ref="S40" si="178">R40/100000</f>
        <v>-876.49270884180385</v>
      </c>
      <c r="T40">
        <f t="shared" ref="T40" si="179">S40/1000</f>
        <v>-0.87649270884180386</v>
      </c>
    </row>
    <row r="41" spans="1:20" x14ac:dyDescent="0.25">
      <c r="A41" s="5">
        <v>44552</v>
      </c>
      <c r="B41">
        <v>3.2360000000000002</v>
      </c>
      <c r="C41">
        <v>3.496</v>
      </c>
      <c r="D41">
        <v>3.218</v>
      </c>
      <c r="E41">
        <v>3.3130000000000002</v>
      </c>
      <c r="F41">
        <v>5329693.3</v>
      </c>
      <c r="G41">
        <v>3.3130000000000002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-0.3165467625899267</v>
      </c>
      <c r="Q41">
        <f t="shared" ref="Q41" si="181">F41*P41</f>
        <v>-1687097.1597122229</v>
      </c>
      <c r="R41">
        <f t="shared" ref="R41" si="182">R42+Q41</f>
        <v>-92250970.34770979</v>
      </c>
      <c r="S41">
        <f t="shared" ref="S41" si="183">R41/100000</f>
        <v>-922.5097034770979</v>
      </c>
      <c r="T41">
        <f t="shared" ref="T41" si="184">S41/1000</f>
        <v>-0.92250970347709793</v>
      </c>
    </row>
    <row r="42" spans="1:20" x14ac:dyDescent="0.25">
      <c r="A42" s="5">
        <v>44551</v>
      </c>
      <c r="B42">
        <v>3.1539999999999999</v>
      </c>
      <c r="C42">
        <v>3.2879999999999998</v>
      </c>
      <c r="D42">
        <v>3.0950000000000002</v>
      </c>
      <c r="E42">
        <v>3.2330000000000001</v>
      </c>
      <c r="F42">
        <v>3100484.7</v>
      </c>
      <c r="G42">
        <v>3.2330000000000001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0.4300518134715044</v>
      </c>
      <c r="Q42">
        <f t="shared" ref="Q42" si="186">F42*P42</f>
        <v>1333369.0678756533</v>
      </c>
      <c r="R42">
        <f t="shared" ref="R42" si="187">R43+Q42</f>
        <v>-90563873.187997565</v>
      </c>
      <c r="S42">
        <f t="shared" ref="S42" si="188">R42/100000</f>
        <v>-905.63873187997569</v>
      </c>
      <c r="T42">
        <f t="shared" ref="T42" si="189">S42/1000</f>
        <v>-0.90563873187997568</v>
      </c>
    </row>
    <row r="43" spans="1:20" x14ac:dyDescent="0.25">
      <c r="A43" s="5">
        <v>44550</v>
      </c>
      <c r="B43">
        <v>3.1859999999999999</v>
      </c>
      <c r="C43">
        <v>3.2949999999999999</v>
      </c>
      <c r="D43">
        <v>2.9510000000000001</v>
      </c>
      <c r="E43">
        <v>3.15</v>
      </c>
      <c r="F43">
        <v>5636016.4000000004</v>
      </c>
      <c r="G43">
        <v>3.15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0.15697674418604607</v>
      </c>
      <c r="Q43">
        <f t="shared" ref="Q43" si="191">F43*P43</f>
        <v>884723.50465116033</v>
      </c>
      <c r="R43">
        <f t="shared" ref="R43" si="192">R44+Q43</f>
        <v>-91897242.255873218</v>
      </c>
      <c r="S43">
        <f t="shared" ref="S43" si="193">R43/100000</f>
        <v>-918.97242255873221</v>
      </c>
      <c r="T43">
        <f t="shared" ref="T43" si="194">S43/1000</f>
        <v>-0.91897242255873224</v>
      </c>
    </row>
    <row r="44" spans="1:20" x14ac:dyDescent="0.25">
      <c r="A44" s="5">
        <v>44549</v>
      </c>
      <c r="B44">
        <v>3.2320000000000002</v>
      </c>
      <c r="C44">
        <v>3.3250000000000002</v>
      </c>
      <c r="D44">
        <v>3.1560000000000001</v>
      </c>
      <c r="E44">
        <v>3.1859999999999999</v>
      </c>
      <c r="F44">
        <v>2347775.7999999998</v>
      </c>
      <c r="G44">
        <v>3.1859999999999999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-0.64497041420118584</v>
      </c>
      <c r="Q44">
        <f t="shared" ref="Q44" si="196">F44*P44</f>
        <v>-1514245.9301775203</v>
      </c>
      <c r="R44">
        <f t="shared" ref="R44" si="197">R45+Q44</f>
        <v>-92781965.760524377</v>
      </c>
      <c r="S44">
        <f t="shared" ref="S44" si="198">R44/100000</f>
        <v>-927.81965760524372</v>
      </c>
      <c r="T44">
        <f t="shared" ref="T44" si="199">S44/1000</f>
        <v>-0.92781965760524376</v>
      </c>
    </row>
    <row r="45" spans="1:20" x14ac:dyDescent="0.25">
      <c r="A45" s="5">
        <v>44548</v>
      </c>
      <c r="B45">
        <v>3.17</v>
      </c>
      <c r="C45">
        <v>3.3380000000000001</v>
      </c>
      <c r="D45">
        <v>3.1160000000000001</v>
      </c>
      <c r="E45">
        <v>3.234</v>
      </c>
      <c r="F45">
        <v>2319612.6</v>
      </c>
      <c r="G45">
        <v>3.234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6.3063063063062128E-2</v>
      </c>
      <c r="Q45">
        <f t="shared" ref="Q45" si="201">F45*P45</f>
        <v>146281.87567567351</v>
      </c>
      <c r="R45">
        <f t="shared" ref="R45" si="202">R46+Q45</f>
        <v>-91267719.830346853</v>
      </c>
      <c r="S45">
        <f t="shared" ref="S45" si="203">R45/100000</f>
        <v>-912.67719830346857</v>
      </c>
      <c r="T45">
        <f t="shared" ref="T45" si="204">S45/1000</f>
        <v>-0.91267719830346861</v>
      </c>
    </row>
    <row r="46" spans="1:20" x14ac:dyDescent="0.25">
      <c r="A46" s="5">
        <v>44547</v>
      </c>
      <c r="B46">
        <v>3.31</v>
      </c>
      <c r="C46">
        <v>3.3559999999999999</v>
      </c>
      <c r="D46">
        <v>3.09</v>
      </c>
      <c r="E46">
        <v>3.1709999999999998</v>
      </c>
      <c r="F46">
        <v>3699128.6</v>
      </c>
      <c r="G46">
        <v>3.1709999999999998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-0.39097744360902287</v>
      </c>
      <c r="Q46">
        <f t="shared" ref="Q46" si="206">F46*P46</f>
        <v>-1446275.8436090238</v>
      </c>
      <c r="R46">
        <f t="shared" ref="R46" si="207">R47+Q46</f>
        <v>-91414001.706022531</v>
      </c>
      <c r="S46">
        <f t="shared" ref="S46" si="208">R46/100000</f>
        <v>-914.14001706022532</v>
      </c>
      <c r="T46">
        <f t="shared" ref="T46" si="209">S46/1000</f>
        <v>-0.9141400170602253</v>
      </c>
    </row>
    <row r="47" spans="1:20" x14ac:dyDescent="0.25">
      <c r="A47" s="5">
        <v>44546</v>
      </c>
      <c r="B47">
        <v>3.524</v>
      </c>
      <c r="C47">
        <v>3.65</v>
      </c>
      <c r="D47">
        <v>3.3010000000000002</v>
      </c>
      <c r="E47">
        <v>3.3090000000000002</v>
      </c>
      <c r="F47">
        <v>3402085.5</v>
      </c>
      <c r="G47">
        <v>3.3090000000000002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-0.95415472779369626</v>
      </c>
      <c r="Q47">
        <f t="shared" ref="Q47" si="211">F47*P47</f>
        <v>-3246115.9641833808</v>
      </c>
      <c r="R47">
        <f t="shared" ref="R47" si="212">R48+Q47</f>
        <v>-89967725.862413511</v>
      </c>
      <c r="S47">
        <f t="shared" ref="S47" si="213">R47/100000</f>
        <v>-899.67725862413511</v>
      </c>
      <c r="T47">
        <f t="shared" ref="T47" si="214">S47/1000</f>
        <v>-0.89967725862413506</v>
      </c>
    </row>
    <row r="48" spans="1:20" x14ac:dyDescent="0.25">
      <c r="A48" s="5">
        <v>44545</v>
      </c>
      <c r="B48">
        <v>3.2229999999999999</v>
      </c>
      <c r="C48">
        <v>3.7229999999999999</v>
      </c>
      <c r="D48">
        <v>3.03</v>
      </c>
      <c r="E48">
        <v>3.528</v>
      </c>
      <c r="F48">
        <v>5583617.2999999998</v>
      </c>
      <c r="G48">
        <v>3.528</v>
      </c>
      <c r="L48" t="s">
        <v>7</v>
      </c>
      <c r="M48" t="s">
        <v>8</v>
      </c>
      <c r="N48" t="s">
        <v>7</v>
      </c>
      <c r="P48">
        <f t="shared" ref="P48" si="215">IF(C48=D48,0,((E48-D48)-(C48-E48))/(C48-D48))</f>
        <v>0.43722943722943775</v>
      </c>
      <c r="Q48">
        <f t="shared" ref="Q48" si="216">F48*P48</f>
        <v>2441321.8497835528</v>
      </c>
      <c r="R48">
        <f t="shared" ref="R48" si="217">R49+Q48</f>
        <v>-86721609.898230135</v>
      </c>
      <c r="S48">
        <f t="shared" ref="S48" si="218">R48/100000</f>
        <v>-867.21609898230133</v>
      </c>
      <c r="T48">
        <f t="shared" ref="T48" si="219">S48/1000</f>
        <v>-0.86721609898230134</v>
      </c>
    </row>
    <row r="49" spans="1:20" x14ac:dyDescent="0.25">
      <c r="A49" s="5">
        <v>44544</v>
      </c>
      <c r="B49">
        <v>3.2080000000000002</v>
      </c>
      <c r="C49">
        <v>3.3380000000000001</v>
      </c>
      <c r="D49">
        <v>3.0680000000000001</v>
      </c>
      <c r="E49">
        <v>3.2280000000000002</v>
      </c>
      <c r="F49">
        <v>3344921.2</v>
      </c>
      <c r="G49">
        <v>3.2280000000000002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0.18518518518518615</v>
      </c>
      <c r="Q49">
        <f t="shared" ref="Q49" si="221">F49*P49</f>
        <v>619429.85185185506</v>
      </c>
      <c r="R49">
        <f t="shared" ref="R49" si="222">R50+Q49</f>
        <v>-89162931.74801369</v>
      </c>
      <c r="S49">
        <f t="shared" ref="S49" si="223">R49/100000</f>
        <v>-891.62931748013693</v>
      </c>
      <c r="T49">
        <f t="shared" ref="T49" si="224">S49/1000</f>
        <v>-0.89162931748013696</v>
      </c>
    </row>
    <row r="50" spans="1:20" x14ac:dyDescent="0.25">
      <c r="A50" s="5">
        <v>44543</v>
      </c>
      <c r="B50">
        <v>3.6440000000000001</v>
      </c>
      <c r="C50">
        <v>3.6709999999999998</v>
      </c>
      <c r="D50">
        <v>3.1659999999999999</v>
      </c>
      <c r="E50">
        <v>3.2069999999999999</v>
      </c>
      <c r="F50">
        <v>4807258.5</v>
      </c>
      <c r="G50">
        <v>3.2069999999999999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-0.83762376237623792</v>
      </c>
      <c r="Q50">
        <f t="shared" ref="Q50" si="226">F50*P50</f>
        <v>-4026673.95148515</v>
      </c>
      <c r="R50">
        <f t="shared" ref="R50" si="227">R51+Q50</f>
        <v>-89782361.599865541</v>
      </c>
      <c r="S50">
        <f t="shared" ref="S50" si="228">R50/100000</f>
        <v>-897.82361599865544</v>
      </c>
      <c r="T50">
        <f t="shared" ref="T50" si="229">S50/1000</f>
        <v>-0.89782361599865546</v>
      </c>
    </row>
    <row r="51" spans="1:20" x14ac:dyDescent="0.25">
      <c r="A51" s="5">
        <v>44542</v>
      </c>
      <c r="B51">
        <v>3.5880000000000001</v>
      </c>
      <c r="C51">
        <v>3.78</v>
      </c>
      <c r="D51">
        <v>3.5179999999999998</v>
      </c>
      <c r="E51">
        <v>3.6459999999999999</v>
      </c>
      <c r="F51">
        <v>2691569.2</v>
      </c>
      <c r="G51">
        <v>3.6459999999999999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-2.2900763358777797E-2</v>
      </c>
      <c r="Q51">
        <f t="shared" ref="Q51" si="231">F51*P51</f>
        <v>-61638.989312974874</v>
      </c>
      <c r="R51">
        <f t="shared" ref="R51" si="232">R52+Q51</f>
        <v>-85755687.648380384</v>
      </c>
      <c r="S51">
        <f t="shared" ref="S51" si="233">R51/100000</f>
        <v>-857.55687648380388</v>
      </c>
      <c r="T51">
        <f t="shared" ref="T51" si="234">S51/1000</f>
        <v>-0.85755687648380385</v>
      </c>
    </row>
    <row r="52" spans="1:20" x14ac:dyDescent="0.25">
      <c r="A52" s="5">
        <v>44541</v>
      </c>
      <c r="B52">
        <v>3.448</v>
      </c>
      <c r="C52">
        <v>3.4940000000000002</v>
      </c>
      <c r="D52">
        <v>3.3719999999999999</v>
      </c>
      <c r="E52">
        <v>3.472</v>
      </c>
      <c r="F52">
        <v>223669.4</v>
      </c>
      <c r="G52">
        <v>3.472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0.63934426229507901</v>
      </c>
      <c r="Q52">
        <f t="shared" ref="Q52" si="236">F52*P52</f>
        <v>143001.74754098293</v>
      </c>
      <c r="R52">
        <f t="shared" ref="R52" si="237">R53+Q52</f>
        <v>-85694048.659067407</v>
      </c>
      <c r="S52">
        <f t="shared" ref="S52" si="238">R52/100000</f>
        <v>-856.94048659067403</v>
      </c>
      <c r="T52">
        <f t="shared" ref="T52" si="239">S52/1000</f>
        <v>-0.85694048659067401</v>
      </c>
    </row>
    <row r="53" spans="1:20" x14ac:dyDescent="0.25">
      <c r="A53" s="5">
        <v>44540</v>
      </c>
      <c r="B53">
        <v>3.5489999999999999</v>
      </c>
      <c r="C53">
        <v>3.7650000000000001</v>
      </c>
      <c r="D53">
        <v>3.419</v>
      </c>
      <c r="E53">
        <v>3.4430000000000001</v>
      </c>
      <c r="F53">
        <v>3322223.3</v>
      </c>
      <c r="G53">
        <v>3.4430000000000001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-0.86127167630057799</v>
      </c>
      <c r="Q53">
        <f t="shared" ref="Q53" si="241">F53*P53</f>
        <v>-2861336.8306358377</v>
      </c>
      <c r="R53">
        <f t="shared" ref="R53" si="242">R54+Q53</f>
        <v>-85837050.406608388</v>
      </c>
      <c r="S53">
        <f t="shared" ref="S53" si="243">R53/100000</f>
        <v>-858.37050406608387</v>
      </c>
      <c r="T53">
        <f t="shared" ref="T53" si="244">S53/1000</f>
        <v>-0.85837050406608384</v>
      </c>
    </row>
    <row r="54" spans="1:20" x14ac:dyDescent="0.25">
      <c r="A54" s="5">
        <v>44539</v>
      </c>
      <c r="B54">
        <v>3.9660000000000002</v>
      </c>
      <c r="C54">
        <v>3.9740000000000002</v>
      </c>
      <c r="D54">
        <v>3.5219999999999998</v>
      </c>
      <c r="E54">
        <v>3.55</v>
      </c>
      <c r="F54">
        <v>4439804.4000000004</v>
      </c>
      <c r="G54">
        <v>3.55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-0.87610619469026552</v>
      </c>
      <c r="Q54">
        <f t="shared" ref="Q54" si="246">F54*P54</f>
        <v>-3889740.1380530978</v>
      </c>
      <c r="R54">
        <f t="shared" ref="R54" si="247">R55+Q54</f>
        <v>-82975713.575972557</v>
      </c>
      <c r="S54">
        <f t="shared" ref="S54" si="248">R54/100000</f>
        <v>-829.75713575972554</v>
      </c>
      <c r="T54">
        <f t="shared" ref="T54" si="249">S54/1000</f>
        <v>-0.82975713575972554</v>
      </c>
    </row>
    <row r="55" spans="1:20" x14ac:dyDescent="0.25">
      <c r="A55" s="5">
        <v>44538</v>
      </c>
      <c r="B55">
        <v>3.9119999999999999</v>
      </c>
      <c r="C55">
        <v>4</v>
      </c>
      <c r="D55">
        <v>3.6709999999999998</v>
      </c>
      <c r="E55">
        <v>3.9609999999999999</v>
      </c>
      <c r="F55">
        <v>4680931.9000000004</v>
      </c>
      <c r="G55">
        <v>3.9609999999999999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0.76291793313069833</v>
      </c>
      <c r="Q55">
        <f t="shared" ref="Q55" si="251">F55*P55</f>
        <v>3571166.8902735529</v>
      </c>
      <c r="R55">
        <f t="shared" ref="R55" si="252">R56+Q55</f>
        <v>-79085973.437919453</v>
      </c>
      <c r="S55">
        <f t="shared" ref="S55" si="253">R55/100000</f>
        <v>-790.85973437919449</v>
      </c>
      <c r="T55">
        <f t="shared" ref="T55" si="254">S55/1000</f>
        <v>-0.79085973437919455</v>
      </c>
    </row>
    <row r="56" spans="1:20" x14ac:dyDescent="0.25">
      <c r="A56" s="5">
        <v>44537</v>
      </c>
      <c r="B56">
        <v>3.806</v>
      </c>
      <c r="C56">
        <v>4.1550000000000002</v>
      </c>
      <c r="D56">
        <v>3.6960000000000002</v>
      </c>
      <c r="E56">
        <v>3.9119999999999999</v>
      </c>
      <c r="F56">
        <v>6166212</v>
      </c>
      <c r="G56">
        <v>3.9119999999999999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-5.8823529411765961E-2</v>
      </c>
      <c r="Q56">
        <f t="shared" ref="Q56" si="256">F56*P56</f>
        <v>-362718.35294118419</v>
      </c>
      <c r="R56">
        <f t="shared" ref="R56" si="257">R57+Q56</f>
        <v>-82657140.328193009</v>
      </c>
      <c r="S56">
        <f t="shared" ref="S56" si="258">R56/100000</f>
        <v>-826.57140328193009</v>
      </c>
      <c r="T56">
        <f t="shared" ref="T56" si="259">S56/1000</f>
        <v>-0.82657140328193013</v>
      </c>
    </row>
    <row r="57" spans="1:20" x14ac:dyDescent="0.25">
      <c r="A57" s="5">
        <v>44536</v>
      </c>
      <c r="B57">
        <v>3.5190000000000001</v>
      </c>
      <c r="C57">
        <v>3.9849999999999999</v>
      </c>
      <c r="D57">
        <v>3.2149999999999999</v>
      </c>
      <c r="E57">
        <v>3.8039999999999998</v>
      </c>
      <c r="F57">
        <v>10159753.800000001</v>
      </c>
      <c r="G57">
        <v>3.8039999999999998</v>
      </c>
      <c r="L57" t="s">
        <v>8</v>
      </c>
      <c r="M57" t="s">
        <v>7</v>
      </c>
      <c r="N57" t="s">
        <v>7</v>
      </c>
      <c r="P57">
        <f t="shared" ref="P57" si="260">IF(C57=D57,0,((E57-D57)-(C57-E57))/(C57-D57))</f>
        <v>0.52987012987012971</v>
      </c>
      <c r="Q57">
        <f t="shared" ref="Q57" si="261">F57*P57</f>
        <v>5383350.0654545445</v>
      </c>
      <c r="R57">
        <f t="shared" ref="R57" si="262">R58+Q57</f>
        <v>-82294421.975251824</v>
      </c>
      <c r="S57">
        <f t="shared" ref="S57" si="263">R57/100000</f>
        <v>-822.94421975251828</v>
      </c>
      <c r="T57">
        <f t="shared" ref="T57" si="264">S57/1000</f>
        <v>-0.8229442197525183</v>
      </c>
    </row>
    <row r="58" spans="1:20" x14ac:dyDescent="0.25">
      <c r="A58" s="5">
        <v>44535</v>
      </c>
      <c r="B58">
        <v>3.8370000000000002</v>
      </c>
      <c r="C58">
        <v>3.88</v>
      </c>
      <c r="D58">
        <v>3.4049999999999998</v>
      </c>
      <c r="E58">
        <v>3.5169999999999999</v>
      </c>
      <c r="F58">
        <v>5636878.5</v>
      </c>
      <c r="G58">
        <v>3.5169999999999999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-0.52842105263157857</v>
      </c>
      <c r="Q58">
        <f t="shared" ref="Q58" si="266">F58*P58</f>
        <v>-2978645.2705263137</v>
      </c>
      <c r="R58">
        <f t="shared" ref="R58" si="267">R59+Q58</f>
        <v>-87677772.040706366</v>
      </c>
      <c r="S58">
        <f t="shared" ref="S58" si="268">R58/100000</f>
        <v>-876.77772040706361</v>
      </c>
      <c r="T58">
        <f t="shared" ref="T58" si="269">S58/1000</f>
        <v>-0.87677772040706359</v>
      </c>
    </row>
    <row r="59" spans="1:20" x14ac:dyDescent="0.25">
      <c r="A59" s="5">
        <v>44534</v>
      </c>
      <c r="B59">
        <v>4.2249999999999996</v>
      </c>
      <c r="C59">
        <v>4.2249999999999996</v>
      </c>
      <c r="D59">
        <v>3.3479999999999999</v>
      </c>
      <c r="E59">
        <v>3.8370000000000002</v>
      </c>
      <c r="F59">
        <v>11158827.800000001</v>
      </c>
      <c r="G59">
        <v>3.8370000000000002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0.11516533637400329</v>
      </c>
      <c r="Q59">
        <f t="shared" ref="Q59" si="271">F59*P59</f>
        <v>1285110.1571265792</v>
      </c>
      <c r="R59">
        <f t="shared" ref="R59" si="272">R60+Q59</f>
        <v>-84699126.770180047</v>
      </c>
      <c r="S59">
        <f t="shared" ref="S59" si="273">R59/100000</f>
        <v>-846.99126770180044</v>
      </c>
      <c r="T59">
        <f t="shared" ref="T59" si="274">S59/1000</f>
        <v>-0.84699126770180044</v>
      </c>
    </row>
    <row r="60" spans="1:20" x14ac:dyDescent="0.25">
      <c r="A60" s="5">
        <v>44533</v>
      </c>
      <c r="B60">
        <v>4.3689999999999998</v>
      </c>
      <c r="C60">
        <v>4.4749999999999996</v>
      </c>
      <c r="D60">
        <v>4.141</v>
      </c>
      <c r="E60">
        <v>4.2300000000000004</v>
      </c>
      <c r="F60">
        <v>5934931.2999999998</v>
      </c>
      <c r="G60">
        <v>4.2300000000000004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-0.46706586826347002</v>
      </c>
      <c r="Q60">
        <f t="shared" ref="Q60" si="276">F60*P60</f>
        <v>-2772003.8407185446</v>
      </c>
      <c r="R60">
        <f t="shared" ref="R60" si="277">R61+Q60</f>
        <v>-85984236.927306622</v>
      </c>
      <c r="S60">
        <f t="shared" ref="S60" si="278">R60/100000</f>
        <v>-859.8423692730662</v>
      </c>
      <c r="T60">
        <f t="shared" ref="T60" si="279">S60/1000</f>
        <v>-0.85984236927306623</v>
      </c>
    </row>
    <row r="61" spans="1:20" x14ac:dyDescent="0.25">
      <c r="A61" s="5">
        <v>44532</v>
      </c>
      <c r="B61">
        <v>4.5359999999999996</v>
      </c>
      <c r="C61">
        <v>4.54</v>
      </c>
      <c r="D61">
        <v>4.2809999999999997</v>
      </c>
      <c r="E61">
        <v>4.3630000000000004</v>
      </c>
      <c r="F61">
        <v>4511427</v>
      </c>
      <c r="G61">
        <v>4.3630000000000004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-0.3667953667953619</v>
      </c>
      <c r="Q61">
        <f t="shared" ref="Q61" si="281">F61*P61</f>
        <v>-1654770.5212354991</v>
      </c>
      <c r="R61">
        <f t="shared" ref="R61" si="282">R62+Q61</f>
        <v>-83212233.086588085</v>
      </c>
      <c r="S61">
        <f t="shared" ref="S61" si="283">R61/100000</f>
        <v>-832.12233086588083</v>
      </c>
      <c r="T61">
        <f t="shared" ref="T61" si="284">S61/1000</f>
        <v>-0.83212233086588083</v>
      </c>
    </row>
    <row r="62" spans="1:20" x14ac:dyDescent="0.25">
      <c r="A62" s="5">
        <v>44531</v>
      </c>
      <c r="B62">
        <v>4.5469999999999997</v>
      </c>
      <c r="C62">
        <v>4.6989999999999998</v>
      </c>
      <c r="D62">
        <v>4.5199999999999996</v>
      </c>
      <c r="E62">
        <v>4.5359999999999996</v>
      </c>
      <c r="F62">
        <v>5603026.0999999996</v>
      </c>
      <c r="G62">
        <v>4.5359999999999996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-0.82122905027932969</v>
      </c>
      <c r="Q62">
        <f t="shared" ref="Q62" si="286">F62*P62</f>
        <v>-4601367.8027932961</v>
      </c>
      <c r="R62">
        <f t="shared" ref="R62" si="287">R63+Q62</f>
        <v>-81557462.565352589</v>
      </c>
      <c r="S62">
        <f t="shared" ref="S62" si="288">R62/100000</f>
        <v>-815.57462565352591</v>
      </c>
      <c r="T62">
        <f t="shared" ref="T62" si="289">S62/1000</f>
        <v>-0.8155746256535259</v>
      </c>
    </row>
    <row r="63" spans="1:20" x14ac:dyDescent="0.25">
      <c r="A63" s="5">
        <v>44530</v>
      </c>
      <c r="B63">
        <v>4.8259999999999996</v>
      </c>
      <c r="C63">
        <v>4.87</v>
      </c>
      <c r="D63">
        <v>4.51</v>
      </c>
      <c r="E63">
        <v>4.5469999999999997</v>
      </c>
      <c r="F63">
        <v>7149977</v>
      </c>
      <c r="G63">
        <v>4.5469999999999997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-0.79444444444444506</v>
      </c>
      <c r="Q63">
        <f t="shared" ref="Q63" si="291">F63*P63</f>
        <v>-5680259.5055555599</v>
      </c>
      <c r="R63">
        <f t="shared" ref="R63" si="292">R64+Q63</f>
        <v>-76956094.762559295</v>
      </c>
      <c r="S63">
        <f t="shared" ref="S63" si="293">R63/100000</f>
        <v>-769.56094762559292</v>
      </c>
      <c r="T63">
        <f t="shared" ref="T63" si="294">S63/1000</f>
        <v>-0.76956094762559291</v>
      </c>
    </row>
    <row r="64" spans="1:20" x14ac:dyDescent="0.25">
      <c r="A64" s="5">
        <v>44529</v>
      </c>
      <c r="B64">
        <v>4.7830000000000004</v>
      </c>
      <c r="C64">
        <v>4.9169999999999998</v>
      </c>
      <c r="D64">
        <v>4.6399999999999997</v>
      </c>
      <c r="E64">
        <v>4.8289999999999997</v>
      </c>
      <c r="F64">
        <v>4860252.3</v>
      </c>
      <c r="G64">
        <v>4.8289999999999997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0.36462093862815859</v>
      </c>
      <c r="Q64">
        <f t="shared" ref="Q64" si="296">F64*P64</f>
        <v>1772149.7555956666</v>
      </c>
      <c r="R64">
        <f t="shared" ref="R64" si="297">R65+Q64</f>
        <v>-71275835.257003739</v>
      </c>
      <c r="S64">
        <f t="shared" ref="S64" si="298">R64/100000</f>
        <v>-712.75835257003735</v>
      </c>
      <c r="T64">
        <f t="shared" ref="T64" si="299">S64/1000</f>
        <v>-0.71275835257003739</v>
      </c>
    </row>
    <row r="65" spans="1:20" x14ac:dyDescent="0.25">
      <c r="A65" s="5">
        <v>44528</v>
      </c>
      <c r="B65">
        <v>4.7190000000000003</v>
      </c>
      <c r="C65">
        <v>4.8010000000000002</v>
      </c>
      <c r="D65">
        <v>4.4000000000000004</v>
      </c>
      <c r="E65">
        <v>4.7839999999999998</v>
      </c>
      <c r="F65">
        <v>5295956</v>
      </c>
      <c r="G65">
        <v>4.7839999999999998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0.91521197007481114</v>
      </c>
      <c r="Q65">
        <f t="shared" ref="Q65" si="301">F65*P65</f>
        <v>4846922.3241895167</v>
      </c>
      <c r="R65">
        <f t="shared" ref="R65" si="302">R66+Q65</f>
        <v>-73047985.012599409</v>
      </c>
      <c r="S65">
        <f t="shared" ref="S65" si="303">R65/100000</f>
        <v>-730.47985012599406</v>
      </c>
      <c r="T65">
        <f t="shared" ref="T65" si="304">S65/1000</f>
        <v>-0.73047985012599403</v>
      </c>
    </row>
    <row r="66" spans="1:20" x14ac:dyDescent="0.25">
      <c r="A66" s="5">
        <v>44527</v>
      </c>
      <c r="B66">
        <v>4.585</v>
      </c>
      <c r="C66">
        <v>5.202</v>
      </c>
      <c r="D66">
        <v>4.5620000000000003</v>
      </c>
      <c r="E66">
        <v>4.7169999999999996</v>
      </c>
      <c r="F66">
        <v>9312689</v>
      </c>
      <c r="G66">
        <v>4.7169999999999996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-0.51562500000000178</v>
      </c>
      <c r="Q66">
        <f t="shared" ref="Q66" si="306">F66*P66</f>
        <v>-4801855.2656250168</v>
      </c>
      <c r="R66">
        <f t="shared" ref="R66" si="307">R67+Q66</f>
        <v>-77894907.336788923</v>
      </c>
      <c r="S66">
        <f t="shared" ref="S66" si="308">R66/100000</f>
        <v>-778.94907336788924</v>
      </c>
      <c r="T66">
        <f t="shared" ref="T66" si="309">S66/1000</f>
        <v>-0.77894907336788921</v>
      </c>
    </row>
    <row r="67" spans="1:20" x14ac:dyDescent="0.25">
      <c r="A67" s="5">
        <v>44526</v>
      </c>
      <c r="B67">
        <v>5.0190000000000001</v>
      </c>
      <c r="C67">
        <v>5.0910000000000002</v>
      </c>
      <c r="D67">
        <v>4.3550000000000004</v>
      </c>
      <c r="E67">
        <v>4.5860000000000003</v>
      </c>
      <c r="F67">
        <v>10809079.800000001</v>
      </c>
      <c r="G67">
        <v>4.5860000000000003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-0.37228260869565233</v>
      </c>
      <c r="Q67">
        <f t="shared" ref="Q67" si="311">F67*P67</f>
        <v>-4024032.4255434801</v>
      </c>
      <c r="R67">
        <f t="shared" ref="R67" si="312">R68+Q67</f>
        <v>-73093052.071163908</v>
      </c>
      <c r="S67">
        <f t="shared" ref="S67" si="313">R67/100000</f>
        <v>-730.93052071163913</v>
      </c>
      <c r="T67">
        <f t="shared" ref="T67" si="314">S67/1000</f>
        <v>-0.73093052071163911</v>
      </c>
    </row>
    <row r="68" spans="1:20" x14ac:dyDescent="0.25">
      <c r="A68" s="5">
        <v>44525</v>
      </c>
      <c r="B68">
        <v>5.2080000000000002</v>
      </c>
      <c r="C68">
        <v>5.5</v>
      </c>
      <c r="D68">
        <v>4.843</v>
      </c>
      <c r="E68">
        <v>5.0170000000000003</v>
      </c>
      <c r="F68">
        <v>13360641.699999999</v>
      </c>
      <c r="G68">
        <v>5.0170000000000003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-0.47031963470319521</v>
      </c>
      <c r="Q68">
        <f t="shared" ref="Q68" si="316">F68*P68</f>
        <v>-6283772.1237442764</v>
      </c>
      <c r="R68">
        <f t="shared" ref="R68" si="317">R69+Q68</f>
        <v>-69069019.645620421</v>
      </c>
      <c r="S68">
        <f t="shared" ref="S68" si="318">R68/100000</f>
        <v>-690.69019645620426</v>
      </c>
      <c r="T68">
        <f t="shared" ref="T68" si="319">S68/1000</f>
        <v>-0.69069019645620422</v>
      </c>
    </row>
    <row r="69" spans="1:20" x14ac:dyDescent="0.25">
      <c r="A69" s="5">
        <v>44524</v>
      </c>
      <c r="B69">
        <v>4.4859999999999998</v>
      </c>
      <c r="C69">
        <v>4.5410000000000004</v>
      </c>
      <c r="D69">
        <v>4.3920000000000003</v>
      </c>
      <c r="E69">
        <v>4.4889999999999999</v>
      </c>
      <c r="F69">
        <v>1808179</v>
      </c>
      <c r="G69">
        <v>4.4889999999999999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0.30201342281878546</v>
      </c>
      <c r="Q69">
        <f t="shared" ref="Q69" si="321">F69*P69</f>
        <v>546094.32885904866</v>
      </c>
      <c r="R69">
        <f t="shared" ref="R69" si="322">R70+Q69</f>
        <v>-62785247.521876149</v>
      </c>
      <c r="S69">
        <f t="shared" ref="S69" si="323">R69/100000</f>
        <v>-627.85247521876147</v>
      </c>
      <c r="T69">
        <f t="shared" ref="T69" si="324">S69/1000</f>
        <v>-0.62785247521876142</v>
      </c>
    </row>
    <row r="70" spans="1:20" x14ac:dyDescent="0.25">
      <c r="A70" s="5">
        <v>44523</v>
      </c>
      <c r="B70">
        <v>4.3780000000000001</v>
      </c>
      <c r="C70">
        <v>4.742</v>
      </c>
      <c r="D70">
        <v>4.3710000000000004</v>
      </c>
      <c r="E70">
        <v>4.492</v>
      </c>
      <c r="F70">
        <v>8857444.5</v>
      </c>
      <c r="G70">
        <v>4.492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-0.34770889487870782</v>
      </c>
      <c r="Q70">
        <f t="shared" ref="Q70" si="326">F70*P70</f>
        <v>-3079812.2385444888</v>
      </c>
      <c r="R70">
        <f t="shared" ref="R70" si="327">R71+Q70</f>
        <v>-63331341.850735195</v>
      </c>
      <c r="S70">
        <f t="shared" ref="S70" si="328">R70/100000</f>
        <v>-633.31341850735191</v>
      </c>
      <c r="T70">
        <f t="shared" ref="T70" si="329">S70/1000</f>
        <v>-0.6333134185073519</v>
      </c>
    </row>
    <row r="71" spans="1:20" x14ac:dyDescent="0.25">
      <c r="A71" s="5">
        <v>44522</v>
      </c>
      <c r="B71">
        <v>4.4660000000000002</v>
      </c>
      <c r="C71">
        <v>4.6900000000000004</v>
      </c>
      <c r="D71">
        <v>4.2910000000000004</v>
      </c>
      <c r="E71">
        <v>4.3730000000000002</v>
      </c>
      <c r="F71">
        <v>6368531.5</v>
      </c>
      <c r="G71">
        <v>4.3730000000000002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-0.58897243107769504</v>
      </c>
      <c r="Q71">
        <f t="shared" ref="Q71" si="331">F71*P71</f>
        <v>-3750889.4799498799</v>
      </c>
      <c r="R71">
        <f t="shared" ref="R71" si="332">R72+Q71</f>
        <v>-60251529.612190709</v>
      </c>
      <c r="S71">
        <f t="shared" ref="S71" si="333">R71/100000</f>
        <v>-602.51529612190711</v>
      </c>
      <c r="T71">
        <f t="shared" ref="T71" si="334">S71/1000</f>
        <v>-0.60251529612190713</v>
      </c>
    </row>
    <row r="72" spans="1:20" x14ac:dyDescent="0.25">
      <c r="A72" s="5">
        <v>44521</v>
      </c>
      <c r="B72">
        <v>4.617</v>
      </c>
      <c r="C72">
        <v>4.8280000000000003</v>
      </c>
      <c r="D72">
        <v>4.3860000000000001</v>
      </c>
      <c r="E72">
        <v>4.47</v>
      </c>
      <c r="F72">
        <v>7481165.9000000004</v>
      </c>
      <c r="G72">
        <v>4.47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-0.61990950226244523</v>
      </c>
      <c r="Q72">
        <f t="shared" ref="Q72" si="336">F72*P72</f>
        <v>-4637645.8294117786</v>
      </c>
      <c r="R72">
        <f t="shared" ref="R72" si="337">R73+Q72</f>
        <v>-56500640.132240832</v>
      </c>
      <c r="S72">
        <f t="shared" ref="S72" si="338">R72/100000</f>
        <v>-565.00640132240835</v>
      </c>
      <c r="T72">
        <f t="shared" ref="T72" si="339">S72/1000</f>
        <v>-0.56500640132240831</v>
      </c>
    </row>
    <row r="73" spans="1:20" x14ac:dyDescent="0.25">
      <c r="A73" s="5">
        <v>44520</v>
      </c>
      <c r="B73">
        <v>4.7140000000000004</v>
      </c>
      <c r="C73">
        <v>4.8979999999999997</v>
      </c>
      <c r="D73">
        <v>4.3819999999999997</v>
      </c>
      <c r="E73">
        <v>4.617</v>
      </c>
      <c r="F73">
        <v>7656369.0999999996</v>
      </c>
      <c r="G73">
        <v>4.617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-8.9147286821704211E-2</v>
      </c>
      <c r="Q73">
        <f t="shared" ref="Q73" si="341">F73*P73</f>
        <v>-682544.53217053332</v>
      </c>
      <c r="R73">
        <f t="shared" ref="R73" si="342">R74+Q73</f>
        <v>-51862994.30282905</v>
      </c>
      <c r="S73">
        <f t="shared" ref="S73" si="343">R73/100000</f>
        <v>-518.62994302829054</v>
      </c>
      <c r="T73">
        <f t="shared" ref="T73" si="344">S73/1000</f>
        <v>-0.51862994302829057</v>
      </c>
    </row>
    <row r="74" spans="1:20" x14ac:dyDescent="0.25">
      <c r="A74" s="5">
        <v>44519</v>
      </c>
      <c r="B74">
        <v>4.1920000000000002</v>
      </c>
      <c r="C74">
        <v>4.9000000000000004</v>
      </c>
      <c r="D74">
        <v>4.1529999999999996</v>
      </c>
      <c r="E74">
        <v>4.7140000000000004</v>
      </c>
      <c r="F74">
        <v>9078354.1999999993</v>
      </c>
      <c r="G74">
        <v>4.7140000000000004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0.50200803212851475</v>
      </c>
      <c r="Q74">
        <f t="shared" ref="Q74" si="346">F74*P74</f>
        <v>4557406.726907636</v>
      </c>
      <c r="R74">
        <f t="shared" ref="R74" si="347">R75+Q74</f>
        <v>-51180449.770658515</v>
      </c>
      <c r="S74">
        <f t="shared" ref="S74" si="348">R74/100000</f>
        <v>-511.80449770658515</v>
      </c>
      <c r="T74">
        <f t="shared" ref="T74" si="349">S74/1000</f>
        <v>-0.5118044977065852</v>
      </c>
    </row>
    <row r="75" spans="1:20" x14ac:dyDescent="0.25">
      <c r="A75" s="5">
        <v>44518</v>
      </c>
      <c r="B75">
        <v>4.6399999999999997</v>
      </c>
      <c r="C75">
        <v>4.8470000000000004</v>
      </c>
      <c r="D75">
        <v>4.0970000000000004</v>
      </c>
      <c r="E75">
        <v>4.1980000000000004</v>
      </c>
      <c r="F75">
        <v>9219612.3000000007</v>
      </c>
      <c r="G75">
        <v>4.1980000000000004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-0.73066666666666669</v>
      </c>
      <c r="Q75">
        <f t="shared" ref="Q75" si="351">F75*P75</f>
        <v>-6736463.3872000007</v>
      </c>
      <c r="R75">
        <f t="shared" ref="R75" si="352">R76+Q75</f>
        <v>-55737856.497566149</v>
      </c>
      <c r="S75">
        <f t="shared" ref="S75" si="353">R75/100000</f>
        <v>-557.37856497566145</v>
      </c>
      <c r="T75">
        <f t="shared" ref="T75" si="354">S75/1000</f>
        <v>-0.55737856497566141</v>
      </c>
    </row>
    <row r="76" spans="1:20" x14ac:dyDescent="0.25">
      <c r="A76" s="5">
        <v>44517</v>
      </c>
      <c r="B76">
        <v>4.4800000000000004</v>
      </c>
      <c r="C76">
        <v>4.83</v>
      </c>
      <c r="D76">
        <v>4.26</v>
      </c>
      <c r="E76">
        <v>4.6420000000000003</v>
      </c>
      <c r="F76">
        <v>7391504.7000000002</v>
      </c>
      <c r="G76">
        <v>4.6420000000000003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0.34035087719298374</v>
      </c>
      <c r="Q76">
        <f t="shared" ref="Q76" si="356">F76*P76</f>
        <v>2515705.1084210621</v>
      </c>
      <c r="R76">
        <f t="shared" ref="R76" si="357">R77+Q76</f>
        <v>-49001393.110366151</v>
      </c>
      <c r="S76">
        <f t="shared" ref="S76" si="358">R76/100000</f>
        <v>-490.01393110366149</v>
      </c>
      <c r="T76">
        <f t="shared" ref="T76" si="359">S76/1000</f>
        <v>-0.49001393110366148</v>
      </c>
    </row>
    <row r="77" spans="1:20" x14ac:dyDescent="0.25">
      <c r="A77" s="5">
        <v>44516</v>
      </c>
      <c r="B77">
        <v>5.0759999999999996</v>
      </c>
      <c r="C77">
        <v>5.0789999999999997</v>
      </c>
      <c r="D77">
        <v>4.4119999999999999</v>
      </c>
      <c r="E77">
        <v>4.4749999999999996</v>
      </c>
      <c r="F77">
        <v>13066622.9</v>
      </c>
      <c r="G77">
        <v>4.4749999999999996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-0.81109445277361392</v>
      </c>
      <c r="Q77">
        <f t="shared" ref="Q77" si="361">F77*P77</f>
        <v>-10598265.350674672</v>
      </c>
      <c r="R77">
        <f t="shared" ref="R77" si="362">R78+Q77</f>
        <v>-51517098.218787216</v>
      </c>
      <c r="S77">
        <f t="shared" ref="S77" si="363">R77/100000</f>
        <v>-515.17098218787214</v>
      </c>
      <c r="T77">
        <f t="shared" ref="T77" si="364">S77/1000</f>
        <v>-0.51517098218787216</v>
      </c>
    </row>
    <row r="78" spans="1:20" x14ac:dyDescent="0.25">
      <c r="A78" s="5">
        <v>44515</v>
      </c>
      <c r="B78">
        <v>5.3380000000000001</v>
      </c>
      <c r="C78">
        <v>5.65</v>
      </c>
      <c r="D78">
        <v>5.05</v>
      </c>
      <c r="E78">
        <v>5.0739999999999998</v>
      </c>
      <c r="F78">
        <v>8727451.0999999996</v>
      </c>
      <c r="G78">
        <v>5.0739999999999998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-0.92</v>
      </c>
      <c r="Q78">
        <f t="shared" ref="Q78" si="366">F78*P78</f>
        <v>-8029255.0120000001</v>
      </c>
      <c r="R78">
        <f t="shared" ref="R78" si="367">R79+Q78</f>
        <v>-40918832.868112542</v>
      </c>
      <c r="S78">
        <f t="shared" ref="S78" si="368">R78/100000</f>
        <v>-409.18832868112543</v>
      </c>
      <c r="T78">
        <f t="shared" ref="T78" si="369">S78/1000</f>
        <v>-0.40918832868112542</v>
      </c>
    </row>
    <row r="79" spans="1:20" x14ac:dyDescent="0.25">
      <c r="A79" s="5">
        <v>44514</v>
      </c>
      <c r="B79">
        <v>5.4770000000000003</v>
      </c>
      <c r="C79">
        <v>5.5590000000000002</v>
      </c>
      <c r="D79">
        <v>5.0220000000000002</v>
      </c>
      <c r="E79">
        <v>5.3390000000000004</v>
      </c>
      <c r="F79">
        <v>7969170.2000000002</v>
      </c>
      <c r="G79">
        <v>5.3390000000000004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0.18063314711359485</v>
      </c>
      <c r="Q79">
        <f t="shared" ref="Q79" si="371">F79*P79</f>
        <v>1439496.2931098761</v>
      </c>
      <c r="R79">
        <f t="shared" ref="R79" si="372">R80+Q79</f>
        <v>-32889577.856112543</v>
      </c>
      <c r="S79">
        <f t="shared" ref="S79" si="373">R79/100000</f>
        <v>-328.89577856112544</v>
      </c>
      <c r="T79">
        <f t="shared" ref="T79" si="374">S79/1000</f>
        <v>-0.32889577856112545</v>
      </c>
    </row>
    <row r="80" spans="1:20" x14ac:dyDescent="0.25">
      <c r="A80" s="5">
        <v>44513</v>
      </c>
      <c r="B80">
        <v>5.6349999999999998</v>
      </c>
      <c r="C80">
        <v>6.0449999999999999</v>
      </c>
      <c r="D80">
        <v>5.3719999999999999</v>
      </c>
      <c r="E80">
        <v>5.476</v>
      </c>
      <c r="F80">
        <v>9665243.1999999993</v>
      </c>
      <c r="G80">
        <v>5.476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-0.69093610698365504</v>
      </c>
      <c r="Q80">
        <f t="shared" ref="Q80" si="376">F80*P80</f>
        <v>-6678065.5096582435</v>
      </c>
      <c r="R80">
        <f t="shared" ref="R80" si="377">R81+Q80</f>
        <v>-34329074.149222419</v>
      </c>
      <c r="S80">
        <f t="shared" ref="S80" si="378">R80/100000</f>
        <v>-343.29074149222419</v>
      </c>
      <c r="T80">
        <f t="shared" ref="T80" si="379">S80/1000</f>
        <v>-0.34329074149222416</v>
      </c>
    </row>
    <row r="81" spans="1:20" x14ac:dyDescent="0.25">
      <c r="A81" s="5">
        <v>44512</v>
      </c>
      <c r="B81">
        <v>5.891</v>
      </c>
      <c r="C81">
        <v>6.33</v>
      </c>
      <c r="D81">
        <v>5.3010000000000002</v>
      </c>
      <c r="E81">
        <v>5.6340000000000003</v>
      </c>
      <c r="F81">
        <v>24686941</v>
      </c>
      <c r="G81">
        <v>5.6340000000000003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-0.35276967930029113</v>
      </c>
      <c r="Q81">
        <f t="shared" ref="Q81" si="381">F81*P81</f>
        <v>-8708804.2594752088</v>
      </c>
      <c r="R81">
        <f t="shared" ref="R81" si="382">R82+Q81</f>
        <v>-27651008.639564175</v>
      </c>
      <c r="S81">
        <f t="shared" ref="S81" si="383">R81/100000</f>
        <v>-276.51008639564174</v>
      </c>
      <c r="T81">
        <f t="shared" ref="T81" si="384">S81/1000</f>
        <v>-0.27651008639564173</v>
      </c>
    </row>
    <row r="82" spans="1:20" x14ac:dyDescent="0.25">
      <c r="A82" s="5">
        <v>44511</v>
      </c>
      <c r="B82">
        <v>5.1289999999999996</v>
      </c>
      <c r="C82">
        <v>6.6840000000000002</v>
      </c>
      <c r="D82">
        <v>4.915</v>
      </c>
      <c r="E82">
        <v>5.8959999999999999</v>
      </c>
      <c r="F82">
        <v>59891498.700000003</v>
      </c>
      <c r="G82">
        <v>5.8959999999999999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0.10910118711136213</v>
      </c>
      <c r="Q82">
        <f t="shared" ref="Q82" si="386">F82*P82</f>
        <v>6534233.6060486017</v>
      </c>
      <c r="R82">
        <f t="shared" ref="R82" si="387">R83+Q82</f>
        <v>-18942204.380088966</v>
      </c>
      <c r="S82">
        <f t="shared" ref="S82" si="388">R82/100000</f>
        <v>-189.42204380088967</v>
      </c>
      <c r="T82">
        <f t="shared" ref="T82" si="389">S82/1000</f>
        <v>-0.18942204380088967</v>
      </c>
    </row>
    <row r="83" spans="1:20" x14ac:dyDescent="0.25">
      <c r="A83" s="5">
        <v>44510</v>
      </c>
      <c r="B83">
        <v>4.2670000000000003</v>
      </c>
      <c r="C83">
        <v>5.9450000000000003</v>
      </c>
      <c r="D83">
        <v>4.165</v>
      </c>
      <c r="E83">
        <v>5.125</v>
      </c>
      <c r="F83">
        <v>46340438.600000001</v>
      </c>
      <c r="G83">
        <v>5.125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7.865168539325823E-2</v>
      </c>
      <c r="Q83">
        <f t="shared" ref="Q83" si="391">F83*P83</f>
        <v>3644753.5977528002</v>
      </c>
      <c r="R83">
        <f t="shared" ref="R83" si="392">R84+Q83</f>
        <v>-25476437.986137569</v>
      </c>
      <c r="S83">
        <f t="shared" ref="S83" si="393">R83/100000</f>
        <v>-254.76437986137569</v>
      </c>
      <c r="T83">
        <f t="shared" ref="T83" si="394">S83/1000</f>
        <v>-0.25476437986137568</v>
      </c>
    </row>
    <row r="84" spans="1:20" x14ac:dyDescent="0.25">
      <c r="A84" s="5">
        <v>44509</v>
      </c>
      <c r="B84">
        <v>4.37</v>
      </c>
      <c r="C84">
        <v>4.5410000000000004</v>
      </c>
      <c r="D84">
        <v>4.242</v>
      </c>
      <c r="E84">
        <v>4.2670000000000003</v>
      </c>
      <c r="F84">
        <v>4960185.7</v>
      </c>
      <c r="G84">
        <v>4.2670000000000003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-0.83277591973243925</v>
      </c>
      <c r="Q84">
        <f t="shared" ref="Q84" si="396">F84*P84</f>
        <v>-4130723.2083611931</v>
      </c>
      <c r="R84">
        <f t="shared" ref="R84" si="397">R85+Q84</f>
        <v>-29121191.583890371</v>
      </c>
      <c r="S84">
        <f t="shared" ref="S84" si="398">R84/100000</f>
        <v>-291.21191583890374</v>
      </c>
      <c r="T84">
        <f t="shared" ref="T84" si="399">S84/1000</f>
        <v>-0.29121191583890371</v>
      </c>
    </row>
    <row r="85" spans="1:20" x14ac:dyDescent="0.25">
      <c r="A85" s="5">
        <v>44508</v>
      </c>
      <c r="B85">
        <v>4.3949999999999996</v>
      </c>
      <c r="C85">
        <v>4.4850000000000003</v>
      </c>
      <c r="D85">
        <v>4.2480000000000002</v>
      </c>
      <c r="E85">
        <v>4.367</v>
      </c>
      <c r="F85">
        <v>5013119.3</v>
      </c>
      <c r="G85">
        <v>4.367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4.2194092826980814E-3</v>
      </c>
      <c r="Q85">
        <f t="shared" ref="Q85" si="401">F85*P85</f>
        <v>21152.402109692906</v>
      </c>
      <c r="R85">
        <f t="shared" ref="R85" si="402">R86+Q85</f>
        <v>-24990468.375529177</v>
      </c>
      <c r="S85">
        <f t="shared" ref="S85" si="403">R85/100000</f>
        <v>-249.90468375529179</v>
      </c>
      <c r="T85">
        <f t="shared" ref="T85" si="404">S85/1000</f>
        <v>-0.24990468375529179</v>
      </c>
    </row>
    <row r="86" spans="1:20" x14ac:dyDescent="0.25">
      <c r="A86" s="5">
        <v>44507</v>
      </c>
      <c r="B86">
        <v>4.2409999999999997</v>
      </c>
      <c r="C86">
        <v>4.5380000000000003</v>
      </c>
      <c r="D86">
        <v>4.1379999999999999</v>
      </c>
      <c r="E86">
        <v>4.3940000000000001</v>
      </c>
      <c r="F86">
        <v>5494232.5999999996</v>
      </c>
      <c r="G86">
        <v>4.3940000000000001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0.28000000000000003</v>
      </c>
      <c r="Q86">
        <f t="shared" ref="Q86" si="406">F86*P86</f>
        <v>1538385.128</v>
      </c>
      <c r="R86">
        <f t="shared" ref="R86" si="407">R87+Q86</f>
        <v>-25011620.777638871</v>
      </c>
      <c r="S86">
        <f t="shared" ref="S86" si="408">R86/100000</f>
        <v>-250.11620777638871</v>
      </c>
      <c r="T86">
        <f t="shared" ref="T86" si="409">S86/1000</f>
        <v>-0.25011620777638871</v>
      </c>
    </row>
    <row r="87" spans="1:20" x14ac:dyDescent="0.25">
      <c r="A87" s="5">
        <v>44506</v>
      </c>
      <c r="B87">
        <v>4.306</v>
      </c>
      <c r="C87">
        <v>4.4109999999999996</v>
      </c>
      <c r="D87">
        <v>4.0780000000000003</v>
      </c>
      <c r="E87">
        <v>4.2409999999999997</v>
      </c>
      <c r="F87">
        <v>3990532.4</v>
      </c>
      <c r="G87">
        <v>4.2409999999999997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-2.102102102102275E-2</v>
      </c>
      <c r="Q87">
        <f t="shared" ref="Q87" si="411">F87*P87</f>
        <v>-83885.065465472362</v>
      </c>
      <c r="R87">
        <f t="shared" ref="R87" si="412">R88+Q87</f>
        <v>-26550005.90563887</v>
      </c>
      <c r="S87">
        <f t="shared" ref="S87" si="413">R87/100000</f>
        <v>-265.50005905638869</v>
      </c>
      <c r="T87">
        <f t="shared" ref="T87" si="414">S87/1000</f>
        <v>-0.26550005905638868</v>
      </c>
    </row>
    <row r="88" spans="1:20" x14ac:dyDescent="0.25">
      <c r="A88" s="5">
        <v>44505</v>
      </c>
      <c r="B88">
        <v>4.2770000000000001</v>
      </c>
      <c r="C88">
        <v>4.3529999999999998</v>
      </c>
      <c r="D88">
        <v>4.2220000000000004</v>
      </c>
      <c r="E88">
        <v>4.306</v>
      </c>
      <c r="F88">
        <v>3636324</v>
      </c>
      <c r="G88">
        <v>4.306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0.28244274809160386</v>
      </c>
      <c r="Q88">
        <f t="shared" ref="Q88" si="416">F88*P88</f>
        <v>1027053.3435114532</v>
      </c>
      <c r="R88">
        <f t="shared" ref="R88" si="417">R89+Q88</f>
        <v>-26466120.840173397</v>
      </c>
      <c r="S88">
        <f t="shared" ref="S88" si="418">R88/100000</f>
        <v>-264.66120840173397</v>
      </c>
      <c r="T88">
        <f t="shared" ref="T88" si="419">S88/1000</f>
        <v>-0.26466120840173396</v>
      </c>
    </row>
    <row r="89" spans="1:20" x14ac:dyDescent="0.25">
      <c r="A89" s="5">
        <v>44504</v>
      </c>
      <c r="B89">
        <v>4.4480000000000004</v>
      </c>
      <c r="C89">
        <v>4.5330000000000004</v>
      </c>
      <c r="D89">
        <v>4.2160000000000002</v>
      </c>
      <c r="E89">
        <v>4.2789999999999999</v>
      </c>
      <c r="F89">
        <v>5080705.8</v>
      </c>
      <c r="G89">
        <v>4.2789999999999999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-0.60252365930599561</v>
      </c>
      <c r="Q89">
        <f t="shared" ref="Q89" si="421">F89*P89</f>
        <v>-3061245.4504731959</v>
      </c>
      <c r="R89">
        <f t="shared" ref="R89" si="422">R90+Q89</f>
        <v>-27493174.183684852</v>
      </c>
      <c r="S89">
        <f t="shared" ref="S89" si="423">R89/100000</f>
        <v>-274.93174183684852</v>
      </c>
      <c r="T89">
        <f t="shared" ref="T89" si="424">S89/1000</f>
        <v>-0.27493174183684854</v>
      </c>
    </row>
    <row r="90" spans="1:20" x14ac:dyDescent="0.25">
      <c r="A90" s="5">
        <v>44503</v>
      </c>
      <c r="B90">
        <v>4.5259999999999998</v>
      </c>
      <c r="C90">
        <v>4.6529999999999996</v>
      </c>
      <c r="D90">
        <v>4.3380000000000001</v>
      </c>
      <c r="E90">
        <v>4.45</v>
      </c>
      <c r="F90">
        <v>5701330.5</v>
      </c>
      <c r="G90">
        <v>4.45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-0.28888888888888714</v>
      </c>
      <c r="Q90">
        <f t="shared" ref="Q90" si="426">F90*P90</f>
        <v>-1647051.0333333234</v>
      </c>
      <c r="R90">
        <f t="shared" ref="R90" si="427">R91+Q90</f>
        <v>-24431928.733211655</v>
      </c>
      <c r="S90">
        <f t="shared" ref="S90" si="428">R90/100000</f>
        <v>-244.31928733211655</v>
      </c>
      <c r="T90">
        <f t="shared" ref="T90" si="429">S90/1000</f>
        <v>-0.24431928733211655</v>
      </c>
    </row>
    <row r="91" spans="1:20" x14ac:dyDescent="0.25">
      <c r="A91" s="5">
        <v>44502</v>
      </c>
      <c r="B91">
        <v>4.4390000000000001</v>
      </c>
      <c r="C91">
        <v>4.55</v>
      </c>
      <c r="D91">
        <v>4.3650000000000002</v>
      </c>
      <c r="E91">
        <v>4.5259999999999998</v>
      </c>
      <c r="F91">
        <v>5491091.2999999998</v>
      </c>
      <c r="G91">
        <v>4.5259999999999998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0.74054054054053975</v>
      </c>
      <c r="Q91">
        <f t="shared" ref="Q91" si="431">F91*P91</f>
        <v>4066375.719459455</v>
      </c>
      <c r="R91">
        <f t="shared" ref="R91" si="432">R92+Q91</f>
        <v>-22784877.699878331</v>
      </c>
      <c r="S91">
        <f t="shared" ref="S91" si="433">R91/100000</f>
        <v>-227.84877699878331</v>
      </c>
      <c r="T91">
        <f t="shared" ref="T91" si="434">S91/1000</f>
        <v>-0.22784877699878331</v>
      </c>
    </row>
    <row r="92" spans="1:20" x14ac:dyDescent="0.25">
      <c r="A92" s="5">
        <v>44501</v>
      </c>
      <c r="B92">
        <v>4.4630000000000001</v>
      </c>
      <c r="C92">
        <v>4.7</v>
      </c>
      <c r="D92">
        <v>4.3380000000000001</v>
      </c>
      <c r="E92">
        <v>4.4359999999999999</v>
      </c>
      <c r="F92">
        <v>4850357.5</v>
      </c>
      <c r="G92">
        <v>4.4359999999999999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-0.45856353591160309</v>
      </c>
      <c r="Q92">
        <f t="shared" ref="Q92" si="436">F92*P92</f>
        <v>-2224197.0856353636</v>
      </c>
      <c r="R92">
        <f t="shared" ref="R92" si="437">R93+Q92</f>
        <v>-26851253.419337787</v>
      </c>
      <c r="S92">
        <f t="shared" ref="S92" si="438">R92/100000</f>
        <v>-268.51253419337786</v>
      </c>
      <c r="T92">
        <f t="shared" ref="T92" si="439">S92/1000</f>
        <v>-0.26851253419337784</v>
      </c>
    </row>
    <row r="93" spans="1:20" x14ac:dyDescent="0.25">
      <c r="A93" s="5">
        <v>44500</v>
      </c>
      <c r="B93">
        <v>4.484</v>
      </c>
      <c r="C93">
        <v>4.492</v>
      </c>
      <c r="D93">
        <v>4.2880000000000003</v>
      </c>
      <c r="E93">
        <v>4.4610000000000003</v>
      </c>
      <c r="F93">
        <v>4823492.5999999996</v>
      </c>
      <c r="G93">
        <v>4.4610000000000003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0.69607843137255165</v>
      </c>
      <c r="Q93">
        <f t="shared" ref="Q93" si="441">F93*P93</f>
        <v>3357529.1627451107</v>
      </c>
      <c r="R93">
        <f t="shared" ref="R93" si="442">R94+Q93</f>
        <v>-24627056.333702423</v>
      </c>
      <c r="S93">
        <f t="shared" ref="S93" si="443">R93/100000</f>
        <v>-246.27056333702421</v>
      </c>
      <c r="T93">
        <f t="shared" ref="T93" si="444">S93/1000</f>
        <v>-0.24627056333702421</v>
      </c>
    </row>
    <row r="94" spans="1:20" x14ac:dyDescent="0.25">
      <c r="A94" s="5">
        <v>44499</v>
      </c>
      <c r="B94">
        <v>4.6399999999999997</v>
      </c>
      <c r="C94">
        <v>4.8250000000000002</v>
      </c>
      <c r="D94">
        <v>4.3250000000000002</v>
      </c>
      <c r="E94">
        <v>4.4809999999999999</v>
      </c>
      <c r="F94">
        <v>5051911.2</v>
      </c>
      <c r="G94">
        <v>4.4809999999999999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-0.37600000000000122</v>
      </c>
      <c r="Q94">
        <f t="shared" ref="Q94" si="446">F94*P94</f>
        <v>-1899518.6112000062</v>
      </c>
      <c r="R94">
        <f t="shared" ref="R94" si="447">R95+Q94</f>
        <v>-27984585.496447533</v>
      </c>
      <c r="S94">
        <f t="shared" ref="S94" si="448">R94/100000</f>
        <v>-279.84585496447534</v>
      </c>
      <c r="T94">
        <f t="shared" ref="T94" si="449">S94/1000</f>
        <v>-0.27984585496447534</v>
      </c>
    </row>
    <row r="95" spans="1:20" x14ac:dyDescent="0.25">
      <c r="A95" s="5">
        <v>44498</v>
      </c>
      <c r="B95">
        <v>4.6619999999999999</v>
      </c>
      <c r="C95">
        <v>4.867</v>
      </c>
      <c r="D95">
        <v>4.5170000000000003</v>
      </c>
      <c r="E95">
        <v>4.6390000000000002</v>
      </c>
      <c r="F95">
        <v>5010458.5</v>
      </c>
      <c r="G95">
        <v>4.6390000000000002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-0.30285714285714282</v>
      </c>
      <c r="Q95">
        <f t="shared" ref="Q95" si="451">F95*P95</f>
        <v>-1517453.1457142856</v>
      </c>
      <c r="R95">
        <f t="shared" ref="R95" si="452">R96+Q95</f>
        <v>-26085066.885247529</v>
      </c>
      <c r="S95">
        <f t="shared" ref="S95" si="453">R95/100000</f>
        <v>-260.85066885247528</v>
      </c>
      <c r="T95">
        <f t="shared" ref="T95" si="454">S95/1000</f>
        <v>-0.26085066885247526</v>
      </c>
    </row>
    <row r="96" spans="1:20" x14ac:dyDescent="0.25">
      <c r="A96" s="5">
        <v>44497</v>
      </c>
      <c r="B96">
        <v>4.3949999999999996</v>
      </c>
      <c r="C96">
        <v>4.984</v>
      </c>
      <c r="D96">
        <v>4.3159999999999998</v>
      </c>
      <c r="E96">
        <v>4.6619999999999999</v>
      </c>
      <c r="F96">
        <v>6573104.7000000002</v>
      </c>
      <c r="G96">
        <v>4.6619999999999999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3.5928143712574877E-2</v>
      </c>
      <c r="Q96">
        <f t="shared" ref="Q96" si="456">F96*P96</f>
        <v>236159.45029940139</v>
      </c>
      <c r="R96">
        <f t="shared" ref="R96" si="457">R97+Q96</f>
        <v>-24567613.739533242</v>
      </c>
      <c r="S96">
        <f t="shared" ref="S96" si="458">R96/100000</f>
        <v>-245.67613739533243</v>
      </c>
      <c r="T96">
        <f t="shared" ref="T96" si="459">S96/1000</f>
        <v>-0.24567613739533242</v>
      </c>
    </row>
    <row r="97" spans="1:20" x14ac:dyDescent="0.25">
      <c r="A97" s="5">
        <v>44496</v>
      </c>
      <c r="B97">
        <v>4.9370000000000003</v>
      </c>
      <c r="C97">
        <v>4.9530000000000003</v>
      </c>
      <c r="D97">
        <v>4.3</v>
      </c>
      <c r="E97">
        <v>4.399</v>
      </c>
      <c r="F97">
        <v>9965462.9000000004</v>
      </c>
      <c r="G97">
        <v>4.399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-0.69678407350689087</v>
      </c>
      <c r="Q97">
        <f t="shared" ref="Q97" si="461">F97*P97</f>
        <v>-6943775.8338437937</v>
      </c>
      <c r="R97">
        <f t="shared" ref="R97" si="462">R98+Q97</f>
        <v>-24803773.189832643</v>
      </c>
      <c r="S97">
        <f t="shared" ref="S97" si="463">R97/100000</f>
        <v>-248.03773189832643</v>
      </c>
      <c r="T97">
        <f t="shared" ref="T97" si="464">S97/1000</f>
        <v>-0.24803773189832642</v>
      </c>
    </row>
    <row r="98" spans="1:20" x14ac:dyDescent="0.25">
      <c r="A98" s="5">
        <v>44495</v>
      </c>
      <c r="B98">
        <v>4.843</v>
      </c>
      <c r="C98">
        <v>5.335</v>
      </c>
      <c r="D98">
        <v>4.8010000000000002</v>
      </c>
      <c r="E98">
        <v>4.9370000000000003</v>
      </c>
      <c r="F98">
        <v>9764803</v>
      </c>
      <c r="G98">
        <v>4.9370000000000003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-0.49063670411984955</v>
      </c>
      <c r="Q98">
        <f t="shared" ref="Q98" si="466">F98*P98</f>
        <v>-4790970.7602996193</v>
      </c>
      <c r="R98">
        <f t="shared" ref="R98" si="467">R99+Q98</f>
        <v>-17859997.355988849</v>
      </c>
      <c r="S98">
        <f t="shared" ref="S98" si="468">R98/100000</f>
        <v>-178.5999735598885</v>
      </c>
      <c r="T98">
        <f t="shared" ref="T98" si="469">S98/1000</f>
        <v>-0.17859997355988849</v>
      </c>
    </row>
    <row r="99" spans="1:20" x14ac:dyDescent="0.25">
      <c r="A99" s="5">
        <v>44494</v>
      </c>
      <c r="B99">
        <v>4.5979999999999999</v>
      </c>
      <c r="C99">
        <v>4.9000000000000004</v>
      </c>
      <c r="D99">
        <v>4.5069999999999997</v>
      </c>
      <c r="E99">
        <v>4.843</v>
      </c>
      <c r="F99">
        <v>7938508.2999999998</v>
      </c>
      <c r="G99">
        <v>4.843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0.70992366412213592</v>
      </c>
      <c r="Q99">
        <f t="shared" ref="Q99" si="471">F99*P99</f>
        <v>5635734.8999999883</v>
      </c>
      <c r="R99">
        <f t="shared" ref="R99" si="472">R100+Q99</f>
        <v>-13069026.59568923</v>
      </c>
      <c r="S99">
        <f t="shared" ref="S99" si="473">R99/100000</f>
        <v>-130.69026595689229</v>
      </c>
      <c r="T99">
        <f t="shared" ref="T99" si="474">S99/1000</f>
        <v>-0.13069026595689229</v>
      </c>
    </row>
    <row r="100" spans="1:20" x14ac:dyDescent="0.25">
      <c r="A100" s="5">
        <v>44493</v>
      </c>
      <c r="B100">
        <v>4.1989999999999998</v>
      </c>
      <c r="C100">
        <v>4.78</v>
      </c>
      <c r="D100">
        <v>4.1529999999999996</v>
      </c>
      <c r="E100">
        <v>4.5979999999999999</v>
      </c>
      <c r="F100">
        <v>10580625.1</v>
      </c>
      <c r="G100">
        <v>4.5979999999999999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0.41945773524720831</v>
      </c>
      <c r="Q100">
        <f t="shared" ref="Q100" si="476">F100*P100</f>
        <v>4438125.0419457667</v>
      </c>
      <c r="R100">
        <f t="shared" ref="R100" si="477">R101+Q100</f>
        <v>-18704761.495689217</v>
      </c>
      <c r="S100">
        <f t="shared" ref="S100" si="478">R100/100000</f>
        <v>-187.04761495689218</v>
      </c>
      <c r="T100">
        <f t="shared" ref="T100" si="479">S100/1000</f>
        <v>-0.18704761495689218</v>
      </c>
    </row>
    <row r="101" spans="1:20" x14ac:dyDescent="0.25">
      <c r="A101" s="5">
        <v>44492</v>
      </c>
      <c r="B101">
        <v>4.2030000000000003</v>
      </c>
      <c r="C101">
        <v>4.2990000000000004</v>
      </c>
      <c r="D101">
        <v>4.1660000000000004</v>
      </c>
      <c r="E101">
        <v>4.2009999999999996</v>
      </c>
      <c r="F101">
        <v>1835097.9</v>
      </c>
      <c r="G101">
        <v>4.2009999999999996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-0.47368421052632703</v>
      </c>
      <c r="Q101">
        <f t="shared" ref="Q101" si="481">F101*P101</f>
        <v>-869256.90000002063</v>
      </c>
      <c r="R101">
        <f t="shared" ref="R101" si="482">R102+Q101</f>
        <v>-23142886.537634984</v>
      </c>
      <c r="S101">
        <f t="shared" ref="S101" si="483">R101/100000</f>
        <v>-231.42886537634985</v>
      </c>
      <c r="T101">
        <f t="shared" ref="T101" si="484">S101/1000</f>
        <v>-0.23142886537634985</v>
      </c>
    </row>
    <row r="102" spans="1:20" x14ac:dyDescent="0.25">
      <c r="A102" s="5">
        <v>44491</v>
      </c>
      <c r="B102">
        <v>4.1920000000000002</v>
      </c>
      <c r="C102">
        <v>4.4000000000000004</v>
      </c>
      <c r="D102">
        <v>4.1280000000000001</v>
      </c>
      <c r="E102">
        <v>4.2039999999999997</v>
      </c>
      <c r="F102">
        <v>4796095.8</v>
      </c>
      <c r="G102">
        <v>4.2039999999999997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-0.44117647058823856</v>
      </c>
      <c r="Q102">
        <f t="shared" ref="Q102" si="486">F102*P102</f>
        <v>-2115924.6176470742</v>
      </c>
      <c r="R102">
        <f t="shared" ref="R102" si="487">R103+Q102</f>
        <v>-22273629.637634963</v>
      </c>
      <c r="S102">
        <f t="shared" ref="S102" si="488">R102/100000</f>
        <v>-222.73629637634963</v>
      </c>
      <c r="T102">
        <f t="shared" ref="T102" si="489">S102/1000</f>
        <v>-0.22273629637634962</v>
      </c>
    </row>
    <row r="103" spans="1:20" x14ac:dyDescent="0.25">
      <c r="A103" s="5">
        <v>44490</v>
      </c>
      <c r="B103">
        <v>4.2949999999999999</v>
      </c>
      <c r="C103">
        <v>4.46</v>
      </c>
      <c r="D103">
        <v>4.16</v>
      </c>
      <c r="E103">
        <v>4.1920000000000002</v>
      </c>
      <c r="F103">
        <v>5358215.5999999996</v>
      </c>
      <c r="G103">
        <v>4.1920000000000002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-0.7866666666666664</v>
      </c>
      <c r="Q103">
        <f t="shared" ref="Q103" si="491">F103*P103</f>
        <v>-4215129.605333332</v>
      </c>
      <c r="R103">
        <f t="shared" ref="R103" si="492">R104+Q103</f>
        <v>-20157705.019987889</v>
      </c>
      <c r="S103">
        <f t="shared" ref="S103" si="493">R103/100000</f>
        <v>-201.5770501998789</v>
      </c>
      <c r="T103">
        <f t="shared" ref="T103" si="494">S103/1000</f>
        <v>-0.2015770501998789</v>
      </c>
    </row>
    <row r="104" spans="1:20" x14ac:dyDescent="0.25">
      <c r="A104" s="5">
        <v>44489</v>
      </c>
      <c r="B104">
        <v>4.0199999999999996</v>
      </c>
      <c r="C104">
        <v>4.3899999999999997</v>
      </c>
      <c r="D104">
        <v>4</v>
      </c>
      <c r="E104">
        <v>4.2949999999999999</v>
      </c>
      <c r="F104">
        <v>5886637.2000000002</v>
      </c>
      <c r="G104">
        <v>4.2949999999999999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0.51282051282051366</v>
      </c>
      <c r="Q104">
        <f t="shared" ref="Q104" si="496">F104*P104</f>
        <v>3018788.3076923126</v>
      </c>
      <c r="R104">
        <f t="shared" ref="R104" si="497">R105+Q104</f>
        <v>-15942575.414654557</v>
      </c>
      <c r="S104">
        <f t="shared" ref="S104" si="498">R104/100000</f>
        <v>-159.42575414654556</v>
      </c>
      <c r="T104">
        <f t="shared" ref="T104" si="499">S104/1000</f>
        <v>-0.15942575414654556</v>
      </c>
    </row>
    <row r="105" spans="1:20" x14ac:dyDescent="0.25">
      <c r="A105" s="5">
        <v>44488</v>
      </c>
      <c r="B105">
        <v>4.0810000000000004</v>
      </c>
      <c r="C105">
        <v>4.1379999999999999</v>
      </c>
      <c r="D105">
        <v>3.98</v>
      </c>
      <c r="E105">
        <v>4.0190000000000001</v>
      </c>
      <c r="F105">
        <v>2695050.6</v>
      </c>
      <c r="G105">
        <v>4.0190000000000001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-0.50632911392404856</v>
      </c>
      <c r="Q105">
        <f t="shared" ref="Q105" si="501">F105*P105</f>
        <v>-1364582.5822784754</v>
      </c>
      <c r="R105">
        <f t="shared" ref="R105" si="502">R106+Q105</f>
        <v>-18961363.722346868</v>
      </c>
      <c r="S105">
        <f t="shared" ref="S105" si="503">R105/100000</f>
        <v>-189.61363722346869</v>
      </c>
      <c r="T105">
        <f t="shared" ref="T105" si="504">S105/1000</f>
        <v>-0.18961363722346869</v>
      </c>
    </row>
    <row r="106" spans="1:20" x14ac:dyDescent="0.25">
      <c r="A106" s="5">
        <v>44487</v>
      </c>
      <c r="B106">
        <v>4.0999999999999996</v>
      </c>
      <c r="C106">
        <v>4.1769999999999996</v>
      </c>
      <c r="D106">
        <v>3.976</v>
      </c>
      <c r="E106">
        <v>4.0819999999999999</v>
      </c>
      <c r="F106">
        <v>2943127.9</v>
      </c>
      <c r="G106">
        <v>4.0819999999999999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5.4726368159204682E-2</v>
      </c>
      <c r="Q106">
        <f t="shared" ref="Q106" si="506">F106*P106</f>
        <v>161066.70099502694</v>
      </c>
      <c r="R106">
        <f t="shared" ref="R106" si="507">R107+Q106</f>
        <v>-17596781.140068393</v>
      </c>
      <c r="S106">
        <f t="shared" ref="S106" si="508">R106/100000</f>
        <v>-175.96781140068393</v>
      </c>
      <c r="T106">
        <f t="shared" ref="T106" si="509">S106/1000</f>
        <v>-0.17596781140068393</v>
      </c>
    </row>
    <row r="107" spans="1:20" x14ac:dyDescent="0.25">
      <c r="A107" s="5">
        <v>44486</v>
      </c>
      <c r="B107">
        <v>4.181</v>
      </c>
      <c r="C107">
        <v>4.2510000000000003</v>
      </c>
      <c r="D107">
        <v>4.0119999999999996</v>
      </c>
      <c r="E107">
        <v>4.0990000000000002</v>
      </c>
      <c r="F107">
        <v>2647051.2999999998</v>
      </c>
      <c r="G107">
        <v>4.0990000000000002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-0.27196652719664977</v>
      </c>
      <c r="Q107">
        <f t="shared" ref="Q107" si="511">F107*P107</f>
        <v>-719909.34937237704</v>
      </c>
      <c r="R107">
        <f t="shared" ref="R107" si="512">R108+Q107</f>
        <v>-17757847.841063421</v>
      </c>
      <c r="S107">
        <f t="shared" ref="S107" si="513">R107/100000</f>
        <v>-177.5784784106342</v>
      </c>
      <c r="T107">
        <f t="shared" ref="T107" si="514">S107/1000</f>
        <v>-0.17757847841063421</v>
      </c>
    </row>
    <row r="108" spans="1:20" x14ac:dyDescent="0.25">
      <c r="A108" s="5">
        <v>44485</v>
      </c>
      <c r="B108">
        <v>4.21</v>
      </c>
      <c r="C108">
        <v>4.3</v>
      </c>
      <c r="D108">
        <v>4.085</v>
      </c>
      <c r="E108">
        <v>4.18</v>
      </c>
      <c r="F108">
        <v>3257163.9</v>
      </c>
      <c r="G108">
        <v>4.18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-0.11627906976744359</v>
      </c>
      <c r="Q108">
        <f t="shared" ref="Q108" si="516">F108*P108</f>
        <v>-378739.98837209865</v>
      </c>
      <c r="R108">
        <f t="shared" ref="R108" si="517">R109+Q108</f>
        <v>-17037938.491691045</v>
      </c>
      <c r="S108">
        <f t="shared" ref="S108" si="518">R108/100000</f>
        <v>-170.37938491691045</v>
      </c>
      <c r="T108">
        <f t="shared" ref="T108" si="519">S108/1000</f>
        <v>-0.17037938491691046</v>
      </c>
    </row>
    <row r="109" spans="1:20" x14ac:dyDescent="0.25">
      <c r="A109" s="5">
        <v>44484</v>
      </c>
      <c r="B109">
        <v>4.3499999999999996</v>
      </c>
      <c r="C109">
        <v>4.3840000000000003</v>
      </c>
      <c r="D109">
        <v>4.1550000000000002</v>
      </c>
      <c r="E109">
        <v>4.21</v>
      </c>
      <c r="F109">
        <v>4641596.8</v>
      </c>
      <c r="G109">
        <v>4.21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-0.51965065502183672</v>
      </c>
      <c r="Q109">
        <f t="shared" ref="Q109" si="521">F109*P109</f>
        <v>-2412008.8174672611</v>
      </c>
      <c r="R109">
        <f t="shared" ref="R109" si="522">R110+Q109</f>
        <v>-16659198.503318945</v>
      </c>
      <c r="S109">
        <f t="shared" ref="S109" si="523">R109/100000</f>
        <v>-166.59198503318945</v>
      </c>
      <c r="T109">
        <f t="shared" ref="T109" si="524">S109/1000</f>
        <v>-0.16659198503318945</v>
      </c>
    </row>
    <row r="110" spans="1:20" x14ac:dyDescent="0.25">
      <c r="A110" s="5">
        <v>44483</v>
      </c>
      <c r="B110">
        <v>4.1779999999999999</v>
      </c>
      <c r="C110">
        <v>4.5199999999999996</v>
      </c>
      <c r="D110">
        <v>4.13</v>
      </c>
      <c r="E110">
        <v>4.3499999999999996</v>
      </c>
      <c r="F110">
        <v>5859098.7000000002</v>
      </c>
      <c r="G110">
        <v>4.3499999999999996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0.12820512820512786</v>
      </c>
      <c r="Q110">
        <f t="shared" ref="Q110" si="526">F110*P110</f>
        <v>751166.49999999802</v>
      </c>
      <c r="R110">
        <f t="shared" ref="R110" si="527">R111+Q110</f>
        <v>-14247189.685851684</v>
      </c>
      <c r="S110">
        <f t="shared" ref="S110" si="528">R110/100000</f>
        <v>-142.47189685851683</v>
      </c>
      <c r="T110">
        <f t="shared" ref="T110" si="529">S110/1000</f>
        <v>-0.14247189685851683</v>
      </c>
    </row>
    <row r="111" spans="1:20" x14ac:dyDescent="0.25">
      <c r="A111" s="5">
        <v>44482</v>
      </c>
      <c r="B111">
        <v>4.1719999999999997</v>
      </c>
      <c r="C111">
        <v>4.2679999999999998</v>
      </c>
      <c r="D111">
        <v>4.0330000000000004</v>
      </c>
      <c r="E111">
        <v>4.18</v>
      </c>
      <c r="F111">
        <v>3385652.2</v>
      </c>
      <c r="G111">
        <v>4.18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0.25106382978723157</v>
      </c>
      <c r="Q111">
        <f t="shared" ref="Q111" si="531">F111*P111</f>
        <v>850014.80765956617</v>
      </c>
      <c r="R111">
        <f t="shared" ref="R111" si="532">R112+Q111</f>
        <v>-14998356.185851682</v>
      </c>
      <c r="S111">
        <f t="shared" ref="S111" si="533">R111/100000</f>
        <v>-149.98356185851682</v>
      </c>
      <c r="T111">
        <f t="shared" ref="T111" si="534">S111/1000</f>
        <v>-0.14998356185851683</v>
      </c>
    </row>
    <row r="112" spans="1:20" x14ac:dyDescent="0.25">
      <c r="A112" s="5">
        <v>44481</v>
      </c>
      <c r="B112">
        <v>4.2060000000000004</v>
      </c>
      <c r="C112">
        <v>4.319</v>
      </c>
      <c r="D112">
        <v>3.95</v>
      </c>
      <c r="E112">
        <v>4.1790000000000003</v>
      </c>
      <c r="F112">
        <v>4419028.3</v>
      </c>
      <c r="G112">
        <v>4.1790000000000003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0.2411924119241205</v>
      </c>
      <c r="Q112">
        <f t="shared" ref="Q112" si="536">F112*P112</f>
        <v>1065836.0940379458</v>
      </c>
      <c r="R112">
        <f t="shared" ref="R112" si="537">R113+Q112</f>
        <v>-15848370.993511248</v>
      </c>
      <c r="S112">
        <f t="shared" ref="S112" si="538">R112/100000</f>
        <v>-158.48370993511247</v>
      </c>
      <c r="T112">
        <f t="shared" ref="T112" si="539">S112/1000</f>
        <v>-0.15848370993511246</v>
      </c>
    </row>
    <row r="113" spans="1:20" x14ac:dyDescent="0.25">
      <c r="A113" s="5">
        <v>44480</v>
      </c>
      <c r="B113">
        <v>4.157</v>
      </c>
      <c r="C113">
        <v>4.58</v>
      </c>
      <c r="D113">
        <v>4.0640000000000001</v>
      </c>
      <c r="E113">
        <v>4.2039999999999997</v>
      </c>
      <c r="F113">
        <v>7446411.2000000002</v>
      </c>
      <c r="G113">
        <v>4.2039999999999997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-0.45736434108527257</v>
      </c>
      <c r="Q113">
        <f t="shared" ref="Q113" si="541">F113*P113</f>
        <v>-3405722.951937994</v>
      </c>
      <c r="R113">
        <f t="shared" ref="R113" si="542">R114+Q113</f>
        <v>-16914207.087549195</v>
      </c>
      <c r="S113">
        <f t="shared" ref="S113" si="543">R113/100000</f>
        <v>-169.14207087549195</v>
      </c>
      <c r="T113">
        <f t="shared" ref="T113" si="544">S113/1000</f>
        <v>-0.16914207087549196</v>
      </c>
    </row>
    <row r="114" spans="1:20" x14ac:dyDescent="0.25">
      <c r="A114" s="5">
        <v>44479</v>
      </c>
      <c r="B114">
        <v>4.4509999999999996</v>
      </c>
      <c r="C114">
        <v>4.4889999999999999</v>
      </c>
      <c r="D114">
        <v>4.1289999999999996</v>
      </c>
      <c r="E114">
        <v>4.157</v>
      </c>
      <c r="F114">
        <v>4249260.5</v>
      </c>
      <c r="G114">
        <v>4.157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-0.844444444444442</v>
      </c>
      <c r="Q114">
        <f t="shared" ref="Q114" si="546">F114*P114</f>
        <v>-3588264.422222212</v>
      </c>
      <c r="R114">
        <f t="shared" ref="R114" si="547">R115+Q114</f>
        <v>-13508484.135611199</v>
      </c>
      <c r="S114">
        <f t="shared" ref="S114" si="548">R114/100000</f>
        <v>-135.08484135611198</v>
      </c>
      <c r="T114">
        <f t="shared" ref="T114" si="549">S114/1000</f>
        <v>-0.13508484135611198</v>
      </c>
    </row>
    <row r="115" spans="1:20" x14ac:dyDescent="0.25">
      <c r="A115" s="5">
        <v>44478</v>
      </c>
      <c r="B115">
        <v>4.5069999999999997</v>
      </c>
      <c r="C115">
        <v>4.6500000000000004</v>
      </c>
      <c r="D115">
        <v>4.3520000000000003</v>
      </c>
      <c r="E115">
        <v>4.4509999999999996</v>
      </c>
      <c r="F115">
        <v>7759804.7999999998</v>
      </c>
      <c r="G115">
        <v>4.4509999999999996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-0.33557046979866245</v>
      </c>
      <c r="Q115">
        <f t="shared" ref="Q115" si="551">F115*P115</f>
        <v>-2603961.3422819157</v>
      </c>
      <c r="R115">
        <f t="shared" ref="R115" si="552">R116+Q115</f>
        <v>-9920219.7133889869</v>
      </c>
      <c r="S115">
        <f t="shared" ref="S115" si="553">R115/100000</f>
        <v>-99.202197133889868</v>
      </c>
      <c r="T115">
        <f t="shared" ref="T115" si="554">S115/1000</f>
        <v>-9.9202197133889863E-2</v>
      </c>
    </row>
    <row r="116" spans="1:20" x14ac:dyDescent="0.25">
      <c r="A116" s="5">
        <v>44477</v>
      </c>
      <c r="B116">
        <v>4.5860000000000003</v>
      </c>
      <c r="C116">
        <v>4.7329999999999997</v>
      </c>
      <c r="D116">
        <v>4.46</v>
      </c>
      <c r="E116">
        <v>4.5049999999999999</v>
      </c>
      <c r="F116">
        <v>4767210.9000000004</v>
      </c>
      <c r="G116">
        <v>4.5049999999999999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-0.6703296703296705</v>
      </c>
      <c r="Q116">
        <f t="shared" ref="Q116" si="556">F116*P116</f>
        <v>-3195602.9109890121</v>
      </c>
      <c r="R116">
        <f t="shared" ref="R116" si="557">R117+Q116</f>
        <v>-7316258.3711070716</v>
      </c>
      <c r="S116">
        <f t="shared" ref="S116" si="558">R116/100000</f>
        <v>-73.16258371107071</v>
      </c>
      <c r="T116">
        <f t="shared" ref="T116" si="559">S116/1000</f>
        <v>-7.3162583711070706E-2</v>
      </c>
    </row>
    <row r="117" spans="1:20" x14ac:dyDescent="0.25">
      <c r="A117" s="5">
        <v>44476</v>
      </c>
      <c r="B117">
        <v>4.5730000000000004</v>
      </c>
      <c r="C117">
        <v>4.8099999999999996</v>
      </c>
      <c r="D117">
        <v>4.4880000000000004</v>
      </c>
      <c r="E117">
        <v>4.59</v>
      </c>
      <c r="F117">
        <v>5525000.5999999996</v>
      </c>
      <c r="G117">
        <v>4.59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-0.36645962732919451</v>
      </c>
      <c r="Q117">
        <f t="shared" ref="Q117" si="561">F117*P117</f>
        <v>-2024689.660869576</v>
      </c>
      <c r="R117">
        <f t="shared" ref="R117" si="562">R118+Q117</f>
        <v>-4120655.4601180591</v>
      </c>
      <c r="S117">
        <f t="shared" ref="S117" si="563">R117/100000</f>
        <v>-41.206554601180592</v>
      </c>
      <c r="T117">
        <f t="shared" ref="T117" si="564">S117/1000</f>
        <v>-4.1206554601180591E-2</v>
      </c>
    </row>
    <row r="118" spans="1:20" x14ac:dyDescent="0.25">
      <c r="A118" s="5">
        <v>44475</v>
      </c>
      <c r="B118">
        <v>4.6900000000000004</v>
      </c>
      <c r="C118">
        <v>4.8810000000000002</v>
      </c>
      <c r="D118">
        <v>4.3120000000000003</v>
      </c>
      <c r="E118">
        <v>4.5670000000000002</v>
      </c>
      <c r="F118">
        <v>7276226.7000000002</v>
      </c>
      <c r="G118">
        <v>4.5670000000000002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-0.10369068541300556</v>
      </c>
      <c r="Q118">
        <f t="shared" ref="Q118" si="566">F118*P118</f>
        <v>-754476.93374341168</v>
      </c>
      <c r="R118">
        <f t="shared" ref="R118" si="567">R119+Q118</f>
        <v>-2095965.799248483</v>
      </c>
      <c r="S118">
        <f t="shared" ref="S118" si="568">R118/100000</f>
        <v>-20.959657992484832</v>
      </c>
      <c r="T118">
        <f t="shared" ref="T118" si="569">S118/1000</f>
        <v>-2.0959657992484833E-2</v>
      </c>
    </row>
    <row r="119" spans="1:20" x14ac:dyDescent="0.25">
      <c r="A119" s="5">
        <v>44474</v>
      </c>
      <c r="B119">
        <v>4.2939999999999996</v>
      </c>
      <c r="C119">
        <v>4.9420000000000002</v>
      </c>
      <c r="D119">
        <v>4.2699999999999996</v>
      </c>
      <c r="E119">
        <v>4.6900000000000004</v>
      </c>
      <c r="F119">
        <v>12230274.4</v>
      </c>
      <c r="G119">
        <v>4.6900000000000004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0.25000000000000133</v>
      </c>
      <c r="Q119">
        <f t="shared" ref="Q119" si="571">F119*P119</f>
        <v>3057568.6000000164</v>
      </c>
      <c r="R119">
        <f t="shared" ref="R119" si="572">R120+Q119</f>
        <v>-1341488.8655050714</v>
      </c>
      <c r="S119">
        <f t="shared" ref="S119" si="573">R119/100000</f>
        <v>-13.414888655050714</v>
      </c>
      <c r="T119">
        <f t="shared" ref="T119" si="574">S119/1000</f>
        <v>-1.3414888655050713E-2</v>
      </c>
    </row>
    <row r="120" spans="1:20" x14ac:dyDescent="0.25">
      <c r="A120" s="5">
        <v>44473</v>
      </c>
      <c r="B120">
        <v>4.5010000000000003</v>
      </c>
      <c r="C120">
        <v>4.5090000000000003</v>
      </c>
      <c r="D120">
        <v>4.218</v>
      </c>
      <c r="E120">
        <v>4.29</v>
      </c>
      <c r="F120">
        <v>5769911.5</v>
      </c>
      <c r="G120">
        <v>4.29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-0.50515463917525794</v>
      </c>
      <c r="Q120">
        <f t="shared" ref="Q120" si="576">F120*P120</f>
        <v>-2914697.5618556715</v>
      </c>
      <c r="R120">
        <f t="shared" ref="R120" si="577">R121+Q120</f>
        <v>-4399057.4655050877</v>
      </c>
      <c r="S120">
        <f t="shared" ref="S120" si="578">R120/100000</f>
        <v>-43.990574655050878</v>
      </c>
      <c r="T120">
        <f t="shared" ref="T120" si="579">S120/1000</f>
        <v>-4.3990574655050879E-2</v>
      </c>
    </row>
    <row r="121" spans="1:20" x14ac:dyDescent="0.25">
      <c r="A121" s="5">
        <v>44472</v>
      </c>
      <c r="B121">
        <v>4.46</v>
      </c>
      <c r="C121">
        <v>4.6479999999999997</v>
      </c>
      <c r="D121">
        <v>4.3339999999999996</v>
      </c>
      <c r="E121">
        <v>4.4859999999999998</v>
      </c>
      <c r="F121">
        <v>4948592</v>
      </c>
      <c r="G121">
        <v>4.4859999999999998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-3.1847133757961096E-2</v>
      </c>
      <c r="Q121">
        <f t="shared" ref="Q121" si="581">F121*P121</f>
        <v>-157598.47133757622</v>
      </c>
      <c r="R121">
        <f t="shared" ref="R121" si="582">R122+Q121</f>
        <v>-1484359.9036494165</v>
      </c>
      <c r="S121">
        <f t="shared" ref="S121" si="583">R121/100000</f>
        <v>-14.843599036494165</v>
      </c>
      <c r="T121">
        <f t="shared" ref="T121" si="584">S121/1000</f>
        <v>-1.4843599036494166E-2</v>
      </c>
    </row>
    <row r="122" spans="1:20" x14ac:dyDescent="0.25">
      <c r="A122" s="5">
        <v>44471</v>
      </c>
      <c r="B122">
        <v>4.5449999999999999</v>
      </c>
      <c r="C122">
        <v>4.6719999999999997</v>
      </c>
      <c r="D122">
        <v>4.42</v>
      </c>
      <c r="E122">
        <v>4.46</v>
      </c>
      <c r="F122">
        <v>5206486.8</v>
      </c>
      <c r="G122">
        <v>4.46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-0.682539682539682</v>
      </c>
      <c r="Q122">
        <f t="shared" ref="Q122" si="586">F122*P122</f>
        <v>-3553633.8476190446</v>
      </c>
      <c r="R122">
        <f t="shared" ref="R122" si="587">R123+Q122</f>
        <v>-1326761.4323118404</v>
      </c>
      <c r="S122">
        <f t="shared" ref="S122" si="588">R122/100000</f>
        <v>-13.267614323118403</v>
      </c>
      <c r="T122">
        <f t="shared" ref="T122" si="589">S122/1000</f>
        <v>-1.3267614323118402E-2</v>
      </c>
    </row>
    <row r="123" spans="1:20" x14ac:dyDescent="0.25">
      <c r="A123" s="5">
        <v>44470</v>
      </c>
      <c r="B123">
        <v>4.0609999999999999</v>
      </c>
      <c r="C123">
        <v>4.6500000000000004</v>
      </c>
      <c r="D123">
        <v>4.0140000000000002</v>
      </c>
      <c r="E123">
        <v>4.5380000000000003</v>
      </c>
      <c r="F123">
        <v>10568526.800000001</v>
      </c>
      <c r="G123">
        <v>4.5380000000000003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0.64779874213836453</v>
      </c>
      <c r="Q123">
        <f t="shared" ref="Q123" si="591">F123*P123</f>
        <v>6846278.3672955949</v>
      </c>
      <c r="R123">
        <f t="shared" ref="R123" si="592">R124+Q123</f>
        <v>2226872.4153072042</v>
      </c>
      <c r="S123">
        <f t="shared" ref="S123" si="593">R123/100000</f>
        <v>22.268724153072043</v>
      </c>
      <c r="T123">
        <f t="shared" ref="T123" si="594">S123/1000</f>
        <v>2.2268724153072041E-2</v>
      </c>
    </row>
    <row r="124" spans="1:20" x14ac:dyDescent="0.25">
      <c r="A124" s="5">
        <v>44469</v>
      </c>
      <c r="B124">
        <v>3.9809999999999999</v>
      </c>
      <c r="C124">
        <v>4.149</v>
      </c>
      <c r="D124">
        <v>3.9340000000000002</v>
      </c>
      <c r="E124">
        <v>4.0670000000000002</v>
      </c>
      <c r="F124">
        <v>5715176.0999999996</v>
      </c>
      <c r="G124">
        <v>4.0670000000000002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0.23720930232558227</v>
      </c>
      <c r="Q124">
        <f t="shared" ref="Q124" si="596">F124*P124</f>
        <v>1355692.9353488421</v>
      </c>
      <c r="R124">
        <f t="shared" ref="R124" si="597">R125+Q124</f>
        <v>-4619405.9519883906</v>
      </c>
      <c r="S124">
        <f t="shared" ref="S124" si="598">R124/100000</f>
        <v>-46.194059519883908</v>
      </c>
      <c r="T124">
        <f t="shared" ref="T124" si="599">S124/1000</f>
        <v>-4.6194059519883909E-2</v>
      </c>
    </row>
    <row r="125" spans="1:20" x14ac:dyDescent="0.25">
      <c r="A125" s="5">
        <v>44468</v>
      </c>
      <c r="B125">
        <v>3.952</v>
      </c>
      <c r="C125">
        <v>4.25</v>
      </c>
      <c r="D125">
        <v>3.89</v>
      </c>
      <c r="E125">
        <v>3.9820000000000002</v>
      </c>
      <c r="F125">
        <v>6197806.2999999998</v>
      </c>
      <c r="G125">
        <v>3.9820000000000002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-0.48888888888888826</v>
      </c>
      <c r="Q125">
        <f t="shared" ref="Q125" si="601">F125*P125</f>
        <v>-3030038.6355555514</v>
      </c>
      <c r="R125">
        <f t="shared" ref="R125" si="602">R126+Q125</f>
        <v>-5975098.8873372329</v>
      </c>
      <c r="S125">
        <f t="shared" ref="S125" si="603">R125/100000</f>
        <v>-59.750988873372329</v>
      </c>
      <c r="T125">
        <f t="shared" ref="T125" si="604">S125/1000</f>
        <v>-5.9750988873372331E-2</v>
      </c>
    </row>
    <row r="126" spans="1:20" x14ac:dyDescent="0.25">
      <c r="A126" s="5">
        <v>44467</v>
      </c>
      <c r="B126">
        <v>4.1260000000000003</v>
      </c>
      <c r="C126">
        <v>4.2300000000000004</v>
      </c>
      <c r="D126">
        <v>3.8809999999999998</v>
      </c>
      <c r="E126">
        <v>3.9470000000000001</v>
      </c>
      <c r="F126">
        <v>6858812.2999999998</v>
      </c>
      <c r="G126">
        <v>3.9470000000000001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-0.62177650429799336</v>
      </c>
      <c r="Q126">
        <f t="shared" ref="Q126" si="606">F126*P126</f>
        <v>-4264648.3355300799</v>
      </c>
      <c r="R126">
        <f t="shared" ref="R126" si="607">R127+Q126</f>
        <v>-2945060.2517816816</v>
      </c>
      <c r="S126">
        <f t="shared" ref="S126" si="608">R126/100000</f>
        <v>-29.450602517816815</v>
      </c>
      <c r="T126">
        <f t="shared" ref="T126" si="609">S126/1000</f>
        <v>-2.9450602517816817E-2</v>
      </c>
    </row>
    <row r="127" spans="1:20" x14ac:dyDescent="0.25">
      <c r="A127" s="5">
        <v>44466</v>
      </c>
      <c r="B127">
        <v>4.3949999999999996</v>
      </c>
      <c r="C127">
        <v>4.6989999999999998</v>
      </c>
      <c r="D127">
        <v>4.125</v>
      </c>
      <c r="E127">
        <v>4.1260000000000003</v>
      </c>
      <c r="F127">
        <v>8876279.3000000007</v>
      </c>
      <c r="G127">
        <v>4.1260000000000003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-0.99651567944250752</v>
      </c>
      <c r="Q127">
        <f t="shared" ref="Q127" si="611">F127*P127</f>
        <v>-8845351.4975609649</v>
      </c>
      <c r="R127">
        <f t="shared" ref="R127" si="612">R128+Q127</f>
        <v>1319588.0837483983</v>
      </c>
      <c r="S127">
        <f t="shared" ref="S127" si="613">R127/100000</f>
        <v>13.195880837483983</v>
      </c>
      <c r="T127">
        <f t="shared" ref="T127" si="614">S127/1000</f>
        <v>1.3195880837483983E-2</v>
      </c>
    </row>
    <row r="128" spans="1:20" x14ac:dyDescent="0.25">
      <c r="A128" s="5">
        <v>44465</v>
      </c>
      <c r="B128">
        <v>4.1280000000000001</v>
      </c>
      <c r="C128">
        <v>4.7699999999999996</v>
      </c>
      <c r="D128">
        <v>3.75</v>
      </c>
      <c r="E128">
        <v>4.3940000000000001</v>
      </c>
      <c r="F128">
        <v>13716686.9</v>
      </c>
      <c r="G128">
        <v>4.3940000000000001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0.26274509803921647</v>
      </c>
      <c r="Q128">
        <f t="shared" ref="Q128" si="616">F128*P128</f>
        <v>3603992.2443137364</v>
      </c>
      <c r="R128">
        <f t="shared" ref="R128" si="617">R129+Q128</f>
        <v>10164939.581309363</v>
      </c>
      <c r="S128">
        <f t="shared" ref="S128" si="618">R128/100000</f>
        <v>101.64939581309363</v>
      </c>
      <c r="T128">
        <f t="shared" ref="T128" si="619">S128/1000</f>
        <v>0.10164939581309364</v>
      </c>
    </row>
    <row r="129" spans="1:20" x14ac:dyDescent="0.25">
      <c r="A129" s="5">
        <v>44464</v>
      </c>
      <c r="B129">
        <v>4.26</v>
      </c>
      <c r="C129">
        <v>4.3390000000000004</v>
      </c>
      <c r="D129">
        <v>4.08</v>
      </c>
      <c r="E129">
        <v>4.13</v>
      </c>
      <c r="F129">
        <v>5326033.4000000004</v>
      </c>
      <c r="G129">
        <v>4.13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-0.61389961389961578</v>
      </c>
      <c r="Q129">
        <f t="shared" ref="Q129" si="621">F129*P129</f>
        <v>-3269649.847876458</v>
      </c>
      <c r="R129">
        <f t="shared" ref="R129" si="622">R130+Q129</f>
        <v>6560947.3369956259</v>
      </c>
      <c r="S129">
        <f t="shared" ref="S129" si="623">R129/100000</f>
        <v>65.609473369956262</v>
      </c>
      <c r="T129">
        <f t="shared" ref="T129" si="624">S129/1000</f>
        <v>6.5609473369956262E-2</v>
      </c>
    </row>
    <row r="130" spans="1:20" x14ac:dyDescent="0.25">
      <c r="A130" s="5">
        <v>44463</v>
      </c>
      <c r="B130">
        <v>4.8109999999999999</v>
      </c>
      <c r="C130">
        <v>4.8120000000000003</v>
      </c>
      <c r="D130">
        <v>4.0010000000000003</v>
      </c>
      <c r="E130">
        <v>4.26</v>
      </c>
      <c r="F130">
        <v>11791920.1</v>
      </c>
      <c r="G130">
        <v>4.26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-0.36128236744759684</v>
      </c>
      <c r="Q130">
        <f t="shared" ref="Q130" si="626">F130*P130</f>
        <v>-4260212.8104809029</v>
      </c>
      <c r="R130">
        <f t="shared" ref="R130" si="627">R131+Q130</f>
        <v>9830597.1848720834</v>
      </c>
      <c r="S130">
        <f t="shared" ref="S130" si="628">R130/100000</f>
        <v>98.30597184872083</v>
      </c>
      <c r="T130">
        <f t="shared" ref="T130" si="629">S130/1000</f>
        <v>9.8305971848720836E-2</v>
      </c>
    </row>
    <row r="131" spans="1:20" x14ac:dyDescent="0.25">
      <c r="A131" s="5">
        <v>44462</v>
      </c>
      <c r="B131">
        <v>4.7169999999999996</v>
      </c>
      <c r="C131">
        <v>4.9580000000000002</v>
      </c>
      <c r="D131">
        <v>4.5309999999999997</v>
      </c>
      <c r="E131">
        <v>4.8079999999999998</v>
      </c>
      <c r="F131">
        <v>9377536.3000000007</v>
      </c>
      <c r="G131">
        <v>4.8079999999999998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0.29742388758782118</v>
      </c>
      <c r="Q131">
        <f t="shared" ref="Q131" si="631">F131*P131</f>
        <v>2789103.3023419129</v>
      </c>
      <c r="R131">
        <f t="shared" ref="R131" si="632">R132+Q131</f>
        <v>14090809.995352987</v>
      </c>
      <c r="S131">
        <f t="shared" ref="S131" si="633">R131/100000</f>
        <v>140.90809995352987</v>
      </c>
      <c r="T131">
        <f t="shared" ref="T131" si="634">S131/1000</f>
        <v>0.14090809995352988</v>
      </c>
    </row>
    <row r="132" spans="1:20" x14ac:dyDescent="0.25">
      <c r="A132" s="5">
        <v>44461</v>
      </c>
      <c r="B132">
        <v>4.2119999999999997</v>
      </c>
      <c r="C132">
        <v>4.95</v>
      </c>
      <c r="D132">
        <v>4.1710000000000003</v>
      </c>
      <c r="E132">
        <v>4.7190000000000003</v>
      </c>
      <c r="F132">
        <v>10549241.800000001</v>
      </c>
      <c r="G132">
        <v>4.7190000000000003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0.40693196405648291</v>
      </c>
      <c r="Q132">
        <f t="shared" ref="Q132" si="636">F132*P132</f>
        <v>4292823.6849807473</v>
      </c>
      <c r="R132">
        <f t="shared" ref="R132" si="637">R133+Q132</f>
        <v>11301706.693011075</v>
      </c>
      <c r="S132">
        <f t="shared" ref="S132" si="638">R132/100000</f>
        <v>113.01706693011076</v>
      </c>
      <c r="T132">
        <f t="shared" ref="T132" si="639">S132/1000</f>
        <v>0.11301706693011075</v>
      </c>
    </row>
    <row r="133" spans="1:20" x14ac:dyDescent="0.25">
      <c r="A133" s="5">
        <v>44460</v>
      </c>
      <c r="B133">
        <v>4.5279999999999996</v>
      </c>
      <c r="C133">
        <v>4.9660000000000002</v>
      </c>
      <c r="D133">
        <v>4.1420000000000003</v>
      </c>
      <c r="E133">
        <v>4.2160000000000002</v>
      </c>
      <c r="F133">
        <v>15451990.6</v>
      </c>
      <c r="G133">
        <v>4.2160000000000002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-0.82038834951456341</v>
      </c>
      <c r="Q133">
        <f t="shared" ref="Q133" si="641">F133*P133</f>
        <v>-12676633.065048547</v>
      </c>
      <c r="R133">
        <f t="shared" ref="R133" si="642">R134+Q133</f>
        <v>7008883.008030327</v>
      </c>
      <c r="S133">
        <f t="shared" ref="S133" si="643">R133/100000</f>
        <v>70.088830080303268</v>
      </c>
      <c r="T133">
        <f t="shared" ref="T133" si="644">S133/1000</f>
        <v>7.0088830080303269E-2</v>
      </c>
    </row>
    <row r="134" spans="1:20" x14ac:dyDescent="0.25">
      <c r="A134" s="5">
        <v>44459</v>
      </c>
      <c r="B134">
        <v>5.3789999999999996</v>
      </c>
      <c r="C134">
        <v>5.3959999999999999</v>
      </c>
      <c r="D134">
        <v>4.68</v>
      </c>
      <c r="E134">
        <v>4.8259999999999996</v>
      </c>
      <c r="F134">
        <v>6513119.2000000002</v>
      </c>
      <c r="G134">
        <v>4.8259999999999996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-0.59217877094972105</v>
      </c>
      <c r="Q134">
        <f t="shared" ref="Q134" si="646">F134*P134</f>
        <v>-3856930.9229050307</v>
      </c>
      <c r="R134">
        <f t="shared" ref="R134" si="647">R135+Q134</f>
        <v>19685516.073078874</v>
      </c>
      <c r="S134">
        <f t="shared" ref="S134" si="648">R134/100000</f>
        <v>196.85516073078875</v>
      </c>
      <c r="T134">
        <f t="shared" ref="T134" si="649">S134/1000</f>
        <v>0.19685516073078876</v>
      </c>
    </row>
    <row r="135" spans="1:20" x14ac:dyDescent="0.25">
      <c r="A135" s="5">
        <v>44458</v>
      </c>
      <c r="B135">
        <v>5.2889999999999997</v>
      </c>
      <c r="C135">
        <v>5.6970000000000001</v>
      </c>
      <c r="D135">
        <v>5.08</v>
      </c>
      <c r="E135">
        <v>5.3810000000000002</v>
      </c>
      <c r="F135">
        <v>8255865.7999999998</v>
      </c>
      <c r="G135">
        <v>5.3810000000000002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-2.4311183144245834E-2</v>
      </c>
      <c r="Q135">
        <f t="shared" ref="Q135" si="651">F135*P135</f>
        <v>-200709.86547811565</v>
      </c>
      <c r="R135">
        <f t="shared" ref="R135" si="652">R136+Q135</f>
        <v>23542446.995983906</v>
      </c>
      <c r="S135">
        <f t="shared" ref="S135" si="653">R135/100000</f>
        <v>235.42446995983906</v>
      </c>
      <c r="T135">
        <f t="shared" ref="T135" si="654">S135/1000</f>
        <v>0.23542446995983907</v>
      </c>
    </row>
    <row r="136" spans="1:20" x14ac:dyDescent="0.25">
      <c r="A136" s="5">
        <v>44457</v>
      </c>
      <c r="B136">
        <v>5.1820000000000004</v>
      </c>
      <c r="C136">
        <v>5.7</v>
      </c>
      <c r="D136">
        <v>5.0179999999999998</v>
      </c>
      <c r="E136">
        <v>5.2830000000000004</v>
      </c>
      <c r="F136">
        <v>8013334.7999999998</v>
      </c>
      <c r="G136">
        <v>5.2830000000000004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-0.22287390029325391</v>
      </c>
      <c r="Q136">
        <f t="shared" ref="Q136" si="656">F136*P136</f>
        <v>-1785963.1812316617</v>
      </c>
      <c r="R136">
        <f t="shared" ref="R136" si="657">R137+Q136</f>
        <v>23743156.861462023</v>
      </c>
      <c r="S136">
        <f t="shared" ref="S136" si="658">R136/100000</f>
        <v>237.43156861462023</v>
      </c>
      <c r="T136">
        <f t="shared" ref="T136" si="659">S136/1000</f>
        <v>0.23743156861462023</v>
      </c>
    </row>
    <row r="137" spans="1:20" x14ac:dyDescent="0.25">
      <c r="A137" s="5">
        <v>44456</v>
      </c>
      <c r="B137">
        <v>5.6719999999999997</v>
      </c>
      <c r="C137">
        <v>5.96</v>
      </c>
      <c r="D137">
        <v>5.149</v>
      </c>
      <c r="E137">
        <v>5.1760000000000002</v>
      </c>
      <c r="F137">
        <v>7965415.4000000004</v>
      </c>
      <c r="G137">
        <v>5.1760000000000002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-0.93341553637484553</v>
      </c>
      <c r="Q137">
        <f t="shared" ref="Q137" si="661">F137*P137</f>
        <v>-7435042.4880394554</v>
      </c>
      <c r="R137">
        <f t="shared" ref="R137" si="662">R138+Q137</f>
        <v>25529120.042693686</v>
      </c>
      <c r="S137">
        <f t="shared" ref="S137" si="663">R137/100000</f>
        <v>255.29120042693685</v>
      </c>
      <c r="T137">
        <f t="shared" ref="T137" si="664">S137/1000</f>
        <v>0.25529120042693687</v>
      </c>
    </row>
    <row r="138" spans="1:20" x14ac:dyDescent="0.25">
      <c r="A138" s="5">
        <v>44455</v>
      </c>
      <c r="B138">
        <v>5.9580000000000002</v>
      </c>
      <c r="C138">
        <v>6</v>
      </c>
      <c r="D138">
        <v>5.4560000000000004</v>
      </c>
      <c r="E138">
        <v>5.6760000000000002</v>
      </c>
      <c r="F138">
        <v>8764474.3000000007</v>
      </c>
      <c r="G138">
        <v>5.6760000000000002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-0.19117647058823561</v>
      </c>
      <c r="Q138">
        <f t="shared" ref="Q138" si="666">F138*P138</f>
        <v>-1675561.2632352971</v>
      </c>
      <c r="R138">
        <f t="shared" ref="R138" si="667">R139+Q138</f>
        <v>32964162.530733142</v>
      </c>
      <c r="S138">
        <f t="shared" ref="S138" si="668">R138/100000</f>
        <v>329.64162530733142</v>
      </c>
      <c r="T138">
        <f t="shared" ref="T138" si="669">S138/1000</f>
        <v>0.32964162530733143</v>
      </c>
    </row>
    <row r="139" spans="1:20" x14ac:dyDescent="0.25">
      <c r="A139" s="5">
        <v>44454</v>
      </c>
      <c r="B139">
        <v>6.157</v>
      </c>
      <c r="C139">
        <v>6.1909999999999998</v>
      </c>
      <c r="D139">
        <v>5.61</v>
      </c>
      <c r="E139">
        <v>5.9550000000000001</v>
      </c>
      <c r="F139">
        <v>12004244</v>
      </c>
      <c r="G139">
        <v>5.9550000000000001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0.18760757314974197</v>
      </c>
      <c r="Q139">
        <f t="shared" ref="Q139" si="671">F139*P139</f>
        <v>2252087.0843373509</v>
      </c>
      <c r="R139">
        <f t="shared" ref="R139" si="672">R140+Q139</f>
        <v>34639723.793968439</v>
      </c>
      <c r="S139">
        <f t="shared" ref="S139" si="673">R139/100000</f>
        <v>346.39723793968437</v>
      </c>
      <c r="T139">
        <f t="shared" ref="T139" si="674">S139/1000</f>
        <v>0.34639723793968435</v>
      </c>
    </row>
    <row r="140" spans="1:20" x14ac:dyDescent="0.25">
      <c r="A140" s="5">
        <v>44453</v>
      </c>
      <c r="B140">
        <v>5.7910000000000004</v>
      </c>
      <c r="C140">
        <v>6.4950000000000001</v>
      </c>
      <c r="D140">
        <v>5.665</v>
      </c>
      <c r="E140">
        <v>6.1580000000000004</v>
      </c>
      <c r="F140">
        <v>25709511.100000001</v>
      </c>
      <c r="G140">
        <v>6.1580000000000004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0.18795180722891636</v>
      </c>
      <c r="Q140">
        <f t="shared" ref="Q140" si="676">F140*P140</f>
        <v>4832149.0742168855</v>
      </c>
      <c r="R140">
        <f t="shared" ref="R140" si="677">R141+Q140</f>
        <v>32387636.709631085</v>
      </c>
      <c r="S140">
        <f t="shared" ref="S140" si="678">R140/100000</f>
        <v>323.87636709631084</v>
      </c>
      <c r="T140">
        <f t="shared" ref="T140" si="679">S140/1000</f>
        <v>0.32387636709631085</v>
      </c>
    </row>
    <row r="141" spans="1:20" x14ac:dyDescent="0.25">
      <c r="A141" s="5">
        <v>44452</v>
      </c>
      <c r="B141">
        <v>5.1420000000000003</v>
      </c>
      <c r="C141">
        <v>6.1</v>
      </c>
      <c r="D141">
        <v>4.5019999999999998</v>
      </c>
      <c r="E141">
        <v>5.7930000000000001</v>
      </c>
      <c r="F141">
        <v>28374880.899999999</v>
      </c>
      <c r="G141">
        <v>5.7930000000000001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0.61576971214017584</v>
      </c>
      <c r="Q141">
        <f t="shared" ref="Q141" si="681">F141*P141</f>
        <v>17472392.243804771</v>
      </c>
      <c r="R141">
        <f t="shared" ref="R141" si="682">R142+Q141</f>
        <v>27555487.635414202</v>
      </c>
      <c r="S141">
        <f t="shared" ref="S141" si="683">R141/100000</f>
        <v>275.55487635414204</v>
      </c>
      <c r="T141">
        <f t="shared" ref="T141" si="684">S141/1000</f>
        <v>0.27555487635414205</v>
      </c>
    </row>
    <row r="142" spans="1:20" x14ac:dyDescent="0.25">
      <c r="A142" s="5">
        <v>44451</v>
      </c>
      <c r="B142">
        <v>5.226</v>
      </c>
      <c r="C142">
        <v>5.39</v>
      </c>
      <c r="D142">
        <v>4.9509999999999996</v>
      </c>
      <c r="E142">
        <v>5.1440000000000001</v>
      </c>
      <c r="F142">
        <v>9502120.6999999993</v>
      </c>
      <c r="G142">
        <v>5.1440000000000001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-0.12072892938496364</v>
      </c>
      <c r="Q142">
        <f t="shared" ref="Q142" si="686">F142*P142</f>
        <v>-1147180.8589977012</v>
      </c>
      <c r="R142">
        <f t="shared" ref="R142" si="687">R143+Q142</f>
        <v>10083095.39160943</v>
      </c>
      <c r="S142">
        <f t="shared" ref="S142" si="688">R142/100000</f>
        <v>100.8309539160943</v>
      </c>
      <c r="T142">
        <f t="shared" ref="T142" si="689">S142/1000</f>
        <v>0.1008309539160943</v>
      </c>
    </row>
    <row r="143" spans="1:20" x14ac:dyDescent="0.25">
      <c r="A143" s="5">
        <v>44450</v>
      </c>
      <c r="B143">
        <v>5.6550000000000002</v>
      </c>
      <c r="C143">
        <v>6.0780000000000003</v>
      </c>
      <c r="D143">
        <v>5.08</v>
      </c>
      <c r="E143">
        <v>5.226</v>
      </c>
      <c r="F143">
        <v>14618842.4</v>
      </c>
      <c r="G143">
        <v>5.226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-0.7074148296593189</v>
      </c>
      <c r="Q143">
        <f t="shared" ref="Q143" si="691">F143*P143</f>
        <v>-10341585.906212429</v>
      </c>
      <c r="R143">
        <f t="shared" ref="R143" si="692">R144+Q143</f>
        <v>11230276.250607131</v>
      </c>
      <c r="S143">
        <f t="shared" ref="S143" si="693">R143/100000</f>
        <v>112.3027625060713</v>
      </c>
      <c r="T143">
        <f t="shared" ref="T143" si="694">S143/1000</f>
        <v>0.11230276250607131</v>
      </c>
    </row>
    <row r="144" spans="1:20" x14ac:dyDescent="0.25">
      <c r="A144" s="5">
        <v>44449</v>
      </c>
      <c r="B144">
        <v>5.7679999999999998</v>
      </c>
      <c r="C144">
        <v>6.1929999999999996</v>
      </c>
      <c r="D144">
        <v>4.9000000000000004</v>
      </c>
      <c r="E144">
        <v>5.6550000000000002</v>
      </c>
      <c r="F144">
        <v>35258123.700000003</v>
      </c>
      <c r="G144">
        <v>5.6550000000000002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0.16782675947409176</v>
      </c>
      <c r="Q144">
        <f t="shared" ref="Q144" si="696">F144*P144</f>
        <v>5917256.6457076743</v>
      </c>
      <c r="R144">
        <f t="shared" ref="R144" si="697">R145+Q144</f>
        <v>21571862.15681956</v>
      </c>
      <c r="S144">
        <f t="shared" ref="S144" si="698">R144/100000</f>
        <v>215.7186215681956</v>
      </c>
      <c r="T144">
        <f t="shared" ref="T144" si="699">S144/1000</f>
        <v>0.2157186215681956</v>
      </c>
    </row>
    <row r="145" spans="1:20" x14ac:dyDescent="0.25">
      <c r="A145" s="5">
        <v>44448</v>
      </c>
      <c r="B145">
        <v>4.008</v>
      </c>
      <c r="C145">
        <v>5.86</v>
      </c>
      <c r="D145">
        <v>3.9329999999999998</v>
      </c>
      <c r="E145">
        <v>5.7670000000000003</v>
      </c>
      <c r="F145">
        <v>32573785.100000001</v>
      </c>
      <c r="G145">
        <v>5.7670000000000003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0.90347690710949669</v>
      </c>
      <c r="Q145">
        <f t="shared" ref="Q145" si="701">F145*P145</f>
        <v>29429662.614997409</v>
      </c>
      <c r="R145">
        <f t="shared" ref="R145" si="702">R146+Q145</f>
        <v>15654605.511111883</v>
      </c>
      <c r="S145">
        <f t="shared" ref="S145" si="703">R145/100000</f>
        <v>156.54605511111885</v>
      </c>
      <c r="T145">
        <f t="shared" ref="T145" si="704">S145/1000</f>
        <v>0.15654605511111885</v>
      </c>
    </row>
    <row r="146" spans="1:20" x14ac:dyDescent="0.25">
      <c r="A146" s="5">
        <v>44447</v>
      </c>
      <c r="B146">
        <v>3.7909999999999999</v>
      </c>
      <c r="C146">
        <v>4.2</v>
      </c>
      <c r="D146">
        <v>3.415</v>
      </c>
      <c r="E146">
        <v>4.0060000000000002</v>
      </c>
      <c r="F146">
        <v>14618244.5</v>
      </c>
      <c r="G146">
        <v>4.0060000000000002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0.50573248407643334</v>
      </c>
      <c r="Q146">
        <f t="shared" ref="Q146" si="706">F146*P146</f>
        <v>7392921.1038216595</v>
      </c>
      <c r="R146">
        <f t="shared" ref="R146" si="707">R147+Q146</f>
        <v>-13775057.103885526</v>
      </c>
      <c r="S146">
        <f t="shared" ref="S146" si="708">R146/100000</f>
        <v>-137.75057103885527</v>
      </c>
      <c r="T146">
        <f t="shared" ref="T146" si="709">S146/1000</f>
        <v>-0.13775057103885527</v>
      </c>
    </row>
    <row r="147" spans="1:20" x14ac:dyDescent="0.25">
      <c r="A147" s="5">
        <v>44446</v>
      </c>
      <c r="B147">
        <v>4.1289999999999996</v>
      </c>
      <c r="C147">
        <v>4.2960000000000003</v>
      </c>
      <c r="D147">
        <v>2.88</v>
      </c>
      <c r="E147">
        <v>3.7890000000000001</v>
      </c>
      <c r="F147">
        <v>16259696.300000001</v>
      </c>
      <c r="G147">
        <v>3.7890000000000001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0.28389830508474578</v>
      </c>
      <c r="Q147">
        <f t="shared" ref="Q147" si="711">F147*P147</f>
        <v>4616100.2207627119</v>
      </c>
      <c r="R147">
        <f t="shared" ref="R147" si="712">R148+Q147</f>
        <v>-21167978.207707185</v>
      </c>
      <c r="S147">
        <f t="shared" ref="S147" si="713">R147/100000</f>
        <v>-211.67978207707185</v>
      </c>
      <c r="T147">
        <f t="shared" ref="T147" si="714">S147/1000</f>
        <v>-0.21167978207707186</v>
      </c>
    </row>
    <row r="148" spans="1:20" x14ac:dyDescent="0.25">
      <c r="A148" s="5">
        <v>44445</v>
      </c>
      <c r="B148">
        <v>4.2439999999999998</v>
      </c>
      <c r="C148">
        <v>4.62</v>
      </c>
      <c r="D148">
        <v>4.008</v>
      </c>
      <c r="E148">
        <v>4.1289999999999996</v>
      </c>
      <c r="F148">
        <v>11017387.300000001</v>
      </c>
      <c r="G148">
        <v>4.1289999999999996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-0.60457516339869433</v>
      </c>
      <c r="Q148">
        <f t="shared" ref="Q148" si="716">F148*P148</f>
        <v>-6660838.7271242002</v>
      </c>
      <c r="R148">
        <f t="shared" ref="R148" si="717">R149+Q148</f>
        <v>-25784078.428469896</v>
      </c>
      <c r="S148">
        <f t="shared" ref="S148" si="718">R148/100000</f>
        <v>-257.84078428469894</v>
      </c>
      <c r="T148">
        <f t="shared" ref="T148" si="719">S148/1000</f>
        <v>-0.25784078428469892</v>
      </c>
    </row>
    <row r="149" spans="1:20" x14ac:dyDescent="0.25">
      <c r="A149" s="5">
        <v>44444</v>
      </c>
      <c r="B149">
        <v>3.7959999999999998</v>
      </c>
      <c r="C149">
        <v>4.4489999999999998</v>
      </c>
      <c r="D149">
        <v>3.76</v>
      </c>
      <c r="E149">
        <v>4.2469999999999999</v>
      </c>
      <c r="F149">
        <v>15187661.199999999</v>
      </c>
      <c r="G149">
        <v>4.2469999999999999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0.4136429608127723</v>
      </c>
      <c r="Q149">
        <f t="shared" ref="Q149" si="721">F149*P149</f>
        <v>6282269.1465892624</v>
      </c>
      <c r="R149">
        <f t="shared" ref="R149" si="722">R150+Q149</f>
        <v>-19123239.701345697</v>
      </c>
      <c r="S149">
        <f t="shared" ref="S149" si="723">R149/100000</f>
        <v>-191.23239701345696</v>
      </c>
      <c r="T149">
        <f t="shared" ref="T149" si="724">S149/1000</f>
        <v>-0.19123239701345696</v>
      </c>
    </row>
    <row r="150" spans="1:20" x14ac:dyDescent="0.25">
      <c r="A150" s="5">
        <v>44443</v>
      </c>
      <c r="B150">
        <v>3.8479999999999999</v>
      </c>
      <c r="C150">
        <v>4.12</v>
      </c>
      <c r="D150">
        <v>3.75</v>
      </c>
      <c r="E150">
        <v>3.7959999999999998</v>
      </c>
      <c r="F150">
        <v>9219745.8000000007</v>
      </c>
      <c r="G150">
        <v>3.7959999999999998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-0.75135135135135245</v>
      </c>
      <c r="Q150">
        <f t="shared" ref="Q150" si="726">F150*P150</f>
        <v>-6927268.4659459563</v>
      </c>
      <c r="R150">
        <f t="shared" ref="R150" si="727">R151+Q150</f>
        <v>-25405508.847934958</v>
      </c>
      <c r="S150">
        <f t="shared" ref="S150" si="728">R150/100000</f>
        <v>-254.05508847934956</v>
      </c>
      <c r="T150">
        <f t="shared" ref="T150" si="729">S150/1000</f>
        <v>-0.25405508847934954</v>
      </c>
    </row>
    <row r="151" spans="1:20" x14ac:dyDescent="0.25">
      <c r="A151" s="5">
        <v>44442</v>
      </c>
      <c r="B151">
        <v>3.956</v>
      </c>
      <c r="C151">
        <v>4.16</v>
      </c>
      <c r="D151">
        <v>3.7919999999999998</v>
      </c>
      <c r="E151">
        <v>3.8479999999999999</v>
      </c>
      <c r="F151">
        <v>12027998.300000001</v>
      </c>
      <c r="G151">
        <v>3.8479999999999999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-0.69565217391304346</v>
      </c>
      <c r="Q151">
        <f t="shared" ref="Q151" si="731">F151*P151</f>
        <v>-8367303.1652173912</v>
      </c>
      <c r="R151">
        <f t="shared" ref="R151" si="732">R152+Q151</f>
        <v>-18478240.381989002</v>
      </c>
      <c r="S151">
        <f t="shared" ref="S151" si="733">R151/100000</f>
        <v>-184.78240381989002</v>
      </c>
      <c r="T151">
        <f t="shared" ref="T151" si="734">S151/1000</f>
        <v>-0.18478240381989003</v>
      </c>
    </row>
    <row r="152" spans="1:20" x14ac:dyDescent="0.25">
      <c r="A152" s="5">
        <v>44441</v>
      </c>
      <c r="B152">
        <v>4.1159999999999997</v>
      </c>
      <c r="C152">
        <v>4.274</v>
      </c>
      <c r="D152">
        <v>3.8250000000000002</v>
      </c>
      <c r="E152">
        <v>3.956</v>
      </c>
      <c r="F152">
        <v>11969356</v>
      </c>
      <c r="G152">
        <v>3.956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-0.41648106904231702</v>
      </c>
      <c r="Q152">
        <f t="shared" ref="Q152" si="736">F152*P152</f>
        <v>-4985010.1826280719</v>
      </c>
      <c r="R152">
        <f t="shared" ref="R152" si="737">R153+Q152</f>
        <v>-10110937.21677161</v>
      </c>
      <c r="S152">
        <f t="shared" ref="S152" si="738">R152/100000</f>
        <v>-101.1093721677161</v>
      </c>
      <c r="T152">
        <f t="shared" ref="T152" si="739">S152/1000</f>
        <v>-0.10110937216771611</v>
      </c>
    </row>
    <row r="153" spans="1:20" x14ac:dyDescent="0.25">
      <c r="A153" s="5">
        <v>44440</v>
      </c>
      <c r="B153">
        <v>3.5870000000000002</v>
      </c>
      <c r="C153">
        <v>4.6769999999999996</v>
      </c>
      <c r="D153">
        <v>3.4</v>
      </c>
      <c r="E153">
        <v>4.1100000000000003</v>
      </c>
      <c r="F153">
        <v>36400216</v>
      </c>
      <c r="G153">
        <v>4.1100000000000003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0.11198120595144961</v>
      </c>
      <c r="Q153">
        <f t="shared" ref="Q153" si="741">F153*P153</f>
        <v>4076140.0845732517</v>
      </c>
      <c r="R153">
        <f t="shared" ref="R153" si="742">R154+Q153</f>
        <v>-5125927.0341435391</v>
      </c>
      <c r="S153">
        <f t="shared" ref="S153" si="743">R153/100000</f>
        <v>-51.259270341435389</v>
      </c>
      <c r="T153">
        <f t="shared" ref="T153" si="744">S153/1000</f>
        <v>-5.125927034143539E-2</v>
      </c>
    </row>
    <row r="154" spans="1:20" x14ac:dyDescent="0.25">
      <c r="A154" s="5">
        <v>44439</v>
      </c>
      <c r="B154">
        <v>3.2450000000000001</v>
      </c>
      <c r="C154">
        <v>3.8</v>
      </c>
      <c r="D154">
        <v>3.1549999999999998</v>
      </c>
      <c r="E154">
        <v>3.589</v>
      </c>
      <c r="F154">
        <v>20212130.199999999</v>
      </c>
      <c r="G154">
        <v>3.589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0.34573643410852761</v>
      </c>
      <c r="Q154">
        <f t="shared" ref="Q154" si="746">F154*P154</f>
        <v>6988069.8210852807</v>
      </c>
      <c r="R154">
        <f t="shared" ref="R154" si="747">R155+Q154</f>
        <v>-9202067.1187167913</v>
      </c>
      <c r="S154">
        <f t="shared" ref="S154" si="748">R154/100000</f>
        <v>-92.020671187167906</v>
      </c>
      <c r="T154">
        <f t="shared" ref="T154" si="749">S154/1000</f>
        <v>-9.2020671187167905E-2</v>
      </c>
    </row>
    <row r="155" spans="1:20" x14ac:dyDescent="0.25">
      <c r="A155" s="5">
        <v>44438</v>
      </c>
      <c r="B155">
        <v>2.887</v>
      </c>
      <c r="C155">
        <v>3.9489999999999998</v>
      </c>
      <c r="D155">
        <v>2.78</v>
      </c>
      <c r="E155">
        <v>3.2450000000000001</v>
      </c>
      <c r="F155">
        <v>24340259.5</v>
      </c>
      <c r="G155">
        <v>3.2450000000000001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-0.20444824636441353</v>
      </c>
      <c r="Q155">
        <f t="shared" ref="Q155" si="751">F155*P155</f>
        <v>-4976323.3708297564</v>
      </c>
      <c r="R155">
        <f t="shared" ref="R155" si="752">R156+Q155</f>
        <v>-16190136.939802073</v>
      </c>
      <c r="S155">
        <f t="shared" ref="S155" si="753">R155/100000</f>
        <v>-161.90136939802073</v>
      </c>
      <c r="T155">
        <f t="shared" ref="T155" si="754">S155/1000</f>
        <v>-0.16190136939802074</v>
      </c>
    </row>
    <row r="156" spans="1:20" x14ac:dyDescent="0.25">
      <c r="A156" s="5">
        <v>44437</v>
      </c>
      <c r="B156">
        <v>2.9159999999999999</v>
      </c>
      <c r="C156">
        <v>2.9590000000000001</v>
      </c>
      <c r="D156">
        <v>2.75</v>
      </c>
      <c r="E156">
        <v>2.887</v>
      </c>
      <c r="F156">
        <v>3743019.3</v>
      </c>
      <c r="G156">
        <v>2.887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0.31100478468899484</v>
      </c>
      <c r="Q156">
        <f t="shared" ref="Q156" si="756">F156*P156</f>
        <v>1164096.9114832522</v>
      </c>
      <c r="R156">
        <f t="shared" ref="R156" si="757">R157+Q156</f>
        <v>-11213813.568972316</v>
      </c>
      <c r="S156">
        <f t="shared" ref="S156" si="758">R156/100000</f>
        <v>-112.13813568972316</v>
      </c>
      <c r="T156">
        <f t="shared" ref="T156" si="759">S156/1000</f>
        <v>-0.11213813568972315</v>
      </c>
    </row>
    <row r="157" spans="1:20" x14ac:dyDescent="0.25">
      <c r="A157" s="5">
        <v>44436</v>
      </c>
      <c r="B157">
        <v>2.9620000000000002</v>
      </c>
      <c r="C157">
        <v>3.077</v>
      </c>
      <c r="D157">
        <v>2.8359999999999999</v>
      </c>
      <c r="E157">
        <v>2.9169999999999998</v>
      </c>
      <c r="F157">
        <v>3259646.1</v>
      </c>
      <c r="G157">
        <v>2.9169999999999998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-0.32780082987551928</v>
      </c>
      <c r="Q157">
        <f t="shared" ref="Q157" si="761">F157*P157</f>
        <v>-1068514.6966804999</v>
      </c>
      <c r="R157">
        <f t="shared" ref="R157" si="762">R158+Q157</f>
        <v>-12377910.480455568</v>
      </c>
      <c r="S157">
        <f t="shared" ref="S157" si="763">R157/100000</f>
        <v>-123.77910480455569</v>
      </c>
      <c r="T157">
        <f t="shared" ref="T157" si="764">S157/1000</f>
        <v>-0.12377910480455569</v>
      </c>
    </row>
    <row r="158" spans="1:20" x14ac:dyDescent="0.25">
      <c r="A158" s="5">
        <v>44435</v>
      </c>
      <c r="B158">
        <v>2.702</v>
      </c>
      <c r="C158">
        <v>2.9969999999999999</v>
      </c>
      <c r="D158">
        <v>2.65</v>
      </c>
      <c r="E158">
        <v>2.9620000000000002</v>
      </c>
      <c r="F158">
        <v>6586161.0999999996</v>
      </c>
      <c r="G158">
        <v>2.9620000000000002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0.7982708933717596</v>
      </c>
      <c r="Q158">
        <f t="shared" ref="Q158" si="766">F158*P158</f>
        <v>5257540.705187331</v>
      </c>
      <c r="R158">
        <f t="shared" ref="R158" si="767">R159+Q158</f>
        <v>-11309395.783775069</v>
      </c>
      <c r="S158">
        <f t="shared" ref="S158" si="768">R158/100000</f>
        <v>-113.09395783775069</v>
      </c>
      <c r="T158">
        <f t="shared" ref="T158" si="769">S158/1000</f>
        <v>-0.1130939578377507</v>
      </c>
    </row>
    <row r="159" spans="1:20" x14ac:dyDescent="0.25">
      <c r="A159" s="5">
        <v>44434</v>
      </c>
      <c r="B159">
        <v>2.9420000000000002</v>
      </c>
      <c r="C159">
        <v>3.0179999999999998</v>
      </c>
      <c r="D159">
        <v>2.6520000000000001</v>
      </c>
      <c r="E159">
        <v>2.7040000000000002</v>
      </c>
      <c r="F159">
        <v>7621888.0999999996</v>
      </c>
      <c r="G159">
        <v>2.7040000000000002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-0.71584699453551859</v>
      </c>
      <c r="Q159">
        <f t="shared" ref="Q159" si="771">F159*P159</f>
        <v>-5456105.6890710341</v>
      </c>
      <c r="R159">
        <f t="shared" ref="R159" si="772">R160+Q159</f>
        <v>-16566936.488962401</v>
      </c>
      <c r="S159">
        <f t="shared" ref="S159" si="773">R159/100000</f>
        <v>-165.66936488962401</v>
      </c>
      <c r="T159">
        <f t="shared" ref="T159" si="774">S159/1000</f>
        <v>-0.165669364889624</v>
      </c>
    </row>
    <row r="160" spans="1:20" x14ac:dyDescent="0.25">
      <c r="A160" s="5">
        <v>44433</v>
      </c>
      <c r="B160">
        <v>2.9</v>
      </c>
      <c r="C160">
        <v>3.11</v>
      </c>
      <c r="D160">
        <v>2.76</v>
      </c>
      <c r="E160">
        <v>2.9420000000000002</v>
      </c>
      <c r="F160">
        <v>5085388.7</v>
      </c>
      <c r="G160">
        <v>2.9420000000000002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4.000000000000193E-2</v>
      </c>
      <c r="Q160">
        <f t="shared" ref="Q160" si="776">F160*P160</f>
        <v>203415.54800000982</v>
      </c>
      <c r="R160">
        <f t="shared" ref="R160" si="777">R161+Q160</f>
        <v>-11110830.799891366</v>
      </c>
      <c r="S160">
        <f t="shared" ref="S160" si="778">R160/100000</f>
        <v>-111.10830799891366</v>
      </c>
      <c r="T160">
        <f t="shared" ref="T160" si="779">S160/1000</f>
        <v>-0.11110830799891366</v>
      </c>
    </row>
    <row r="161" spans="1:20" x14ac:dyDescent="0.25">
      <c r="A161" s="5">
        <v>44432</v>
      </c>
      <c r="B161">
        <v>3.153</v>
      </c>
      <c r="C161">
        <v>3.21</v>
      </c>
      <c r="D161">
        <v>2.88</v>
      </c>
      <c r="E161">
        <v>2.8969999999999998</v>
      </c>
      <c r="F161">
        <v>4320738.5999999996</v>
      </c>
      <c r="G161">
        <v>2.8969999999999998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-0.89696969696969753</v>
      </c>
      <c r="Q161">
        <f t="shared" ref="Q161" si="781">F161*P161</f>
        <v>-3875571.5927272746</v>
      </c>
      <c r="R161">
        <f t="shared" ref="R161" si="782">R162+Q161</f>
        <v>-11314246.347891375</v>
      </c>
      <c r="S161">
        <f t="shared" ref="S161" si="783">R161/100000</f>
        <v>-113.14246347891375</v>
      </c>
      <c r="T161">
        <f t="shared" ref="T161" si="784">S161/1000</f>
        <v>-0.11314246347891375</v>
      </c>
    </row>
    <row r="162" spans="1:20" x14ac:dyDescent="0.25">
      <c r="A162" s="5">
        <v>44431</v>
      </c>
      <c r="B162">
        <v>3.13</v>
      </c>
      <c r="C162">
        <v>3.34</v>
      </c>
      <c r="D162">
        <v>3.105</v>
      </c>
      <c r="E162">
        <v>3.153</v>
      </c>
      <c r="F162">
        <v>4879623.0999999996</v>
      </c>
      <c r="G162">
        <v>3.153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-0.59148936170212707</v>
      </c>
      <c r="Q162">
        <f t="shared" ref="Q162" si="786">F162*P162</f>
        <v>-2886245.1527659544</v>
      </c>
      <c r="R162">
        <f t="shared" ref="R162" si="787">R163+Q162</f>
        <v>-7438674.7551640999</v>
      </c>
      <c r="S162">
        <f t="shared" ref="S162" si="788">R162/100000</f>
        <v>-74.386747551640994</v>
      </c>
      <c r="T162">
        <f t="shared" ref="T162" si="789">S162/1000</f>
        <v>-7.4386747551641E-2</v>
      </c>
    </row>
    <row r="163" spans="1:20" x14ac:dyDescent="0.25">
      <c r="A163" s="5">
        <v>44430</v>
      </c>
      <c r="B163">
        <v>3.1259999999999999</v>
      </c>
      <c r="C163">
        <v>3.2450000000000001</v>
      </c>
      <c r="D163">
        <v>3.05</v>
      </c>
      <c r="E163">
        <v>3.2189999999999999</v>
      </c>
      <c r="F163">
        <v>614901.69999999995</v>
      </c>
      <c r="G163">
        <v>3.2189999999999999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0.73333333333333117</v>
      </c>
      <c r="Q163">
        <f t="shared" ref="Q163" si="791">F163*P163</f>
        <v>450927.91333333199</v>
      </c>
      <c r="R163">
        <f t="shared" ref="R163" si="792">R164+Q163</f>
        <v>-4552429.602398145</v>
      </c>
      <c r="S163">
        <f t="shared" ref="S163" si="793">R163/100000</f>
        <v>-45.524296023981449</v>
      </c>
      <c r="T163">
        <f t="shared" ref="T163" si="794">S163/1000</f>
        <v>-4.5524296023981448E-2</v>
      </c>
    </row>
    <row r="164" spans="1:20" x14ac:dyDescent="0.25">
      <c r="A164" s="5">
        <v>44429</v>
      </c>
      <c r="B164">
        <v>3.2280000000000002</v>
      </c>
      <c r="C164">
        <v>3.27</v>
      </c>
      <c r="D164">
        <v>2.9390000000000001</v>
      </c>
      <c r="E164">
        <v>3.1259999999999999</v>
      </c>
      <c r="F164">
        <v>5539209.5</v>
      </c>
      <c r="G164">
        <v>3.1259999999999999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0.1299093655589115</v>
      </c>
      <c r="Q164">
        <f t="shared" ref="Q164" si="796">F164*P164</f>
        <v>719595.19184289535</v>
      </c>
      <c r="R164">
        <f t="shared" ref="R164" si="797">R165+Q164</f>
        <v>-5003357.5157314772</v>
      </c>
      <c r="S164">
        <f t="shared" ref="S164" si="798">R164/100000</f>
        <v>-50.033575157314772</v>
      </c>
      <c r="T164">
        <f t="shared" ref="T164" si="799">S164/1000</f>
        <v>-5.0033575157314769E-2</v>
      </c>
    </row>
    <row r="165" spans="1:20" x14ac:dyDescent="0.25">
      <c r="A165" s="5">
        <v>44428</v>
      </c>
      <c r="B165">
        <v>3.2509999999999999</v>
      </c>
      <c r="C165">
        <v>3.375</v>
      </c>
      <c r="D165">
        <v>3.13</v>
      </c>
      <c r="E165">
        <v>3.234</v>
      </c>
      <c r="F165">
        <v>5079498.2</v>
      </c>
      <c r="G165">
        <v>3.234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-0.15102040816326492</v>
      </c>
      <c r="Q165">
        <f t="shared" ref="Q165" si="801">F165*P165</f>
        <v>-767107.89142856956</v>
      </c>
      <c r="R165">
        <f t="shared" ref="R165" si="802">R166+Q165</f>
        <v>-5722952.7075743722</v>
      </c>
      <c r="S165">
        <f t="shared" ref="S165" si="803">R165/100000</f>
        <v>-57.229527075743725</v>
      </c>
      <c r="T165">
        <f t="shared" ref="T165" si="804">S165/1000</f>
        <v>-5.7229527075743726E-2</v>
      </c>
    </row>
    <row r="166" spans="1:20" x14ac:dyDescent="0.25">
      <c r="A166" s="5">
        <v>44427</v>
      </c>
      <c r="B166">
        <v>3.0859999999999999</v>
      </c>
      <c r="C166">
        <v>3.34</v>
      </c>
      <c r="D166">
        <v>3</v>
      </c>
      <c r="E166">
        <v>3.25</v>
      </c>
      <c r="F166">
        <v>4334388.4000000004</v>
      </c>
      <c r="G166">
        <v>3.25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0.47058823529411825</v>
      </c>
      <c r="Q166">
        <f t="shared" ref="Q166" si="806">F166*P166</f>
        <v>2039712.1882352969</v>
      </c>
      <c r="R166">
        <f t="shared" ref="R166" si="807">R167+Q166</f>
        <v>-4955844.8161458028</v>
      </c>
      <c r="S166">
        <f t="shared" ref="S166" si="808">R166/100000</f>
        <v>-49.558448161458031</v>
      </c>
      <c r="T166">
        <f t="shared" ref="T166" si="809">S166/1000</f>
        <v>-4.9558448161458032E-2</v>
      </c>
    </row>
    <row r="167" spans="1:20" x14ac:dyDescent="0.25">
      <c r="A167" s="5">
        <v>44426</v>
      </c>
      <c r="B167">
        <v>3.1970000000000001</v>
      </c>
      <c r="C167">
        <v>3.3090000000000002</v>
      </c>
      <c r="D167">
        <v>3</v>
      </c>
      <c r="E167">
        <v>3.0870000000000002</v>
      </c>
      <c r="F167">
        <v>4858868.5999999996</v>
      </c>
      <c r="G167">
        <v>3.0870000000000002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-0.43689320388349423</v>
      </c>
      <c r="Q167">
        <f t="shared" ref="Q167" si="811">F167*P167</f>
        <v>-2122806.6699029082</v>
      </c>
      <c r="R167">
        <f t="shared" ref="R167" si="812">R168+Q167</f>
        <v>-6995557.0043810997</v>
      </c>
      <c r="S167">
        <f t="shared" ref="S167" si="813">R167/100000</f>
        <v>-69.955570043810994</v>
      </c>
      <c r="T167">
        <f t="shared" ref="T167" si="814">S167/1000</f>
        <v>-6.9955570043810991E-2</v>
      </c>
    </row>
    <row r="168" spans="1:20" x14ac:dyDescent="0.25">
      <c r="A168" s="5">
        <v>44425</v>
      </c>
      <c r="B168">
        <v>3.3679999999999999</v>
      </c>
      <c r="C168">
        <v>3.6</v>
      </c>
      <c r="D168">
        <v>3.12</v>
      </c>
      <c r="E168">
        <v>3.198</v>
      </c>
      <c r="F168">
        <v>7525710.7000000002</v>
      </c>
      <c r="G168">
        <v>3.198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-0.6750000000000006</v>
      </c>
      <c r="Q168">
        <f t="shared" ref="Q168" si="816">F168*P168</f>
        <v>-5079854.7225000048</v>
      </c>
      <c r="R168">
        <f t="shared" ref="R168" si="817">R169+Q168</f>
        <v>-4872750.3344781911</v>
      </c>
      <c r="S168">
        <f t="shared" ref="S168" si="818">R168/100000</f>
        <v>-48.727503344781908</v>
      </c>
      <c r="T168">
        <f t="shared" ref="T168" si="819">S168/1000</f>
        <v>-4.872750334478191E-2</v>
      </c>
    </row>
    <row r="169" spans="1:20" x14ac:dyDescent="0.25">
      <c r="A169" s="5">
        <v>44424</v>
      </c>
      <c r="B169">
        <v>3.1389999999999998</v>
      </c>
      <c r="C169">
        <v>3.6659999999999999</v>
      </c>
      <c r="D169">
        <v>3.056</v>
      </c>
      <c r="E169">
        <v>3.3679999999999999</v>
      </c>
      <c r="F169">
        <v>11152521.699999999</v>
      </c>
      <c r="G169">
        <v>3.3679999999999999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2.295081967213081E-2</v>
      </c>
      <c r="Q169">
        <f t="shared" ref="Q169" si="821">F169*P169</f>
        <v>255959.51442622574</v>
      </c>
      <c r="R169">
        <f t="shared" ref="R169" si="822">R170+Q169</f>
        <v>207104.38802181365</v>
      </c>
      <c r="S169">
        <f t="shared" ref="S169" si="823">R169/100000</f>
        <v>2.0710438802181366</v>
      </c>
      <c r="T169">
        <f t="shared" ref="T169:T175" si="824">S169/1000</f>
        <v>2.0710438802181365E-3</v>
      </c>
    </row>
    <row r="170" spans="1:20" x14ac:dyDescent="0.25">
      <c r="A170" s="5">
        <v>44423</v>
      </c>
      <c r="B170">
        <v>2.9790000000000001</v>
      </c>
      <c r="C170">
        <v>3.15</v>
      </c>
      <c r="D170">
        <v>2.8170000000000002</v>
      </c>
      <c r="E170">
        <v>3.1419999999999999</v>
      </c>
      <c r="F170">
        <v>2716282.8</v>
      </c>
      <c r="G170">
        <v>3.1419999999999999</v>
      </c>
      <c r="L170" t="s">
        <v>8</v>
      </c>
      <c r="M170" t="s">
        <v>7</v>
      </c>
      <c r="N170" t="s">
        <v>8</v>
      </c>
      <c r="P170">
        <f t="shared" ref="P170" si="825">IF(C170=D170,0,((E170-D170)-(C170-E170))/(C170-D170))</f>
        <v>0.95195195195195192</v>
      </c>
      <c r="Q170">
        <f t="shared" ref="Q170" si="826">F170*P170</f>
        <v>2585770.7135135131</v>
      </c>
      <c r="R170">
        <f t="shared" ref="R170" si="827">R171+Q170</f>
        <v>-48855.126404412091</v>
      </c>
      <c r="S170">
        <f t="shared" ref="S170" si="828">R170/100000</f>
        <v>-0.48855126404412091</v>
      </c>
      <c r="T170">
        <f t="shared" si="824"/>
        <v>-4.8855126404412092E-4</v>
      </c>
    </row>
    <row r="171" spans="1:20" x14ac:dyDescent="0.25">
      <c r="A171" s="5">
        <v>44422</v>
      </c>
      <c r="B171">
        <v>3.1480000000000001</v>
      </c>
      <c r="C171">
        <v>3.1509999999999998</v>
      </c>
      <c r="D171">
        <v>2.8530000000000002</v>
      </c>
      <c r="E171">
        <v>2.9790000000000001</v>
      </c>
      <c r="F171">
        <v>3044171</v>
      </c>
      <c r="G171">
        <v>2.9790000000000001</v>
      </c>
      <c r="L171" t="s">
        <v>7</v>
      </c>
      <c r="M171" t="s">
        <v>7</v>
      </c>
      <c r="N171" t="s">
        <v>8</v>
      </c>
      <c r="P171">
        <f t="shared" ref="P171" si="829">IF(C171=D171,0,((E171-D171)-(C171-E171))/(C171-D171))</f>
        <v>-0.15436241610738216</v>
      </c>
      <c r="Q171">
        <f t="shared" ref="Q171" si="830">F171*P171</f>
        <v>-469905.59060402564</v>
      </c>
      <c r="R171">
        <f t="shared" ref="R171" si="831">R172+Q171</f>
        <v>-2634625.8399179252</v>
      </c>
      <c r="S171">
        <f t="shared" ref="S171" si="832">R171/100000</f>
        <v>-26.346258399179252</v>
      </c>
      <c r="T171">
        <f t="shared" si="824"/>
        <v>-2.6346258399179253E-2</v>
      </c>
    </row>
    <row r="172" spans="1:20" x14ac:dyDescent="0.25">
      <c r="A172" s="5">
        <v>44421</v>
      </c>
      <c r="B172">
        <v>2.85</v>
      </c>
      <c r="C172">
        <v>3.1509999999999998</v>
      </c>
      <c r="D172">
        <v>2.8</v>
      </c>
      <c r="E172">
        <v>3.1469999999999998</v>
      </c>
      <c r="F172">
        <v>4175478.2</v>
      </c>
      <c r="G172">
        <v>3.1469999999999998</v>
      </c>
      <c r="L172" t="s">
        <v>8</v>
      </c>
      <c r="M172" t="s">
        <v>7</v>
      </c>
      <c r="N172" t="s">
        <v>8</v>
      </c>
      <c r="P172">
        <f t="shared" ref="P172" si="833">IF(C172=D172,0,((E172-D172)-(C172-E172))/(C172-D172))</f>
        <v>0.97720797720797714</v>
      </c>
      <c r="Q172">
        <f t="shared" ref="Q172" si="834">F172*P172</f>
        <v>4080310.6056980058</v>
      </c>
      <c r="R172">
        <f t="shared" ref="R172" si="835">R173+Q172</f>
        <v>-2164720.2493138998</v>
      </c>
      <c r="S172">
        <f t="shared" ref="S172" si="836">R172/100000</f>
        <v>-21.647202493138998</v>
      </c>
      <c r="T172">
        <f t="shared" si="824"/>
        <v>-2.1647202493138999E-2</v>
      </c>
    </row>
    <row r="173" spans="1:20" x14ac:dyDescent="0.25">
      <c r="A173" s="5">
        <v>44420</v>
      </c>
      <c r="B173">
        <v>2.9119999999999999</v>
      </c>
      <c r="C173">
        <v>3.05</v>
      </c>
      <c r="D173">
        <v>2.6619999999999999</v>
      </c>
      <c r="E173">
        <v>2.8519999999999999</v>
      </c>
      <c r="F173">
        <v>5795664.7999999998</v>
      </c>
      <c r="G173">
        <v>2.8519999999999999</v>
      </c>
      <c r="L173" t="s">
        <v>7</v>
      </c>
      <c r="M173" t="s">
        <v>7</v>
      </c>
      <c r="N173" t="s">
        <v>8</v>
      </c>
      <c r="P173">
        <f t="shared" ref="P173" si="837">IF(C173=D173,0,((E173-D173)-(C173-E173))/(C173-D173))</f>
        <v>-2.0618556701030952E-2</v>
      </c>
      <c r="Q173">
        <f t="shared" ref="Q173" si="838">F173*P173</f>
        <v>-119498.2432989692</v>
      </c>
      <c r="R173">
        <f t="shared" ref="R173" si="839">R174+Q173</f>
        <v>-6245030.8550119055</v>
      </c>
      <c r="S173">
        <f t="shared" ref="S173" si="840">R173/100000</f>
        <v>-62.450308550119054</v>
      </c>
      <c r="T173">
        <f t="shared" si="824"/>
        <v>-6.2450308550119057E-2</v>
      </c>
    </row>
    <row r="174" spans="1:20" x14ac:dyDescent="0.25">
      <c r="A174" s="5">
        <v>44419</v>
      </c>
      <c r="B174">
        <v>3.2370000000000001</v>
      </c>
      <c r="C174">
        <v>3.3420000000000001</v>
      </c>
      <c r="D174">
        <v>2.9</v>
      </c>
      <c r="E174">
        <v>2.91</v>
      </c>
      <c r="F174">
        <v>9084834.4000000004</v>
      </c>
      <c r="G174">
        <v>2.91</v>
      </c>
      <c r="L174" t="s">
        <v>8</v>
      </c>
      <c r="M174" t="s">
        <v>8</v>
      </c>
      <c r="N174" t="s">
        <v>8</v>
      </c>
      <c r="P174">
        <f t="shared" ref="P174" si="841">IF(C174=D174,0,((E174-D174)-(C174-E174))/(C174-D174))</f>
        <v>-0.9547511312217184</v>
      </c>
      <c r="Q174">
        <f t="shared" ref="Q174" si="842">F174*P174</f>
        <v>-8673755.9203619808</v>
      </c>
      <c r="R174">
        <f t="shared" ref="R174" si="843">R175+Q174</f>
        <v>-6125532.6117129363</v>
      </c>
      <c r="S174">
        <f t="shared" ref="S174" si="844">R174/100000</f>
        <v>-61.255326117129364</v>
      </c>
      <c r="T174">
        <f t="shared" si="824"/>
        <v>-6.1255326117129368E-2</v>
      </c>
    </row>
    <row r="175" spans="1:20" x14ac:dyDescent="0.25">
      <c r="A175" s="5">
        <v>44418</v>
      </c>
      <c r="B175">
        <v>2.4809999999999999</v>
      </c>
      <c r="C175">
        <v>3.88</v>
      </c>
      <c r="D175">
        <v>2.4809999999999999</v>
      </c>
      <c r="E175">
        <v>3.2370000000000001</v>
      </c>
      <c r="F175">
        <v>31548357.600000001</v>
      </c>
      <c r="G175">
        <v>0</v>
      </c>
      <c r="P175">
        <f t="shared" ref="P175" si="845">IF(C175=D175,0,((E175-D175)-(C175-E175))/(C175-D175))</f>
        <v>8.0771979985704387E-2</v>
      </c>
      <c r="Q175">
        <f t="shared" ref="Q175" si="846">F175*P175</f>
        <v>2548223.3086490449</v>
      </c>
      <c r="R175">
        <f t="shared" ref="R175" si="847">R176+Q175</f>
        <v>2548223.3086490449</v>
      </c>
      <c r="S175">
        <f t="shared" ref="S175" si="848">R175/100000</f>
        <v>25.482233086490449</v>
      </c>
      <c r="T175">
        <f t="shared" si="824"/>
        <v>2.548223308649045E-2</v>
      </c>
    </row>
    <row r="176" spans="1:20" x14ac:dyDescent="0.25">
      <c r="A176" s="5"/>
      <c r="P176">
        <f t="shared" ref="P176:P239" si="849">IF(C176=D176,0,((E176-D176)-(C176-E176))/(C176-D176))</f>
        <v>0</v>
      </c>
      <c r="Q176">
        <f t="shared" ref="Q176:Q239" si="850">F176*P176</f>
        <v>0</v>
      </c>
      <c r="R176">
        <f t="shared" ref="R176:R239" si="851">R177+Q176</f>
        <v>0</v>
      </c>
      <c r="S176">
        <f t="shared" ref="S176:S239" si="852">R176/100000</f>
        <v>0</v>
      </c>
      <c r="T176">
        <f t="shared" ref="T176:T239" si="853">S176/1000</f>
        <v>0</v>
      </c>
    </row>
    <row r="177" spans="1:20" x14ac:dyDescent="0.25">
      <c r="A177" s="5"/>
      <c r="P177">
        <f t="shared" si="849"/>
        <v>0</v>
      </c>
      <c r="Q177">
        <f t="shared" si="850"/>
        <v>0</v>
      </c>
      <c r="R177">
        <f t="shared" si="851"/>
        <v>0</v>
      </c>
      <c r="S177">
        <f t="shared" si="852"/>
        <v>0</v>
      </c>
      <c r="T177">
        <f t="shared" si="853"/>
        <v>0</v>
      </c>
    </row>
    <row r="178" spans="1:20" x14ac:dyDescent="0.25">
      <c r="A178" s="5"/>
      <c r="P178">
        <f t="shared" si="849"/>
        <v>0</v>
      </c>
      <c r="Q178">
        <f t="shared" si="850"/>
        <v>0</v>
      </c>
      <c r="R178">
        <f t="shared" si="851"/>
        <v>0</v>
      </c>
      <c r="S178">
        <f t="shared" si="852"/>
        <v>0</v>
      </c>
      <c r="T178">
        <f t="shared" si="853"/>
        <v>0</v>
      </c>
    </row>
    <row r="179" spans="1:20" x14ac:dyDescent="0.25">
      <c r="A179" s="5"/>
      <c r="P179">
        <f t="shared" si="849"/>
        <v>0</v>
      </c>
      <c r="Q179">
        <f t="shared" si="850"/>
        <v>0</v>
      </c>
      <c r="R179">
        <f t="shared" si="851"/>
        <v>0</v>
      </c>
      <c r="S179">
        <f t="shared" si="852"/>
        <v>0</v>
      </c>
      <c r="T179">
        <f t="shared" si="853"/>
        <v>0</v>
      </c>
    </row>
    <row r="180" spans="1:20" x14ac:dyDescent="0.25">
      <c r="A180" s="5"/>
      <c r="P180">
        <f t="shared" si="849"/>
        <v>0</v>
      </c>
      <c r="Q180">
        <f t="shared" si="850"/>
        <v>0</v>
      </c>
      <c r="R180">
        <f t="shared" si="851"/>
        <v>0</v>
      </c>
      <c r="S180">
        <f t="shared" si="852"/>
        <v>0</v>
      </c>
      <c r="T180">
        <f t="shared" si="853"/>
        <v>0</v>
      </c>
    </row>
    <row r="181" spans="1:20" x14ac:dyDescent="0.25">
      <c r="A181" s="5"/>
      <c r="P181">
        <f t="shared" si="849"/>
        <v>0</v>
      </c>
      <c r="Q181">
        <f t="shared" si="850"/>
        <v>0</v>
      </c>
      <c r="R181">
        <f t="shared" si="851"/>
        <v>0</v>
      </c>
      <c r="S181">
        <f t="shared" si="852"/>
        <v>0</v>
      </c>
      <c r="T181">
        <f t="shared" si="853"/>
        <v>0</v>
      </c>
    </row>
    <row r="182" spans="1:20" x14ac:dyDescent="0.25">
      <c r="A182" s="5"/>
      <c r="P182">
        <f t="shared" si="849"/>
        <v>0</v>
      </c>
      <c r="Q182">
        <f t="shared" si="850"/>
        <v>0</v>
      </c>
      <c r="R182">
        <f t="shared" si="851"/>
        <v>0</v>
      </c>
      <c r="S182">
        <f t="shared" si="852"/>
        <v>0</v>
      </c>
      <c r="T182">
        <f t="shared" si="853"/>
        <v>0</v>
      </c>
    </row>
    <row r="183" spans="1:20" x14ac:dyDescent="0.25">
      <c r="A183" s="5"/>
      <c r="P183">
        <f t="shared" si="849"/>
        <v>0</v>
      </c>
      <c r="Q183">
        <f t="shared" si="850"/>
        <v>0</v>
      </c>
      <c r="R183">
        <f t="shared" si="851"/>
        <v>0</v>
      </c>
      <c r="S183">
        <f t="shared" si="852"/>
        <v>0</v>
      </c>
      <c r="T183">
        <f t="shared" si="853"/>
        <v>0</v>
      </c>
    </row>
    <row r="184" spans="1:20" x14ac:dyDescent="0.25">
      <c r="A184" s="5"/>
      <c r="P184">
        <f t="shared" si="849"/>
        <v>0</v>
      </c>
      <c r="Q184">
        <f t="shared" si="850"/>
        <v>0</v>
      </c>
      <c r="R184">
        <f t="shared" si="851"/>
        <v>0</v>
      </c>
      <c r="S184">
        <f t="shared" si="852"/>
        <v>0</v>
      </c>
      <c r="T184">
        <f t="shared" si="853"/>
        <v>0</v>
      </c>
    </row>
    <row r="185" spans="1:20" x14ac:dyDescent="0.25">
      <c r="A185" s="5"/>
      <c r="P185">
        <f t="shared" si="849"/>
        <v>0</v>
      </c>
      <c r="Q185">
        <f t="shared" si="850"/>
        <v>0</v>
      </c>
      <c r="R185">
        <f t="shared" si="851"/>
        <v>0</v>
      </c>
      <c r="S185">
        <f t="shared" si="852"/>
        <v>0</v>
      </c>
      <c r="T185">
        <f t="shared" si="853"/>
        <v>0</v>
      </c>
    </row>
    <row r="186" spans="1:20" x14ac:dyDescent="0.25">
      <c r="A186" s="5"/>
      <c r="P186">
        <f t="shared" si="849"/>
        <v>0</v>
      </c>
      <c r="Q186">
        <f t="shared" si="850"/>
        <v>0</v>
      </c>
      <c r="R186">
        <f t="shared" si="851"/>
        <v>0</v>
      </c>
      <c r="S186">
        <f t="shared" si="852"/>
        <v>0</v>
      </c>
      <c r="T186">
        <f t="shared" si="853"/>
        <v>0</v>
      </c>
    </row>
    <row r="187" spans="1:20" x14ac:dyDescent="0.25">
      <c r="A187" s="5"/>
      <c r="P187">
        <f t="shared" si="849"/>
        <v>0</v>
      </c>
      <c r="Q187">
        <f t="shared" si="850"/>
        <v>0</v>
      </c>
      <c r="R187">
        <f t="shared" si="851"/>
        <v>0</v>
      </c>
      <c r="S187">
        <f t="shared" si="852"/>
        <v>0</v>
      </c>
      <c r="T187">
        <f t="shared" si="853"/>
        <v>0</v>
      </c>
    </row>
    <row r="188" spans="1:20" x14ac:dyDescent="0.25">
      <c r="A188" s="5"/>
      <c r="P188">
        <f t="shared" si="849"/>
        <v>0</v>
      </c>
      <c r="Q188">
        <f t="shared" si="850"/>
        <v>0</v>
      </c>
      <c r="R188">
        <f t="shared" si="851"/>
        <v>0</v>
      </c>
      <c r="S188">
        <f t="shared" si="852"/>
        <v>0</v>
      </c>
      <c r="T188">
        <f t="shared" si="853"/>
        <v>0</v>
      </c>
    </row>
    <row r="189" spans="1:20" x14ac:dyDescent="0.25">
      <c r="A189" s="5"/>
      <c r="P189">
        <f t="shared" si="849"/>
        <v>0</v>
      </c>
      <c r="Q189">
        <f t="shared" si="850"/>
        <v>0</v>
      </c>
      <c r="R189">
        <f t="shared" si="851"/>
        <v>0</v>
      </c>
      <c r="S189">
        <f t="shared" si="852"/>
        <v>0</v>
      </c>
      <c r="T189">
        <f t="shared" si="853"/>
        <v>0</v>
      </c>
    </row>
    <row r="190" spans="1:20" x14ac:dyDescent="0.25">
      <c r="A190" s="5"/>
      <c r="P190">
        <f t="shared" si="849"/>
        <v>0</v>
      </c>
      <c r="Q190">
        <f t="shared" si="850"/>
        <v>0</v>
      </c>
      <c r="R190">
        <f t="shared" si="851"/>
        <v>0</v>
      </c>
      <c r="S190">
        <f t="shared" si="852"/>
        <v>0</v>
      </c>
      <c r="T190">
        <f t="shared" si="853"/>
        <v>0</v>
      </c>
    </row>
    <row r="191" spans="1:20" x14ac:dyDescent="0.25">
      <c r="A191" s="5"/>
      <c r="P191">
        <f t="shared" si="849"/>
        <v>0</v>
      </c>
      <c r="Q191">
        <f t="shared" si="850"/>
        <v>0</v>
      </c>
      <c r="R191">
        <f t="shared" si="851"/>
        <v>0</v>
      </c>
      <c r="S191">
        <f t="shared" si="852"/>
        <v>0</v>
      </c>
      <c r="T191">
        <f t="shared" si="853"/>
        <v>0</v>
      </c>
    </row>
    <row r="192" spans="1:20" x14ac:dyDescent="0.25">
      <c r="A192" s="5"/>
      <c r="P192">
        <f t="shared" si="849"/>
        <v>0</v>
      </c>
      <c r="Q192">
        <f t="shared" si="850"/>
        <v>0</v>
      </c>
      <c r="R192">
        <f t="shared" si="851"/>
        <v>0</v>
      </c>
      <c r="S192">
        <f t="shared" si="852"/>
        <v>0</v>
      </c>
      <c r="T192">
        <f t="shared" si="853"/>
        <v>0</v>
      </c>
    </row>
    <row r="193" spans="1:20" x14ac:dyDescent="0.25">
      <c r="A193" s="5"/>
      <c r="P193">
        <f t="shared" si="849"/>
        <v>0</v>
      </c>
      <c r="Q193">
        <f t="shared" si="850"/>
        <v>0</v>
      </c>
      <c r="R193">
        <f t="shared" si="851"/>
        <v>0</v>
      </c>
      <c r="S193">
        <f t="shared" si="852"/>
        <v>0</v>
      </c>
      <c r="T193">
        <f t="shared" si="853"/>
        <v>0</v>
      </c>
    </row>
    <row r="194" spans="1:20" x14ac:dyDescent="0.25">
      <c r="A194" s="5"/>
      <c r="P194">
        <f t="shared" si="849"/>
        <v>0</v>
      </c>
      <c r="Q194">
        <f t="shared" si="850"/>
        <v>0</v>
      </c>
      <c r="R194">
        <f t="shared" si="851"/>
        <v>0</v>
      </c>
      <c r="S194">
        <f t="shared" si="852"/>
        <v>0</v>
      </c>
      <c r="T194">
        <f t="shared" si="853"/>
        <v>0</v>
      </c>
    </row>
    <row r="195" spans="1:20" x14ac:dyDescent="0.25">
      <c r="A195" s="5"/>
      <c r="P195">
        <f t="shared" si="849"/>
        <v>0</v>
      </c>
      <c r="Q195">
        <f t="shared" si="850"/>
        <v>0</v>
      </c>
      <c r="R195">
        <f t="shared" si="851"/>
        <v>0</v>
      </c>
      <c r="S195">
        <f t="shared" si="852"/>
        <v>0</v>
      </c>
      <c r="T195">
        <f t="shared" si="853"/>
        <v>0</v>
      </c>
    </row>
    <row r="196" spans="1:20" x14ac:dyDescent="0.25">
      <c r="A196" s="5"/>
      <c r="P196">
        <f t="shared" si="849"/>
        <v>0</v>
      </c>
      <c r="Q196">
        <f t="shared" si="850"/>
        <v>0</v>
      </c>
      <c r="R196">
        <f t="shared" si="851"/>
        <v>0</v>
      </c>
      <c r="S196">
        <f t="shared" si="852"/>
        <v>0</v>
      </c>
      <c r="T196">
        <f t="shared" si="853"/>
        <v>0</v>
      </c>
    </row>
    <row r="197" spans="1:20" x14ac:dyDescent="0.25">
      <c r="A197" s="5"/>
      <c r="P197">
        <f t="shared" si="849"/>
        <v>0</v>
      </c>
      <c r="Q197">
        <f t="shared" si="850"/>
        <v>0</v>
      </c>
      <c r="R197">
        <f t="shared" si="851"/>
        <v>0</v>
      </c>
      <c r="S197">
        <f t="shared" si="852"/>
        <v>0</v>
      </c>
      <c r="T197">
        <f t="shared" si="853"/>
        <v>0</v>
      </c>
    </row>
    <row r="198" spans="1:20" x14ac:dyDescent="0.25">
      <c r="A198" s="5"/>
      <c r="P198">
        <f t="shared" si="849"/>
        <v>0</v>
      </c>
      <c r="Q198">
        <f t="shared" si="850"/>
        <v>0</v>
      </c>
      <c r="R198">
        <f t="shared" si="851"/>
        <v>0</v>
      </c>
      <c r="S198">
        <f t="shared" si="852"/>
        <v>0</v>
      </c>
      <c r="T198">
        <f t="shared" si="853"/>
        <v>0</v>
      </c>
    </row>
    <row r="199" spans="1:20" x14ac:dyDescent="0.25">
      <c r="A199" s="5"/>
      <c r="P199">
        <f t="shared" si="849"/>
        <v>0</v>
      </c>
      <c r="Q199">
        <f t="shared" si="850"/>
        <v>0</v>
      </c>
      <c r="R199">
        <f t="shared" si="851"/>
        <v>0</v>
      </c>
      <c r="S199">
        <f t="shared" si="852"/>
        <v>0</v>
      </c>
      <c r="T199">
        <f t="shared" si="853"/>
        <v>0</v>
      </c>
    </row>
    <row r="200" spans="1:20" x14ac:dyDescent="0.25">
      <c r="A200" s="5"/>
      <c r="P200">
        <f t="shared" si="849"/>
        <v>0</v>
      </c>
      <c r="Q200">
        <f t="shared" si="850"/>
        <v>0</v>
      </c>
      <c r="R200">
        <f t="shared" si="851"/>
        <v>0</v>
      </c>
      <c r="S200">
        <f t="shared" si="852"/>
        <v>0</v>
      </c>
      <c r="T200">
        <f t="shared" si="853"/>
        <v>0</v>
      </c>
    </row>
    <row r="201" spans="1:20" x14ac:dyDescent="0.25">
      <c r="A201" s="5"/>
      <c r="P201">
        <f t="shared" si="849"/>
        <v>0</v>
      </c>
      <c r="Q201">
        <f t="shared" si="850"/>
        <v>0</v>
      </c>
      <c r="R201">
        <f t="shared" si="851"/>
        <v>0</v>
      </c>
      <c r="S201">
        <f t="shared" si="852"/>
        <v>0</v>
      </c>
      <c r="T201">
        <f t="shared" si="853"/>
        <v>0</v>
      </c>
    </row>
    <row r="202" spans="1:20" x14ac:dyDescent="0.25">
      <c r="A202" s="5"/>
      <c r="P202">
        <f t="shared" si="849"/>
        <v>0</v>
      </c>
      <c r="Q202">
        <f t="shared" si="850"/>
        <v>0</v>
      </c>
      <c r="R202">
        <f t="shared" si="851"/>
        <v>0</v>
      </c>
      <c r="S202">
        <f t="shared" si="852"/>
        <v>0</v>
      </c>
      <c r="T202">
        <f t="shared" si="853"/>
        <v>0</v>
      </c>
    </row>
    <row r="203" spans="1:20" x14ac:dyDescent="0.25">
      <c r="A203" s="5"/>
      <c r="P203">
        <f t="shared" si="849"/>
        <v>0</v>
      </c>
      <c r="Q203">
        <f t="shared" si="850"/>
        <v>0</v>
      </c>
      <c r="R203">
        <f t="shared" si="851"/>
        <v>0</v>
      </c>
      <c r="S203">
        <f t="shared" si="852"/>
        <v>0</v>
      </c>
      <c r="T203">
        <f t="shared" si="853"/>
        <v>0</v>
      </c>
    </row>
    <row r="204" spans="1:20" x14ac:dyDescent="0.25">
      <c r="A204" s="5"/>
      <c r="P204">
        <f t="shared" si="849"/>
        <v>0</v>
      </c>
      <c r="Q204">
        <f t="shared" si="850"/>
        <v>0</v>
      </c>
      <c r="R204">
        <f t="shared" si="851"/>
        <v>0</v>
      </c>
      <c r="S204">
        <f t="shared" si="852"/>
        <v>0</v>
      </c>
      <c r="T204">
        <f t="shared" si="853"/>
        <v>0</v>
      </c>
    </row>
    <row r="205" spans="1:20" x14ac:dyDescent="0.25">
      <c r="A205" s="5"/>
      <c r="B205" s="1"/>
      <c r="C205" s="2"/>
      <c r="D205" s="2"/>
      <c r="E205" s="1"/>
      <c r="F205" s="1"/>
      <c r="P205">
        <f t="shared" si="849"/>
        <v>0</v>
      </c>
      <c r="Q205">
        <f t="shared" si="850"/>
        <v>0</v>
      </c>
      <c r="R205">
        <f t="shared" si="851"/>
        <v>0</v>
      </c>
      <c r="S205">
        <f t="shared" si="852"/>
        <v>0</v>
      </c>
      <c r="T205">
        <f t="shared" si="853"/>
        <v>0</v>
      </c>
    </row>
    <row r="206" spans="1:20" x14ac:dyDescent="0.25">
      <c r="A206" s="5"/>
      <c r="B206" s="1"/>
      <c r="C206" s="2"/>
      <c r="D206" s="2"/>
      <c r="E206" s="1"/>
      <c r="F206" s="1"/>
      <c r="P206">
        <f t="shared" si="849"/>
        <v>0</v>
      </c>
      <c r="Q206">
        <f t="shared" si="850"/>
        <v>0</v>
      </c>
      <c r="R206">
        <f t="shared" si="851"/>
        <v>0</v>
      </c>
      <c r="S206">
        <f t="shared" si="852"/>
        <v>0</v>
      </c>
      <c r="T206">
        <f t="shared" si="853"/>
        <v>0</v>
      </c>
    </row>
    <row r="207" spans="1:20" x14ac:dyDescent="0.25">
      <c r="A207" s="5"/>
      <c r="B207" s="1"/>
      <c r="C207" s="2"/>
      <c r="D207" s="2"/>
      <c r="E207" s="1"/>
      <c r="F207" s="1"/>
      <c r="P207">
        <f t="shared" si="849"/>
        <v>0</v>
      </c>
      <c r="Q207">
        <f t="shared" si="850"/>
        <v>0</v>
      </c>
      <c r="R207">
        <f t="shared" si="851"/>
        <v>0</v>
      </c>
      <c r="S207">
        <f t="shared" si="852"/>
        <v>0</v>
      </c>
      <c r="T207">
        <f t="shared" si="853"/>
        <v>0</v>
      </c>
    </row>
    <row r="208" spans="1:20" x14ac:dyDescent="0.25">
      <c r="A208" s="5"/>
      <c r="B208" s="1"/>
      <c r="C208" s="2"/>
      <c r="D208" s="2"/>
      <c r="E208" s="1"/>
      <c r="F208" s="1"/>
      <c r="P208">
        <f t="shared" si="849"/>
        <v>0</v>
      </c>
      <c r="Q208">
        <f t="shared" si="850"/>
        <v>0</v>
      </c>
      <c r="R208">
        <f t="shared" si="851"/>
        <v>0</v>
      </c>
      <c r="S208">
        <f t="shared" si="852"/>
        <v>0</v>
      </c>
      <c r="T208">
        <f t="shared" si="853"/>
        <v>0</v>
      </c>
    </row>
    <row r="209" spans="1:20" x14ac:dyDescent="0.25">
      <c r="A209" s="5"/>
      <c r="B209" s="1"/>
      <c r="C209" s="2"/>
      <c r="D209" s="2"/>
      <c r="E209" s="1"/>
      <c r="F209" s="1"/>
      <c r="P209">
        <f t="shared" si="849"/>
        <v>0</v>
      </c>
      <c r="Q209">
        <f t="shared" si="850"/>
        <v>0</v>
      </c>
      <c r="R209">
        <f t="shared" si="851"/>
        <v>0</v>
      </c>
      <c r="S209">
        <f t="shared" si="852"/>
        <v>0</v>
      </c>
      <c r="T209">
        <f t="shared" si="853"/>
        <v>0</v>
      </c>
    </row>
    <row r="210" spans="1:20" x14ac:dyDescent="0.25">
      <c r="A210" s="5"/>
      <c r="B210" s="1"/>
      <c r="C210" s="2"/>
      <c r="D210" s="2"/>
      <c r="E210" s="1"/>
      <c r="F210" s="1"/>
      <c r="P210">
        <f t="shared" si="849"/>
        <v>0</v>
      </c>
      <c r="Q210">
        <f t="shared" si="850"/>
        <v>0</v>
      </c>
      <c r="R210">
        <f t="shared" si="851"/>
        <v>0</v>
      </c>
      <c r="S210">
        <f t="shared" si="852"/>
        <v>0</v>
      </c>
      <c r="T210">
        <f t="shared" si="853"/>
        <v>0</v>
      </c>
    </row>
    <row r="211" spans="1:20" x14ac:dyDescent="0.25">
      <c r="A211" s="5"/>
      <c r="B211" s="1"/>
      <c r="C211" s="2"/>
      <c r="D211" s="2"/>
      <c r="E211" s="1"/>
      <c r="F211" s="1"/>
      <c r="P211">
        <f t="shared" si="849"/>
        <v>0</v>
      </c>
      <c r="Q211">
        <f t="shared" si="850"/>
        <v>0</v>
      </c>
      <c r="R211">
        <f t="shared" si="851"/>
        <v>0</v>
      </c>
      <c r="S211">
        <f t="shared" si="852"/>
        <v>0</v>
      </c>
      <c r="T211">
        <f t="shared" si="853"/>
        <v>0</v>
      </c>
    </row>
    <row r="212" spans="1:20" x14ac:dyDescent="0.25">
      <c r="A212" s="5"/>
      <c r="B212" s="1"/>
      <c r="C212" s="2"/>
      <c r="D212" s="2"/>
      <c r="E212" s="1"/>
      <c r="F212" s="1"/>
      <c r="P212">
        <f t="shared" si="849"/>
        <v>0</v>
      </c>
      <c r="Q212">
        <f t="shared" si="850"/>
        <v>0</v>
      </c>
      <c r="R212">
        <f t="shared" si="851"/>
        <v>0</v>
      </c>
      <c r="S212">
        <f t="shared" si="852"/>
        <v>0</v>
      </c>
      <c r="T212">
        <f t="shared" si="853"/>
        <v>0</v>
      </c>
    </row>
    <row r="213" spans="1:20" x14ac:dyDescent="0.25">
      <c r="A213" s="5"/>
      <c r="B213" s="1"/>
      <c r="C213" s="2"/>
      <c r="D213" s="2"/>
      <c r="E213" s="1"/>
      <c r="F213" s="1"/>
      <c r="P213">
        <f t="shared" si="849"/>
        <v>0</v>
      </c>
      <c r="Q213">
        <f t="shared" si="850"/>
        <v>0</v>
      </c>
      <c r="R213">
        <f t="shared" si="851"/>
        <v>0</v>
      </c>
      <c r="S213">
        <f t="shared" si="852"/>
        <v>0</v>
      </c>
      <c r="T213">
        <f t="shared" si="853"/>
        <v>0</v>
      </c>
    </row>
    <row r="214" spans="1:20" x14ac:dyDescent="0.25">
      <c r="A214" s="5"/>
      <c r="B214" s="1"/>
      <c r="C214" s="2"/>
      <c r="D214" s="2"/>
      <c r="E214" s="1"/>
      <c r="F214" s="1"/>
      <c r="P214">
        <f t="shared" si="849"/>
        <v>0</v>
      </c>
      <c r="Q214">
        <f t="shared" si="850"/>
        <v>0</v>
      </c>
      <c r="R214">
        <f t="shared" si="851"/>
        <v>0</v>
      </c>
      <c r="S214">
        <f t="shared" si="852"/>
        <v>0</v>
      </c>
      <c r="T214">
        <f t="shared" si="853"/>
        <v>0</v>
      </c>
    </row>
    <row r="215" spans="1:20" x14ac:dyDescent="0.25">
      <c r="A215" s="5"/>
      <c r="B215" s="1"/>
      <c r="C215" s="2"/>
      <c r="D215" s="2"/>
      <c r="E215" s="1"/>
      <c r="F215" s="1"/>
      <c r="P215">
        <f t="shared" si="849"/>
        <v>0</v>
      </c>
      <c r="Q215">
        <f t="shared" si="850"/>
        <v>0</v>
      </c>
      <c r="R215">
        <f t="shared" si="851"/>
        <v>0</v>
      </c>
      <c r="S215">
        <f t="shared" si="852"/>
        <v>0</v>
      </c>
      <c r="T215">
        <f t="shared" si="853"/>
        <v>0</v>
      </c>
    </row>
    <row r="216" spans="1:20" x14ac:dyDescent="0.25">
      <c r="A216" s="5"/>
      <c r="B216" s="1"/>
      <c r="C216" s="2"/>
      <c r="D216" s="2"/>
      <c r="E216" s="1"/>
      <c r="F216" s="1"/>
      <c r="P216">
        <f t="shared" si="849"/>
        <v>0</v>
      </c>
      <c r="Q216">
        <f t="shared" si="850"/>
        <v>0</v>
      </c>
      <c r="R216">
        <f t="shared" si="851"/>
        <v>0</v>
      </c>
      <c r="S216">
        <f t="shared" si="852"/>
        <v>0</v>
      </c>
      <c r="T216">
        <f t="shared" si="853"/>
        <v>0</v>
      </c>
    </row>
    <row r="217" spans="1:20" x14ac:dyDescent="0.25">
      <c r="A217" s="5"/>
      <c r="B217" s="1"/>
      <c r="C217" s="2"/>
      <c r="D217" s="2"/>
      <c r="E217" s="1"/>
      <c r="F217" s="1"/>
      <c r="P217">
        <f t="shared" si="849"/>
        <v>0</v>
      </c>
      <c r="Q217">
        <f t="shared" si="850"/>
        <v>0</v>
      </c>
      <c r="R217">
        <f t="shared" si="851"/>
        <v>0</v>
      </c>
      <c r="S217">
        <f t="shared" si="852"/>
        <v>0</v>
      </c>
      <c r="T217">
        <f t="shared" si="853"/>
        <v>0</v>
      </c>
    </row>
    <row r="218" spans="1:20" x14ac:dyDescent="0.25">
      <c r="A218" s="5"/>
      <c r="B218" s="1"/>
      <c r="C218" s="2"/>
      <c r="D218" s="2"/>
      <c r="E218" s="1"/>
      <c r="F218" s="1"/>
      <c r="P218">
        <f t="shared" si="849"/>
        <v>0</v>
      </c>
      <c r="Q218">
        <f t="shared" si="850"/>
        <v>0</v>
      </c>
      <c r="R218">
        <f t="shared" si="851"/>
        <v>0</v>
      </c>
      <c r="S218">
        <f t="shared" si="852"/>
        <v>0</v>
      </c>
      <c r="T218">
        <f t="shared" si="853"/>
        <v>0</v>
      </c>
    </row>
    <row r="219" spans="1:20" x14ac:dyDescent="0.25">
      <c r="A219" s="5"/>
      <c r="B219" s="1"/>
      <c r="C219" s="2"/>
      <c r="D219" s="2"/>
      <c r="E219" s="1"/>
      <c r="F219" s="1"/>
      <c r="P219">
        <f t="shared" si="849"/>
        <v>0</v>
      </c>
      <c r="Q219">
        <f t="shared" si="850"/>
        <v>0</v>
      </c>
      <c r="R219">
        <f t="shared" si="851"/>
        <v>0</v>
      </c>
      <c r="S219">
        <f t="shared" si="852"/>
        <v>0</v>
      </c>
      <c r="T219">
        <f t="shared" si="853"/>
        <v>0</v>
      </c>
    </row>
    <row r="220" spans="1:20" x14ac:dyDescent="0.25">
      <c r="A220" s="5"/>
      <c r="B220" s="1"/>
      <c r="C220" s="2"/>
      <c r="D220" s="2"/>
      <c r="E220" s="1"/>
      <c r="F220" s="1"/>
      <c r="P220">
        <f t="shared" si="849"/>
        <v>0</v>
      </c>
      <c r="Q220">
        <f t="shared" si="850"/>
        <v>0</v>
      </c>
      <c r="R220">
        <f t="shared" si="851"/>
        <v>0</v>
      </c>
      <c r="S220">
        <f t="shared" si="852"/>
        <v>0</v>
      </c>
      <c r="T220">
        <f t="shared" si="853"/>
        <v>0</v>
      </c>
    </row>
    <row r="221" spans="1:20" x14ac:dyDescent="0.25">
      <c r="A221" s="5"/>
      <c r="B221" s="1"/>
      <c r="C221" s="2"/>
      <c r="D221" s="2"/>
      <c r="E221" s="1"/>
      <c r="F221" s="1"/>
      <c r="P221">
        <f t="shared" si="849"/>
        <v>0</v>
      </c>
      <c r="Q221">
        <f t="shared" si="850"/>
        <v>0</v>
      </c>
      <c r="R221">
        <f t="shared" si="851"/>
        <v>0</v>
      </c>
      <c r="S221">
        <f t="shared" si="852"/>
        <v>0</v>
      </c>
      <c r="T221">
        <f t="shared" si="853"/>
        <v>0</v>
      </c>
    </row>
    <row r="222" spans="1:20" x14ac:dyDescent="0.25">
      <c r="A222" s="5"/>
      <c r="B222" s="1"/>
      <c r="C222" s="2"/>
      <c r="D222" s="2"/>
      <c r="E222" s="1"/>
      <c r="F222" s="1"/>
      <c r="P222">
        <f t="shared" si="849"/>
        <v>0</v>
      </c>
      <c r="Q222">
        <f t="shared" si="850"/>
        <v>0</v>
      </c>
      <c r="R222">
        <f t="shared" si="851"/>
        <v>0</v>
      </c>
      <c r="S222">
        <f t="shared" si="852"/>
        <v>0</v>
      </c>
      <c r="T222">
        <f t="shared" si="853"/>
        <v>0</v>
      </c>
    </row>
    <row r="223" spans="1:20" x14ac:dyDescent="0.25">
      <c r="A223" s="5"/>
      <c r="B223" s="1"/>
      <c r="C223" s="2"/>
      <c r="D223" s="2"/>
      <c r="E223" s="1"/>
      <c r="F223" s="1"/>
      <c r="P223">
        <f t="shared" si="849"/>
        <v>0</v>
      </c>
      <c r="Q223">
        <f t="shared" si="850"/>
        <v>0</v>
      </c>
      <c r="R223">
        <f t="shared" si="851"/>
        <v>0</v>
      </c>
      <c r="S223">
        <f t="shared" si="852"/>
        <v>0</v>
      </c>
      <c r="T223">
        <f t="shared" si="853"/>
        <v>0</v>
      </c>
    </row>
    <row r="224" spans="1:20" x14ac:dyDescent="0.25">
      <c r="A224" s="5"/>
      <c r="B224" s="1"/>
      <c r="C224" s="2"/>
      <c r="D224" s="2"/>
      <c r="E224" s="1"/>
      <c r="F224" s="1"/>
      <c r="P224">
        <f t="shared" si="849"/>
        <v>0</v>
      </c>
      <c r="Q224">
        <f t="shared" si="850"/>
        <v>0</v>
      </c>
      <c r="R224">
        <f t="shared" si="851"/>
        <v>0</v>
      </c>
      <c r="S224">
        <f t="shared" si="852"/>
        <v>0</v>
      </c>
      <c r="T224">
        <f t="shared" si="853"/>
        <v>0</v>
      </c>
    </row>
    <row r="225" spans="1:20" x14ac:dyDescent="0.25">
      <c r="A225" s="5"/>
      <c r="B225" s="1"/>
      <c r="C225" s="2"/>
      <c r="D225" s="2"/>
      <c r="E225" s="1"/>
      <c r="F225" s="1"/>
      <c r="P225">
        <f t="shared" si="849"/>
        <v>0</v>
      </c>
      <c r="Q225">
        <f t="shared" si="850"/>
        <v>0</v>
      </c>
      <c r="R225">
        <f t="shared" si="851"/>
        <v>0</v>
      </c>
      <c r="S225">
        <f t="shared" si="852"/>
        <v>0</v>
      </c>
      <c r="T225">
        <f t="shared" si="853"/>
        <v>0</v>
      </c>
    </row>
    <row r="226" spans="1:20" x14ac:dyDescent="0.25">
      <c r="A226" s="5"/>
      <c r="B226" s="1"/>
      <c r="C226" s="2"/>
      <c r="D226" s="2"/>
      <c r="E226" s="1"/>
      <c r="F226" s="1"/>
      <c r="P226">
        <f t="shared" si="849"/>
        <v>0</v>
      </c>
      <c r="Q226">
        <f t="shared" si="850"/>
        <v>0</v>
      </c>
      <c r="R226">
        <f t="shared" si="851"/>
        <v>0</v>
      </c>
      <c r="S226">
        <f t="shared" si="852"/>
        <v>0</v>
      </c>
      <c r="T226">
        <f t="shared" si="85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849"/>
        <v>0</v>
      </c>
      <c r="Q227">
        <f t="shared" si="850"/>
        <v>0</v>
      </c>
      <c r="R227">
        <f t="shared" si="851"/>
        <v>0</v>
      </c>
      <c r="S227">
        <f t="shared" si="852"/>
        <v>0</v>
      </c>
      <c r="T227">
        <f t="shared" si="85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849"/>
        <v>0</v>
      </c>
      <c r="Q228">
        <f t="shared" si="850"/>
        <v>0</v>
      </c>
      <c r="R228">
        <f t="shared" si="851"/>
        <v>0</v>
      </c>
      <c r="S228">
        <f t="shared" si="852"/>
        <v>0</v>
      </c>
      <c r="T228">
        <f t="shared" si="85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849"/>
        <v>0</v>
      </c>
      <c r="Q229">
        <f t="shared" si="850"/>
        <v>0</v>
      </c>
      <c r="R229">
        <f t="shared" si="851"/>
        <v>0</v>
      </c>
      <c r="S229">
        <f t="shared" si="852"/>
        <v>0</v>
      </c>
      <c r="T229">
        <f t="shared" si="85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849"/>
        <v>0</v>
      </c>
      <c r="Q230">
        <f t="shared" si="850"/>
        <v>0</v>
      </c>
      <c r="R230">
        <f t="shared" si="851"/>
        <v>0</v>
      </c>
      <c r="S230">
        <f t="shared" si="852"/>
        <v>0</v>
      </c>
      <c r="T230">
        <f t="shared" si="85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849"/>
        <v>0</v>
      </c>
      <c r="Q231">
        <f t="shared" si="850"/>
        <v>0</v>
      </c>
      <c r="R231">
        <f t="shared" si="851"/>
        <v>0</v>
      </c>
      <c r="S231">
        <f t="shared" si="852"/>
        <v>0</v>
      </c>
      <c r="T231">
        <f t="shared" si="85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849"/>
        <v>0</v>
      </c>
      <c r="Q232">
        <f t="shared" si="850"/>
        <v>0</v>
      </c>
      <c r="R232">
        <f t="shared" si="851"/>
        <v>0</v>
      </c>
      <c r="S232">
        <f t="shared" si="852"/>
        <v>0</v>
      </c>
      <c r="T232">
        <f t="shared" si="85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849"/>
        <v>0</v>
      </c>
      <c r="Q233">
        <f t="shared" si="850"/>
        <v>0</v>
      </c>
      <c r="R233">
        <f t="shared" si="851"/>
        <v>0</v>
      </c>
      <c r="S233">
        <f t="shared" si="852"/>
        <v>0</v>
      </c>
      <c r="T233">
        <f t="shared" si="85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849"/>
        <v>0</v>
      </c>
      <c r="Q234">
        <f t="shared" si="850"/>
        <v>0</v>
      </c>
      <c r="R234">
        <f t="shared" si="851"/>
        <v>0</v>
      </c>
      <c r="S234">
        <f t="shared" si="852"/>
        <v>0</v>
      </c>
      <c r="T234">
        <f t="shared" si="85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849"/>
        <v>0</v>
      </c>
      <c r="Q235">
        <f t="shared" si="850"/>
        <v>0</v>
      </c>
      <c r="R235">
        <f t="shared" si="851"/>
        <v>0</v>
      </c>
      <c r="S235">
        <f t="shared" si="852"/>
        <v>0</v>
      </c>
      <c r="T235">
        <f t="shared" si="85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849"/>
        <v>0</v>
      </c>
      <c r="Q236">
        <f t="shared" si="850"/>
        <v>0</v>
      </c>
      <c r="R236">
        <f t="shared" si="851"/>
        <v>0</v>
      </c>
      <c r="S236">
        <f t="shared" si="852"/>
        <v>0</v>
      </c>
      <c r="T236">
        <f t="shared" si="85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849"/>
        <v>0</v>
      </c>
      <c r="Q237">
        <f t="shared" si="850"/>
        <v>0</v>
      </c>
      <c r="R237">
        <f t="shared" si="851"/>
        <v>0</v>
      </c>
      <c r="S237">
        <f t="shared" si="852"/>
        <v>0</v>
      </c>
      <c r="T237">
        <f t="shared" si="85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849"/>
        <v>0</v>
      </c>
      <c r="Q238">
        <f t="shared" si="850"/>
        <v>0</v>
      </c>
      <c r="R238">
        <f t="shared" si="851"/>
        <v>0</v>
      </c>
      <c r="S238">
        <f t="shared" si="852"/>
        <v>0</v>
      </c>
      <c r="T238">
        <f t="shared" si="85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849"/>
        <v>0</v>
      </c>
      <c r="Q239">
        <f t="shared" si="850"/>
        <v>0</v>
      </c>
      <c r="R239">
        <f t="shared" si="851"/>
        <v>0</v>
      </c>
      <c r="S239">
        <f t="shared" si="852"/>
        <v>0</v>
      </c>
      <c r="T239">
        <f t="shared" si="85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ref="P240:P303" si="854">IF(C240=D240,0,((E240-D240)-(C240-E240))/(C240-D240))</f>
        <v>0</v>
      </c>
      <c r="Q240">
        <f t="shared" ref="Q240:Q303" si="855">F240*P240</f>
        <v>0</v>
      </c>
      <c r="R240">
        <f t="shared" ref="R240:R303" si="856">R241+Q240</f>
        <v>0</v>
      </c>
      <c r="S240">
        <f t="shared" ref="S240:S303" si="857">R240/100000</f>
        <v>0</v>
      </c>
      <c r="T240">
        <f t="shared" ref="T240:T303" si="858">S240/1000</f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854"/>
        <v>0</v>
      </c>
      <c r="Q241">
        <f t="shared" si="855"/>
        <v>0</v>
      </c>
      <c r="R241">
        <f t="shared" si="856"/>
        <v>0</v>
      </c>
      <c r="S241">
        <f t="shared" si="857"/>
        <v>0</v>
      </c>
      <c r="T241">
        <f t="shared" si="858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854"/>
        <v>0</v>
      </c>
      <c r="Q242">
        <f t="shared" si="855"/>
        <v>0</v>
      </c>
      <c r="R242">
        <f t="shared" si="856"/>
        <v>0</v>
      </c>
      <c r="S242">
        <f t="shared" si="857"/>
        <v>0</v>
      </c>
      <c r="T242">
        <f t="shared" si="858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854"/>
        <v>0</v>
      </c>
      <c r="Q243">
        <f t="shared" si="855"/>
        <v>0</v>
      </c>
      <c r="R243">
        <f t="shared" si="856"/>
        <v>0</v>
      </c>
      <c r="S243">
        <f t="shared" si="857"/>
        <v>0</v>
      </c>
      <c r="T243">
        <f t="shared" si="858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854"/>
        <v>0</v>
      </c>
      <c r="Q244">
        <f t="shared" si="855"/>
        <v>0</v>
      </c>
      <c r="R244">
        <f t="shared" si="856"/>
        <v>0</v>
      </c>
      <c r="S244">
        <f t="shared" si="857"/>
        <v>0</v>
      </c>
      <c r="T244">
        <f t="shared" si="858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854"/>
        <v>0</v>
      </c>
      <c r="Q245">
        <f t="shared" si="855"/>
        <v>0</v>
      </c>
      <c r="R245">
        <f t="shared" si="856"/>
        <v>0</v>
      </c>
      <c r="S245">
        <f t="shared" si="857"/>
        <v>0</v>
      </c>
      <c r="T245">
        <f t="shared" si="858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854"/>
        <v>0</v>
      </c>
      <c r="Q246">
        <f t="shared" si="855"/>
        <v>0</v>
      </c>
      <c r="R246">
        <f t="shared" si="856"/>
        <v>0</v>
      </c>
      <c r="S246">
        <f t="shared" si="857"/>
        <v>0</v>
      </c>
      <c r="T246">
        <f t="shared" si="858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854"/>
        <v>0</v>
      </c>
      <c r="Q247">
        <f t="shared" si="855"/>
        <v>0</v>
      </c>
      <c r="R247">
        <f t="shared" si="856"/>
        <v>0</v>
      </c>
      <c r="S247">
        <f t="shared" si="857"/>
        <v>0</v>
      </c>
      <c r="T247">
        <f t="shared" si="858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854"/>
        <v>0</v>
      </c>
      <c r="Q248">
        <f t="shared" si="855"/>
        <v>0</v>
      </c>
      <c r="R248">
        <f t="shared" si="856"/>
        <v>0</v>
      </c>
      <c r="S248">
        <f t="shared" si="857"/>
        <v>0</v>
      </c>
      <c r="T248">
        <f t="shared" si="858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854"/>
        <v>0</v>
      </c>
      <c r="Q249">
        <f t="shared" si="855"/>
        <v>0</v>
      </c>
      <c r="R249">
        <f t="shared" si="856"/>
        <v>0</v>
      </c>
      <c r="S249">
        <f t="shared" si="857"/>
        <v>0</v>
      </c>
      <c r="T249">
        <f t="shared" si="858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854"/>
        <v>0</v>
      </c>
      <c r="Q250">
        <f t="shared" si="855"/>
        <v>0</v>
      </c>
      <c r="R250">
        <f t="shared" si="856"/>
        <v>0</v>
      </c>
      <c r="S250">
        <f t="shared" si="857"/>
        <v>0</v>
      </c>
      <c r="T250">
        <f t="shared" si="858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854"/>
        <v>0</v>
      </c>
      <c r="Q251">
        <f t="shared" si="855"/>
        <v>0</v>
      </c>
      <c r="R251">
        <f t="shared" si="856"/>
        <v>0</v>
      </c>
      <c r="S251">
        <f t="shared" si="857"/>
        <v>0</v>
      </c>
      <c r="T251">
        <f t="shared" si="858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854"/>
        <v>0</v>
      </c>
      <c r="Q252">
        <f t="shared" si="855"/>
        <v>0</v>
      </c>
      <c r="R252">
        <f t="shared" si="856"/>
        <v>0</v>
      </c>
      <c r="S252">
        <f t="shared" si="857"/>
        <v>0</v>
      </c>
      <c r="T252">
        <f t="shared" si="858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854"/>
        <v>0</v>
      </c>
      <c r="Q253">
        <f t="shared" si="855"/>
        <v>0</v>
      </c>
      <c r="R253">
        <f t="shared" si="856"/>
        <v>0</v>
      </c>
      <c r="S253">
        <f t="shared" si="857"/>
        <v>0</v>
      </c>
      <c r="T253">
        <f t="shared" si="858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854"/>
        <v>0</v>
      </c>
      <c r="Q254">
        <f t="shared" si="855"/>
        <v>0</v>
      </c>
      <c r="R254">
        <f t="shared" si="856"/>
        <v>0</v>
      </c>
      <c r="S254">
        <f t="shared" si="857"/>
        <v>0</v>
      </c>
      <c r="T254">
        <f t="shared" si="858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854"/>
        <v>0</v>
      </c>
      <c r="Q255">
        <f t="shared" si="855"/>
        <v>0</v>
      </c>
      <c r="R255">
        <f t="shared" si="856"/>
        <v>0</v>
      </c>
      <c r="S255">
        <f t="shared" si="857"/>
        <v>0</v>
      </c>
      <c r="T255">
        <f t="shared" si="858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854"/>
        <v>0</v>
      </c>
      <c r="Q256">
        <f t="shared" si="855"/>
        <v>0</v>
      </c>
      <c r="R256">
        <f t="shared" si="856"/>
        <v>0</v>
      </c>
      <c r="S256">
        <f t="shared" si="857"/>
        <v>0</v>
      </c>
      <c r="T256">
        <f t="shared" si="858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854"/>
        <v>0</v>
      </c>
      <c r="Q257">
        <f t="shared" si="855"/>
        <v>0</v>
      </c>
      <c r="R257">
        <f t="shared" si="856"/>
        <v>0</v>
      </c>
      <c r="S257">
        <f t="shared" si="857"/>
        <v>0</v>
      </c>
      <c r="T257">
        <f t="shared" si="858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854"/>
        <v>0</v>
      </c>
      <c r="Q258">
        <f t="shared" si="855"/>
        <v>0</v>
      </c>
      <c r="R258">
        <f t="shared" si="856"/>
        <v>0</v>
      </c>
      <c r="S258">
        <f t="shared" si="857"/>
        <v>0</v>
      </c>
      <c r="T258">
        <f t="shared" si="858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854"/>
        <v>0</v>
      </c>
      <c r="Q259">
        <f t="shared" si="855"/>
        <v>0</v>
      </c>
      <c r="R259">
        <f t="shared" si="856"/>
        <v>0</v>
      </c>
      <c r="S259">
        <f t="shared" si="857"/>
        <v>0</v>
      </c>
      <c r="T259">
        <f t="shared" si="858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854"/>
        <v>0</v>
      </c>
      <c r="Q260">
        <f t="shared" si="855"/>
        <v>0</v>
      </c>
      <c r="R260">
        <f t="shared" si="856"/>
        <v>0</v>
      </c>
      <c r="S260">
        <f t="shared" si="857"/>
        <v>0</v>
      </c>
      <c r="T260">
        <f t="shared" si="858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854"/>
        <v>0</v>
      </c>
      <c r="Q261">
        <f t="shared" si="855"/>
        <v>0</v>
      </c>
      <c r="R261">
        <f t="shared" si="856"/>
        <v>0</v>
      </c>
      <c r="S261">
        <f t="shared" si="857"/>
        <v>0</v>
      </c>
      <c r="T261">
        <f t="shared" si="858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si="854"/>
        <v>0</v>
      </c>
      <c r="Q262">
        <f t="shared" si="855"/>
        <v>0</v>
      </c>
      <c r="R262">
        <f t="shared" si="856"/>
        <v>0</v>
      </c>
      <c r="S262">
        <f t="shared" si="857"/>
        <v>0</v>
      </c>
      <c r="T262">
        <f t="shared" si="858"/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854"/>
        <v>0</v>
      </c>
      <c r="Q263">
        <f t="shared" si="855"/>
        <v>0</v>
      </c>
      <c r="R263">
        <f t="shared" si="856"/>
        <v>0</v>
      </c>
      <c r="S263">
        <f t="shared" si="857"/>
        <v>0</v>
      </c>
      <c r="T263">
        <f t="shared" si="85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854"/>
        <v>0</v>
      </c>
      <c r="Q264">
        <f t="shared" si="855"/>
        <v>0</v>
      </c>
      <c r="R264">
        <f t="shared" si="856"/>
        <v>0</v>
      </c>
      <c r="S264">
        <f t="shared" si="857"/>
        <v>0</v>
      </c>
      <c r="T264">
        <f t="shared" si="85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854"/>
        <v>0</v>
      </c>
      <c r="Q265">
        <f t="shared" si="855"/>
        <v>0</v>
      </c>
      <c r="R265">
        <f t="shared" si="856"/>
        <v>0</v>
      </c>
      <c r="S265">
        <f t="shared" si="857"/>
        <v>0</v>
      </c>
      <c r="T265">
        <f t="shared" si="85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854"/>
        <v>0</v>
      </c>
      <c r="Q266">
        <f t="shared" si="855"/>
        <v>0</v>
      </c>
      <c r="R266">
        <f t="shared" si="856"/>
        <v>0</v>
      </c>
      <c r="S266">
        <f t="shared" si="857"/>
        <v>0</v>
      </c>
      <c r="T266">
        <f t="shared" si="85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854"/>
        <v>0</v>
      </c>
      <c r="Q267">
        <f t="shared" si="855"/>
        <v>0</v>
      </c>
      <c r="R267">
        <f t="shared" si="856"/>
        <v>0</v>
      </c>
      <c r="S267">
        <f t="shared" si="857"/>
        <v>0</v>
      </c>
      <c r="T267">
        <f t="shared" si="85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854"/>
        <v>0</v>
      </c>
      <c r="Q268">
        <f t="shared" si="855"/>
        <v>0</v>
      </c>
      <c r="R268">
        <f t="shared" si="856"/>
        <v>0</v>
      </c>
      <c r="S268">
        <f t="shared" si="857"/>
        <v>0</v>
      </c>
      <c r="T268">
        <f t="shared" si="85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854"/>
        <v>0</v>
      </c>
      <c r="Q269">
        <f t="shared" si="855"/>
        <v>0</v>
      </c>
      <c r="R269">
        <f t="shared" si="856"/>
        <v>0</v>
      </c>
      <c r="S269">
        <f t="shared" si="857"/>
        <v>0</v>
      </c>
      <c r="T269">
        <f t="shared" si="85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854"/>
        <v>0</v>
      </c>
      <c r="Q270">
        <f t="shared" si="855"/>
        <v>0</v>
      </c>
      <c r="R270">
        <f t="shared" si="856"/>
        <v>0</v>
      </c>
      <c r="S270">
        <f t="shared" si="857"/>
        <v>0</v>
      </c>
      <c r="T270">
        <f t="shared" si="85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854"/>
        <v>0</v>
      </c>
      <c r="Q271">
        <f t="shared" si="855"/>
        <v>0</v>
      </c>
      <c r="R271">
        <f t="shared" si="856"/>
        <v>0</v>
      </c>
      <c r="S271">
        <f t="shared" si="857"/>
        <v>0</v>
      </c>
      <c r="T271">
        <f t="shared" si="85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854"/>
        <v>0</v>
      </c>
      <c r="Q272">
        <f t="shared" si="855"/>
        <v>0</v>
      </c>
      <c r="R272">
        <f t="shared" si="856"/>
        <v>0</v>
      </c>
      <c r="S272">
        <f t="shared" si="857"/>
        <v>0</v>
      </c>
      <c r="T272">
        <f t="shared" si="85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854"/>
        <v>0</v>
      </c>
      <c r="Q273">
        <f t="shared" si="855"/>
        <v>0</v>
      </c>
      <c r="R273">
        <f t="shared" si="856"/>
        <v>0</v>
      </c>
      <c r="S273">
        <f t="shared" si="857"/>
        <v>0</v>
      </c>
      <c r="T273">
        <f t="shared" si="85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854"/>
        <v>0</v>
      </c>
      <c r="Q274">
        <f t="shared" si="855"/>
        <v>0</v>
      </c>
      <c r="R274">
        <f t="shared" si="856"/>
        <v>0</v>
      </c>
      <c r="S274">
        <f t="shared" si="857"/>
        <v>0</v>
      </c>
      <c r="T274">
        <f t="shared" si="85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854"/>
        <v>0</v>
      </c>
      <c r="Q275">
        <f t="shared" si="855"/>
        <v>0</v>
      </c>
      <c r="R275">
        <f t="shared" si="856"/>
        <v>0</v>
      </c>
      <c r="S275">
        <f t="shared" si="857"/>
        <v>0</v>
      </c>
      <c r="T275">
        <f t="shared" si="85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854"/>
        <v>0</v>
      </c>
      <c r="Q276">
        <f t="shared" si="855"/>
        <v>0</v>
      </c>
      <c r="R276">
        <f t="shared" si="856"/>
        <v>0</v>
      </c>
      <c r="S276">
        <f t="shared" si="857"/>
        <v>0</v>
      </c>
      <c r="T276">
        <f t="shared" si="85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854"/>
        <v>0</v>
      </c>
      <c r="Q277">
        <f t="shared" si="855"/>
        <v>0</v>
      </c>
      <c r="R277">
        <f t="shared" si="856"/>
        <v>0</v>
      </c>
      <c r="S277">
        <f t="shared" si="857"/>
        <v>0</v>
      </c>
      <c r="T277">
        <f t="shared" si="85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854"/>
        <v>0</v>
      </c>
      <c r="Q278">
        <f t="shared" si="855"/>
        <v>0</v>
      </c>
      <c r="R278">
        <f t="shared" si="856"/>
        <v>0</v>
      </c>
      <c r="S278">
        <f t="shared" si="857"/>
        <v>0</v>
      </c>
      <c r="T278">
        <f t="shared" si="85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854"/>
        <v>0</v>
      </c>
      <c r="Q279">
        <f t="shared" si="855"/>
        <v>0</v>
      </c>
      <c r="R279">
        <f t="shared" si="856"/>
        <v>0</v>
      </c>
      <c r="S279">
        <f t="shared" si="857"/>
        <v>0</v>
      </c>
      <c r="T279">
        <f t="shared" si="85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854"/>
        <v>0</v>
      </c>
      <c r="Q280">
        <f t="shared" si="855"/>
        <v>0</v>
      </c>
      <c r="R280">
        <f t="shared" si="856"/>
        <v>0</v>
      </c>
      <c r="S280">
        <f t="shared" si="857"/>
        <v>0</v>
      </c>
      <c r="T280">
        <f t="shared" si="85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854"/>
        <v>0</v>
      </c>
      <c r="Q281">
        <f t="shared" si="855"/>
        <v>0</v>
      </c>
      <c r="R281">
        <f t="shared" si="856"/>
        <v>0</v>
      </c>
      <c r="S281">
        <f t="shared" si="857"/>
        <v>0</v>
      </c>
      <c r="T281">
        <f t="shared" si="85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854"/>
        <v>0</v>
      </c>
      <c r="Q282">
        <f t="shared" si="855"/>
        <v>0</v>
      </c>
      <c r="R282">
        <f t="shared" si="856"/>
        <v>0</v>
      </c>
      <c r="S282">
        <f t="shared" si="857"/>
        <v>0</v>
      </c>
      <c r="T282">
        <f t="shared" si="85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854"/>
        <v>0</v>
      </c>
      <c r="Q283">
        <f t="shared" si="855"/>
        <v>0</v>
      </c>
      <c r="R283">
        <f t="shared" si="856"/>
        <v>0</v>
      </c>
      <c r="S283">
        <f t="shared" si="857"/>
        <v>0</v>
      </c>
      <c r="T283">
        <f t="shared" si="85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854"/>
        <v>0</v>
      </c>
      <c r="Q284">
        <f t="shared" si="855"/>
        <v>0</v>
      </c>
      <c r="R284">
        <f t="shared" si="856"/>
        <v>0</v>
      </c>
      <c r="S284">
        <f t="shared" si="857"/>
        <v>0</v>
      </c>
      <c r="T284">
        <f t="shared" si="85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854"/>
        <v>0</v>
      </c>
      <c r="Q285">
        <f t="shared" si="855"/>
        <v>0</v>
      </c>
      <c r="R285">
        <f t="shared" si="856"/>
        <v>0</v>
      </c>
      <c r="S285">
        <f t="shared" si="857"/>
        <v>0</v>
      </c>
      <c r="T285">
        <f t="shared" si="85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854"/>
        <v>0</v>
      </c>
      <c r="Q286">
        <f t="shared" si="855"/>
        <v>0</v>
      </c>
      <c r="R286">
        <f t="shared" si="856"/>
        <v>0</v>
      </c>
      <c r="S286">
        <f t="shared" si="857"/>
        <v>0</v>
      </c>
      <c r="T286">
        <f t="shared" si="85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854"/>
        <v>0</v>
      </c>
      <c r="Q287">
        <f t="shared" si="855"/>
        <v>0</v>
      </c>
      <c r="R287">
        <f t="shared" si="856"/>
        <v>0</v>
      </c>
      <c r="S287">
        <f t="shared" si="857"/>
        <v>0</v>
      </c>
      <c r="T287">
        <f t="shared" si="85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854"/>
        <v>0</v>
      </c>
      <c r="Q288">
        <f t="shared" si="855"/>
        <v>0</v>
      </c>
      <c r="R288">
        <f t="shared" si="856"/>
        <v>0</v>
      </c>
      <c r="S288">
        <f t="shared" si="857"/>
        <v>0</v>
      </c>
      <c r="T288">
        <f t="shared" si="85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854"/>
        <v>0</v>
      </c>
      <c r="Q289">
        <f t="shared" si="855"/>
        <v>0</v>
      </c>
      <c r="R289">
        <f t="shared" si="856"/>
        <v>0</v>
      </c>
      <c r="S289">
        <f t="shared" si="857"/>
        <v>0</v>
      </c>
      <c r="T289">
        <f t="shared" si="85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854"/>
        <v>0</v>
      </c>
      <c r="Q290">
        <f t="shared" si="855"/>
        <v>0</v>
      </c>
      <c r="R290">
        <f t="shared" si="856"/>
        <v>0</v>
      </c>
      <c r="S290">
        <f t="shared" si="857"/>
        <v>0</v>
      </c>
      <c r="T290">
        <f t="shared" si="85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854"/>
        <v>0</v>
      </c>
      <c r="Q291">
        <f t="shared" si="855"/>
        <v>0</v>
      </c>
      <c r="R291">
        <f t="shared" si="856"/>
        <v>0</v>
      </c>
      <c r="S291">
        <f t="shared" si="857"/>
        <v>0</v>
      </c>
      <c r="T291">
        <f t="shared" si="858"/>
        <v>0</v>
      </c>
    </row>
    <row r="292" spans="1:20" x14ac:dyDescent="0.25">
      <c r="A292" s="5"/>
      <c r="P292">
        <f t="shared" si="854"/>
        <v>0</v>
      </c>
      <c r="Q292">
        <f t="shared" si="855"/>
        <v>0</v>
      </c>
      <c r="R292">
        <f t="shared" si="856"/>
        <v>0</v>
      </c>
      <c r="S292">
        <f t="shared" si="857"/>
        <v>0</v>
      </c>
      <c r="T292">
        <f t="shared" si="858"/>
        <v>0</v>
      </c>
    </row>
    <row r="293" spans="1:20" x14ac:dyDescent="0.25">
      <c r="A293" s="5"/>
      <c r="P293">
        <f t="shared" si="854"/>
        <v>0</v>
      </c>
      <c r="Q293">
        <f t="shared" si="855"/>
        <v>0</v>
      </c>
      <c r="R293">
        <f t="shared" si="856"/>
        <v>0</v>
      </c>
      <c r="S293">
        <f t="shared" si="857"/>
        <v>0</v>
      </c>
      <c r="T293">
        <f t="shared" si="858"/>
        <v>0</v>
      </c>
    </row>
    <row r="294" spans="1:20" x14ac:dyDescent="0.25">
      <c r="A294" s="5"/>
      <c r="P294">
        <f t="shared" si="854"/>
        <v>0</v>
      </c>
      <c r="Q294">
        <f t="shared" si="855"/>
        <v>0</v>
      </c>
      <c r="R294">
        <f t="shared" si="856"/>
        <v>0</v>
      </c>
      <c r="S294">
        <f t="shared" si="857"/>
        <v>0</v>
      </c>
      <c r="T294">
        <f t="shared" si="858"/>
        <v>0</v>
      </c>
    </row>
    <row r="295" spans="1:20" x14ac:dyDescent="0.25">
      <c r="A295" s="5"/>
      <c r="P295">
        <f t="shared" si="854"/>
        <v>0</v>
      </c>
      <c r="Q295">
        <f t="shared" si="855"/>
        <v>0</v>
      </c>
      <c r="R295">
        <f t="shared" si="856"/>
        <v>0</v>
      </c>
      <c r="S295">
        <f t="shared" si="857"/>
        <v>0</v>
      </c>
      <c r="T295">
        <f t="shared" si="858"/>
        <v>0</v>
      </c>
    </row>
    <row r="296" spans="1:20" x14ac:dyDescent="0.25">
      <c r="A296" s="5"/>
      <c r="P296">
        <f t="shared" si="854"/>
        <v>0</v>
      </c>
      <c r="Q296">
        <f t="shared" si="855"/>
        <v>0</v>
      </c>
      <c r="R296">
        <f t="shared" si="856"/>
        <v>0</v>
      </c>
      <c r="S296">
        <f t="shared" si="857"/>
        <v>0</v>
      </c>
      <c r="T296">
        <f t="shared" si="858"/>
        <v>0</v>
      </c>
    </row>
    <row r="297" spans="1:20" x14ac:dyDescent="0.25">
      <c r="A297" s="5"/>
      <c r="P297">
        <f t="shared" si="854"/>
        <v>0</v>
      </c>
      <c r="Q297">
        <f t="shared" si="855"/>
        <v>0</v>
      </c>
      <c r="R297">
        <f t="shared" si="856"/>
        <v>0</v>
      </c>
      <c r="S297">
        <f t="shared" si="857"/>
        <v>0</v>
      </c>
      <c r="T297">
        <f t="shared" si="858"/>
        <v>0</v>
      </c>
    </row>
    <row r="298" spans="1:20" x14ac:dyDescent="0.25">
      <c r="A298" s="5"/>
      <c r="P298">
        <f t="shared" si="854"/>
        <v>0</v>
      </c>
      <c r="Q298">
        <f t="shared" si="855"/>
        <v>0</v>
      </c>
      <c r="R298">
        <f t="shared" si="856"/>
        <v>0</v>
      </c>
      <c r="S298">
        <f t="shared" si="857"/>
        <v>0</v>
      </c>
      <c r="T298">
        <f t="shared" si="858"/>
        <v>0</v>
      </c>
    </row>
    <row r="299" spans="1:20" x14ac:dyDescent="0.25">
      <c r="A299" s="5"/>
      <c r="P299">
        <f t="shared" si="854"/>
        <v>0</v>
      </c>
      <c r="Q299">
        <f t="shared" si="855"/>
        <v>0</v>
      </c>
      <c r="R299">
        <f t="shared" si="856"/>
        <v>0</v>
      </c>
      <c r="S299">
        <f t="shared" si="857"/>
        <v>0</v>
      </c>
      <c r="T299">
        <f t="shared" si="858"/>
        <v>0</v>
      </c>
    </row>
    <row r="300" spans="1:20" x14ac:dyDescent="0.25">
      <c r="A300" s="5"/>
      <c r="P300">
        <f t="shared" si="854"/>
        <v>0</v>
      </c>
      <c r="Q300">
        <f t="shared" si="855"/>
        <v>0</v>
      </c>
      <c r="R300">
        <f t="shared" si="856"/>
        <v>0</v>
      </c>
      <c r="S300">
        <f t="shared" si="857"/>
        <v>0</v>
      </c>
      <c r="T300">
        <f t="shared" si="858"/>
        <v>0</v>
      </c>
    </row>
    <row r="301" spans="1:20" x14ac:dyDescent="0.25">
      <c r="A301" s="5"/>
      <c r="P301">
        <f t="shared" si="854"/>
        <v>0</v>
      </c>
      <c r="Q301">
        <f t="shared" si="855"/>
        <v>0</v>
      </c>
      <c r="R301">
        <f t="shared" si="856"/>
        <v>0</v>
      </c>
      <c r="S301">
        <f t="shared" si="857"/>
        <v>0</v>
      </c>
      <c r="T301">
        <f t="shared" si="858"/>
        <v>0</v>
      </c>
    </row>
    <row r="302" spans="1:20" x14ac:dyDescent="0.25">
      <c r="A302" s="5"/>
      <c r="P302">
        <f t="shared" si="854"/>
        <v>0</v>
      </c>
      <c r="Q302">
        <f t="shared" si="855"/>
        <v>0</v>
      </c>
      <c r="R302">
        <f t="shared" si="856"/>
        <v>0</v>
      </c>
      <c r="S302">
        <f t="shared" si="857"/>
        <v>0</v>
      </c>
      <c r="T302">
        <f t="shared" si="858"/>
        <v>0</v>
      </c>
    </row>
    <row r="303" spans="1:20" x14ac:dyDescent="0.25">
      <c r="A303" s="5"/>
      <c r="C303"/>
      <c r="D303"/>
      <c r="P303">
        <f t="shared" si="854"/>
        <v>0</v>
      </c>
      <c r="Q303">
        <f t="shared" si="855"/>
        <v>0</v>
      </c>
      <c r="R303">
        <f t="shared" si="856"/>
        <v>0</v>
      </c>
      <c r="S303">
        <f t="shared" si="857"/>
        <v>0</v>
      </c>
      <c r="T303">
        <f t="shared" si="858"/>
        <v>0</v>
      </c>
    </row>
    <row r="304" spans="1:20" x14ac:dyDescent="0.25">
      <c r="A304" s="5"/>
      <c r="C304"/>
      <c r="D304"/>
      <c r="P304">
        <f t="shared" ref="P304:P367" si="859">IF(C304=D304,0,((E304-D304)-(C304-E304))/(C304-D304))</f>
        <v>0</v>
      </c>
      <c r="Q304">
        <f t="shared" ref="Q304:Q367" si="860">F304*P304</f>
        <v>0</v>
      </c>
      <c r="R304">
        <f t="shared" ref="R304:R367" si="861">R305+Q304</f>
        <v>0</v>
      </c>
      <c r="S304">
        <f t="shared" ref="S304:S367" si="862">R304/100000</f>
        <v>0</v>
      </c>
      <c r="T304">
        <f t="shared" ref="T304:T367" si="863">S304/1000</f>
        <v>0</v>
      </c>
    </row>
    <row r="305" spans="1:20" x14ac:dyDescent="0.25">
      <c r="A305" s="5"/>
      <c r="C305"/>
      <c r="D305"/>
      <c r="P305">
        <f t="shared" si="859"/>
        <v>0</v>
      </c>
      <c r="Q305">
        <f t="shared" si="860"/>
        <v>0</v>
      </c>
      <c r="R305">
        <f t="shared" si="861"/>
        <v>0</v>
      </c>
      <c r="S305">
        <f t="shared" si="862"/>
        <v>0</v>
      </c>
      <c r="T305">
        <f t="shared" si="863"/>
        <v>0</v>
      </c>
    </row>
    <row r="306" spans="1:20" x14ac:dyDescent="0.25">
      <c r="A306" s="5"/>
      <c r="C306"/>
      <c r="D306"/>
      <c r="P306">
        <f t="shared" si="859"/>
        <v>0</v>
      </c>
      <c r="Q306">
        <f t="shared" si="860"/>
        <v>0</v>
      </c>
      <c r="R306">
        <f t="shared" si="861"/>
        <v>0</v>
      </c>
      <c r="S306">
        <f t="shared" si="862"/>
        <v>0</v>
      </c>
      <c r="T306">
        <f t="shared" si="863"/>
        <v>0</v>
      </c>
    </row>
    <row r="307" spans="1:20" x14ac:dyDescent="0.25">
      <c r="A307" s="5"/>
      <c r="C307"/>
      <c r="D307"/>
      <c r="P307">
        <f t="shared" si="859"/>
        <v>0</v>
      </c>
      <c r="Q307">
        <f t="shared" si="860"/>
        <v>0</v>
      </c>
      <c r="R307">
        <f t="shared" si="861"/>
        <v>0</v>
      </c>
      <c r="S307">
        <f t="shared" si="862"/>
        <v>0</v>
      </c>
      <c r="T307">
        <f t="shared" si="863"/>
        <v>0</v>
      </c>
    </row>
    <row r="308" spans="1:20" x14ac:dyDescent="0.25">
      <c r="A308" s="5"/>
      <c r="C308"/>
      <c r="D308"/>
      <c r="P308">
        <f t="shared" si="859"/>
        <v>0</v>
      </c>
      <c r="Q308">
        <f t="shared" si="860"/>
        <v>0</v>
      </c>
      <c r="R308">
        <f t="shared" si="861"/>
        <v>0</v>
      </c>
      <c r="S308">
        <f t="shared" si="862"/>
        <v>0</v>
      </c>
      <c r="T308">
        <f t="shared" si="863"/>
        <v>0</v>
      </c>
    </row>
    <row r="309" spans="1:20" x14ac:dyDescent="0.25">
      <c r="A309" s="5"/>
      <c r="C309"/>
      <c r="D309"/>
      <c r="P309">
        <f t="shared" si="859"/>
        <v>0</v>
      </c>
      <c r="Q309">
        <f t="shared" si="860"/>
        <v>0</v>
      </c>
      <c r="R309">
        <f t="shared" si="861"/>
        <v>0</v>
      </c>
      <c r="S309">
        <f t="shared" si="862"/>
        <v>0</v>
      </c>
      <c r="T309">
        <f t="shared" si="863"/>
        <v>0</v>
      </c>
    </row>
    <row r="310" spans="1:20" x14ac:dyDescent="0.25">
      <c r="A310" s="5"/>
      <c r="C310"/>
      <c r="D310"/>
      <c r="P310">
        <f t="shared" si="859"/>
        <v>0</v>
      </c>
      <c r="Q310">
        <f t="shared" si="860"/>
        <v>0</v>
      </c>
      <c r="R310">
        <f t="shared" si="861"/>
        <v>0</v>
      </c>
      <c r="S310">
        <f t="shared" si="862"/>
        <v>0</v>
      </c>
      <c r="T310">
        <f t="shared" si="863"/>
        <v>0</v>
      </c>
    </row>
    <row r="311" spans="1:20" x14ac:dyDescent="0.25">
      <c r="A311" s="5"/>
      <c r="C311"/>
      <c r="D311"/>
      <c r="P311">
        <f t="shared" si="859"/>
        <v>0</v>
      </c>
      <c r="Q311">
        <f t="shared" si="860"/>
        <v>0</v>
      </c>
      <c r="R311">
        <f t="shared" si="861"/>
        <v>0</v>
      </c>
      <c r="S311">
        <f t="shared" si="862"/>
        <v>0</v>
      </c>
      <c r="T311">
        <f t="shared" si="863"/>
        <v>0</v>
      </c>
    </row>
    <row r="312" spans="1:20" x14ac:dyDescent="0.25">
      <c r="A312" s="5"/>
      <c r="C312"/>
      <c r="D312"/>
      <c r="P312">
        <f t="shared" si="859"/>
        <v>0</v>
      </c>
      <c r="Q312">
        <f t="shared" si="860"/>
        <v>0</v>
      </c>
      <c r="R312">
        <f t="shared" si="861"/>
        <v>0</v>
      </c>
      <c r="S312">
        <f t="shared" si="862"/>
        <v>0</v>
      </c>
      <c r="T312">
        <f t="shared" si="863"/>
        <v>0</v>
      </c>
    </row>
    <row r="313" spans="1:20" x14ac:dyDescent="0.25">
      <c r="A313" s="5"/>
      <c r="C313"/>
      <c r="D313"/>
      <c r="P313">
        <f t="shared" si="859"/>
        <v>0</v>
      </c>
      <c r="Q313">
        <f t="shared" si="860"/>
        <v>0</v>
      </c>
      <c r="R313">
        <f t="shared" si="861"/>
        <v>0</v>
      </c>
      <c r="S313">
        <f t="shared" si="862"/>
        <v>0</v>
      </c>
      <c r="T313">
        <f t="shared" si="863"/>
        <v>0</v>
      </c>
    </row>
    <row r="314" spans="1:20" x14ac:dyDescent="0.25">
      <c r="A314" s="5"/>
      <c r="C314"/>
      <c r="D314"/>
      <c r="P314">
        <f t="shared" si="859"/>
        <v>0</v>
      </c>
      <c r="Q314">
        <f t="shared" si="860"/>
        <v>0</v>
      </c>
      <c r="R314">
        <f t="shared" si="861"/>
        <v>0</v>
      </c>
      <c r="S314">
        <f t="shared" si="862"/>
        <v>0</v>
      </c>
      <c r="T314">
        <f t="shared" si="863"/>
        <v>0</v>
      </c>
    </row>
    <row r="315" spans="1:20" x14ac:dyDescent="0.25">
      <c r="A315" s="5"/>
      <c r="C315"/>
      <c r="D315"/>
      <c r="P315">
        <f t="shared" si="859"/>
        <v>0</v>
      </c>
      <c r="Q315">
        <f t="shared" si="860"/>
        <v>0</v>
      </c>
      <c r="R315">
        <f t="shared" si="861"/>
        <v>0</v>
      </c>
      <c r="S315">
        <f t="shared" si="862"/>
        <v>0</v>
      </c>
      <c r="T315">
        <f t="shared" si="863"/>
        <v>0</v>
      </c>
    </row>
    <row r="316" spans="1:20" x14ac:dyDescent="0.25">
      <c r="A316" s="5"/>
      <c r="C316"/>
      <c r="D316"/>
      <c r="P316">
        <f t="shared" si="859"/>
        <v>0</v>
      </c>
      <c r="Q316">
        <f t="shared" si="860"/>
        <v>0</v>
      </c>
      <c r="R316">
        <f t="shared" si="861"/>
        <v>0</v>
      </c>
      <c r="S316">
        <f t="shared" si="862"/>
        <v>0</v>
      </c>
      <c r="T316">
        <f t="shared" si="863"/>
        <v>0</v>
      </c>
    </row>
    <row r="317" spans="1:20" x14ac:dyDescent="0.25">
      <c r="A317" s="5"/>
      <c r="C317"/>
      <c r="D317"/>
      <c r="P317">
        <f t="shared" si="859"/>
        <v>0</v>
      </c>
      <c r="Q317">
        <f t="shared" si="860"/>
        <v>0</v>
      </c>
      <c r="R317">
        <f t="shared" si="861"/>
        <v>0</v>
      </c>
      <c r="S317">
        <f t="shared" si="862"/>
        <v>0</v>
      </c>
      <c r="T317">
        <f t="shared" si="863"/>
        <v>0</v>
      </c>
    </row>
    <row r="318" spans="1:20" x14ac:dyDescent="0.25">
      <c r="A318" s="5"/>
      <c r="C318"/>
      <c r="D318"/>
      <c r="P318">
        <f t="shared" si="859"/>
        <v>0</v>
      </c>
      <c r="Q318">
        <f t="shared" si="860"/>
        <v>0</v>
      </c>
      <c r="R318">
        <f t="shared" si="861"/>
        <v>0</v>
      </c>
      <c r="S318">
        <f t="shared" si="862"/>
        <v>0</v>
      </c>
      <c r="T318">
        <f t="shared" si="863"/>
        <v>0</v>
      </c>
    </row>
    <row r="319" spans="1:20" x14ac:dyDescent="0.25">
      <c r="A319" s="5"/>
      <c r="C319"/>
      <c r="D319"/>
      <c r="P319">
        <f t="shared" si="859"/>
        <v>0</v>
      </c>
      <c r="Q319">
        <f t="shared" si="860"/>
        <v>0</v>
      </c>
      <c r="R319">
        <f t="shared" si="861"/>
        <v>0</v>
      </c>
      <c r="S319">
        <f t="shared" si="862"/>
        <v>0</v>
      </c>
      <c r="T319">
        <f t="shared" si="863"/>
        <v>0</v>
      </c>
    </row>
    <row r="320" spans="1:20" x14ac:dyDescent="0.25">
      <c r="A320" s="5"/>
      <c r="C320"/>
      <c r="D320"/>
      <c r="P320">
        <f t="shared" si="859"/>
        <v>0</v>
      </c>
      <c r="Q320">
        <f t="shared" si="860"/>
        <v>0</v>
      </c>
      <c r="R320">
        <f t="shared" si="861"/>
        <v>0</v>
      </c>
      <c r="S320">
        <f t="shared" si="862"/>
        <v>0</v>
      </c>
      <c r="T320">
        <f t="shared" si="863"/>
        <v>0</v>
      </c>
    </row>
    <row r="321" spans="1:20" x14ac:dyDescent="0.25">
      <c r="A321" s="5"/>
      <c r="C321"/>
      <c r="D321"/>
      <c r="P321">
        <f t="shared" si="859"/>
        <v>0</v>
      </c>
      <c r="Q321">
        <f t="shared" si="860"/>
        <v>0</v>
      </c>
      <c r="R321">
        <f t="shared" si="861"/>
        <v>0</v>
      </c>
      <c r="S321">
        <f t="shared" si="862"/>
        <v>0</v>
      </c>
      <c r="T321">
        <f t="shared" si="863"/>
        <v>0</v>
      </c>
    </row>
    <row r="322" spans="1:20" x14ac:dyDescent="0.25">
      <c r="A322" s="5"/>
      <c r="C322"/>
      <c r="D322"/>
      <c r="P322">
        <f t="shared" si="859"/>
        <v>0</v>
      </c>
      <c r="Q322">
        <f t="shared" si="860"/>
        <v>0</v>
      </c>
      <c r="R322">
        <f t="shared" si="861"/>
        <v>0</v>
      </c>
      <c r="S322">
        <f t="shared" si="862"/>
        <v>0</v>
      </c>
      <c r="T322">
        <f t="shared" si="863"/>
        <v>0</v>
      </c>
    </row>
    <row r="323" spans="1:20" x14ac:dyDescent="0.25">
      <c r="A323" s="5"/>
      <c r="C323"/>
      <c r="D323"/>
      <c r="P323">
        <f t="shared" si="859"/>
        <v>0</v>
      </c>
      <c r="Q323">
        <f t="shared" si="860"/>
        <v>0</v>
      </c>
      <c r="R323">
        <f t="shared" si="861"/>
        <v>0</v>
      </c>
      <c r="S323">
        <f t="shared" si="862"/>
        <v>0</v>
      </c>
      <c r="T323">
        <f t="shared" si="863"/>
        <v>0</v>
      </c>
    </row>
    <row r="324" spans="1:20" x14ac:dyDescent="0.25">
      <c r="A324" s="5"/>
      <c r="C324"/>
      <c r="D324"/>
      <c r="P324">
        <f t="shared" si="859"/>
        <v>0</v>
      </c>
      <c r="Q324">
        <f t="shared" si="860"/>
        <v>0</v>
      </c>
      <c r="R324">
        <f t="shared" si="861"/>
        <v>0</v>
      </c>
      <c r="S324">
        <f t="shared" si="862"/>
        <v>0</v>
      </c>
      <c r="T324">
        <f t="shared" si="863"/>
        <v>0</v>
      </c>
    </row>
    <row r="325" spans="1:20" x14ac:dyDescent="0.25">
      <c r="A325" s="5"/>
      <c r="C325"/>
      <c r="D325"/>
      <c r="P325">
        <f t="shared" si="859"/>
        <v>0</v>
      </c>
      <c r="Q325">
        <f t="shared" si="860"/>
        <v>0</v>
      </c>
      <c r="R325">
        <f t="shared" si="861"/>
        <v>0</v>
      </c>
      <c r="S325">
        <f t="shared" si="862"/>
        <v>0</v>
      </c>
      <c r="T325">
        <f t="shared" si="863"/>
        <v>0</v>
      </c>
    </row>
    <row r="326" spans="1:20" x14ac:dyDescent="0.25">
      <c r="A326" s="5"/>
      <c r="C326"/>
      <c r="D326"/>
      <c r="P326">
        <f t="shared" si="859"/>
        <v>0</v>
      </c>
      <c r="Q326">
        <f t="shared" si="860"/>
        <v>0</v>
      </c>
      <c r="R326">
        <f t="shared" si="861"/>
        <v>0</v>
      </c>
      <c r="S326">
        <f t="shared" si="862"/>
        <v>0</v>
      </c>
      <c r="T326">
        <f t="shared" si="863"/>
        <v>0</v>
      </c>
    </row>
    <row r="327" spans="1:20" x14ac:dyDescent="0.25">
      <c r="A327" s="5"/>
      <c r="C327"/>
      <c r="D327"/>
      <c r="P327">
        <f t="shared" si="859"/>
        <v>0</v>
      </c>
      <c r="Q327">
        <f t="shared" si="860"/>
        <v>0</v>
      </c>
      <c r="R327">
        <f t="shared" si="861"/>
        <v>0</v>
      </c>
      <c r="S327">
        <f t="shared" si="862"/>
        <v>0</v>
      </c>
      <c r="T327">
        <f t="shared" si="863"/>
        <v>0</v>
      </c>
    </row>
    <row r="328" spans="1:20" x14ac:dyDescent="0.25">
      <c r="A328" s="5"/>
      <c r="C328"/>
      <c r="D328"/>
      <c r="P328">
        <f t="shared" si="859"/>
        <v>0</v>
      </c>
      <c r="Q328">
        <f t="shared" si="860"/>
        <v>0</v>
      </c>
      <c r="R328">
        <f t="shared" si="861"/>
        <v>0</v>
      </c>
      <c r="S328">
        <f t="shared" si="862"/>
        <v>0</v>
      </c>
      <c r="T328">
        <f t="shared" si="863"/>
        <v>0</v>
      </c>
    </row>
    <row r="329" spans="1:20" x14ac:dyDescent="0.25">
      <c r="A329" s="5"/>
      <c r="C329"/>
      <c r="D329"/>
      <c r="P329">
        <f t="shared" si="859"/>
        <v>0</v>
      </c>
      <c r="Q329">
        <f t="shared" si="860"/>
        <v>0</v>
      </c>
      <c r="R329">
        <f t="shared" si="861"/>
        <v>0</v>
      </c>
      <c r="S329">
        <f t="shared" si="862"/>
        <v>0</v>
      </c>
      <c r="T329">
        <f t="shared" si="863"/>
        <v>0</v>
      </c>
    </row>
    <row r="330" spans="1:20" x14ac:dyDescent="0.25">
      <c r="A330" s="5"/>
      <c r="C330"/>
      <c r="D330"/>
      <c r="P330">
        <f t="shared" si="859"/>
        <v>0</v>
      </c>
      <c r="Q330">
        <f t="shared" si="860"/>
        <v>0</v>
      </c>
      <c r="R330">
        <f t="shared" si="861"/>
        <v>0</v>
      </c>
      <c r="S330">
        <f t="shared" si="862"/>
        <v>0</v>
      </c>
      <c r="T330">
        <f t="shared" si="863"/>
        <v>0</v>
      </c>
    </row>
    <row r="331" spans="1:20" x14ac:dyDescent="0.25">
      <c r="A331" s="5"/>
      <c r="C331"/>
      <c r="D331"/>
      <c r="P331">
        <f t="shared" si="859"/>
        <v>0</v>
      </c>
      <c r="Q331">
        <f t="shared" si="860"/>
        <v>0</v>
      </c>
      <c r="R331">
        <f t="shared" si="861"/>
        <v>0</v>
      </c>
      <c r="S331">
        <f t="shared" si="862"/>
        <v>0</v>
      </c>
      <c r="T331">
        <f t="shared" si="863"/>
        <v>0</v>
      </c>
    </row>
    <row r="332" spans="1:20" x14ac:dyDescent="0.25">
      <c r="A332" s="5"/>
      <c r="C332"/>
      <c r="D332"/>
      <c r="P332">
        <f t="shared" si="859"/>
        <v>0</v>
      </c>
      <c r="Q332">
        <f t="shared" si="860"/>
        <v>0</v>
      </c>
      <c r="R332">
        <f t="shared" si="861"/>
        <v>0</v>
      </c>
      <c r="S332">
        <f t="shared" si="862"/>
        <v>0</v>
      </c>
      <c r="T332">
        <f t="shared" si="863"/>
        <v>0</v>
      </c>
    </row>
    <row r="333" spans="1:20" x14ac:dyDescent="0.25">
      <c r="A333" s="5"/>
      <c r="C333"/>
      <c r="D333"/>
      <c r="P333">
        <f t="shared" si="859"/>
        <v>0</v>
      </c>
      <c r="Q333">
        <f t="shared" si="860"/>
        <v>0</v>
      </c>
      <c r="R333">
        <f t="shared" si="861"/>
        <v>0</v>
      </c>
      <c r="S333">
        <f t="shared" si="862"/>
        <v>0</v>
      </c>
      <c r="T333">
        <f t="shared" si="863"/>
        <v>0</v>
      </c>
    </row>
    <row r="334" spans="1:20" x14ac:dyDescent="0.25">
      <c r="A334" s="5"/>
      <c r="C334"/>
      <c r="D334"/>
      <c r="P334">
        <f t="shared" si="859"/>
        <v>0</v>
      </c>
      <c r="Q334">
        <f t="shared" si="860"/>
        <v>0</v>
      </c>
      <c r="R334">
        <f t="shared" si="861"/>
        <v>0</v>
      </c>
      <c r="S334">
        <f t="shared" si="862"/>
        <v>0</v>
      </c>
      <c r="T334">
        <f t="shared" si="863"/>
        <v>0</v>
      </c>
    </row>
    <row r="335" spans="1:20" x14ac:dyDescent="0.25">
      <c r="A335" s="5"/>
      <c r="C335"/>
      <c r="D335"/>
      <c r="P335">
        <f t="shared" si="859"/>
        <v>0</v>
      </c>
      <c r="Q335">
        <f t="shared" si="860"/>
        <v>0</v>
      </c>
      <c r="R335">
        <f t="shared" si="861"/>
        <v>0</v>
      </c>
      <c r="S335">
        <f t="shared" si="862"/>
        <v>0</v>
      </c>
      <c r="T335">
        <f t="shared" si="863"/>
        <v>0</v>
      </c>
    </row>
    <row r="336" spans="1:20" x14ac:dyDescent="0.25">
      <c r="A336" s="5"/>
      <c r="C336"/>
      <c r="D336"/>
      <c r="P336">
        <f t="shared" si="859"/>
        <v>0</v>
      </c>
      <c r="Q336">
        <f t="shared" si="860"/>
        <v>0</v>
      </c>
      <c r="R336">
        <f t="shared" si="861"/>
        <v>0</v>
      </c>
      <c r="S336">
        <f t="shared" si="862"/>
        <v>0</v>
      </c>
      <c r="T336">
        <f t="shared" si="863"/>
        <v>0</v>
      </c>
    </row>
    <row r="337" spans="1:20" x14ac:dyDescent="0.25">
      <c r="A337" s="5"/>
      <c r="C337"/>
      <c r="D337"/>
      <c r="P337">
        <f t="shared" si="859"/>
        <v>0</v>
      </c>
      <c r="Q337">
        <f t="shared" si="860"/>
        <v>0</v>
      </c>
      <c r="R337">
        <f t="shared" si="861"/>
        <v>0</v>
      </c>
      <c r="S337">
        <f t="shared" si="862"/>
        <v>0</v>
      </c>
      <c r="T337">
        <f t="shared" si="863"/>
        <v>0</v>
      </c>
    </row>
    <row r="338" spans="1:20" x14ac:dyDescent="0.25">
      <c r="A338" s="5"/>
      <c r="C338"/>
      <c r="D338"/>
      <c r="P338">
        <f t="shared" si="859"/>
        <v>0</v>
      </c>
      <c r="Q338">
        <f t="shared" si="860"/>
        <v>0</v>
      </c>
      <c r="R338">
        <f t="shared" si="861"/>
        <v>0</v>
      </c>
      <c r="S338">
        <f t="shared" si="862"/>
        <v>0</v>
      </c>
      <c r="T338">
        <f t="shared" si="863"/>
        <v>0</v>
      </c>
    </row>
    <row r="339" spans="1:20" x14ac:dyDescent="0.25">
      <c r="A339" s="5"/>
      <c r="C339"/>
      <c r="D339"/>
      <c r="P339">
        <f t="shared" si="859"/>
        <v>0</v>
      </c>
      <c r="Q339">
        <f t="shared" si="860"/>
        <v>0</v>
      </c>
      <c r="R339">
        <f t="shared" si="861"/>
        <v>0</v>
      </c>
      <c r="S339">
        <f t="shared" si="862"/>
        <v>0</v>
      </c>
      <c r="T339">
        <f t="shared" si="863"/>
        <v>0</v>
      </c>
    </row>
    <row r="340" spans="1:20" x14ac:dyDescent="0.25">
      <c r="A340" s="5"/>
      <c r="C340"/>
      <c r="D340"/>
      <c r="P340">
        <f t="shared" si="859"/>
        <v>0</v>
      </c>
      <c r="Q340">
        <f t="shared" si="860"/>
        <v>0</v>
      </c>
      <c r="R340">
        <f t="shared" si="861"/>
        <v>0</v>
      </c>
      <c r="S340">
        <f t="shared" si="862"/>
        <v>0</v>
      </c>
      <c r="T340">
        <f t="shared" si="863"/>
        <v>0</v>
      </c>
    </row>
    <row r="341" spans="1:20" x14ac:dyDescent="0.25">
      <c r="A341" s="5"/>
      <c r="C341"/>
      <c r="D341"/>
      <c r="P341">
        <f t="shared" si="859"/>
        <v>0</v>
      </c>
      <c r="Q341">
        <f t="shared" si="860"/>
        <v>0</v>
      </c>
      <c r="R341">
        <f t="shared" si="861"/>
        <v>0</v>
      </c>
      <c r="S341">
        <f t="shared" si="862"/>
        <v>0</v>
      </c>
      <c r="T341">
        <f t="shared" si="863"/>
        <v>0</v>
      </c>
    </row>
    <row r="342" spans="1:20" x14ac:dyDescent="0.25">
      <c r="A342" s="5"/>
      <c r="C342"/>
      <c r="D342"/>
      <c r="P342">
        <f t="shared" si="859"/>
        <v>0</v>
      </c>
      <c r="Q342">
        <f t="shared" si="860"/>
        <v>0</v>
      </c>
      <c r="R342">
        <f t="shared" si="861"/>
        <v>0</v>
      </c>
      <c r="S342">
        <f t="shared" si="862"/>
        <v>0</v>
      </c>
      <c r="T342">
        <f t="shared" si="863"/>
        <v>0</v>
      </c>
    </row>
    <row r="343" spans="1:20" x14ac:dyDescent="0.25">
      <c r="A343" s="5"/>
      <c r="C343"/>
      <c r="D343"/>
      <c r="P343">
        <f t="shared" si="859"/>
        <v>0</v>
      </c>
      <c r="Q343">
        <f t="shared" si="860"/>
        <v>0</v>
      </c>
      <c r="R343">
        <f t="shared" si="861"/>
        <v>0</v>
      </c>
      <c r="S343">
        <f t="shared" si="862"/>
        <v>0</v>
      </c>
      <c r="T343">
        <f t="shared" si="863"/>
        <v>0</v>
      </c>
    </row>
    <row r="344" spans="1:20" x14ac:dyDescent="0.25">
      <c r="A344" s="5"/>
      <c r="C344"/>
      <c r="D344"/>
      <c r="P344">
        <f t="shared" si="859"/>
        <v>0</v>
      </c>
      <c r="Q344">
        <f t="shared" si="860"/>
        <v>0</v>
      </c>
      <c r="R344">
        <f t="shared" si="861"/>
        <v>0</v>
      </c>
      <c r="S344">
        <f t="shared" si="862"/>
        <v>0</v>
      </c>
      <c r="T344">
        <f t="shared" si="863"/>
        <v>0</v>
      </c>
    </row>
    <row r="345" spans="1:20" x14ac:dyDescent="0.25">
      <c r="A345" s="5"/>
      <c r="C345"/>
      <c r="D345"/>
      <c r="P345">
        <f t="shared" si="859"/>
        <v>0</v>
      </c>
      <c r="Q345">
        <f t="shared" si="860"/>
        <v>0</v>
      </c>
      <c r="R345">
        <f t="shared" si="861"/>
        <v>0</v>
      </c>
      <c r="S345">
        <f t="shared" si="862"/>
        <v>0</v>
      </c>
      <c r="T345">
        <f t="shared" si="863"/>
        <v>0</v>
      </c>
    </row>
    <row r="346" spans="1:20" x14ac:dyDescent="0.25">
      <c r="A346" s="5"/>
      <c r="C346"/>
      <c r="D346"/>
      <c r="P346">
        <f t="shared" si="859"/>
        <v>0</v>
      </c>
      <c r="Q346">
        <f t="shared" si="860"/>
        <v>0</v>
      </c>
      <c r="R346">
        <f t="shared" si="861"/>
        <v>0</v>
      </c>
      <c r="S346">
        <f t="shared" si="862"/>
        <v>0</v>
      </c>
      <c r="T346">
        <f t="shared" si="863"/>
        <v>0</v>
      </c>
    </row>
    <row r="347" spans="1:20" x14ac:dyDescent="0.25">
      <c r="A347" s="5"/>
      <c r="C347"/>
      <c r="D347"/>
      <c r="P347">
        <f t="shared" si="859"/>
        <v>0</v>
      </c>
      <c r="Q347">
        <f t="shared" si="860"/>
        <v>0</v>
      </c>
      <c r="R347">
        <f t="shared" si="861"/>
        <v>0</v>
      </c>
      <c r="S347">
        <f t="shared" si="862"/>
        <v>0</v>
      </c>
      <c r="T347">
        <f t="shared" si="863"/>
        <v>0</v>
      </c>
    </row>
    <row r="348" spans="1:20" x14ac:dyDescent="0.25">
      <c r="A348" s="5"/>
      <c r="C348"/>
      <c r="D348"/>
      <c r="P348">
        <f t="shared" si="859"/>
        <v>0</v>
      </c>
      <c r="Q348">
        <f t="shared" si="860"/>
        <v>0</v>
      </c>
      <c r="R348">
        <f t="shared" si="861"/>
        <v>0</v>
      </c>
      <c r="S348">
        <f t="shared" si="862"/>
        <v>0</v>
      </c>
      <c r="T348">
        <f t="shared" si="863"/>
        <v>0</v>
      </c>
    </row>
    <row r="349" spans="1:20" x14ac:dyDescent="0.25">
      <c r="A349" s="5"/>
      <c r="C349"/>
      <c r="D349"/>
      <c r="P349">
        <f t="shared" si="859"/>
        <v>0</v>
      </c>
      <c r="Q349">
        <f t="shared" si="860"/>
        <v>0</v>
      </c>
      <c r="R349">
        <f t="shared" si="861"/>
        <v>0</v>
      </c>
      <c r="S349">
        <f t="shared" si="862"/>
        <v>0</v>
      </c>
      <c r="T349">
        <f t="shared" si="863"/>
        <v>0</v>
      </c>
    </row>
    <row r="350" spans="1:20" x14ac:dyDescent="0.25">
      <c r="A350" s="5"/>
      <c r="C350"/>
      <c r="D350"/>
      <c r="P350">
        <f t="shared" si="859"/>
        <v>0</v>
      </c>
      <c r="Q350">
        <f t="shared" si="860"/>
        <v>0</v>
      </c>
      <c r="R350">
        <f t="shared" si="861"/>
        <v>0</v>
      </c>
      <c r="S350">
        <f t="shared" si="862"/>
        <v>0</v>
      </c>
      <c r="T350">
        <f t="shared" si="863"/>
        <v>0</v>
      </c>
    </row>
    <row r="351" spans="1:20" x14ac:dyDescent="0.25">
      <c r="A351" s="5"/>
      <c r="C351"/>
      <c r="D351"/>
      <c r="P351">
        <f t="shared" si="859"/>
        <v>0</v>
      </c>
      <c r="Q351">
        <f t="shared" si="860"/>
        <v>0</v>
      </c>
      <c r="R351">
        <f t="shared" si="861"/>
        <v>0</v>
      </c>
      <c r="S351">
        <f t="shared" si="862"/>
        <v>0</v>
      </c>
      <c r="T351">
        <f t="shared" si="863"/>
        <v>0</v>
      </c>
    </row>
    <row r="352" spans="1:20" x14ac:dyDescent="0.25">
      <c r="A352" s="5"/>
      <c r="C352"/>
      <c r="D352"/>
      <c r="P352">
        <f t="shared" si="859"/>
        <v>0</v>
      </c>
      <c r="Q352">
        <f t="shared" si="860"/>
        <v>0</v>
      </c>
      <c r="R352">
        <f t="shared" si="861"/>
        <v>0</v>
      </c>
      <c r="S352">
        <f t="shared" si="862"/>
        <v>0</v>
      </c>
      <c r="T352">
        <f t="shared" si="863"/>
        <v>0</v>
      </c>
    </row>
    <row r="353" spans="1:20" x14ac:dyDescent="0.25">
      <c r="A353" s="5"/>
      <c r="C353"/>
      <c r="D353"/>
      <c r="P353">
        <f t="shared" si="859"/>
        <v>0</v>
      </c>
      <c r="Q353">
        <f t="shared" si="860"/>
        <v>0</v>
      </c>
      <c r="R353">
        <f t="shared" si="861"/>
        <v>0</v>
      </c>
      <c r="S353">
        <f t="shared" si="862"/>
        <v>0</v>
      </c>
      <c r="T353">
        <f t="shared" si="863"/>
        <v>0</v>
      </c>
    </row>
    <row r="354" spans="1:20" x14ac:dyDescent="0.25">
      <c r="A354" s="5"/>
      <c r="C354"/>
      <c r="D354"/>
      <c r="P354">
        <f t="shared" si="859"/>
        <v>0</v>
      </c>
      <c r="Q354">
        <f t="shared" si="860"/>
        <v>0</v>
      </c>
      <c r="R354">
        <f t="shared" si="861"/>
        <v>0</v>
      </c>
      <c r="S354">
        <f t="shared" si="862"/>
        <v>0</v>
      </c>
      <c r="T354">
        <f t="shared" si="863"/>
        <v>0</v>
      </c>
    </row>
    <row r="355" spans="1:20" x14ac:dyDescent="0.25">
      <c r="A355" s="5"/>
      <c r="C355"/>
      <c r="D355"/>
      <c r="P355">
        <f t="shared" si="859"/>
        <v>0</v>
      </c>
      <c r="Q355">
        <f t="shared" si="860"/>
        <v>0</v>
      </c>
      <c r="R355">
        <f t="shared" si="861"/>
        <v>0</v>
      </c>
      <c r="S355">
        <f t="shared" si="862"/>
        <v>0</v>
      </c>
      <c r="T355">
        <f t="shared" si="863"/>
        <v>0</v>
      </c>
    </row>
    <row r="356" spans="1:20" x14ac:dyDescent="0.25">
      <c r="A356" s="5"/>
      <c r="C356"/>
      <c r="D356"/>
      <c r="P356">
        <f t="shared" si="859"/>
        <v>0</v>
      </c>
      <c r="Q356">
        <f t="shared" si="860"/>
        <v>0</v>
      </c>
      <c r="R356">
        <f t="shared" si="861"/>
        <v>0</v>
      </c>
      <c r="S356">
        <f t="shared" si="862"/>
        <v>0</v>
      </c>
      <c r="T356">
        <f t="shared" si="863"/>
        <v>0</v>
      </c>
    </row>
    <row r="357" spans="1:20" x14ac:dyDescent="0.25">
      <c r="A357" s="5"/>
      <c r="C357"/>
      <c r="D357"/>
      <c r="P357">
        <f t="shared" si="859"/>
        <v>0</v>
      </c>
      <c r="Q357">
        <f t="shared" si="860"/>
        <v>0</v>
      </c>
      <c r="R357">
        <f t="shared" si="861"/>
        <v>0</v>
      </c>
      <c r="S357">
        <f t="shared" si="862"/>
        <v>0</v>
      </c>
      <c r="T357">
        <f t="shared" si="863"/>
        <v>0</v>
      </c>
    </row>
    <row r="358" spans="1:20" x14ac:dyDescent="0.25">
      <c r="A358" s="5"/>
      <c r="C358"/>
      <c r="D358"/>
      <c r="P358">
        <f t="shared" si="859"/>
        <v>0</v>
      </c>
      <c r="Q358">
        <f t="shared" si="860"/>
        <v>0</v>
      </c>
      <c r="R358">
        <f t="shared" si="861"/>
        <v>0</v>
      </c>
      <c r="S358">
        <f t="shared" si="862"/>
        <v>0</v>
      </c>
      <c r="T358">
        <f t="shared" si="863"/>
        <v>0</v>
      </c>
    </row>
    <row r="359" spans="1:20" x14ac:dyDescent="0.25">
      <c r="A359" s="5"/>
      <c r="C359"/>
      <c r="D359"/>
      <c r="P359">
        <f t="shared" si="859"/>
        <v>0</v>
      </c>
      <c r="Q359">
        <f t="shared" si="860"/>
        <v>0</v>
      </c>
      <c r="R359">
        <f t="shared" si="861"/>
        <v>0</v>
      </c>
      <c r="S359">
        <f t="shared" si="862"/>
        <v>0</v>
      </c>
      <c r="T359">
        <f t="shared" si="863"/>
        <v>0</v>
      </c>
    </row>
    <row r="360" spans="1:20" x14ac:dyDescent="0.25">
      <c r="A360" s="5"/>
      <c r="C360"/>
      <c r="D360"/>
      <c r="P360">
        <f t="shared" si="859"/>
        <v>0</v>
      </c>
      <c r="Q360">
        <f t="shared" si="860"/>
        <v>0</v>
      </c>
      <c r="R360">
        <f t="shared" si="861"/>
        <v>0</v>
      </c>
      <c r="S360">
        <f t="shared" si="862"/>
        <v>0</v>
      </c>
      <c r="T360">
        <f t="shared" si="863"/>
        <v>0</v>
      </c>
    </row>
    <row r="361" spans="1:20" x14ac:dyDescent="0.25">
      <c r="A361" s="5"/>
      <c r="C361"/>
      <c r="D361"/>
      <c r="P361">
        <f t="shared" si="859"/>
        <v>0</v>
      </c>
      <c r="Q361">
        <f t="shared" si="860"/>
        <v>0</v>
      </c>
      <c r="R361">
        <f t="shared" si="861"/>
        <v>0</v>
      </c>
      <c r="S361">
        <f t="shared" si="862"/>
        <v>0</v>
      </c>
      <c r="T361">
        <f t="shared" si="863"/>
        <v>0</v>
      </c>
    </row>
    <row r="362" spans="1:20" x14ac:dyDescent="0.25">
      <c r="A362" s="5"/>
      <c r="C362"/>
      <c r="D362"/>
      <c r="P362">
        <f t="shared" si="859"/>
        <v>0</v>
      </c>
      <c r="Q362">
        <f t="shared" si="860"/>
        <v>0</v>
      </c>
      <c r="R362">
        <f t="shared" si="861"/>
        <v>0</v>
      </c>
      <c r="S362">
        <f t="shared" si="862"/>
        <v>0</v>
      </c>
      <c r="T362">
        <f t="shared" si="863"/>
        <v>0</v>
      </c>
    </row>
    <row r="363" spans="1:20" x14ac:dyDescent="0.25">
      <c r="A363" s="5"/>
      <c r="C363"/>
      <c r="D363"/>
      <c r="P363">
        <f t="shared" si="859"/>
        <v>0</v>
      </c>
      <c r="Q363">
        <f t="shared" si="860"/>
        <v>0</v>
      </c>
      <c r="R363">
        <f t="shared" si="861"/>
        <v>0</v>
      </c>
      <c r="S363">
        <f t="shared" si="862"/>
        <v>0</v>
      </c>
      <c r="T363">
        <f t="shared" si="863"/>
        <v>0</v>
      </c>
    </row>
    <row r="364" spans="1:20" x14ac:dyDescent="0.25">
      <c r="A364" s="5"/>
      <c r="C364"/>
      <c r="D364"/>
      <c r="P364">
        <f t="shared" si="859"/>
        <v>0</v>
      </c>
      <c r="Q364">
        <f t="shared" si="860"/>
        <v>0</v>
      </c>
      <c r="R364">
        <f t="shared" si="861"/>
        <v>0</v>
      </c>
      <c r="S364">
        <f t="shared" si="862"/>
        <v>0</v>
      </c>
      <c r="T364">
        <f t="shared" si="863"/>
        <v>0</v>
      </c>
    </row>
    <row r="365" spans="1:20" x14ac:dyDescent="0.25">
      <c r="A365" s="5"/>
      <c r="C365"/>
      <c r="D365"/>
      <c r="P365">
        <f t="shared" si="859"/>
        <v>0</v>
      </c>
      <c r="Q365">
        <f t="shared" si="860"/>
        <v>0</v>
      </c>
      <c r="R365">
        <f t="shared" si="861"/>
        <v>0</v>
      </c>
      <c r="S365">
        <f t="shared" si="862"/>
        <v>0</v>
      </c>
      <c r="T365">
        <f t="shared" si="863"/>
        <v>0</v>
      </c>
    </row>
    <row r="366" spans="1:20" x14ac:dyDescent="0.25">
      <c r="A366" s="5"/>
      <c r="C366"/>
      <c r="D366"/>
      <c r="P366">
        <f t="shared" si="859"/>
        <v>0</v>
      </c>
      <c r="Q366">
        <f t="shared" si="860"/>
        <v>0</v>
      </c>
      <c r="R366">
        <f t="shared" si="861"/>
        <v>0</v>
      </c>
      <c r="S366">
        <f t="shared" si="862"/>
        <v>0</v>
      </c>
      <c r="T366">
        <f t="shared" si="863"/>
        <v>0</v>
      </c>
    </row>
    <row r="367" spans="1:20" x14ac:dyDescent="0.25">
      <c r="A367" s="5"/>
      <c r="C367"/>
      <c r="D367"/>
      <c r="P367">
        <f t="shared" si="859"/>
        <v>0</v>
      </c>
      <c r="Q367">
        <f t="shared" si="860"/>
        <v>0</v>
      </c>
      <c r="R367">
        <f t="shared" si="861"/>
        <v>0</v>
      </c>
      <c r="S367">
        <f t="shared" si="862"/>
        <v>0</v>
      </c>
      <c r="T367">
        <f t="shared" si="863"/>
        <v>0</v>
      </c>
    </row>
    <row r="368" spans="1:20" x14ac:dyDescent="0.25">
      <c r="A368" s="5"/>
      <c r="C368"/>
      <c r="D368"/>
      <c r="P368">
        <f t="shared" ref="P368:P431" si="864">IF(C368=D368,0,((E368-D368)-(C368-E368))/(C368-D368))</f>
        <v>0</v>
      </c>
      <c r="Q368">
        <f t="shared" ref="Q368:Q431" si="865">F368*P368</f>
        <v>0</v>
      </c>
      <c r="R368">
        <f t="shared" ref="R368:R431" si="866">R369+Q368</f>
        <v>0</v>
      </c>
      <c r="S368">
        <f t="shared" ref="S368:S431" si="867">R368/100000</f>
        <v>0</v>
      </c>
      <c r="T368">
        <f t="shared" ref="T368:T431" si="868">S368/1000</f>
        <v>0</v>
      </c>
    </row>
    <row r="369" spans="1:20" x14ac:dyDescent="0.25">
      <c r="A369" s="5"/>
      <c r="C369"/>
      <c r="D369"/>
      <c r="P369">
        <f t="shared" si="864"/>
        <v>0</v>
      </c>
      <c r="Q369">
        <f t="shared" si="865"/>
        <v>0</v>
      </c>
      <c r="R369">
        <f t="shared" si="866"/>
        <v>0</v>
      </c>
      <c r="S369">
        <f t="shared" si="867"/>
        <v>0</v>
      </c>
      <c r="T369">
        <f t="shared" si="868"/>
        <v>0</v>
      </c>
    </row>
    <row r="370" spans="1:20" x14ac:dyDescent="0.25">
      <c r="A370" s="5"/>
      <c r="C370"/>
      <c r="D370"/>
      <c r="P370">
        <f t="shared" si="864"/>
        <v>0</v>
      </c>
      <c r="Q370">
        <f t="shared" si="865"/>
        <v>0</v>
      </c>
      <c r="R370">
        <f t="shared" si="866"/>
        <v>0</v>
      </c>
      <c r="S370">
        <f t="shared" si="867"/>
        <v>0</v>
      </c>
      <c r="T370">
        <f t="shared" si="868"/>
        <v>0</v>
      </c>
    </row>
    <row r="371" spans="1:20" x14ac:dyDescent="0.25">
      <c r="A371" s="5"/>
      <c r="C371"/>
      <c r="D371"/>
      <c r="P371">
        <f t="shared" si="864"/>
        <v>0</v>
      </c>
      <c r="Q371">
        <f t="shared" si="865"/>
        <v>0</v>
      </c>
      <c r="R371">
        <f t="shared" si="866"/>
        <v>0</v>
      </c>
      <c r="S371">
        <f t="shared" si="867"/>
        <v>0</v>
      </c>
      <c r="T371">
        <f t="shared" si="868"/>
        <v>0</v>
      </c>
    </row>
    <row r="372" spans="1:20" x14ac:dyDescent="0.25">
      <c r="A372" s="5"/>
      <c r="C372"/>
      <c r="D372"/>
      <c r="P372">
        <f t="shared" si="864"/>
        <v>0</v>
      </c>
      <c r="Q372">
        <f t="shared" si="865"/>
        <v>0</v>
      </c>
      <c r="R372">
        <f t="shared" si="866"/>
        <v>0</v>
      </c>
      <c r="S372">
        <f t="shared" si="867"/>
        <v>0</v>
      </c>
      <c r="T372">
        <f t="shared" si="868"/>
        <v>0</v>
      </c>
    </row>
    <row r="373" spans="1:20" x14ac:dyDescent="0.25">
      <c r="A373" s="5"/>
      <c r="C373"/>
      <c r="D373"/>
      <c r="P373">
        <f t="shared" si="864"/>
        <v>0</v>
      </c>
      <c r="Q373">
        <f t="shared" si="865"/>
        <v>0</v>
      </c>
      <c r="R373">
        <f t="shared" si="866"/>
        <v>0</v>
      </c>
      <c r="S373">
        <f t="shared" si="867"/>
        <v>0</v>
      </c>
      <c r="T373">
        <f t="shared" si="868"/>
        <v>0</v>
      </c>
    </row>
    <row r="374" spans="1:20" x14ac:dyDescent="0.25">
      <c r="A374" s="5"/>
      <c r="C374"/>
      <c r="D374"/>
      <c r="P374">
        <f t="shared" si="864"/>
        <v>0</v>
      </c>
      <c r="Q374">
        <f t="shared" si="865"/>
        <v>0</v>
      </c>
      <c r="R374">
        <f t="shared" si="866"/>
        <v>0</v>
      </c>
      <c r="S374">
        <f t="shared" si="867"/>
        <v>0</v>
      </c>
      <c r="T374">
        <f t="shared" si="868"/>
        <v>0</v>
      </c>
    </row>
    <row r="375" spans="1:20" x14ac:dyDescent="0.25">
      <c r="A375" s="5"/>
      <c r="C375"/>
      <c r="D375"/>
      <c r="P375">
        <f t="shared" si="864"/>
        <v>0</v>
      </c>
      <c r="Q375">
        <f t="shared" si="865"/>
        <v>0</v>
      </c>
      <c r="R375">
        <f t="shared" si="866"/>
        <v>0</v>
      </c>
      <c r="S375">
        <f t="shared" si="867"/>
        <v>0</v>
      </c>
      <c r="T375">
        <f t="shared" si="868"/>
        <v>0</v>
      </c>
    </row>
    <row r="376" spans="1:20" x14ac:dyDescent="0.25">
      <c r="A376" s="5"/>
      <c r="C376"/>
      <c r="D376"/>
      <c r="P376">
        <f t="shared" si="864"/>
        <v>0</v>
      </c>
      <c r="Q376">
        <f t="shared" si="865"/>
        <v>0</v>
      </c>
      <c r="R376">
        <f t="shared" si="866"/>
        <v>0</v>
      </c>
      <c r="S376">
        <f t="shared" si="867"/>
        <v>0</v>
      </c>
      <c r="T376">
        <f t="shared" si="868"/>
        <v>0</v>
      </c>
    </row>
    <row r="377" spans="1:20" x14ac:dyDescent="0.25">
      <c r="A377" s="5"/>
      <c r="C377"/>
      <c r="D377"/>
      <c r="P377">
        <f t="shared" si="864"/>
        <v>0</v>
      </c>
      <c r="Q377">
        <f t="shared" si="865"/>
        <v>0</v>
      </c>
      <c r="R377">
        <f t="shared" si="866"/>
        <v>0</v>
      </c>
      <c r="S377">
        <f t="shared" si="867"/>
        <v>0</v>
      </c>
      <c r="T377">
        <f t="shared" si="868"/>
        <v>0</v>
      </c>
    </row>
    <row r="378" spans="1:20" x14ac:dyDescent="0.25">
      <c r="A378" s="5"/>
      <c r="C378"/>
      <c r="D378"/>
      <c r="P378">
        <f t="shared" si="864"/>
        <v>0</v>
      </c>
      <c r="Q378">
        <f t="shared" si="865"/>
        <v>0</v>
      </c>
      <c r="R378">
        <f t="shared" si="866"/>
        <v>0</v>
      </c>
      <c r="S378">
        <f t="shared" si="867"/>
        <v>0</v>
      </c>
      <c r="T378">
        <f t="shared" si="868"/>
        <v>0</v>
      </c>
    </row>
    <row r="379" spans="1:20" x14ac:dyDescent="0.25">
      <c r="A379" s="5"/>
      <c r="C379"/>
      <c r="D379"/>
      <c r="P379">
        <f t="shared" si="864"/>
        <v>0</v>
      </c>
      <c r="Q379">
        <f t="shared" si="865"/>
        <v>0</v>
      </c>
      <c r="R379">
        <f t="shared" si="866"/>
        <v>0</v>
      </c>
      <c r="S379">
        <f t="shared" si="867"/>
        <v>0</v>
      </c>
      <c r="T379">
        <f t="shared" si="868"/>
        <v>0</v>
      </c>
    </row>
    <row r="380" spans="1:20" x14ac:dyDescent="0.25">
      <c r="A380" s="5"/>
      <c r="C380"/>
      <c r="D380"/>
      <c r="P380">
        <f t="shared" si="864"/>
        <v>0</v>
      </c>
      <c r="Q380">
        <f t="shared" si="865"/>
        <v>0</v>
      </c>
      <c r="R380">
        <f t="shared" si="866"/>
        <v>0</v>
      </c>
      <c r="S380">
        <f t="shared" si="867"/>
        <v>0</v>
      </c>
      <c r="T380">
        <f t="shared" si="868"/>
        <v>0</v>
      </c>
    </row>
    <row r="381" spans="1:20" x14ac:dyDescent="0.25">
      <c r="A381" s="5"/>
      <c r="C381"/>
      <c r="D381"/>
      <c r="P381">
        <f t="shared" si="864"/>
        <v>0</v>
      </c>
      <c r="Q381">
        <f t="shared" si="865"/>
        <v>0</v>
      </c>
      <c r="R381">
        <f t="shared" si="866"/>
        <v>0</v>
      </c>
      <c r="S381">
        <f t="shared" si="867"/>
        <v>0</v>
      </c>
      <c r="T381">
        <f t="shared" si="868"/>
        <v>0</v>
      </c>
    </row>
    <row r="382" spans="1:20" x14ac:dyDescent="0.25">
      <c r="A382" s="5"/>
      <c r="C382"/>
      <c r="D382"/>
      <c r="P382">
        <f t="shared" si="864"/>
        <v>0</v>
      </c>
      <c r="Q382">
        <f t="shared" si="865"/>
        <v>0</v>
      </c>
      <c r="R382">
        <f t="shared" si="866"/>
        <v>0</v>
      </c>
      <c r="S382">
        <f t="shared" si="867"/>
        <v>0</v>
      </c>
      <c r="T382">
        <f t="shared" si="868"/>
        <v>0</v>
      </c>
    </row>
    <row r="383" spans="1:20" x14ac:dyDescent="0.25">
      <c r="A383" s="5"/>
      <c r="C383"/>
      <c r="D383"/>
      <c r="P383">
        <f t="shared" si="864"/>
        <v>0</v>
      </c>
      <c r="Q383">
        <f t="shared" si="865"/>
        <v>0</v>
      </c>
      <c r="R383">
        <f t="shared" si="866"/>
        <v>0</v>
      </c>
      <c r="S383">
        <f t="shared" si="867"/>
        <v>0</v>
      </c>
      <c r="T383">
        <f t="shared" si="868"/>
        <v>0</v>
      </c>
    </row>
    <row r="384" spans="1:20" x14ac:dyDescent="0.25">
      <c r="A384" s="5"/>
      <c r="C384"/>
      <c r="D384"/>
      <c r="P384">
        <f t="shared" si="864"/>
        <v>0</v>
      </c>
      <c r="Q384">
        <f t="shared" si="865"/>
        <v>0</v>
      </c>
      <c r="R384">
        <f t="shared" si="866"/>
        <v>0</v>
      </c>
      <c r="S384">
        <f t="shared" si="867"/>
        <v>0</v>
      </c>
      <c r="T384">
        <f t="shared" si="868"/>
        <v>0</v>
      </c>
    </row>
    <row r="385" spans="1:20" x14ac:dyDescent="0.25">
      <c r="A385" s="5"/>
      <c r="C385"/>
      <c r="D385"/>
      <c r="P385">
        <f t="shared" si="864"/>
        <v>0</v>
      </c>
      <c r="Q385">
        <f t="shared" si="865"/>
        <v>0</v>
      </c>
      <c r="R385">
        <f t="shared" si="866"/>
        <v>0</v>
      </c>
      <c r="S385">
        <f t="shared" si="867"/>
        <v>0</v>
      </c>
      <c r="T385">
        <f t="shared" si="868"/>
        <v>0</v>
      </c>
    </row>
    <row r="386" spans="1:20" x14ac:dyDescent="0.25">
      <c r="A386" s="5"/>
      <c r="C386"/>
      <c r="D386"/>
      <c r="P386">
        <f t="shared" si="864"/>
        <v>0</v>
      </c>
      <c r="Q386">
        <f t="shared" si="865"/>
        <v>0</v>
      </c>
      <c r="R386">
        <f t="shared" si="866"/>
        <v>0</v>
      </c>
      <c r="S386">
        <f t="shared" si="867"/>
        <v>0</v>
      </c>
      <c r="T386">
        <f t="shared" si="868"/>
        <v>0</v>
      </c>
    </row>
    <row r="387" spans="1:20" x14ac:dyDescent="0.25">
      <c r="A387" s="5"/>
      <c r="C387"/>
      <c r="D387"/>
      <c r="P387">
        <f t="shared" si="864"/>
        <v>0</v>
      </c>
      <c r="Q387">
        <f t="shared" si="865"/>
        <v>0</v>
      </c>
      <c r="R387">
        <f t="shared" si="866"/>
        <v>0</v>
      </c>
      <c r="S387">
        <f t="shared" si="867"/>
        <v>0</v>
      </c>
      <c r="T387">
        <f t="shared" si="868"/>
        <v>0</v>
      </c>
    </row>
    <row r="388" spans="1:20" x14ac:dyDescent="0.25">
      <c r="A388" s="5"/>
      <c r="C388"/>
      <c r="D388"/>
      <c r="P388">
        <f t="shared" si="864"/>
        <v>0</v>
      </c>
      <c r="Q388">
        <f t="shared" si="865"/>
        <v>0</v>
      </c>
      <c r="R388">
        <f t="shared" si="866"/>
        <v>0</v>
      </c>
      <c r="S388">
        <f t="shared" si="867"/>
        <v>0</v>
      </c>
      <c r="T388">
        <f t="shared" si="868"/>
        <v>0</v>
      </c>
    </row>
    <row r="389" spans="1:20" x14ac:dyDescent="0.25">
      <c r="A389" s="5"/>
      <c r="C389"/>
      <c r="D389"/>
      <c r="P389">
        <f t="shared" si="864"/>
        <v>0</v>
      </c>
      <c r="Q389">
        <f t="shared" si="865"/>
        <v>0</v>
      </c>
      <c r="R389">
        <f t="shared" si="866"/>
        <v>0</v>
      </c>
      <c r="S389">
        <f t="shared" si="867"/>
        <v>0</v>
      </c>
      <c r="T389">
        <f t="shared" si="868"/>
        <v>0</v>
      </c>
    </row>
    <row r="390" spans="1:20" x14ac:dyDescent="0.25">
      <c r="A390" s="5"/>
      <c r="C390"/>
      <c r="D390"/>
      <c r="P390">
        <f t="shared" si="864"/>
        <v>0</v>
      </c>
      <c r="Q390">
        <f t="shared" si="865"/>
        <v>0</v>
      </c>
      <c r="R390">
        <f t="shared" si="866"/>
        <v>0</v>
      </c>
      <c r="S390">
        <f t="shared" si="867"/>
        <v>0</v>
      </c>
      <c r="T390">
        <f t="shared" si="868"/>
        <v>0</v>
      </c>
    </row>
    <row r="391" spans="1:20" x14ac:dyDescent="0.25">
      <c r="A391" s="5"/>
      <c r="C391"/>
      <c r="D391"/>
      <c r="P391">
        <f t="shared" si="864"/>
        <v>0</v>
      </c>
      <c r="Q391">
        <f t="shared" si="865"/>
        <v>0</v>
      </c>
      <c r="R391">
        <f t="shared" si="866"/>
        <v>0</v>
      </c>
      <c r="S391">
        <f t="shared" si="867"/>
        <v>0</v>
      </c>
      <c r="T391">
        <f t="shared" si="868"/>
        <v>0</v>
      </c>
    </row>
    <row r="392" spans="1:20" x14ac:dyDescent="0.25">
      <c r="A392" s="5"/>
      <c r="C392"/>
      <c r="D392"/>
      <c r="P392">
        <f t="shared" si="864"/>
        <v>0</v>
      </c>
      <c r="Q392">
        <f t="shared" si="865"/>
        <v>0</v>
      </c>
      <c r="R392">
        <f t="shared" si="866"/>
        <v>0</v>
      </c>
      <c r="S392">
        <f t="shared" si="867"/>
        <v>0</v>
      </c>
      <c r="T392">
        <f t="shared" si="868"/>
        <v>0</v>
      </c>
    </row>
    <row r="393" spans="1:20" x14ac:dyDescent="0.25">
      <c r="A393" s="5"/>
      <c r="C393"/>
      <c r="D393"/>
      <c r="P393">
        <f t="shared" si="864"/>
        <v>0</v>
      </c>
      <c r="Q393">
        <f t="shared" si="865"/>
        <v>0</v>
      </c>
      <c r="R393">
        <f t="shared" si="866"/>
        <v>0</v>
      </c>
      <c r="S393">
        <f t="shared" si="867"/>
        <v>0</v>
      </c>
      <c r="T393">
        <f t="shared" si="868"/>
        <v>0</v>
      </c>
    </row>
    <row r="394" spans="1:20" x14ac:dyDescent="0.25">
      <c r="A394" s="5"/>
      <c r="C394"/>
      <c r="D394"/>
      <c r="P394">
        <f t="shared" si="864"/>
        <v>0</v>
      </c>
      <c r="Q394">
        <f t="shared" si="865"/>
        <v>0</v>
      </c>
      <c r="R394">
        <f t="shared" si="866"/>
        <v>0</v>
      </c>
      <c r="S394">
        <f t="shared" si="867"/>
        <v>0</v>
      </c>
      <c r="T394">
        <f t="shared" si="868"/>
        <v>0</v>
      </c>
    </row>
    <row r="395" spans="1:20" x14ac:dyDescent="0.25">
      <c r="A395" s="5"/>
      <c r="C395"/>
      <c r="D395"/>
      <c r="P395">
        <f t="shared" si="864"/>
        <v>0</v>
      </c>
      <c r="Q395">
        <f t="shared" si="865"/>
        <v>0</v>
      </c>
      <c r="R395">
        <f t="shared" si="866"/>
        <v>0</v>
      </c>
      <c r="S395">
        <f t="shared" si="867"/>
        <v>0</v>
      </c>
      <c r="T395">
        <f t="shared" si="868"/>
        <v>0</v>
      </c>
    </row>
    <row r="396" spans="1:20" x14ac:dyDescent="0.25">
      <c r="A396" s="5"/>
      <c r="C396"/>
      <c r="D396"/>
      <c r="P396">
        <f t="shared" si="864"/>
        <v>0</v>
      </c>
      <c r="Q396">
        <f t="shared" si="865"/>
        <v>0</v>
      </c>
      <c r="R396">
        <f t="shared" si="866"/>
        <v>0</v>
      </c>
      <c r="S396">
        <f t="shared" si="867"/>
        <v>0</v>
      </c>
      <c r="T396">
        <f t="shared" si="868"/>
        <v>0</v>
      </c>
    </row>
    <row r="397" spans="1:20" x14ac:dyDescent="0.25">
      <c r="A397" s="5"/>
      <c r="C397"/>
      <c r="D397"/>
      <c r="P397">
        <f t="shared" si="864"/>
        <v>0</v>
      </c>
      <c r="Q397">
        <f t="shared" si="865"/>
        <v>0</v>
      </c>
      <c r="R397">
        <f t="shared" si="866"/>
        <v>0</v>
      </c>
      <c r="S397">
        <f t="shared" si="867"/>
        <v>0</v>
      </c>
      <c r="T397">
        <f t="shared" si="868"/>
        <v>0</v>
      </c>
    </row>
    <row r="398" spans="1:20" x14ac:dyDescent="0.25">
      <c r="A398" s="5"/>
      <c r="C398"/>
      <c r="D398"/>
      <c r="P398">
        <f t="shared" si="864"/>
        <v>0</v>
      </c>
      <c r="Q398">
        <f t="shared" si="865"/>
        <v>0</v>
      </c>
      <c r="R398">
        <f t="shared" si="866"/>
        <v>0</v>
      </c>
      <c r="S398">
        <f t="shared" si="867"/>
        <v>0</v>
      </c>
      <c r="T398">
        <f t="shared" si="868"/>
        <v>0</v>
      </c>
    </row>
    <row r="399" spans="1:20" x14ac:dyDescent="0.25">
      <c r="A399" s="5"/>
      <c r="C399"/>
      <c r="D399"/>
      <c r="P399">
        <f t="shared" si="864"/>
        <v>0</v>
      </c>
      <c r="Q399">
        <f t="shared" si="865"/>
        <v>0</v>
      </c>
      <c r="R399">
        <f t="shared" si="866"/>
        <v>0</v>
      </c>
      <c r="S399">
        <f t="shared" si="867"/>
        <v>0</v>
      </c>
      <c r="T399">
        <f t="shared" si="868"/>
        <v>0</v>
      </c>
    </row>
    <row r="400" spans="1:20" x14ac:dyDescent="0.25">
      <c r="A400" s="5"/>
      <c r="C400"/>
      <c r="D400"/>
      <c r="P400">
        <f t="shared" si="864"/>
        <v>0</v>
      </c>
      <c r="Q400">
        <f t="shared" si="865"/>
        <v>0</v>
      </c>
      <c r="R400">
        <f t="shared" si="866"/>
        <v>0</v>
      </c>
      <c r="S400">
        <f t="shared" si="867"/>
        <v>0</v>
      </c>
      <c r="T400">
        <f t="shared" si="868"/>
        <v>0</v>
      </c>
    </row>
    <row r="401" spans="1:20" x14ac:dyDescent="0.25">
      <c r="A401" s="5"/>
      <c r="C401"/>
      <c r="D401"/>
      <c r="P401">
        <f t="shared" si="864"/>
        <v>0</v>
      </c>
      <c r="Q401">
        <f t="shared" si="865"/>
        <v>0</v>
      </c>
      <c r="R401">
        <f t="shared" si="866"/>
        <v>0</v>
      </c>
      <c r="S401">
        <f t="shared" si="867"/>
        <v>0</v>
      </c>
      <c r="T401">
        <f t="shared" si="868"/>
        <v>0</v>
      </c>
    </row>
    <row r="402" spans="1:20" x14ac:dyDescent="0.25">
      <c r="A402" s="5"/>
      <c r="C402"/>
      <c r="D402"/>
      <c r="P402">
        <f t="shared" si="864"/>
        <v>0</v>
      </c>
      <c r="Q402">
        <f t="shared" si="865"/>
        <v>0</v>
      </c>
      <c r="R402">
        <f t="shared" si="866"/>
        <v>0</v>
      </c>
      <c r="S402">
        <f t="shared" si="867"/>
        <v>0</v>
      </c>
      <c r="T402">
        <f t="shared" si="868"/>
        <v>0</v>
      </c>
    </row>
    <row r="403" spans="1:20" x14ac:dyDescent="0.25">
      <c r="A403" s="5"/>
      <c r="C403"/>
      <c r="D403"/>
      <c r="P403">
        <f t="shared" si="864"/>
        <v>0</v>
      </c>
      <c r="Q403">
        <f t="shared" si="865"/>
        <v>0</v>
      </c>
      <c r="R403">
        <f t="shared" si="866"/>
        <v>0</v>
      </c>
      <c r="S403">
        <f t="shared" si="867"/>
        <v>0</v>
      </c>
      <c r="T403">
        <f t="shared" si="868"/>
        <v>0</v>
      </c>
    </row>
    <row r="404" spans="1:20" x14ac:dyDescent="0.25">
      <c r="A404" s="5"/>
      <c r="C404"/>
      <c r="D404"/>
      <c r="P404">
        <f t="shared" si="864"/>
        <v>0</v>
      </c>
      <c r="Q404">
        <f t="shared" si="865"/>
        <v>0</v>
      </c>
      <c r="R404">
        <f t="shared" si="866"/>
        <v>0</v>
      </c>
      <c r="S404">
        <f t="shared" si="867"/>
        <v>0</v>
      </c>
      <c r="T404">
        <f t="shared" si="868"/>
        <v>0</v>
      </c>
    </row>
    <row r="405" spans="1:20" x14ac:dyDescent="0.25">
      <c r="A405" s="5"/>
      <c r="C405"/>
      <c r="D405"/>
      <c r="P405">
        <f t="shared" si="864"/>
        <v>0</v>
      </c>
      <c r="Q405">
        <f t="shared" si="865"/>
        <v>0</v>
      </c>
      <c r="R405">
        <f t="shared" si="866"/>
        <v>0</v>
      </c>
      <c r="S405">
        <f t="shared" si="867"/>
        <v>0</v>
      </c>
      <c r="T405">
        <f t="shared" si="868"/>
        <v>0</v>
      </c>
    </row>
    <row r="406" spans="1:20" x14ac:dyDescent="0.25">
      <c r="A406" s="5"/>
      <c r="C406"/>
      <c r="D406"/>
      <c r="P406">
        <f t="shared" si="864"/>
        <v>0</v>
      </c>
      <c r="Q406">
        <f t="shared" si="865"/>
        <v>0</v>
      </c>
      <c r="R406">
        <f t="shared" si="866"/>
        <v>0</v>
      </c>
      <c r="S406">
        <f t="shared" si="867"/>
        <v>0</v>
      </c>
      <c r="T406">
        <f t="shared" si="868"/>
        <v>0</v>
      </c>
    </row>
    <row r="407" spans="1:20" x14ac:dyDescent="0.25">
      <c r="A407" s="5"/>
      <c r="C407"/>
      <c r="D407"/>
      <c r="P407">
        <f t="shared" si="864"/>
        <v>0</v>
      </c>
      <c r="Q407">
        <f t="shared" si="865"/>
        <v>0</v>
      </c>
      <c r="R407">
        <f t="shared" si="866"/>
        <v>0</v>
      </c>
      <c r="S407">
        <f t="shared" si="867"/>
        <v>0</v>
      </c>
      <c r="T407">
        <f t="shared" si="868"/>
        <v>0</v>
      </c>
    </row>
    <row r="408" spans="1:20" x14ac:dyDescent="0.25">
      <c r="A408" s="5"/>
      <c r="C408"/>
      <c r="D408"/>
      <c r="P408">
        <f t="shared" si="864"/>
        <v>0</v>
      </c>
      <c r="Q408">
        <f t="shared" si="865"/>
        <v>0</v>
      </c>
      <c r="R408">
        <f t="shared" si="866"/>
        <v>0</v>
      </c>
      <c r="S408">
        <f t="shared" si="867"/>
        <v>0</v>
      </c>
      <c r="T408">
        <f t="shared" si="868"/>
        <v>0</v>
      </c>
    </row>
    <row r="409" spans="1:20" x14ac:dyDescent="0.25">
      <c r="A409" s="5"/>
      <c r="C409"/>
      <c r="D409"/>
      <c r="P409">
        <f t="shared" si="864"/>
        <v>0</v>
      </c>
      <c r="Q409">
        <f t="shared" si="865"/>
        <v>0</v>
      </c>
      <c r="R409">
        <f t="shared" si="866"/>
        <v>0</v>
      </c>
      <c r="S409">
        <f t="shared" si="867"/>
        <v>0</v>
      </c>
      <c r="T409">
        <f t="shared" si="868"/>
        <v>0</v>
      </c>
    </row>
    <row r="410" spans="1:20" x14ac:dyDescent="0.25">
      <c r="A410" s="5"/>
      <c r="C410"/>
      <c r="D410"/>
      <c r="P410">
        <f t="shared" si="864"/>
        <v>0</v>
      </c>
      <c r="Q410">
        <f t="shared" si="865"/>
        <v>0</v>
      </c>
      <c r="R410">
        <f t="shared" si="866"/>
        <v>0</v>
      </c>
      <c r="S410">
        <f t="shared" si="867"/>
        <v>0</v>
      </c>
      <c r="T410">
        <f t="shared" si="868"/>
        <v>0</v>
      </c>
    </row>
    <row r="411" spans="1:20" x14ac:dyDescent="0.25">
      <c r="A411" s="5"/>
      <c r="C411"/>
      <c r="D411"/>
      <c r="P411">
        <f t="shared" si="864"/>
        <v>0</v>
      </c>
      <c r="Q411">
        <f t="shared" si="865"/>
        <v>0</v>
      </c>
      <c r="R411">
        <f t="shared" si="866"/>
        <v>0</v>
      </c>
      <c r="S411">
        <f t="shared" si="867"/>
        <v>0</v>
      </c>
      <c r="T411">
        <f t="shared" si="868"/>
        <v>0</v>
      </c>
    </row>
    <row r="412" spans="1:20" x14ac:dyDescent="0.25">
      <c r="A412" s="5"/>
      <c r="C412"/>
      <c r="D412"/>
      <c r="P412">
        <f t="shared" si="864"/>
        <v>0</v>
      </c>
      <c r="Q412">
        <f t="shared" si="865"/>
        <v>0</v>
      </c>
      <c r="R412">
        <f t="shared" si="866"/>
        <v>0</v>
      </c>
      <c r="S412">
        <f t="shared" si="867"/>
        <v>0</v>
      </c>
      <c r="T412">
        <f t="shared" si="868"/>
        <v>0</v>
      </c>
    </row>
    <row r="413" spans="1:20" x14ac:dyDescent="0.25">
      <c r="A413" s="5"/>
      <c r="C413"/>
      <c r="D413"/>
      <c r="P413">
        <f t="shared" si="864"/>
        <v>0</v>
      </c>
      <c r="Q413">
        <f t="shared" si="865"/>
        <v>0</v>
      </c>
      <c r="R413">
        <f t="shared" si="866"/>
        <v>0</v>
      </c>
      <c r="S413">
        <f t="shared" si="867"/>
        <v>0</v>
      </c>
      <c r="T413">
        <f t="shared" si="868"/>
        <v>0</v>
      </c>
    </row>
    <row r="414" spans="1:20" x14ac:dyDescent="0.25">
      <c r="A414" s="5"/>
      <c r="C414"/>
      <c r="D414"/>
      <c r="P414">
        <f t="shared" si="864"/>
        <v>0</v>
      </c>
      <c r="Q414">
        <f t="shared" si="865"/>
        <v>0</v>
      </c>
      <c r="R414">
        <f t="shared" si="866"/>
        <v>0</v>
      </c>
      <c r="S414">
        <f t="shared" si="867"/>
        <v>0</v>
      </c>
      <c r="T414">
        <f t="shared" si="868"/>
        <v>0</v>
      </c>
    </row>
    <row r="415" spans="1:20" x14ac:dyDescent="0.25">
      <c r="A415" s="5"/>
      <c r="C415"/>
      <c r="D415"/>
      <c r="P415">
        <f t="shared" si="864"/>
        <v>0</v>
      </c>
      <c r="Q415">
        <f t="shared" si="865"/>
        <v>0</v>
      </c>
      <c r="R415">
        <f t="shared" si="866"/>
        <v>0</v>
      </c>
      <c r="S415">
        <f t="shared" si="867"/>
        <v>0</v>
      </c>
      <c r="T415">
        <f t="shared" si="868"/>
        <v>0</v>
      </c>
    </row>
    <row r="416" spans="1:20" x14ac:dyDescent="0.25">
      <c r="A416" s="5"/>
      <c r="C416"/>
      <c r="D416"/>
      <c r="P416">
        <f t="shared" si="864"/>
        <v>0</v>
      </c>
      <c r="Q416">
        <f t="shared" si="865"/>
        <v>0</v>
      </c>
      <c r="R416">
        <f t="shared" si="866"/>
        <v>0</v>
      </c>
      <c r="S416">
        <f t="shared" si="867"/>
        <v>0</v>
      </c>
      <c r="T416">
        <f t="shared" si="868"/>
        <v>0</v>
      </c>
    </row>
    <row r="417" spans="1:20" x14ac:dyDescent="0.25">
      <c r="A417" s="5"/>
      <c r="C417"/>
      <c r="D417"/>
      <c r="P417">
        <f t="shared" si="864"/>
        <v>0</v>
      </c>
      <c r="Q417">
        <f t="shared" si="865"/>
        <v>0</v>
      </c>
      <c r="R417">
        <f t="shared" si="866"/>
        <v>0</v>
      </c>
      <c r="S417">
        <f t="shared" si="867"/>
        <v>0</v>
      </c>
      <c r="T417">
        <f t="shared" si="868"/>
        <v>0</v>
      </c>
    </row>
    <row r="418" spans="1:20" x14ac:dyDescent="0.25">
      <c r="A418" s="5"/>
      <c r="C418"/>
      <c r="D418"/>
      <c r="P418">
        <f t="shared" si="864"/>
        <v>0</v>
      </c>
      <c r="Q418">
        <f t="shared" si="865"/>
        <v>0</v>
      </c>
      <c r="R418">
        <f t="shared" si="866"/>
        <v>0</v>
      </c>
      <c r="S418">
        <f t="shared" si="867"/>
        <v>0</v>
      </c>
      <c r="T418">
        <f t="shared" si="868"/>
        <v>0</v>
      </c>
    </row>
    <row r="419" spans="1:20" x14ac:dyDescent="0.25">
      <c r="A419" s="5"/>
      <c r="C419"/>
      <c r="D419"/>
      <c r="P419">
        <f t="shared" si="864"/>
        <v>0</v>
      </c>
      <c r="Q419">
        <f t="shared" si="865"/>
        <v>0</v>
      </c>
      <c r="R419">
        <f t="shared" si="866"/>
        <v>0</v>
      </c>
      <c r="S419">
        <f t="shared" si="867"/>
        <v>0</v>
      </c>
      <c r="T419">
        <f t="shared" si="868"/>
        <v>0</v>
      </c>
    </row>
    <row r="420" spans="1:20" x14ac:dyDescent="0.25">
      <c r="A420" s="5"/>
      <c r="C420"/>
      <c r="D420"/>
      <c r="P420">
        <f t="shared" si="864"/>
        <v>0</v>
      </c>
      <c r="Q420">
        <f t="shared" si="865"/>
        <v>0</v>
      </c>
      <c r="R420">
        <f t="shared" si="866"/>
        <v>0</v>
      </c>
      <c r="S420">
        <f t="shared" si="867"/>
        <v>0</v>
      </c>
      <c r="T420">
        <f t="shared" si="868"/>
        <v>0</v>
      </c>
    </row>
    <row r="421" spans="1:20" x14ac:dyDescent="0.25">
      <c r="A421" s="5"/>
      <c r="C421"/>
      <c r="D421"/>
      <c r="P421">
        <f t="shared" si="864"/>
        <v>0</v>
      </c>
      <c r="Q421">
        <f t="shared" si="865"/>
        <v>0</v>
      </c>
      <c r="R421">
        <f t="shared" si="866"/>
        <v>0</v>
      </c>
      <c r="S421">
        <f t="shared" si="867"/>
        <v>0</v>
      </c>
      <c r="T421">
        <f t="shared" si="868"/>
        <v>0</v>
      </c>
    </row>
    <row r="422" spans="1:20" x14ac:dyDescent="0.25">
      <c r="A422" s="5"/>
      <c r="C422"/>
      <c r="D422"/>
      <c r="P422">
        <f t="shared" si="864"/>
        <v>0</v>
      </c>
      <c r="Q422">
        <f t="shared" si="865"/>
        <v>0</v>
      </c>
      <c r="R422">
        <f t="shared" si="866"/>
        <v>0</v>
      </c>
      <c r="S422">
        <f t="shared" si="867"/>
        <v>0</v>
      </c>
      <c r="T422">
        <f t="shared" si="868"/>
        <v>0</v>
      </c>
    </row>
    <row r="423" spans="1:20" x14ac:dyDescent="0.25">
      <c r="A423" s="5"/>
      <c r="C423"/>
      <c r="D423"/>
      <c r="P423">
        <f t="shared" si="864"/>
        <v>0</v>
      </c>
      <c r="Q423">
        <f t="shared" si="865"/>
        <v>0</v>
      </c>
      <c r="R423">
        <f t="shared" si="866"/>
        <v>0</v>
      </c>
      <c r="S423">
        <f t="shared" si="867"/>
        <v>0</v>
      </c>
      <c r="T423">
        <f t="shared" si="868"/>
        <v>0</v>
      </c>
    </row>
    <row r="424" spans="1:20" x14ac:dyDescent="0.25">
      <c r="A424" s="5"/>
      <c r="C424"/>
      <c r="D424"/>
      <c r="P424">
        <f t="shared" si="864"/>
        <v>0</v>
      </c>
      <c r="Q424">
        <f t="shared" si="865"/>
        <v>0</v>
      </c>
      <c r="R424">
        <f t="shared" si="866"/>
        <v>0</v>
      </c>
      <c r="S424">
        <f t="shared" si="867"/>
        <v>0</v>
      </c>
      <c r="T424">
        <f t="shared" si="868"/>
        <v>0</v>
      </c>
    </row>
    <row r="425" spans="1:20" x14ac:dyDescent="0.25">
      <c r="A425" s="5"/>
      <c r="C425"/>
      <c r="D425"/>
      <c r="P425">
        <f t="shared" si="864"/>
        <v>0</v>
      </c>
      <c r="Q425">
        <f t="shared" si="865"/>
        <v>0</v>
      </c>
      <c r="R425">
        <f t="shared" si="866"/>
        <v>0</v>
      </c>
      <c r="S425">
        <f t="shared" si="867"/>
        <v>0</v>
      </c>
      <c r="T425">
        <f t="shared" si="868"/>
        <v>0</v>
      </c>
    </row>
    <row r="426" spans="1:20" x14ac:dyDescent="0.25">
      <c r="A426" s="5"/>
      <c r="C426"/>
      <c r="D426"/>
      <c r="P426">
        <f t="shared" si="864"/>
        <v>0</v>
      </c>
      <c r="Q426">
        <f t="shared" si="865"/>
        <v>0</v>
      </c>
      <c r="R426">
        <f t="shared" si="866"/>
        <v>0</v>
      </c>
      <c r="S426">
        <f t="shared" si="867"/>
        <v>0</v>
      </c>
      <c r="T426">
        <f t="shared" si="868"/>
        <v>0</v>
      </c>
    </row>
    <row r="427" spans="1:20" x14ac:dyDescent="0.25">
      <c r="A427" s="5"/>
      <c r="C427"/>
      <c r="D427"/>
      <c r="P427">
        <f t="shared" si="864"/>
        <v>0</v>
      </c>
      <c r="Q427">
        <f t="shared" si="865"/>
        <v>0</v>
      </c>
      <c r="R427">
        <f t="shared" si="866"/>
        <v>0</v>
      </c>
      <c r="S427">
        <f t="shared" si="867"/>
        <v>0</v>
      </c>
      <c r="T427">
        <f t="shared" si="868"/>
        <v>0</v>
      </c>
    </row>
    <row r="428" spans="1:20" x14ac:dyDescent="0.25">
      <c r="A428" s="5"/>
      <c r="C428"/>
      <c r="D428"/>
      <c r="P428">
        <f t="shared" si="864"/>
        <v>0</v>
      </c>
      <c r="Q428">
        <f t="shared" si="865"/>
        <v>0</v>
      </c>
      <c r="R428">
        <f t="shared" si="866"/>
        <v>0</v>
      </c>
      <c r="S428">
        <f t="shared" si="867"/>
        <v>0</v>
      </c>
      <c r="T428">
        <f t="shared" si="868"/>
        <v>0</v>
      </c>
    </row>
    <row r="429" spans="1:20" x14ac:dyDescent="0.25">
      <c r="A429" s="5"/>
      <c r="C429"/>
      <c r="D429"/>
      <c r="P429">
        <f t="shared" si="864"/>
        <v>0</v>
      </c>
      <c r="Q429">
        <f t="shared" si="865"/>
        <v>0</v>
      </c>
      <c r="R429">
        <f t="shared" si="866"/>
        <v>0</v>
      </c>
      <c r="S429">
        <f t="shared" si="867"/>
        <v>0</v>
      </c>
      <c r="T429">
        <f t="shared" si="868"/>
        <v>0</v>
      </c>
    </row>
    <row r="430" spans="1:20" x14ac:dyDescent="0.25">
      <c r="A430" s="5"/>
      <c r="C430"/>
      <c r="D430"/>
      <c r="P430">
        <f t="shared" si="864"/>
        <v>0</v>
      </c>
      <c r="Q430">
        <f t="shared" si="865"/>
        <v>0</v>
      </c>
      <c r="R430">
        <f t="shared" si="866"/>
        <v>0</v>
      </c>
      <c r="S430">
        <f t="shared" si="867"/>
        <v>0</v>
      </c>
      <c r="T430">
        <f t="shared" si="868"/>
        <v>0</v>
      </c>
    </row>
    <row r="431" spans="1:20" x14ac:dyDescent="0.25">
      <c r="A431" s="5"/>
      <c r="C431"/>
      <c r="D431"/>
      <c r="P431">
        <f t="shared" si="864"/>
        <v>0</v>
      </c>
      <c r="Q431">
        <f t="shared" si="865"/>
        <v>0</v>
      </c>
      <c r="R431">
        <f t="shared" si="866"/>
        <v>0</v>
      </c>
      <c r="S431">
        <f t="shared" si="867"/>
        <v>0</v>
      </c>
      <c r="T431">
        <f t="shared" si="868"/>
        <v>0</v>
      </c>
    </row>
    <row r="432" spans="1:20" x14ac:dyDescent="0.25">
      <c r="A432" s="5"/>
      <c r="C432"/>
      <c r="D432"/>
      <c r="P432">
        <f t="shared" ref="P432:P495" si="869">IF(C432=D432,0,((E432-D432)-(C432-E432))/(C432-D432))</f>
        <v>0</v>
      </c>
      <c r="Q432">
        <f t="shared" ref="Q432:Q495" si="870">F432*P432</f>
        <v>0</v>
      </c>
      <c r="R432">
        <f t="shared" ref="R432:R495" si="871">R433+Q432</f>
        <v>0</v>
      </c>
      <c r="S432">
        <f t="shared" ref="S432:S495" si="872">R432/100000</f>
        <v>0</v>
      </c>
      <c r="T432">
        <f t="shared" ref="T432:T495" si="873">S432/1000</f>
        <v>0</v>
      </c>
    </row>
    <row r="433" spans="1:20" x14ac:dyDescent="0.25">
      <c r="A433" s="5"/>
      <c r="C433"/>
      <c r="D433"/>
      <c r="P433">
        <f t="shared" si="869"/>
        <v>0</v>
      </c>
      <c r="Q433">
        <f t="shared" si="870"/>
        <v>0</v>
      </c>
      <c r="R433">
        <f t="shared" si="871"/>
        <v>0</v>
      </c>
      <c r="S433">
        <f t="shared" si="872"/>
        <v>0</v>
      </c>
      <c r="T433">
        <f t="shared" si="873"/>
        <v>0</v>
      </c>
    </row>
    <row r="434" spans="1:20" x14ac:dyDescent="0.25">
      <c r="A434" s="5"/>
      <c r="C434"/>
      <c r="D434"/>
      <c r="P434">
        <f t="shared" si="869"/>
        <v>0</v>
      </c>
      <c r="Q434">
        <f t="shared" si="870"/>
        <v>0</v>
      </c>
      <c r="R434">
        <f t="shared" si="871"/>
        <v>0</v>
      </c>
      <c r="S434">
        <f t="shared" si="872"/>
        <v>0</v>
      </c>
      <c r="T434">
        <f t="shared" si="873"/>
        <v>0</v>
      </c>
    </row>
    <row r="435" spans="1:20" x14ac:dyDescent="0.25">
      <c r="A435" s="5"/>
      <c r="C435"/>
      <c r="D435"/>
      <c r="P435">
        <f t="shared" si="869"/>
        <v>0</v>
      </c>
      <c r="Q435">
        <f t="shared" si="870"/>
        <v>0</v>
      </c>
      <c r="R435">
        <f t="shared" si="871"/>
        <v>0</v>
      </c>
      <c r="S435">
        <f t="shared" si="872"/>
        <v>0</v>
      </c>
      <c r="T435">
        <f t="shared" si="873"/>
        <v>0</v>
      </c>
    </row>
    <row r="436" spans="1:20" x14ac:dyDescent="0.25">
      <c r="A436" s="5"/>
      <c r="C436"/>
      <c r="D436"/>
      <c r="P436">
        <f t="shared" si="869"/>
        <v>0</v>
      </c>
      <c r="Q436">
        <f t="shared" si="870"/>
        <v>0</v>
      </c>
      <c r="R436">
        <f t="shared" si="871"/>
        <v>0</v>
      </c>
      <c r="S436">
        <f t="shared" si="872"/>
        <v>0</v>
      </c>
      <c r="T436">
        <f t="shared" si="873"/>
        <v>0</v>
      </c>
    </row>
    <row r="437" spans="1:20" x14ac:dyDescent="0.25">
      <c r="A437" s="5"/>
      <c r="C437"/>
      <c r="D437"/>
      <c r="P437">
        <f t="shared" si="869"/>
        <v>0</v>
      </c>
      <c r="Q437">
        <f t="shared" si="870"/>
        <v>0</v>
      </c>
      <c r="R437">
        <f t="shared" si="871"/>
        <v>0</v>
      </c>
      <c r="S437">
        <f t="shared" si="872"/>
        <v>0</v>
      </c>
      <c r="T437">
        <f t="shared" si="873"/>
        <v>0</v>
      </c>
    </row>
    <row r="438" spans="1:20" x14ac:dyDescent="0.25">
      <c r="A438" s="5"/>
      <c r="C438"/>
      <c r="D438"/>
      <c r="P438">
        <f t="shared" si="869"/>
        <v>0</v>
      </c>
      <c r="Q438">
        <f t="shared" si="870"/>
        <v>0</v>
      </c>
      <c r="R438">
        <f t="shared" si="871"/>
        <v>0</v>
      </c>
      <c r="S438">
        <f t="shared" si="872"/>
        <v>0</v>
      </c>
      <c r="T438">
        <f t="shared" si="873"/>
        <v>0</v>
      </c>
    </row>
    <row r="439" spans="1:20" x14ac:dyDescent="0.25">
      <c r="A439" s="5"/>
      <c r="C439"/>
      <c r="D439"/>
      <c r="P439">
        <f t="shared" si="869"/>
        <v>0</v>
      </c>
      <c r="Q439">
        <f t="shared" si="870"/>
        <v>0</v>
      </c>
      <c r="R439">
        <f t="shared" si="871"/>
        <v>0</v>
      </c>
      <c r="S439">
        <f t="shared" si="872"/>
        <v>0</v>
      </c>
      <c r="T439">
        <f t="shared" si="873"/>
        <v>0</v>
      </c>
    </row>
    <row r="440" spans="1:20" x14ac:dyDescent="0.25">
      <c r="A440" s="5"/>
      <c r="C440"/>
      <c r="D440"/>
      <c r="P440">
        <f t="shared" si="869"/>
        <v>0</v>
      </c>
      <c r="Q440">
        <f t="shared" si="870"/>
        <v>0</v>
      </c>
      <c r="R440">
        <f t="shared" si="871"/>
        <v>0</v>
      </c>
      <c r="S440">
        <f t="shared" si="872"/>
        <v>0</v>
      </c>
      <c r="T440">
        <f t="shared" si="873"/>
        <v>0</v>
      </c>
    </row>
    <row r="441" spans="1:20" x14ac:dyDescent="0.25">
      <c r="A441" s="5"/>
      <c r="C441"/>
      <c r="D441"/>
      <c r="P441">
        <f t="shared" si="869"/>
        <v>0</v>
      </c>
      <c r="Q441">
        <f t="shared" si="870"/>
        <v>0</v>
      </c>
      <c r="R441">
        <f t="shared" si="871"/>
        <v>0</v>
      </c>
      <c r="S441">
        <f t="shared" si="872"/>
        <v>0</v>
      </c>
      <c r="T441">
        <f t="shared" si="873"/>
        <v>0</v>
      </c>
    </row>
    <row r="442" spans="1:20" x14ac:dyDescent="0.25">
      <c r="A442" s="5"/>
      <c r="C442"/>
      <c r="D442"/>
      <c r="P442">
        <f t="shared" si="869"/>
        <v>0</v>
      </c>
      <c r="Q442">
        <f t="shared" si="870"/>
        <v>0</v>
      </c>
      <c r="R442">
        <f t="shared" si="871"/>
        <v>0</v>
      </c>
      <c r="S442">
        <f t="shared" si="872"/>
        <v>0</v>
      </c>
      <c r="T442">
        <f t="shared" si="873"/>
        <v>0</v>
      </c>
    </row>
    <row r="443" spans="1:20" x14ac:dyDescent="0.25">
      <c r="A443" s="5"/>
      <c r="C443"/>
      <c r="D443"/>
      <c r="P443">
        <f t="shared" si="869"/>
        <v>0</v>
      </c>
      <c r="Q443">
        <f t="shared" si="870"/>
        <v>0</v>
      </c>
      <c r="R443">
        <f t="shared" si="871"/>
        <v>0</v>
      </c>
      <c r="S443">
        <f t="shared" si="872"/>
        <v>0</v>
      </c>
      <c r="T443">
        <f t="shared" si="873"/>
        <v>0</v>
      </c>
    </row>
    <row r="444" spans="1:20" x14ac:dyDescent="0.25">
      <c r="A444" s="5"/>
      <c r="C444"/>
      <c r="D444"/>
      <c r="P444">
        <f t="shared" si="869"/>
        <v>0</v>
      </c>
      <c r="Q444">
        <f t="shared" si="870"/>
        <v>0</v>
      </c>
      <c r="R444">
        <f t="shared" si="871"/>
        <v>0</v>
      </c>
      <c r="S444">
        <f t="shared" si="872"/>
        <v>0</v>
      </c>
      <c r="T444">
        <f t="shared" si="873"/>
        <v>0</v>
      </c>
    </row>
    <row r="445" spans="1:20" x14ac:dyDescent="0.25">
      <c r="A445" s="5"/>
      <c r="C445"/>
      <c r="D445"/>
      <c r="P445">
        <f t="shared" si="869"/>
        <v>0</v>
      </c>
      <c r="Q445">
        <f t="shared" si="870"/>
        <v>0</v>
      </c>
      <c r="R445">
        <f t="shared" si="871"/>
        <v>0</v>
      </c>
      <c r="S445">
        <f t="shared" si="872"/>
        <v>0</v>
      </c>
      <c r="T445">
        <f t="shared" si="873"/>
        <v>0</v>
      </c>
    </row>
    <row r="446" spans="1:20" x14ac:dyDescent="0.25">
      <c r="A446" s="5"/>
      <c r="C446"/>
      <c r="D446"/>
      <c r="P446">
        <f t="shared" si="869"/>
        <v>0</v>
      </c>
      <c r="Q446">
        <f t="shared" si="870"/>
        <v>0</v>
      </c>
      <c r="R446">
        <f t="shared" si="871"/>
        <v>0</v>
      </c>
      <c r="S446">
        <f t="shared" si="872"/>
        <v>0</v>
      </c>
      <c r="T446">
        <f t="shared" si="873"/>
        <v>0</v>
      </c>
    </row>
    <row r="447" spans="1:20" x14ac:dyDescent="0.25">
      <c r="A447" s="5"/>
      <c r="C447"/>
      <c r="D447"/>
      <c r="P447">
        <f t="shared" si="869"/>
        <v>0</v>
      </c>
      <c r="Q447">
        <f t="shared" si="870"/>
        <v>0</v>
      </c>
      <c r="R447">
        <f t="shared" si="871"/>
        <v>0</v>
      </c>
      <c r="S447">
        <f t="shared" si="872"/>
        <v>0</v>
      </c>
      <c r="T447">
        <f t="shared" si="873"/>
        <v>0</v>
      </c>
    </row>
    <row r="448" spans="1:20" x14ac:dyDescent="0.25">
      <c r="A448" s="5"/>
      <c r="C448"/>
      <c r="D448"/>
      <c r="P448">
        <f t="shared" si="869"/>
        <v>0</v>
      </c>
      <c r="Q448">
        <f t="shared" si="870"/>
        <v>0</v>
      </c>
      <c r="R448">
        <f t="shared" si="871"/>
        <v>0</v>
      </c>
      <c r="S448">
        <f t="shared" si="872"/>
        <v>0</v>
      </c>
      <c r="T448">
        <f t="shared" si="873"/>
        <v>0</v>
      </c>
    </row>
    <row r="449" spans="1:20" x14ac:dyDescent="0.25">
      <c r="A449" s="5"/>
      <c r="C449"/>
      <c r="D449"/>
      <c r="P449">
        <f t="shared" si="869"/>
        <v>0</v>
      </c>
      <c r="Q449">
        <f t="shared" si="870"/>
        <v>0</v>
      </c>
      <c r="R449">
        <f t="shared" si="871"/>
        <v>0</v>
      </c>
      <c r="S449">
        <f t="shared" si="872"/>
        <v>0</v>
      </c>
      <c r="T449">
        <f t="shared" si="873"/>
        <v>0</v>
      </c>
    </row>
    <row r="450" spans="1:20" x14ac:dyDescent="0.25">
      <c r="A450" s="5"/>
      <c r="C450"/>
      <c r="D450"/>
      <c r="P450">
        <f t="shared" si="869"/>
        <v>0</v>
      </c>
      <c r="Q450">
        <f t="shared" si="870"/>
        <v>0</v>
      </c>
      <c r="R450">
        <f t="shared" si="871"/>
        <v>0</v>
      </c>
      <c r="S450">
        <f t="shared" si="872"/>
        <v>0</v>
      </c>
      <c r="T450">
        <f t="shared" si="873"/>
        <v>0</v>
      </c>
    </row>
    <row r="451" spans="1:20" x14ac:dyDescent="0.25">
      <c r="A451" s="5"/>
      <c r="C451"/>
      <c r="D451"/>
      <c r="P451">
        <f t="shared" si="869"/>
        <v>0</v>
      </c>
      <c r="Q451">
        <f t="shared" si="870"/>
        <v>0</v>
      </c>
      <c r="R451">
        <f t="shared" si="871"/>
        <v>0</v>
      </c>
      <c r="S451">
        <f t="shared" si="872"/>
        <v>0</v>
      </c>
      <c r="T451">
        <f t="shared" si="873"/>
        <v>0</v>
      </c>
    </row>
    <row r="452" spans="1:20" x14ac:dyDescent="0.25">
      <c r="A452" s="5"/>
      <c r="C452"/>
      <c r="D452"/>
      <c r="P452">
        <f t="shared" si="869"/>
        <v>0</v>
      </c>
      <c r="Q452">
        <f t="shared" si="870"/>
        <v>0</v>
      </c>
      <c r="R452">
        <f t="shared" si="871"/>
        <v>0</v>
      </c>
      <c r="S452">
        <f t="shared" si="872"/>
        <v>0</v>
      </c>
      <c r="T452">
        <f t="shared" si="873"/>
        <v>0</v>
      </c>
    </row>
    <row r="453" spans="1:20" x14ac:dyDescent="0.25">
      <c r="A453" s="5"/>
      <c r="C453"/>
      <c r="D453"/>
      <c r="P453">
        <f t="shared" si="869"/>
        <v>0</v>
      </c>
      <c r="Q453">
        <f t="shared" si="870"/>
        <v>0</v>
      </c>
      <c r="R453">
        <f t="shared" si="871"/>
        <v>0</v>
      </c>
      <c r="S453">
        <f t="shared" si="872"/>
        <v>0</v>
      </c>
      <c r="T453">
        <f t="shared" si="873"/>
        <v>0</v>
      </c>
    </row>
    <row r="454" spans="1:20" x14ac:dyDescent="0.25">
      <c r="A454" s="5"/>
      <c r="C454"/>
      <c r="D454"/>
      <c r="P454">
        <f t="shared" si="869"/>
        <v>0</v>
      </c>
      <c r="Q454">
        <f t="shared" si="870"/>
        <v>0</v>
      </c>
      <c r="R454">
        <f t="shared" si="871"/>
        <v>0</v>
      </c>
      <c r="S454">
        <f t="shared" si="872"/>
        <v>0</v>
      </c>
      <c r="T454">
        <f t="shared" si="873"/>
        <v>0</v>
      </c>
    </row>
    <row r="455" spans="1:20" x14ac:dyDescent="0.25">
      <c r="A455" s="5"/>
      <c r="C455"/>
      <c r="D455"/>
      <c r="P455">
        <f t="shared" si="869"/>
        <v>0</v>
      </c>
      <c r="Q455">
        <f t="shared" si="870"/>
        <v>0</v>
      </c>
      <c r="R455">
        <f t="shared" si="871"/>
        <v>0</v>
      </c>
      <c r="S455">
        <f t="shared" si="872"/>
        <v>0</v>
      </c>
      <c r="T455">
        <f t="shared" si="873"/>
        <v>0</v>
      </c>
    </row>
    <row r="456" spans="1:20" x14ac:dyDescent="0.25">
      <c r="A456" s="5"/>
      <c r="C456"/>
      <c r="D456"/>
      <c r="P456">
        <f t="shared" si="869"/>
        <v>0</v>
      </c>
      <c r="Q456">
        <f t="shared" si="870"/>
        <v>0</v>
      </c>
      <c r="R456">
        <f t="shared" si="871"/>
        <v>0</v>
      </c>
      <c r="S456">
        <f t="shared" si="872"/>
        <v>0</v>
      </c>
      <c r="T456">
        <f t="shared" si="873"/>
        <v>0</v>
      </c>
    </row>
    <row r="457" spans="1:20" x14ac:dyDescent="0.25">
      <c r="A457" s="5"/>
      <c r="C457"/>
      <c r="D457"/>
      <c r="P457">
        <f t="shared" si="869"/>
        <v>0</v>
      </c>
      <c r="Q457">
        <f t="shared" si="870"/>
        <v>0</v>
      </c>
      <c r="R457">
        <f t="shared" si="871"/>
        <v>0</v>
      </c>
      <c r="S457">
        <f t="shared" si="872"/>
        <v>0</v>
      </c>
      <c r="T457">
        <f t="shared" si="873"/>
        <v>0</v>
      </c>
    </row>
    <row r="458" spans="1:20" x14ac:dyDescent="0.25">
      <c r="A458" s="5"/>
      <c r="C458"/>
      <c r="D458"/>
      <c r="P458">
        <f t="shared" si="869"/>
        <v>0</v>
      </c>
      <c r="Q458">
        <f t="shared" si="870"/>
        <v>0</v>
      </c>
      <c r="R458">
        <f t="shared" si="871"/>
        <v>0</v>
      </c>
      <c r="S458">
        <f t="shared" si="872"/>
        <v>0</v>
      </c>
      <c r="T458">
        <f t="shared" si="873"/>
        <v>0</v>
      </c>
    </row>
    <row r="459" spans="1:20" x14ac:dyDescent="0.25">
      <c r="A459" s="5"/>
      <c r="C459"/>
      <c r="D459"/>
      <c r="P459">
        <f t="shared" si="869"/>
        <v>0</v>
      </c>
      <c r="Q459">
        <f t="shared" si="870"/>
        <v>0</v>
      </c>
      <c r="R459">
        <f t="shared" si="871"/>
        <v>0</v>
      </c>
      <c r="S459">
        <f t="shared" si="872"/>
        <v>0</v>
      </c>
      <c r="T459">
        <f t="shared" si="873"/>
        <v>0</v>
      </c>
    </row>
    <row r="460" spans="1:20" x14ac:dyDescent="0.25">
      <c r="A460" s="5"/>
      <c r="C460"/>
      <c r="D460"/>
      <c r="P460">
        <f t="shared" si="869"/>
        <v>0</v>
      </c>
      <c r="Q460">
        <f t="shared" si="870"/>
        <v>0</v>
      </c>
      <c r="R460">
        <f t="shared" si="871"/>
        <v>0</v>
      </c>
      <c r="S460">
        <f t="shared" si="872"/>
        <v>0</v>
      </c>
      <c r="T460">
        <f t="shared" si="873"/>
        <v>0</v>
      </c>
    </row>
    <row r="461" spans="1:20" x14ac:dyDescent="0.25">
      <c r="A461" s="5"/>
      <c r="C461"/>
      <c r="D461"/>
      <c r="P461">
        <f t="shared" si="869"/>
        <v>0</v>
      </c>
      <c r="Q461">
        <f t="shared" si="870"/>
        <v>0</v>
      </c>
      <c r="R461">
        <f t="shared" si="871"/>
        <v>0</v>
      </c>
      <c r="S461">
        <f t="shared" si="872"/>
        <v>0</v>
      </c>
      <c r="T461">
        <f t="shared" si="873"/>
        <v>0</v>
      </c>
    </row>
    <row r="462" spans="1:20" x14ac:dyDescent="0.25">
      <c r="A462" s="5"/>
      <c r="C462"/>
      <c r="D462"/>
      <c r="P462">
        <f t="shared" si="869"/>
        <v>0</v>
      </c>
      <c r="Q462">
        <f t="shared" si="870"/>
        <v>0</v>
      </c>
      <c r="R462">
        <f t="shared" si="871"/>
        <v>0</v>
      </c>
      <c r="S462">
        <f t="shared" si="872"/>
        <v>0</v>
      </c>
      <c r="T462">
        <f t="shared" si="873"/>
        <v>0</v>
      </c>
    </row>
    <row r="463" spans="1:20" x14ac:dyDescent="0.25">
      <c r="A463" s="5"/>
      <c r="C463"/>
      <c r="D463"/>
      <c r="P463">
        <f t="shared" si="869"/>
        <v>0</v>
      </c>
      <c r="Q463">
        <f t="shared" si="870"/>
        <v>0</v>
      </c>
      <c r="R463">
        <f t="shared" si="871"/>
        <v>0</v>
      </c>
      <c r="S463">
        <f t="shared" si="872"/>
        <v>0</v>
      </c>
      <c r="T463">
        <f t="shared" si="873"/>
        <v>0</v>
      </c>
    </row>
    <row r="464" spans="1:20" x14ac:dyDescent="0.25">
      <c r="A464" s="5"/>
      <c r="C464"/>
      <c r="D464"/>
      <c r="P464">
        <f t="shared" si="869"/>
        <v>0</v>
      </c>
      <c r="Q464">
        <f t="shared" si="870"/>
        <v>0</v>
      </c>
      <c r="R464">
        <f t="shared" si="871"/>
        <v>0</v>
      </c>
      <c r="S464">
        <f t="shared" si="872"/>
        <v>0</v>
      </c>
      <c r="T464">
        <f t="shared" si="873"/>
        <v>0</v>
      </c>
    </row>
    <row r="465" spans="1:20" x14ac:dyDescent="0.25">
      <c r="A465" s="5"/>
      <c r="C465"/>
      <c r="D465"/>
      <c r="P465">
        <f t="shared" si="869"/>
        <v>0</v>
      </c>
      <c r="Q465">
        <f t="shared" si="870"/>
        <v>0</v>
      </c>
      <c r="R465">
        <f t="shared" si="871"/>
        <v>0</v>
      </c>
      <c r="S465">
        <f t="shared" si="872"/>
        <v>0</v>
      </c>
      <c r="T465">
        <f t="shared" si="873"/>
        <v>0</v>
      </c>
    </row>
    <row r="466" spans="1:20" x14ac:dyDescent="0.25">
      <c r="A466" s="5"/>
      <c r="C466"/>
      <c r="D466"/>
      <c r="P466">
        <f t="shared" si="869"/>
        <v>0</v>
      </c>
      <c r="Q466">
        <f t="shared" si="870"/>
        <v>0</v>
      </c>
      <c r="R466">
        <f t="shared" si="871"/>
        <v>0</v>
      </c>
      <c r="S466">
        <f t="shared" si="872"/>
        <v>0</v>
      </c>
      <c r="T466">
        <f t="shared" si="873"/>
        <v>0</v>
      </c>
    </row>
    <row r="467" spans="1:20" x14ac:dyDescent="0.25">
      <c r="A467" s="5"/>
      <c r="C467"/>
      <c r="D467"/>
      <c r="P467">
        <f t="shared" si="869"/>
        <v>0</v>
      </c>
      <c r="Q467">
        <f t="shared" si="870"/>
        <v>0</v>
      </c>
      <c r="R467">
        <f t="shared" si="871"/>
        <v>0</v>
      </c>
      <c r="S467">
        <f t="shared" si="872"/>
        <v>0</v>
      </c>
      <c r="T467">
        <f t="shared" si="873"/>
        <v>0</v>
      </c>
    </row>
    <row r="468" spans="1:20" x14ac:dyDescent="0.25">
      <c r="A468" s="5"/>
      <c r="C468"/>
      <c r="D468"/>
      <c r="P468">
        <f t="shared" si="869"/>
        <v>0</v>
      </c>
      <c r="Q468">
        <f t="shared" si="870"/>
        <v>0</v>
      </c>
      <c r="R468">
        <f t="shared" si="871"/>
        <v>0</v>
      </c>
      <c r="S468">
        <f t="shared" si="872"/>
        <v>0</v>
      </c>
      <c r="T468">
        <f t="shared" si="873"/>
        <v>0</v>
      </c>
    </row>
    <row r="469" spans="1:20" x14ac:dyDescent="0.25">
      <c r="A469" s="5"/>
      <c r="C469"/>
      <c r="D469"/>
      <c r="P469">
        <f t="shared" si="869"/>
        <v>0</v>
      </c>
      <c r="Q469">
        <f t="shared" si="870"/>
        <v>0</v>
      </c>
      <c r="R469">
        <f t="shared" si="871"/>
        <v>0</v>
      </c>
      <c r="S469">
        <f t="shared" si="872"/>
        <v>0</v>
      </c>
      <c r="T469">
        <f t="shared" si="873"/>
        <v>0</v>
      </c>
    </row>
    <row r="470" spans="1:20" x14ac:dyDescent="0.25">
      <c r="A470" s="5"/>
      <c r="C470"/>
      <c r="D470"/>
      <c r="P470">
        <f t="shared" si="869"/>
        <v>0</v>
      </c>
      <c r="Q470">
        <f t="shared" si="870"/>
        <v>0</v>
      </c>
      <c r="R470">
        <f t="shared" si="871"/>
        <v>0</v>
      </c>
      <c r="S470">
        <f t="shared" si="872"/>
        <v>0</v>
      </c>
      <c r="T470">
        <f t="shared" si="873"/>
        <v>0</v>
      </c>
    </row>
    <row r="471" spans="1:20" x14ac:dyDescent="0.25">
      <c r="A471" s="5"/>
      <c r="C471"/>
      <c r="D471"/>
      <c r="P471">
        <f t="shared" si="869"/>
        <v>0</v>
      </c>
      <c r="Q471">
        <f t="shared" si="870"/>
        <v>0</v>
      </c>
      <c r="R471">
        <f t="shared" si="871"/>
        <v>0</v>
      </c>
      <c r="S471">
        <f t="shared" si="872"/>
        <v>0</v>
      </c>
      <c r="T471">
        <f t="shared" si="873"/>
        <v>0</v>
      </c>
    </row>
    <row r="472" spans="1:20" x14ac:dyDescent="0.25">
      <c r="A472" s="5"/>
      <c r="C472"/>
      <c r="D472"/>
      <c r="P472">
        <f t="shared" si="869"/>
        <v>0</v>
      </c>
      <c r="Q472">
        <f t="shared" si="870"/>
        <v>0</v>
      </c>
      <c r="R472">
        <f t="shared" si="871"/>
        <v>0</v>
      </c>
      <c r="S472">
        <f t="shared" si="872"/>
        <v>0</v>
      </c>
      <c r="T472">
        <f t="shared" si="873"/>
        <v>0</v>
      </c>
    </row>
    <row r="473" spans="1:20" x14ac:dyDescent="0.25">
      <c r="A473" s="5"/>
      <c r="C473"/>
      <c r="D473"/>
      <c r="P473">
        <f t="shared" si="869"/>
        <v>0</v>
      </c>
      <c r="Q473">
        <f t="shared" si="870"/>
        <v>0</v>
      </c>
      <c r="R473">
        <f t="shared" si="871"/>
        <v>0</v>
      </c>
      <c r="S473">
        <f t="shared" si="872"/>
        <v>0</v>
      </c>
      <c r="T473">
        <f t="shared" si="873"/>
        <v>0</v>
      </c>
    </row>
    <row r="474" spans="1:20" x14ac:dyDescent="0.25">
      <c r="A474" s="5"/>
      <c r="C474"/>
      <c r="D474"/>
      <c r="P474">
        <f t="shared" si="869"/>
        <v>0</v>
      </c>
      <c r="Q474">
        <f t="shared" si="870"/>
        <v>0</v>
      </c>
      <c r="R474">
        <f t="shared" si="871"/>
        <v>0</v>
      </c>
      <c r="S474">
        <f t="shared" si="872"/>
        <v>0</v>
      </c>
      <c r="T474">
        <f t="shared" si="873"/>
        <v>0</v>
      </c>
    </row>
    <row r="475" spans="1:20" x14ac:dyDescent="0.25">
      <c r="A475" s="5"/>
      <c r="C475"/>
      <c r="D475"/>
      <c r="P475">
        <f t="shared" si="869"/>
        <v>0</v>
      </c>
      <c r="Q475">
        <f t="shared" si="870"/>
        <v>0</v>
      </c>
      <c r="R475">
        <f t="shared" si="871"/>
        <v>0</v>
      </c>
      <c r="S475">
        <f t="shared" si="872"/>
        <v>0</v>
      </c>
      <c r="T475">
        <f t="shared" si="873"/>
        <v>0</v>
      </c>
    </row>
    <row r="476" spans="1:20" x14ac:dyDescent="0.25">
      <c r="A476" s="5"/>
      <c r="C476"/>
      <c r="D476"/>
      <c r="P476">
        <f t="shared" si="869"/>
        <v>0</v>
      </c>
      <c r="Q476">
        <f t="shared" si="870"/>
        <v>0</v>
      </c>
      <c r="R476">
        <f t="shared" si="871"/>
        <v>0</v>
      </c>
      <c r="S476">
        <f t="shared" si="872"/>
        <v>0</v>
      </c>
      <c r="T476">
        <f t="shared" si="873"/>
        <v>0</v>
      </c>
    </row>
    <row r="477" spans="1:20" x14ac:dyDescent="0.25">
      <c r="A477" s="5"/>
      <c r="C477"/>
      <c r="D477"/>
      <c r="P477">
        <f t="shared" si="869"/>
        <v>0</v>
      </c>
      <c r="Q477">
        <f t="shared" si="870"/>
        <v>0</v>
      </c>
      <c r="R477">
        <f t="shared" si="871"/>
        <v>0</v>
      </c>
      <c r="S477">
        <f t="shared" si="872"/>
        <v>0</v>
      </c>
      <c r="T477">
        <f t="shared" si="873"/>
        <v>0</v>
      </c>
    </row>
    <row r="478" spans="1:20" x14ac:dyDescent="0.25">
      <c r="A478" s="5"/>
      <c r="C478"/>
      <c r="D478"/>
      <c r="P478">
        <f t="shared" si="869"/>
        <v>0</v>
      </c>
      <c r="Q478">
        <f t="shared" si="870"/>
        <v>0</v>
      </c>
      <c r="R478">
        <f t="shared" si="871"/>
        <v>0</v>
      </c>
      <c r="S478">
        <f t="shared" si="872"/>
        <v>0</v>
      </c>
      <c r="T478">
        <f t="shared" si="873"/>
        <v>0</v>
      </c>
    </row>
    <row r="479" spans="1:20" x14ac:dyDescent="0.25">
      <c r="A479" s="5"/>
      <c r="C479"/>
      <c r="D479"/>
      <c r="P479">
        <f t="shared" si="869"/>
        <v>0</v>
      </c>
      <c r="Q479">
        <f t="shared" si="870"/>
        <v>0</v>
      </c>
      <c r="R479">
        <f t="shared" si="871"/>
        <v>0</v>
      </c>
      <c r="S479">
        <f t="shared" si="872"/>
        <v>0</v>
      </c>
      <c r="T479">
        <f t="shared" si="873"/>
        <v>0</v>
      </c>
    </row>
    <row r="480" spans="1:20" x14ac:dyDescent="0.25">
      <c r="A480" s="5"/>
      <c r="C480"/>
      <c r="D480"/>
      <c r="P480">
        <f t="shared" si="869"/>
        <v>0</v>
      </c>
      <c r="Q480">
        <f t="shared" si="870"/>
        <v>0</v>
      </c>
      <c r="R480">
        <f t="shared" si="871"/>
        <v>0</v>
      </c>
      <c r="S480">
        <f t="shared" si="872"/>
        <v>0</v>
      </c>
      <c r="T480">
        <f t="shared" si="873"/>
        <v>0</v>
      </c>
    </row>
    <row r="481" spans="1:20" x14ac:dyDescent="0.25">
      <c r="A481" s="5"/>
      <c r="C481"/>
      <c r="D481"/>
      <c r="P481">
        <f t="shared" si="869"/>
        <v>0</v>
      </c>
      <c r="Q481">
        <f t="shared" si="870"/>
        <v>0</v>
      </c>
      <c r="R481">
        <f t="shared" si="871"/>
        <v>0</v>
      </c>
      <c r="S481">
        <f t="shared" si="872"/>
        <v>0</v>
      </c>
      <c r="T481">
        <f t="shared" si="873"/>
        <v>0</v>
      </c>
    </row>
    <row r="482" spans="1:20" x14ac:dyDescent="0.25">
      <c r="A482" s="5"/>
      <c r="C482"/>
      <c r="D482"/>
      <c r="P482">
        <f t="shared" si="869"/>
        <v>0</v>
      </c>
      <c r="Q482">
        <f t="shared" si="870"/>
        <v>0</v>
      </c>
      <c r="R482">
        <f t="shared" si="871"/>
        <v>0</v>
      </c>
      <c r="S482">
        <f t="shared" si="872"/>
        <v>0</v>
      </c>
      <c r="T482">
        <f t="shared" si="873"/>
        <v>0</v>
      </c>
    </row>
    <row r="483" spans="1:20" x14ac:dyDescent="0.25">
      <c r="A483" s="5"/>
      <c r="C483"/>
      <c r="D483"/>
      <c r="P483">
        <f t="shared" si="869"/>
        <v>0</v>
      </c>
      <c r="Q483">
        <f t="shared" si="870"/>
        <v>0</v>
      </c>
      <c r="R483">
        <f t="shared" si="871"/>
        <v>0</v>
      </c>
      <c r="S483">
        <f t="shared" si="872"/>
        <v>0</v>
      </c>
      <c r="T483">
        <f t="shared" si="873"/>
        <v>0</v>
      </c>
    </row>
    <row r="484" spans="1:20" x14ac:dyDescent="0.25">
      <c r="A484" s="5"/>
      <c r="C484"/>
      <c r="D484"/>
      <c r="P484">
        <f t="shared" si="869"/>
        <v>0</v>
      </c>
      <c r="Q484">
        <f t="shared" si="870"/>
        <v>0</v>
      </c>
      <c r="R484">
        <f t="shared" si="871"/>
        <v>0</v>
      </c>
      <c r="S484">
        <f t="shared" si="872"/>
        <v>0</v>
      </c>
      <c r="T484">
        <f t="shared" si="873"/>
        <v>0</v>
      </c>
    </row>
    <row r="485" spans="1:20" x14ac:dyDescent="0.25">
      <c r="A485" s="5"/>
      <c r="C485"/>
      <c r="D485"/>
      <c r="P485">
        <f t="shared" si="869"/>
        <v>0</v>
      </c>
      <c r="Q485">
        <f t="shared" si="870"/>
        <v>0</v>
      </c>
      <c r="R485">
        <f t="shared" si="871"/>
        <v>0</v>
      </c>
      <c r="S485">
        <f t="shared" si="872"/>
        <v>0</v>
      </c>
      <c r="T485">
        <f t="shared" si="873"/>
        <v>0</v>
      </c>
    </row>
    <row r="486" spans="1:20" x14ac:dyDescent="0.25">
      <c r="A486" s="5"/>
      <c r="C486"/>
      <c r="D486"/>
      <c r="P486">
        <f t="shared" si="869"/>
        <v>0</v>
      </c>
      <c r="Q486">
        <f t="shared" si="870"/>
        <v>0</v>
      </c>
      <c r="R486">
        <f t="shared" si="871"/>
        <v>0</v>
      </c>
      <c r="S486">
        <f t="shared" si="872"/>
        <v>0</v>
      </c>
      <c r="T486">
        <f t="shared" si="873"/>
        <v>0</v>
      </c>
    </row>
    <row r="487" spans="1:20" x14ac:dyDescent="0.25">
      <c r="A487" s="5"/>
      <c r="C487"/>
      <c r="D487"/>
      <c r="P487">
        <f t="shared" si="869"/>
        <v>0</v>
      </c>
      <c r="Q487">
        <f t="shared" si="870"/>
        <v>0</v>
      </c>
      <c r="R487">
        <f t="shared" si="871"/>
        <v>0</v>
      </c>
      <c r="S487">
        <f t="shared" si="872"/>
        <v>0</v>
      </c>
      <c r="T487">
        <f t="shared" si="873"/>
        <v>0</v>
      </c>
    </row>
    <row r="488" spans="1:20" x14ac:dyDescent="0.25">
      <c r="A488" s="5"/>
      <c r="C488"/>
      <c r="D488"/>
      <c r="P488">
        <f t="shared" si="869"/>
        <v>0</v>
      </c>
      <c r="Q488">
        <f t="shared" si="870"/>
        <v>0</v>
      </c>
      <c r="R488">
        <f t="shared" si="871"/>
        <v>0</v>
      </c>
      <c r="S488">
        <f t="shared" si="872"/>
        <v>0</v>
      </c>
      <c r="T488">
        <f t="shared" si="873"/>
        <v>0</v>
      </c>
    </row>
    <row r="489" spans="1:20" x14ac:dyDescent="0.25">
      <c r="A489" s="5"/>
      <c r="C489"/>
      <c r="D489"/>
      <c r="P489">
        <f t="shared" si="869"/>
        <v>0</v>
      </c>
      <c r="Q489">
        <f t="shared" si="870"/>
        <v>0</v>
      </c>
      <c r="R489">
        <f t="shared" si="871"/>
        <v>0</v>
      </c>
      <c r="S489">
        <f t="shared" si="872"/>
        <v>0</v>
      </c>
      <c r="T489">
        <f t="shared" si="873"/>
        <v>0</v>
      </c>
    </row>
    <row r="490" spans="1:20" x14ac:dyDescent="0.25">
      <c r="A490" s="5"/>
      <c r="C490"/>
      <c r="D490"/>
      <c r="P490">
        <f t="shared" si="869"/>
        <v>0</v>
      </c>
      <c r="Q490">
        <f t="shared" si="870"/>
        <v>0</v>
      </c>
      <c r="R490">
        <f t="shared" si="871"/>
        <v>0</v>
      </c>
      <c r="S490">
        <f t="shared" si="872"/>
        <v>0</v>
      </c>
      <c r="T490">
        <f t="shared" si="873"/>
        <v>0</v>
      </c>
    </row>
    <row r="491" spans="1:20" x14ac:dyDescent="0.25">
      <c r="A491" s="5"/>
      <c r="C491"/>
      <c r="D491"/>
      <c r="P491">
        <f t="shared" si="869"/>
        <v>0</v>
      </c>
      <c r="Q491">
        <f t="shared" si="870"/>
        <v>0</v>
      </c>
      <c r="R491">
        <f t="shared" si="871"/>
        <v>0</v>
      </c>
      <c r="S491">
        <f t="shared" si="872"/>
        <v>0</v>
      </c>
      <c r="T491">
        <f t="shared" si="873"/>
        <v>0</v>
      </c>
    </row>
    <row r="492" spans="1:20" x14ac:dyDescent="0.25">
      <c r="A492" s="5"/>
      <c r="C492"/>
      <c r="D492"/>
      <c r="P492">
        <f t="shared" si="869"/>
        <v>0</v>
      </c>
      <c r="Q492">
        <f t="shared" si="870"/>
        <v>0</v>
      </c>
      <c r="R492">
        <f t="shared" si="871"/>
        <v>0</v>
      </c>
      <c r="S492">
        <f t="shared" si="872"/>
        <v>0</v>
      </c>
      <c r="T492">
        <f t="shared" si="873"/>
        <v>0</v>
      </c>
    </row>
    <row r="493" spans="1:20" x14ac:dyDescent="0.25">
      <c r="A493" s="5"/>
      <c r="C493"/>
      <c r="D493"/>
      <c r="P493">
        <f t="shared" si="869"/>
        <v>0</v>
      </c>
      <c r="Q493">
        <f t="shared" si="870"/>
        <v>0</v>
      </c>
      <c r="R493">
        <f t="shared" si="871"/>
        <v>0</v>
      </c>
      <c r="S493">
        <f t="shared" si="872"/>
        <v>0</v>
      </c>
      <c r="T493">
        <f t="shared" si="873"/>
        <v>0</v>
      </c>
    </row>
    <row r="494" spans="1:20" x14ac:dyDescent="0.25">
      <c r="A494" s="5"/>
      <c r="C494"/>
      <c r="D494"/>
      <c r="P494">
        <f t="shared" si="869"/>
        <v>0</v>
      </c>
      <c r="Q494">
        <f t="shared" si="870"/>
        <v>0</v>
      </c>
      <c r="R494">
        <f t="shared" si="871"/>
        <v>0</v>
      </c>
      <c r="S494">
        <f t="shared" si="872"/>
        <v>0</v>
      </c>
      <c r="T494">
        <f t="shared" si="873"/>
        <v>0</v>
      </c>
    </row>
    <row r="495" spans="1:20" x14ac:dyDescent="0.25">
      <c r="A495" s="5"/>
      <c r="C495"/>
      <c r="D495"/>
      <c r="P495">
        <f t="shared" si="869"/>
        <v>0</v>
      </c>
      <c r="Q495">
        <f t="shared" si="870"/>
        <v>0</v>
      </c>
      <c r="R495">
        <f t="shared" si="871"/>
        <v>0</v>
      </c>
      <c r="S495">
        <f t="shared" si="872"/>
        <v>0</v>
      </c>
      <c r="T495">
        <f t="shared" si="873"/>
        <v>0</v>
      </c>
    </row>
    <row r="496" spans="1:20" x14ac:dyDescent="0.25">
      <c r="A496" s="5"/>
      <c r="C496"/>
      <c r="D496"/>
      <c r="P496">
        <f t="shared" ref="P496:P559" si="874">IF(C496=D496,0,((E496-D496)-(C496-E496))/(C496-D496))</f>
        <v>0</v>
      </c>
      <c r="Q496">
        <f t="shared" ref="Q496:Q559" si="875">F496*P496</f>
        <v>0</v>
      </c>
      <c r="R496">
        <f t="shared" ref="R496:R559" si="876">R497+Q496</f>
        <v>0</v>
      </c>
      <c r="S496">
        <f t="shared" ref="S496:S559" si="877">R496/100000</f>
        <v>0</v>
      </c>
      <c r="T496">
        <f t="shared" ref="T496:T559" si="878">S496/1000</f>
        <v>0</v>
      </c>
    </row>
    <row r="497" spans="1:20" x14ac:dyDescent="0.25">
      <c r="A497" s="5"/>
      <c r="C497"/>
      <c r="D497"/>
      <c r="P497">
        <f t="shared" si="874"/>
        <v>0</v>
      </c>
      <c r="Q497">
        <f t="shared" si="875"/>
        <v>0</v>
      </c>
      <c r="R497">
        <f t="shared" si="876"/>
        <v>0</v>
      </c>
      <c r="S497">
        <f t="shared" si="877"/>
        <v>0</v>
      </c>
      <c r="T497">
        <f t="shared" si="878"/>
        <v>0</v>
      </c>
    </row>
    <row r="498" spans="1:20" x14ac:dyDescent="0.25">
      <c r="A498" s="5"/>
      <c r="C498"/>
      <c r="D498"/>
      <c r="P498">
        <f t="shared" si="874"/>
        <v>0</v>
      </c>
      <c r="Q498">
        <f t="shared" si="875"/>
        <v>0</v>
      </c>
      <c r="R498">
        <f t="shared" si="876"/>
        <v>0</v>
      </c>
      <c r="S498">
        <f t="shared" si="877"/>
        <v>0</v>
      </c>
      <c r="T498">
        <f t="shared" si="878"/>
        <v>0</v>
      </c>
    </row>
    <row r="499" spans="1:20" x14ac:dyDescent="0.25">
      <c r="A499" s="5"/>
      <c r="C499"/>
      <c r="D499"/>
      <c r="P499">
        <f t="shared" si="874"/>
        <v>0</v>
      </c>
      <c r="Q499">
        <f t="shared" si="875"/>
        <v>0</v>
      </c>
      <c r="R499">
        <f t="shared" si="876"/>
        <v>0</v>
      </c>
      <c r="S499">
        <f t="shared" si="877"/>
        <v>0</v>
      </c>
      <c r="T499">
        <f t="shared" si="878"/>
        <v>0</v>
      </c>
    </row>
    <row r="500" spans="1:20" x14ac:dyDescent="0.25">
      <c r="A500" s="5"/>
      <c r="C500"/>
      <c r="D500"/>
      <c r="P500">
        <f t="shared" si="874"/>
        <v>0</v>
      </c>
      <c r="Q500">
        <f t="shared" si="875"/>
        <v>0</v>
      </c>
      <c r="R500">
        <f t="shared" si="876"/>
        <v>0</v>
      </c>
      <c r="S500">
        <f t="shared" si="877"/>
        <v>0</v>
      </c>
      <c r="T500">
        <f t="shared" si="878"/>
        <v>0</v>
      </c>
    </row>
    <row r="501" spans="1:20" x14ac:dyDescent="0.25">
      <c r="A501" s="5"/>
      <c r="C501"/>
      <c r="D501"/>
      <c r="P501">
        <f t="shared" si="874"/>
        <v>0</v>
      </c>
      <c r="Q501">
        <f t="shared" si="875"/>
        <v>0</v>
      </c>
      <c r="R501">
        <f t="shared" si="876"/>
        <v>0</v>
      </c>
      <c r="S501">
        <f t="shared" si="877"/>
        <v>0</v>
      </c>
      <c r="T501">
        <f t="shared" si="878"/>
        <v>0</v>
      </c>
    </row>
    <row r="502" spans="1:20" x14ac:dyDescent="0.25">
      <c r="A502" s="5"/>
      <c r="C502"/>
      <c r="D502"/>
      <c r="P502">
        <f t="shared" si="874"/>
        <v>0</v>
      </c>
      <c r="Q502">
        <f t="shared" si="875"/>
        <v>0</v>
      </c>
      <c r="R502">
        <f t="shared" si="876"/>
        <v>0</v>
      </c>
      <c r="S502">
        <f t="shared" si="877"/>
        <v>0</v>
      </c>
      <c r="T502">
        <f t="shared" si="878"/>
        <v>0</v>
      </c>
    </row>
    <row r="503" spans="1:20" x14ac:dyDescent="0.25">
      <c r="A503" s="5"/>
      <c r="C503"/>
      <c r="D503"/>
      <c r="P503">
        <f t="shared" si="874"/>
        <v>0</v>
      </c>
      <c r="Q503">
        <f t="shared" si="875"/>
        <v>0</v>
      </c>
      <c r="R503">
        <f t="shared" si="876"/>
        <v>0</v>
      </c>
      <c r="S503">
        <f t="shared" si="877"/>
        <v>0</v>
      </c>
      <c r="T503">
        <f t="shared" si="878"/>
        <v>0</v>
      </c>
    </row>
    <row r="504" spans="1:20" x14ac:dyDescent="0.25">
      <c r="A504" s="5"/>
      <c r="C504"/>
      <c r="D504"/>
      <c r="P504">
        <f t="shared" si="874"/>
        <v>0</v>
      </c>
      <c r="Q504">
        <f t="shared" si="875"/>
        <v>0</v>
      </c>
      <c r="R504">
        <f t="shared" si="876"/>
        <v>0</v>
      </c>
      <c r="S504">
        <f t="shared" si="877"/>
        <v>0</v>
      </c>
      <c r="T504">
        <f t="shared" si="878"/>
        <v>0</v>
      </c>
    </row>
    <row r="505" spans="1:20" x14ac:dyDescent="0.25">
      <c r="A505" s="5"/>
      <c r="C505"/>
      <c r="D505"/>
      <c r="P505">
        <f t="shared" si="874"/>
        <v>0</v>
      </c>
      <c r="Q505">
        <f t="shared" si="875"/>
        <v>0</v>
      </c>
      <c r="R505">
        <f t="shared" si="876"/>
        <v>0</v>
      </c>
      <c r="S505">
        <f t="shared" si="877"/>
        <v>0</v>
      </c>
      <c r="T505">
        <f t="shared" si="878"/>
        <v>0</v>
      </c>
    </row>
    <row r="506" spans="1:20" x14ac:dyDescent="0.25">
      <c r="A506" s="5"/>
      <c r="C506"/>
      <c r="D506"/>
      <c r="P506">
        <f t="shared" si="874"/>
        <v>0</v>
      </c>
      <c r="Q506">
        <f t="shared" si="875"/>
        <v>0</v>
      </c>
      <c r="R506">
        <f t="shared" si="876"/>
        <v>0</v>
      </c>
      <c r="S506">
        <f t="shared" si="877"/>
        <v>0</v>
      </c>
      <c r="T506">
        <f t="shared" si="878"/>
        <v>0</v>
      </c>
    </row>
    <row r="507" spans="1:20" x14ac:dyDescent="0.25">
      <c r="A507" s="5"/>
      <c r="C507"/>
      <c r="D507"/>
      <c r="P507">
        <f t="shared" si="874"/>
        <v>0</v>
      </c>
      <c r="Q507">
        <f t="shared" si="875"/>
        <v>0</v>
      </c>
      <c r="R507">
        <f t="shared" si="876"/>
        <v>0</v>
      </c>
      <c r="S507">
        <f t="shared" si="877"/>
        <v>0</v>
      </c>
      <c r="T507">
        <f t="shared" si="878"/>
        <v>0</v>
      </c>
    </row>
    <row r="508" spans="1:20" x14ac:dyDescent="0.25">
      <c r="A508" s="5"/>
      <c r="C508"/>
      <c r="D508"/>
      <c r="P508">
        <f t="shared" si="874"/>
        <v>0</v>
      </c>
      <c r="Q508">
        <f t="shared" si="875"/>
        <v>0</v>
      </c>
      <c r="R508">
        <f t="shared" si="876"/>
        <v>0</v>
      </c>
      <c r="S508">
        <f t="shared" si="877"/>
        <v>0</v>
      </c>
      <c r="T508">
        <f t="shared" si="878"/>
        <v>0</v>
      </c>
    </row>
    <row r="509" spans="1:20" x14ac:dyDescent="0.25">
      <c r="A509" s="5"/>
      <c r="C509"/>
      <c r="D509"/>
      <c r="P509">
        <f t="shared" si="874"/>
        <v>0</v>
      </c>
      <c r="Q509">
        <f t="shared" si="875"/>
        <v>0</v>
      </c>
      <c r="R509">
        <f t="shared" si="876"/>
        <v>0</v>
      </c>
      <c r="S509">
        <f t="shared" si="877"/>
        <v>0</v>
      </c>
      <c r="T509">
        <f t="shared" si="878"/>
        <v>0</v>
      </c>
    </row>
    <row r="510" spans="1:20" x14ac:dyDescent="0.25">
      <c r="A510" s="5"/>
      <c r="C510"/>
      <c r="D510"/>
      <c r="P510">
        <f t="shared" si="874"/>
        <v>0</v>
      </c>
      <c r="Q510">
        <f t="shared" si="875"/>
        <v>0</v>
      </c>
      <c r="R510">
        <f t="shared" si="876"/>
        <v>0</v>
      </c>
      <c r="S510">
        <f t="shared" si="877"/>
        <v>0</v>
      </c>
      <c r="T510">
        <f t="shared" si="878"/>
        <v>0</v>
      </c>
    </row>
    <row r="511" spans="1:20" x14ac:dyDescent="0.25">
      <c r="A511" s="5"/>
      <c r="C511"/>
      <c r="D511"/>
      <c r="P511">
        <f t="shared" si="874"/>
        <v>0</v>
      </c>
      <c r="Q511">
        <f t="shared" si="875"/>
        <v>0</v>
      </c>
      <c r="R511">
        <f t="shared" si="876"/>
        <v>0</v>
      </c>
      <c r="S511">
        <f t="shared" si="877"/>
        <v>0</v>
      </c>
      <c r="T511">
        <f t="shared" si="878"/>
        <v>0</v>
      </c>
    </row>
    <row r="512" spans="1:20" x14ac:dyDescent="0.25">
      <c r="A512" s="5"/>
      <c r="C512"/>
      <c r="D512"/>
      <c r="P512">
        <f t="shared" si="874"/>
        <v>0</v>
      </c>
      <c r="Q512">
        <f t="shared" si="875"/>
        <v>0</v>
      </c>
      <c r="R512">
        <f t="shared" si="876"/>
        <v>0</v>
      </c>
      <c r="S512">
        <f t="shared" si="877"/>
        <v>0</v>
      </c>
      <c r="T512">
        <f t="shared" si="878"/>
        <v>0</v>
      </c>
    </row>
    <row r="513" spans="1:20" x14ac:dyDescent="0.25">
      <c r="A513" s="5"/>
      <c r="C513"/>
      <c r="D513"/>
      <c r="P513">
        <f t="shared" si="874"/>
        <v>0</v>
      </c>
      <c r="Q513">
        <f t="shared" si="875"/>
        <v>0</v>
      </c>
      <c r="R513">
        <f t="shared" si="876"/>
        <v>0</v>
      </c>
      <c r="S513">
        <f t="shared" si="877"/>
        <v>0</v>
      </c>
      <c r="T513">
        <f t="shared" si="878"/>
        <v>0</v>
      </c>
    </row>
    <row r="514" spans="1:20" x14ac:dyDescent="0.25">
      <c r="A514" s="5"/>
      <c r="C514"/>
      <c r="D514"/>
      <c r="P514">
        <f t="shared" si="874"/>
        <v>0</v>
      </c>
      <c r="Q514">
        <f t="shared" si="875"/>
        <v>0</v>
      </c>
      <c r="R514">
        <f t="shared" si="876"/>
        <v>0</v>
      </c>
      <c r="S514">
        <f t="shared" si="877"/>
        <v>0</v>
      </c>
      <c r="T514">
        <f t="shared" si="878"/>
        <v>0</v>
      </c>
    </row>
    <row r="515" spans="1:20" x14ac:dyDescent="0.25">
      <c r="A515" s="5"/>
      <c r="C515"/>
      <c r="D515"/>
      <c r="P515">
        <f t="shared" si="874"/>
        <v>0</v>
      </c>
      <c r="Q515">
        <f t="shared" si="875"/>
        <v>0</v>
      </c>
      <c r="R515">
        <f t="shared" si="876"/>
        <v>0</v>
      </c>
      <c r="S515">
        <f t="shared" si="877"/>
        <v>0</v>
      </c>
      <c r="T515">
        <f t="shared" si="878"/>
        <v>0</v>
      </c>
    </row>
    <row r="516" spans="1:20" x14ac:dyDescent="0.25">
      <c r="A516" s="5"/>
      <c r="C516"/>
      <c r="D516"/>
      <c r="P516">
        <f t="shared" si="874"/>
        <v>0</v>
      </c>
      <c r="Q516">
        <f t="shared" si="875"/>
        <v>0</v>
      </c>
      <c r="R516">
        <f t="shared" si="876"/>
        <v>0</v>
      </c>
      <c r="S516">
        <f t="shared" si="877"/>
        <v>0</v>
      </c>
      <c r="T516">
        <f t="shared" si="878"/>
        <v>0</v>
      </c>
    </row>
    <row r="517" spans="1:20" x14ac:dyDescent="0.25">
      <c r="A517" s="5"/>
      <c r="C517"/>
      <c r="D517"/>
      <c r="P517">
        <f t="shared" si="874"/>
        <v>0</v>
      </c>
      <c r="Q517">
        <f t="shared" si="875"/>
        <v>0</v>
      </c>
      <c r="R517">
        <f t="shared" si="876"/>
        <v>0</v>
      </c>
      <c r="S517">
        <f t="shared" si="877"/>
        <v>0</v>
      </c>
      <c r="T517">
        <f t="shared" si="878"/>
        <v>0</v>
      </c>
    </row>
    <row r="518" spans="1:20" x14ac:dyDescent="0.25">
      <c r="A518" s="5"/>
      <c r="C518"/>
      <c r="D518"/>
      <c r="P518">
        <f t="shared" si="874"/>
        <v>0</v>
      </c>
      <c r="Q518">
        <f t="shared" si="875"/>
        <v>0</v>
      </c>
      <c r="R518">
        <f t="shared" si="876"/>
        <v>0</v>
      </c>
      <c r="S518">
        <f t="shared" si="877"/>
        <v>0</v>
      </c>
      <c r="T518">
        <f t="shared" si="878"/>
        <v>0</v>
      </c>
    </row>
    <row r="519" spans="1:20" x14ac:dyDescent="0.25">
      <c r="A519" s="5"/>
      <c r="C519"/>
      <c r="D519"/>
      <c r="P519">
        <f t="shared" si="874"/>
        <v>0</v>
      </c>
      <c r="Q519">
        <f t="shared" si="875"/>
        <v>0</v>
      </c>
      <c r="R519">
        <f t="shared" si="876"/>
        <v>0</v>
      </c>
      <c r="S519">
        <f t="shared" si="877"/>
        <v>0</v>
      </c>
      <c r="T519">
        <f t="shared" si="878"/>
        <v>0</v>
      </c>
    </row>
    <row r="520" spans="1:20" x14ac:dyDescent="0.25">
      <c r="A520" s="5"/>
      <c r="C520"/>
      <c r="D520"/>
      <c r="P520">
        <f t="shared" si="874"/>
        <v>0</v>
      </c>
      <c r="Q520">
        <f t="shared" si="875"/>
        <v>0</v>
      </c>
      <c r="R520">
        <f t="shared" si="876"/>
        <v>0</v>
      </c>
      <c r="S520">
        <f t="shared" si="877"/>
        <v>0</v>
      </c>
      <c r="T520">
        <f t="shared" si="878"/>
        <v>0</v>
      </c>
    </row>
    <row r="521" spans="1:20" x14ac:dyDescent="0.25">
      <c r="A521" s="5"/>
      <c r="C521"/>
      <c r="D521"/>
      <c r="P521">
        <f t="shared" si="874"/>
        <v>0</v>
      </c>
      <c r="Q521">
        <f t="shared" si="875"/>
        <v>0</v>
      </c>
      <c r="R521">
        <f t="shared" si="876"/>
        <v>0</v>
      </c>
      <c r="S521">
        <f t="shared" si="877"/>
        <v>0</v>
      </c>
      <c r="T521">
        <f t="shared" si="878"/>
        <v>0</v>
      </c>
    </row>
    <row r="522" spans="1:20" x14ac:dyDescent="0.25">
      <c r="A522" s="5"/>
      <c r="C522"/>
      <c r="D522"/>
      <c r="P522">
        <f t="shared" si="874"/>
        <v>0</v>
      </c>
      <c r="Q522">
        <f t="shared" si="875"/>
        <v>0</v>
      </c>
      <c r="R522">
        <f t="shared" si="876"/>
        <v>0</v>
      </c>
      <c r="S522">
        <f t="shared" si="877"/>
        <v>0</v>
      </c>
      <c r="T522">
        <f t="shared" si="878"/>
        <v>0</v>
      </c>
    </row>
    <row r="523" spans="1:20" x14ac:dyDescent="0.25">
      <c r="A523" s="5"/>
      <c r="C523"/>
      <c r="D523"/>
      <c r="P523">
        <f t="shared" si="874"/>
        <v>0</v>
      </c>
      <c r="Q523">
        <f t="shared" si="875"/>
        <v>0</v>
      </c>
      <c r="R523">
        <f t="shared" si="876"/>
        <v>0</v>
      </c>
      <c r="S523">
        <f t="shared" si="877"/>
        <v>0</v>
      </c>
      <c r="T523">
        <f t="shared" si="878"/>
        <v>0</v>
      </c>
    </row>
    <row r="524" spans="1:20" x14ac:dyDescent="0.25">
      <c r="A524" s="5"/>
      <c r="C524"/>
      <c r="D524"/>
      <c r="P524">
        <f t="shared" si="874"/>
        <v>0</v>
      </c>
      <c r="Q524">
        <f t="shared" si="875"/>
        <v>0</v>
      </c>
      <c r="R524">
        <f t="shared" si="876"/>
        <v>0</v>
      </c>
      <c r="S524">
        <f t="shared" si="877"/>
        <v>0</v>
      </c>
      <c r="T524">
        <f t="shared" si="878"/>
        <v>0</v>
      </c>
    </row>
    <row r="525" spans="1:20" x14ac:dyDescent="0.25">
      <c r="A525" s="5"/>
      <c r="C525"/>
      <c r="D525"/>
      <c r="P525">
        <f t="shared" si="874"/>
        <v>0</v>
      </c>
      <c r="Q525">
        <f t="shared" si="875"/>
        <v>0</v>
      </c>
      <c r="R525">
        <f t="shared" si="876"/>
        <v>0</v>
      </c>
      <c r="S525">
        <f t="shared" si="877"/>
        <v>0</v>
      </c>
      <c r="T525">
        <f t="shared" si="878"/>
        <v>0</v>
      </c>
    </row>
    <row r="526" spans="1:20" x14ac:dyDescent="0.25">
      <c r="A526" s="5"/>
      <c r="C526"/>
      <c r="D526"/>
      <c r="P526">
        <f t="shared" si="874"/>
        <v>0</v>
      </c>
      <c r="Q526">
        <f t="shared" si="875"/>
        <v>0</v>
      </c>
      <c r="R526">
        <f t="shared" si="876"/>
        <v>0</v>
      </c>
      <c r="S526">
        <f t="shared" si="877"/>
        <v>0</v>
      </c>
      <c r="T526">
        <f t="shared" si="878"/>
        <v>0</v>
      </c>
    </row>
    <row r="527" spans="1:20" x14ac:dyDescent="0.25">
      <c r="A527" s="5"/>
      <c r="P527">
        <f t="shared" si="874"/>
        <v>0</v>
      </c>
      <c r="Q527">
        <f t="shared" si="875"/>
        <v>0</v>
      </c>
      <c r="R527">
        <f t="shared" si="876"/>
        <v>0</v>
      </c>
      <c r="S527">
        <f t="shared" si="877"/>
        <v>0</v>
      </c>
      <c r="T527">
        <f t="shared" si="878"/>
        <v>0</v>
      </c>
    </row>
    <row r="528" spans="1:20" x14ac:dyDescent="0.25">
      <c r="A528" s="5"/>
      <c r="P528">
        <f t="shared" si="874"/>
        <v>0</v>
      </c>
      <c r="Q528">
        <f t="shared" si="875"/>
        <v>0</v>
      </c>
      <c r="R528">
        <f t="shared" si="876"/>
        <v>0</v>
      </c>
      <c r="S528">
        <f t="shared" si="877"/>
        <v>0</v>
      </c>
      <c r="T528">
        <f t="shared" si="878"/>
        <v>0</v>
      </c>
    </row>
    <row r="529" spans="1:104" x14ac:dyDescent="0.25">
      <c r="A529" s="5"/>
      <c r="P529">
        <f t="shared" si="874"/>
        <v>0</v>
      </c>
      <c r="Q529">
        <f t="shared" si="875"/>
        <v>0</v>
      </c>
      <c r="R529">
        <f t="shared" si="876"/>
        <v>0</v>
      </c>
      <c r="S529">
        <f t="shared" si="877"/>
        <v>0</v>
      </c>
      <c r="T529">
        <f t="shared" si="878"/>
        <v>0</v>
      </c>
    </row>
    <row r="530" spans="1:104" x14ac:dyDescent="0.25">
      <c r="A530" s="5"/>
      <c r="P530">
        <f t="shared" si="874"/>
        <v>0</v>
      </c>
      <c r="Q530">
        <f t="shared" si="875"/>
        <v>0</v>
      </c>
      <c r="R530">
        <f t="shared" si="876"/>
        <v>0</v>
      </c>
      <c r="S530">
        <f t="shared" si="877"/>
        <v>0</v>
      </c>
      <c r="T530">
        <f t="shared" si="878"/>
        <v>0</v>
      </c>
    </row>
    <row r="531" spans="1:104" x14ac:dyDescent="0.25">
      <c r="A531" s="5"/>
      <c r="P531">
        <f t="shared" si="874"/>
        <v>0</v>
      </c>
      <c r="Q531">
        <f t="shared" si="875"/>
        <v>0</v>
      </c>
      <c r="R531">
        <f t="shared" si="876"/>
        <v>0</v>
      </c>
      <c r="S531">
        <f t="shared" si="877"/>
        <v>0</v>
      </c>
      <c r="T531">
        <f t="shared" si="878"/>
        <v>0</v>
      </c>
    </row>
    <row r="532" spans="1:104" x14ac:dyDescent="0.25">
      <c r="A532" s="5"/>
      <c r="P532">
        <f t="shared" si="874"/>
        <v>0</v>
      </c>
      <c r="Q532">
        <f t="shared" si="875"/>
        <v>0</v>
      </c>
      <c r="R532">
        <f t="shared" si="876"/>
        <v>0</v>
      </c>
      <c r="S532">
        <f t="shared" si="877"/>
        <v>0</v>
      </c>
      <c r="T532">
        <f t="shared" si="878"/>
        <v>0</v>
      </c>
    </row>
    <row r="533" spans="1:104" x14ac:dyDescent="0.25">
      <c r="A533" s="5"/>
      <c r="P533">
        <f t="shared" si="874"/>
        <v>0</v>
      </c>
      <c r="Q533">
        <f t="shared" si="875"/>
        <v>0</v>
      </c>
      <c r="R533">
        <f t="shared" si="876"/>
        <v>0</v>
      </c>
      <c r="S533">
        <f t="shared" si="877"/>
        <v>0</v>
      </c>
      <c r="T533">
        <f t="shared" si="878"/>
        <v>0</v>
      </c>
    </row>
    <row r="534" spans="1:104" x14ac:dyDescent="0.25">
      <c r="A534" s="5"/>
      <c r="P534">
        <f t="shared" si="874"/>
        <v>0</v>
      </c>
      <c r="Q534">
        <f t="shared" si="875"/>
        <v>0</v>
      </c>
      <c r="R534">
        <f t="shared" si="876"/>
        <v>0</v>
      </c>
      <c r="S534">
        <f t="shared" si="877"/>
        <v>0</v>
      </c>
      <c r="T534">
        <f t="shared" si="878"/>
        <v>0</v>
      </c>
    </row>
    <row r="535" spans="1:104" x14ac:dyDescent="0.25">
      <c r="A535" s="5"/>
      <c r="P535">
        <f t="shared" si="874"/>
        <v>0</v>
      </c>
      <c r="Q535">
        <f t="shared" si="875"/>
        <v>0</v>
      </c>
      <c r="R535">
        <f t="shared" si="876"/>
        <v>0</v>
      </c>
      <c r="S535">
        <f t="shared" si="877"/>
        <v>0</v>
      </c>
      <c r="T535">
        <f t="shared" si="878"/>
        <v>0</v>
      </c>
    </row>
    <row r="536" spans="1:104" x14ac:dyDescent="0.25">
      <c r="A536" s="5"/>
      <c r="P536">
        <f t="shared" si="874"/>
        <v>0</v>
      </c>
      <c r="Q536">
        <f t="shared" si="875"/>
        <v>0</v>
      </c>
      <c r="R536">
        <f t="shared" si="876"/>
        <v>0</v>
      </c>
      <c r="S536">
        <f t="shared" si="877"/>
        <v>0</v>
      </c>
      <c r="T536">
        <f t="shared" si="878"/>
        <v>0</v>
      </c>
    </row>
    <row r="537" spans="1:104" x14ac:dyDescent="0.25">
      <c r="A537" s="5"/>
      <c r="P537">
        <f t="shared" si="874"/>
        <v>0</v>
      </c>
      <c r="Q537">
        <f t="shared" si="875"/>
        <v>0</v>
      </c>
      <c r="R537">
        <f t="shared" si="876"/>
        <v>0</v>
      </c>
      <c r="S537">
        <f t="shared" si="877"/>
        <v>0</v>
      </c>
      <c r="T537">
        <f t="shared" si="878"/>
        <v>0</v>
      </c>
    </row>
    <row r="538" spans="1:104" x14ac:dyDescent="0.25">
      <c r="A538" s="5"/>
      <c r="P538">
        <f t="shared" si="874"/>
        <v>0</v>
      </c>
      <c r="Q538">
        <f t="shared" si="875"/>
        <v>0</v>
      </c>
      <c r="R538">
        <f t="shared" si="876"/>
        <v>0</v>
      </c>
      <c r="S538">
        <f t="shared" si="877"/>
        <v>0</v>
      </c>
      <c r="T538">
        <f t="shared" si="878"/>
        <v>0</v>
      </c>
    </row>
    <row r="539" spans="1:104" x14ac:dyDescent="0.25">
      <c r="A539" s="5"/>
      <c r="P539">
        <f t="shared" si="874"/>
        <v>0</v>
      </c>
      <c r="Q539">
        <f t="shared" si="875"/>
        <v>0</v>
      </c>
      <c r="R539">
        <f t="shared" si="876"/>
        <v>0</v>
      </c>
      <c r="S539">
        <f t="shared" si="877"/>
        <v>0</v>
      </c>
      <c r="T539">
        <f t="shared" si="878"/>
        <v>0</v>
      </c>
      <c r="CZ539" t="s">
        <v>7</v>
      </c>
    </row>
    <row r="540" spans="1:104" x14ac:dyDescent="0.25">
      <c r="A540" s="5"/>
      <c r="P540">
        <f t="shared" si="874"/>
        <v>0</v>
      </c>
      <c r="Q540">
        <f t="shared" si="875"/>
        <v>0</v>
      </c>
      <c r="R540">
        <f t="shared" si="876"/>
        <v>0</v>
      </c>
      <c r="S540">
        <f t="shared" si="877"/>
        <v>0</v>
      </c>
      <c r="T540">
        <f t="shared" si="878"/>
        <v>0</v>
      </c>
      <c r="CZ540" t="s">
        <v>7</v>
      </c>
    </row>
    <row r="541" spans="1:104" x14ac:dyDescent="0.25">
      <c r="A541" s="5"/>
      <c r="P541">
        <f t="shared" si="874"/>
        <v>0</v>
      </c>
      <c r="Q541">
        <f t="shared" si="875"/>
        <v>0</v>
      </c>
      <c r="R541">
        <f t="shared" si="876"/>
        <v>0</v>
      </c>
      <c r="S541">
        <f t="shared" si="877"/>
        <v>0</v>
      </c>
      <c r="T541">
        <f t="shared" si="878"/>
        <v>0</v>
      </c>
      <c r="CZ541" t="s">
        <v>7</v>
      </c>
    </row>
    <row r="542" spans="1:104" x14ac:dyDescent="0.25">
      <c r="A542" s="5"/>
      <c r="P542">
        <f t="shared" si="874"/>
        <v>0</v>
      </c>
      <c r="Q542">
        <f t="shared" si="875"/>
        <v>0</v>
      </c>
      <c r="R542">
        <f t="shared" si="876"/>
        <v>0</v>
      </c>
      <c r="S542">
        <f t="shared" si="877"/>
        <v>0</v>
      </c>
      <c r="T542">
        <f t="shared" si="878"/>
        <v>0</v>
      </c>
    </row>
    <row r="543" spans="1:104" x14ac:dyDescent="0.25">
      <c r="A543" s="5"/>
      <c r="C543"/>
      <c r="D543"/>
      <c r="P543">
        <f t="shared" si="874"/>
        <v>0</v>
      </c>
      <c r="Q543">
        <f t="shared" si="875"/>
        <v>0</v>
      </c>
      <c r="R543">
        <f t="shared" si="876"/>
        <v>0</v>
      </c>
      <c r="S543">
        <f t="shared" si="877"/>
        <v>0</v>
      </c>
      <c r="T543">
        <f t="shared" si="878"/>
        <v>0</v>
      </c>
    </row>
    <row r="544" spans="1:104" x14ac:dyDescent="0.25">
      <c r="A544" s="5"/>
      <c r="C544"/>
      <c r="D544"/>
      <c r="P544">
        <f t="shared" si="874"/>
        <v>0</v>
      </c>
      <c r="Q544">
        <f t="shared" si="875"/>
        <v>0</v>
      </c>
      <c r="R544">
        <f t="shared" si="876"/>
        <v>0</v>
      </c>
      <c r="S544">
        <f t="shared" si="877"/>
        <v>0</v>
      </c>
      <c r="T544">
        <f t="shared" si="878"/>
        <v>0</v>
      </c>
    </row>
    <row r="545" spans="1:20" x14ac:dyDescent="0.25">
      <c r="A545" s="5"/>
      <c r="C545"/>
      <c r="D545"/>
      <c r="P545">
        <f t="shared" si="874"/>
        <v>0</v>
      </c>
      <c r="Q545">
        <f t="shared" si="875"/>
        <v>0</v>
      </c>
      <c r="R545">
        <f t="shared" si="876"/>
        <v>0</v>
      </c>
      <c r="S545">
        <f t="shared" si="877"/>
        <v>0</v>
      </c>
      <c r="T545">
        <f t="shared" si="878"/>
        <v>0</v>
      </c>
    </row>
    <row r="546" spans="1:20" x14ac:dyDescent="0.25">
      <c r="A546" s="5"/>
      <c r="C546"/>
      <c r="D546"/>
      <c r="P546">
        <f t="shared" si="874"/>
        <v>0</v>
      </c>
      <c r="Q546">
        <f t="shared" si="875"/>
        <v>0</v>
      </c>
      <c r="R546">
        <f t="shared" si="876"/>
        <v>0</v>
      </c>
      <c r="S546">
        <f t="shared" si="877"/>
        <v>0</v>
      </c>
      <c r="T546">
        <f t="shared" si="878"/>
        <v>0</v>
      </c>
    </row>
    <row r="547" spans="1:20" x14ac:dyDescent="0.25">
      <c r="A547" s="5"/>
      <c r="C547"/>
      <c r="D547"/>
      <c r="P547">
        <f t="shared" si="874"/>
        <v>0</v>
      </c>
      <c r="Q547">
        <f t="shared" si="875"/>
        <v>0</v>
      </c>
      <c r="R547">
        <f t="shared" si="876"/>
        <v>0</v>
      </c>
      <c r="S547">
        <f t="shared" si="877"/>
        <v>0</v>
      </c>
      <c r="T547">
        <f t="shared" si="878"/>
        <v>0</v>
      </c>
    </row>
    <row r="548" spans="1:20" x14ac:dyDescent="0.25">
      <c r="A548" s="5"/>
      <c r="C548"/>
      <c r="D548"/>
      <c r="P548">
        <f t="shared" si="874"/>
        <v>0</v>
      </c>
      <c r="Q548">
        <f t="shared" si="875"/>
        <v>0</v>
      </c>
      <c r="R548">
        <f t="shared" si="876"/>
        <v>0</v>
      </c>
      <c r="S548">
        <f t="shared" si="877"/>
        <v>0</v>
      </c>
      <c r="T548">
        <f t="shared" si="878"/>
        <v>0</v>
      </c>
    </row>
    <row r="549" spans="1:20" x14ac:dyDescent="0.25">
      <c r="A549" s="5"/>
      <c r="C549"/>
      <c r="D549"/>
      <c r="P549">
        <f t="shared" si="874"/>
        <v>0</v>
      </c>
      <c r="Q549">
        <f t="shared" si="875"/>
        <v>0</v>
      </c>
      <c r="R549">
        <f t="shared" si="876"/>
        <v>0</v>
      </c>
      <c r="S549">
        <f t="shared" si="877"/>
        <v>0</v>
      </c>
      <c r="T549">
        <f t="shared" si="878"/>
        <v>0</v>
      </c>
    </row>
    <row r="550" spans="1:20" x14ac:dyDescent="0.25">
      <c r="A550" s="5"/>
      <c r="C550"/>
      <c r="D550"/>
      <c r="P550">
        <f t="shared" si="874"/>
        <v>0</v>
      </c>
      <c r="Q550">
        <f t="shared" si="875"/>
        <v>0</v>
      </c>
      <c r="R550">
        <f t="shared" si="876"/>
        <v>0</v>
      </c>
      <c r="S550">
        <f t="shared" si="877"/>
        <v>0</v>
      </c>
      <c r="T550">
        <f t="shared" si="878"/>
        <v>0</v>
      </c>
    </row>
    <row r="551" spans="1:20" x14ac:dyDescent="0.25">
      <c r="A551" s="5"/>
      <c r="C551"/>
      <c r="D551"/>
      <c r="P551">
        <f t="shared" si="874"/>
        <v>0</v>
      </c>
      <c r="Q551">
        <f t="shared" si="875"/>
        <v>0</v>
      </c>
      <c r="R551">
        <f t="shared" si="876"/>
        <v>0</v>
      </c>
      <c r="S551">
        <f t="shared" si="877"/>
        <v>0</v>
      </c>
      <c r="T551">
        <f t="shared" si="878"/>
        <v>0</v>
      </c>
    </row>
    <row r="552" spans="1:20" x14ac:dyDescent="0.25">
      <c r="A552" s="5"/>
      <c r="C552"/>
      <c r="D552"/>
      <c r="P552">
        <f t="shared" si="874"/>
        <v>0</v>
      </c>
      <c r="Q552">
        <f t="shared" si="875"/>
        <v>0</v>
      </c>
      <c r="R552">
        <f t="shared" si="876"/>
        <v>0</v>
      </c>
      <c r="S552">
        <f t="shared" si="877"/>
        <v>0</v>
      </c>
      <c r="T552">
        <f t="shared" si="878"/>
        <v>0</v>
      </c>
    </row>
    <row r="553" spans="1:20" x14ac:dyDescent="0.25">
      <c r="A553" s="5"/>
      <c r="C553"/>
      <c r="D553"/>
      <c r="P553">
        <f t="shared" si="874"/>
        <v>0</v>
      </c>
      <c r="Q553">
        <f t="shared" si="875"/>
        <v>0</v>
      </c>
      <c r="R553">
        <f t="shared" si="876"/>
        <v>0</v>
      </c>
      <c r="S553">
        <f t="shared" si="877"/>
        <v>0</v>
      </c>
      <c r="T553">
        <f t="shared" si="878"/>
        <v>0</v>
      </c>
    </row>
    <row r="554" spans="1:20" x14ac:dyDescent="0.25">
      <c r="A554" s="5"/>
      <c r="C554"/>
      <c r="D554"/>
      <c r="P554">
        <f t="shared" si="874"/>
        <v>0</v>
      </c>
      <c r="Q554">
        <f t="shared" si="875"/>
        <v>0</v>
      </c>
      <c r="R554">
        <f t="shared" si="876"/>
        <v>0</v>
      </c>
      <c r="S554">
        <f t="shared" si="877"/>
        <v>0</v>
      </c>
      <c r="T554">
        <f t="shared" si="878"/>
        <v>0</v>
      </c>
    </row>
    <row r="555" spans="1:20" x14ac:dyDescent="0.25">
      <c r="A555" s="5"/>
      <c r="C555"/>
      <c r="D555"/>
      <c r="P555">
        <f t="shared" si="874"/>
        <v>0</v>
      </c>
      <c r="Q555">
        <f t="shared" si="875"/>
        <v>0</v>
      </c>
      <c r="R555">
        <f t="shared" si="876"/>
        <v>0</v>
      </c>
      <c r="S555">
        <f t="shared" si="877"/>
        <v>0</v>
      </c>
      <c r="T555">
        <f t="shared" si="878"/>
        <v>0</v>
      </c>
    </row>
    <row r="556" spans="1:20" x14ac:dyDescent="0.25">
      <c r="A556" s="5"/>
      <c r="C556"/>
      <c r="D556"/>
      <c r="P556">
        <f t="shared" si="874"/>
        <v>0</v>
      </c>
      <c r="Q556">
        <f t="shared" si="875"/>
        <v>0</v>
      </c>
      <c r="R556">
        <f t="shared" si="876"/>
        <v>0</v>
      </c>
      <c r="S556">
        <f t="shared" si="877"/>
        <v>0</v>
      </c>
      <c r="T556">
        <f t="shared" si="878"/>
        <v>0</v>
      </c>
    </row>
    <row r="557" spans="1:20" x14ac:dyDescent="0.25">
      <c r="A557" s="5"/>
      <c r="C557"/>
      <c r="D557"/>
      <c r="P557">
        <f t="shared" si="874"/>
        <v>0</v>
      </c>
      <c r="Q557">
        <f t="shared" si="875"/>
        <v>0</v>
      </c>
      <c r="R557">
        <f t="shared" si="876"/>
        <v>0</v>
      </c>
      <c r="S557">
        <f t="shared" si="877"/>
        <v>0</v>
      </c>
      <c r="T557">
        <f t="shared" si="878"/>
        <v>0</v>
      </c>
    </row>
    <row r="558" spans="1:20" x14ac:dyDescent="0.25">
      <c r="A558" s="5"/>
      <c r="C558"/>
      <c r="D558"/>
      <c r="P558">
        <f t="shared" si="874"/>
        <v>0</v>
      </c>
      <c r="Q558">
        <f t="shared" si="875"/>
        <v>0</v>
      </c>
      <c r="R558">
        <f t="shared" si="876"/>
        <v>0</v>
      </c>
      <c r="S558">
        <f t="shared" si="877"/>
        <v>0</v>
      </c>
      <c r="T558">
        <f t="shared" si="878"/>
        <v>0</v>
      </c>
    </row>
    <row r="559" spans="1:20" x14ac:dyDescent="0.25">
      <c r="A559" s="5"/>
      <c r="C559"/>
      <c r="D559"/>
      <c r="P559">
        <f t="shared" si="874"/>
        <v>0</v>
      </c>
      <c r="Q559">
        <f t="shared" si="875"/>
        <v>0</v>
      </c>
      <c r="R559">
        <f t="shared" si="876"/>
        <v>0</v>
      </c>
      <c r="S559">
        <f t="shared" si="877"/>
        <v>0</v>
      </c>
      <c r="T559">
        <f t="shared" si="878"/>
        <v>0</v>
      </c>
    </row>
    <row r="560" spans="1:20" x14ac:dyDescent="0.25">
      <c r="A560" s="5"/>
      <c r="C560"/>
      <c r="D560"/>
      <c r="P560">
        <f t="shared" ref="P560:P623" si="879">IF(C560=D560,0,((E560-D560)-(C560-E560))/(C560-D560))</f>
        <v>0</v>
      </c>
      <c r="Q560">
        <f t="shared" ref="Q560:Q623" si="880">F560*P560</f>
        <v>0</v>
      </c>
      <c r="R560">
        <f t="shared" ref="R560:R623" si="881">R561+Q560</f>
        <v>0</v>
      </c>
      <c r="S560">
        <f t="shared" ref="S560:S623" si="882">R560/100000</f>
        <v>0</v>
      </c>
      <c r="T560">
        <f t="shared" ref="T560:T623" si="883">S560/1000</f>
        <v>0</v>
      </c>
    </row>
    <row r="561" spans="1:20" x14ac:dyDescent="0.25">
      <c r="A561" s="5"/>
      <c r="C561"/>
      <c r="D561"/>
      <c r="P561">
        <f t="shared" si="879"/>
        <v>0</v>
      </c>
      <c r="Q561">
        <f t="shared" si="880"/>
        <v>0</v>
      </c>
      <c r="R561">
        <f t="shared" si="881"/>
        <v>0</v>
      </c>
      <c r="S561">
        <f t="shared" si="882"/>
        <v>0</v>
      </c>
      <c r="T561">
        <f t="shared" si="883"/>
        <v>0</v>
      </c>
    </row>
    <row r="562" spans="1:20" x14ac:dyDescent="0.25">
      <c r="A562" s="5"/>
      <c r="C562"/>
      <c r="D562"/>
      <c r="P562">
        <f t="shared" si="879"/>
        <v>0</v>
      </c>
      <c r="Q562">
        <f t="shared" si="880"/>
        <v>0</v>
      </c>
      <c r="R562">
        <f t="shared" si="881"/>
        <v>0</v>
      </c>
      <c r="S562">
        <f t="shared" si="882"/>
        <v>0</v>
      </c>
      <c r="T562">
        <f t="shared" si="883"/>
        <v>0</v>
      </c>
    </row>
    <row r="563" spans="1:20" x14ac:dyDescent="0.25">
      <c r="A563" s="5"/>
      <c r="C563"/>
      <c r="D563"/>
      <c r="P563">
        <f t="shared" si="879"/>
        <v>0</v>
      </c>
      <c r="Q563">
        <f t="shared" si="880"/>
        <v>0</v>
      </c>
      <c r="R563">
        <f t="shared" si="881"/>
        <v>0</v>
      </c>
      <c r="S563">
        <f t="shared" si="882"/>
        <v>0</v>
      </c>
      <c r="T563">
        <f t="shared" si="883"/>
        <v>0</v>
      </c>
    </row>
    <row r="564" spans="1:20" x14ac:dyDescent="0.25">
      <c r="A564" s="5"/>
      <c r="C564"/>
      <c r="D564"/>
      <c r="P564">
        <f t="shared" si="879"/>
        <v>0</v>
      </c>
      <c r="Q564">
        <f t="shared" si="880"/>
        <v>0</v>
      </c>
      <c r="R564">
        <f t="shared" si="881"/>
        <v>0</v>
      </c>
      <c r="S564">
        <f t="shared" si="882"/>
        <v>0</v>
      </c>
      <c r="T564">
        <f t="shared" si="883"/>
        <v>0</v>
      </c>
    </row>
    <row r="565" spans="1:20" x14ac:dyDescent="0.25">
      <c r="A565" s="5"/>
      <c r="C565"/>
      <c r="D565"/>
      <c r="P565">
        <f t="shared" si="879"/>
        <v>0</v>
      </c>
      <c r="Q565">
        <f t="shared" si="880"/>
        <v>0</v>
      </c>
      <c r="R565">
        <f t="shared" si="881"/>
        <v>0</v>
      </c>
      <c r="S565">
        <f t="shared" si="882"/>
        <v>0</v>
      </c>
      <c r="T565">
        <f t="shared" si="883"/>
        <v>0</v>
      </c>
    </row>
    <row r="566" spans="1:20" x14ac:dyDescent="0.25">
      <c r="A566" s="5"/>
      <c r="C566"/>
      <c r="D566"/>
      <c r="P566">
        <f t="shared" si="879"/>
        <v>0</v>
      </c>
      <c r="Q566">
        <f t="shared" si="880"/>
        <v>0</v>
      </c>
      <c r="R566">
        <f t="shared" si="881"/>
        <v>0</v>
      </c>
      <c r="S566">
        <f t="shared" si="882"/>
        <v>0</v>
      </c>
      <c r="T566">
        <f t="shared" si="883"/>
        <v>0</v>
      </c>
    </row>
    <row r="567" spans="1:20" x14ac:dyDescent="0.25">
      <c r="A567" s="5"/>
      <c r="C567"/>
      <c r="D567"/>
      <c r="P567">
        <f t="shared" si="879"/>
        <v>0</v>
      </c>
      <c r="Q567">
        <f t="shared" si="880"/>
        <v>0</v>
      </c>
      <c r="R567">
        <f t="shared" si="881"/>
        <v>0</v>
      </c>
      <c r="S567">
        <f t="shared" si="882"/>
        <v>0</v>
      </c>
      <c r="T567">
        <f t="shared" si="883"/>
        <v>0</v>
      </c>
    </row>
    <row r="568" spans="1:20" x14ac:dyDescent="0.25">
      <c r="A568" s="5"/>
      <c r="C568"/>
      <c r="D568"/>
      <c r="P568">
        <f t="shared" si="879"/>
        <v>0</v>
      </c>
      <c r="Q568">
        <f t="shared" si="880"/>
        <v>0</v>
      </c>
      <c r="R568">
        <f t="shared" si="881"/>
        <v>0</v>
      </c>
      <c r="S568">
        <f t="shared" si="882"/>
        <v>0</v>
      </c>
      <c r="T568">
        <f t="shared" si="883"/>
        <v>0</v>
      </c>
    </row>
    <row r="569" spans="1:20" x14ac:dyDescent="0.25">
      <c r="A569" s="5"/>
      <c r="C569"/>
      <c r="D569"/>
      <c r="P569">
        <f t="shared" si="879"/>
        <v>0</v>
      </c>
      <c r="Q569">
        <f t="shared" si="880"/>
        <v>0</v>
      </c>
      <c r="R569">
        <f t="shared" si="881"/>
        <v>0</v>
      </c>
      <c r="S569">
        <f t="shared" si="882"/>
        <v>0</v>
      </c>
      <c r="T569">
        <f t="shared" si="883"/>
        <v>0</v>
      </c>
    </row>
    <row r="570" spans="1:20" x14ac:dyDescent="0.25">
      <c r="A570" s="5"/>
      <c r="C570"/>
      <c r="D570"/>
      <c r="P570">
        <f t="shared" si="879"/>
        <v>0</v>
      </c>
      <c r="Q570">
        <f t="shared" si="880"/>
        <v>0</v>
      </c>
      <c r="R570">
        <f t="shared" si="881"/>
        <v>0</v>
      </c>
      <c r="S570">
        <f t="shared" si="882"/>
        <v>0</v>
      </c>
      <c r="T570">
        <f t="shared" si="883"/>
        <v>0</v>
      </c>
    </row>
    <row r="571" spans="1:20" x14ac:dyDescent="0.25">
      <c r="A571" s="5"/>
      <c r="C571"/>
      <c r="D571"/>
      <c r="P571">
        <f t="shared" si="879"/>
        <v>0</v>
      </c>
      <c r="Q571">
        <f t="shared" si="880"/>
        <v>0</v>
      </c>
      <c r="R571">
        <f t="shared" si="881"/>
        <v>0</v>
      </c>
      <c r="S571">
        <f t="shared" si="882"/>
        <v>0</v>
      </c>
      <c r="T571">
        <f t="shared" si="883"/>
        <v>0</v>
      </c>
    </row>
    <row r="572" spans="1:20" x14ac:dyDescent="0.25">
      <c r="A572" s="5"/>
      <c r="C572"/>
      <c r="D572"/>
      <c r="P572">
        <f t="shared" si="879"/>
        <v>0</v>
      </c>
      <c r="Q572">
        <f t="shared" si="880"/>
        <v>0</v>
      </c>
      <c r="R572">
        <f t="shared" si="881"/>
        <v>0</v>
      </c>
      <c r="S572">
        <f t="shared" si="882"/>
        <v>0</v>
      </c>
      <c r="T572">
        <f t="shared" si="883"/>
        <v>0</v>
      </c>
    </row>
    <row r="573" spans="1:20" x14ac:dyDescent="0.25">
      <c r="A573" s="5"/>
      <c r="C573"/>
      <c r="D573"/>
      <c r="P573">
        <f t="shared" si="879"/>
        <v>0</v>
      </c>
      <c r="Q573">
        <f t="shared" si="880"/>
        <v>0</v>
      </c>
      <c r="R573">
        <f t="shared" si="881"/>
        <v>0</v>
      </c>
      <c r="S573">
        <f t="shared" si="882"/>
        <v>0</v>
      </c>
      <c r="T573">
        <f t="shared" si="883"/>
        <v>0</v>
      </c>
    </row>
    <row r="574" spans="1:20" x14ac:dyDescent="0.25">
      <c r="A574" s="5"/>
      <c r="C574"/>
      <c r="D574"/>
      <c r="P574">
        <f t="shared" si="879"/>
        <v>0</v>
      </c>
      <c r="Q574">
        <f t="shared" si="880"/>
        <v>0</v>
      </c>
      <c r="R574">
        <f t="shared" si="881"/>
        <v>0</v>
      </c>
      <c r="S574">
        <f t="shared" si="882"/>
        <v>0</v>
      </c>
      <c r="T574">
        <f t="shared" si="883"/>
        <v>0</v>
      </c>
    </row>
    <row r="575" spans="1:20" x14ac:dyDescent="0.25">
      <c r="A575" s="5"/>
      <c r="C575"/>
      <c r="D575"/>
      <c r="P575">
        <f t="shared" si="879"/>
        <v>0</v>
      </c>
      <c r="Q575">
        <f t="shared" si="880"/>
        <v>0</v>
      </c>
      <c r="R575">
        <f t="shared" si="881"/>
        <v>0</v>
      </c>
      <c r="S575">
        <f t="shared" si="882"/>
        <v>0</v>
      </c>
      <c r="T575">
        <f t="shared" si="883"/>
        <v>0</v>
      </c>
    </row>
    <row r="576" spans="1:20" x14ac:dyDescent="0.25">
      <c r="A576" s="5"/>
      <c r="C576"/>
      <c r="D576"/>
      <c r="P576">
        <f t="shared" si="879"/>
        <v>0</v>
      </c>
      <c r="Q576">
        <f t="shared" si="880"/>
        <v>0</v>
      </c>
      <c r="R576">
        <f t="shared" si="881"/>
        <v>0</v>
      </c>
      <c r="S576">
        <f t="shared" si="882"/>
        <v>0</v>
      </c>
      <c r="T576">
        <f t="shared" si="883"/>
        <v>0</v>
      </c>
    </row>
    <row r="577" spans="1:20" x14ac:dyDescent="0.25">
      <c r="A577" s="5"/>
      <c r="C577"/>
      <c r="D577"/>
      <c r="P577">
        <f t="shared" si="879"/>
        <v>0</v>
      </c>
      <c r="Q577">
        <f t="shared" si="880"/>
        <v>0</v>
      </c>
      <c r="R577">
        <f t="shared" si="881"/>
        <v>0</v>
      </c>
      <c r="S577">
        <f t="shared" si="882"/>
        <v>0</v>
      </c>
      <c r="T577">
        <f t="shared" si="883"/>
        <v>0</v>
      </c>
    </row>
    <row r="578" spans="1:20" x14ac:dyDescent="0.25">
      <c r="A578" s="5"/>
      <c r="C578"/>
      <c r="D578"/>
      <c r="P578">
        <f t="shared" si="879"/>
        <v>0</v>
      </c>
      <c r="Q578">
        <f t="shared" si="880"/>
        <v>0</v>
      </c>
      <c r="R578">
        <f t="shared" si="881"/>
        <v>0</v>
      </c>
      <c r="S578">
        <f t="shared" si="882"/>
        <v>0</v>
      </c>
      <c r="T578">
        <f t="shared" si="883"/>
        <v>0</v>
      </c>
    </row>
    <row r="579" spans="1:20" x14ac:dyDescent="0.25">
      <c r="A579" s="5"/>
      <c r="C579"/>
      <c r="D579"/>
      <c r="P579">
        <f t="shared" si="879"/>
        <v>0</v>
      </c>
      <c r="Q579">
        <f t="shared" si="880"/>
        <v>0</v>
      </c>
      <c r="R579">
        <f t="shared" si="881"/>
        <v>0</v>
      </c>
      <c r="S579">
        <f t="shared" si="882"/>
        <v>0</v>
      </c>
      <c r="T579">
        <f t="shared" si="883"/>
        <v>0</v>
      </c>
    </row>
    <row r="580" spans="1:20" x14ac:dyDescent="0.25">
      <c r="A580" s="5"/>
      <c r="C580"/>
      <c r="D580"/>
      <c r="P580">
        <f t="shared" si="879"/>
        <v>0</v>
      </c>
      <c r="Q580">
        <f t="shared" si="880"/>
        <v>0</v>
      </c>
      <c r="R580">
        <f t="shared" si="881"/>
        <v>0</v>
      </c>
      <c r="S580">
        <f t="shared" si="882"/>
        <v>0</v>
      </c>
      <c r="T580">
        <f t="shared" si="883"/>
        <v>0</v>
      </c>
    </row>
    <row r="581" spans="1:20" x14ac:dyDescent="0.25">
      <c r="A581" s="5"/>
      <c r="C581"/>
      <c r="D581"/>
      <c r="P581">
        <f t="shared" si="879"/>
        <v>0</v>
      </c>
      <c r="Q581">
        <f t="shared" si="880"/>
        <v>0</v>
      </c>
      <c r="R581">
        <f t="shared" si="881"/>
        <v>0</v>
      </c>
      <c r="S581">
        <f t="shared" si="882"/>
        <v>0</v>
      </c>
      <c r="T581">
        <f t="shared" si="883"/>
        <v>0</v>
      </c>
    </row>
    <row r="582" spans="1:20" x14ac:dyDescent="0.25">
      <c r="A582" s="5"/>
      <c r="C582"/>
      <c r="D582"/>
      <c r="P582">
        <f t="shared" si="879"/>
        <v>0</v>
      </c>
      <c r="Q582">
        <f t="shared" si="880"/>
        <v>0</v>
      </c>
      <c r="R582">
        <f t="shared" si="881"/>
        <v>0</v>
      </c>
      <c r="S582">
        <f t="shared" si="882"/>
        <v>0</v>
      </c>
      <c r="T582">
        <f t="shared" si="883"/>
        <v>0</v>
      </c>
    </row>
    <row r="583" spans="1:20" x14ac:dyDescent="0.25">
      <c r="A583" s="5"/>
      <c r="C583"/>
      <c r="D583"/>
      <c r="P583">
        <f t="shared" si="879"/>
        <v>0</v>
      </c>
      <c r="Q583">
        <f t="shared" si="880"/>
        <v>0</v>
      </c>
      <c r="R583">
        <f t="shared" si="881"/>
        <v>0</v>
      </c>
      <c r="S583">
        <f t="shared" si="882"/>
        <v>0</v>
      </c>
      <c r="T583">
        <f t="shared" si="883"/>
        <v>0</v>
      </c>
    </row>
    <row r="584" spans="1:20" x14ac:dyDescent="0.25">
      <c r="A584" s="5"/>
      <c r="C584"/>
      <c r="D584"/>
      <c r="P584">
        <f t="shared" si="879"/>
        <v>0</v>
      </c>
      <c r="Q584">
        <f t="shared" si="880"/>
        <v>0</v>
      </c>
      <c r="R584">
        <f t="shared" si="881"/>
        <v>0</v>
      </c>
      <c r="S584">
        <f t="shared" si="882"/>
        <v>0</v>
      </c>
      <c r="T584">
        <f t="shared" si="883"/>
        <v>0</v>
      </c>
    </row>
    <row r="585" spans="1:20" x14ac:dyDescent="0.25">
      <c r="A585" s="5"/>
      <c r="C585"/>
      <c r="D585"/>
      <c r="P585">
        <f t="shared" si="879"/>
        <v>0</v>
      </c>
      <c r="Q585">
        <f t="shared" si="880"/>
        <v>0</v>
      </c>
      <c r="R585">
        <f t="shared" si="881"/>
        <v>0</v>
      </c>
      <c r="S585">
        <f t="shared" si="882"/>
        <v>0</v>
      </c>
      <c r="T585">
        <f t="shared" si="883"/>
        <v>0</v>
      </c>
    </row>
    <row r="586" spans="1:20" x14ac:dyDescent="0.25">
      <c r="A586" s="5"/>
      <c r="C586"/>
      <c r="D586"/>
      <c r="P586">
        <f t="shared" si="879"/>
        <v>0</v>
      </c>
      <c r="Q586">
        <f t="shared" si="880"/>
        <v>0</v>
      </c>
      <c r="R586">
        <f t="shared" si="881"/>
        <v>0</v>
      </c>
      <c r="S586">
        <f t="shared" si="882"/>
        <v>0</v>
      </c>
      <c r="T586">
        <f t="shared" si="883"/>
        <v>0</v>
      </c>
    </row>
    <row r="587" spans="1:20" x14ac:dyDescent="0.25">
      <c r="A587" s="5"/>
      <c r="C587"/>
      <c r="D587"/>
      <c r="P587">
        <f t="shared" si="879"/>
        <v>0</v>
      </c>
      <c r="Q587">
        <f t="shared" si="880"/>
        <v>0</v>
      </c>
      <c r="R587">
        <f t="shared" si="881"/>
        <v>0</v>
      </c>
      <c r="S587">
        <f t="shared" si="882"/>
        <v>0</v>
      </c>
      <c r="T587">
        <f t="shared" si="883"/>
        <v>0</v>
      </c>
    </row>
    <row r="588" spans="1:20" x14ac:dyDescent="0.25">
      <c r="A588" s="5"/>
      <c r="C588"/>
      <c r="D588"/>
      <c r="P588">
        <f t="shared" si="879"/>
        <v>0</v>
      </c>
      <c r="Q588">
        <f t="shared" si="880"/>
        <v>0</v>
      </c>
      <c r="R588">
        <f t="shared" si="881"/>
        <v>0</v>
      </c>
      <c r="S588">
        <f t="shared" si="882"/>
        <v>0</v>
      </c>
      <c r="T588">
        <f t="shared" si="883"/>
        <v>0</v>
      </c>
    </row>
    <row r="589" spans="1:20" x14ac:dyDescent="0.25">
      <c r="A589" s="5"/>
      <c r="C589"/>
      <c r="D589"/>
      <c r="P589">
        <f t="shared" si="879"/>
        <v>0</v>
      </c>
      <c r="Q589">
        <f t="shared" si="880"/>
        <v>0</v>
      </c>
      <c r="R589">
        <f t="shared" si="881"/>
        <v>0</v>
      </c>
      <c r="S589">
        <f t="shared" si="882"/>
        <v>0</v>
      </c>
      <c r="T589">
        <f t="shared" si="883"/>
        <v>0</v>
      </c>
    </row>
    <row r="590" spans="1:20" x14ac:dyDescent="0.25">
      <c r="A590" s="5"/>
      <c r="C590"/>
      <c r="D590"/>
      <c r="P590">
        <f t="shared" si="879"/>
        <v>0</v>
      </c>
      <c r="Q590">
        <f t="shared" si="880"/>
        <v>0</v>
      </c>
      <c r="R590">
        <f t="shared" si="881"/>
        <v>0</v>
      </c>
      <c r="S590">
        <f t="shared" si="882"/>
        <v>0</v>
      </c>
      <c r="T590">
        <f t="shared" si="883"/>
        <v>0</v>
      </c>
    </row>
    <row r="591" spans="1:20" x14ac:dyDescent="0.25">
      <c r="A591" s="5"/>
      <c r="C591"/>
      <c r="D591"/>
      <c r="P591">
        <f t="shared" si="879"/>
        <v>0</v>
      </c>
      <c r="Q591">
        <f t="shared" si="880"/>
        <v>0</v>
      </c>
      <c r="R591">
        <f t="shared" si="881"/>
        <v>0</v>
      </c>
      <c r="S591">
        <f t="shared" si="882"/>
        <v>0</v>
      </c>
      <c r="T591">
        <f t="shared" si="883"/>
        <v>0</v>
      </c>
    </row>
    <row r="592" spans="1:20" x14ac:dyDescent="0.25">
      <c r="A592" s="5"/>
      <c r="C592"/>
      <c r="D592"/>
      <c r="P592">
        <f t="shared" si="879"/>
        <v>0</v>
      </c>
      <c r="Q592">
        <f t="shared" si="880"/>
        <v>0</v>
      </c>
      <c r="R592">
        <f t="shared" si="881"/>
        <v>0</v>
      </c>
      <c r="S592">
        <f t="shared" si="882"/>
        <v>0</v>
      </c>
      <c r="T592">
        <f t="shared" si="883"/>
        <v>0</v>
      </c>
    </row>
    <row r="593" spans="1:20" x14ac:dyDescent="0.25">
      <c r="A593" s="5"/>
      <c r="C593"/>
      <c r="D593"/>
      <c r="P593">
        <f t="shared" si="879"/>
        <v>0</v>
      </c>
      <c r="Q593">
        <f t="shared" si="880"/>
        <v>0</v>
      </c>
      <c r="R593">
        <f t="shared" si="881"/>
        <v>0</v>
      </c>
      <c r="S593">
        <f t="shared" si="882"/>
        <v>0</v>
      </c>
      <c r="T593">
        <f t="shared" si="883"/>
        <v>0</v>
      </c>
    </row>
    <row r="594" spans="1:20" x14ac:dyDescent="0.25">
      <c r="A594" s="5"/>
      <c r="C594"/>
      <c r="D594"/>
      <c r="P594">
        <f t="shared" si="879"/>
        <v>0</v>
      </c>
      <c r="Q594">
        <f t="shared" si="880"/>
        <v>0</v>
      </c>
      <c r="R594">
        <f t="shared" si="881"/>
        <v>0</v>
      </c>
      <c r="S594">
        <f t="shared" si="882"/>
        <v>0</v>
      </c>
      <c r="T594">
        <f t="shared" si="883"/>
        <v>0</v>
      </c>
    </row>
    <row r="595" spans="1:20" x14ac:dyDescent="0.25">
      <c r="A595" s="5"/>
      <c r="C595"/>
      <c r="D595"/>
      <c r="P595">
        <f t="shared" si="879"/>
        <v>0</v>
      </c>
      <c r="Q595">
        <f t="shared" si="880"/>
        <v>0</v>
      </c>
      <c r="R595">
        <f t="shared" si="881"/>
        <v>0</v>
      </c>
      <c r="S595">
        <f t="shared" si="882"/>
        <v>0</v>
      </c>
      <c r="T595">
        <f t="shared" si="883"/>
        <v>0</v>
      </c>
    </row>
    <row r="596" spans="1:20" x14ac:dyDescent="0.25">
      <c r="A596" s="5"/>
      <c r="C596"/>
      <c r="D596"/>
      <c r="P596">
        <f t="shared" si="879"/>
        <v>0</v>
      </c>
      <c r="Q596">
        <f t="shared" si="880"/>
        <v>0</v>
      </c>
      <c r="R596">
        <f t="shared" si="881"/>
        <v>0</v>
      </c>
      <c r="S596">
        <f t="shared" si="882"/>
        <v>0</v>
      </c>
      <c r="T596">
        <f t="shared" si="883"/>
        <v>0</v>
      </c>
    </row>
    <row r="597" spans="1:20" x14ac:dyDescent="0.25">
      <c r="A597" s="5"/>
      <c r="C597"/>
      <c r="D597"/>
      <c r="P597">
        <f t="shared" si="879"/>
        <v>0</v>
      </c>
      <c r="Q597">
        <f t="shared" si="880"/>
        <v>0</v>
      </c>
      <c r="R597">
        <f t="shared" si="881"/>
        <v>0</v>
      </c>
      <c r="S597">
        <f t="shared" si="882"/>
        <v>0</v>
      </c>
      <c r="T597">
        <f t="shared" si="883"/>
        <v>0</v>
      </c>
    </row>
    <row r="598" spans="1:20" x14ac:dyDescent="0.25">
      <c r="A598" s="5"/>
      <c r="C598"/>
      <c r="D598"/>
      <c r="P598">
        <f t="shared" si="879"/>
        <v>0</v>
      </c>
      <c r="Q598">
        <f t="shared" si="880"/>
        <v>0</v>
      </c>
      <c r="R598">
        <f t="shared" si="881"/>
        <v>0</v>
      </c>
      <c r="S598">
        <f t="shared" si="882"/>
        <v>0</v>
      </c>
      <c r="T598">
        <f t="shared" si="883"/>
        <v>0</v>
      </c>
    </row>
    <row r="599" spans="1:20" x14ac:dyDescent="0.25">
      <c r="A599" s="5"/>
      <c r="C599"/>
      <c r="D599"/>
      <c r="P599">
        <f t="shared" si="879"/>
        <v>0</v>
      </c>
      <c r="Q599">
        <f t="shared" si="880"/>
        <v>0</v>
      </c>
      <c r="R599">
        <f t="shared" si="881"/>
        <v>0</v>
      </c>
      <c r="S599">
        <f t="shared" si="882"/>
        <v>0</v>
      </c>
      <c r="T599">
        <f t="shared" si="883"/>
        <v>0</v>
      </c>
    </row>
    <row r="600" spans="1:20" x14ac:dyDescent="0.25">
      <c r="A600" s="5"/>
      <c r="C600"/>
      <c r="D600"/>
      <c r="P600">
        <f t="shared" si="879"/>
        <v>0</v>
      </c>
      <c r="Q600">
        <f t="shared" si="880"/>
        <v>0</v>
      </c>
      <c r="R600">
        <f t="shared" si="881"/>
        <v>0</v>
      </c>
      <c r="S600">
        <f t="shared" si="882"/>
        <v>0</v>
      </c>
      <c r="T600">
        <f t="shared" si="883"/>
        <v>0</v>
      </c>
    </row>
    <row r="601" spans="1:20" x14ac:dyDescent="0.25">
      <c r="A601" s="5"/>
      <c r="C601"/>
      <c r="D601"/>
      <c r="P601">
        <f t="shared" si="879"/>
        <v>0</v>
      </c>
      <c r="Q601">
        <f t="shared" si="880"/>
        <v>0</v>
      </c>
      <c r="R601">
        <f t="shared" si="881"/>
        <v>0</v>
      </c>
      <c r="S601">
        <f t="shared" si="882"/>
        <v>0</v>
      </c>
      <c r="T601">
        <f t="shared" si="883"/>
        <v>0</v>
      </c>
    </row>
    <row r="602" spans="1:20" x14ac:dyDescent="0.25">
      <c r="A602" s="5"/>
      <c r="C602"/>
      <c r="D602"/>
      <c r="P602">
        <f t="shared" si="879"/>
        <v>0</v>
      </c>
      <c r="Q602">
        <f t="shared" si="880"/>
        <v>0</v>
      </c>
      <c r="R602">
        <f t="shared" si="881"/>
        <v>0</v>
      </c>
      <c r="S602">
        <f t="shared" si="882"/>
        <v>0</v>
      </c>
      <c r="T602">
        <f t="shared" si="883"/>
        <v>0</v>
      </c>
    </row>
    <row r="603" spans="1:20" x14ac:dyDescent="0.25">
      <c r="A603" s="5"/>
      <c r="C603"/>
      <c r="D603"/>
      <c r="P603">
        <f t="shared" si="879"/>
        <v>0</v>
      </c>
      <c r="Q603">
        <f t="shared" si="880"/>
        <v>0</v>
      </c>
      <c r="R603">
        <f t="shared" si="881"/>
        <v>0</v>
      </c>
      <c r="S603">
        <f t="shared" si="882"/>
        <v>0</v>
      </c>
      <c r="T603">
        <f t="shared" si="883"/>
        <v>0</v>
      </c>
    </row>
    <row r="604" spans="1:20" x14ac:dyDescent="0.25">
      <c r="A604" s="5"/>
      <c r="C604"/>
      <c r="D604"/>
      <c r="P604">
        <f t="shared" si="879"/>
        <v>0</v>
      </c>
      <c r="Q604">
        <f t="shared" si="880"/>
        <v>0</v>
      </c>
      <c r="R604">
        <f t="shared" si="881"/>
        <v>0</v>
      </c>
      <c r="S604">
        <f t="shared" si="882"/>
        <v>0</v>
      </c>
      <c r="T604">
        <f t="shared" si="883"/>
        <v>0</v>
      </c>
    </row>
    <row r="605" spans="1:20" x14ac:dyDescent="0.25">
      <c r="A605" s="5"/>
      <c r="C605"/>
      <c r="D605"/>
      <c r="P605">
        <f t="shared" si="879"/>
        <v>0</v>
      </c>
      <c r="Q605">
        <f t="shared" si="880"/>
        <v>0</v>
      </c>
      <c r="R605">
        <f t="shared" si="881"/>
        <v>0</v>
      </c>
      <c r="S605">
        <f t="shared" si="882"/>
        <v>0</v>
      </c>
      <c r="T605">
        <f t="shared" si="883"/>
        <v>0</v>
      </c>
    </row>
    <row r="606" spans="1:20" x14ac:dyDescent="0.25">
      <c r="A606" s="5"/>
      <c r="C606"/>
      <c r="D606"/>
      <c r="P606">
        <f t="shared" si="879"/>
        <v>0</v>
      </c>
      <c r="Q606">
        <f t="shared" si="880"/>
        <v>0</v>
      </c>
      <c r="R606">
        <f t="shared" si="881"/>
        <v>0</v>
      </c>
      <c r="S606">
        <f t="shared" si="882"/>
        <v>0</v>
      </c>
      <c r="T606">
        <f t="shared" si="883"/>
        <v>0</v>
      </c>
    </row>
    <row r="607" spans="1:20" x14ac:dyDescent="0.25">
      <c r="A607" s="5"/>
      <c r="C607"/>
      <c r="D607"/>
      <c r="P607">
        <f t="shared" si="879"/>
        <v>0</v>
      </c>
      <c r="Q607">
        <f t="shared" si="880"/>
        <v>0</v>
      </c>
      <c r="R607">
        <f t="shared" si="881"/>
        <v>0</v>
      </c>
      <c r="S607">
        <f t="shared" si="882"/>
        <v>0</v>
      </c>
      <c r="T607">
        <f t="shared" si="883"/>
        <v>0</v>
      </c>
    </row>
    <row r="608" spans="1:20" x14ac:dyDescent="0.25">
      <c r="A608" s="5"/>
      <c r="C608"/>
      <c r="D608"/>
      <c r="P608">
        <f t="shared" si="879"/>
        <v>0</v>
      </c>
      <c r="Q608">
        <f t="shared" si="880"/>
        <v>0</v>
      </c>
      <c r="R608">
        <f t="shared" si="881"/>
        <v>0</v>
      </c>
      <c r="S608">
        <f t="shared" si="882"/>
        <v>0</v>
      </c>
      <c r="T608">
        <f t="shared" si="883"/>
        <v>0</v>
      </c>
    </row>
    <row r="609" spans="1:20" x14ac:dyDescent="0.25">
      <c r="A609" s="5"/>
      <c r="C609"/>
      <c r="D609"/>
      <c r="P609">
        <f t="shared" si="879"/>
        <v>0</v>
      </c>
      <c r="Q609">
        <f t="shared" si="880"/>
        <v>0</v>
      </c>
      <c r="R609">
        <f t="shared" si="881"/>
        <v>0</v>
      </c>
      <c r="S609">
        <f t="shared" si="882"/>
        <v>0</v>
      </c>
      <c r="T609">
        <f t="shared" si="883"/>
        <v>0</v>
      </c>
    </row>
    <row r="610" spans="1:20" x14ac:dyDescent="0.25">
      <c r="A610" s="5"/>
      <c r="C610"/>
      <c r="D610"/>
      <c r="P610">
        <f t="shared" si="879"/>
        <v>0</v>
      </c>
      <c r="Q610">
        <f t="shared" si="880"/>
        <v>0</v>
      </c>
      <c r="R610">
        <f t="shared" si="881"/>
        <v>0</v>
      </c>
      <c r="S610">
        <f t="shared" si="882"/>
        <v>0</v>
      </c>
      <c r="T610">
        <f t="shared" si="883"/>
        <v>0</v>
      </c>
    </row>
    <row r="611" spans="1:20" x14ac:dyDescent="0.25">
      <c r="A611" s="5"/>
      <c r="C611"/>
      <c r="D611"/>
      <c r="P611">
        <f t="shared" si="879"/>
        <v>0</v>
      </c>
      <c r="Q611">
        <f t="shared" si="880"/>
        <v>0</v>
      </c>
      <c r="R611">
        <f t="shared" si="881"/>
        <v>0</v>
      </c>
      <c r="S611">
        <f t="shared" si="882"/>
        <v>0</v>
      </c>
      <c r="T611">
        <f t="shared" si="883"/>
        <v>0</v>
      </c>
    </row>
    <row r="612" spans="1:20" x14ac:dyDescent="0.25">
      <c r="A612" s="5"/>
      <c r="C612"/>
      <c r="D612"/>
      <c r="P612">
        <f t="shared" si="879"/>
        <v>0</v>
      </c>
      <c r="Q612">
        <f t="shared" si="880"/>
        <v>0</v>
      </c>
      <c r="R612">
        <f t="shared" si="881"/>
        <v>0</v>
      </c>
      <c r="S612">
        <f t="shared" si="882"/>
        <v>0</v>
      </c>
      <c r="T612">
        <f t="shared" si="883"/>
        <v>0</v>
      </c>
    </row>
    <row r="613" spans="1:20" x14ac:dyDescent="0.25">
      <c r="A613" s="5"/>
      <c r="C613"/>
      <c r="D613"/>
      <c r="P613">
        <f t="shared" si="879"/>
        <v>0</v>
      </c>
      <c r="Q613">
        <f t="shared" si="880"/>
        <v>0</v>
      </c>
      <c r="R613">
        <f t="shared" si="881"/>
        <v>0</v>
      </c>
      <c r="S613">
        <f t="shared" si="882"/>
        <v>0</v>
      </c>
      <c r="T613">
        <f t="shared" si="883"/>
        <v>0</v>
      </c>
    </row>
    <row r="614" spans="1:20" x14ac:dyDescent="0.25">
      <c r="A614" s="5"/>
      <c r="C614"/>
      <c r="D614"/>
      <c r="P614">
        <f t="shared" si="879"/>
        <v>0</v>
      </c>
      <c r="Q614">
        <f t="shared" si="880"/>
        <v>0</v>
      </c>
      <c r="R614">
        <f t="shared" si="881"/>
        <v>0</v>
      </c>
      <c r="S614">
        <f t="shared" si="882"/>
        <v>0</v>
      </c>
      <c r="T614">
        <f t="shared" si="883"/>
        <v>0</v>
      </c>
    </row>
    <row r="615" spans="1:20" x14ac:dyDescent="0.25">
      <c r="A615" s="5"/>
      <c r="C615"/>
      <c r="D615"/>
      <c r="P615">
        <f t="shared" si="879"/>
        <v>0</v>
      </c>
      <c r="Q615">
        <f t="shared" si="880"/>
        <v>0</v>
      </c>
      <c r="R615">
        <f t="shared" si="881"/>
        <v>0</v>
      </c>
      <c r="S615">
        <f t="shared" si="882"/>
        <v>0</v>
      </c>
      <c r="T615">
        <f t="shared" si="883"/>
        <v>0</v>
      </c>
    </row>
    <row r="616" spans="1:20" x14ac:dyDescent="0.25">
      <c r="A616" s="5"/>
      <c r="C616"/>
      <c r="D616"/>
      <c r="P616">
        <f t="shared" si="879"/>
        <v>0</v>
      </c>
      <c r="Q616">
        <f t="shared" si="880"/>
        <v>0</v>
      </c>
      <c r="R616">
        <f t="shared" si="881"/>
        <v>0</v>
      </c>
      <c r="S616">
        <f t="shared" si="882"/>
        <v>0</v>
      </c>
      <c r="T616">
        <f t="shared" si="883"/>
        <v>0</v>
      </c>
    </row>
    <row r="617" spans="1:20" x14ac:dyDescent="0.25">
      <c r="A617" s="5"/>
      <c r="C617"/>
      <c r="D617"/>
      <c r="P617">
        <f t="shared" si="879"/>
        <v>0</v>
      </c>
      <c r="Q617">
        <f t="shared" si="880"/>
        <v>0</v>
      </c>
      <c r="R617">
        <f t="shared" si="881"/>
        <v>0</v>
      </c>
      <c r="S617">
        <f t="shared" si="882"/>
        <v>0</v>
      </c>
      <c r="T617">
        <f t="shared" si="883"/>
        <v>0</v>
      </c>
    </row>
    <row r="618" spans="1:20" x14ac:dyDescent="0.25">
      <c r="A618" s="5"/>
      <c r="C618"/>
      <c r="D618"/>
      <c r="P618">
        <f t="shared" si="879"/>
        <v>0</v>
      </c>
      <c r="Q618">
        <f t="shared" si="880"/>
        <v>0</v>
      </c>
      <c r="R618">
        <f t="shared" si="881"/>
        <v>0</v>
      </c>
      <c r="S618">
        <f t="shared" si="882"/>
        <v>0</v>
      </c>
      <c r="T618">
        <f t="shared" si="883"/>
        <v>0</v>
      </c>
    </row>
    <row r="619" spans="1:20" x14ac:dyDescent="0.25">
      <c r="A619" s="5"/>
      <c r="C619"/>
      <c r="D619"/>
      <c r="P619">
        <f t="shared" si="879"/>
        <v>0</v>
      </c>
      <c r="Q619">
        <f t="shared" si="880"/>
        <v>0</v>
      </c>
      <c r="R619">
        <f t="shared" si="881"/>
        <v>0</v>
      </c>
      <c r="S619">
        <f t="shared" si="882"/>
        <v>0</v>
      </c>
      <c r="T619">
        <f t="shared" si="883"/>
        <v>0</v>
      </c>
    </row>
    <row r="620" spans="1:20" x14ac:dyDescent="0.25">
      <c r="A620" s="5"/>
      <c r="C620"/>
      <c r="D620"/>
      <c r="P620">
        <f t="shared" si="879"/>
        <v>0</v>
      </c>
      <c r="Q620">
        <f t="shared" si="880"/>
        <v>0</v>
      </c>
      <c r="R620">
        <f t="shared" si="881"/>
        <v>0</v>
      </c>
      <c r="S620">
        <f t="shared" si="882"/>
        <v>0</v>
      </c>
      <c r="T620">
        <f t="shared" si="883"/>
        <v>0</v>
      </c>
    </row>
    <row r="621" spans="1:20" x14ac:dyDescent="0.25">
      <c r="A621" s="5"/>
      <c r="C621"/>
      <c r="D621"/>
      <c r="P621">
        <f t="shared" si="879"/>
        <v>0</v>
      </c>
      <c r="Q621">
        <f t="shared" si="880"/>
        <v>0</v>
      </c>
      <c r="R621">
        <f t="shared" si="881"/>
        <v>0</v>
      </c>
      <c r="S621">
        <f t="shared" si="882"/>
        <v>0</v>
      </c>
      <c r="T621">
        <f t="shared" si="883"/>
        <v>0</v>
      </c>
    </row>
    <row r="622" spans="1:20" x14ac:dyDescent="0.25">
      <c r="A622" s="5"/>
      <c r="C622"/>
      <c r="D622"/>
      <c r="P622">
        <f t="shared" si="879"/>
        <v>0</v>
      </c>
      <c r="Q622">
        <f t="shared" si="880"/>
        <v>0</v>
      </c>
      <c r="R622">
        <f t="shared" si="881"/>
        <v>0</v>
      </c>
      <c r="S622">
        <f t="shared" si="882"/>
        <v>0</v>
      </c>
      <c r="T622">
        <f t="shared" si="883"/>
        <v>0</v>
      </c>
    </row>
    <row r="623" spans="1:20" x14ac:dyDescent="0.25">
      <c r="A623" s="5"/>
      <c r="C623"/>
      <c r="D623"/>
      <c r="P623">
        <f t="shared" si="879"/>
        <v>0</v>
      </c>
      <c r="Q623">
        <f t="shared" si="880"/>
        <v>0</v>
      </c>
      <c r="R623">
        <f t="shared" si="881"/>
        <v>0</v>
      </c>
      <c r="S623">
        <f t="shared" si="882"/>
        <v>0</v>
      </c>
      <c r="T623">
        <f t="shared" si="883"/>
        <v>0</v>
      </c>
    </row>
    <row r="624" spans="1:20" x14ac:dyDescent="0.25">
      <c r="A624" s="5"/>
      <c r="C624"/>
      <c r="D624"/>
      <c r="P624">
        <f t="shared" ref="P624:P687" si="884">IF(C624=D624,0,((E624-D624)-(C624-E624))/(C624-D624))</f>
        <v>0</v>
      </c>
      <c r="Q624">
        <f t="shared" ref="Q624:Q687" si="885">F624*P624</f>
        <v>0</v>
      </c>
      <c r="R624">
        <f t="shared" ref="R624:R687" si="886">R625+Q624</f>
        <v>0</v>
      </c>
      <c r="S624">
        <f t="shared" ref="S624:S687" si="887">R624/100000</f>
        <v>0</v>
      </c>
      <c r="T624">
        <f t="shared" ref="T624:T687" si="888">S624/1000</f>
        <v>0</v>
      </c>
    </row>
    <row r="625" spans="1:20" x14ac:dyDescent="0.25">
      <c r="A625" s="5"/>
      <c r="C625"/>
      <c r="D625"/>
      <c r="P625">
        <f t="shared" si="884"/>
        <v>0</v>
      </c>
      <c r="Q625">
        <f t="shared" si="885"/>
        <v>0</v>
      </c>
      <c r="R625">
        <f t="shared" si="886"/>
        <v>0</v>
      </c>
      <c r="S625">
        <f t="shared" si="887"/>
        <v>0</v>
      </c>
      <c r="T625">
        <f t="shared" si="888"/>
        <v>0</v>
      </c>
    </row>
    <row r="626" spans="1:20" x14ac:dyDescent="0.25">
      <c r="A626" s="5"/>
      <c r="C626"/>
      <c r="D626"/>
      <c r="P626">
        <f t="shared" si="884"/>
        <v>0</v>
      </c>
      <c r="Q626">
        <f t="shared" si="885"/>
        <v>0</v>
      </c>
      <c r="R626">
        <f t="shared" si="886"/>
        <v>0</v>
      </c>
      <c r="S626">
        <f t="shared" si="887"/>
        <v>0</v>
      </c>
      <c r="T626">
        <f t="shared" si="888"/>
        <v>0</v>
      </c>
    </row>
    <row r="627" spans="1:20" x14ac:dyDescent="0.25">
      <c r="A627" s="5"/>
      <c r="C627"/>
      <c r="D627"/>
      <c r="P627">
        <f t="shared" si="884"/>
        <v>0</v>
      </c>
      <c r="Q627">
        <f t="shared" si="885"/>
        <v>0</v>
      </c>
      <c r="R627">
        <f t="shared" si="886"/>
        <v>0</v>
      </c>
      <c r="S627">
        <f t="shared" si="887"/>
        <v>0</v>
      </c>
      <c r="T627">
        <f t="shared" si="888"/>
        <v>0</v>
      </c>
    </row>
    <row r="628" spans="1:20" x14ac:dyDescent="0.25">
      <c r="A628" s="5"/>
      <c r="C628"/>
      <c r="D628"/>
      <c r="P628">
        <f t="shared" si="884"/>
        <v>0</v>
      </c>
      <c r="Q628">
        <f t="shared" si="885"/>
        <v>0</v>
      </c>
      <c r="R628">
        <f t="shared" si="886"/>
        <v>0</v>
      </c>
      <c r="S628">
        <f t="shared" si="887"/>
        <v>0</v>
      </c>
      <c r="T628">
        <f t="shared" si="888"/>
        <v>0</v>
      </c>
    </row>
    <row r="629" spans="1:20" x14ac:dyDescent="0.25">
      <c r="A629" s="5"/>
      <c r="C629"/>
      <c r="D629"/>
      <c r="P629">
        <f t="shared" si="884"/>
        <v>0</v>
      </c>
      <c r="Q629">
        <f t="shared" si="885"/>
        <v>0</v>
      </c>
      <c r="R629">
        <f t="shared" si="886"/>
        <v>0</v>
      </c>
      <c r="S629">
        <f t="shared" si="887"/>
        <v>0</v>
      </c>
      <c r="T629">
        <f t="shared" si="888"/>
        <v>0</v>
      </c>
    </row>
    <row r="630" spans="1:20" x14ac:dyDescent="0.25">
      <c r="A630" s="5"/>
      <c r="C630"/>
      <c r="D630"/>
      <c r="P630">
        <f t="shared" si="884"/>
        <v>0</v>
      </c>
      <c r="Q630">
        <f t="shared" si="885"/>
        <v>0</v>
      </c>
      <c r="R630">
        <f t="shared" si="886"/>
        <v>0</v>
      </c>
      <c r="S630">
        <f t="shared" si="887"/>
        <v>0</v>
      </c>
      <c r="T630">
        <f t="shared" si="888"/>
        <v>0</v>
      </c>
    </row>
    <row r="631" spans="1:20" x14ac:dyDescent="0.25">
      <c r="A631" s="5"/>
      <c r="C631"/>
      <c r="D631"/>
      <c r="P631">
        <f t="shared" si="884"/>
        <v>0</v>
      </c>
      <c r="Q631">
        <f t="shared" si="885"/>
        <v>0</v>
      </c>
      <c r="R631">
        <f t="shared" si="886"/>
        <v>0</v>
      </c>
      <c r="S631">
        <f t="shared" si="887"/>
        <v>0</v>
      </c>
      <c r="T631">
        <f t="shared" si="888"/>
        <v>0</v>
      </c>
    </row>
    <row r="632" spans="1:20" x14ac:dyDescent="0.25">
      <c r="A632" s="5"/>
      <c r="C632"/>
      <c r="D632"/>
      <c r="P632">
        <f t="shared" si="884"/>
        <v>0</v>
      </c>
      <c r="Q632">
        <f t="shared" si="885"/>
        <v>0</v>
      </c>
      <c r="R632">
        <f t="shared" si="886"/>
        <v>0</v>
      </c>
      <c r="S632">
        <f t="shared" si="887"/>
        <v>0</v>
      </c>
      <c r="T632">
        <f t="shared" si="888"/>
        <v>0</v>
      </c>
    </row>
    <row r="633" spans="1:20" x14ac:dyDescent="0.25">
      <c r="A633" s="5"/>
      <c r="C633"/>
      <c r="D633"/>
      <c r="P633">
        <f t="shared" si="884"/>
        <v>0</v>
      </c>
      <c r="Q633">
        <f t="shared" si="885"/>
        <v>0</v>
      </c>
      <c r="R633">
        <f t="shared" si="886"/>
        <v>0</v>
      </c>
      <c r="S633">
        <f t="shared" si="887"/>
        <v>0</v>
      </c>
      <c r="T633">
        <f t="shared" si="888"/>
        <v>0</v>
      </c>
    </row>
    <row r="634" spans="1:20" x14ac:dyDescent="0.25">
      <c r="A634" s="5"/>
      <c r="C634"/>
      <c r="D634"/>
      <c r="P634">
        <f t="shared" si="884"/>
        <v>0</v>
      </c>
      <c r="Q634">
        <f t="shared" si="885"/>
        <v>0</v>
      </c>
      <c r="R634">
        <f t="shared" si="886"/>
        <v>0</v>
      </c>
      <c r="S634">
        <f t="shared" si="887"/>
        <v>0</v>
      </c>
      <c r="T634">
        <f t="shared" si="888"/>
        <v>0</v>
      </c>
    </row>
    <row r="635" spans="1:20" x14ac:dyDescent="0.25">
      <c r="A635" s="5"/>
      <c r="C635"/>
      <c r="D635"/>
      <c r="P635">
        <f t="shared" si="884"/>
        <v>0</v>
      </c>
      <c r="Q635">
        <f t="shared" si="885"/>
        <v>0</v>
      </c>
      <c r="R635">
        <f t="shared" si="886"/>
        <v>0</v>
      </c>
      <c r="S635">
        <f t="shared" si="887"/>
        <v>0</v>
      </c>
      <c r="T635">
        <f t="shared" si="888"/>
        <v>0</v>
      </c>
    </row>
    <row r="636" spans="1:20" x14ac:dyDescent="0.25">
      <c r="A636" s="5"/>
      <c r="C636"/>
      <c r="D636"/>
      <c r="P636">
        <f t="shared" si="884"/>
        <v>0</v>
      </c>
      <c r="Q636">
        <f t="shared" si="885"/>
        <v>0</v>
      </c>
      <c r="R636">
        <f t="shared" si="886"/>
        <v>0</v>
      </c>
      <c r="S636">
        <f t="shared" si="887"/>
        <v>0</v>
      </c>
      <c r="T636">
        <f t="shared" si="888"/>
        <v>0</v>
      </c>
    </row>
    <row r="637" spans="1:20" x14ac:dyDescent="0.25">
      <c r="A637" s="5"/>
      <c r="C637"/>
      <c r="D637"/>
      <c r="P637">
        <f t="shared" si="884"/>
        <v>0</v>
      </c>
      <c r="Q637">
        <f t="shared" si="885"/>
        <v>0</v>
      </c>
      <c r="R637">
        <f t="shared" si="886"/>
        <v>0</v>
      </c>
      <c r="S637">
        <f t="shared" si="887"/>
        <v>0</v>
      </c>
      <c r="T637">
        <f t="shared" si="888"/>
        <v>0</v>
      </c>
    </row>
    <row r="638" spans="1:20" x14ac:dyDescent="0.25">
      <c r="A638" s="5"/>
      <c r="C638"/>
      <c r="D638"/>
      <c r="P638">
        <f t="shared" si="884"/>
        <v>0</v>
      </c>
      <c r="Q638">
        <f t="shared" si="885"/>
        <v>0</v>
      </c>
      <c r="R638">
        <f t="shared" si="886"/>
        <v>0</v>
      </c>
      <c r="S638">
        <f t="shared" si="887"/>
        <v>0</v>
      </c>
      <c r="T638">
        <f t="shared" si="888"/>
        <v>0</v>
      </c>
    </row>
    <row r="639" spans="1:20" x14ac:dyDescent="0.25">
      <c r="A639" s="5"/>
      <c r="P639">
        <f t="shared" si="884"/>
        <v>0</v>
      </c>
      <c r="Q639">
        <f t="shared" si="885"/>
        <v>0</v>
      </c>
      <c r="R639">
        <f t="shared" si="886"/>
        <v>0</v>
      </c>
      <c r="S639">
        <f t="shared" si="887"/>
        <v>0</v>
      </c>
      <c r="T639">
        <f t="shared" si="888"/>
        <v>0</v>
      </c>
    </row>
    <row r="640" spans="1:20" x14ac:dyDescent="0.25">
      <c r="A640" s="5"/>
      <c r="P640">
        <f t="shared" si="884"/>
        <v>0</v>
      </c>
      <c r="Q640">
        <f t="shared" si="885"/>
        <v>0</v>
      </c>
      <c r="R640">
        <f t="shared" si="886"/>
        <v>0</v>
      </c>
      <c r="S640">
        <f t="shared" si="887"/>
        <v>0</v>
      </c>
      <c r="T640">
        <f t="shared" si="888"/>
        <v>0</v>
      </c>
    </row>
    <row r="641" spans="1:20" x14ac:dyDescent="0.25">
      <c r="A641" s="5"/>
      <c r="P641">
        <f t="shared" si="884"/>
        <v>0</v>
      </c>
      <c r="Q641">
        <f t="shared" si="885"/>
        <v>0</v>
      </c>
      <c r="R641">
        <f t="shared" si="886"/>
        <v>0</v>
      </c>
      <c r="S641">
        <f t="shared" si="887"/>
        <v>0</v>
      </c>
      <c r="T641">
        <f t="shared" si="888"/>
        <v>0</v>
      </c>
    </row>
    <row r="642" spans="1:20" x14ac:dyDescent="0.25">
      <c r="A642" s="5"/>
      <c r="C642" s="4"/>
      <c r="D642" s="4"/>
      <c r="P642">
        <f t="shared" si="884"/>
        <v>0</v>
      </c>
      <c r="Q642">
        <f t="shared" si="885"/>
        <v>0</v>
      </c>
      <c r="R642">
        <f t="shared" si="886"/>
        <v>0</v>
      </c>
      <c r="S642">
        <f t="shared" si="887"/>
        <v>0</v>
      </c>
      <c r="T642">
        <f t="shared" si="888"/>
        <v>0</v>
      </c>
    </row>
    <row r="643" spans="1:20" x14ac:dyDescent="0.25">
      <c r="A643" s="5"/>
      <c r="C643" s="4"/>
      <c r="D643" s="4"/>
      <c r="P643">
        <f t="shared" si="884"/>
        <v>0</v>
      </c>
      <c r="Q643">
        <f t="shared" si="885"/>
        <v>0</v>
      </c>
      <c r="R643">
        <f t="shared" si="886"/>
        <v>0</v>
      </c>
      <c r="S643">
        <f t="shared" si="887"/>
        <v>0</v>
      </c>
      <c r="T643">
        <f t="shared" si="888"/>
        <v>0</v>
      </c>
    </row>
    <row r="644" spans="1:20" x14ac:dyDescent="0.25">
      <c r="A644" s="5"/>
      <c r="C644" s="4"/>
      <c r="D644" s="4"/>
      <c r="P644">
        <f t="shared" si="884"/>
        <v>0</v>
      </c>
      <c r="Q644">
        <f t="shared" si="885"/>
        <v>0</v>
      </c>
      <c r="R644">
        <f t="shared" si="886"/>
        <v>0</v>
      </c>
      <c r="S644">
        <f t="shared" si="887"/>
        <v>0</v>
      </c>
      <c r="T644">
        <f t="shared" si="888"/>
        <v>0</v>
      </c>
    </row>
    <row r="645" spans="1:20" x14ac:dyDescent="0.25">
      <c r="A645" s="5"/>
      <c r="C645" s="4"/>
      <c r="D645" s="4"/>
      <c r="P645">
        <f t="shared" si="884"/>
        <v>0</v>
      </c>
      <c r="Q645">
        <f t="shared" si="885"/>
        <v>0</v>
      </c>
      <c r="R645">
        <f t="shared" si="886"/>
        <v>0</v>
      </c>
      <c r="S645">
        <f t="shared" si="887"/>
        <v>0</v>
      </c>
      <c r="T645">
        <f t="shared" si="888"/>
        <v>0</v>
      </c>
    </row>
    <row r="646" spans="1:20" x14ac:dyDescent="0.25">
      <c r="A646" s="5"/>
      <c r="C646" s="4"/>
      <c r="D646" s="4"/>
      <c r="P646">
        <f t="shared" si="884"/>
        <v>0</v>
      </c>
      <c r="Q646">
        <f t="shared" si="885"/>
        <v>0</v>
      </c>
      <c r="R646">
        <f t="shared" si="886"/>
        <v>0</v>
      </c>
      <c r="S646">
        <f t="shared" si="887"/>
        <v>0</v>
      </c>
      <c r="T646">
        <f t="shared" si="888"/>
        <v>0</v>
      </c>
    </row>
    <row r="647" spans="1:20" x14ac:dyDescent="0.25">
      <c r="A647" s="5"/>
      <c r="C647" s="4"/>
      <c r="D647" s="4"/>
      <c r="P647">
        <f t="shared" si="884"/>
        <v>0</v>
      </c>
      <c r="Q647">
        <f t="shared" si="885"/>
        <v>0</v>
      </c>
      <c r="R647">
        <f t="shared" si="886"/>
        <v>0</v>
      </c>
      <c r="S647">
        <f t="shared" si="887"/>
        <v>0</v>
      </c>
      <c r="T647">
        <f t="shared" si="888"/>
        <v>0</v>
      </c>
    </row>
    <row r="648" spans="1:20" x14ac:dyDescent="0.25">
      <c r="A648" s="5"/>
      <c r="C648" s="4"/>
      <c r="D648" s="4"/>
      <c r="P648">
        <f t="shared" si="884"/>
        <v>0</v>
      </c>
      <c r="Q648">
        <f t="shared" si="885"/>
        <v>0</v>
      </c>
      <c r="R648">
        <f t="shared" si="886"/>
        <v>0</v>
      </c>
      <c r="S648">
        <f t="shared" si="887"/>
        <v>0</v>
      </c>
      <c r="T648">
        <f t="shared" si="888"/>
        <v>0</v>
      </c>
    </row>
    <row r="649" spans="1:20" x14ac:dyDescent="0.25">
      <c r="A649" s="5"/>
      <c r="C649" s="4"/>
      <c r="D649" s="4"/>
      <c r="P649">
        <f t="shared" si="884"/>
        <v>0</v>
      </c>
      <c r="Q649">
        <f t="shared" si="885"/>
        <v>0</v>
      </c>
      <c r="R649">
        <f t="shared" si="886"/>
        <v>0</v>
      </c>
      <c r="S649">
        <f t="shared" si="887"/>
        <v>0</v>
      </c>
      <c r="T649">
        <f t="shared" si="888"/>
        <v>0</v>
      </c>
    </row>
    <row r="650" spans="1:20" x14ac:dyDescent="0.25">
      <c r="A650" s="5"/>
      <c r="C650" s="4"/>
      <c r="D650" s="4"/>
      <c r="P650">
        <f t="shared" si="884"/>
        <v>0</v>
      </c>
      <c r="Q650">
        <f t="shared" si="885"/>
        <v>0</v>
      </c>
      <c r="R650">
        <f t="shared" si="886"/>
        <v>0</v>
      </c>
      <c r="S650">
        <f t="shared" si="887"/>
        <v>0</v>
      </c>
      <c r="T650">
        <f t="shared" si="888"/>
        <v>0</v>
      </c>
    </row>
    <row r="651" spans="1:20" x14ac:dyDescent="0.25">
      <c r="A651" s="5"/>
      <c r="C651" s="4"/>
      <c r="D651" s="4"/>
      <c r="P651">
        <f t="shared" si="884"/>
        <v>0</v>
      </c>
      <c r="Q651">
        <f t="shared" si="885"/>
        <v>0</v>
      </c>
      <c r="R651">
        <f t="shared" si="886"/>
        <v>0</v>
      </c>
      <c r="S651">
        <f t="shared" si="887"/>
        <v>0</v>
      </c>
      <c r="T651">
        <f t="shared" si="888"/>
        <v>0</v>
      </c>
    </row>
    <row r="652" spans="1:20" x14ac:dyDescent="0.25">
      <c r="A652" s="5"/>
      <c r="C652" s="4"/>
      <c r="D652" s="4"/>
      <c r="P652">
        <f t="shared" si="884"/>
        <v>0</v>
      </c>
      <c r="Q652">
        <f t="shared" si="885"/>
        <v>0</v>
      </c>
      <c r="R652">
        <f t="shared" si="886"/>
        <v>0</v>
      </c>
      <c r="S652">
        <f t="shared" si="887"/>
        <v>0</v>
      </c>
      <c r="T652">
        <f t="shared" si="888"/>
        <v>0</v>
      </c>
    </row>
    <row r="653" spans="1:20" x14ac:dyDescent="0.25">
      <c r="A653" s="5"/>
      <c r="C653" s="4"/>
      <c r="D653" s="4"/>
      <c r="P653">
        <f t="shared" si="884"/>
        <v>0</v>
      </c>
      <c r="Q653">
        <f t="shared" si="885"/>
        <v>0</v>
      </c>
      <c r="R653">
        <f t="shared" si="886"/>
        <v>0</v>
      </c>
      <c r="S653">
        <f t="shared" si="887"/>
        <v>0</v>
      </c>
      <c r="T653">
        <f t="shared" si="888"/>
        <v>0</v>
      </c>
    </row>
    <row r="654" spans="1:20" x14ac:dyDescent="0.25">
      <c r="A654" s="5"/>
      <c r="C654" s="4"/>
      <c r="D654" s="4"/>
      <c r="P654">
        <f t="shared" si="884"/>
        <v>0</v>
      </c>
      <c r="Q654">
        <f t="shared" si="885"/>
        <v>0</v>
      </c>
      <c r="R654">
        <f t="shared" si="886"/>
        <v>0</v>
      </c>
      <c r="S654">
        <f t="shared" si="887"/>
        <v>0</v>
      </c>
      <c r="T654">
        <f t="shared" si="888"/>
        <v>0</v>
      </c>
    </row>
    <row r="655" spans="1:20" x14ac:dyDescent="0.25">
      <c r="A655" s="5"/>
      <c r="C655" s="4"/>
      <c r="D655" s="4"/>
      <c r="P655">
        <f t="shared" si="884"/>
        <v>0</v>
      </c>
      <c r="Q655">
        <f t="shared" si="885"/>
        <v>0</v>
      </c>
      <c r="R655">
        <f t="shared" si="886"/>
        <v>0</v>
      </c>
      <c r="S655">
        <f t="shared" si="887"/>
        <v>0</v>
      </c>
      <c r="T655">
        <f t="shared" si="888"/>
        <v>0</v>
      </c>
    </row>
    <row r="656" spans="1:20" x14ac:dyDescent="0.25">
      <c r="A656" s="5"/>
      <c r="C656" s="4"/>
      <c r="D656" s="4"/>
      <c r="P656">
        <f t="shared" si="884"/>
        <v>0</v>
      </c>
      <c r="Q656">
        <f t="shared" si="885"/>
        <v>0</v>
      </c>
      <c r="R656">
        <f t="shared" si="886"/>
        <v>0</v>
      </c>
      <c r="S656">
        <f t="shared" si="887"/>
        <v>0</v>
      </c>
      <c r="T656">
        <f t="shared" si="888"/>
        <v>0</v>
      </c>
    </row>
    <row r="657" spans="1:20" x14ac:dyDescent="0.25">
      <c r="A657" s="5"/>
      <c r="C657" s="4"/>
      <c r="D657" s="4"/>
      <c r="P657">
        <f t="shared" si="884"/>
        <v>0</v>
      </c>
      <c r="Q657">
        <f t="shared" si="885"/>
        <v>0</v>
      </c>
      <c r="R657">
        <f t="shared" si="886"/>
        <v>0</v>
      </c>
      <c r="S657">
        <f t="shared" si="887"/>
        <v>0</v>
      </c>
      <c r="T657">
        <f t="shared" si="888"/>
        <v>0</v>
      </c>
    </row>
    <row r="658" spans="1:20" x14ac:dyDescent="0.25">
      <c r="A658" s="5"/>
      <c r="C658" s="4"/>
      <c r="D658" s="4"/>
      <c r="P658">
        <f t="shared" si="884"/>
        <v>0</v>
      </c>
      <c r="Q658">
        <f t="shared" si="885"/>
        <v>0</v>
      </c>
      <c r="R658">
        <f t="shared" si="886"/>
        <v>0</v>
      </c>
      <c r="S658">
        <f t="shared" si="887"/>
        <v>0</v>
      </c>
      <c r="T658">
        <f t="shared" si="888"/>
        <v>0</v>
      </c>
    </row>
    <row r="659" spans="1:20" x14ac:dyDescent="0.25">
      <c r="A659" s="5"/>
      <c r="C659" s="4"/>
      <c r="D659" s="4"/>
      <c r="P659">
        <f t="shared" si="884"/>
        <v>0</v>
      </c>
      <c r="Q659">
        <f t="shared" si="885"/>
        <v>0</v>
      </c>
      <c r="R659">
        <f t="shared" si="886"/>
        <v>0</v>
      </c>
      <c r="S659">
        <f t="shared" si="887"/>
        <v>0</v>
      </c>
      <c r="T659">
        <f t="shared" si="888"/>
        <v>0</v>
      </c>
    </row>
    <row r="660" spans="1:20" x14ac:dyDescent="0.25">
      <c r="A660" s="5"/>
      <c r="C660" s="4"/>
      <c r="D660" s="4"/>
      <c r="P660">
        <f t="shared" si="884"/>
        <v>0</v>
      </c>
      <c r="Q660">
        <f t="shared" si="885"/>
        <v>0</v>
      </c>
      <c r="R660">
        <f t="shared" si="886"/>
        <v>0</v>
      </c>
      <c r="S660">
        <f t="shared" si="887"/>
        <v>0</v>
      </c>
      <c r="T660">
        <f t="shared" si="888"/>
        <v>0</v>
      </c>
    </row>
    <row r="661" spans="1:20" x14ac:dyDescent="0.25">
      <c r="A661" s="5"/>
      <c r="C661" s="4"/>
      <c r="D661" s="4"/>
      <c r="P661">
        <f t="shared" si="884"/>
        <v>0</v>
      </c>
      <c r="Q661">
        <f t="shared" si="885"/>
        <v>0</v>
      </c>
      <c r="R661">
        <f t="shared" si="886"/>
        <v>0</v>
      </c>
      <c r="S661">
        <f t="shared" si="887"/>
        <v>0</v>
      </c>
      <c r="T661">
        <f t="shared" si="888"/>
        <v>0</v>
      </c>
    </row>
    <row r="662" spans="1:20" x14ac:dyDescent="0.25">
      <c r="A662" s="5"/>
      <c r="C662" s="4"/>
      <c r="D662" s="4"/>
      <c r="P662">
        <f t="shared" si="884"/>
        <v>0</v>
      </c>
      <c r="Q662">
        <f t="shared" si="885"/>
        <v>0</v>
      </c>
      <c r="R662">
        <f t="shared" si="886"/>
        <v>0</v>
      </c>
      <c r="S662">
        <f t="shared" si="887"/>
        <v>0</v>
      </c>
      <c r="T662">
        <f t="shared" si="888"/>
        <v>0</v>
      </c>
    </row>
    <row r="663" spans="1:20" x14ac:dyDescent="0.25">
      <c r="A663" s="5"/>
      <c r="C663" s="4"/>
      <c r="D663" s="4"/>
      <c r="P663">
        <f t="shared" si="884"/>
        <v>0</v>
      </c>
      <c r="Q663">
        <f t="shared" si="885"/>
        <v>0</v>
      </c>
      <c r="R663">
        <f t="shared" si="886"/>
        <v>0</v>
      </c>
      <c r="S663">
        <f t="shared" si="887"/>
        <v>0</v>
      </c>
      <c r="T663">
        <f t="shared" si="888"/>
        <v>0</v>
      </c>
    </row>
    <row r="664" spans="1:20" x14ac:dyDescent="0.25">
      <c r="A664" s="5"/>
      <c r="C664" s="4"/>
      <c r="D664" s="4"/>
      <c r="P664">
        <f t="shared" si="884"/>
        <v>0</v>
      </c>
      <c r="Q664">
        <f t="shared" si="885"/>
        <v>0</v>
      </c>
      <c r="R664">
        <f t="shared" si="886"/>
        <v>0</v>
      </c>
      <c r="S664">
        <f t="shared" si="887"/>
        <v>0</v>
      </c>
      <c r="T664">
        <f t="shared" si="888"/>
        <v>0</v>
      </c>
    </row>
    <row r="665" spans="1:20" x14ac:dyDescent="0.25">
      <c r="A665" s="5"/>
      <c r="C665" s="4"/>
      <c r="D665" s="4"/>
      <c r="P665">
        <f t="shared" si="884"/>
        <v>0</v>
      </c>
      <c r="Q665">
        <f t="shared" si="885"/>
        <v>0</v>
      </c>
      <c r="R665">
        <f t="shared" si="886"/>
        <v>0</v>
      </c>
      <c r="S665">
        <f t="shared" si="887"/>
        <v>0</v>
      </c>
      <c r="T665">
        <f t="shared" si="888"/>
        <v>0</v>
      </c>
    </row>
    <row r="666" spans="1:20" x14ac:dyDescent="0.25">
      <c r="A666" s="5"/>
      <c r="C666" s="4"/>
      <c r="D666" s="4"/>
      <c r="P666">
        <f t="shared" si="884"/>
        <v>0</v>
      </c>
      <c r="Q666">
        <f t="shared" si="885"/>
        <v>0</v>
      </c>
      <c r="R666">
        <f t="shared" si="886"/>
        <v>0</v>
      </c>
      <c r="S666">
        <f t="shared" si="887"/>
        <v>0</v>
      </c>
      <c r="T666">
        <f t="shared" si="888"/>
        <v>0</v>
      </c>
    </row>
    <row r="667" spans="1:20" x14ac:dyDescent="0.25">
      <c r="A667" s="5"/>
      <c r="C667" s="4"/>
      <c r="D667" s="4"/>
      <c r="P667">
        <f t="shared" si="884"/>
        <v>0</v>
      </c>
      <c r="Q667">
        <f t="shared" si="885"/>
        <v>0</v>
      </c>
      <c r="R667">
        <f t="shared" si="886"/>
        <v>0</v>
      </c>
      <c r="S667">
        <f t="shared" si="887"/>
        <v>0</v>
      </c>
      <c r="T667">
        <f t="shared" si="888"/>
        <v>0</v>
      </c>
    </row>
    <row r="668" spans="1:20" x14ac:dyDescent="0.25">
      <c r="A668" s="5"/>
      <c r="C668" s="4"/>
      <c r="D668" s="4"/>
      <c r="P668">
        <f t="shared" si="884"/>
        <v>0</v>
      </c>
      <c r="Q668">
        <f t="shared" si="885"/>
        <v>0</v>
      </c>
      <c r="R668">
        <f t="shared" si="886"/>
        <v>0</v>
      </c>
      <c r="S668">
        <f t="shared" si="887"/>
        <v>0</v>
      </c>
      <c r="T668">
        <f t="shared" si="888"/>
        <v>0</v>
      </c>
    </row>
    <row r="669" spans="1:20" x14ac:dyDescent="0.25">
      <c r="A669" s="5"/>
      <c r="C669" s="4"/>
      <c r="D669" s="4"/>
      <c r="P669">
        <f t="shared" si="884"/>
        <v>0</v>
      </c>
      <c r="Q669">
        <f t="shared" si="885"/>
        <v>0</v>
      </c>
      <c r="R669">
        <f t="shared" si="886"/>
        <v>0</v>
      </c>
      <c r="S669">
        <f t="shared" si="887"/>
        <v>0</v>
      </c>
      <c r="T669">
        <f t="shared" si="888"/>
        <v>0</v>
      </c>
    </row>
    <row r="670" spans="1:20" x14ac:dyDescent="0.25">
      <c r="A670" s="5"/>
      <c r="C670" s="4"/>
      <c r="D670" s="4"/>
      <c r="P670">
        <f t="shared" si="884"/>
        <v>0</v>
      </c>
      <c r="Q670">
        <f t="shared" si="885"/>
        <v>0</v>
      </c>
      <c r="R670">
        <f t="shared" si="886"/>
        <v>0</v>
      </c>
      <c r="S670">
        <f t="shared" si="887"/>
        <v>0</v>
      </c>
      <c r="T670">
        <f t="shared" si="888"/>
        <v>0</v>
      </c>
    </row>
    <row r="671" spans="1:20" x14ac:dyDescent="0.25">
      <c r="A671" s="5"/>
      <c r="C671" s="4"/>
      <c r="D671" s="4"/>
      <c r="P671">
        <f t="shared" si="884"/>
        <v>0</v>
      </c>
      <c r="Q671">
        <f t="shared" si="885"/>
        <v>0</v>
      </c>
      <c r="R671">
        <f t="shared" si="886"/>
        <v>0</v>
      </c>
      <c r="S671">
        <f t="shared" si="887"/>
        <v>0</v>
      </c>
      <c r="T671">
        <f t="shared" si="888"/>
        <v>0</v>
      </c>
    </row>
    <row r="672" spans="1:20" x14ac:dyDescent="0.25">
      <c r="A672" s="5"/>
      <c r="C672" s="4"/>
      <c r="D672" s="4"/>
      <c r="P672">
        <f t="shared" si="884"/>
        <v>0</v>
      </c>
      <c r="Q672">
        <f t="shared" si="885"/>
        <v>0</v>
      </c>
      <c r="R672">
        <f t="shared" si="886"/>
        <v>0</v>
      </c>
      <c r="S672">
        <f t="shared" si="887"/>
        <v>0</v>
      </c>
      <c r="T672">
        <f t="shared" si="888"/>
        <v>0</v>
      </c>
    </row>
    <row r="673" spans="1:20" x14ac:dyDescent="0.25">
      <c r="A673" s="5"/>
      <c r="C673" s="4"/>
      <c r="D673" s="4"/>
      <c r="P673">
        <f t="shared" si="884"/>
        <v>0</v>
      </c>
      <c r="Q673">
        <f t="shared" si="885"/>
        <v>0</v>
      </c>
      <c r="R673">
        <f t="shared" si="886"/>
        <v>0</v>
      </c>
      <c r="S673">
        <f t="shared" si="887"/>
        <v>0</v>
      </c>
      <c r="T673">
        <f t="shared" si="888"/>
        <v>0</v>
      </c>
    </row>
    <row r="674" spans="1:20" x14ac:dyDescent="0.25">
      <c r="A674" s="5"/>
      <c r="C674" s="4"/>
      <c r="D674" s="4"/>
      <c r="P674">
        <f t="shared" si="884"/>
        <v>0</v>
      </c>
      <c r="Q674">
        <f t="shared" si="885"/>
        <v>0</v>
      </c>
      <c r="R674">
        <f t="shared" si="886"/>
        <v>0</v>
      </c>
      <c r="S674">
        <f t="shared" si="887"/>
        <v>0</v>
      </c>
      <c r="T674">
        <f t="shared" si="888"/>
        <v>0</v>
      </c>
    </row>
    <row r="675" spans="1:20" x14ac:dyDescent="0.25">
      <c r="A675" s="5"/>
      <c r="C675" s="4"/>
      <c r="D675" s="4"/>
      <c r="P675">
        <f t="shared" si="884"/>
        <v>0</v>
      </c>
      <c r="Q675">
        <f t="shared" si="885"/>
        <v>0</v>
      </c>
      <c r="R675">
        <f t="shared" si="886"/>
        <v>0</v>
      </c>
      <c r="S675">
        <f t="shared" si="887"/>
        <v>0</v>
      </c>
      <c r="T675">
        <f t="shared" si="888"/>
        <v>0</v>
      </c>
    </row>
    <row r="676" spans="1:20" x14ac:dyDescent="0.25">
      <c r="A676" s="5"/>
      <c r="C676" s="4"/>
      <c r="D676" s="4"/>
      <c r="P676">
        <f t="shared" si="884"/>
        <v>0</v>
      </c>
      <c r="Q676">
        <f t="shared" si="885"/>
        <v>0</v>
      </c>
      <c r="R676">
        <f t="shared" si="886"/>
        <v>0</v>
      </c>
      <c r="S676">
        <f t="shared" si="887"/>
        <v>0</v>
      </c>
      <c r="T676">
        <f t="shared" si="888"/>
        <v>0</v>
      </c>
    </row>
    <row r="677" spans="1:20" x14ac:dyDescent="0.25">
      <c r="A677" s="5"/>
      <c r="C677" s="4"/>
      <c r="D677" s="4"/>
      <c r="P677">
        <f t="shared" si="884"/>
        <v>0</v>
      </c>
      <c r="Q677">
        <f t="shared" si="885"/>
        <v>0</v>
      </c>
      <c r="R677">
        <f t="shared" si="886"/>
        <v>0</v>
      </c>
      <c r="S677">
        <f t="shared" si="887"/>
        <v>0</v>
      </c>
      <c r="T677">
        <f t="shared" si="888"/>
        <v>0</v>
      </c>
    </row>
    <row r="678" spans="1:20" x14ac:dyDescent="0.25">
      <c r="A678" s="5"/>
      <c r="C678" s="4"/>
      <c r="D678" s="4"/>
      <c r="P678">
        <f t="shared" si="884"/>
        <v>0</v>
      </c>
      <c r="Q678">
        <f t="shared" si="885"/>
        <v>0</v>
      </c>
      <c r="R678">
        <f t="shared" si="886"/>
        <v>0</v>
      </c>
      <c r="S678">
        <f t="shared" si="887"/>
        <v>0</v>
      </c>
      <c r="T678">
        <f t="shared" si="888"/>
        <v>0</v>
      </c>
    </row>
    <row r="679" spans="1:20" x14ac:dyDescent="0.25">
      <c r="A679" s="5"/>
      <c r="C679" s="4"/>
      <c r="D679" s="4"/>
      <c r="P679">
        <f t="shared" si="884"/>
        <v>0</v>
      </c>
      <c r="Q679">
        <f t="shared" si="885"/>
        <v>0</v>
      </c>
      <c r="R679">
        <f t="shared" si="886"/>
        <v>0</v>
      </c>
      <c r="S679">
        <f t="shared" si="887"/>
        <v>0</v>
      </c>
      <c r="T679">
        <f t="shared" si="888"/>
        <v>0</v>
      </c>
    </row>
    <row r="680" spans="1:20" x14ac:dyDescent="0.25">
      <c r="A680" s="5"/>
      <c r="C680" s="4"/>
      <c r="D680" s="4"/>
      <c r="P680">
        <f t="shared" si="884"/>
        <v>0</v>
      </c>
      <c r="Q680">
        <f t="shared" si="885"/>
        <v>0</v>
      </c>
      <c r="R680">
        <f t="shared" si="886"/>
        <v>0</v>
      </c>
      <c r="S680">
        <f t="shared" si="887"/>
        <v>0</v>
      </c>
      <c r="T680">
        <f t="shared" si="888"/>
        <v>0</v>
      </c>
    </row>
    <row r="681" spans="1:20" x14ac:dyDescent="0.25">
      <c r="A681" s="5"/>
      <c r="C681" s="4"/>
      <c r="D681" s="4"/>
      <c r="P681">
        <f t="shared" si="884"/>
        <v>0</v>
      </c>
      <c r="Q681">
        <f t="shared" si="885"/>
        <v>0</v>
      </c>
      <c r="R681">
        <f t="shared" si="886"/>
        <v>0</v>
      </c>
      <c r="S681">
        <f t="shared" si="887"/>
        <v>0</v>
      </c>
      <c r="T681">
        <f t="shared" si="888"/>
        <v>0</v>
      </c>
    </row>
    <row r="682" spans="1:20" x14ac:dyDescent="0.25">
      <c r="A682" s="5"/>
      <c r="C682" s="4"/>
      <c r="D682" s="4"/>
      <c r="P682">
        <f t="shared" si="884"/>
        <v>0</v>
      </c>
      <c r="Q682">
        <f t="shared" si="885"/>
        <v>0</v>
      </c>
      <c r="R682">
        <f t="shared" si="886"/>
        <v>0</v>
      </c>
      <c r="S682">
        <f t="shared" si="887"/>
        <v>0</v>
      </c>
      <c r="T682">
        <f t="shared" si="888"/>
        <v>0</v>
      </c>
    </row>
    <row r="683" spans="1:20" x14ac:dyDescent="0.25">
      <c r="A683" s="5"/>
      <c r="C683" s="4"/>
      <c r="D683" s="4"/>
      <c r="P683">
        <f t="shared" si="884"/>
        <v>0</v>
      </c>
      <c r="Q683">
        <f t="shared" si="885"/>
        <v>0</v>
      </c>
      <c r="R683">
        <f t="shared" si="886"/>
        <v>0</v>
      </c>
      <c r="S683">
        <f t="shared" si="887"/>
        <v>0</v>
      </c>
      <c r="T683">
        <f t="shared" si="888"/>
        <v>0</v>
      </c>
    </row>
    <row r="684" spans="1:20" x14ac:dyDescent="0.25">
      <c r="A684" s="5"/>
      <c r="C684" s="4"/>
      <c r="D684" s="4"/>
      <c r="P684">
        <f t="shared" si="884"/>
        <v>0</v>
      </c>
      <c r="Q684">
        <f t="shared" si="885"/>
        <v>0</v>
      </c>
      <c r="R684">
        <f t="shared" si="886"/>
        <v>0</v>
      </c>
      <c r="S684">
        <f t="shared" si="887"/>
        <v>0</v>
      </c>
      <c r="T684">
        <f t="shared" si="888"/>
        <v>0</v>
      </c>
    </row>
    <row r="685" spans="1:20" x14ac:dyDescent="0.25">
      <c r="A685" s="5"/>
      <c r="C685" s="4"/>
      <c r="D685" s="4"/>
      <c r="P685">
        <f t="shared" si="884"/>
        <v>0</v>
      </c>
      <c r="Q685">
        <f t="shared" si="885"/>
        <v>0</v>
      </c>
      <c r="R685">
        <f t="shared" si="886"/>
        <v>0</v>
      </c>
      <c r="S685">
        <f t="shared" si="887"/>
        <v>0</v>
      </c>
      <c r="T685">
        <f t="shared" si="888"/>
        <v>0</v>
      </c>
    </row>
    <row r="686" spans="1:20" x14ac:dyDescent="0.25">
      <c r="A686" s="5"/>
      <c r="C686" s="4"/>
      <c r="D686" s="4"/>
      <c r="P686">
        <f t="shared" si="884"/>
        <v>0</v>
      </c>
      <c r="Q686">
        <f t="shared" si="885"/>
        <v>0</v>
      </c>
      <c r="R686">
        <f t="shared" si="886"/>
        <v>0</v>
      </c>
      <c r="S686">
        <f t="shared" si="887"/>
        <v>0</v>
      </c>
      <c r="T686">
        <f t="shared" si="888"/>
        <v>0</v>
      </c>
    </row>
    <row r="687" spans="1:20" x14ac:dyDescent="0.25">
      <c r="A687" s="5"/>
      <c r="C687" s="4"/>
      <c r="D687" s="4"/>
      <c r="P687">
        <f t="shared" si="884"/>
        <v>0</v>
      </c>
      <c r="Q687">
        <f t="shared" si="885"/>
        <v>0</v>
      </c>
      <c r="R687">
        <f t="shared" si="886"/>
        <v>0</v>
      </c>
      <c r="S687">
        <f t="shared" si="887"/>
        <v>0</v>
      </c>
      <c r="T687">
        <f t="shared" si="888"/>
        <v>0</v>
      </c>
    </row>
    <row r="688" spans="1:20" x14ac:dyDescent="0.25">
      <c r="A688" s="5"/>
      <c r="C688" s="4"/>
      <c r="D688" s="4"/>
      <c r="P688">
        <f t="shared" ref="P688:P744" si="889">IF(C688=D688,0,((E688-D688)-(C688-E688))/(C688-D688))</f>
        <v>0</v>
      </c>
      <c r="Q688">
        <f t="shared" ref="Q688:Q744" si="890">F688*P688</f>
        <v>0</v>
      </c>
      <c r="R688">
        <f t="shared" ref="R688:R744" si="891">R689+Q688</f>
        <v>0</v>
      </c>
      <c r="S688">
        <f t="shared" ref="S688:S744" si="892">R688/100000</f>
        <v>0</v>
      </c>
      <c r="T688">
        <f t="shared" ref="T688:T744" si="893">S688/1000</f>
        <v>0</v>
      </c>
    </row>
    <row r="689" spans="1:20" x14ac:dyDescent="0.25">
      <c r="A689" s="5"/>
      <c r="C689" s="4"/>
      <c r="D689" s="4"/>
      <c r="P689">
        <f t="shared" si="889"/>
        <v>0</v>
      </c>
      <c r="Q689">
        <f t="shared" si="890"/>
        <v>0</v>
      </c>
      <c r="R689">
        <f t="shared" si="891"/>
        <v>0</v>
      </c>
      <c r="S689">
        <f t="shared" si="892"/>
        <v>0</v>
      </c>
      <c r="T689">
        <f t="shared" si="893"/>
        <v>0</v>
      </c>
    </row>
    <row r="690" spans="1:20" x14ac:dyDescent="0.25">
      <c r="A690" s="5"/>
      <c r="C690" s="4"/>
      <c r="D690" s="4"/>
      <c r="P690">
        <f t="shared" si="889"/>
        <v>0</v>
      </c>
      <c r="Q690">
        <f t="shared" si="890"/>
        <v>0</v>
      </c>
      <c r="R690">
        <f t="shared" si="891"/>
        <v>0</v>
      </c>
      <c r="S690">
        <f t="shared" si="892"/>
        <v>0</v>
      </c>
      <c r="T690">
        <f t="shared" si="893"/>
        <v>0</v>
      </c>
    </row>
    <row r="691" spans="1:20" x14ac:dyDescent="0.25">
      <c r="A691" s="5"/>
      <c r="C691" s="4"/>
      <c r="D691" s="4"/>
      <c r="P691">
        <f t="shared" si="889"/>
        <v>0</v>
      </c>
      <c r="Q691">
        <f t="shared" si="890"/>
        <v>0</v>
      </c>
      <c r="R691">
        <f t="shared" si="891"/>
        <v>0</v>
      </c>
      <c r="S691">
        <f t="shared" si="892"/>
        <v>0</v>
      </c>
      <c r="T691">
        <f t="shared" si="893"/>
        <v>0</v>
      </c>
    </row>
    <row r="692" spans="1:20" x14ac:dyDescent="0.25">
      <c r="A692" s="5"/>
      <c r="C692" s="4"/>
      <c r="D692" s="4"/>
      <c r="P692">
        <f t="shared" si="889"/>
        <v>0</v>
      </c>
      <c r="Q692">
        <f t="shared" si="890"/>
        <v>0</v>
      </c>
      <c r="R692">
        <f t="shared" si="891"/>
        <v>0</v>
      </c>
      <c r="S692">
        <f t="shared" si="892"/>
        <v>0</v>
      </c>
      <c r="T692">
        <f t="shared" si="893"/>
        <v>0</v>
      </c>
    </row>
    <row r="693" spans="1:20" x14ac:dyDescent="0.25">
      <c r="A693" s="5"/>
      <c r="C693" s="4"/>
      <c r="D693" s="4"/>
      <c r="P693">
        <f t="shared" si="889"/>
        <v>0</v>
      </c>
      <c r="Q693">
        <f t="shared" si="890"/>
        <v>0</v>
      </c>
      <c r="R693">
        <f t="shared" si="891"/>
        <v>0</v>
      </c>
      <c r="S693">
        <f t="shared" si="892"/>
        <v>0</v>
      </c>
      <c r="T693">
        <f t="shared" si="893"/>
        <v>0</v>
      </c>
    </row>
    <row r="694" spans="1:20" x14ac:dyDescent="0.25">
      <c r="A694" s="5"/>
      <c r="C694" s="4"/>
      <c r="D694" s="4"/>
      <c r="P694">
        <f t="shared" si="889"/>
        <v>0</v>
      </c>
      <c r="Q694">
        <f t="shared" si="890"/>
        <v>0</v>
      </c>
      <c r="R694">
        <f t="shared" si="891"/>
        <v>0</v>
      </c>
      <c r="S694">
        <f t="shared" si="892"/>
        <v>0</v>
      </c>
      <c r="T694">
        <f t="shared" si="893"/>
        <v>0</v>
      </c>
    </row>
    <row r="695" spans="1:20" x14ac:dyDescent="0.25">
      <c r="A695" s="5"/>
      <c r="C695" s="4"/>
      <c r="D695" s="4"/>
      <c r="P695">
        <f t="shared" si="889"/>
        <v>0</v>
      </c>
      <c r="Q695">
        <f t="shared" si="890"/>
        <v>0</v>
      </c>
      <c r="R695">
        <f t="shared" si="891"/>
        <v>0</v>
      </c>
      <c r="S695">
        <f t="shared" si="892"/>
        <v>0</v>
      </c>
      <c r="T695">
        <f t="shared" si="893"/>
        <v>0</v>
      </c>
    </row>
    <row r="696" spans="1:20" x14ac:dyDescent="0.25">
      <c r="A696" s="5"/>
      <c r="C696" s="4"/>
      <c r="D696" s="4"/>
      <c r="P696">
        <f t="shared" si="889"/>
        <v>0</v>
      </c>
      <c r="Q696">
        <f t="shared" si="890"/>
        <v>0</v>
      </c>
      <c r="R696">
        <f t="shared" si="891"/>
        <v>0</v>
      </c>
      <c r="S696">
        <f t="shared" si="892"/>
        <v>0</v>
      </c>
      <c r="T696">
        <f t="shared" si="893"/>
        <v>0</v>
      </c>
    </row>
    <row r="697" spans="1:20" x14ac:dyDescent="0.25">
      <c r="A697" s="5"/>
      <c r="C697" s="4"/>
      <c r="D697" s="4"/>
      <c r="P697">
        <f t="shared" si="889"/>
        <v>0</v>
      </c>
      <c r="Q697">
        <f t="shared" si="890"/>
        <v>0</v>
      </c>
      <c r="R697">
        <f t="shared" si="891"/>
        <v>0</v>
      </c>
      <c r="S697">
        <f t="shared" si="892"/>
        <v>0</v>
      </c>
      <c r="T697">
        <f t="shared" si="893"/>
        <v>0</v>
      </c>
    </row>
    <row r="698" spans="1:20" x14ac:dyDescent="0.25">
      <c r="A698" s="5"/>
      <c r="C698" s="4"/>
      <c r="D698" s="4"/>
      <c r="P698">
        <f t="shared" si="889"/>
        <v>0</v>
      </c>
      <c r="Q698">
        <f t="shared" si="890"/>
        <v>0</v>
      </c>
      <c r="R698">
        <f t="shared" si="891"/>
        <v>0</v>
      </c>
      <c r="S698">
        <f t="shared" si="892"/>
        <v>0</v>
      </c>
      <c r="T698">
        <f t="shared" si="893"/>
        <v>0</v>
      </c>
    </row>
    <row r="699" spans="1:20" x14ac:dyDescent="0.25">
      <c r="A699" s="5"/>
      <c r="C699" s="4"/>
      <c r="D699" s="4"/>
      <c r="P699">
        <f t="shared" si="889"/>
        <v>0</v>
      </c>
      <c r="Q699">
        <f t="shared" si="890"/>
        <v>0</v>
      </c>
      <c r="R699">
        <f t="shared" si="891"/>
        <v>0</v>
      </c>
      <c r="S699">
        <f t="shared" si="892"/>
        <v>0</v>
      </c>
      <c r="T699">
        <f t="shared" si="893"/>
        <v>0</v>
      </c>
    </row>
    <row r="700" spans="1:20" x14ac:dyDescent="0.25">
      <c r="A700" s="5"/>
      <c r="C700" s="4"/>
      <c r="D700" s="4"/>
      <c r="P700">
        <f t="shared" si="889"/>
        <v>0</v>
      </c>
      <c r="Q700">
        <f t="shared" si="890"/>
        <v>0</v>
      </c>
      <c r="R700">
        <f t="shared" si="891"/>
        <v>0</v>
      </c>
      <c r="S700">
        <f t="shared" si="892"/>
        <v>0</v>
      </c>
      <c r="T700">
        <f t="shared" si="893"/>
        <v>0</v>
      </c>
    </row>
    <row r="701" spans="1:20" x14ac:dyDescent="0.25">
      <c r="A701" s="5"/>
      <c r="C701" s="4"/>
      <c r="D701" s="4"/>
      <c r="P701">
        <f t="shared" si="889"/>
        <v>0</v>
      </c>
      <c r="Q701">
        <f t="shared" si="890"/>
        <v>0</v>
      </c>
      <c r="R701">
        <f t="shared" si="891"/>
        <v>0</v>
      </c>
      <c r="S701">
        <f t="shared" si="892"/>
        <v>0</v>
      </c>
      <c r="T701">
        <f t="shared" si="893"/>
        <v>0</v>
      </c>
    </row>
    <row r="702" spans="1:20" x14ac:dyDescent="0.25">
      <c r="A702" s="5"/>
      <c r="C702" s="4"/>
      <c r="D702" s="4"/>
      <c r="P702">
        <f t="shared" si="889"/>
        <v>0</v>
      </c>
      <c r="Q702">
        <f t="shared" si="890"/>
        <v>0</v>
      </c>
      <c r="R702">
        <f t="shared" si="891"/>
        <v>0</v>
      </c>
      <c r="S702">
        <f t="shared" si="892"/>
        <v>0</v>
      </c>
      <c r="T702">
        <f t="shared" si="893"/>
        <v>0</v>
      </c>
    </row>
    <row r="703" spans="1:20" x14ac:dyDescent="0.25">
      <c r="A703" s="5"/>
      <c r="C703" s="4"/>
      <c r="D703" s="4"/>
      <c r="P703">
        <f t="shared" si="889"/>
        <v>0</v>
      </c>
      <c r="Q703">
        <f t="shared" si="890"/>
        <v>0</v>
      </c>
      <c r="R703">
        <f t="shared" si="891"/>
        <v>0</v>
      </c>
      <c r="S703">
        <f t="shared" si="892"/>
        <v>0</v>
      </c>
      <c r="T703">
        <f t="shared" si="893"/>
        <v>0</v>
      </c>
    </row>
    <row r="704" spans="1:20" x14ac:dyDescent="0.25">
      <c r="A704" s="5"/>
      <c r="C704" s="4"/>
      <c r="D704" s="4"/>
      <c r="P704">
        <f t="shared" si="889"/>
        <v>0</v>
      </c>
      <c r="Q704">
        <f t="shared" si="890"/>
        <v>0</v>
      </c>
      <c r="R704">
        <f t="shared" si="891"/>
        <v>0</v>
      </c>
      <c r="S704">
        <f t="shared" si="892"/>
        <v>0</v>
      </c>
      <c r="T704">
        <f t="shared" si="893"/>
        <v>0</v>
      </c>
    </row>
    <row r="705" spans="1:20" x14ac:dyDescent="0.25">
      <c r="A705" s="5"/>
      <c r="C705" s="4"/>
      <c r="D705" s="4"/>
      <c r="P705">
        <f t="shared" si="889"/>
        <v>0</v>
      </c>
      <c r="Q705">
        <f t="shared" si="890"/>
        <v>0</v>
      </c>
      <c r="R705">
        <f t="shared" si="891"/>
        <v>0</v>
      </c>
      <c r="S705">
        <f t="shared" si="892"/>
        <v>0</v>
      </c>
      <c r="T705">
        <f t="shared" si="893"/>
        <v>0</v>
      </c>
    </row>
    <row r="706" spans="1:20" x14ac:dyDescent="0.25">
      <c r="A706" s="5"/>
      <c r="C706" s="4"/>
      <c r="D706" s="4"/>
      <c r="P706">
        <f t="shared" si="889"/>
        <v>0</v>
      </c>
      <c r="Q706">
        <f t="shared" si="890"/>
        <v>0</v>
      </c>
      <c r="R706">
        <f t="shared" si="891"/>
        <v>0</v>
      </c>
      <c r="S706">
        <f t="shared" si="892"/>
        <v>0</v>
      </c>
      <c r="T706">
        <f t="shared" si="893"/>
        <v>0</v>
      </c>
    </row>
    <row r="707" spans="1:20" x14ac:dyDescent="0.25">
      <c r="A707" s="5"/>
      <c r="C707" s="4"/>
      <c r="D707" s="4"/>
      <c r="P707">
        <f t="shared" si="889"/>
        <v>0</v>
      </c>
      <c r="Q707">
        <f t="shared" si="890"/>
        <v>0</v>
      </c>
      <c r="R707">
        <f t="shared" si="891"/>
        <v>0</v>
      </c>
      <c r="S707">
        <f t="shared" si="892"/>
        <v>0</v>
      </c>
      <c r="T707">
        <f t="shared" si="893"/>
        <v>0</v>
      </c>
    </row>
    <row r="708" spans="1:20" x14ac:dyDescent="0.25">
      <c r="A708" s="5"/>
      <c r="C708" s="4"/>
      <c r="D708" s="4"/>
      <c r="P708">
        <f t="shared" si="889"/>
        <v>0</v>
      </c>
      <c r="Q708">
        <f t="shared" si="890"/>
        <v>0</v>
      </c>
      <c r="R708">
        <f t="shared" si="891"/>
        <v>0</v>
      </c>
      <c r="S708">
        <f t="shared" si="892"/>
        <v>0</v>
      </c>
      <c r="T708">
        <f t="shared" si="893"/>
        <v>0</v>
      </c>
    </row>
    <row r="709" spans="1:20" x14ac:dyDescent="0.25">
      <c r="A709" s="5"/>
      <c r="C709" s="4"/>
      <c r="D709" s="4"/>
      <c r="P709">
        <f t="shared" si="889"/>
        <v>0</v>
      </c>
      <c r="Q709">
        <f t="shared" si="890"/>
        <v>0</v>
      </c>
      <c r="R709">
        <f t="shared" si="891"/>
        <v>0</v>
      </c>
      <c r="S709">
        <f t="shared" si="892"/>
        <v>0</v>
      </c>
      <c r="T709">
        <f t="shared" si="893"/>
        <v>0</v>
      </c>
    </row>
    <row r="710" spans="1:20" x14ac:dyDescent="0.25">
      <c r="A710" s="5"/>
      <c r="C710" s="4"/>
      <c r="D710" s="4"/>
      <c r="P710">
        <f t="shared" si="889"/>
        <v>0</v>
      </c>
      <c r="Q710">
        <f t="shared" si="890"/>
        <v>0</v>
      </c>
      <c r="R710">
        <f t="shared" si="891"/>
        <v>0</v>
      </c>
      <c r="S710">
        <f t="shared" si="892"/>
        <v>0</v>
      </c>
      <c r="T710">
        <f t="shared" si="893"/>
        <v>0</v>
      </c>
    </row>
    <row r="711" spans="1:20" x14ac:dyDescent="0.25">
      <c r="A711" s="5"/>
      <c r="C711" s="4"/>
      <c r="D711" s="4"/>
      <c r="P711">
        <f t="shared" si="889"/>
        <v>0</v>
      </c>
      <c r="Q711">
        <f t="shared" si="890"/>
        <v>0</v>
      </c>
      <c r="R711">
        <f t="shared" si="891"/>
        <v>0</v>
      </c>
      <c r="S711">
        <f t="shared" si="892"/>
        <v>0</v>
      </c>
      <c r="T711">
        <f t="shared" si="893"/>
        <v>0</v>
      </c>
    </row>
    <row r="712" spans="1:20" x14ac:dyDescent="0.25">
      <c r="A712" s="5"/>
      <c r="C712" s="4"/>
      <c r="D712" s="4"/>
      <c r="P712">
        <f t="shared" si="889"/>
        <v>0</v>
      </c>
      <c r="Q712">
        <f t="shared" si="890"/>
        <v>0</v>
      </c>
      <c r="R712">
        <f t="shared" si="891"/>
        <v>0</v>
      </c>
      <c r="S712">
        <f t="shared" si="892"/>
        <v>0</v>
      </c>
      <c r="T712">
        <f t="shared" si="893"/>
        <v>0</v>
      </c>
    </row>
    <row r="713" spans="1:20" x14ac:dyDescent="0.25">
      <c r="A713" s="5"/>
      <c r="C713" s="4"/>
      <c r="D713" s="4"/>
      <c r="P713">
        <f t="shared" si="889"/>
        <v>0</v>
      </c>
      <c r="Q713">
        <f t="shared" si="890"/>
        <v>0</v>
      </c>
      <c r="R713">
        <f t="shared" si="891"/>
        <v>0</v>
      </c>
      <c r="S713">
        <f t="shared" si="892"/>
        <v>0</v>
      </c>
      <c r="T713">
        <f t="shared" si="893"/>
        <v>0</v>
      </c>
    </row>
    <row r="714" spans="1:20" x14ac:dyDescent="0.25">
      <c r="A714" s="5"/>
      <c r="C714" s="4"/>
      <c r="D714" s="4"/>
      <c r="P714">
        <f t="shared" si="889"/>
        <v>0</v>
      </c>
      <c r="Q714">
        <f t="shared" si="890"/>
        <v>0</v>
      </c>
      <c r="R714">
        <f t="shared" si="891"/>
        <v>0</v>
      </c>
      <c r="S714">
        <f t="shared" si="892"/>
        <v>0</v>
      </c>
      <c r="T714">
        <f t="shared" si="893"/>
        <v>0</v>
      </c>
    </row>
    <row r="715" spans="1:20" x14ac:dyDescent="0.25">
      <c r="A715" s="5"/>
      <c r="C715" s="4"/>
      <c r="D715" s="4"/>
      <c r="P715">
        <f t="shared" si="889"/>
        <v>0</v>
      </c>
      <c r="Q715">
        <f t="shared" si="890"/>
        <v>0</v>
      </c>
      <c r="R715">
        <f t="shared" si="891"/>
        <v>0</v>
      </c>
      <c r="S715">
        <f t="shared" si="892"/>
        <v>0</v>
      </c>
      <c r="T715">
        <f t="shared" si="893"/>
        <v>0</v>
      </c>
    </row>
    <row r="716" spans="1:20" x14ac:dyDescent="0.25">
      <c r="A716" s="5"/>
      <c r="C716" s="4"/>
      <c r="D716" s="4"/>
      <c r="P716">
        <f t="shared" si="889"/>
        <v>0</v>
      </c>
      <c r="Q716">
        <f t="shared" si="890"/>
        <v>0</v>
      </c>
      <c r="R716">
        <f t="shared" si="891"/>
        <v>0</v>
      </c>
      <c r="S716">
        <f t="shared" si="892"/>
        <v>0</v>
      </c>
      <c r="T716">
        <f t="shared" si="893"/>
        <v>0</v>
      </c>
    </row>
    <row r="717" spans="1:20" x14ac:dyDescent="0.25">
      <c r="A717" s="5"/>
      <c r="C717" s="4"/>
      <c r="D717" s="4"/>
      <c r="P717">
        <f t="shared" si="889"/>
        <v>0</v>
      </c>
      <c r="Q717">
        <f t="shared" si="890"/>
        <v>0</v>
      </c>
      <c r="R717">
        <f t="shared" si="891"/>
        <v>0</v>
      </c>
      <c r="S717">
        <f t="shared" si="892"/>
        <v>0</v>
      </c>
      <c r="T717">
        <f t="shared" si="893"/>
        <v>0</v>
      </c>
    </row>
    <row r="718" spans="1:20" x14ac:dyDescent="0.25">
      <c r="A718" s="5"/>
      <c r="C718" s="4"/>
      <c r="D718" s="4"/>
      <c r="P718">
        <f t="shared" si="889"/>
        <v>0</v>
      </c>
      <c r="Q718">
        <f t="shared" si="890"/>
        <v>0</v>
      </c>
      <c r="R718">
        <f t="shared" si="891"/>
        <v>0</v>
      </c>
      <c r="S718">
        <f t="shared" si="892"/>
        <v>0</v>
      </c>
      <c r="T718">
        <f t="shared" si="893"/>
        <v>0</v>
      </c>
    </row>
    <row r="719" spans="1:20" x14ac:dyDescent="0.25">
      <c r="A719" s="5"/>
      <c r="C719" s="4"/>
      <c r="D719" s="4"/>
      <c r="P719">
        <f t="shared" si="889"/>
        <v>0</v>
      </c>
      <c r="Q719">
        <f t="shared" si="890"/>
        <v>0</v>
      </c>
      <c r="R719">
        <f t="shared" si="891"/>
        <v>0</v>
      </c>
      <c r="S719">
        <f t="shared" si="892"/>
        <v>0</v>
      </c>
      <c r="T719">
        <f t="shared" si="893"/>
        <v>0</v>
      </c>
    </row>
    <row r="720" spans="1:20" x14ac:dyDescent="0.25">
      <c r="A720" s="5"/>
      <c r="C720" s="4"/>
      <c r="D720" s="4"/>
      <c r="P720">
        <f t="shared" si="889"/>
        <v>0</v>
      </c>
      <c r="Q720">
        <f t="shared" si="890"/>
        <v>0</v>
      </c>
      <c r="R720">
        <f t="shared" si="891"/>
        <v>0</v>
      </c>
      <c r="S720">
        <f t="shared" si="892"/>
        <v>0</v>
      </c>
      <c r="T720">
        <f t="shared" si="893"/>
        <v>0</v>
      </c>
    </row>
    <row r="721" spans="1:20" x14ac:dyDescent="0.25">
      <c r="A721" s="5"/>
      <c r="C721" s="4"/>
      <c r="D721" s="4"/>
      <c r="P721">
        <f t="shared" si="889"/>
        <v>0</v>
      </c>
      <c r="Q721">
        <f t="shared" si="890"/>
        <v>0</v>
      </c>
      <c r="R721">
        <f t="shared" si="891"/>
        <v>0</v>
      </c>
      <c r="S721">
        <f t="shared" si="892"/>
        <v>0</v>
      </c>
      <c r="T721">
        <f t="shared" si="893"/>
        <v>0</v>
      </c>
    </row>
    <row r="722" spans="1:20" x14ac:dyDescent="0.25">
      <c r="A722" s="5"/>
      <c r="C722" s="4"/>
      <c r="D722" s="4"/>
      <c r="P722">
        <f t="shared" si="889"/>
        <v>0</v>
      </c>
      <c r="Q722">
        <f t="shared" si="890"/>
        <v>0</v>
      </c>
      <c r="R722">
        <f t="shared" si="891"/>
        <v>0</v>
      </c>
      <c r="S722">
        <f t="shared" si="892"/>
        <v>0</v>
      </c>
      <c r="T722">
        <f t="shared" si="893"/>
        <v>0</v>
      </c>
    </row>
    <row r="723" spans="1:20" x14ac:dyDescent="0.25">
      <c r="A723" s="5"/>
      <c r="C723" s="4"/>
      <c r="D723" s="4"/>
      <c r="P723">
        <f t="shared" si="889"/>
        <v>0</v>
      </c>
      <c r="Q723">
        <f t="shared" si="890"/>
        <v>0</v>
      </c>
      <c r="R723">
        <f t="shared" si="891"/>
        <v>0</v>
      </c>
      <c r="S723">
        <f t="shared" si="892"/>
        <v>0</v>
      </c>
      <c r="T723">
        <f t="shared" si="893"/>
        <v>0</v>
      </c>
    </row>
    <row r="724" spans="1:20" x14ac:dyDescent="0.25">
      <c r="A724" s="5"/>
      <c r="C724" s="4"/>
      <c r="D724" s="4"/>
      <c r="P724">
        <f t="shared" si="889"/>
        <v>0</v>
      </c>
      <c r="Q724">
        <f t="shared" si="890"/>
        <v>0</v>
      </c>
      <c r="R724">
        <f t="shared" si="891"/>
        <v>0</v>
      </c>
      <c r="S724">
        <f t="shared" si="892"/>
        <v>0</v>
      </c>
      <c r="T724">
        <f t="shared" si="893"/>
        <v>0</v>
      </c>
    </row>
    <row r="725" spans="1:20" x14ac:dyDescent="0.25">
      <c r="A725" s="5"/>
      <c r="C725" s="4"/>
      <c r="D725" s="4"/>
      <c r="P725">
        <f t="shared" si="889"/>
        <v>0</v>
      </c>
      <c r="Q725">
        <f t="shared" si="890"/>
        <v>0</v>
      </c>
      <c r="R725">
        <f t="shared" si="891"/>
        <v>0</v>
      </c>
      <c r="S725">
        <f t="shared" si="892"/>
        <v>0</v>
      </c>
      <c r="T725">
        <f t="shared" si="893"/>
        <v>0</v>
      </c>
    </row>
    <row r="726" spans="1:20" x14ac:dyDescent="0.25">
      <c r="A726" s="5"/>
      <c r="C726" s="4"/>
      <c r="D726" s="4"/>
      <c r="P726">
        <f t="shared" si="889"/>
        <v>0</v>
      </c>
      <c r="Q726">
        <f t="shared" si="890"/>
        <v>0</v>
      </c>
      <c r="R726">
        <f t="shared" si="891"/>
        <v>0</v>
      </c>
      <c r="S726">
        <f t="shared" si="892"/>
        <v>0</v>
      </c>
      <c r="T726">
        <f t="shared" si="893"/>
        <v>0</v>
      </c>
    </row>
    <row r="727" spans="1:20" x14ac:dyDescent="0.25">
      <c r="A727" s="5"/>
      <c r="C727" s="4"/>
      <c r="D727" s="4"/>
      <c r="P727">
        <f t="shared" si="889"/>
        <v>0</v>
      </c>
      <c r="Q727">
        <f t="shared" si="890"/>
        <v>0</v>
      </c>
      <c r="R727">
        <f t="shared" si="891"/>
        <v>0</v>
      </c>
      <c r="S727">
        <f t="shared" si="892"/>
        <v>0</v>
      </c>
      <c r="T727">
        <f t="shared" si="893"/>
        <v>0</v>
      </c>
    </row>
    <row r="728" spans="1:20" x14ac:dyDescent="0.25">
      <c r="A728" s="5"/>
      <c r="C728" s="4"/>
      <c r="D728" s="4"/>
      <c r="P728">
        <f t="shared" si="889"/>
        <v>0</v>
      </c>
      <c r="Q728">
        <f t="shared" si="890"/>
        <v>0</v>
      </c>
      <c r="R728">
        <f t="shared" si="891"/>
        <v>0</v>
      </c>
      <c r="S728">
        <f t="shared" si="892"/>
        <v>0</v>
      </c>
      <c r="T728">
        <f t="shared" si="893"/>
        <v>0</v>
      </c>
    </row>
    <row r="729" spans="1:20" x14ac:dyDescent="0.25">
      <c r="A729" s="5"/>
      <c r="C729" s="4"/>
      <c r="D729" s="4"/>
      <c r="P729">
        <f t="shared" si="889"/>
        <v>0</v>
      </c>
      <c r="Q729">
        <f t="shared" si="890"/>
        <v>0</v>
      </c>
      <c r="R729">
        <f t="shared" si="891"/>
        <v>0</v>
      </c>
      <c r="S729">
        <f t="shared" si="892"/>
        <v>0</v>
      </c>
      <c r="T729">
        <f t="shared" si="893"/>
        <v>0</v>
      </c>
    </row>
    <row r="730" spans="1:20" x14ac:dyDescent="0.25">
      <c r="A730" s="5"/>
      <c r="C730" s="4"/>
      <c r="D730" s="4"/>
      <c r="P730">
        <f t="shared" si="889"/>
        <v>0</v>
      </c>
      <c r="Q730">
        <f t="shared" si="890"/>
        <v>0</v>
      </c>
      <c r="R730">
        <f t="shared" si="891"/>
        <v>0</v>
      </c>
      <c r="S730">
        <f t="shared" si="892"/>
        <v>0</v>
      </c>
      <c r="T730">
        <f t="shared" si="893"/>
        <v>0</v>
      </c>
    </row>
    <row r="731" spans="1:20" x14ac:dyDescent="0.25">
      <c r="A731" s="5"/>
      <c r="C731" s="4"/>
      <c r="D731" s="4"/>
      <c r="P731">
        <f t="shared" si="889"/>
        <v>0</v>
      </c>
      <c r="Q731">
        <f t="shared" si="890"/>
        <v>0</v>
      </c>
      <c r="R731">
        <f t="shared" si="891"/>
        <v>0</v>
      </c>
      <c r="S731">
        <f t="shared" si="892"/>
        <v>0</v>
      </c>
      <c r="T731">
        <f t="shared" si="893"/>
        <v>0</v>
      </c>
    </row>
    <row r="732" spans="1:20" x14ac:dyDescent="0.25">
      <c r="A732" s="5"/>
      <c r="C732" s="4"/>
      <c r="D732" s="4"/>
      <c r="P732">
        <f t="shared" si="889"/>
        <v>0</v>
      </c>
      <c r="Q732">
        <f t="shared" si="890"/>
        <v>0</v>
      </c>
      <c r="R732">
        <f t="shared" si="891"/>
        <v>0</v>
      </c>
      <c r="S732">
        <f t="shared" si="892"/>
        <v>0</v>
      </c>
      <c r="T732">
        <f t="shared" si="893"/>
        <v>0</v>
      </c>
    </row>
    <row r="733" spans="1:20" x14ac:dyDescent="0.25">
      <c r="A733" s="5"/>
      <c r="C733" s="4"/>
      <c r="D733" s="4"/>
      <c r="P733">
        <f t="shared" si="889"/>
        <v>0</v>
      </c>
      <c r="Q733">
        <f t="shared" si="890"/>
        <v>0</v>
      </c>
      <c r="R733">
        <f t="shared" si="891"/>
        <v>0</v>
      </c>
      <c r="S733">
        <f t="shared" si="892"/>
        <v>0</v>
      </c>
      <c r="T733">
        <f t="shared" si="893"/>
        <v>0</v>
      </c>
    </row>
    <row r="734" spans="1:20" x14ac:dyDescent="0.25">
      <c r="A734" s="5"/>
      <c r="C734" s="4"/>
      <c r="D734" s="4"/>
      <c r="P734">
        <f t="shared" si="889"/>
        <v>0</v>
      </c>
      <c r="Q734">
        <f t="shared" si="890"/>
        <v>0</v>
      </c>
      <c r="R734">
        <f t="shared" si="891"/>
        <v>0</v>
      </c>
      <c r="S734">
        <f t="shared" si="892"/>
        <v>0</v>
      </c>
      <c r="T734">
        <f t="shared" si="893"/>
        <v>0</v>
      </c>
    </row>
    <row r="735" spans="1:20" x14ac:dyDescent="0.25">
      <c r="A735" s="5"/>
      <c r="C735" s="4"/>
      <c r="D735" s="4"/>
      <c r="P735">
        <f t="shared" si="889"/>
        <v>0</v>
      </c>
      <c r="Q735">
        <f t="shared" si="890"/>
        <v>0</v>
      </c>
      <c r="R735">
        <f t="shared" si="891"/>
        <v>0</v>
      </c>
      <c r="S735">
        <f t="shared" si="892"/>
        <v>0</v>
      </c>
      <c r="T735">
        <f t="shared" si="893"/>
        <v>0</v>
      </c>
    </row>
    <row r="736" spans="1:20" x14ac:dyDescent="0.25">
      <c r="A736" s="5"/>
      <c r="C736" s="4"/>
      <c r="D736" s="4"/>
      <c r="P736">
        <f t="shared" si="889"/>
        <v>0</v>
      </c>
      <c r="Q736">
        <f t="shared" si="890"/>
        <v>0</v>
      </c>
      <c r="R736">
        <f t="shared" si="891"/>
        <v>0</v>
      </c>
      <c r="S736">
        <f t="shared" si="892"/>
        <v>0</v>
      </c>
      <c r="T736">
        <f t="shared" si="893"/>
        <v>0</v>
      </c>
    </row>
    <row r="737" spans="1:20" x14ac:dyDescent="0.25">
      <c r="A737" s="5"/>
      <c r="C737" s="4"/>
      <c r="D737" s="4"/>
      <c r="P737">
        <f t="shared" si="889"/>
        <v>0</v>
      </c>
      <c r="Q737">
        <f t="shared" si="890"/>
        <v>0</v>
      </c>
      <c r="R737">
        <f t="shared" si="891"/>
        <v>0</v>
      </c>
      <c r="S737">
        <f t="shared" si="892"/>
        <v>0</v>
      </c>
      <c r="T737">
        <f t="shared" si="893"/>
        <v>0</v>
      </c>
    </row>
    <row r="738" spans="1:20" x14ac:dyDescent="0.25">
      <c r="A738" s="5"/>
      <c r="C738" s="4"/>
      <c r="D738" s="4"/>
      <c r="P738">
        <f t="shared" si="889"/>
        <v>0</v>
      </c>
      <c r="Q738">
        <f t="shared" si="890"/>
        <v>0</v>
      </c>
      <c r="R738">
        <f t="shared" si="891"/>
        <v>0</v>
      </c>
      <c r="S738">
        <f t="shared" si="892"/>
        <v>0</v>
      </c>
      <c r="T738">
        <f t="shared" si="893"/>
        <v>0</v>
      </c>
    </row>
    <row r="739" spans="1:20" x14ac:dyDescent="0.25">
      <c r="A739" s="5"/>
      <c r="C739" s="4"/>
      <c r="D739" s="4"/>
      <c r="P739">
        <f t="shared" si="889"/>
        <v>0</v>
      </c>
      <c r="Q739">
        <f t="shared" si="890"/>
        <v>0</v>
      </c>
      <c r="R739">
        <f t="shared" si="891"/>
        <v>0</v>
      </c>
      <c r="S739">
        <f t="shared" si="892"/>
        <v>0</v>
      </c>
      <c r="T739">
        <f t="shared" si="893"/>
        <v>0</v>
      </c>
    </row>
    <row r="740" spans="1:20" x14ac:dyDescent="0.25">
      <c r="A740" s="5"/>
      <c r="C740" s="4"/>
      <c r="D740" s="4"/>
      <c r="P740">
        <f t="shared" si="889"/>
        <v>0</v>
      </c>
      <c r="Q740">
        <f t="shared" si="890"/>
        <v>0</v>
      </c>
      <c r="R740">
        <f t="shared" si="891"/>
        <v>0</v>
      </c>
      <c r="S740">
        <f t="shared" si="892"/>
        <v>0</v>
      </c>
      <c r="T740">
        <f t="shared" si="893"/>
        <v>0</v>
      </c>
    </row>
    <row r="741" spans="1:20" x14ac:dyDescent="0.25">
      <c r="A741" s="5"/>
      <c r="C741" s="4"/>
      <c r="D741" s="4"/>
      <c r="P741">
        <f t="shared" si="889"/>
        <v>0</v>
      </c>
      <c r="Q741">
        <f t="shared" si="890"/>
        <v>0</v>
      </c>
      <c r="R741">
        <f t="shared" si="891"/>
        <v>0</v>
      </c>
      <c r="S741">
        <f t="shared" si="892"/>
        <v>0</v>
      </c>
      <c r="T741">
        <f t="shared" si="893"/>
        <v>0</v>
      </c>
    </row>
    <row r="742" spans="1:20" x14ac:dyDescent="0.25">
      <c r="A742" s="5"/>
      <c r="C742" s="4"/>
      <c r="D742" s="4"/>
      <c r="P742">
        <f t="shared" si="889"/>
        <v>0</v>
      </c>
      <c r="Q742">
        <f t="shared" si="890"/>
        <v>0</v>
      </c>
      <c r="R742">
        <f t="shared" si="891"/>
        <v>0</v>
      </c>
      <c r="S742">
        <f t="shared" si="892"/>
        <v>0</v>
      </c>
      <c r="T742">
        <f t="shared" si="893"/>
        <v>0</v>
      </c>
    </row>
    <row r="743" spans="1:20" x14ac:dyDescent="0.25">
      <c r="A743" s="5"/>
      <c r="C743" s="4"/>
      <c r="D743" s="4"/>
      <c r="P743">
        <f t="shared" si="889"/>
        <v>0</v>
      </c>
      <c r="Q743">
        <f t="shared" si="890"/>
        <v>0</v>
      </c>
      <c r="R743">
        <f t="shared" si="891"/>
        <v>0</v>
      </c>
      <c r="S743">
        <f t="shared" si="892"/>
        <v>0</v>
      </c>
      <c r="T743">
        <f t="shared" si="893"/>
        <v>0</v>
      </c>
    </row>
    <row r="744" spans="1:20" x14ac:dyDescent="0.25">
      <c r="A744" s="5"/>
      <c r="C744" s="4"/>
      <c r="D744" s="4"/>
      <c r="P744">
        <f t="shared" si="889"/>
        <v>0</v>
      </c>
      <c r="Q744">
        <f t="shared" si="890"/>
        <v>0</v>
      </c>
      <c r="R744">
        <f t="shared" si="891"/>
        <v>0</v>
      </c>
      <c r="S744">
        <f t="shared" si="892"/>
        <v>0</v>
      </c>
      <c r="T744">
        <f t="shared" si="893"/>
        <v>0</v>
      </c>
    </row>
    <row r="745" spans="1:20" x14ac:dyDescent="0.25">
      <c r="A745" s="5"/>
      <c r="C745" s="4"/>
      <c r="D745" s="4"/>
    </row>
    <row r="746" spans="1:20" x14ac:dyDescent="0.25">
      <c r="A746" s="5"/>
      <c r="C746" s="4"/>
      <c r="D746" s="4"/>
    </row>
    <row r="747" spans="1:20" x14ac:dyDescent="0.25">
      <c r="A747" s="5"/>
      <c r="C747" s="4"/>
      <c r="D747" s="4"/>
    </row>
    <row r="748" spans="1:20" x14ac:dyDescent="0.25">
      <c r="A748" s="5"/>
      <c r="C748" s="4"/>
      <c r="D748" s="4"/>
    </row>
    <row r="749" spans="1:20" x14ac:dyDescent="0.25">
      <c r="A749" s="5"/>
      <c r="C749" s="4"/>
      <c r="D749" s="4"/>
    </row>
    <row r="750" spans="1:20" x14ac:dyDescent="0.25">
      <c r="A750" s="5"/>
      <c r="C750" s="4"/>
      <c r="D750" s="4"/>
    </row>
    <row r="751" spans="1:20" x14ac:dyDescent="0.25">
      <c r="A751" s="5"/>
      <c r="C751" s="4"/>
      <c r="D751" s="4"/>
    </row>
    <row r="752" spans="1:20" x14ac:dyDescent="0.25">
      <c r="A752" s="5"/>
      <c r="C752" s="4"/>
      <c r="D752" s="4"/>
    </row>
    <row r="753" spans="1:4" x14ac:dyDescent="0.25">
      <c r="A753" s="5"/>
      <c r="C753" s="4"/>
      <c r="D753" s="4"/>
    </row>
    <row r="754" spans="1:4" x14ac:dyDescent="0.25">
      <c r="A754" s="5"/>
      <c r="C754" s="4"/>
      <c r="D754" s="4"/>
    </row>
    <row r="755" spans="1:4" x14ac:dyDescent="0.25">
      <c r="A755" s="5"/>
      <c r="C755" s="4"/>
      <c r="D755" s="4"/>
    </row>
    <row r="756" spans="1:4" x14ac:dyDescent="0.25">
      <c r="A756" s="5"/>
      <c r="C756" s="4"/>
      <c r="D756" s="4"/>
    </row>
    <row r="757" spans="1:4" x14ac:dyDescent="0.25">
      <c r="A757" s="5"/>
      <c r="C757" s="4"/>
      <c r="D757" s="4"/>
    </row>
    <row r="758" spans="1:4" x14ac:dyDescent="0.25">
      <c r="A758" s="5"/>
      <c r="C758" s="4"/>
      <c r="D758" s="4"/>
    </row>
    <row r="759" spans="1:4" x14ac:dyDescent="0.25">
      <c r="A759" s="5"/>
      <c r="C759" s="4"/>
      <c r="D759" s="4"/>
    </row>
    <row r="760" spans="1:4" x14ac:dyDescent="0.25">
      <c r="A760" s="5"/>
      <c r="C760" s="4"/>
      <c r="D760" s="4"/>
    </row>
    <row r="761" spans="1:4" x14ac:dyDescent="0.25">
      <c r="A761" s="5"/>
      <c r="C761" s="4"/>
      <c r="D761" s="4"/>
    </row>
    <row r="762" spans="1:4" x14ac:dyDescent="0.25">
      <c r="A762" s="5"/>
      <c r="C762" s="4"/>
      <c r="D762" s="4"/>
    </row>
    <row r="763" spans="1:4" x14ac:dyDescent="0.25">
      <c r="A763" s="5"/>
      <c r="C763" s="4"/>
      <c r="D763" s="4"/>
    </row>
    <row r="764" spans="1:4" x14ac:dyDescent="0.25">
      <c r="A764" s="5"/>
      <c r="C764" s="4"/>
      <c r="D764" s="4"/>
    </row>
    <row r="765" spans="1:4" x14ac:dyDescent="0.25">
      <c r="A765" s="5"/>
      <c r="C765" s="4"/>
      <c r="D765" s="4"/>
    </row>
    <row r="766" spans="1:4" x14ac:dyDescent="0.25">
      <c r="A766" s="5"/>
      <c r="C766" s="4"/>
      <c r="D766" s="4"/>
    </row>
    <row r="767" spans="1:4" x14ac:dyDescent="0.25">
      <c r="A767" s="5"/>
      <c r="C767" s="4"/>
      <c r="D767" s="4"/>
    </row>
    <row r="768" spans="1:4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</row>
    <row r="932" spans="1:4" x14ac:dyDescent="0.25">
      <c r="A932" s="5"/>
    </row>
    <row r="933" spans="1:4" x14ac:dyDescent="0.25">
      <c r="A933" s="5"/>
    </row>
    <row r="934" spans="1:4" x14ac:dyDescent="0.25">
      <c r="A934" s="5"/>
    </row>
    <row r="935" spans="1:4" x14ac:dyDescent="0.25">
      <c r="A935" s="5"/>
    </row>
    <row r="936" spans="1:4" x14ac:dyDescent="0.25">
      <c r="A936" s="5"/>
    </row>
    <row r="937" spans="1:4" x14ac:dyDescent="0.25">
      <c r="A937" s="5"/>
    </row>
    <row r="938" spans="1:4" x14ac:dyDescent="0.25">
      <c r="A938" s="5"/>
    </row>
    <row r="939" spans="1:4" x14ac:dyDescent="0.25">
      <c r="A939" s="5"/>
    </row>
    <row r="940" spans="1:4" x14ac:dyDescent="0.25">
      <c r="A940" s="5"/>
    </row>
    <row r="941" spans="1:4" x14ac:dyDescent="0.25">
      <c r="A941" s="5"/>
    </row>
    <row r="942" spans="1:4" x14ac:dyDescent="0.25">
      <c r="A942" s="5"/>
    </row>
    <row r="943" spans="1:4" x14ac:dyDescent="0.25">
      <c r="A943" s="5"/>
      <c r="C943"/>
      <c r="D943"/>
    </row>
    <row r="944" spans="1:4" x14ac:dyDescent="0.25">
      <c r="A944" s="5"/>
      <c r="C944"/>
      <c r="D944"/>
    </row>
    <row r="945" spans="1:4" x14ac:dyDescent="0.25">
      <c r="A945" s="5"/>
      <c r="C945"/>
      <c r="D945"/>
    </row>
    <row r="946" spans="1:4" x14ac:dyDescent="0.25">
      <c r="A946" s="5"/>
      <c r="C946"/>
      <c r="D946"/>
    </row>
    <row r="947" spans="1:4" x14ac:dyDescent="0.25">
      <c r="A947" s="5"/>
      <c r="C947"/>
      <c r="D947"/>
    </row>
    <row r="948" spans="1:4" x14ac:dyDescent="0.25">
      <c r="A948" s="5"/>
      <c r="C948"/>
      <c r="D948"/>
    </row>
    <row r="949" spans="1:4" x14ac:dyDescent="0.25">
      <c r="A949" s="5"/>
      <c r="C949"/>
      <c r="D949"/>
    </row>
    <row r="950" spans="1:4" x14ac:dyDescent="0.25">
      <c r="A950" s="5"/>
      <c r="C950"/>
      <c r="D950"/>
    </row>
    <row r="951" spans="1:4" x14ac:dyDescent="0.25">
      <c r="A951" s="5"/>
      <c r="C951"/>
      <c r="D951"/>
    </row>
    <row r="952" spans="1:4" x14ac:dyDescent="0.25">
      <c r="A952" s="5"/>
      <c r="C952"/>
      <c r="D952"/>
    </row>
    <row r="953" spans="1:4" x14ac:dyDescent="0.25">
      <c r="A953" s="5"/>
      <c r="C953"/>
      <c r="D953"/>
    </row>
    <row r="954" spans="1:4" x14ac:dyDescent="0.25">
      <c r="A954" s="5"/>
      <c r="C954"/>
      <c r="D954"/>
    </row>
    <row r="955" spans="1:4" x14ac:dyDescent="0.25">
      <c r="A955" s="5"/>
      <c r="C955"/>
      <c r="D955"/>
    </row>
    <row r="956" spans="1:4" x14ac:dyDescent="0.25">
      <c r="A956" s="5"/>
      <c r="C956"/>
      <c r="D956"/>
    </row>
    <row r="957" spans="1:4" x14ac:dyDescent="0.25">
      <c r="A957" s="5"/>
      <c r="C957"/>
      <c r="D957"/>
    </row>
    <row r="958" spans="1:4" x14ac:dyDescent="0.25">
      <c r="A958" s="5"/>
      <c r="C958"/>
      <c r="D958"/>
    </row>
    <row r="959" spans="1:4" x14ac:dyDescent="0.25">
      <c r="A959" s="5"/>
      <c r="C959"/>
      <c r="D959"/>
    </row>
    <row r="960" spans="1:4" x14ac:dyDescent="0.25">
      <c r="A960" s="5"/>
      <c r="C960"/>
      <c r="D960"/>
    </row>
    <row r="961" spans="1:4" x14ac:dyDescent="0.25">
      <c r="A961" s="5"/>
      <c r="C961"/>
      <c r="D961"/>
    </row>
    <row r="962" spans="1:4" x14ac:dyDescent="0.25">
      <c r="A962" s="5"/>
      <c r="C962"/>
      <c r="D962"/>
    </row>
    <row r="963" spans="1:4" x14ac:dyDescent="0.25">
      <c r="A963" s="5"/>
      <c r="C963"/>
      <c r="D963"/>
    </row>
    <row r="964" spans="1:4" x14ac:dyDescent="0.25">
      <c r="A964" s="5"/>
      <c r="C964"/>
      <c r="D964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</row>
    <row r="1695" spans="1:4" x14ac:dyDescent="0.25">
      <c r="A1695" s="5"/>
    </row>
    <row r="1696" spans="1:4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</sheetData>
  <conditionalFormatting sqref="D1:D4 D180:D1048576 C178:D179 D175:D177">
    <cfRule type="cellIs" dxfId="264" priority="171" operator="lessThan">
      <formula>$A$2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X546" sqref="CX54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$A$545</v>
      </c>
      <c r="D111" s="1" t="str">
        <f>ADDRESS(C121-1,D121,1,1)</f>
        <v>$CX$545</v>
      </c>
      <c r="E111"/>
    </row>
    <row r="112" spans="1:5" x14ac:dyDescent="0.25">
      <c r="A112" s="7">
        <v>12164.144957890772</v>
      </c>
      <c r="C112" s="1" t="str">
        <f>ADDRESS(C121,1,1,1)</f>
        <v>$A$546</v>
      </c>
      <c r="D112" s="1" t="str">
        <f>ADDRESS(C121,D121-1,1,1)</f>
        <v>$CW$546</v>
      </c>
      <c r="E112"/>
    </row>
    <row r="113" spans="1:5" x14ac:dyDescent="0.25">
      <c r="A113" s="7">
        <v>11925.63231165762</v>
      </c>
      <c r="C113" s="1" t="str">
        <f>ADDRESS(C121+1,1,1,1)</f>
        <v>$A$547</v>
      </c>
      <c r="D113" s="1" t="str">
        <f>ADDRESS(C121-1,D121+1,1,1)</f>
        <v>$CY$545</v>
      </c>
    </row>
    <row r="114" spans="1:5" x14ac:dyDescent="0.25">
      <c r="A114" s="7">
        <v>11691.796383978059</v>
      </c>
      <c r="C114" s="1" t="str">
        <f>ADDRESS(C121,D121,1,1)</f>
        <v>$CX$546</v>
      </c>
      <c r="D114" s="1" t="str">
        <f>ADDRESS(C121+1,D121+1,1,1)</f>
        <v>$CY$547</v>
      </c>
    </row>
    <row r="115" spans="1:5" x14ac:dyDescent="0.25">
      <c r="A115" s="7">
        <v>11462.545474488292</v>
      </c>
      <c r="C115" s="1" t="str">
        <f>ADDRESS(C121+1,D121,1,1)</f>
        <v>$CX$547</v>
      </c>
    </row>
    <row r="116" spans="1:5" x14ac:dyDescent="0.25">
      <c r="A116" s="7">
        <v>11237.789680870874</v>
      </c>
      <c r="C116" s="1">
        <f>C117-1</f>
        <v>545</v>
      </c>
    </row>
    <row r="117" spans="1:5" x14ac:dyDescent="0.25">
      <c r="A117" s="7">
        <v>11017.440863598895</v>
      </c>
      <c r="C117" s="1">
        <f>C121</f>
        <v>546</v>
      </c>
      <c r="D117" s="1">
        <f>D121</f>
        <v>102</v>
      </c>
    </row>
    <row r="118" spans="1:5" x14ac:dyDescent="0.25">
      <c r="A118" s="7">
        <v>10801.412611371465</v>
      </c>
      <c r="C118" s="1">
        <f>C117+1</f>
        <v>547</v>
      </c>
      <c r="D118" s="1">
        <f>D117+1</f>
        <v>103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546</v>
      </c>
      <c r="D121" s="19">
        <v>102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R546</v>
      </c>
      <c r="D123" s="1" t="str">
        <f>"C"&amp;D121</f>
        <v>C102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2.252200456887151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6" x14ac:dyDescent="0.25">
      <c r="A481" s="7">
        <v>8.1586481992426112</v>
      </c>
      <c r="B481"/>
      <c r="C481"/>
      <c r="D481"/>
      <c r="E481"/>
    </row>
    <row r="482" spans="1:56" x14ac:dyDescent="0.25">
      <c r="A482" s="7">
        <v>7.9986747051398144</v>
      </c>
      <c r="B482"/>
      <c r="C482"/>
      <c r="D482"/>
      <c r="E482"/>
    </row>
    <row r="483" spans="1:56" x14ac:dyDescent="0.25">
      <c r="A483" s="7">
        <v>7.8418379462155041</v>
      </c>
      <c r="B483"/>
      <c r="C483"/>
      <c r="D483"/>
      <c r="E483"/>
    </row>
    <row r="484" spans="1:56" x14ac:dyDescent="0.25">
      <c r="A484" s="7">
        <v>7.688076417858337</v>
      </c>
      <c r="B484"/>
      <c r="C484"/>
      <c r="D484"/>
      <c r="E484"/>
    </row>
    <row r="485" spans="1:56" x14ac:dyDescent="0.25">
      <c r="A485" s="7">
        <v>7.5373298214297417</v>
      </c>
      <c r="B485"/>
      <c r="C485"/>
      <c r="D485"/>
      <c r="E485"/>
    </row>
    <row r="486" spans="1:56" x14ac:dyDescent="0.25">
      <c r="A486" s="7">
        <v>7.389539040617394</v>
      </c>
      <c r="B486"/>
      <c r="C486"/>
      <c r="D486"/>
      <c r="E486"/>
    </row>
    <row r="487" spans="1:56" x14ac:dyDescent="0.25">
      <c r="A487" s="7">
        <v>7.2446461182523469</v>
      </c>
      <c r="B487"/>
      <c r="C487"/>
      <c r="D487"/>
      <c r="E487"/>
    </row>
    <row r="488" spans="1:56" x14ac:dyDescent="0.25">
      <c r="A488" s="7">
        <v>7.1025942335807324</v>
      </c>
      <c r="B488"/>
      <c r="C488"/>
      <c r="D488"/>
      <c r="E488"/>
    </row>
    <row r="489" spans="1:56" x14ac:dyDescent="0.25">
      <c r="A489" s="7">
        <v>6.9633276799811101</v>
      </c>
      <c r="B489"/>
      <c r="C489"/>
      <c r="D489"/>
      <c r="E489"/>
    </row>
    <row r="490" spans="1:56" x14ac:dyDescent="0.25">
      <c r="A490" s="7">
        <v>6.8267918431187349</v>
      </c>
      <c r="B490"/>
      <c r="C490"/>
      <c r="D490"/>
      <c r="E490"/>
    </row>
    <row r="491" spans="1:56" x14ac:dyDescent="0.25">
      <c r="A491" s="7">
        <v>6.692933179528171</v>
      </c>
      <c r="B491"/>
      <c r="C491"/>
      <c r="D491"/>
      <c r="E491"/>
    </row>
    <row r="492" spans="1:56" x14ac:dyDescent="0.25">
      <c r="A492" s="7">
        <v>6.5616991956158541</v>
      </c>
      <c r="B492"/>
      <c r="C492"/>
      <c r="D492"/>
      <c r="E492"/>
      <c r="BC492" s="27" t="s">
        <v>8</v>
      </c>
    </row>
    <row r="493" spans="1:56" x14ac:dyDescent="0.25">
      <c r="A493" s="7">
        <v>6.4330384270743668</v>
      </c>
      <c r="B493"/>
      <c r="C493"/>
      <c r="D493"/>
      <c r="E493"/>
      <c r="AA493" s="27" t="s">
        <v>8</v>
      </c>
      <c r="BC493" s="27" t="s">
        <v>8</v>
      </c>
      <c r="BD493" s="27" t="s">
        <v>7</v>
      </c>
    </row>
    <row r="494" spans="1:56" x14ac:dyDescent="0.25">
      <c r="A494" s="7">
        <v>6.3069004187003594</v>
      </c>
      <c r="B494"/>
      <c r="C494"/>
      <c r="D494"/>
      <c r="E494"/>
      <c r="AA494" s="27" t="s">
        <v>8</v>
      </c>
      <c r="AB494" s="27" t="s">
        <v>7</v>
      </c>
      <c r="BC494" s="27" t="s">
        <v>8</v>
      </c>
      <c r="BD494" s="27" t="s">
        <v>7</v>
      </c>
    </row>
    <row r="495" spans="1:56" x14ac:dyDescent="0.25">
      <c r="A495" s="7">
        <v>6.1832357046081956</v>
      </c>
      <c r="B495"/>
      <c r="C495"/>
      <c r="D495"/>
      <c r="E495"/>
      <c r="Y495" s="27" t="s">
        <v>8</v>
      </c>
      <c r="AA495" s="27" t="s">
        <v>8</v>
      </c>
      <c r="AB495" s="27" t="s">
        <v>7</v>
      </c>
      <c r="BC495" s="27" t="s">
        <v>8</v>
      </c>
      <c r="BD495" s="27" t="s">
        <v>7</v>
      </c>
    </row>
    <row r="496" spans="1:56" x14ac:dyDescent="0.25">
      <c r="A496" s="7">
        <v>6.0619957888315641</v>
      </c>
      <c r="B496"/>
      <c r="C496"/>
      <c r="D496"/>
      <c r="E496"/>
      <c r="Y496" s="27" t="s">
        <v>8</v>
      </c>
      <c r="Z496" s="27" t="s">
        <v>7</v>
      </c>
      <c r="AA496" s="27" t="s">
        <v>8</v>
      </c>
      <c r="AB496" s="27" t="s">
        <v>7</v>
      </c>
      <c r="BC496" s="27" t="s">
        <v>8</v>
      </c>
      <c r="BD496" s="27" t="s">
        <v>7</v>
      </c>
    </row>
    <row r="497" spans="1:72" x14ac:dyDescent="0.25">
      <c r="A497" s="7">
        <v>5.9431331263054545</v>
      </c>
      <c r="B497"/>
      <c r="C497"/>
      <c r="D497"/>
      <c r="E497"/>
      <c r="Y497" s="27" t="s">
        <v>8</v>
      </c>
      <c r="Z497" s="27" t="s">
        <v>7</v>
      </c>
      <c r="AA497" s="27" t="s">
        <v>8</v>
      </c>
      <c r="AB497" s="27" t="s">
        <v>7</v>
      </c>
      <c r="BC497" s="27" t="s">
        <v>8</v>
      </c>
      <c r="BD497" s="27" t="s">
        <v>7</v>
      </c>
      <c r="BE497" s="27" t="s">
        <v>8</v>
      </c>
    </row>
    <row r="498" spans="1:72" x14ac:dyDescent="0.25">
      <c r="A498" s="7">
        <v>5.8266011042210337</v>
      </c>
      <c r="B498"/>
      <c r="C498"/>
      <c r="D498"/>
      <c r="E498"/>
      <c r="Y498" s="27" t="s">
        <v>8</v>
      </c>
      <c r="Z498" s="27" t="s">
        <v>7</v>
      </c>
      <c r="AA498" s="27" t="s">
        <v>8</v>
      </c>
      <c r="AB498" s="27" t="s">
        <v>7</v>
      </c>
      <c r="BC498" s="27" t="s">
        <v>8</v>
      </c>
      <c r="BD498" s="27" t="s">
        <v>7</v>
      </c>
      <c r="BE498" s="27" t="s">
        <v>8</v>
      </c>
      <c r="BF498" s="27" t="s">
        <v>7</v>
      </c>
    </row>
    <row r="499" spans="1:72" x14ac:dyDescent="0.25">
      <c r="A499" s="7">
        <v>5.7123540237461112</v>
      </c>
      <c r="B499"/>
      <c r="C499"/>
      <c r="D499"/>
      <c r="E499"/>
      <c r="Y499" s="27" t="s">
        <v>8</v>
      </c>
      <c r="Z499" s="27" t="s">
        <v>7</v>
      </c>
      <c r="AA499" s="27" t="s">
        <v>8</v>
      </c>
      <c r="AB499" s="27" t="s">
        <v>7</v>
      </c>
      <c r="BC499" s="27" t="s">
        <v>8</v>
      </c>
      <c r="BD499" s="27" t="s">
        <v>7</v>
      </c>
      <c r="BE499" s="27" t="s">
        <v>8</v>
      </c>
      <c r="BF499" s="27" t="s">
        <v>7</v>
      </c>
    </row>
    <row r="500" spans="1:72" x14ac:dyDescent="0.25">
      <c r="A500" s="7">
        <v>5.6003470821040304</v>
      </c>
      <c r="B500"/>
      <c r="C500"/>
      <c r="D500"/>
      <c r="E500"/>
      <c r="Y500" s="27" t="s">
        <v>8</v>
      </c>
      <c r="Z500" s="27" t="s">
        <v>7</v>
      </c>
      <c r="AA500" s="27" t="s">
        <v>8</v>
      </c>
      <c r="AB500" s="27" t="s">
        <v>7</v>
      </c>
      <c r="AC500" s="27" t="s">
        <v>8</v>
      </c>
      <c r="BC500" s="27" t="s">
        <v>8</v>
      </c>
      <c r="BD500" s="27" t="s">
        <v>7</v>
      </c>
      <c r="BE500" s="27" t="s">
        <v>8</v>
      </c>
      <c r="BF500" s="27" t="s">
        <v>7</v>
      </c>
      <c r="BG500" s="27" t="s">
        <v>8</v>
      </c>
    </row>
    <row r="501" spans="1:72" x14ac:dyDescent="0.25">
      <c r="A501" s="7">
        <v>5.4905363550039512</v>
      </c>
      <c r="B501"/>
      <c r="C501"/>
      <c r="D501"/>
      <c r="E501"/>
      <c r="Y501" s="27" t="s">
        <v>8</v>
      </c>
      <c r="Z501" s="27" t="s">
        <v>7</v>
      </c>
      <c r="AA501" s="27" t="s">
        <v>8</v>
      </c>
      <c r="AB501" s="27" t="s">
        <v>7</v>
      </c>
      <c r="AC501" s="27" t="s">
        <v>8</v>
      </c>
      <c r="AD501" s="27" t="s">
        <v>7</v>
      </c>
      <c r="BC501" s="27" t="s">
        <v>8</v>
      </c>
      <c r="BD501" s="27" t="s">
        <v>7</v>
      </c>
      <c r="BE501" s="27" t="s">
        <v>8</v>
      </c>
      <c r="BF501" s="27" t="s">
        <v>7</v>
      </c>
      <c r="BG501" s="27" t="s">
        <v>8</v>
      </c>
      <c r="BH501" s="27" t="s">
        <v>7</v>
      </c>
      <c r="BO501" s="27" t="s">
        <v>8</v>
      </c>
    </row>
    <row r="502" spans="1:72" x14ac:dyDescent="0.25">
      <c r="A502" s="7">
        <v>5.3828787794156385</v>
      </c>
      <c r="B502"/>
      <c r="C502"/>
      <c r="D502"/>
      <c r="E502"/>
      <c r="Y502" s="27" t="s">
        <v>8</v>
      </c>
      <c r="Z502" s="27" t="s">
        <v>7</v>
      </c>
      <c r="AA502" s="27" t="s">
        <v>8</v>
      </c>
      <c r="AB502" s="27" t="s">
        <v>7</v>
      </c>
      <c r="AC502" s="27" t="s">
        <v>8</v>
      </c>
      <c r="AD502" s="27" t="s">
        <v>7</v>
      </c>
      <c r="BC502" s="27" t="s">
        <v>8</v>
      </c>
      <c r="BD502" s="27" t="s">
        <v>7</v>
      </c>
      <c r="BF502" s="27" t="s">
        <v>7</v>
      </c>
      <c r="BG502" s="27" t="s">
        <v>8</v>
      </c>
      <c r="BH502" s="27" t="s">
        <v>7</v>
      </c>
      <c r="BO502" s="27" t="s">
        <v>8</v>
      </c>
      <c r="BP502" s="27" t="s">
        <v>7</v>
      </c>
    </row>
    <row r="503" spans="1:72" x14ac:dyDescent="0.25">
      <c r="A503" s="7">
        <v>5.2773321366819985</v>
      </c>
      <c r="B503"/>
      <c r="C503"/>
      <c r="D503"/>
      <c r="E503"/>
      <c r="Y503" s="27" t="s">
        <v>8</v>
      </c>
      <c r="Z503" s="27" t="s">
        <v>7</v>
      </c>
      <c r="AA503" s="27" t="s">
        <v>8</v>
      </c>
      <c r="AB503" s="27" t="s">
        <v>7</v>
      </c>
      <c r="AC503" s="27" t="s">
        <v>8</v>
      </c>
      <c r="AD503" s="27" t="s">
        <v>7</v>
      </c>
      <c r="AU503" s="27" t="s">
        <v>8</v>
      </c>
      <c r="BC503" s="27" t="s">
        <v>8</v>
      </c>
      <c r="BF503" s="27" t="s">
        <v>7</v>
      </c>
      <c r="BG503" s="27" t="s">
        <v>8</v>
      </c>
      <c r="BH503" s="27" t="s">
        <v>7</v>
      </c>
      <c r="BO503" s="27" t="s">
        <v>8</v>
      </c>
      <c r="BP503" s="27" t="s">
        <v>7</v>
      </c>
    </row>
    <row r="504" spans="1:72" x14ac:dyDescent="0.25">
      <c r="A504" s="7">
        <v>5.1738550359627435</v>
      </c>
      <c r="B504"/>
      <c r="C504"/>
      <c r="D504"/>
      <c r="E504"/>
      <c r="Y504" s="27" t="s">
        <v>8</v>
      </c>
      <c r="Z504" s="27" t="s">
        <v>7</v>
      </c>
      <c r="AA504" s="27" t="s">
        <v>8</v>
      </c>
      <c r="AB504" s="27" t="s">
        <v>7</v>
      </c>
      <c r="AC504" s="27" t="s">
        <v>8</v>
      </c>
      <c r="AD504" s="27" t="s">
        <v>7</v>
      </c>
      <c r="AU504" s="27" t="s">
        <v>8</v>
      </c>
      <c r="AV504" s="27" t="s">
        <v>7</v>
      </c>
      <c r="BC504" s="27" t="s">
        <v>8</v>
      </c>
      <c r="BF504" s="27" t="s">
        <v>7</v>
      </c>
      <c r="BG504" s="27" t="s">
        <v>8</v>
      </c>
      <c r="BH504" s="27" t="s">
        <v>7</v>
      </c>
      <c r="BO504" s="27" t="s">
        <v>8</v>
      </c>
      <c r="BP504" s="27" t="s">
        <v>7</v>
      </c>
      <c r="BQ504" s="27" t="s">
        <v>8</v>
      </c>
    </row>
    <row r="505" spans="1:72" x14ac:dyDescent="0.25">
      <c r="A505" s="7">
        <v>5.07240689800269</v>
      </c>
      <c r="B505"/>
      <c r="C505"/>
      <c r="D505"/>
      <c r="E505"/>
      <c r="Y505" s="27" t="s">
        <v>8</v>
      </c>
      <c r="Z505" s="27" t="s">
        <v>7</v>
      </c>
      <c r="AA505" s="27" t="s">
        <v>8</v>
      </c>
      <c r="AB505" s="27" t="s">
        <v>7</v>
      </c>
      <c r="AD505" s="27" t="s">
        <v>7</v>
      </c>
      <c r="AU505" s="27" t="s">
        <v>8</v>
      </c>
      <c r="AV505" s="27" t="s">
        <v>7</v>
      </c>
      <c r="BC505" s="27" t="s">
        <v>8</v>
      </c>
      <c r="BF505" s="27" t="s">
        <v>7</v>
      </c>
      <c r="BH505" s="27" t="s">
        <v>7</v>
      </c>
      <c r="BO505" s="27" t="s">
        <v>8</v>
      </c>
      <c r="BP505" s="27" t="s">
        <v>7</v>
      </c>
      <c r="BQ505" s="27" t="s">
        <v>8</v>
      </c>
      <c r="BR505" s="27" t="s">
        <v>7</v>
      </c>
    </row>
    <row r="506" spans="1:72" x14ac:dyDescent="0.25">
      <c r="A506" s="7">
        <v>4.9729479392183231</v>
      </c>
      <c r="B506"/>
      <c r="C506"/>
      <c r="D506"/>
      <c r="E506"/>
      <c r="Y506" s="27" t="s">
        <v>8</v>
      </c>
      <c r="Z506" s="27" t="s">
        <v>7</v>
      </c>
      <c r="AA506" s="27" t="s">
        <v>8</v>
      </c>
      <c r="AD506" s="27" t="s">
        <v>7</v>
      </c>
      <c r="AU506" s="27" t="s">
        <v>8</v>
      </c>
      <c r="AV506" s="27" t="s">
        <v>7</v>
      </c>
      <c r="AW506" s="27" t="s">
        <v>8</v>
      </c>
      <c r="BC506" s="27" t="s">
        <v>8</v>
      </c>
      <c r="BH506" s="27" t="s">
        <v>7</v>
      </c>
      <c r="BO506" s="27" t="s">
        <v>8</v>
      </c>
      <c r="BP506" s="27" t="s">
        <v>7</v>
      </c>
      <c r="BQ506" s="27" t="s">
        <v>8</v>
      </c>
      <c r="BR506" s="27" t="s">
        <v>7</v>
      </c>
    </row>
    <row r="507" spans="1:72" x14ac:dyDescent="0.25">
      <c r="A507" s="7">
        <v>4.8754391560963954</v>
      </c>
      <c r="B507"/>
      <c r="C507"/>
      <c r="D507"/>
      <c r="E507"/>
      <c r="Y507" s="27" t="s">
        <v>8</v>
      </c>
      <c r="Z507" s="27" t="s">
        <v>7</v>
      </c>
      <c r="AA507" s="27" t="s">
        <v>8</v>
      </c>
      <c r="AD507" s="27" t="s">
        <v>7</v>
      </c>
      <c r="AE507" s="27" t="s">
        <v>8</v>
      </c>
      <c r="AM507" s="27" t="s">
        <v>8</v>
      </c>
      <c r="AU507" s="27" t="s">
        <v>8</v>
      </c>
      <c r="AV507" s="27" t="s">
        <v>7</v>
      </c>
      <c r="AW507" s="27" t="s">
        <v>8</v>
      </c>
      <c r="AX507" s="27" t="s">
        <v>7</v>
      </c>
      <c r="BC507" s="27" t="s">
        <v>8</v>
      </c>
      <c r="BH507" s="27" t="s">
        <v>7</v>
      </c>
      <c r="BI507" s="27" t="s">
        <v>8</v>
      </c>
      <c r="BO507" s="27" t="s">
        <v>8</v>
      </c>
      <c r="BP507" s="27" t="s">
        <v>7</v>
      </c>
      <c r="BQ507" s="27" t="s">
        <v>8</v>
      </c>
      <c r="BR507" s="27" t="s">
        <v>7</v>
      </c>
      <c r="BS507" s="27" t="s">
        <v>8</v>
      </c>
    </row>
    <row r="508" spans="1:72" x14ac:dyDescent="0.25">
      <c r="A508" s="7">
        <v>4.7798423098984264</v>
      </c>
      <c r="B508"/>
      <c r="C508"/>
      <c r="D508"/>
      <c r="E508"/>
      <c r="Y508" s="27" t="s">
        <v>8</v>
      </c>
      <c r="Z508" s="27" t="s">
        <v>7</v>
      </c>
      <c r="AA508" s="27" t="s">
        <v>8</v>
      </c>
      <c r="AD508" s="27" t="s">
        <v>7</v>
      </c>
      <c r="AE508" s="27" t="s">
        <v>8</v>
      </c>
      <c r="AF508" s="27" t="s">
        <v>7</v>
      </c>
      <c r="AM508" s="27" t="s">
        <v>8</v>
      </c>
      <c r="AN508" s="27" t="s">
        <v>7</v>
      </c>
      <c r="AO508" s="27" t="s">
        <v>8</v>
      </c>
      <c r="AU508" s="27" t="s">
        <v>8</v>
      </c>
      <c r="AV508" s="27" t="s">
        <v>7</v>
      </c>
      <c r="AW508" s="27" t="s">
        <v>8</v>
      </c>
      <c r="AX508" s="27" t="s">
        <v>7</v>
      </c>
      <c r="BC508" s="27" t="s">
        <v>8</v>
      </c>
      <c r="BH508" s="27" t="s">
        <v>7</v>
      </c>
      <c r="BI508" s="27" t="s">
        <v>8</v>
      </c>
      <c r="BJ508" s="27" t="s">
        <v>7</v>
      </c>
      <c r="BK508" s="27" t="s">
        <v>8</v>
      </c>
      <c r="BO508" s="27" t="s">
        <v>8</v>
      </c>
      <c r="BP508" s="27" t="s">
        <v>7</v>
      </c>
      <c r="BQ508" s="27" t="s">
        <v>8</v>
      </c>
      <c r="BR508" s="27" t="s">
        <v>7</v>
      </c>
      <c r="BS508" s="27" t="s">
        <v>8</v>
      </c>
      <c r="BT508" s="27" t="s">
        <v>7</v>
      </c>
    </row>
    <row r="509" spans="1:72" x14ac:dyDescent="0.25">
      <c r="A509" s="7">
        <v>4.6861199116651235</v>
      </c>
      <c r="B509"/>
      <c r="C509"/>
      <c r="D509"/>
      <c r="E509"/>
      <c r="Y509" s="27" t="s">
        <v>8</v>
      </c>
      <c r="Z509" s="27" t="s">
        <v>7</v>
      </c>
      <c r="AA509" s="27" t="s">
        <v>8</v>
      </c>
      <c r="AD509" s="27" t="s">
        <v>7</v>
      </c>
      <c r="AE509" s="27" t="s">
        <v>8</v>
      </c>
      <c r="AF509" s="27" t="s">
        <v>7</v>
      </c>
      <c r="AG509" s="27" t="s">
        <v>8</v>
      </c>
      <c r="AM509" s="27" t="s">
        <v>8</v>
      </c>
      <c r="AN509" s="27" t="s">
        <v>7</v>
      </c>
      <c r="AO509" s="27" t="s">
        <v>8</v>
      </c>
      <c r="AP509" s="27" t="s">
        <v>7</v>
      </c>
      <c r="AU509" s="27" t="s">
        <v>8</v>
      </c>
      <c r="AV509" s="27" t="s">
        <v>7</v>
      </c>
      <c r="AW509" s="27" t="s">
        <v>8</v>
      </c>
      <c r="AX509" s="27" t="s">
        <v>7</v>
      </c>
      <c r="AY509" s="27" t="s">
        <v>8</v>
      </c>
      <c r="BC509" s="27" t="s">
        <v>8</v>
      </c>
      <c r="BH509" s="27" t="s">
        <v>7</v>
      </c>
      <c r="BI509" s="27" t="s">
        <v>8</v>
      </c>
      <c r="BJ509" s="27" t="s">
        <v>7</v>
      </c>
      <c r="BK509" s="27" t="s">
        <v>8</v>
      </c>
      <c r="BL509" s="27" t="s">
        <v>7</v>
      </c>
      <c r="BM509" s="27" t="s">
        <v>8</v>
      </c>
      <c r="BO509" s="27" t="s">
        <v>8</v>
      </c>
      <c r="BP509" s="27" t="s">
        <v>7</v>
      </c>
      <c r="BQ509" s="27" t="s">
        <v>8</v>
      </c>
      <c r="BR509" s="27" t="s">
        <v>7</v>
      </c>
      <c r="BS509" s="27" t="s">
        <v>8</v>
      </c>
      <c r="BT509" s="27" t="s">
        <v>7</v>
      </c>
    </row>
    <row r="510" spans="1:72" x14ac:dyDescent="0.25">
      <c r="A510" s="7">
        <v>4.5942352075148269</v>
      </c>
      <c r="B510"/>
      <c r="C510"/>
      <c r="D510"/>
      <c r="E510"/>
      <c r="S510" s="27" t="s">
        <v>8</v>
      </c>
      <c r="W510" s="27" t="s">
        <v>8</v>
      </c>
      <c r="Y510" s="27" t="s">
        <v>8</v>
      </c>
      <c r="Z510" s="27" t="s">
        <v>7</v>
      </c>
      <c r="AA510" s="27" t="s">
        <v>8</v>
      </c>
      <c r="AD510" s="27" t="s">
        <v>7</v>
      </c>
      <c r="AE510" s="27" t="s">
        <v>8</v>
      </c>
      <c r="AF510" s="27" t="s">
        <v>7</v>
      </c>
      <c r="AG510" s="27" t="s">
        <v>8</v>
      </c>
      <c r="AH510" s="27" t="s">
        <v>7</v>
      </c>
      <c r="AK510" s="27" t="s">
        <v>8</v>
      </c>
      <c r="AM510" s="27" t="s">
        <v>8</v>
      </c>
      <c r="AN510" s="27" t="s">
        <v>7</v>
      </c>
      <c r="AO510" s="27" t="s">
        <v>8</v>
      </c>
      <c r="AP510" s="27" t="s">
        <v>7</v>
      </c>
      <c r="AU510" s="27" t="s">
        <v>8</v>
      </c>
      <c r="AV510" s="27" t="s">
        <v>7</v>
      </c>
      <c r="AW510" s="27" t="s">
        <v>8</v>
      </c>
      <c r="AX510" s="27" t="s">
        <v>7</v>
      </c>
      <c r="AY510" s="27" t="s">
        <v>8</v>
      </c>
      <c r="AZ510" s="27" t="s">
        <v>7</v>
      </c>
      <c r="BC510" s="27" t="s">
        <v>8</v>
      </c>
      <c r="BH510" s="27" t="s">
        <v>7</v>
      </c>
      <c r="BI510" s="27" t="s">
        <v>8</v>
      </c>
      <c r="BJ510" s="27" t="s">
        <v>7</v>
      </c>
      <c r="BK510" s="27" t="s">
        <v>8</v>
      </c>
      <c r="BL510" s="27" t="s">
        <v>7</v>
      </c>
      <c r="BM510" s="27" t="s">
        <v>8</v>
      </c>
      <c r="BN510" s="27" t="s">
        <v>7</v>
      </c>
      <c r="BO510" s="27" t="s">
        <v>8</v>
      </c>
      <c r="BP510" s="27" t="s">
        <v>7</v>
      </c>
      <c r="BQ510" s="27" t="s">
        <v>8</v>
      </c>
      <c r="BR510" s="27" t="s">
        <v>7</v>
      </c>
      <c r="BS510" s="27" t="s">
        <v>8</v>
      </c>
      <c r="BT510" s="27" t="s">
        <v>7</v>
      </c>
    </row>
    <row r="511" spans="1:72" x14ac:dyDescent="0.25">
      <c r="A511" s="7">
        <v>4.5041521642302227</v>
      </c>
      <c r="B511"/>
      <c r="C511"/>
      <c r="D511"/>
      <c r="E511"/>
      <c r="S511" s="27" t="s">
        <v>8</v>
      </c>
      <c r="T511" s="27" t="s">
        <v>7</v>
      </c>
      <c r="W511" s="27" t="s">
        <v>8</v>
      </c>
      <c r="X511" s="27" t="s">
        <v>7</v>
      </c>
      <c r="Y511" s="27" t="s">
        <v>8</v>
      </c>
      <c r="Z511" s="27" t="s">
        <v>7</v>
      </c>
      <c r="AD511" s="27" t="s">
        <v>7</v>
      </c>
      <c r="AE511" s="27" t="s">
        <v>8</v>
      </c>
      <c r="AF511" s="27" t="s">
        <v>7</v>
      </c>
      <c r="AG511" s="27" t="s">
        <v>8</v>
      </c>
      <c r="AH511" s="27" t="s">
        <v>7</v>
      </c>
      <c r="AK511" s="27" t="s">
        <v>8</v>
      </c>
      <c r="AL511" s="27" t="s">
        <v>7</v>
      </c>
      <c r="AM511" s="27" t="s">
        <v>8</v>
      </c>
      <c r="AN511" s="27" t="s">
        <v>7</v>
      </c>
      <c r="AO511" s="27" t="s">
        <v>8</v>
      </c>
      <c r="AP511" s="27" t="s">
        <v>7</v>
      </c>
      <c r="AQ511" s="27" t="s">
        <v>8</v>
      </c>
      <c r="AU511" s="27" t="s">
        <v>8</v>
      </c>
      <c r="AV511" s="27" t="s">
        <v>7</v>
      </c>
      <c r="AW511" s="27" t="s">
        <v>8</v>
      </c>
      <c r="AX511" s="27" t="s">
        <v>7</v>
      </c>
      <c r="AY511" s="27" t="s">
        <v>8</v>
      </c>
      <c r="AZ511" s="27" t="s">
        <v>7</v>
      </c>
      <c r="BA511" s="27" t="s">
        <v>8</v>
      </c>
      <c r="BC511" s="27" t="s">
        <v>8</v>
      </c>
      <c r="BH511" s="27" t="s">
        <v>7</v>
      </c>
      <c r="BI511" s="27" t="s">
        <v>8</v>
      </c>
      <c r="BJ511" s="27" t="s">
        <v>7</v>
      </c>
      <c r="BK511" s="27" t="s">
        <v>8</v>
      </c>
      <c r="BL511" s="27" t="s">
        <v>7</v>
      </c>
      <c r="BM511" s="27" t="s">
        <v>8</v>
      </c>
      <c r="BN511" s="27" t="s">
        <v>7</v>
      </c>
      <c r="BO511" s="27" t="s">
        <v>8</v>
      </c>
      <c r="BP511" s="27" t="s">
        <v>7</v>
      </c>
      <c r="BQ511" s="27" t="s">
        <v>8</v>
      </c>
      <c r="BR511" s="27" t="s">
        <v>7</v>
      </c>
      <c r="BS511" s="27" t="s">
        <v>8</v>
      </c>
      <c r="BT511" s="27" t="s">
        <v>7</v>
      </c>
    </row>
    <row r="512" spans="1:72" x14ac:dyDescent="0.25">
      <c r="A512" s="7">
        <v>4.4158354551276693</v>
      </c>
      <c r="B512"/>
      <c r="C512"/>
      <c r="D512"/>
      <c r="E512"/>
      <c r="S512" s="27" t="s">
        <v>8</v>
      </c>
      <c r="T512" s="27" t="s">
        <v>7</v>
      </c>
      <c r="W512" s="27" t="s">
        <v>8</v>
      </c>
      <c r="X512" s="27" t="s">
        <v>7</v>
      </c>
      <c r="Y512" s="27" t="s">
        <v>8</v>
      </c>
      <c r="AD512" s="27" t="s">
        <v>7</v>
      </c>
      <c r="AE512" s="27" t="s">
        <v>8</v>
      </c>
      <c r="AF512" s="27" t="s">
        <v>7</v>
      </c>
      <c r="AG512" s="27" t="s">
        <v>8</v>
      </c>
      <c r="AH512" s="27" t="s">
        <v>7</v>
      </c>
      <c r="AK512" s="27" t="s">
        <v>8</v>
      </c>
      <c r="AL512" s="27" t="s">
        <v>7</v>
      </c>
      <c r="AM512" s="27" t="s">
        <v>8</v>
      </c>
      <c r="AN512" s="27" t="s">
        <v>7</v>
      </c>
      <c r="AO512" s="27" t="s">
        <v>8</v>
      </c>
      <c r="AP512" s="27" t="s">
        <v>7</v>
      </c>
      <c r="AQ512" s="27" t="s">
        <v>8</v>
      </c>
      <c r="AR512" s="27" t="s">
        <v>7</v>
      </c>
      <c r="AS512" s="27" t="s">
        <v>8</v>
      </c>
      <c r="AU512" s="27" t="s">
        <v>8</v>
      </c>
      <c r="AV512" s="27" t="s">
        <v>7</v>
      </c>
      <c r="AW512" s="27" t="s">
        <v>8</v>
      </c>
      <c r="AX512" s="27" t="s">
        <v>7</v>
      </c>
      <c r="AY512" s="27" t="s">
        <v>8</v>
      </c>
      <c r="AZ512" s="27" t="s">
        <v>7</v>
      </c>
      <c r="BA512" s="27" t="s">
        <v>8</v>
      </c>
      <c r="BB512" s="27" t="s">
        <v>7</v>
      </c>
      <c r="BC512" s="27" t="s">
        <v>8</v>
      </c>
      <c r="BH512" s="27" t="s">
        <v>7</v>
      </c>
      <c r="BI512" s="27" t="s">
        <v>8</v>
      </c>
      <c r="BJ512" s="27" t="s">
        <v>7</v>
      </c>
      <c r="BL512" s="27" t="s">
        <v>7</v>
      </c>
      <c r="BM512" s="27" t="s">
        <v>8</v>
      </c>
      <c r="BN512" s="27" t="s">
        <v>7</v>
      </c>
      <c r="BP512" s="27" t="s">
        <v>7</v>
      </c>
      <c r="BR512" s="27" t="s">
        <v>7</v>
      </c>
      <c r="BT512" s="27" t="s">
        <v>7</v>
      </c>
    </row>
    <row r="513" spans="1:98" x14ac:dyDescent="0.25">
      <c r="A513" s="7">
        <v>4.3292504462035977</v>
      </c>
      <c r="B513"/>
      <c r="C513"/>
      <c r="D513"/>
      <c r="E513"/>
      <c r="S513" s="27" t="s">
        <v>8</v>
      </c>
      <c r="T513" s="27" t="s">
        <v>7</v>
      </c>
      <c r="W513" s="27" t="s">
        <v>8</v>
      </c>
      <c r="X513" s="27" t="s">
        <v>7</v>
      </c>
      <c r="Y513" s="27" t="s">
        <v>8</v>
      </c>
      <c r="AD513" s="27" t="s">
        <v>7</v>
      </c>
      <c r="AE513" s="27" t="s">
        <v>8</v>
      </c>
      <c r="AF513" s="27" t="s">
        <v>7</v>
      </c>
      <c r="AG513" s="27" t="s">
        <v>8</v>
      </c>
      <c r="AH513" s="27" t="s">
        <v>7</v>
      </c>
      <c r="AK513" s="27" t="s">
        <v>8</v>
      </c>
      <c r="AL513" s="27" t="s">
        <v>7</v>
      </c>
      <c r="AM513" s="27" t="s">
        <v>8</v>
      </c>
      <c r="AN513" s="27" t="s">
        <v>7</v>
      </c>
      <c r="AP513" s="27" t="s">
        <v>7</v>
      </c>
      <c r="AQ513" s="27" t="s">
        <v>8</v>
      </c>
      <c r="AR513" s="27" t="s">
        <v>7</v>
      </c>
      <c r="AS513" s="27" t="s">
        <v>8</v>
      </c>
      <c r="AT513" s="27" t="s">
        <v>7</v>
      </c>
      <c r="AU513" s="27" t="s">
        <v>8</v>
      </c>
      <c r="AV513" s="27" t="s">
        <v>7</v>
      </c>
      <c r="AX513" s="27" t="s">
        <v>7</v>
      </c>
      <c r="AZ513" s="27" t="s">
        <v>7</v>
      </c>
      <c r="BA513" s="27" t="s">
        <v>8</v>
      </c>
      <c r="BB513" s="27" t="s">
        <v>7</v>
      </c>
      <c r="BC513" s="27" t="s">
        <v>8</v>
      </c>
      <c r="BH513" s="27" t="s">
        <v>7</v>
      </c>
      <c r="BI513" s="27" t="s">
        <v>8</v>
      </c>
      <c r="BL513" s="27" t="s">
        <v>7</v>
      </c>
      <c r="BT513" s="27" t="s">
        <v>7</v>
      </c>
    </row>
    <row r="514" spans="1:98" x14ac:dyDescent="0.25">
      <c r="A514" s="7">
        <v>4.2443631825525463</v>
      </c>
      <c r="B514"/>
      <c r="C514"/>
      <c r="D514"/>
      <c r="E514"/>
      <c r="S514" s="27" t="s">
        <v>8</v>
      </c>
      <c r="T514" s="27" t="s">
        <v>7</v>
      </c>
      <c r="W514" s="27" t="s">
        <v>8</v>
      </c>
      <c r="X514" s="27" t="s">
        <v>7</v>
      </c>
      <c r="Y514" s="27" t="s">
        <v>8</v>
      </c>
      <c r="AD514" s="27" t="s">
        <v>7</v>
      </c>
      <c r="AE514" s="27" t="s">
        <v>8</v>
      </c>
      <c r="AF514" s="27" t="s">
        <v>7</v>
      </c>
      <c r="AG514" s="27" t="s">
        <v>8</v>
      </c>
      <c r="AH514" s="27" t="s">
        <v>7</v>
      </c>
      <c r="AI514" s="27" t="s">
        <v>8</v>
      </c>
      <c r="AK514" s="27" t="s">
        <v>8</v>
      </c>
      <c r="AL514" s="27" t="s">
        <v>7</v>
      </c>
      <c r="AP514" s="27" t="s">
        <v>7</v>
      </c>
      <c r="AQ514" s="27" t="s">
        <v>8</v>
      </c>
      <c r="AR514" s="27" t="s">
        <v>7</v>
      </c>
      <c r="AS514" s="27" t="s">
        <v>8</v>
      </c>
      <c r="AT514" s="27" t="s">
        <v>7</v>
      </c>
      <c r="AU514" s="27" t="s">
        <v>8</v>
      </c>
      <c r="AZ514" s="27" t="s">
        <v>7</v>
      </c>
      <c r="BA514" s="27" t="s">
        <v>8</v>
      </c>
      <c r="BB514" s="27" t="s">
        <v>7</v>
      </c>
      <c r="BH514" s="27" t="s">
        <v>7</v>
      </c>
      <c r="BI514" s="27" t="s">
        <v>8</v>
      </c>
      <c r="BT514" s="27" t="s">
        <v>7</v>
      </c>
      <c r="CK514" s="27" t="s">
        <v>8</v>
      </c>
    </row>
    <row r="515" spans="1:98" x14ac:dyDescent="0.25">
      <c r="A515" s="7">
        <v>4.1611403750515157</v>
      </c>
      <c r="B515"/>
      <c r="C515"/>
      <c r="D515"/>
      <c r="E515"/>
      <c r="S515" s="27" t="s">
        <v>8</v>
      </c>
      <c r="T515" s="27" t="s">
        <v>7</v>
      </c>
      <c r="W515" s="27" t="s">
        <v>8</v>
      </c>
      <c r="X515" s="27" t="s">
        <v>7</v>
      </c>
      <c r="Y515" s="27" t="s">
        <v>8</v>
      </c>
      <c r="AD515" s="27" t="s">
        <v>7</v>
      </c>
      <c r="AF515" s="27" t="s">
        <v>7</v>
      </c>
      <c r="AG515" s="27" t="s">
        <v>8</v>
      </c>
      <c r="AH515" s="27" t="s">
        <v>7</v>
      </c>
      <c r="AI515" s="27" t="s">
        <v>8</v>
      </c>
      <c r="AJ515" s="27" t="s">
        <v>7</v>
      </c>
      <c r="AK515" s="27" t="s">
        <v>8</v>
      </c>
      <c r="AP515" s="27" t="s">
        <v>7</v>
      </c>
      <c r="AQ515" s="27" t="s">
        <v>8</v>
      </c>
      <c r="AR515" s="27" t="s">
        <v>7</v>
      </c>
      <c r="AS515" s="27" t="s">
        <v>8</v>
      </c>
      <c r="AT515" s="27" t="s">
        <v>7</v>
      </c>
      <c r="AZ515" s="27" t="s">
        <v>7</v>
      </c>
      <c r="BA515" s="27" t="s">
        <v>8</v>
      </c>
      <c r="BH515" s="27" t="s">
        <v>7</v>
      </c>
      <c r="BT515" s="27" t="s">
        <v>7</v>
      </c>
      <c r="CE515" s="27" t="s">
        <v>8</v>
      </c>
      <c r="CK515" s="27" t="s">
        <v>8</v>
      </c>
      <c r="CL515" s="27" t="s">
        <v>7</v>
      </c>
    </row>
    <row r="516" spans="1:98" x14ac:dyDescent="0.25">
      <c r="A516" s="7">
        <v>4.0795493873054074</v>
      </c>
      <c r="B516"/>
      <c r="C516"/>
      <c r="D516"/>
      <c r="E516"/>
      <c r="S516" s="27" t="s">
        <v>8</v>
      </c>
      <c r="T516" s="27" t="s">
        <v>7</v>
      </c>
      <c r="U516" s="27" t="s">
        <v>8</v>
      </c>
      <c r="W516" s="27" t="s">
        <v>8</v>
      </c>
      <c r="X516" s="27" t="s">
        <v>7</v>
      </c>
      <c r="Y516" s="27" t="s">
        <v>8</v>
      </c>
      <c r="AF516" s="27" t="s">
        <v>7</v>
      </c>
      <c r="AH516" s="27" t="s">
        <v>7</v>
      </c>
      <c r="AI516" s="27" t="s">
        <v>8</v>
      </c>
      <c r="AJ516" s="27" t="s">
        <v>7</v>
      </c>
      <c r="AK516" s="27" t="s">
        <v>8</v>
      </c>
      <c r="AP516" s="27" t="s">
        <v>7</v>
      </c>
      <c r="AQ516" s="27" t="s">
        <v>8</v>
      </c>
      <c r="AR516" s="27" t="s">
        <v>7</v>
      </c>
      <c r="AS516" s="27" t="s">
        <v>8</v>
      </c>
      <c r="AZ516" s="27" t="s">
        <v>7</v>
      </c>
      <c r="BT516" s="27" t="s">
        <v>7</v>
      </c>
      <c r="BU516" s="27" t="s">
        <v>8</v>
      </c>
      <c r="CE516" s="27" t="s">
        <v>8</v>
      </c>
      <c r="CF516" s="27" t="s">
        <v>7</v>
      </c>
      <c r="CK516" s="27" t="s">
        <v>8</v>
      </c>
      <c r="CL516" s="27" t="s">
        <v>7</v>
      </c>
    </row>
    <row r="517" spans="1:98" x14ac:dyDescent="0.25">
      <c r="A517" s="7">
        <v>3.9995582228484383</v>
      </c>
      <c r="B517"/>
      <c r="C517"/>
      <c r="D517"/>
      <c r="E517"/>
      <c r="S517" s="27" t="s">
        <v>8</v>
      </c>
      <c r="T517" s="27" t="s">
        <v>7</v>
      </c>
      <c r="U517" s="27" t="s">
        <v>8</v>
      </c>
      <c r="V517" s="27" t="s">
        <v>7</v>
      </c>
      <c r="W517" s="27" t="s">
        <v>8</v>
      </c>
      <c r="X517" s="27" t="s">
        <v>7</v>
      </c>
      <c r="Y517" s="27" t="s">
        <v>8</v>
      </c>
      <c r="AH517" s="27" t="s">
        <v>7</v>
      </c>
      <c r="AI517" s="27" t="s">
        <v>8</v>
      </c>
      <c r="AJ517" s="27" t="s">
        <v>7</v>
      </c>
      <c r="AP517" s="27" t="s">
        <v>7</v>
      </c>
      <c r="AR517" s="27" t="s">
        <v>7</v>
      </c>
      <c r="BT517" s="27" t="s">
        <v>7</v>
      </c>
      <c r="BU517" s="27" t="s">
        <v>8</v>
      </c>
      <c r="BV517" s="27" t="s">
        <v>7</v>
      </c>
      <c r="CE517" s="27" t="s">
        <v>8</v>
      </c>
      <c r="CF517" s="27" t="s">
        <v>7</v>
      </c>
      <c r="CK517" s="27" t="s">
        <v>8</v>
      </c>
      <c r="CL517" s="27" t="s">
        <v>7</v>
      </c>
    </row>
    <row r="518" spans="1:98" x14ac:dyDescent="0.25">
      <c r="A518" s="7">
        <v>3.9211355125965079</v>
      </c>
      <c r="B518"/>
      <c r="C518"/>
      <c r="D518"/>
      <c r="E518"/>
      <c r="Q518" s="27" t="s">
        <v>8</v>
      </c>
      <c r="S518" s="27" t="s">
        <v>8</v>
      </c>
      <c r="T518" s="27" t="s">
        <v>7</v>
      </c>
      <c r="U518" s="27" t="s">
        <v>8</v>
      </c>
      <c r="V518" s="27" t="s">
        <v>7</v>
      </c>
      <c r="W518" s="27" t="s">
        <v>8</v>
      </c>
      <c r="X518" s="27" t="s">
        <v>7</v>
      </c>
      <c r="Y518" s="27" t="s">
        <v>8</v>
      </c>
      <c r="AH518" s="27" t="s">
        <v>7</v>
      </c>
      <c r="BT518" s="27" t="s">
        <v>7</v>
      </c>
      <c r="BU518" s="27" t="s">
        <v>8</v>
      </c>
      <c r="BV518" s="27" t="s">
        <v>7</v>
      </c>
      <c r="CE518" s="27" t="s">
        <v>8</v>
      </c>
      <c r="CF518" s="27" t="s">
        <v>7</v>
      </c>
      <c r="CK518" s="27" t="s">
        <v>8</v>
      </c>
      <c r="CL518" s="27" t="s">
        <v>7</v>
      </c>
    </row>
    <row r="519" spans="1:98" x14ac:dyDescent="0.25">
      <c r="A519" s="7">
        <v>3.844250502545596</v>
      </c>
      <c r="B519"/>
      <c r="C519"/>
      <c r="D519"/>
      <c r="E519"/>
      <c r="Q519" s="27" t="s">
        <v>8</v>
      </c>
      <c r="R519" s="27" t="s">
        <v>7</v>
      </c>
      <c r="S519" s="27" t="s">
        <v>8</v>
      </c>
      <c r="T519" s="27" t="s">
        <v>7</v>
      </c>
      <c r="V519" s="27" t="s">
        <v>7</v>
      </c>
      <c r="W519" s="27" t="s">
        <v>8</v>
      </c>
      <c r="X519" s="27" t="s">
        <v>7</v>
      </c>
      <c r="Y519" s="27" t="s">
        <v>8</v>
      </c>
      <c r="BT519" s="27" t="s">
        <v>7</v>
      </c>
      <c r="BU519" s="27" t="s">
        <v>8</v>
      </c>
      <c r="BV519" s="27" t="s">
        <v>7</v>
      </c>
      <c r="CE519" s="27" t="s">
        <v>8</v>
      </c>
      <c r="CF519" s="27" t="s">
        <v>7</v>
      </c>
      <c r="CG519" s="27" t="s">
        <v>8</v>
      </c>
      <c r="CI519" s="27" t="s">
        <v>8</v>
      </c>
      <c r="CK519" s="27" t="s">
        <v>8</v>
      </c>
      <c r="CL519" s="27" t="s">
        <v>7</v>
      </c>
    </row>
    <row r="520" spans="1:98" x14ac:dyDescent="0.25">
      <c r="A520" s="7">
        <v>3.7688730417113687</v>
      </c>
      <c r="B520"/>
      <c r="C520"/>
      <c r="D520"/>
      <c r="E520"/>
      <c r="Q520" s="27" t="s">
        <v>8</v>
      </c>
      <c r="R520" s="27" t="s">
        <v>7</v>
      </c>
      <c r="S520" s="27" t="s">
        <v>8</v>
      </c>
      <c r="V520" s="27" t="s">
        <v>7</v>
      </c>
      <c r="X520" s="27" t="s">
        <v>7</v>
      </c>
      <c r="Y520" s="27" t="s">
        <v>8</v>
      </c>
      <c r="BT520" s="27" t="s">
        <v>7</v>
      </c>
      <c r="BU520" s="27" t="s">
        <v>8</v>
      </c>
      <c r="BV520" s="27" t="s">
        <v>7</v>
      </c>
      <c r="BW520" s="27" t="s">
        <v>8</v>
      </c>
      <c r="CC520" s="27" t="s">
        <v>8</v>
      </c>
      <c r="CE520" s="27" t="s">
        <v>8</v>
      </c>
      <c r="CF520" s="27" t="s">
        <v>7</v>
      </c>
      <c r="CG520" s="27" t="s">
        <v>8</v>
      </c>
      <c r="CH520" s="27" t="s">
        <v>7</v>
      </c>
      <c r="CI520" s="27" t="s">
        <v>8</v>
      </c>
      <c r="CJ520" s="27" t="s">
        <v>7</v>
      </c>
      <c r="CK520" s="27" t="s">
        <v>8</v>
      </c>
      <c r="CL520" s="27" t="s">
        <v>7</v>
      </c>
    </row>
    <row r="521" spans="1:98" x14ac:dyDescent="0.25">
      <c r="A521" s="7">
        <v>3.6949735703052635</v>
      </c>
      <c r="B521"/>
      <c r="C521"/>
      <c r="D521"/>
      <c r="E521"/>
      <c r="Q521" s="27" t="s">
        <v>8</v>
      </c>
      <c r="R521" s="27" t="s">
        <v>7</v>
      </c>
      <c r="S521" s="27" t="s">
        <v>8</v>
      </c>
      <c r="X521" s="27" t="s">
        <v>7</v>
      </c>
      <c r="Y521" s="27" t="s">
        <v>8</v>
      </c>
      <c r="BT521" s="27" t="s">
        <v>7</v>
      </c>
      <c r="BU521" s="27" t="s">
        <v>8</v>
      </c>
      <c r="BV521" s="27" t="s">
        <v>7</v>
      </c>
      <c r="BW521" s="27" t="s">
        <v>8</v>
      </c>
      <c r="BX521" s="27" t="s">
        <v>7</v>
      </c>
      <c r="CC521" s="27" t="s">
        <v>8</v>
      </c>
      <c r="CD521" s="27" t="s">
        <v>7</v>
      </c>
      <c r="CE521" s="27" t="s">
        <v>8</v>
      </c>
      <c r="CF521" s="27" t="s">
        <v>7</v>
      </c>
      <c r="CG521" s="27" t="s">
        <v>8</v>
      </c>
      <c r="CH521" s="27" t="s">
        <v>7</v>
      </c>
      <c r="CI521" s="27" t="s">
        <v>8</v>
      </c>
      <c r="CJ521" s="27" t="s">
        <v>7</v>
      </c>
      <c r="CK521" s="27" t="s">
        <v>8</v>
      </c>
      <c r="CL521" s="27" t="s">
        <v>7</v>
      </c>
      <c r="CO521" s="27" t="s">
        <v>8</v>
      </c>
    </row>
    <row r="522" spans="1:98" x14ac:dyDescent="0.25">
      <c r="A522" s="7">
        <v>3.6225231081424152</v>
      </c>
      <c r="B522"/>
      <c r="C522"/>
      <c r="D522"/>
      <c r="E522"/>
      <c r="I522" s="27" t="s">
        <v>8</v>
      </c>
      <c r="Q522" s="27" t="s">
        <v>8</v>
      </c>
      <c r="R522" s="27" t="s">
        <v>7</v>
      </c>
      <c r="S522" s="27" t="s">
        <v>8</v>
      </c>
      <c r="X522" s="27" t="s">
        <v>7</v>
      </c>
      <c r="Y522" s="27" t="s">
        <v>8</v>
      </c>
      <c r="BT522" s="27" t="s">
        <v>7</v>
      </c>
      <c r="BU522" s="27" t="s">
        <v>8</v>
      </c>
      <c r="BV522" s="27" t="s">
        <v>7</v>
      </c>
      <c r="BW522" s="27" t="s">
        <v>8</v>
      </c>
      <c r="BX522" s="27" t="s">
        <v>7</v>
      </c>
      <c r="BY522" s="27" t="s">
        <v>8</v>
      </c>
      <c r="CC522" s="27" t="s">
        <v>8</v>
      </c>
      <c r="CD522" s="27" t="s">
        <v>7</v>
      </c>
      <c r="CE522" s="27" t="s">
        <v>8</v>
      </c>
      <c r="CF522" s="27" t="s">
        <v>7</v>
      </c>
      <c r="CG522" s="27" t="s">
        <v>8</v>
      </c>
      <c r="CH522" s="27" t="s">
        <v>7</v>
      </c>
      <c r="CI522" s="27" t="s">
        <v>8</v>
      </c>
      <c r="CJ522" s="27" t="s">
        <v>7</v>
      </c>
      <c r="CK522" s="27" t="s">
        <v>8</v>
      </c>
      <c r="CL522" s="27" t="s">
        <v>7</v>
      </c>
      <c r="CO522" s="27" t="s">
        <v>8</v>
      </c>
      <c r="CP522" s="27" t="s">
        <v>7</v>
      </c>
      <c r="CQ522" s="27" t="s">
        <v>8</v>
      </c>
      <c r="CS522" s="27" t="s">
        <v>8</v>
      </c>
    </row>
    <row r="523" spans="1:98" x14ac:dyDescent="0.25">
      <c r="A523" s="7">
        <v>3.5514932432768775</v>
      </c>
      <c r="B523"/>
      <c r="C523"/>
      <c r="D523"/>
      <c r="E523"/>
      <c r="I523" s="27" t="s">
        <v>8</v>
      </c>
      <c r="J523" s="27" t="s">
        <v>7</v>
      </c>
      <c r="Q523" s="27" t="s">
        <v>8</v>
      </c>
      <c r="R523" s="27" t="s">
        <v>7</v>
      </c>
      <c r="S523" s="27" t="s">
        <v>8</v>
      </c>
      <c r="X523" s="27" t="s">
        <v>7</v>
      </c>
      <c r="Y523" s="27" t="s">
        <v>8</v>
      </c>
      <c r="BT523" s="27" t="s">
        <v>7</v>
      </c>
      <c r="BU523" s="27" t="s">
        <v>8</v>
      </c>
      <c r="BV523" s="27" t="s">
        <v>7</v>
      </c>
      <c r="BW523" s="27" t="s">
        <v>8</v>
      </c>
      <c r="BX523" s="27" t="s">
        <v>7</v>
      </c>
      <c r="BY523" s="27" t="s">
        <v>8</v>
      </c>
      <c r="BZ523" s="27" t="s">
        <v>7</v>
      </c>
      <c r="CC523" s="27" t="s">
        <v>8</v>
      </c>
      <c r="CD523" s="27" t="s">
        <v>7</v>
      </c>
      <c r="CE523" s="27" t="s">
        <v>8</v>
      </c>
      <c r="CF523" s="27" t="s">
        <v>7</v>
      </c>
      <c r="CG523" s="27" t="s">
        <v>8</v>
      </c>
      <c r="CH523" s="27" t="s">
        <v>7</v>
      </c>
      <c r="CI523" s="27" t="s">
        <v>8</v>
      </c>
      <c r="CJ523" s="27" t="s">
        <v>7</v>
      </c>
      <c r="CK523" s="27" t="s">
        <v>8</v>
      </c>
      <c r="CL523" s="27" t="s">
        <v>7</v>
      </c>
      <c r="CO523" s="27" t="s">
        <v>8</v>
      </c>
      <c r="CP523" s="27" t="s">
        <v>7</v>
      </c>
      <c r="CQ523" s="27" t="s">
        <v>8</v>
      </c>
      <c r="CR523" s="27" t="s">
        <v>7</v>
      </c>
      <c r="CS523" s="27" t="s">
        <v>8</v>
      </c>
      <c r="CT523" s="27" t="s">
        <v>7</v>
      </c>
    </row>
    <row r="524" spans="1:98" x14ac:dyDescent="0.25">
      <c r="A524" s="7">
        <v>3.4818561208596837</v>
      </c>
      <c r="B524"/>
      <c r="C524"/>
      <c r="D524"/>
      <c r="E524"/>
      <c r="I524" s="27" t="s">
        <v>8</v>
      </c>
      <c r="J524" s="27" t="s">
        <v>7</v>
      </c>
      <c r="Q524" s="27" t="s">
        <v>8</v>
      </c>
      <c r="R524" s="27" t="s">
        <v>7</v>
      </c>
      <c r="S524" s="27" t="s">
        <v>8</v>
      </c>
      <c r="X524" s="27" t="s">
        <v>7</v>
      </c>
      <c r="Y524" s="27" t="s">
        <v>8</v>
      </c>
      <c r="BT524" s="27" t="s">
        <v>7</v>
      </c>
      <c r="BU524" s="27" t="s">
        <v>8</v>
      </c>
      <c r="BV524" s="27" t="s">
        <v>7</v>
      </c>
      <c r="BW524" s="27" t="s">
        <v>8</v>
      </c>
      <c r="BX524" s="27" t="s">
        <v>7</v>
      </c>
      <c r="BY524" s="27" t="s">
        <v>8</v>
      </c>
      <c r="BZ524" s="27" t="s">
        <v>7</v>
      </c>
      <c r="CC524" s="27" t="s">
        <v>8</v>
      </c>
      <c r="CD524" s="27" t="s">
        <v>7</v>
      </c>
      <c r="CF524" s="27" t="s">
        <v>7</v>
      </c>
      <c r="CG524" s="27" t="s">
        <v>8</v>
      </c>
      <c r="CH524" s="27" t="s">
        <v>7</v>
      </c>
      <c r="CJ524" s="27" t="s">
        <v>7</v>
      </c>
      <c r="CL524" s="27" t="s">
        <v>7</v>
      </c>
      <c r="CM524" s="27" t="s">
        <v>8</v>
      </c>
      <c r="CO524" s="27" t="s">
        <v>8</v>
      </c>
      <c r="CP524" s="27" t="s">
        <v>7</v>
      </c>
      <c r="CQ524" s="27" t="s">
        <v>8</v>
      </c>
      <c r="CR524" s="27" t="s">
        <v>7</v>
      </c>
      <c r="CS524" s="27" t="s">
        <v>8</v>
      </c>
      <c r="CT524" s="27" t="s">
        <v>7</v>
      </c>
    </row>
    <row r="525" spans="1:98" x14ac:dyDescent="0.25">
      <c r="A525" s="7">
        <v>3.4135844322153761</v>
      </c>
      <c r="B525"/>
      <c r="C525"/>
      <c r="D525"/>
      <c r="E525"/>
      <c r="I525" s="27" t="s">
        <v>8</v>
      </c>
      <c r="J525" s="27" t="s">
        <v>7</v>
      </c>
      <c r="Q525" s="27" t="s">
        <v>8</v>
      </c>
      <c r="R525" s="27" t="s">
        <v>7</v>
      </c>
      <c r="S525" s="27" t="s">
        <v>8</v>
      </c>
      <c r="X525" s="27" t="s">
        <v>7</v>
      </c>
      <c r="Y525" s="27" t="s">
        <v>8</v>
      </c>
      <c r="BT525" s="27" t="s">
        <v>7</v>
      </c>
      <c r="BV525" s="27" t="s">
        <v>7</v>
      </c>
      <c r="BX525" s="27" t="s">
        <v>7</v>
      </c>
      <c r="BY525" s="27" t="s">
        <v>8</v>
      </c>
      <c r="BZ525" s="27" t="s">
        <v>7</v>
      </c>
      <c r="CC525" s="27" t="s">
        <v>8</v>
      </c>
      <c r="CF525" s="27" t="s">
        <v>7</v>
      </c>
      <c r="CG525" s="27" t="s">
        <v>8</v>
      </c>
      <c r="CL525" s="27" t="s">
        <v>7</v>
      </c>
      <c r="CM525" s="27" t="s">
        <v>8</v>
      </c>
      <c r="CN525" s="27" t="s">
        <v>7</v>
      </c>
      <c r="CO525" s="27" t="s">
        <v>8</v>
      </c>
      <c r="CP525" s="27" t="s">
        <v>7</v>
      </c>
      <c r="CQ525" s="27" t="s">
        <v>8</v>
      </c>
      <c r="CR525" s="27" t="s">
        <v>7</v>
      </c>
      <c r="CS525" s="27" t="s">
        <v>8</v>
      </c>
      <c r="CT525" s="27" t="s">
        <v>7</v>
      </c>
    </row>
    <row r="526" spans="1:98" x14ac:dyDescent="0.25">
      <c r="A526" s="7">
        <v>3.3466514041327216</v>
      </c>
      <c r="B526"/>
      <c r="C526"/>
      <c r="D526"/>
      <c r="E526"/>
      <c r="I526" s="27" t="s">
        <v>8</v>
      </c>
      <c r="J526" s="27" t="s">
        <v>7</v>
      </c>
      <c r="K526" s="27" t="s">
        <v>8</v>
      </c>
      <c r="Q526" s="27" t="s">
        <v>8</v>
      </c>
      <c r="R526" s="27" t="s">
        <v>7</v>
      </c>
      <c r="S526" s="27" t="s">
        <v>8</v>
      </c>
      <c r="X526" s="27" t="s">
        <v>7</v>
      </c>
      <c r="Y526" s="27" t="s">
        <v>8</v>
      </c>
      <c r="BX526" s="27" t="s">
        <v>7</v>
      </c>
      <c r="BY526" s="27" t="s">
        <v>8</v>
      </c>
      <c r="BZ526" s="27" t="s">
        <v>7</v>
      </c>
      <c r="CC526" s="27" t="s">
        <v>8</v>
      </c>
      <c r="CF526" s="27" t="s">
        <v>7</v>
      </c>
      <c r="CL526" s="27" t="s">
        <v>7</v>
      </c>
      <c r="CM526" s="27" t="s">
        <v>8</v>
      </c>
      <c r="CN526" s="27" t="s">
        <v>7</v>
      </c>
      <c r="CO526" s="27" t="s">
        <v>8</v>
      </c>
      <c r="CP526" s="27" t="s">
        <v>7</v>
      </c>
      <c r="CQ526" s="27" t="s">
        <v>8</v>
      </c>
      <c r="CR526" s="27" t="s">
        <v>7</v>
      </c>
      <c r="CT526" s="27" t="s">
        <v>7</v>
      </c>
    </row>
    <row r="527" spans="1:98" x14ac:dyDescent="0.25">
      <c r="A527" s="7">
        <v>3.2810307883654133</v>
      </c>
      <c r="B527"/>
      <c r="C527"/>
      <c r="D527"/>
      <c r="E527" t="s">
        <v>8</v>
      </c>
      <c r="I527" s="27" t="s">
        <v>8</v>
      </c>
      <c r="J527" s="27" t="s">
        <v>7</v>
      </c>
      <c r="K527" s="27" t="s">
        <v>8</v>
      </c>
      <c r="L527" s="27" t="s">
        <v>7</v>
      </c>
      <c r="M527" s="27" t="s">
        <v>8</v>
      </c>
      <c r="Q527" s="27" t="s">
        <v>8</v>
      </c>
      <c r="R527" s="27" t="s">
        <v>7</v>
      </c>
      <c r="S527" s="27" t="s">
        <v>8</v>
      </c>
      <c r="X527" s="27" t="s">
        <v>7</v>
      </c>
      <c r="Y527" s="27" t="s">
        <v>8</v>
      </c>
      <c r="BX527" s="27" t="s">
        <v>7</v>
      </c>
      <c r="BY527" s="27" t="s">
        <v>8</v>
      </c>
      <c r="BZ527" s="27" t="s">
        <v>7</v>
      </c>
      <c r="CA527" s="27" t="s">
        <v>8</v>
      </c>
      <c r="CC527" s="27" t="s">
        <v>8</v>
      </c>
      <c r="CL527" s="27" t="s">
        <v>7</v>
      </c>
      <c r="CM527" s="27" t="s">
        <v>8</v>
      </c>
      <c r="CN527" s="27" t="s">
        <v>7</v>
      </c>
      <c r="CO527" s="27" t="s">
        <v>8</v>
      </c>
      <c r="CP527" s="27" t="s">
        <v>7</v>
      </c>
      <c r="CT527" s="27" t="s">
        <v>7</v>
      </c>
    </row>
    <row r="528" spans="1:98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I528" s="27" t="s">
        <v>8</v>
      </c>
      <c r="J528" s="27" t="s">
        <v>7</v>
      </c>
      <c r="K528" s="27" t="s">
        <v>8</v>
      </c>
      <c r="L528" s="27" t="s">
        <v>7</v>
      </c>
      <c r="M528" s="27" t="s">
        <v>8</v>
      </c>
      <c r="N528" s="27" t="s">
        <v>7</v>
      </c>
      <c r="Q528" s="27" t="s">
        <v>8</v>
      </c>
      <c r="R528" s="27" t="s">
        <v>7</v>
      </c>
      <c r="X528" s="27" t="s">
        <v>7</v>
      </c>
      <c r="Y528" s="27" t="s">
        <v>8</v>
      </c>
      <c r="BX528" s="27" t="s">
        <v>7</v>
      </c>
      <c r="BY528" s="27" t="s">
        <v>8</v>
      </c>
      <c r="BZ528" s="27" t="s">
        <v>7</v>
      </c>
      <c r="CA528" s="27" t="s">
        <v>8</v>
      </c>
      <c r="CB528" s="27" t="s">
        <v>7</v>
      </c>
      <c r="CC528" s="27" t="s">
        <v>8</v>
      </c>
      <c r="CL528" s="27" t="s">
        <v>7</v>
      </c>
      <c r="CN528" s="27" t="s">
        <v>7</v>
      </c>
      <c r="CO528" s="27" t="s">
        <v>8</v>
      </c>
      <c r="CT528" s="27" t="s">
        <v>7</v>
      </c>
    </row>
    <row r="529" spans="1:102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I529" s="27" t="s">
        <v>8</v>
      </c>
      <c r="J529" s="27" t="s">
        <v>7</v>
      </c>
      <c r="K529" s="27" t="s">
        <v>8</v>
      </c>
      <c r="L529" s="27" t="s">
        <v>7</v>
      </c>
      <c r="M529" s="27" t="s">
        <v>8</v>
      </c>
      <c r="N529" s="27" t="s">
        <v>7</v>
      </c>
      <c r="Q529" s="27" t="s">
        <v>8</v>
      </c>
      <c r="X529" s="27" t="s">
        <v>7</v>
      </c>
      <c r="Y529" s="27" t="s">
        <v>8</v>
      </c>
      <c r="BX529" s="27" t="s">
        <v>7</v>
      </c>
      <c r="BY529" s="27" t="s">
        <v>8</v>
      </c>
      <c r="BZ529" s="27" t="s">
        <v>7</v>
      </c>
      <c r="CA529" s="27" t="s">
        <v>8</v>
      </c>
      <c r="CB529" s="27" t="s">
        <v>7</v>
      </c>
      <c r="CC529" s="27" t="s">
        <v>8</v>
      </c>
      <c r="CN529" s="27" t="s">
        <v>7</v>
      </c>
      <c r="CO529" s="27" t="s">
        <v>8</v>
      </c>
      <c r="CT529" s="27" t="s">
        <v>7</v>
      </c>
    </row>
    <row r="530" spans="1:102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G530" s="27" t="s">
        <v>8</v>
      </c>
      <c r="I530" s="27" t="s">
        <v>8</v>
      </c>
      <c r="J530" s="27" t="s">
        <v>7</v>
      </c>
      <c r="K530" s="27" t="s">
        <v>8</v>
      </c>
      <c r="L530" s="27" t="s">
        <v>7</v>
      </c>
      <c r="M530" s="27" t="s">
        <v>8</v>
      </c>
      <c r="N530" s="27" t="s">
        <v>7</v>
      </c>
      <c r="Q530" s="27" t="s">
        <v>8</v>
      </c>
      <c r="X530" s="27" t="s">
        <v>7</v>
      </c>
      <c r="Y530" s="27" t="s">
        <v>8</v>
      </c>
      <c r="BX530" s="27" t="s">
        <v>7</v>
      </c>
      <c r="BY530" s="27" t="s">
        <v>8</v>
      </c>
      <c r="BZ530" s="27" t="s">
        <v>7</v>
      </c>
      <c r="CB530" s="27" t="s">
        <v>7</v>
      </c>
      <c r="CC530" s="27" t="s">
        <v>8</v>
      </c>
      <c r="CN530" s="27" t="s">
        <v>7</v>
      </c>
      <c r="CO530" s="27" t="s">
        <v>8</v>
      </c>
      <c r="CT530" s="27" t="s">
        <v>7</v>
      </c>
    </row>
    <row r="531" spans="1:102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G531" s="27" t="s">
        <v>8</v>
      </c>
      <c r="H531" s="27" t="s">
        <v>7</v>
      </c>
      <c r="I531" s="27" t="s">
        <v>8</v>
      </c>
      <c r="J531" s="27" t="s">
        <v>7</v>
      </c>
      <c r="L531" s="27" t="s">
        <v>7</v>
      </c>
      <c r="M531" s="27" t="s">
        <v>8</v>
      </c>
      <c r="N531" s="27" t="s">
        <v>7</v>
      </c>
      <c r="O531" s="27" t="s">
        <v>8</v>
      </c>
      <c r="Q531" s="27" t="s">
        <v>8</v>
      </c>
      <c r="X531" s="27" t="s">
        <v>7</v>
      </c>
      <c r="Y531" s="27" t="s">
        <v>8</v>
      </c>
      <c r="BX531" s="27" t="s">
        <v>7</v>
      </c>
      <c r="CB531" s="27" t="s">
        <v>7</v>
      </c>
      <c r="CC531" s="27" t="s">
        <v>8</v>
      </c>
      <c r="CN531" s="27" t="s">
        <v>7</v>
      </c>
      <c r="CT531" s="27" t="s">
        <v>7</v>
      </c>
    </row>
    <row r="532" spans="1:102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  <c r="H532" s="27" t="s">
        <v>7</v>
      </c>
      <c r="I532" s="27" t="s">
        <v>8</v>
      </c>
      <c r="L532" s="27" t="s">
        <v>7</v>
      </c>
      <c r="N532" s="27" t="s">
        <v>7</v>
      </c>
      <c r="O532" s="27" t="s">
        <v>8</v>
      </c>
      <c r="P532" s="27" t="s">
        <v>7</v>
      </c>
      <c r="Q532" s="27" t="s">
        <v>8</v>
      </c>
      <c r="X532" s="27" t="s">
        <v>7</v>
      </c>
      <c r="Y532" s="27" t="s">
        <v>8</v>
      </c>
      <c r="CB532" s="27" t="s">
        <v>7</v>
      </c>
      <c r="CT532" s="27" t="s">
        <v>7</v>
      </c>
    </row>
    <row r="533" spans="1:102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H533" s="27" t="s">
        <v>7</v>
      </c>
      <c r="I533" s="27" t="s">
        <v>8</v>
      </c>
      <c r="N533" s="27" t="s">
        <v>7</v>
      </c>
      <c r="O533" s="27" t="s">
        <v>8</v>
      </c>
      <c r="P533" s="27" t="s">
        <v>7</v>
      </c>
      <c r="Q533" s="27" t="s">
        <v>8</v>
      </c>
      <c r="X533" s="27" t="s">
        <v>7</v>
      </c>
      <c r="CT533" s="27" t="s">
        <v>7</v>
      </c>
    </row>
    <row r="534" spans="1:102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H534" s="27" t="s">
        <v>7</v>
      </c>
      <c r="N534" s="27" t="s">
        <v>7</v>
      </c>
      <c r="O534" s="27" t="s">
        <v>8</v>
      </c>
      <c r="P534" s="27" t="s">
        <v>7</v>
      </c>
      <c r="Q534" s="27" t="s">
        <v>8</v>
      </c>
      <c r="CT534" s="27" t="s">
        <v>7</v>
      </c>
    </row>
    <row r="535" spans="1:102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N535" s="27" t="s">
        <v>7</v>
      </c>
      <c r="O535" s="27" t="s">
        <v>8</v>
      </c>
      <c r="P535" s="27" t="s">
        <v>7</v>
      </c>
      <c r="CT535" s="27" t="s">
        <v>7</v>
      </c>
    </row>
    <row r="536" spans="1:102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N536" s="27" t="s">
        <v>7</v>
      </c>
      <c r="O536" s="27" t="s">
        <v>8</v>
      </c>
      <c r="CT536" s="27" t="s">
        <v>7</v>
      </c>
    </row>
    <row r="537" spans="1:102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N537" s="27" t="s">
        <v>7</v>
      </c>
      <c r="CT537" s="27" t="s">
        <v>7</v>
      </c>
    </row>
    <row r="538" spans="1:102" x14ac:dyDescent="0.25">
      <c r="A538" s="7">
        <v>2.6388117932094191</v>
      </c>
      <c r="B538"/>
      <c r="C538"/>
      <c r="D538"/>
      <c r="E538" t="s">
        <v>8</v>
      </c>
      <c r="CT538" s="27" t="s">
        <v>7</v>
      </c>
    </row>
    <row r="539" spans="1:102" x14ac:dyDescent="0.25">
      <c r="A539" s="7">
        <v>2.5870703854994304</v>
      </c>
      <c r="B539"/>
      <c r="C539"/>
      <c r="D539"/>
      <c r="E539" t="s">
        <v>8</v>
      </c>
      <c r="CT539" s="27" t="s">
        <v>7</v>
      </c>
    </row>
    <row r="540" spans="1:102" x14ac:dyDescent="0.25">
      <c r="A540" s="7">
        <v>2.53634351519552</v>
      </c>
      <c r="B540"/>
      <c r="C540"/>
      <c r="D540"/>
      <c r="E540" t="s">
        <v>8</v>
      </c>
      <c r="CT540" s="27" t="s">
        <v>7</v>
      </c>
      <c r="CU540" s="27" t="s">
        <v>8</v>
      </c>
      <c r="CW540" s="27" t="s">
        <v>8</v>
      </c>
    </row>
    <row r="541" spans="1:102" x14ac:dyDescent="0.25">
      <c r="A541" s="7">
        <v>2.4866112894073726</v>
      </c>
      <c r="B541"/>
      <c r="C541"/>
      <c r="D541"/>
      <c r="E541" t="s">
        <v>8</v>
      </c>
      <c r="CT541" s="27" t="s">
        <v>7</v>
      </c>
      <c r="CU541" s="27" t="s">
        <v>8</v>
      </c>
      <c r="CV541" s="27" t="s">
        <v>7</v>
      </c>
      <c r="CW541" s="27" t="s">
        <v>8</v>
      </c>
      <c r="CX541" s="27" t="s">
        <v>7</v>
      </c>
    </row>
    <row r="542" spans="1:102" x14ac:dyDescent="0.25">
      <c r="A542" s="7">
        <v>2.4378542053013459</v>
      </c>
      <c r="B542"/>
      <c r="C542"/>
      <c r="D542"/>
      <c r="E542" t="s">
        <v>8</v>
      </c>
      <c r="CT542" s="27" t="s">
        <v>7</v>
      </c>
      <c r="CU542" s="27" t="s">
        <v>8</v>
      </c>
      <c r="CV542" s="27" t="s">
        <v>7</v>
      </c>
      <c r="CW542" s="27" t="s">
        <v>8</v>
      </c>
      <c r="CX542" s="27" t="s">
        <v>7</v>
      </c>
    </row>
    <row r="543" spans="1:102" x14ac:dyDescent="0.25">
      <c r="A543" s="7">
        <v>2.3900531424522997</v>
      </c>
      <c r="B543"/>
      <c r="C543"/>
      <c r="D543"/>
      <c r="E543" t="s">
        <v>8</v>
      </c>
      <c r="CT543" s="27" t="s">
        <v>7</v>
      </c>
      <c r="CU543" s="27" t="s">
        <v>8</v>
      </c>
      <c r="CV543" s="27" t="s">
        <v>7</v>
      </c>
      <c r="CW543" s="27" t="s">
        <v>8</v>
      </c>
      <c r="CX543" s="27" t="s">
        <v>7</v>
      </c>
    </row>
    <row r="544" spans="1:102" x14ac:dyDescent="0.25">
      <c r="A544" s="7">
        <v>2.343189355345392</v>
      </c>
      <c r="B544"/>
      <c r="C544"/>
      <c r="D544"/>
      <c r="E544" t="s">
        <v>8</v>
      </c>
      <c r="CT544" s="27" t="s">
        <v>7</v>
      </c>
      <c r="CU544" s="27" t="s">
        <v>8</v>
      </c>
      <c r="CV544" s="27" t="s">
        <v>7</v>
      </c>
      <c r="CW544" s="27" t="s">
        <v>8</v>
      </c>
      <c r="CX544" s="27" t="s">
        <v>7</v>
      </c>
    </row>
    <row r="545" spans="1:102" x14ac:dyDescent="0.25">
      <c r="A545" s="7">
        <v>2.2972444660248938</v>
      </c>
      <c r="B545"/>
      <c r="C545"/>
      <c r="D545"/>
      <c r="E545" t="s">
        <v>8</v>
      </c>
      <c r="CT545" s="27" t="s">
        <v>7</v>
      </c>
      <c r="CU545" s="27" t="s">
        <v>8</v>
      </c>
      <c r="CV545" s="27" t="s">
        <v>7</v>
      </c>
      <c r="CW545" s="27" t="s">
        <v>8</v>
      </c>
      <c r="CX545" s="27" t="s">
        <v>7</v>
      </c>
    </row>
    <row r="546" spans="1:102" x14ac:dyDescent="0.25">
      <c r="A546" s="7">
        <v>2.252200456887151</v>
      </c>
      <c r="B546"/>
      <c r="C546"/>
      <c r="D546"/>
      <c r="E546" t="s">
        <v>8</v>
      </c>
      <c r="CT546" s="27" t="s">
        <v>7</v>
      </c>
      <c r="CU546" s="27" t="s">
        <v>8</v>
      </c>
      <c r="CV546" s="27" t="s">
        <v>7</v>
      </c>
      <c r="CW546" s="27" t="s">
        <v>8</v>
      </c>
      <c r="CX546" s="27" t="s">
        <v>7</v>
      </c>
    </row>
    <row r="547" spans="1:102" x14ac:dyDescent="0.25">
      <c r="A547" s="7">
        <v>2.208039663614854</v>
      </c>
      <c r="B547"/>
      <c r="C547"/>
      <c r="D547"/>
      <c r="E547" t="s">
        <v>8</v>
      </c>
      <c r="CT547" s="27" t="s">
        <v>7</v>
      </c>
      <c r="CV547" s="27" t="s">
        <v>7</v>
      </c>
      <c r="CW547" s="27" t="s">
        <v>8</v>
      </c>
    </row>
    <row r="548" spans="1:102" x14ac:dyDescent="0.25">
      <c r="A548" s="7">
        <v>2.1647447682498568</v>
      </c>
      <c r="B548"/>
      <c r="C548"/>
      <c r="D548"/>
      <c r="E548" t="s">
        <v>8</v>
      </c>
      <c r="CV548" s="27" t="s">
        <v>7</v>
      </c>
      <c r="CW548" s="27" t="s">
        <v>8</v>
      </c>
    </row>
    <row r="549" spans="1:102" x14ac:dyDescent="0.25">
      <c r="A549" s="7">
        <v>2.1222987924018204</v>
      </c>
      <c r="B549"/>
      <c r="C549"/>
      <c r="D549"/>
      <c r="E549" t="s">
        <v>8</v>
      </c>
      <c r="CV549" s="27" t="s">
        <v>7</v>
      </c>
      <c r="CW549" s="27" t="s">
        <v>8</v>
      </c>
    </row>
    <row r="550" spans="1:102" x14ac:dyDescent="0.25">
      <c r="A550" s="7">
        <v>2.0806850905900198</v>
      </c>
      <c r="B550"/>
      <c r="C550"/>
      <c r="D550"/>
      <c r="E550" t="s">
        <v>8</v>
      </c>
      <c r="CV550" s="27" t="s">
        <v>7</v>
      </c>
    </row>
    <row r="551" spans="1:102" x14ac:dyDescent="0.25">
      <c r="A551" s="7">
        <v>2.0398873437157055</v>
      </c>
      <c r="B551"/>
      <c r="C551"/>
      <c r="D551"/>
      <c r="E551" t="s">
        <v>8</v>
      </c>
    </row>
    <row r="552" spans="1:102" x14ac:dyDescent="0.25">
      <c r="A552" s="7">
        <v>1.9998895526624565</v>
      </c>
      <c r="B552"/>
      <c r="C552"/>
      <c r="D552"/>
      <c r="E552" t="s">
        <v>8</v>
      </c>
    </row>
    <row r="553" spans="1:102" x14ac:dyDescent="0.25">
      <c r="A553" s="7">
        <v>1.9606760320220162</v>
      </c>
      <c r="B553"/>
      <c r="C553"/>
      <c r="D553"/>
      <c r="E553" t="s">
        <v>8</v>
      </c>
    </row>
    <row r="554" spans="1:102" x14ac:dyDescent="0.25">
      <c r="A554" s="7">
        <v>1.9222314039431532</v>
      </c>
      <c r="B554"/>
      <c r="C554"/>
      <c r="D554"/>
      <c r="E554" t="s">
        <v>8</v>
      </c>
    </row>
    <row r="555" spans="1:102" x14ac:dyDescent="0.25">
      <c r="A555" s="7">
        <v>1.8845405921011305</v>
      </c>
      <c r="B555"/>
      <c r="C555"/>
      <c r="D555"/>
      <c r="E555" t="s">
        <v>8</v>
      </c>
    </row>
    <row r="556" spans="1:102" x14ac:dyDescent="0.25">
      <c r="A556" s="7">
        <v>1.8475888157854219</v>
      </c>
      <c r="B556"/>
      <c r="C556"/>
      <c r="D556"/>
      <c r="E556" t="s">
        <v>8</v>
      </c>
    </row>
    <row r="557" spans="1:102" x14ac:dyDescent="0.25">
      <c r="A557" s="7">
        <v>1.8113615841033548</v>
      </c>
      <c r="B557"/>
      <c r="C557"/>
      <c r="D557"/>
      <c r="E557" t="s">
        <v>8</v>
      </c>
    </row>
    <row r="558" spans="1:102" x14ac:dyDescent="0.25">
      <c r="A558" s="7">
        <v>1.7758446902974065</v>
      </c>
      <c r="B558"/>
      <c r="C558"/>
      <c r="D558"/>
      <c r="E558" t="s">
        <v>8</v>
      </c>
    </row>
    <row r="559" spans="1:102" x14ac:dyDescent="0.25">
      <c r="A559" s="7">
        <v>1.7410242061739281</v>
      </c>
      <c r="B559"/>
      <c r="C559"/>
      <c r="D559"/>
      <c r="E559" t="s">
        <v>8</v>
      </c>
    </row>
    <row r="560" spans="1:102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31" operator="equal">
      <formula>$U$1</formula>
    </cfRule>
    <cfRule type="cellIs" dxfId="89" priority="532" operator="equal">
      <formula>$S$1</formula>
    </cfRule>
  </conditionalFormatting>
  <conditionalFormatting sqref="D27">
    <cfRule type="cellIs" dxfId="88" priority="529" operator="equal">
      <formula>$S$1</formula>
    </cfRule>
    <cfRule type="cellIs" dxfId="87" priority="530" operator="equal">
      <formula>$U$1</formula>
    </cfRule>
  </conditionalFormatting>
  <conditionalFormatting sqref="C164">
    <cfRule type="cellIs" dxfId="86" priority="527" operator="equal">
      <formula>$U$1</formula>
    </cfRule>
    <cfRule type="cellIs" dxfId="85" priority="528" operator="equal">
      <formula>$S$1</formula>
    </cfRule>
  </conditionalFormatting>
  <conditionalFormatting sqref="D164">
    <cfRule type="cellIs" dxfId="84" priority="525" operator="equal">
      <formula>$S$1</formula>
    </cfRule>
    <cfRule type="cellIs" dxfId="83" priority="526" operator="equal">
      <formula>$U$1</formula>
    </cfRule>
  </conditionalFormatting>
  <conditionalFormatting sqref="C55">
    <cfRule type="cellIs" dxfId="82" priority="523" operator="equal">
      <formula>$U$1</formula>
    </cfRule>
    <cfRule type="cellIs" dxfId="81" priority="524" operator="equal">
      <formula>$S$1</formula>
    </cfRule>
  </conditionalFormatting>
  <conditionalFormatting sqref="D55">
    <cfRule type="cellIs" dxfId="80" priority="521" operator="equal">
      <formula>$S$1</formula>
    </cfRule>
    <cfRule type="cellIs" dxfId="79" priority="522" operator="equal">
      <formula>$U$1</formula>
    </cfRule>
  </conditionalFormatting>
  <conditionalFormatting sqref="C89">
    <cfRule type="cellIs" dxfId="78" priority="519" operator="equal">
      <formula>$U$1</formula>
    </cfRule>
    <cfRule type="cellIs" dxfId="77" priority="520" operator="equal">
      <formula>$S$1</formula>
    </cfRule>
  </conditionalFormatting>
  <conditionalFormatting sqref="D89">
    <cfRule type="cellIs" dxfId="76" priority="517" operator="equal">
      <formula>$S$1</formula>
    </cfRule>
    <cfRule type="cellIs" dxfId="75" priority="518" operator="equal">
      <formula>$U$1</formula>
    </cfRule>
  </conditionalFormatting>
  <conditionalFormatting sqref="C136">
    <cfRule type="cellIs" dxfId="74" priority="515" operator="equal">
      <formula>$U$1</formula>
    </cfRule>
    <cfRule type="cellIs" dxfId="73" priority="516" operator="equal">
      <formula>$S$1</formula>
    </cfRule>
  </conditionalFormatting>
  <conditionalFormatting sqref="D136">
    <cfRule type="cellIs" dxfId="72" priority="513" operator="equal">
      <formula>$S$1</formula>
    </cfRule>
    <cfRule type="cellIs" dxfId="71" priority="514" operator="equal">
      <formula>$U$1</formula>
    </cfRule>
  </conditionalFormatting>
  <conditionalFormatting sqref="C1">
    <cfRule type="cellIs" dxfId="70" priority="51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83" zoomScale="90" zoomScaleNormal="90" workbookViewId="0">
      <pane xSplit="4" topLeftCell="E1" activePane="topRight" state="frozen"/>
      <selection activeCell="A109" sqref="A109"/>
      <selection pane="topRight" activeCell="AM289" sqref="AM289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$A$288</v>
      </c>
      <c r="D111" s="1" t="str">
        <f>ADDRESS(C121-1,D121,1,1)</f>
        <v>$AM$288</v>
      </c>
      <c r="E111"/>
    </row>
    <row r="112" spans="1:5" x14ac:dyDescent="0.25">
      <c r="A112" s="30">
        <v>14226.649032170862</v>
      </c>
      <c r="C112" s="1" t="str">
        <f>ADDRESS(C121,1,1,1)</f>
        <v>$A$289</v>
      </c>
      <c r="D112" s="1" t="str">
        <f>ADDRESS(C121,D121-1,1,1)</f>
        <v>$AL$289</v>
      </c>
      <c r="E112"/>
    </row>
    <row r="113" spans="1:5" x14ac:dyDescent="0.25">
      <c r="A113" s="30">
        <v>13549.18955444844</v>
      </c>
      <c r="C113" s="1" t="str">
        <f>ADDRESS(C121+1,1,1,1)</f>
        <v>$A$290</v>
      </c>
      <c r="D113" s="1" t="str">
        <f>ADDRESS(C121-1,D121+1,1,1)</f>
        <v>$AN$288</v>
      </c>
    </row>
    <row r="114" spans="1:5" x14ac:dyDescent="0.25">
      <c r="A114" s="30">
        <v>12903.990051855657</v>
      </c>
      <c r="C114" s="1" t="str">
        <f>ADDRESS(C121,D121,1,1)</f>
        <v>$AM$289</v>
      </c>
      <c r="D114" s="1" t="str">
        <f>ADDRESS(C121+1,D121+1,1,1)</f>
        <v>$AN$290</v>
      </c>
    </row>
    <row r="115" spans="1:5" x14ac:dyDescent="0.25">
      <c r="A115" s="30">
        <v>12289.514335100625</v>
      </c>
      <c r="C115" s="1" t="str">
        <f>ADDRESS(C121+1,D121,1,1)</f>
        <v>$AM$290</v>
      </c>
    </row>
    <row r="116" spans="1:5" x14ac:dyDescent="0.25">
      <c r="A116" s="30">
        <v>11704.2993667625</v>
      </c>
      <c r="C116" s="1">
        <f>C117-1</f>
        <v>288</v>
      </c>
    </row>
    <row r="117" spans="1:5" x14ac:dyDescent="0.25">
      <c r="A117" s="30">
        <v>11146.951777869046</v>
      </c>
      <c r="C117" s="1">
        <f>C121</f>
        <v>289</v>
      </c>
      <c r="D117" s="1">
        <f>D121</f>
        <v>39</v>
      </c>
    </row>
    <row r="118" spans="1:5" x14ac:dyDescent="0.25">
      <c r="A118" s="30">
        <v>10616.144550351471</v>
      </c>
      <c r="C118" s="1">
        <f>C117+1</f>
        <v>290</v>
      </c>
      <c r="D118" s="1">
        <f>D117+1</f>
        <v>40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289</v>
      </c>
      <c r="D121" s="19">
        <v>39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R289</v>
      </c>
      <c r="D123" s="1" t="str">
        <f>"C"&amp;D121</f>
        <v>C39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2.5269501953756404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5" x14ac:dyDescent="0.25">
      <c r="A193" s="30">
        <v>273.38167056472184</v>
      </c>
      <c r="E193"/>
    </row>
    <row r="194" spans="1:5" x14ac:dyDescent="0.25">
      <c r="A194" s="30">
        <v>260.36349577592557</v>
      </c>
      <c r="E194"/>
    </row>
    <row r="195" spans="1:5" x14ac:dyDescent="0.25">
      <c r="A195" s="30">
        <v>247.96523407231004</v>
      </c>
      <c r="E195"/>
    </row>
    <row r="196" spans="1:5" x14ac:dyDescent="0.25">
      <c r="A196" s="30">
        <v>236.15736578315241</v>
      </c>
      <c r="E196"/>
    </row>
    <row r="197" spans="1:5" x14ac:dyDescent="0.25">
      <c r="A197" s="30">
        <v>224.91177693633563</v>
      </c>
      <c r="E197"/>
    </row>
    <row r="198" spans="1:5" x14ac:dyDescent="0.25">
      <c r="A198" s="30">
        <v>214.20169232031964</v>
      </c>
      <c r="E198"/>
    </row>
    <row r="199" spans="1:5" x14ac:dyDescent="0.25">
      <c r="A199" s="30">
        <v>204.00161173363773</v>
      </c>
      <c r="E199"/>
    </row>
    <row r="200" spans="1:5" x14ac:dyDescent="0.25">
      <c r="A200" s="30">
        <v>194.28724927013116</v>
      </c>
      <c r="E200"/>
    </row>
    <row r="201" spans="1:5" x14ac:dyDescent="0.25">
      <c r="A201" s="30">
        <v>185.03547549536299</v>
      </c>
      <c r="E201"/>
    </row>
    <row r="202" spans="1:5" x14ac:dyDescent="0.25">
      <c r="A202" s="30">
        <v>176.22426237653616</v>
      </c>
      <c r="E202"/>
    </row>
    <row r="203" spans="1:5" x14ac:dyDescent="0.25">
      <c r="A203" s="30">
        <v>167.83263083479633</v>
      </c>
      <c r="C203" s="7"/>
      <c r="D203"/>
      <c r="E203"/>
    </row>
    <row r="204" spans="1:5" x14ac:dyDescent="0.25">
      <c r="A204" s="30">
        <v>159.84060079504411</v>
      </c>
      <c r="E204"/>
    </row>
    <row r="205" spans="1:5" x14ac:dyDescent="0.25">
      <c r="A205" s="30">
        <v>152.22914361432771</v>
      </c>
      <c r="E205"/>
    </row>
    <row r="206" spans="1:5" x14ac:dyDescent="0.25">
      <c r="A206" s="30">
        <v>144.98013677555019</v>
      </c>
      <c r="C206"/>
      <c r="D206"/>
      <c r="E206"/>
    </row>
    <row r="207" spans="1:5" x14ac:dyDescent="0.25">
      <c r="A207" s="30">
        <v>138.07632073861922</v>
      </c>
      <c r="E207"/>
    </row>
    <row r="208" spans="1:5" x14ac:dyDescent="0.25">
      <c r="A208" s="30">
        <v>131.50125784630401</v>
      </c>
      <c r="E208"/>
    </row>
    <row r="209" spans="1:5" x14ac:dyDescent="0.25">
      <c r="A209" s="30">
        <v>125.23929318695619</v>
      </c>
      <c r="E209"/>
    </row>
    <row r="210" spans="1:5" x14ac:dyDescent="0.25">
      <c r="A210" s="30">
        <v>119.27551732091065</v>
      </c>
      <c r="C210"/>
      <c r="E210"/>
    </row>
    <row r="211" spans="1:5" x14ac:dyDescent="0.25">
      <c r="A211" s="30">
        <v>113.59573078181967</v>
      </c>
      <c r="E211"/>
    </row>
    <row r="212" spans="1:5" x14ac:dyDescent="0.25">
      <c r="A212" s="30">
        <v>108.18641026839968</v>
      </c>
      <c r="E212"/>
    </row>
    <row r="213" spans="1:5" x14ac:dyDescent="0.25">
      <c r="A213" s="30">
        <v>103.03467644609493</v>
      </c>
      <c r="E213"/>
    </row>
    <row r="214" spans="1:5" x14ac:dyDescent="0.25">
      <c r="A214" s="30">
        <v>98.128263281995174</v>
      </c>
      <c r="E214"/>
    </row>
    <row r="215" spans="1:5" x14ac:dyDescent="0.25">
      <c r="A215" s="30">
        <v>93.455488839995397</v>
      </c>
      <c r="E215"/>
    </row>
    <row r="216" spans="1:5" x14ac:dyDescent="0.25">
      <c r="A216" s="30">
        <v>89.005227466662276</v>
      </c>
      <c r="E216"/>
    </row>
    <row r="217" spans="1:5" x14ac:dyDescent="0.25">
      <c r="A217" s="30">
        <v>84.766883301583121</v>
      </c>
      <c r="E217"/>
    </row>
    <row r="218" spans="1:5" x14ac:dyDescent="0.25">
      <c r="A218" s="30">
        <v>80.730365049126775</v>
      </c>
      <c r="E218"/>
    </row>
    <row r="219" spans="1:5" x14ac:dyDescent="0.25">
      <c r="A219" s="30">
        <v>76.886061951549308</v>
      </c>
      <c r="E219"/>
    </row>
    <row r="220" spans="1:5" x14ac:dyDescent="0.25">
      <c r="A220" s="30">
        <v>73.22482090623744</v>
      </c>
      <c r="E220"/>
    </row>
    <row r="221" spans="1:5" x14ac:dyDescent="0.25">
      <c r="A221" s="30">
        <v>69.737924672607079</v>
      </c>
      <c r="E221"/>
    </row>
    <row r="222" spans="1:5" x14ac:dyDescent="0.25">
      <c r="A222" s="30">
        <v>66.417071116768639</v>
      </c>
      <c r="E222"/>
    </row>
    <row r="223" spans="1:5" x14ac:dyDescent="0.25">
      <c r="A223" s="30">
        <v>63.254353444541557</v>
      </c>
      <c r="E223"/>
    </row>
    <row r="224" spans="1:5" x14ac:dyDescent="0.25">
      <c r="A224" s="30">
        <v>60.242241375753864</v>
      </c>
      <c r="E224"/>
    </row>
    <row r="225" spans="1:5" x14ac:dyDescent="0.25">
      <c r="A225" s="30">
        <v>57.373563215003678</v>
      </c>
      <c r="E225"/>
    </row>
    <row r="226" spans="1:5" x14ac:dyDescent="0.25">
      <c r="A226" s="30">
        <v>54.641488776193974</v>
      </c>
      <c r="E226"/>
    </row>
    <row r="227" spans="1:5" x14ac:dyDescent="0.25">
      <c r="A227" s="30">
        <v>52.039513120184736</v>
      </c>
      <c r="E227"/>
    </row>
    <row r="228" spans="1:5" x14ac:dyDescent="0.25">
      <c r="A228" s="30">
        <v>49.561441066842605</v>
      </c>
      <c r="C228" s="7"/>
      <c r="D228"/>
      <c r="E228"/>
    </row>
    <row r="229" spans="1:5" x14ac:dyDescent="0.25">
      <c r="A229" s="30">
        <v>47.201372444612005</v>
      </c>
      <c r="E229"/>
    </row>
    <row r="230" spans="1:5" x14ac:dyDescent="0.25">
      <c r="A230" s="30">
        <v>44.95368804248762</v>
      </c>
      <c r="E230"/>
    </row>
    <row r="231" spans="1:5" x14ac:dyDescent="0.25">
      <c r="A231" s="30">
        <v>42.81303623094059</v>
      </c>
      <c r="C231"/>
      <c r="D231"/>
      <c r="E231"/>
    </row>
    <row r="232" spans="1:5" x14ac:dyDescent="0.25">
      <c r="A232" s="30">
        <v>40.774320219943419</v>
      </c>
      <c r="E232"/>
    </row>
    <row r="233" spans="1:5" x14ac:dyDescent="0.25">
      <c r="A233" s="30">
        <v>38.832685923755633</v>
      </c>
      <c r="E233"/>
    </row>
    <row r="234" spans="1:5" x14ac:dyDescent="0.25">
      <c r="A234" s="30">
        <v>36.983510403576794</v>
      </c>
      <c r="E234"/>
    </row>
    <row r="235" spans="1:5" x14ac:dyDescent="0.25">
      <c r="A235" s="30">
        <v>35.222390860549325</v>
      </c>
      <c r="C235"/>
      <c r="E235"/>
    </row>
    <row r="236" spans="1:5" x14ac:dyDescent="0.25">
      <c r="A236" s="30">
        <v>33.545134152904119</v>
      </c>
      <c r="E236"/>
    </row>
    <row r="237" spans="1:5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30.426425535513939</v>
      </c>
      <c r="E238"/>
    </row>
    <row r="239" spans="1:5" x14ac:dyDescent="0.25">
      <c r="A239" s="30">
        <v>28.977548129060892</v>
      </c>
      <c r="E239"/>
    </row>
    <row r="240" spans="1:5" x14ac:dyDescent="0.25">
      <c r="A240" s="30">
        <v>27.597664884819896</v>
      </c>
      <c r="E240" s="29"/>
    </row>
    <row r="241" spans="1:5" x14ac:dyDescent="0.25">
      <c r="A241" s="30">
        <v>26.283490366495137</v>
      </c>
      <c r="B241"/>
      <c r="C241"/>
      <c r="D241"/>
      <c r="E241"/>
    </row>
    <row r="242" spans="1:5" x14ac:dyDescent="0.25">
      <c r="A242" s="30">
        <v>25.031895587138223</v>
      </c>
      <c r="B242"/>
      <c r="C242"/>
      <c r="D242"/>
      <c r="E242"/>
    </row>
    <row r="243" spans="1:5" x14ac:dyDescent="0.25">
      <c r="A243" s="30">
        <v>23.839900559179259</v>
      </c>
      <c r="B243"/>
      <c r="C243"/>
      <c r="D243"/>
      <c r="E243"/>
    </row>
    <row r="244" spans="1:5" x14ac:dyDescent="0.25">
      <c r="A244" s="30">
        <v>22.704667199218342</v>
      </c>
      <c r="B244"/>
      <c r="C244"/>
      <c r="D244"/>
      <c r="E244"/>
    </row>
    <row r="245" spans="1:5" x14ac:dyDescent="0.25">
      <c r="A245" s="30">
        <v>21.623492570684135</v>
      </c>
      <c r="B245"/>
      <c r="C245"/>
      <c r="D245"/>
      <c r="E245"/>
    </row>
    <row r="246" spans="1:5" x14ac:dyDescent="0.25">
      <c r="A246" s="30">
        <v>20.593802448270605</v>
      </c>
      <c r="B246"/>
      <c r="C246"/>
      <c r="D246"/>
      <c r="E246"/>
    </row>
    <row r="247" spans="1:5" x14ac:dyDescent="0.25">
      <c r="A247" s="30">
        <v>19.613145188829147</v>
      </c>
      <c r="B247"/>
      <c r="C247"/>
      <c r="D247"/>
      <c r="E247"/>
    </row>
    <row r="248" spans="1:5" x14ac:dyDescent="0.25">
      <c r="A248" s="30">
        <v>18.679185894122998</v>
      </c>
      <c r="B248"/>
      <c r="C248"/>
      <c r="D248"/>
      <c r="E248"/>
    </row>
    <row r="249" spans="1:5" x14ac:dyDescent="0.25">
      <c r="A249" s="30">
        <v>17.78970085154571</v>
      </c>
      <c r="B249"/>
      <c r="C249"/>
      <c r="D249"/>
      <c r="E249"/>
    </row>
    <row r="250" spans="1:5" x14ac:dyDescent="0.25">
      <c r="A250" s="30">
        <v>16.942572239567344</v>
      </c>
      <c r="B250"/>
      <c r="C250"/>
      <c r="D250"/>
      <c r="E250"/>
    </row>
    <row r="251" spans="1:5" x14ac:dyDescent="0.25">
      <c r="A251" s="30">
        <v>16.135783085302233</v>
      </c>
      <c r="B251"/>
      <c r="C251"/>
      <c r="D251"/>
      <c r="E251"/>
    </row>
    <row r="252" spans="1:5" x14ac:dyDescent="0.25">
      <c r="A252" s="30">
        <v>15.367412462192602</v>
      </c>
      <c r="B252"/>
      <c r="C252"/>
      <c r="D252"/>
      <c r="E252"/>
    </row>
    <row r="253" spans="1:5" x14ac:dyDescent="0.25">
      <c r="A253" s="30">
        <v>14.635630916373906</v>
      </c>
      <c r="B253"/>
      <c r="C253"/>
      <c r="D253"/>
      <c r="E253"/>
    </row>
    <row r="254" spans="1:5" x14ac:dyDescent="0.25">
      <c r="A254" s="30">
        <v>13.938696110832291</v>
      </c>
      <c r="B254"/>
      <c r="C254"/>
      <c r="D254"/>
      <c r="E254"/>
    </row>
    <row r="255" spans="1:5" x14ac:dyDescent="0.25">
      <c r="A255" s="30">
        <v>13.274948676983135</v>
      </c>
      <c r="E255"/>
    </row>
    <row r="256" spans="1:5" x14ac:dyDescent="0.25">
      <c r="A256" s="30">
        <v>12.64280826379346</v>
      </c>
      <c r="E256"/>
    </row>
    <row r="257" spans="1:26" x14ac:dyDescent="0.25">
      <c r="A257" s="30">
        <v>12.04076977504139</v>
      </c>
      <c r="B257"/>
      <c r="C257"/>
      <c r="D257"/>
      <c r="E257"/>
    </row>
    <row r="258" spans="1:26" x14ac:dyDescent="0.25">
      <c r="A258" s="30">
        <v>11.467399785753704</v>
      </c>
      <c r="B258"/>
      <c r="C258"/>
      <c r="D258"/>
      <c r="E258"/>
    </row>
    <row r="259" spans="1:26" x14ac:dyDescent="0.25">
      <c r="A259" s="30">
        <v>10.921333129289241</v>
      </c>
      <c r="B259"/>
      <c r="C259"/>
      <c r="D259"/>
      <c r="E259"/>
    </row>
    <row r="260" spans="1:26" x14ac:dyDescent="0.25">
      <c r="A260" s="30">
        <v>10.401269646942135</v>
      </c>
      <c r="B260"/>
      <c r="C260"/>
      <c r="D260"/>
      <c r="E260"/>
    </row>
    <row r="261" spans="1:26" x14ac:dyDescent="0.25">
      <c r="A261" s="30">
        <v>9.9059710923258422</v>
      </c>
      <c r="B261"/>
      <c r="C261"/>
      <c r="D261"/>
      <c r="E261"/>
    </row>
    <row r="262" spans="1:26" x14ac:dyDescent="0.25">
      <c r="A262" s="30">
        <v>9.4342581831674686</v>
      </c>
      <c r="B262"/>
      <c r="C262"/>
      <c r="D262"/>
      <c r="E262"/>
    </row>
    <row r="263" spans="1:26" x14ac:dyDescent="0.25">
      <c r="A263" s="30">
        <v>8.9850077934928265</v>
      </c>
      <c r="B263"/>
      <c r="C263"/>
      <c r="D263"/>
      <c r="E263"/>
    </row>
    <row r="264" spans="1:26" x14ac:dyDescent="0.25">
      <c r="A264" s="30">
        <v>8.5571502795169767</v>
      </c>
      <c r="B264"/>
      <c r="C264"/>
      <c r="D264"/>
      <c r="E264"/>
    </row>
    <row r="265" spans="1:26" x14ac:dyDescent="0.25">
      <c r="A265" s="30">
        <v>8.1496669328733109</v>
      </c>
      <c r="B265"/>
      <c r="C265"/>
      <c r="D265"/>
      <c r="E265"/>
    </row>
    <row r="266" spans="1:26" x14ac:dyDescent="0.25">
      <c r="A266" s="30">
        <v>7.7615875551174378</v>
      </c>
      <c r="B266"/>
      <c r="C266"/>
      <c r="D266"/>
      <c r="E266"/>
    </row>
    <row r="267" spans="1:26" x14ac:dyDescent="0.25">
      <c r="A267" s="30">
        <v>7.3919881477308929</v>
      </c>
      <c r="B267"/>
      <c r="C267"/>
      <c r="D267"/>
      <c r="E267"/>
    </row>
    <row r="268" spans="1:26" x14ac:dyDescent="0.25">
      <c r="A268" s="30">
        <v>7.0399887121246598</v>
      </c>
      <c r="B268"/>
      <c r="C268"/>
      <c r="D268"/>
      <c r="E268"/>
    </row>
    <row r="269" spans="1:26" x14ac:dyDescent="0.25">
      <c r="A269" s="30">
        <v>6.7047511544044376</v>
      </c>
      <c r="B269"/>
      <c r="C269"/>
      <c r="D269"/>
      <c r="E269"/>
    </row>
    <row r="270" spans="1:26" x14ac:dyDescent="0.25">
      <c r="A270" s="30">
        <v>6.3854772899089882</v>
      </c>
      <c r="B270"/>
      <c r="C270"/>
      <c r="D270"/>
      <c r="E270"/>
      <c r="Q270" s="27" t="s">
        <v>8</v>
      </c>
      <c r="Y270" s="27" t="s">
        <v>8</v>
      </c>
    </row>
    <row r="271" spans="1:26" x14ac:dyDescent="0.25">
      <c r="A271" s="30">
        <v>6.0814069427704647</v>
      </c>
      <c r="B271"/>
      <c r="C271"/>
      <c r="D271"/>
      <c r="E271"/>
      <c r="O271" s="27" t="s">
        <v>8</v>
      </c>
      <c r="Q271" s="27" t="s">
        <v>8</v>
      </c>
      <c r="R271" s="27" t="s">
        <v>7</v>
      </c>
      <c r="Y271" s="27" t="s">
        <v>8</v>
      </c>
      <c r="Z271" s="27" t="s">
        <v>7</v>
      </c>
    </row>
    <row r="272" spans="1:26" x14ac:dyDescent="0.25">
      <c r="A272" s="30">
        <v>5.7918161359718709</v>
      </c>
      <c r="B272"/>
      <c r="C272"/>
      <c r="D272"/>
      <c r="E272"/>
      <c r="O272" s="27" t="s">
        <v>8</v>
      </c>
      <c r="P272" s="27" t="s">
        <v>7</v>
      </c>
      <c r="Q272" s="27" t="s">
        <v>8</v>
      </c>
      <c r="R272" s="27" t="s">
        <v>7</v>
      </c>
      <c r="Y272" s="27" t="s">
        <v>8</v>
      </c>
      <c r="Z272" s="27" t="s">
        <v>7</v>
      </c>
    </row>
    <row r="273" spans="1:38" x14ac:dyDescent="0.25">
      <c r="A273" s="30">
        <v>5.5160153675922574</v>
      </c>
      <c r="B273"/>
      <c r="C273"/>
      <c r="D273"/>
      <c r="E273"/>
      <c r="O273" s="27" t="s">
        <v>8</v>
      </c>
      <c r="P273" s="27" t="s">
        <v>7</v>
      </c>
      <c r="Q273" s="27" t="s">
        <v>8</v>
      </c>
      <c r="R273" s="27" t="s">
        <v>7</v>
      </c>
      <c r="Y273" s="27" t="s">
        <v>8</v>
      </c>
      <c r="Z273" s="27" t="s">
        <v>7</v>
      </c>
    </row>
    <row r="274" spans="1:38" x14ac:dyDescent="0.25">
      <c r="A274" s="30">
        <v>5.2533479691354827</v>
      </c>
      <c r="B274"/>
      <c r="C274"/>
      <c r="D274"/>
      <c r="E274"/>
      <c r="O274" s="27" t="s">
        <v>8</v>
      </c>
      <c r="P274" s="27" t="s">
        <v>7</v>
      </c>
      <c r="Q274" s="27" t="s">
        <v>8</v>
      </c>
      <c r="R274" s="27" t="s">
        <v>7</v>
      </c>
      <c r="W274" s="27" t="s">
        <v>8</v>
      </c>
      <c r="Y274" s="27" t="s">
        <v>8</v>
      </c>
      <c r="Z274" s="27" t="s">
        <v>7</v>
      </c>
      <c r="AA274" s="27" t="s">
        <v>8</v>
      </c>
    </row>
    <row r="275" spans="1:38" x14ac:dyDescent="0.25">
      <c r="A275" s="30">
        <v>5.0031885420337927</v>
      </c>
      <c r="B275"/>
      <c r="C275"/>
      <c r="D275"/>
      <c r="E275"/>
      <c r="O275" s="27" t="s">
        <v>8</v>
      </c>
      <c r="P275" s="27" t="s">
        <v>7</v>
      </c>
      <c r="Q275" s="27" t="s">
        <v>8</v>
      </c>
      <c r="R275" s="27" t="s">
        <v>7</v>
      </c>
      <c r="W275" s="27" t="s">
        <v>8</v>
      </c>
      <c r="X275" s="27" t="s">
        <v>7</v>
      </c>
      <c r="Y275" s="27" t="s">
        <v>8</v>
      </c>
      <c r="Z275" s="27" t="s">
        <v>7</v>
      </c>
      <c r="AA275" s="27" t="s">
        <v>8</v>
      </c>
      <c r="AB275" s="27" t="s">
        <v>7</v>
      </c>
    </row>
    <row r="276" spans="1:38" x14ac:dyDescent="0.25">
      <c r="A276" s="30">
        <v>4.7649414686036122</v>
      </c>
      <c r="B276"/>
      <c r="C276"/>
      <c r="D276"/>
      <c r="E276"/>
      <c r="O276" s="27" t="s">
        <v>8</v>
      </c>
      <c r="P276" s="27" t="s">
        <v>7</v>
      </c>
      <c r="Q276" s="27" t="s">
        <v>8</v>
      </c>
      <c r="R276" s="27" t="s">
        <v>7</v>
      </c>
      <c r="U276" s="27" t="s">
        <v>8</v>
      </c>
      <c r="W276" s="27" t="s">
        <v>8</v>
      </c>
      <c r="X276" s="27" t="s">
        <v>7</v>
      </c>
      <c r="Y276" s="27" t="s">
        <v>8</v>
      </c>
      <c r="Z276" s="27" t="s">
        <v>7</v>
      </c>
      <c r="AA276" s="27" t="s">
        <v>8</v>
      </c>
      <c r="AB276" s="27" t="s">
        <v>7</v>
      </c>
    </row>
    <row r="277" spans="1:38" x14ac:dyDescent="0.25">
      <c r="A277" s="30">
        <v>4.5380394939082018</v>
      </c>
      <c r="B277"/>
      <c r="C277"/>
      <c r="D277"/>
      <c r="E277"/>
      <c r="K277" s="27" t="s">
        <v>8</v>
      </c>
      <c r="M277" s="27" t="s">
        <v>8</v>
      </c>
      <c r="O277" s="27" t="s">
        <v>8</v>
      </c>
      <c r="P277" s="27" t="s">
        <v>7</v>
      </c>
      <c r="R277" s="27" t="s">
        <v>7</v>
      </c>
      <c r="S277" s="27" t="s">
        <v>8</v>
      </c>
      <c r="U277" s="27" t="s">
        <v>8</v>
      </c>
      <c r="V277" s="27" t="s">
        <v>7</v>
      </c>
      <c r="W277" s="27" t="s">
        <v>8</v>
      </c>
      <c r="X277" s="27" t="s">
        <v>7</v>
      </c>
      <c r="Y277" s="27" t="s">
        <v>8</v>
      </c>
      <c r="Z277" s="27" t="s">
        <v>7</v>
      </c>
      <c r="AA277" s="27" t="s">
        <v>8</v>
      </c>
      <c r="AB277" s="27" t="s">
        <v>7</v>
      </c>
    </row>
    <row r="278" spans="1:38" x14ac:dyDescent="0.25">
      <c r="A278" s="30">
        <v>4.3219423751506678</v>
      </c>
      <c r="B278"/>
      <c r="C278"/>
      <c r="D278"/>
      <c r="E278"/>
      <c r="K278" s="27" t="s">
        <v>8</v>
      </c>
      <c r="L278" s="27" t="s">
        <v>7</v>
      </c>
      <c r="M278" s="27" t="s">
        <v>8</v>
      </c>
      <c r="N278" s="27" t="s">
        <v>7</v>
      </c>
      <c r="O278" s="27" t="s">
        <v>8</v>
      </c>
      <c r="R278" s="27" t="s">
        <v>7</v>
      </c>
      <c r="S278" s="27" t="s">
        <v>8</v>
      </c>
      <c r="T278" s="27" t="s">
        <v>7</v>
      </c>
      <c r="U278" s="27" t="s">
        <v>8</v>
      </c>
      <c r="V278" s="27" t="s">
        <v>7</v>
      </c>
      <c r="W278" s="27" t="s">
        <v>8</v>
      </c>
      <c r="X278" s="27" t="s">
        <v>7</v>
      </c>
      <c r="Y278" s="27" t="s">
        <v>8</v>
      </c>
      <c r="Z278" s="27" t="s">
        <v>7</v>
      </c>
      <c r="AA278" s="27" t="s">
        <v>8</v>
      </c>
      <c r="AB278" s="27" t="s">
        <v>7</v>
      </c>
    </row>
    <row r="279" spans="1:38" x14ac:dyDescent="0.25">
      <c r="A279" s="30">
        <v>4.1161355953815884</v>
      </c>
      <c r="B279"/>
      <c r="C279"/>
      <c r="D279"/>
      <c r="E279"/>
      <c r="K279" s="27" t="s">
        <v>8</v>
      </c>
      <c r="L279" s="27" t="s">
        <v>7</v>
      </c>
      <c r="M279" s="27" t="s">
        <v>8</v>
      </c>
      <c r="N279" s="27" t="s">
        <v>7</v>
      </c>
      <c r="O279" s="27" t="s">
        <v>8</v>
      </c>
      <c r="R279" s="27" t="s">
        <v>7</v>
      </c>
      <c r="S279" s="27" t="s">
        <v>8</v>
      </c>
      <c r="T279" s="27" t="s">
        <v>7</v>
      </c>
      <c r="U279" s="27" t="s">
        <v>8</v>
      </c>
      <c r="V279" s="27" t="s">
        <v>7</v>
      </c>
      <c r="X279" s="27" t="s">
        <v>7</v>
      </c>
      <c r="Z279" s="27" t="s">
        <v>7</v>
      </c>
      <c r="AB279" s="27" t="s">
        <v>7</v>
      </c>
      <c r="AC279" s="27" t="s">
        <v>8</v>
      </c>
      <c r="AG279" s="27" t="s">
        <v>8</v>
      </c>
      <c r="AI279" s="27" t="s">
        <v>8</v>
      </c>
    </row>
    <row r="280" spans="1:38" x14ac:dyDescent="0.25">
      <c r="A280" s="30">
        <v>3.9201291384586554</v>
      </c>
      <c r="B280"/>
      <c r="C280"/>
      <c r="D280"/>
      <c r="E280"/>
      <c r="I280" s="27" t="s">
        <v>8</v>
      </c>
      <c r="K280" s="27" t="s">
        <v>8</v>
      </c>
      <c r="L280" s="27" t="s">
        <v>7</v>
      </c>
      <c r="N280" s="27" t="s">
        <v>7</v>
      </c>
      <c r="O280" s="27" t="s">
        <v>8</v>
      </c>
      <c r="R280" s="27" t="s">
        <v>7</v>
      </c>
      <c r="T280" s="27" t="s">
        <v>7</v>
      </c>
      <c r="AB280" s="27" t="s">
        <v>7</v>
      </c>
      <c r="AC280" s="27" t="s">
        <v>8</v>
      </c>
      <c r="AD280" s="27" t="s">
        <v>7</v>
      </c>
      <c r="AG280" s="27" t="s">
        <v>8</v>
      </c>
      <c r="AH280" s="27" t="s">
        <v>7</v>
      </c>
      <c r="AI280" s="27" t="s">
        <v>8</v>
      </c>
      <c r="AJ280" s="27" t="s">
        <v>7</v>
      </c>
    </row>
    <row r="281" spans="1:38" x14ac:dyDescent="0.25">
      <c r="A281" s="30">
        <v>3.7334563223415764</v>
      </c>
      <c r="B281"/>
      <c r="C281"/>
      <c r="D281"/>
      <c r="E281"/>
      <c r="I281" s="27" t="s">
        <v>8</v>
      </c>
      <c r="J281" s="27" t="s">
        <v>7</v>
      </c>
      <c r="K281" s="27" t="s">
        <v>8</v>
      </c>
      <c r="N281" s="27" t="s">
        <v>7</v>
      </c>
      <c r="O281" s="27" t="s">
        <v>8</v>
      </c>
      <c r="AB281" s="27" t="s">
        <v>7</v>
      </c>
      <c r="AC281" s="27" t="s">
        <v>8</v>
      </c>
      <c r="AD281" s="27" t="s">
        <v>7</v>
      </c>
      <c r="AG281" s="27" t="s">
        <v>8</v>
      </c>
      <c r="AH281" s="27" t="s">
        <v>7</v>
      </c>
      <c r="AI281" s="27" t="s">
        <v>8</v>
      </c>
      <c r="AJ281" s="27" t="s">
        <v>7</v>
      </c>
    </row>
    <row r="282" spans="1:38" x14ac:dyDescent="0.25">
      <c r="A282" s="30">
        <v>3.5556726879443583</v>
      </c>
      <c r="B282"/>
      <c r="C282"/>
      <c r="D282"/>
      <c r="E282"/>
      <c r="G282" s="27" t="s">
        <v>8</v>
      </c>
      <c r="I282" s="27" t="s">
        <v>8</v>
      </c>
      <c r="J282" s="27" t="s">
        <v>7</v>
      </c>
      <c r="K282" s="27" t="s">
        <v>8</v>
      </c>
      <c r="N282" s="27" t="s">
        <v>7</v>
      </c>
      <c r="O282" s="27" t="s">
        <v>8</v>
      </c>
      <c r="AB282" s="27" t="s">
        <v>7</v>
      </c>
      <c r="AC282" s="27" t="s">
        <v>8</v>
      </c>
      <c r="AD282" s="27" t="s">
        <v>7</v>
      </c>
      <c r="AE282" s="27" t="s">
        <v>8</v>
      </c>
      <c r="AG282" s="27" t="s">
        <v>8</v>
      </c>
      <c r="AH282" s="27" t="s">
        <v>7</v>
      </c>
      <c r="AI282" s="27" t="s">
        <v>8</v>
      </c>
      <c r="AJ282" s="27" t="s">
        <v>7</v>
      </c>
      <c r="AK282" s="27" t="s">
        <v>8</v>
      </c>
    </row>
    <row r="283" spans="1:38" x14ac:dyDescent="0.25">
      <c r="A283" s="30">
        <v>3.3863549408993889</v>
      </c>
      <c r="B283"/>
      <c r="C283"/>
      <c r="D283"/>
      <c r="E283"/>
      <c r="G283" s="27" t="s">
        <v>8</v>
      </c>
      <c r="H283" s="27" t="s">
        <v>7</v>
      </c>
      <c r="I283" s="27" t="s">
        <v>8</v>
      </c>
      <c r="J283" s="27" t="s">
        <v>7</v>
      </c>
      <c r="K283" s="27" t="s">
        <v>8</v>
      </c>
      <c r="N283" s="27" t="s">
        <v>7</v>
      </c>
      <c r="O283" s="27" t="s">
        <v>8</v>
      </c>
      <c r="AB283" s="27" t="s">
        <v>7</v>
      </c>
      <c r="AC283" s="27" t="s">
        <v>8</v>
      </c>
      <c r="AD283" s="27" t="s">
        <v>7</v>
      </c>
      <c r="AE283" s="27" t="s">
        <v>8</v>
      </c>
      <c r="AF283" s="27" t="s">
        <v>7</v>
      </c>
      <c r="AG283" s="27" t="s">
        <v>8</v>
      </c>
      <c r="AH283" s="27" t="s">
        <v>7</v>
      </c>
      <c r="AJ283" s="27" t="s">
        <v>7</v>
      </c>
      <c r="AK283" s="27" t="s">
        <v>8</v>
      </c>
      <c r="AL283" s="27" t="s">
        <v>7</v>
      </c>
    </row>
    <row r="284" spans="1:38" x14ac:dyDescent="0.25">
      <c r="A284" s="30">
        <v>3.2250999437137038</v>
      </c>
      <c r="B284"/>
      <c r="C284"/>
      <c r="D284"/>
      <c r="E284" t="s">
        <v>8</v>
      </c>
      <c r="G284" s="27" t="s">
        <v>8</v>
      </c>
      <c r="H284" s="27" t="s">
        <v>7</v>
      </c>
      <c r="I284" s="27" t="s">
        <v>8</v>
      </c>
      <c r="J284" s="27" t="s">
        <v>7</v>
      </c>
      <c r="N284" s="27" t="s">
        <v>7</v>
      </c>
      <c r="O284" s="27" t="s">
        <v>8</v>
      </c>
      <c r="AB284" s="27" t="s">
        <v>7</v>
      </c>
      <c r="AD284" s="27" t="s">
        <v>7</v>
      </c>
      <c r="AE284" s="27" t="s">
        <v>8</v>
      </c>
      <c r="AF284" s="27" t="s">
        <v>7</v>
      </c>
      <c r="AG284" s="27" t="s">
        <v>8</v>
      </c>
      <c r="AJ284" s="27" t="s">
        <v>7</v>
      </c>
      <c r="AK284" s="27" t="s">
        <v>8</v>
      </c>
      <c r="AL284" s="27" t="s">
        <v>7</v>
      </c>
    </row>
    <row r="285" spans="1:38" x14ac:dyDescent="0.25">
      <c r="A285" s="30">
        <v>3.0715237559178128</v>
      </c>
      <c r="B285"/>
      <c r="C285"/>
      <c r="D285"/>
      <c r="E285" t="s">
        <v>8</v>
      </c>
      <c r="F285" s="27" t="s">
        <v>7</v>
      </c>
      <c r="G285" s="27" t="s">
        <v>8</v>
      </c>
      <c r="H285" s="27" t="s">
        <v>7</v>
      </c>
      <c r="I285" s="27" t="s">
        <v>8</v>
      </c>
      <c r="N285" s="27" t="s">
        <v>7</v>
      </c>
      <c r="O285" s="27" t="s">
        <v>8</v>
      </c>
      <c r="AD285" s="27" t="s">
        <v>7</v>
      </c>
      <c r="AF285" s="27" t="s">
        <v>7</v>
      </c>
      <c r="AJ285" s="27" t="s">
        <v>7</v>
      </c>
      <c r="AL285" s="27" t="s">
        <v>7</v>
      </c>
    </row>
    <row r="286" spans="1:38" x14ac:dyDescent="0.25">
      <c r="A286" s="30">
        <v>2.9252607199217264</v>
      </c>
      <c r="B286"/>
      <c r="C286"/>
      <c r="D286"/>
      <c r="E286" t="s">
        <v>8</v>
      </c>
      <c r="F286" s="27" t="s">
        <v>7</v>
      </c>
      <c r="G286" s="27" t="s">
        <v>8</v>
      </c>
      <c r="H286" s="27" t="s">
        <v>7</v>
      </c>
      <c r="I286" s="27" t="s">
        <v>8</v>
      </c>
      <c r="N286" s="27" t="s">
        <v>7</v>
      </c>
      <c r="AL286" s="27" t="s">
        <v>7</v>
      </c>
    </row>
    <row r="287" spans="1:38" x14ac:dyDescent="0.25">
      <c r="A287" s="30">
        <v>2.7859625904016441</v>
      </c>
      <c r="B287"/>
      <c r="C287"/>
      <c r="D287"/>
      <c r="E287" t="s">
        <v>8</v>
      </c>
      <c r="F287" s="27" t="s">
        <v>7</v>
      </c>
      <c r="H287" s="27" t="s">
        <v>7</v>
      </c>
      <c r="I287" s="27" t="s">
        <v>8</v>
      </c>
      <c r="AL287" s="27" t="s">
        <v>7</v>
      </c>
    </row>
    <row r="288" spans="1:38" x14ac:dyDescent="0.25">
      <c r="A288" s="30">
        <v>2.6532977051444226</v>
      </c>
      <c r="B288"/>
      <c r="C288"/>
      <c r="D288"/>
      <c r="E288" t="s">
        <v>8</v>
      </c>
      <c r="H288" s="27" t="s">
        <v>7</v>
      </c>
      <c r="AL288" s="27" t="s">
        <v>7</v>
      </c>
    </row>
    <row r="289" spans="1:39" x14ac:dyDescent="0.25">
      <c r="A289" s="30">
        <v>2.5269501953756404</v>
      </c>
      <c r="B289"/>
      <c r="C289"/>
      <c r="D289"/>
      <c r="E289" t="s">
        <v>8</v>
      </c>
      <c r="AL289" s="27" t="s">
        <v>7</v>
      </c>
      <c r="AM289" s="27" t="s">
        <v>8</v>
      </c>
    </row>
    <row r="290" spans="1:39" x14ac:dyDescent="0.25">
      <c r="A290" s="30">
        <v>2.4066192336910861</v>
      </c>
      <c r="B290"/>
      <c r="C290"/>
      <c r="D290"/>
      <c r="E290" t="s">
        <v>8</v>
      </c>
      <c r="AL290" s="27" t="s">
        <v>7</v>
      </c>
      <c r="AM290" s="27" t="s">
        <v>8</v>
      </c>
    </row>
    <row r="291" spans="1:39" x14ac:dyDescent="0.25">
      <c r="A291" s="30">
        <v>2.2920183178010345</v>
      </c>
      <c r="B291"/>
      <c r="C291"/>
      <c r="D291"/>
      <c r="E291" t="s">
        <v>8</v>
      </c>
      <c r="AL291" s="27" t="s">
        <v>7</v>
      </c>
      <c r="AM291" s="27" t="s">
        <v>8</v>
      </c>
    </row>
    <row r="292" spans="1:39" x14ac:dyDescent="0.25">
      <c r="A292" s="30">
        <v>2.1828745883819374</v>
      </c>
      <c r="B292"/>
      <c r="C292"/>
      <c r="D292"/>
      <c r="E292" t="s">
        <v>8</v>
      </c>
      <c r="AL292" s="27" t="s">
        <v>7</v>
      </c>
      <c r="AM292" s="27" t="s">
        <v>8</v>
      </c>
    </row>
    <row r="293" spans="1:39" x14ac:dyDescent="0.25">
      <c r="A293" s="30">
        <v>2.0789281794113688</v>
      </c>
      <c r="B293"/>
      <c r="C293"/>
      <c r="D293"/>
      <c r="E293" t="s">
        <v>8</v>
      </c>
      <c r="AL293" s="27" t="s">
        <v>7</v>
      </c>
    </row>
    <row r="294" spans="1:39" x14ac:dyDescent="0.25">
      <c r="A294" s="30">
        <v>1.9799315994393987</v>
      </c>
      <c r="B294"/>
      <c r="C294"/>
      <c r="D294"/>
      <c r="E294" t="s">
        <v>8</v>
      </c>
    </row>
    <row r="295" spans="1:39" x14ac:dyDescent="0.25">
      <c r="A295" s="30">
        <v>1.8856491423232367</v>
      </c>
      <c r="B295"/>
      <c r="C295"/>
      <c r="D295"/>
      <c r="E295" t="s">
        <v>8</v>
      </c>
    </row>
    <row r="296" spans="1:39" x14ac:dyDescent="0.25">
      <c r="A296" s="30">
        <v>1.7958563260221301</v>
      </c>
      <c r="B296"/>
      <c r="C296"/>
      <c r="D296"/>
      <c r="E296" t="s">
        <v>8</v>
      </c>
    </row>
    <row r="297" spans="1:39" x14ac:dyDescent="0.25">
      <c r="A297" s="30">
        <v>1.7103393581163142</v>
      </c>
      <c r="B297"/>
      <c r="C297"/>
      <c r="D297"/>
      <c r="E297" t="s">
        <v>8</v>
      </c>
    </row>
    <row r="298" spans="1:39" x14ac:dyDescent="0.25">
      <c r="A298" s="30">
        <v>1.628894626777442</v>
      </c>
      <c r="B298"/>
      <c r="C298"/>
      <c r="D298"/>
      <c r="E298" t="s">
        <v>8</v>
      </c>
    </row>
    <row r="299" spans="1:39" x14ac:dyDescent="0.25">
      <c r="A299" s="30">
        <v>1.5513282159785162</v>
      </c>
      <c r="B299"/>
      <c r="C299"/>
      <c r="D299"/>
      <c r="E299" t="s">
        <v>8</v>
      </c>
    </row>
    <row r="300" spans="1:39" x14ac:dyDescent="0.25">
      <c r="A300" s="30">
        <v>1.477455443789063</v>
      </c>
      <c r="B300"/>
      <c r="C300"/>
      <c r="D300"/>
      <c r="E300" t="s">
        <v>8</v>
      </c>
    </row>
    <row r="301" spans="1:39" x14ac:dyDescent="0.25">
      <c r="A301" s="30">
        <v>1.4071004226562505</v>
      </c>
      <c r="B301"/>
      <c r="C301"/>
      <c r="D301"/>
      <c r="E301" t="s">
        <v>8</v>
      </c>
    </row>
    <row r="302" spans="1:39" x14ac:dyDescent="0.25">
      <c r="A302" s="30">
        <v>1.3400956406250004</v>
      </c>
      <c r="B302"/>
      <c r="C302"/>
      <c r="D302"/>
      <c r="E302" t="s">
        <v>8</v>
      </c>
    </row>
    <row r="303" spans="1:39" x14ac:dyDescent="0.25">
      <c r="A303" s="30">
        <v>1.2762815625000004</v>
      </c>
      <c r="B303"/>
      <c r="C303"/>
      <c r="D303"/>
      <c r="E303" t="s">
        <v>8</v>
      </c>
    </row>
    <row r="304" spans="1:39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s="29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546" operator="equal">
      <formula>$U$1</formula>
    </cfRule>
    <cfRule type="cellIs" dxfId="67" priority="547" operator="equal">
      <formula>$S$1</formula>
    </cfRule>
  </conditionalFormatting>
  <conditionalFormatting sqref="D136">
    <cfRule type="cellIs" dxfId="66" priority="544" operator="equal">
      <formula>$S$1</formula>
    </cfRule>
    <cfRule type="cellIs" dxfId="65" priority="545" operator="equal">
      <formula>$U$1</formula>
    </cfRule>
  </conditionalFormatting>
  <conditionalFormatting sqref="C162">
    <cfRule type="cellIs" dxfId="64" priority="542" operator="equal">
      <formula>$U$1</formula>
    </cfRule>
    <cfRule type="cellIs" dxfId="63" priority="543" operator="equal">
      <formula>$S$1</formula>
    </cfRule>
  </conditionalFormatting>
  <conditionalFormatting sqref="D162">
    <cfRule type="cellIs" dxfId="62" priority="540" operator="equal">
      <formula>$S$1</formula>
    </cfRule>
    <cfRule type="cellIs" dxfId="61" priority="541" operator="equal">
      <formula>$U$1</formula>
    </cfRule>
  </conditionalFormatting>
  <conditionalFormatting sqref="C187">
    <cfRule type="cellIs" dxfId="60" priority="538" operator="equal">
      <formula>$U$1</formula>
    </cfRule>
    <cfRule type="cellIs" dxfId="59" priority="539" operator="equal">
      <formula>$S$1</formula>
    </cfRule>
  </conditionalFormatting>
  <conditionalFormatting sqref="D187">
    <cfRule type="cellIs" dxfId="58" priority="536" operator="equal">
      <formula>$S$1</formula>
    </cfRule>
    <cfRule type="cellIs" dxfId="57" priority="537" operator="equal">
      <formula>$U$1</formula>
    </cfRule>
  </conditionalFormatting>
  <conditionalFormatting sqref="C212">
    <cfRule type="cellIs" dxfId="56" priority="534" operator="equal">
      <formula>$U$1</formula>
    </cfRule>
    <cfRule type="cellIs" dxfId="55" priority="535" operator="equal">
      <formula>$S$1</formula>
    </cfRule>
  </conditionalFormatting>
  <conditionalFormatting sqref="D212">
    <cfRule type="cellIs" dxfId="54" priority="532" operator="equal">
      <formula>$S$1</formula>
    </cfRule>
    <cfRule type="cellIs" dxfId="53" priority="533" operator="equal">
      <formula>$U$1</formula>
    </cfRule>
  </conditionalFormatting>
  <conditionalFormatting sqref="C237">
    <cfRule type="cellIs" dxfId="52" priority="530" operator="equal">
      <formula>$U$1</formula>
    </cfRule>
    <cfRule type="cellIs" dxfId="51" priority="531" operator="equal">
      <formula>$S$1</formula>
    </cfRule>
  </conditionalFormatting>
  <conditionalFormatting sqref="D237">
    <cfRule type="cellIs" dxfId="50" priority="528" operator="equal">
      <formula>$S$1</formula>
    </cfRule>
    <cfRule type="cellIs" dxfId="49" priority="529" operator="equal">
      <formula>$U$1</formula>
    </cfRule>
  </conditionalFormatting>
  <conditionalFormatting sqref="C106">
    <cfRule type="cellIs" dxfId="48" priority="526" operator="equal">
      <formula>$U$1</formula>
    </cfRule>
    <cfRule type="cellIs" dxfId="47" priority="527" operator="equal">
      <formula>$S$1</formula>
    </cfRule>
  </conditionalFormatting>
  <conditionalFormatting sqref="D106">
    <cfRule type="cellIs" dxfId="46" priority="524" operator="equal">
      <formula>$S$1</formula>
    </cfRule>
    <cfRule type="cellIs" dxfId="45" priority="525" operator="equal">
      <formula>$U$1</formula>
    </cfRule>
  </conditionalFormatting>
  <conditionalFormatting sqref="C81">
    <cfRule type="cellIs" dxfId="44" priority="522" operator="equal">
      <formula>$U$1</formula>
    </cfRule>
    <cfRule type="cellIs" dxfId="43" priority="523" operator="equal">
      <formula>$S$1</formula>
    </cfRule>
  </conditionalFormatting>
  <conditionalFormatting sqref="D81">
    <cfRule type="cellIs" dxfId="42" priority="520" operator="equal">
      <formula>$S$1</formula>
    </cfRule>
    <cfRule type="cellIs" dxfId="41" priority="521" operator="equal">
      <formula>$U$1</formula>
    </cfRule>
  </conditionalFormatting>
  <conditionalFormatting sqref="C56">
    <cfRule type="cellIs" dxfId="40" priority="518" operator="equal">
      <formula>$U$1</formula>
    </cfRule>
    <cfRule type="cellIs" dxfId="39" priority="519" operator="equal">
      <formula>$S$1</formula>
    </cfRule>
  </conditionalFormatting>
  <conditionalFormatting sqref="D56">
    <cfRule type="cellIs" dxfId="38" priority="516" operator="equal">
      <formula>$S$1</formula>
    </cfRule>
    <cfRule type="cellIs" dxfId="37" priority="517" operator="equal">
      <formula>$U$1</formula>
    </cfRule>
  </conditionalFormatting>
  <conditionalFormatting sqref="C31">
    <cfRule type="cellIs" dxfId="36" priority="514" operator="equal">
      <formula>$U$1</formula>
    </cfRule>
    <cfRule type="cellIs" dxfId="35" priority="515" operator="equal">
      <formula>$S$1</formula>
    </cfRule>
  </conditionalFormatting>
  <conditionalFormatting sqref="D31">
    <cfRule type="cellIs" dxfId="34" priority="512" operator="equal">
      <formula>$S$1</formula>
    </cfRule>
    <cfRule type="cellIs" dxfId="33" priority="51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149" zoomScale="90" zoomScaleNormal="90" workbookViewId="0">
      <pane xSplit="4" topLeftCell="E1" activePane="topRight" state="frozen"/>
      <selection activeCell="A109" sqref="A109"/>
      <selection pane="topRight" activeCell="N150" sqref="N150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5" x14ac:dyDescent="0.25">
      <c r="A97" s="30">
        <v>334.92980349556137</v>
      </c>
      <c r="E97"/>
    </row>
    <row r="98" spans="1:5" x14ac:dyDescent="0.25">
      <c r="A98" s="30">
        <v>304.48163954141938</v>
      </c>
      <c r="C98" s="1" t="s">
        <v>13</v>
      </c>
      <c r="E98"/>
    </row>
    <row r="99" spans="1:5" x14ac:dyDescent="0.25">
      <c r="A99" s="30">
        <v>276.80149049219943</v>
      </c>
      <c r="C99" s="1">
        <f>C88</f>
        <v>0</v>
      </c>
      <c r="E99"/>
    </row>
    <row r="100" spans="1:5" x14ac:dyDescent="0.25">
      <c r="A100" s="30">
        <v>251.63771862927217</v>
      </c>
      <c r="C100"/>
      <c r="D100"/>
      <c r="E100"/>
    </row>
    <row r="101" spans="1:5" x14ac:dyDescent="0.25">
      <c r="A101" s="30">
        <v>228.76156239024741</v>
      </c>
      <c r="C101" s="1" t="s">
        <v>14</v>
      </c>
      <c r="E101"/>
    </row>
    <row r="102" spans="1: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189.05914247127882</v>
      </c>
      <c r="E103"/>
    </row>
    <row r="104" spans="1:5" x14ac:dyDescent="0.25">
      <c r="A104" s="30">
        <v>171.87194770116255</v>
      </c>
      <c r="E104"/>
    </row>
    <row r="105" spans="1:5" x14ac:dyDescent="0.25">
      <c r="A105" s="30">
        <v>156.24722518287504</v>
      </c>
      <c r="E105"/>
    </row>
    <row r="106" spans="1:5" x14ac:dyDescent="0.25">
      <c r="A106" s="30">
        <v>142.04293198443185</v>
      </c>
      <c r="E106"/>
    </row>
    <row r="107" spans="1:5" x14ac:dyDescent="0.25">
      <c r="A107" s="30">
        <v>129.1299381676653</v>
      </c>
      <c r="E107"/>
    </row>
    <row r="108" spans="1:5" x14ac:dyDescent="0.25">
      <c r="A108" s="30">
        <v>117.39085287969573</v>
      </c>
      <c r="E108"/>
    </row>
    <row r="109" spans="1:5" x14ac:dyDescent="0.25">
      <c r="A109" s="30">
        <v>106.71895716335975</v>
      </c>
      <c r="E109"/>
    </row>
    <row r="110" spans="1:5" x14ac:dyDescent="0.25">
      <c r="A110" s="30">
        <v>97.017233784872488</v>
      </c>
      <c r="E110"/>
    </row>
    <row r="111" spans="1:5" x14ac:dyDescent="0.25">
      <c r="A111" s="30">
        <v>88.197485258974979</v>
      </c>
      <c r="C111" s="1" t="str">
        <f>ADDRESS(C121-1,1,1,1)</f>
        <v>$A$149</v>
      </c>
      <c r="D111" s="1" t="str">
        <f>ADDRESS(C121-1,D121,1,1)</f>
        <v>$N$149</v>
      </c>
      <c r="E111"/>
    </row>
    <row r="112" spans="1:5" x14ac:dyDescent="0.25">
      <c r="A112" s="30">
        <v>80.179532053613613</v>
      </c>
      <c r="C112" s="1" t="str">
        <f>ADDRESS(C121,1,1,1)</f>
        <v>$A$150</v>
      </c>
      <c r="D112" s="1" t="str">
        <f>ADDRESS(C121,D121-1,1,1)</f>
        <v>$M$150</v>
      </c>
      <c r="E112"/>
    </row>
    <row r="113" spans="1:5" x14ac:dyDescent="0.25">
      <c r="A113" s="30">
        <v>72.890483685103277</v>
      </c>
      <c r="C113" s="1" t="str">
        <f>ADDRESS(C121+1,1,1,1)</f>
        <v>$A$151</v>
      </c>
      <c r="D113" s="1" t="str">
        <f>ADDRESS(C121-1,D121+1,1,1)</f>
        <v>$O$149</v>
      </c>
    </row>
    <row r="114" spans="1:5" x14ac:dyDescent="0.25">
      <c r="A114" s="30">
        <v>66.26407607736661</v>
      </c>
      <c r="C114" s="1" t="str">
        <f>ADDRESS(C121,D121,1,1)</f>
        <v>$N$150</v>
      </c>
      <c r="D114" s="1" t="str">
        <f>ADDRESS(C121+1,D121+1,1,1)</f>
        <v>$O$151</v>
      </c>
    </row>
    <row r="115" spans="1:5" x14ac:dyDescent="0.25">
      <c r="A115" s="30">
        <v>60.240069161242367</v>
      </c>
      <c r="C115" s="1" t="str">
        <f>ADDRESS(C121+1,D121,1,1)</f>
        <v>$N$151</v>
      </c>
    </row>
    <row r="116" spans="1:5" x14ac:dyDescent="0.25">
      <c r="A116" s="30">
        <v>54.763699237493057</v>
      </c>
      <c r="C116" s="1">
        <f>C117-1</f>
        <v>149</v>
      </c>
    </row>
    <row r="117" spans="1:5" x14ac:dyDescent="0.25">
      <c r="A117" s="30">
        <v>49.785181124993684</v>
      </c>
      <c r="C117" s="1">
        <f>C121</f>
        <v>150</v>
      </c>
      <c r="D117" s="1">
        <f>D121</f>
        <v>14</v>
      </c>
    </row>
    <row r="118" spans="1:5" x14ac:dyDescent="0.25">
      <c r="A118" s="30">
        <v>45.259255568176073</v>
      </c>
      <c r="C118" s="1">
        <f>C117+1</f>
        <v>151</v>
      </c>
      <c r="D118" s="1">
        <f>D117+1</f>
        <v>15</v>
      </c>
    </row>
    <row r="119" spans="1:5" x14ac:dyDescent="0.25">
      <c r="A119" s="30">
        <v>41.144777789250973</v>
      </c>
    </row>
    <row r="120" spans="1:5" x14ac:dyDescent="0.25">
      <c r="A120" s="30">
        <v>37.404343444773609</v>
      </c>
      <c r="C120" s="1" t="s">
        <v>9</v>
      </c>
    </row>
    <row r="121" spans="1:5" x14ac:dyDescent="0.25">
      <c r="A121" s="30">
        <v>34.003948586157826</v>
      </c>
      <c r="C121" s="18">
        <v>150</v>
      </c>
      <c r="D121" s="19">
        <v>14</v>
      </c>
      <c r="E121" s="18"/>
    </row>
    <row r="122" spans="1:5" x14ac:dyDescent="0.25">
      <c r="A122" s="30">
        <v>30.912680532870748</v>
      </c>
      <c r="C122" s="1" t="str">
        <f>INDEX(1:1048576,C117,D117)</f>
        <v>O</v>
      </c>
    </row>
    <row r="123" spans="1:5" x14ac:dyDescent="0.25">
      <c r="A123" s="30">
        <v>28.102436848064315</v>
      </c>
      <c r="C123" s="1" t="str">
        <f>"R"&amp;C121</f>
        <v>R150</v>
      </c>
      <c r="D123" s="1" t="str">
        <f>"C"&amp;D121</f>
        <v>C14</v>
      </c>
    </row>
    <row r="124" spans="1:5" x14ac:dyDescent="0.25">
      <c r="A124" s="30">
        <v>25.547669861876649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23.225154419887861</v>
      </c>
    </row>
    <row r="126" spans="1:5" x14ac:dyDescent="0.25">
      <c r="A126" s="30">
        <v>21.113776745352599</v>
      </c>
      <c r="C126" s="1" t="s">
        <v>10</v>
      </c>
    </row>
    <row r="127" spans="1:5" x14ac:dyDescent="0.25">
      <c r="A127" s="30">
        <v>19.194342495775089</v>
      </c>
      <c r="C127" s="30">
        <v>2.1435888100000016</v>
      </c>
      <c r="D127"/>
    </row>
    <row r="128" spans="1:5" x14ac:dyDescent="0.25">
      <c r="A128" s="30">
        <v>17.449402268886445</v>
      </c>
    </row>
    <row r="129" spans="1:14" x14ac:dyDescent="0.25">
      <c r="A129" s="30">
        <v>15.863092971714948</v>
      </c>
      <c r="C129" s="1" t="s">
        <v>11</v>
      </c>
      <c r="D129" s="1" t="s">
        <v>12</v>
      </c>
      <c r="E129"/>
    </row>
    <row r="130" spans="1:14" x14ac:dyDescent="0.25">
      <c r="A130" s="30">
        <v>14.420993610649951</v>
      </c>
      <c r="C130" s="6"/>
      <c r="D130" s="6"/>
      <c r="E130"/>
    </row>
    <row r="131" spans="1:14" x14ac:dyDescent="0.25">
      <c r="A131" s="30">
        <v>13.109994191499954</v>
      </c>
      <c r="E131"/>
    </row>
    <row r="132" spans="1:14" x14ac:dyDescent="0.25">
      <c r="A132" s="30">
        <v>11.918176537727231</v>
      </c>
      <c r="C132" s="1" t="s">
        <v>13</v>
      </c>
      <c r="E132"/>
    </row>
    <row r="133" spans="1:14" x14ac:dyDescent="0.25">
      <c r="A133" s="30">
        <v>10.834705943388391</v>
      </c>
      <c r="C133" s="1" t="str">
        <f>C122</f>
        <v>O</v>
      </c>
      <c r="E133"/>
    </row>
    <row r="134" spans="1:14" x14ac:dyDescent="0.25">
      <c r="A134" s="30">
        <v>9.849732675807628</v>
      </c>
      <c r="C134"/>
      <c r="D134"/>
      <c r="E134"/>
    </row>
    <row r="135" spans="1:14" x14ac:dyDescent="0.25">
      <c r="A135" s="30">
        <v>8.9543024325523888</v>
      </c>
      <c r="C135" s="1" t="s">
        <v>14</v>
      </c>
      <c r="E135"/>
    </row>
    <row r="136" spans="1:14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14" x14ac:dyDescent="0.25">
      <c r="A137" s="30">
        <v>7.4002499442581717</v>
      </c>
      <c r="E137"/>
    </row>
    <row r="138" spans="1:14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/>
    </row>
    <row r="139" spans="1:14" x14ac:dyDescent="0.25">
      <c r="A139" s="30">
        <v>6.1159090448414632</v>
      </c>
      <c r="E139"/>
      <c r="G139" s="27" t="s">
        <v>8</v>
      </c>
      <c r="I139" s="27" t="s">
        <v>8</v>
      </c>
      <c r="K139" s="27" t="s">
        <v>8</v>
      </c>
    </row>
    <row r="140" spans="1:14" x14ac:dyDescent="0.25">
      <c r="A140" s="30">
        <v>5.5599173134922388</v>
      </c>
      <c r="C140" s="1">
        <v>0</v>
      </c>
      <c r="E140"/>
      <c r="G140" s="27" t="s">
        <v>8</v>
      </c>
      <c r="H140" s="27" t="s">
        <v>7</v>
      </c>
      <c r="I140" s="27" t="s">
        <v>8</v>
      </c>
      <c r="J140" s="27" t="s">
        <v>7</v>
      </c>
      <c r="K140" s="27" t="s">
        <v>8</v>
      </c>
      <c r="L140" s="27" t="s">
        <v>7</v>
      </c>
    </row>
    <row r="141" spans="1:14" x14ac:dyDescent="0.25">
      <c r="A141" s="30">
        <v>5.0544702849929442</v>
      </c>
      <c r="C141" s="1">
        <v>1</v>
      </c>
      <c r="E141"/>
      <c r="G141" s="27" t="s">
        <v>8</v>
      </c>
      <c r="H141" s="27" t="s">
        <v>7</v>
      </c>
      <c r="I141" s="27" t="s">
        <v>8</v>
      </c>
      <c r="J141" s="27" t="s">
        <v>7</v>
      </c>
      <c r="K141" s="27" t="s">
        <v>8</v>
      </c>
      <c r="L141" s="27" t="s">
        <v>7</v>
      </c>
    </row>
    <row r="142" spans="1:14" x14ac:dyDescent="0.25">
      <c r="A142" s="30">
        <v>4.594972986357222</v>
      </c>
      <c r="C142" s="1">
        <v>2</v>
      </c>
      <c r="E142" t="s">
        <v>8</v>
      </c>
      <c r="G142" s="27" t="s">
        <v>8</v>
      </c>
      <c r="H142" s="27" t="s">
        <v>7</v>
      </c>
      <c r="J142" s="27" t="s">
        <v>7</v>
      </c>
      <c r="K142" s="27" t="s">
        <v>8</v>
      </c>
      <c r="L142" s="27" t="s">
        <v>7</v>
      </c>
    </row>
    <row r="143" spans="1:14" x14ac:dyDescent="0.25">
      <c r="A143" s="30">
        <v>4.1772481694156562</v>
      </c>
      <c r="C143" s="1">
        <v>3</v>
      </c>
      <c r="E143" t="s">
        <v>8</v>
      </c>
      <c r="F143" s="27" t="s">
        <v>7</v>
      </c>
      <c r="G143" s="27" t="s">
        <v>8</v>
      </c>
      <c r="J143" s="27" t="s">
        <v>7</v>
      </c>
      <c r="K143" s="27" t="s">
        <v>8</v>
      </c>
      <c r="L143" s="27" t="s">
        <v>7</v>
      </c>
      <c r="M143" s="27" t="s">
        <v>8</v>
      </c>
    </row>
    <row r="144" spans="1:14" x14ac:dyDescent="0.25">
      <c r="A144" s="30">
        <v>3.7974983358324148</v>
      </c>
      <c r="C144" s="1">
        <v>4</v>
      </c>
      <c r="E144" t="s">
        <v>8</v>
      </c>
      <c r="F144" s="27" t="s">
        <v>7</v>
      </c>
      <c r="G144" s="27" t="s">
        <v>8</v>
      </c>
      <c r="J144" s="27" t="s">
        <v>7</v>
      </c>
      <c r="L144" s="27" t="s">
        <v>7</v>
      </c>
      <c r="M144" s="27" t="s">
        <v>8</v>
      </c>
      <c r="N144" s="27" t="s">
        <v>7</v>
      </c>
    </row>
    <row r="145" spans="1:14" x14ac:dyDescent="0.25">
      <c r="A145" s="30">
        <v>3.4522712143931042</v>
      </c>
      <c r="B145"/>
      <c r="C145"/>
      <c r="D145"/>
      <c r="E145" t="s">
        <v>8</v>
      </c>
      <c r="F145" s="27" t="s">
        <v>7</v>
      </c>
      <c r="G145" s="27" t="s">
        <v>8</v>
      </c>
      <c r="L145" s="27" t="s">
        <v>7</v>
      </c>
      <c r="M145" s="27" t="s">
        <v>8</v>
      </c>
      <c r="N145" s="27" t="s">
        <v>7</v>
      </c>
    </row>
    <row r="146" spans="1:14" x14ac:dyDescent="0.25">
      <c r="A146" s="30">
        <v>3.1384283767210035</v>
      </c>
      <c r="B146"/>
      <c r="C146"/>
      <c r="D146"/>
      <c r="E146" t="s">
        <v>8</v>
      </c>
      <c r="F146" s="27" t="s">
        <v>7</v>
      </c>
      <c r="L146" s="27" t="s">
        <v>7</v>
      </c>
      <c r="N146" s="27" t="s">
        <v>7</v>
      </c>
    </row>
    <row r="147" spans="1:14" x14ac:dyDescent="0.25">
      <c r="A147" s="30">
        <v>2.8531167061100029</v>
      </c>
      <c r="B147"/>
      <c r="C147"/>
      <c r="D147"/>
      <c r="E147" t="s">
        <v>8</v>
      </c>
      <c r="N147" s="27" t="s">
        <v>7</v>
      </c>
    </row>
    <row r="148" spans="1:14" x14ac:dyDescent="0.25">
      <c r="A148" s="30">
        <v>2.5937424601000023</v>
      </c>
      <c r="B148"/>
      <c r="C148"/>
      <c r="D148"/>
      <c r="E148" t="s">
        <v>8</v>
      </c>
      <c r="N148" s="27" t="s">
        <v>7</v>
      </c>
    </row>
    <row r="149" spans="1:14" x14ac:dyDescent="0.25">
      <c r="A149" s="30">
        <v>2.3579476910000019</v>
      </c>
      <c r="B149"/>
      <c r="C149"/>
      <c r="D149"/>
      <c r="E149" t="s">
        <v>8</v>
      </c>
      <c r="N149" s="27" t="s">
        <v>7</v>
      </c>
    </row>
    <row r="150" spans="1:14" x14ac:dyDescent="0.25">
      <c r="A150" s="30">
        <v>2.1435888100000016</v>
      </c>
      <c r="B150"/>
      <c r="C150"/>
      <c r="D150"/>
      <c r="E150" t="s">
        <v>8</v>
      </c>
      <c r="N150" s="27" t="s">
        <v>7</v>
      </c>
    </row>
    <row r="151" spans="1:14" x14ac:dyDescent="0.25">
      <c r="A151" s="30">
        <v>1.9487171000000014</v>
      </c>
      <c r="B151"/>
      <c r="C151"/>
      <c r="D151"/>
      <c r="E151" t="s">
        <v>8</v>
      </c>
    </row>
    <row r="152" spans="1:14" x14ac:dyDescent="0.25">
      <c r="A152" s="30">
        <v>1.7715610000000011</v>
      </c>
      <c r="B152"/>
      <c r="C152"/>
      <c r="D152"/>
      <c r="E152" t="s">
        <v>8</v>
      </c>
    </row>
    <row r="153" spans="1:14" x14ac:dyDescent="0.25">
      <c r="A153" s="30">
        <v>1.6105100000000008</v>
      </c>
      <c r="B153"/>
      <c r="C153"/>
      <c r="D153"/>
      <c r="E153" t="s">
        <v>8</v>
      </c>
    </row>
    <row r="154" spans="1:14" x14ac:dyDescent="0.25">
      <c r="A154" s="30">
        <v>1.4641000000000006</v>
      </c>
      <c r="B154"/>
      <c r="C154"/>
      <c r="D154"/>
      <c r="E154" t="s">
        <v>8</v>
      </c>
    </row>
    <row r="155" spans="1:14" x14ac:dyDescent="0.25">
      <c r="A155" s="30">
        <v>1.3310000000000004</v>
      </c>
      <c r="B155"/>
      <c r="C155"/>
      <c r="D155"/>
      <c r="E155" t="s">
        <v>8</v>
      </c>
    </row>
    <row r="156" spans="1:14" x14ac:dyDescent="0.25">
      <c r="A156" s="30">
        <v>1.2100000000000002</v>
      </c>
      <c r="B156"/>
      <c r="C156"/>
      <c r="D156"/>
      <c r="E156" t="s">
        <v>8</v>
      </c>
    </row>
    <row r="157" spans="1:14" x14ac:dyDescent="0.25">
      <c r="A157" s="30">
        <v>1.1000000000000001</v>
      </c>
      <c r="B157"/>
      <c r="C157"/>
      <c r="D157"/>
      <c r="E157" t="s">
        <v>8</v>
      </c>
    </row>
    <row r="158" spans="1:14" x14ac:dyDescent="0.25">
      <c r="A158" s="30">
        <v>1</v>
      </c>
      <c r="B158"/>
      <c r="C158"/>
      <c r="D158"/>
      <c r="E158" s="29" t="s">
        <v>8</v>
      </c>
    </row>
    <row r="159" spans="1:14" x14ac:dyDescent="0.25">
      <c r="A159" s="30">
        <v>0.90909090909090895</v>
      </c>
      <c r="B159"/>
      <c r="C159"/>
      <c r="D159"/>
      <c r="E159"/>
    </row>
    <row r="160" spans="1:14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531" operator="equal">
      <formula>$U$1</formula>
    </cfRule>
    <cfRule type="cellIs" dxfId="30" priority="532" operator="equal">
      <formula>$S$1</formula>
    </cfRule>
  </conditionalFormatting>
  <conditionalFormatting sqref="D136">
    <cfRule type="cellIs" dxfId="29" priority="529" operator="equal">
      <formula>$S$1</formula>
    </cfRule>
    <cfRule type="cellIs" dxfId="28" priority="530" operator="equal">
      <formula>$U$1</formula>
    </cfRule>
  </conditionalFormatting>
  <conditionalFormatting sqref="C102">
    <cfRule type="cellIs" dxfId="27" priority="527" operator="equal">
      <formula>$U$1</formula>
    </cfRule>
    <cfRule type="cellIs" dxfId="26" priority="528" operator="equal">
      <formula>$S$1</formula>
    </cfRule>
  </conditionalFormatting>
  <conditionalFormatting sqref="D102">
    <cfRule type="cellIs" dxfId="25" priority="525" operator="equal">
      <formula>$S$1</formula>
    </cfRule>
    <cfRule type="cellIs" dxfId="24" priority="526" operator="equal">
      <formula>$U$1</formula>
    </cfRule>
  </conditionalFormatting>
  <conditionalFormatting sqref="C77">
    <cfRule type="cellIs" dxfId="23" priority="523" operator="equal">
      <formula>$U$1</formula>
    </cfRule>
    <cfRule type="cellIs" dxfId="22" priority="524" operator="equal">
      <formula>$S$1</formula>
    </cfRule>
  </conditionalFormatting>
  <conditionalFormatting sqref="D77">
    <cfRule type="cellIs" dxfId="21" priority="521" operator="equal">
      <formula>$S$1</formula>
    </cfRule>
    <cfRule type="cellIs" dxfId="20" priority="522" operator="equal">
      <formula>$U$1</formula>
    </cfRule>
  </conditionalFormatting>
  <conditionalFormatting sqref="C52">
    <cfRule type="cellIs" dxfId="19" priority="519" operator="equal">
      <formula>$U$1</formula>
    </cfRule>
    <cfRule type="cellIs" dxfId="18" priority="520" operator="equal">
      <formula>$S$1</formula>
    </cfRule>
  </conditionalFormatting>
  <conditionalFormatting sqref="D52">
    <cfRule type="cellIs" dxfId="17" priority="517" operator="equal">
      <formula>$S$1</formula>
    </cfRule>
    <cfRule type="cellIs" dxfId="16" priority="518" operator="equal">
      <formula>$U$1</formula>
    </cfRule>
  </conditionalFormatting>
  <conditionalFormatting sqref="C26">
    <cfRule type="cellIs" dxfId="15" priority="515" operator="equal">
      <formula>$U$1</formula>
    </cfRule>
    <cfRule type="cellIs" dxfId="14" priority="516" operator="equal">
      <formula>$S$1</formula>
    </cfRule>
  </conditionalFormatting>
  <conditionalFormatting sqref="D26">
    <cfRule type="cellIs" dxfId="13" priority="513" operator="equal">
      <formula>$S$1</formula>
    </cfRule>
    <cfRule type="cellIs" dxfId="12" priority="51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A2C41-9E8C-4891-921C-AF7A35AB979B}">
  <sheetPr codeName="Sheet8"/>
  <dimension ref="A1:E155"/>
  <sheetViews>
    <sheetView topLeftCell="A29" workbookViewId="0">
      <selection activeCell="D68" sqref="D1:D68"/>
    </sheetView>
  </sheetViews>
  <sheetFormatPr defaultRowHeight="15" x14ac:dyDescent="0.25"/>
  <cols>
    <col min="1" max="1" width="12.7109375" customWidth="1"/>
    <col min="4" max="4" width="12.140625" customWidth="1"/>
  </cols>
  <sheetData>
    <row r="1" spans="1:5" x14ac:dyDescent="0.25">
      <c r="A1" s="30">
        <v>76619.065138703256</v>
      </c>
      <c r="B1">
        <v>1.1000000000000001</v>
      </c>
      <c r="D1" s="30">
        <v>100155.44859784204</v>
      </c>
      <c r="E1">
        <v>1.05</v>
      </c>
    </row>
    <row r="2" spans="1:5" x14ac:dyDescent="0.25">
      <c r="A2">
        <v>2605350.751695944</v>
      </c>
      <c r="D2">
        <v>2632434.7683733804</v>
      </c>
    </row>
    <row r="3" spans="1:5" x14ac:dyDescent="0.25">
      <c r="A3">
        <v>2368500.6833599489</v>
      </c>
      <c r="D3">
        <v>2507080.7317841719</v>
      </c>
    </row>
    <row r="4" spans="1:5" x14ac:dyDescent="0.25">
      <c r="A4">
        <v>2153182.4394181352</v>
      </c>
      <c r="D4">
        <v>2387695.9350325447</v>
      </c>
    </row>
    <row r="5" spans="1:5" x14ac:dyDescent="0.25">
      <c r="A5">
        <v>1957438.5812892136</v>
      </c>
      <c r="D5">
        <v>2273996.1286024232</v>
      </c>
    </row>
    <row r="6" spans="1:5" x14ac:dyDescent="0.25">
      <c r="A6">
        <v>1779489.6193538303</v>
      </c>
      <c r="D6">
        <v>2165710.5986689744</v>
      </c>
    </row>
    <row r="7" spans="1:5" x14ac:dyDescent="0.25">
      <c r="A7">
        <v>1617717.8357762094</v>
      </c>
      <c r="D7">
        <v>2062581.5225418801</v>
      </c>
    </row>
    <row r="8" spans="1:5" x14ac:dyDescent="0.25">
      <c r="A8">
        <v>1470652.5779783721</v>
      </c>
      <c r="D8">
        <v>1964363.3548017906</v>
      </c>
    </row>
    <row r="9" spans="1:5" x14ac:dyDescent="0.25">
      <c r="A9">
        <v>1336956.8890712473</v>
      </c>
      <c r="D9">
        <v>1870822.2426683719</v>
      </c>
    </row>
    <row r="10" spans="1:5" x14ac:dyDescent="0.25">
      <c r="A10">
        <v>1215415.3537011337</v>
      </c>
      <c r="D10">
        <v>1781735.4692079732</v>
      </c>
    </row>
    <row r="11" spans="1:5" x14ac:dyDescent="0.25">
      <c r="A11">
        <v>1104923.0488192125</v>
      </c>
      <c r="D11">
        <v>1696890.9230552125</v>
      </c>
    </row>
    <row r="12" spans="1:5" x14ac:dyDescent="0.25">
      <c r="A12">
        <v>1004475.4989265567</v>
      </c>
      <c r="D12">
        <v>1616086.5933859167</v>
      </c>
    </row>
    <row r="13" spans="1:5" x14ac:dyDescent="0.25">
      <c r="A13">
        <v>913159.54447868781</v>
      </c>
      <c r="D13">
        <v>1539130.0889389683</v>
      </c>
    </row>
    <row r="14" spans="1:5" x14ac:dyDescent="0.25">
      <c r="A14">
        <v>830145.04043517064</v>
      </c>
      <c r="D14">
        <v>1465838.1799418745</v>
      </c>
    </row>
    <row r="15" spans="1:5" x14ac:dyDescent="0.25">
      <c r="A15">
        <v>754677.30948651873</v>
      </c>
      <c r="D15">
        <v>1396036.3618494042</v>
      </c>
    </row>
    <row r="16" spans="1:5" x14ac:dyDescent="0.25">
      <c r="A16">
        <v>686070.28135138063</v>
      </c>
      <c r="D16">
        <v>1329558.4398565753</v>
      </c>
    </row>
    <row r="17" spans="1:4" x14ac:dyDescent="0.25">
      <c r="A17">
        <v>623700.25577398238</v>
      </c>
      <c r="D17">
        <v>1266246.1331967383</v>
      </c>
    </row>
    <row r="18" spans="1:4" x14ac:dyDescent="0.25">
      <c r="A18">
        <v>567000.23252180207</v>
      </c>
      <c r="D18">
        <v>1205948.6982826078</v>
      </c>
    </row>
    <row r="19" spans="1:4" x14ac:dyDescent="0.25">
      <c r="A19">
        <v>515454.75683800189</v>
      </c>
      <c r="D19">
        <v>1148522.5697929598</v>
      </c>
    </row>
    <row r="20" spans="1:4" x14ac:dyDescent="0.25">
      <c r="A20">
        <v>468595.23348909261</v>
      </c>
      <c r="D20">
        <v>1093831.0188504378</v>
      </c>
    </row>
    <row r="21" spans="1:4" x14ac:dyDescent="0.25">
      <c r="A21">
        <v>425995.66680826596</v>
      </c>
      <c r="D21">
        <v>1041743.8274766075</v>
      </c>
    </row>
    <row r="22" spans="1:4" x14ac:dyDescent="0.25">
      <c r="A22">
        <v>387268.78800751449</v>
      </c>
      <c r="D22">
        <v>992136.97854914994</v>
      </c>
    </row>
    <row r="23" spans="1:4" x14ac:dyDescent="0.25">
      <c r="A23">
        <v>352062.53455228586</v>
      </c>
      <c r="D23">
        <v>944892.36052299989</v>
      </c>
    </row>
    <row r="24" spans="1:4" x14ac:dyDescent="0.25">
      <c r="A24">
        <v>320056.8495929871</v>
      </c>
      <c r="D24">
        <v>899897.48621238081</v>
      </c>
    </row>
    <row r="25" spans="1:4" x14ac:dyDescent="0.25">
      <c r="A25">
        <v>290960.77235726098</v>
      </c>
      <c r="D25">
        <v>857045.22496417211</v>
      </c>
    </row>
    <row r="26" spans="1:4" x14ac:dyDescent="0.25">
      <c r="A26">
        <v>264509.79305205541</v>
      </c>
      <c r="D26">
        <v>816233.54758492578</v>
      </c>
    </row>
    <row r="27" spans="1:4" x14ac:dyDescent="0.25">
      <c r="A27">
        <v>240463.44822914127</v>
      </c>
      <c r="D27">
        <v>777365.28341421497</v>
      </c>
    </row>
    <row r="28" spans="1:4" x14ac:dyDescent="0.25">
      <c r="A28">
        <v>218603.13475376478</v>
      </c>
      <c r="D28">
        <v>740347.88896591903</v>
      </c>
    </row>
    <row r="29" spans="1:4" x14ac:dyDescent="0.25">
      <c r="A29">
        <v>198730.12250342252</v>
      </c>
      <c r="D29">
        <v>705093.22758658952</v>
      </c>
    </row>
    <row r="30" spans="1:4" x14ac:dyDescent="0.25">
      <c r="A30">
        <v>180663.74773038409</v>
      </c>
      <c r="D30">
        <v>671517.35960627568</v>
      </c>
    </row>
    <row r="31" spans="1:4" x14ac:dyDescent="0.25">
      <c r="A31">
        <v>164239.77066398552</v>
      </c>
      <c r="D31">
        <v>639540.3424821673</v>
      </c>
    </row>
    <row r="32" spans="1:4" x14ac:dyDescent="0.25">
      <c r="A32">
        <v>149308.882421805</v>
      </c>
      <c r="D32">
        <v>609086.04045920691</v>
      </c>
    </row>
    <row r="33" spans="1:4" x14ac:dyDescent="0.25">
      <c r="A33">
        <v>135735.34765618635</v>
      </c>
      <c r="D33">
        <v>580081.94329448277</v>
      </c>
    </row>
    <row r="34" spans="1:4" x14ac:dyDescent="0.25">
      <c r="A34">
        <v>123395.77059653302</v>
      </c>
      <c r="D34">
        <v>552458.99361379305</v>
      </c>
    </row>
    <row r="35" spans="1:4" x14ac:dyDescent="0.25">
      <c r="A35">
        <v>112177.97326957546</v>
      </c>
      <c r="D35">
        <v>526151.42248932668</v>
      </c>
    </row>
    <row r="36" spans="1:4" x14ac:dyDescent="0.25">
      <c r="A36">
        <v>101979.97569961405</v>
      </c>
      <c r="D36">
        <v>501096.59284697776</v>
      </c>
    </row>
    <row r="37" spans="1:4" x14ac:dyDescent="0.25">
      <c r="A37">
        <v>92709.06881783095</v>
      </c>
      <c r="D37">
        <v>477234.850330455</v>
      </c>
    </row>
    <row r="38" spans="1:4" x14ac:dyDescent="0.25">
      <c r="A38">
        <v>84280.971652573586</v>
      </c>
      <c r="D38">
        <v>454509.38126709999</v>
      </c>
    </row>
    <row r="39" spans="1:4" x14ac:dyDescent="0.25">
      <c r="D39">
        <v>432866.07739723806</v>
      </c>
    </row>
    <row r="40" spans="1:4" x14ac:dyDescent="0.25">
      <c r="D40">
        <v>412253.40704498859</v>
      </c>
    </row>
    <row r="41" spans="1:4" x14ac:dyDescent="0.25">
      <c r="D41">
        <v>392622.29242379864</v>
      </c>
    </row>
    <row r="42" spans="1:4" x14ac:dyDescent="0.25">
      <c r="D42">
        <v>373925.99278457015</v>
      </c>
    </row>
    <row r="43" spans="1:4" x14ac:dyDescent="0.25">
      <c r="D43">
        <v>356119.99312816205</v>
      </c>
    </row>
    <row r="44" spans="1:4" x14ac:dyDescent="0.25">
      <c r="D44">
        <v>339161.89821729716</v>
      </c>
    </row>
    <row r="45" spans="1:4" x14ac:dyDescent="0.25">
      <c r="D45">
        <v>323011.33163552108</v>
      </c>
    </row>
    <row r="46" spans="1:4" x14ac:dyDescent="0.25">
      <c r="D46">
        <v>307629.83965287718</v>
      </c>
    </row>
    <row r="47" spans="1:4" x14ac:dyDescent="0.25">
      <c r="D47">
        <v>292980.79966940684</v>
      </c>
    </row>
    <row r="48" spans="1:4" x14ac:dyDescent="0.25">
      <c r="D48">
        <v>279029.33301848272</v>
      </c>
    </row>
    <row r="49" spans="4:4" x14ac:dyDescent="0.25">
      <c r="D49">
        <v>265742.22192236449</v>
      </c>
    </row>
    <row r="50" spans="4:4" x14ac:dyDescent="0.25">
      <c r="D50">
        <v>253087.83040225189</v>
      </c>
    </row>
    <row r="51" spans="4:4" x14ac:dyDescent="0.25">
      <c r="D51">
        <v>241036.02895452559</v>
      </c>
    </row>
    <row r="52" spans="4:4" x14ac:dyDescent="0.25">
      <c r="D52">
        <v>229558.12281383388</v>
      </c>
    </row>
    <row r="53" spans="4:4" x14ac:dyDescent="0.25">
      <c r="D53">
        <v>218626.78363222274</v>
      </c>
    </row>
    <row r="54" spans="4:4" x14ac:dyDescent="0.25">
      <c r="D54">
        <v>208215.9844116407</v>
      </c>
    </row>
    <row r="55" spans="4:4" x14ac:dyDescent="0.25">
      <c r="D55">
        <v>198300.9375348959</v>
      </c>
    </row>
    <row r="56" spans="4:4" x14ac:dyDescent="0.25">
      <c r="D56">
        <v>188858.0357475199</v>
      </c>
    </row>
    <row r="57" spans="4:4" x14ac:dyDescent="0.25">
      <c r="D57">
        <v>179864.79595001895</v>
      </c>
    </row>
    <row r="58" spans="4:4" x14ac:dyDescent="0.25">
      <c r="D58">
        <v>171299.8056666847</v>
      </c>
    </row>
    <row r="59" spans="4:4" x14ac:dyDescent="0.25">
      <c r="D59">
        <v>163142.67206350924</v>
      </c>
    </row>
    <row r="60" spans="4:4" x14ac:dyDescent="0.25">
      <c r="D60">
        <v>155373.97339381831</v>
      </c>
    </row>
    <row r="61" spans="4:4" x14ac:dyDescent="0.25">
      <c r="D61">
        <v>147975.21275601743</v>
      </c>
    </row>
    <row r="62" spans="4:4" x14ac:dyDescent="0.25">
      <c r="D62">
        <v>140928.77405334992</v>
      </c>
    </row>
    <row r="63" spans="4:4" x14ac:dyDescent="0.25">
      <c r="D63">
        <v>134217.88005080944</v>
      </c>
    </row>
    <row r="64" spans="4:4" x14ac:dyDescent="0.25">
      <c r="D64">
        <v>127826.55242934231</v>
      </c>
    </row>
    <row r="65" spans="4:4" x14ac:dyDescent="0.25">
      <c r="D65">
        <v>121739.57374223076</v>
      </c>
    </row>
    <row r="66" spans="4:4" x14ac:dyDescent="0.25">
      <c r="D66">
        <v>115942.4511830769</v>
      </c>
    </row>
    <row r="67" spans="4:4" x14ac:dyDescent="0.25">
      <c r="D67">
        <v>110421.38207912086</v>
      </c>
    </row>
    <row r="68" spans="4:4" x14ac:dyDescent="0.25">
      <c r="D68">
        <v>105163.22102773415</v>
      </c>
    </row>
    <row r="69" spans="4:4" x14ac:dyDescent="0.25">
      <c r="D69">
        <f t="shared" ref="D69:D130" si="0">D68*$E$1</f>
        <v>110421.38207912086</v>
      </c>
    </row>
    <row r="70" spans="4:4" x14ac:dyDescent="0.25">
      <c r="D70">
        <f t="shared" si="0"/>
        <v>115942.4511830769</v>
      </c>
    </row>
    <row r="71" spans="4:4" x14ac:dyDescent="0.25">
      <c r="D71">
        <f t="shared" si="0"/>
        <v>121739.57374223076</v>
      </c>
    </row>
    <row r="72" spans="4:4" x14ac:dyDescent="0.25">
      <c r="D72">
        <f t="shared" si="0"/>
        <v>127826.55242934231</v>
      </c>
    </row>
    <row r="73" spans="4:4" x14ac:dyDescent="0.25">
      <c r="D73">
        <f t="shared" si="0"/>
        <v>134217.88005080944</v>
      </c>
    </row>
    <row r="74" spans="4:4" x14ac:dyDescent="0.25">
      <c r="D74">
        <f t="shared" si="0"/>
        <v>140928.77405334992</v>
      </c>
    </row>
    <row r="75" spans="4:4" x14ac:dyDescent="0.25">
      <c r="D75">
        <f t="shared" si="0"/>
        <v>147975.21275601743</v>
      </c>
    </row>
    <row r="76" spans="4:4" x14ac:dyDescent="0.25">
      <c r="D76">
        <f t="shared" si="0"/>
        <v>155373.97339381831</v>
      </c>
    </row>
    <row r="77" spans="4:4" x14ac:dyDescent="0.25">
      <c r="D77">
        <f t="shared" si="0"/>
        <v>163142.67206350924</v>
      </c>
    </row>
    <row r="78" spans="4:4" x14ac:dyDescent="0.25">
      <c r="D78">
        <f t="shared" si="0"/>
        <v>171299.8056666847</v>
      </c>
    </row>
    <row r="79" spans="4:4" x14ac:dyDescent="0.25">
      <c r="D79">
        <f t="shared" si="0"/>
        <v>179864.79595001895</v>
      </c>
    </row>
    <row r="80" spans="4:4" x14ac:dyDescent="0.25">
      <c r="D80">
        <f t="shared" si="0"/>
        <v>188858.0357475199</v>
      </c>
    </row>
    <row r="81" spans="4:4" x14ac:dyDescent="0.25">
      <c r="D81">
        <f t="shared" si="0"/>
        <v>198300.9375348959</v>
      </c>
    </row>
    <row r="82" spans="4:4" x14ac:dyDescent="0.25">
      <c r="D82">
        <f t="shared" si="0"/>
        <v>208215.9844116407</v>
      </c>
    </row>
    <row r="83" spans="4:4" x14ac:dyDescent="0.25">
      <c r="D83">
        <f t="shared" si="0"/>
        <v>218626.78363222274</v>
      </c>
    </row>
    <row r="84" spans="4:4" x14ac:dyDescent="0.25">
      <c r="D84">
        <f t="shared" si="0"/>
        <v>229558.12281383388</v>
      </c>
    </row>
    <row r="85" spans="4:4" x14ac:dyDescent="0.25">
      <c r="D85">
        <f t="shared" si="0"/>
        <v>241036.02895452559</v>
      </c>
    </row>
    <row r="86" spans="4:4" x14ac:dyDescent="0.25">
      <c r="D86">
        <f t="shared" si="0"/>
        <v>253087.83040225189</v>
      </c>
    </row>
    <row r="87" spans="4:4" x14ac:dyDescent="0.25">
      <c r="D87">
        <f t="shared" si="0"/>
        <v>265742.22192236449</v>
      </c>
    </row>
    <row r="88" spans="4:4" x14ac:dyDescent="0.25">
      <c r="D88">
        <f t="shared" si="0"/>
        <v>279029.33301848272</v>
      </c>
    </row>
    <row r="89" spans="4:4" x14ac:dyDescent="0.25">
      <c r="D89">
        <f t="shared" si="0"/>
        <v>292980.79966940684</v>
      </c>
    </row>
    <row r="90" spans="4:4" x14ac:dyDescent="0.25">
      <c r="D90">
        <f t="shared" si="0"/>
        <v>307629.83965287718</v>
      </c>
    </row>
    <row r="91" spans="4:4" x14ac:dyDescent="0.25">
      <c r="D91">
        <f t="shared" si="0"/>
        <v>323011.33163552108</v>
      </c>
    </row>
    <row r="92" spans="4:4" x14ac:dyDescent="0.25">
      <c r="D92">
        <f t="shared" si="0"/>
        <v>339161.89821729716</v>
      </c>
    </row>
    <row r="93" spans="4:4" x14ac:dyDescent="0.25">
      <c r="D93">
        <f t="shared" si="0"/>
        <v>356119.99312816205</v>
      </c>
    </row>
    <row r="94" spans="4:4" x14ac:dyDescent="0.25">
      <c r="D94">
        <f t="shared" si="0"/>
        <v>373925.99278457015</v>
      </c>
    </row>
    <row r="95" spans="4:4" x14ac:dyDescent="0.25">
      <c r="D95">
        <f t="shared" si="0"/>
        <v>392622.29242379864</v>
      </c>
    </row>
    <row r="96" spans="4:4" x14ac:dyDescent="0.25">
      <c r="D96">
        <f t="shared" si="0"/>
        <v>412253.40704498859</v>
      </c>
    </row>
    <row r="97" spans="4:4" x14ac:dyDescent="0.25">
      <c r="D97">
        <f t="shared" si="0"/>
        <v>432866.07739723806</v>
      </c>
    </row>
    <row r="98" spans="4:4" x14ac:dyDescent="0.25">
      <c r="D98">
        <f t="shared" si="0"/>
        <v>454509.38126709999</v>
      </c>
    </row>
    <row r="99" spans="4:4" x14ac:dyDescent="0.25">
      <c r="D99">
        <f t="shared" si="0"/>
        <v>477234.850330455</v>
      </c>
    </row>
    <row r="100" spans="4:4" x14ac:dyDescent="0.25">
      <c r="D100">
        <f t="shared" si="0"/>
        <v>501096.59284697776</v>
      </c>
    </row>
    <row r="101" spans="4:4" x14ac:dyDescent="0.25">
      <c r="D101">
        <f t="shared" si="0"/>
        <v>526151.42248932668</v>
      </c>
    </row>
    <row r="102" spans="4:4" x14ac:dyDescent="0.25">
      <c r="D102">
        <f t="shared" si="0"/>
        <v>552458.99361379305</v>
      </c>
    </row>
    <row r="103" spans="4:4" x14ac:dyDescent="0.25">
      <c r="D103">
        <f t="shared" si="0"/>
        <v>580081.94329448277</v>
      </c>
    </row>
    <row r="104" spans="4:4" x14ac:dyDescent="0.25">
      <c r="D104">
        <f t="shared" si="0"/>
        <v>609086.04045920691</v>
      </c>
    </row>
    <row r="105" spans="4:4" x14ac:dyDescent="0.25">
      <c r="D105">
        <f t="shared" si="0"/>
        <v>639540.3424821673</v>
      </c>
    </row>
    <row r="106" spans="4:4" x14ac:dyDescent="0.25">
      <c r="D106">
        <f t="shared" si="0"/>
        <v>671517.35960627568</v>
      </c>
    </row>
    <row r="107" spans="4:4" x14ac:dyDescent="0.25">
      <c r="D107">
        <f t="shared" si="0"/>
        <v>705093.22758658952</v>
      </c>
    </row>
    <row r="108" spans="4:4" x14ac:dyDescent="0.25">
      <c r="D108">
        <f t="shared" si="0"/>
        <v>740347.88896591903</v>
      </c>
    </row>
    <row r="109" spans="4:4" x14ac:dyDescent="0.25">
      <c r="D109">
        <f t="shared" si="0"/>
        <v>777365.28341421497</v>
      </c>
    </row>
    <row r="110" spans="4:4" x14ac:dyDescent="0.25">
      <c r="D110">
        <f t="shared" si="0"/>
        <v>816233.54758492578</v>
      </c>
    </row>
    <row r="111" spans="4:4" x14ac:dyDescent="0.25">
      <c r="D111">
        <f t="shared" si="0"/>
        <v>857045.22496417211</v>
      </c>
    </row>
    <row r="112" spans="4:4" x14ac:dyDescent="0.25">
      <c r="D112">
        <f t="shared" si="0"/>
        <v>899897.48621238081</v>
      </c>
    </row>
    <row r="113" spans="4:4" x14ac:dyDescent="0.25">
      <c r="D113">
        <f t="shared" si="0"/>
        <v>944892.36052299989</v>
      </c>
    </row>
    <row r="114" spans="4:4" x14ac:dyDescent="0.25">
      <c r="D114">
        <f t="shared" si="0"/>
        <v>992136.97854914994</v>
      </c>
    </row>
    <row r="115" spans="4:4" x14ac:dyDescent="0.25">
      <c r="D115">
        <f t="shared" si="0"/>
        <v>1041743.8274766075</v>
      </c>
    </row>
    <row r="116" spans="4:4" x14ac:dyDescent="0.25">
      <c r="D116">
        <f t="shared" si="0"/>
        <v>1093831.0188504378</v>
      </c>
    </row>
    <row r="117" spans="4:4" x14ac:dyDescent="0.25">
      <c r="D117">
        <f t="shared" si="0"/>
        <v>1148522.5697929598</v>
      </c>
    </row>
    <row r="118" spans="4:4" x14ac:dyDescent="0.25">
      <c r="D118">
        <f t="shared" si="0"/>
        <v>1205948.6982826078</v>
      </c>
    </row>
    <row r="119" spans="4:4" x14ac:dyDescent="0.25">
      <c r="D119">
        <f t="shared" si="0"/>
        <v>1266246.1331967383</v>
      </c>
    </row>
    <row r="120" spans="4:4" x14ac:dyDescent="0.25">
      <c r="D120">
        <f t="shared" si="0"/>
        <v>1329558.4398565753</v>
      </c>
    </row>
    <row r="121" spans="4:4" x14ac:dyDescent="0.25">
      <c r="D121">
        <f t="shared" si="0"/>
        <v>1396036.3618494042</v>
      </c>
    </row>
    <row r="122" spans="4:4" x14ac:dyDescent="0.25">
      <c r="D122">
        <f t="shared" si="0"/>
        <v>1465838.1799418745</v>
      </c>
    </row>
    <row r="123" spans="4:4" x14ac:dyDescent="0.25">
      <c r="D123">
        <f t="shared" si="0"/>
        <v>1539130.0889389683</v>
      </c>
    </row>
    <row r="124" spans="4:4" x14ac:dyDescent="0.25">
      <c r="D124">
        <f t="shared" si="0"/>
        <v>1616086.5933859167</v>
      </c>
    </row>
    <row r="125" spans="4:4" x14ac:dyDescent="0.25">
      <c r="D125">
        <f t="shared" si="0"/>
        <v>1696890.9230552125</v>
      </c>
    </row>
    <row r="126" spans="4:4" x14ac:dyDescent="0.25">
      <c r="D126">
        <f t="shared" si="0"/>
        <v>1781735.4692079732</v>
      </c>
    </row>
    <row r="127" spans="4:4" x14ac:dyDescent="0.25">
      <c r="D127">
        <f t="shared" si="0"/>
        <v>1870822.2426683719</v>
      </c>
    </row>
    <row r="128" spans="4:4" x14ac:dyDescent="0.25">
      <c r="D128">
        <f t="shared" si="0"/>
        <v>1964363.3548017906</v>
      </c>
    </row>
    <row r="129" spans="4:4" x14ac:dyDescent="0.25">
      <c r="D129">
        <f t="shared" si="0"/>
        <v>2062581.5225418801</v>
      </c>
    </row>
    <row r="130" spans="4:4" x14ac:dyDescent="0.25">
      <c r="D130">
        <f t="shared" si="0"/>
        <v>2165710.5986689744</v>
      </c>
    </row>
    <row r="131" spans="4:4" x14ac:dyDescent="0.25">
      <c r="D131">
        <f t="shared" ref="D131:D155" si="1">D130*$E$1</f>
        <v>2273996.1286024232</v>
      </c>
    </row>
    <row r="132" spans="4:4" x14ac:dyDescent="0.25">
      <c r="D132">
        <f t="shared" si="1"/>
        <v>2387695.9350325447</v>
      </c>
    </row>
    <row r="133" spans="4:4" x14ac:dyDescent="0.25">
      <c r="D133">
        <f t="shared" si="1"/>
        <v>2507080.7317841719</v>
      </c>
    </row>
    <row r="134" spans="4:4" x14ac:dyDescent="0.25">
      <c r="D134">
        <f t="shared" si="1"/>
        <v>2632434.7683733804</v>
      </c>
    </row>
    <row r="135" spans="4:4" x14ac:dyDescent="0.25">
      <c r="D135">
        <f t="shared" si="1"/>
        <v>2764056.5067920494</v>
      </c>
    </row>
    <row r="136" spans="4:4" x14ac:dyDescent="0.25">
      <c r="D136">
        <f t="shared" si="1"/>
        <v>2902259.3321316522</v>
      </c>
    </row>
    <row r="137" spans="4:4" x14ac:dyDescent="0.25">
      <c r="D137">
        <f t="shared" si="1"/>
        <v>3047372.2987382347</v>
      </c>
    </row>
    <row r="138" spans="4:4" x14ac:dyDescent="0.25">
      <c r="D138">
        <f t="shared" si="1"/>
        <v>3199740.9136751466</v>
      </c>
    </row>
    <row r="139" spans="4:4" x14ac:dyDescent="0.25">
      <c r="D139">
        <f t="shared" si="1"/>
        <v>3359727.959358904</v>
      </c>
    </row>
    <row r="140" spans="4:4" x14ac:dyDescent="0.25">
      <c r="D140">
        <f t="shared" si="1"/>
        <v>3527714.3573268494</v>
      </c>
    </row>
    <row r="141" spans="4:4" x14ac:dyDescent="0.25">
      <c r="D141">
        <f t="shared" si="1"/>
        <v>3704100.0751931919</v>
      </c>
    </row>
    <row r="142" spans="4:4" x14ac:dyDescent="0.25">
      <c r="D142">
        <f t="shared" si="1"/>
        <v>3889305.0789528517</v>
      </c>
    </row>
    <row r="143" spans="4:4" x14ac:dyDescent="0.25">
      <c r="D143">
        <f t="shared" si="1"/>
        <v>4083770.3329004943</v>
      </c>
    </row>
    <row r="144" spans="4:4" x14ac:dyDescent="0.25">
      <c r="D144">
        <f t="shared" si="1"/>
        <v>4287958.8495455189</v>
      </c>
    </row>
    <row r="145" spans="4:4" x14ac:dyDescent="0.25">
      <c r="D145">
        <f t="shared" si="1"/>
        <v>4502356.7920227954</v>
      </c>
    </row>
    <row r="146" spans="4:4" x14ac:dyDescent="0.25">
      <c r="D146">
        <f t="shared" si="1"/>
        <v>4727474.631623935</v>
      </c>
    </row>
    <row r="147" spans="4:4" x14ac:dyDescent="0.25">
      <c r="D147">
        <f t="shared" si="1"/>
        <v>4963848.3632051321</v>
      </c>
    </row>
    <row r="148" spans="4:4" x14ac:dyDescent="0.25">
      <c r="D148">
        <f t="shared" si="1"/>
        <v>5212040.781365389</v>
      </c>
    </row>
    <row r="149" spans="4:4" x14ac:dyDescent="0.25">
      <c r="D149">
        <f t="shared" si="1"/>
        <v>5472642.8204336585</v>
      </c>
    </row>
    <row r="150" spans="4:4" x14ac:dyDescent="0.25">
      <c r="D150">
        <f t="shared" si="1"/>
        <v>5746274.9614553414</v>
      </c>
    </row>
    <row r="151" spans="4:4" x14ac:dyDescent="0.25">
      <c r="D151">
        <f t="shared" si="1"/>
        <v>6033588.7095281091</v>
      </c>
    </row>
    <row r="152" spans="4:4" x14ac:dyDescent="0.25">
      <c r="D152">
        <f t="shared" si="1"/>
        <v>6335268.1450045146</v>
      </c>
    </row>
    <row r="153" spans="4:4" x14ac:dyDescent="0.25">
      <c r="D153">
        <f t="shared" si="1"/>
        <v>6652031.5522547411</v>
      </c>
    </row>
    <row r="154" spans="4:4" x14ac:dyDescent="0.25">
      <c r="D154">
        <f t="shared" si="1"/>
        <v>6984633.1298674783</v>
      </c>
    </row>
    <row r="155" spans="4:4" x14ac:dyDescent="0.25">
      <c r="D155">
        <f t="shared" si="1"/>
        <v>7333864.7863608524</v>
      </c>
    </row>
  </sheetData>
  <sortState xmlns:xlrd2="http://schemas.microsoft.com/office/spreadsheetml/2017/richdata2" ref="D2:D68">
    <sortCondition descending="1" ref="D68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table (1)</vt:lpstr>
      <vt:lpstr>1%</vt:lpstr>
      <vt:lpstr>2%</vt:lpstr>
      <vt:lpstr>5%</vt:lpstr>
      <vt:lpstr>10%</vt:lpstr>
      <vt:lpstr>Sheet1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2022-01-28T01:19:02Z</dcterms:modified>
</cp:coreProperties>
</file>