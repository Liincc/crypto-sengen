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D1185E3-B74A-421C-A99E-75F3255B2F1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C136" i="4" s="1"/>
  <c r="C116" i="4"/>
  <c r="C118" i="3"/>
  <c r="D136" i="5"/>
  <c r="C136" i="5"/>
  <c r="C122" i="3"/>
  <c r="C133" i="3" s="1"/>
  <c r="C136" i="3" s="1"/>
  <c r="R765" i="1"/>
  <c r="D136" i="4" l="1"/>
  <c r="C138" i="4" s="1"/>
  <c r="C138" i="5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S113" i="1" l="1"/>
  <c r="T113" i="1" s="1"/>
  <c r="R112" i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S105" i="1" l="1"/>
  <c r="T105" i="1" s="1"/>
  <c r="R104" i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<sst xmlns="http://schemas.openxmlformats.org/spreadsheetml/2006/main" count="5619" uniqueCount="34">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</sst>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1.6459999999999999</c:v>
                </c:pt>
                <c:pt idx="1">
                  <c:v>1.726</c:v>
                </c:pt>
                <c:pt idx="2">
                  <c:v>1.6579999999999999</c:v>
                </c:pt>
                <c:pt idx="3">
                  <c:v>1.556</c:v>
                </c:pt>
                <c:pt idx="4">
                  <c:v>1.4630000000000001</c:v>
                </c:pt>
                <c:pt idx="5">
                  <c:v>1.5049999999999999</c:v>
                </c:pt>
                <c:pt idx="6">
                  <c:v>1.4319999999999999</c:v>
                </c:pt>
                <c:pt idx="7">
                  <c:v>1.583</c:v>
                </c:pt>
                <c:pt idx="8">
                  <c:v>1.5409999999999999</c:v>
                </c:pt>
                <c:pt idx="9">
                  <c:v>1.4730000000000001</c:v>
                </c:pt>
                <c:pt idx="10">
                  <c:v>1.61</c:v>
                </c:pt>
                <c:pt idx="11">
                  <c:v>1.538</c:v>
                </c:pt>
                <c:pt idx="12">
                  <c:v>1.526</c:v>
                </c:pt>
                <c:pt idx="13">
                  <c:v>1.419</c:v>
                </c:pt>
                <c:pt idx="14">
                  <c:v>1.377</c:v>
                </c:pt>
                <c:pt idx="15">
                  <c:v>1.401</c:v>
                </c:pt>
                <c:pt idx="16">
                  <c:v>1.341</c:v>
                </c:pt>
                <c:pt idx="17">
                  <c:v>1.3360000000000001</c:v>
                </c:pt>
                <c:pt idx="18">
                  <c:v>1.4259999999999999</c:v>
                </c:pt>
                <c:pt idx="19">
                  <c:v>1.5229999999999999</c:v>
                </c:pt>
                <c:pt idx="20">
                  <c:v>1.508</c:v>
                </c:pt>
                <c:pt idx="21">
                  <c:v>1.306</c:v>
                </c:pt>
                <c:pt idx="22">
                  <c:v>1.25</c:v>
                </c:pt>
                <c:pt idx="23">
                  <c:v>1.3440000000000001</c:v>
                </c:pt>
                <c:pt idx="24">
                  <c:v>1.3959999999999999</c:v>
                </c:pt>
                <c:pt idx="25">
                  <c:v>1.425</c:v>
                </c:pt>
                <c:pt idx="26">
                  <c:v>1.3839999999999999</c:v>
                </c:pt>
                <c:pt idx="27">
                  <c:v>1.2829999999999999</c:v>
                </c:pt>
                <c:pt idx="28">
                  <c:v>1.3220000000000001</c:v>
                </c:pt>
                <c:pt idx="29">
                  <c:v>1.2569999999999999</c:v>
                </c:pt>
                <c:pt idx="30">
                  <c:v>1.2989999999999999</c:v>
                </c:pt>
                <c:pt idx="31">
                  <c:v>1.4159999999999999</c:v>
                </c:pt>
                <c:pt idx="32">
                  <c:v>1.3939999999999999</c:v>
                </c:pt>
                <c:pt idx="33">
                  <c:v>1.409</c:v>
                </c:pt>
                <c:pt idx="34">
                  <c:v>1.3859999999999999</c:v>
                </c:pt>
                <c:pt idx="35">
                  <c:v>1.44</c:v>
                </c:pt>
                <c:pt idx="36">
                  <c:v>1.363</c:v>
                </c:pt>
                <c:pt idx="37">
                  <c:v>1.282</c:v>
                </c:pt>
                <c:pt idx="38">
                  <c:v>1.238</c:v>
                </c:pt>
                <c:pt idx="39">
                  <c:v>1.2769999999999999</c:v>
                </c:pt>
                <c:pt idx="40">
                  <c:v>1.3180000000000001</c:v>
                </c:pt>
                <c:pt idx="41">
                  <c:v>1.2829999999999999</c:v>
                </c:pt>
                <c:pt idx="42">
                  <c:v>1.2849999999999999</c:v>
                </c:pt>
                <c:pt idx="43">
                  <c:v>1.3009999999999999</c:v>
                </c:pt>
                <c:pt idx="44">
                  <c:v>1.2549999999999999</c:v>
                </c:pt>
                <c:pt idx="45">
                  <c:v>1.224</c:v>
                </c:pt>
                <c:pt idx="46">
                  <c:v>1.365</c:v>
                </c:pt>
                <c:pt idx="47">
                  <c:v>1.3089999999999999</c:v>
                </c:pt>
                <c:pt idx="48">
                  <c:v>1.3</c:v>
                </c:pt>
                <c:pt idx="49">
                  <c:v>1.3540000000000001</c:v>
                </c:pt>
                <c:pt idx="50">
                  <c:v>1.5149999999999999</c:v>
                </c:pt>
                <c:pt idx="51">
                  <c:v>1.532</c:v>
                </c:pt>
                <c:pt idx="52">
                  <c:v>1.4079999999999999</c:v>
                </c:pt>
                <c:pt idx="53">
                  <c:v>1.363</c:v>
                </c:pt>
                <c:pt idx="54">
                  <c:v>1.476</c:v>
                </c:pt>
                <c:pt idx="55">
                  <c:v>1.758</c:v>
                </c:pt>
                <c:pt idx="56">
                  <c:v>1.8759999999999999</c:v>
                </c:pt>
                <c:pt idx="57">
                  <c:v>1.9419999999999999</c:v>
                </c:pt>
                <c:pt idx="58">
                  <c:v>1.94</c:v>
                </c:pt>
                <c:pt idx="59">
                  <c:v>2.0449999999999999</c:v>
                </c:pt>
                <c:pt idx="60">
                  <c:v>2.044</c:v>
                </c:pt>
                <c:pt idx="61">
                  <c:v>2.09</c:v>
                </c:pt>
                <c:pt idx="62">
                  <c:v>2.024</c:v>
                </c:pt>
                <c:pt idx="63">
                  <c:v>1.841</c:v>
                </c:pt>
                <c:pt idx="64">
                  <c:v>1.7529999999999999</c:v>
                </c:pt>
                <c:pt idx="65">
                  <c:v>1.798</c:v>
                </c:pt>
                <c:pt idx="66">
                  <c:v>1.6679999999999999</c:v>
                </c:pt>
                <c:pt idx="67">
                  <c:v>1.756</c:v>
                </c:pt>
                <c:pt idx="68">
                  <c:v>1.774</c:v>
                </c:pt>
                <c:pt idx="69">
                  <c:v>1.7210000000000001</c:v>
                </c:pt>
                <c:pt idx="70">
                  <c:v>1.62</c:v>
                </c:pt>
                <c:pt idx="71">
                  <c:v>1.802</c:v>
                </c:pt>
                <c:pt idx="72">
                  <c:v>1.7110000000000001</c:v>
                </c:pt>
                <c:pt idx="73">
                  <c:v>1.895</c:v>
                </c:pt>
                <c:pt idx="74">
                  <c:v>1.8819999999999999</c:v>
                </c:pt>
                <c:pt idx="75">
                  <c:v>1.8859999999999999</c:v>
                </c:pt>
                <c:pt idx="76">
                  <c:v>1.85</c:v>
                </c:pt>
                <c:pt idx="77">
                  <c:v>1.867</c:v>
                </c:pt>
                <c:pt idx="78">
                  <c:v>1.85</c:v>
                </c:pt>
                <c:pt idx="79">
                  <c:v>1.9890000000000001</c:v>
                </c:pt>
                <c:pt idx="80">
                  <c:v>2.06</c:v>
                </c:pt>
                <c:pt idx="81">
                  <c:v>1.986</c:v>
                </c:pt>
                <c:pt idx="82">
                  <c:v>1.911</c:v>
                </c:pt>
                <c:pt idx="83">
                  <c:v>1.921</c:v>
                </c:pt>
                <c:pt idx="84">
                  <c:v>1.996</c:v>
                </c:pt>
                <c:pt idx="85">
                  <c:v>2.1</c:v>
                </c:pt>
                <c:pt idx="86">
                  <c:v>2.286</c:v>
                </c:pt>
                <c:pt idx="87">
                  <c:v>1.986</c:v>
                </c:pt>
                <c:pt idx="88">
                  <c:v>1.99</c:v>
                </c:pt>
                <c:pt idx="89">
                  <c:v>1.927</c:v>
                </c:pt>
                <c:pt idx="90">
                  <c:v>1.7490000000000001</c:v>
                </c:pt>
                <c:pt idx="91">
                  <c:v>1.595</c:v>
                </c:pt>
                <c:pt idx="92">
                  <c:v>1.474</c:v>
                </c:pt>
                <c:pt idx="93">
                  <c:v>1.659</c:v>
                </c:pt>
                <c:pt idx="94">
                  <c:v>1.65</c:v>
                </c:pt>
                <c:pt idx="95">
                  <c:v>1.635</c:v>
                </c:pt>
                <c:pt idx="96">
                  <c:v>1.671</c:v>
                </c:pt>
                <c:pt idx="97">
                  <c:v>1.6419999999999999</c:v>
                </c:pt>
                <c:pt idx="98">
                  <c:v>1.61</c:v>
                </c:pt>
                <c:pt idx="99">
                  <c:v>1.6739999999999999</c:v>
                </c:pt>
                <c:pt idx="100">
                  <c:v>1.6140000000000001</c:v>
                </c:pt>
                <c:pt idx="101">
                  <c:v>1.623</c:v>
                </c:pt>
                <c:pt idx="102">
                  <c:v>1.617</c:v>
                </c:pt>
                <c:pt idx="103">
                  <c:v>1.6890000000000001</c:v>
                </c:pt>
                <c:pt idx="104">
                  <c:v>1.681</c:v>
                </c:pt>
                <c:pt idx="105">
                  <c:v>1.7310000000000001</c:v>
                </c:pt>
                <c:pt idx="106">
                  <c:v>1.7410000000000001</c:v>
                </c:pt>
                <c:pt idx="107">
                  <c:v>1.631</c:v>
                </c:pt>
                <c:pt idx="108">
                  <c:v>1.7190000000000001</c:v>
                </c:pt>
                <c:pt idx="109">
                  <c:v>1.8069999999999999</c:v>
                </c:pt>
                <c:pt idx="110">
                  <c:v>1.7769999999999999</c:v>
                </c:pt>
                <c:pt idx="111">
                  <c:v>1.7949999999999999</c:v>
                </c:pt>
                <c:pt idx="112">
                  <c:v>1.706</c:v>
                </c:pt>
                <c:pt idx="113">
                  <c:v>1.71</c:v>
                </c:pt>
                <c:pt idx="114">
                  <c:v>1.7190000000000001</c:v>
                </c:pt>
                <c:pt idx="115">
                  <c:v>1.6659999999999999</c:v>
                </c:pt>
                <c:pt idx="116">
                  <c:v>1.665</c:v>
                </c:pt>
                <c:pt idx="117">
                  <c:v>1.6319999999999999</c:v>
                </c:pt>
                <c:pt idx="118">
                  <c:v>1.6220000000000001</c:v>
                </c:pt>
                <c:pt idx="119">
                  <c:v>1.494</c:v>
                </c:pt>
                <c:pt idx="120">
                  <c:v>1.3919999999999999</c:v>
                </c:pt>
                <c:pt idx="121">
                  <c:v>1.341</c:v>
                </c:pt>
                <c:pt idx="122">
                  <c:v>1.3859999999999999</c:v>
                </c:pt>
                <c:pt idx="123">
                  <c:v>1.458</c:v>
                </c:pt>
                <c:pt idx="124">
                  <c:v>1.4359999999999999</c:v>
                </c:pt>
                <c:pt idx="125">
                  <c:v>1.4570000000000001</c:v>
                </c:pt>
                <c:pt idx="126">
                  <c:v>1.579</c:v>
                </c:pt>
                <c:pt idx="127">
                  <c:v>1.55</c:v>
                </c:pt>
                <c:pt idx="128">
                  <c:v>1.379</c:v>
                </c:pt>
                <c:pt idx="129">
                  <c:v>1.569</c:v>
                </c:pt>
                <c:pt idx="130">
                  <c:v>1.7410000000000001</c:v>
                </c:pt>
                <c:pt idx="131">
                  <c:v>1.8069999999999999</c:v>
                </c:pt>
                <c:pt idx="132">
                  <c:v>1.8</c:v>
                </c:pt>
                <c:pt idx="133">
                  <c:v>1.8680000000000001</c:v>
                </c:pt>
                <c:pt idx="134">
                  <c:v>1.8839999999999999</c:v>
                </c:pt>
                <c:pt idx="135">
                  <c:v>1.8360000000000001</c:v>
                </c:pt>
                <c:pt idx="136">
                  <c:v>1.7470000000000001</c:v>
                </c:pt>
                <c:pt idx="137">
                  <c:v>1.8859999999999999</c:v>
                </c:pt>
                <c:pt idx="138">
                  <c:v>1.851</c:v>
                </c:pt>
                <c:pt idx="139">
                  <c:v>1.8380000000000001</c:v>
                </c:pt>
                <c:pt idx="140">
                  <c:v>1.8320000000000001</c:v>
                </c:pt>
                <c:pt idx="141">
                  <c:v>1.77</c:v>
                </c:pt>
                <c:pt idx="142">
                  <c:v>1.754</c:v>
                </c:pt>
                <c:pt idx="143">
                  <c:v>2.2400000000000002</c:v>
                </c:pt>
                <c:pt idx="144">
                  <c:v>2.2930000000000001</c:v>
                </c:pt>
                <c:pt idx="145">
                  <c:v>2.165</c:v>
                </c:pt>
                <c:pt idx="146">
                  <c:v>2.0670000000000002</c:v>
                </c:pt>
                <c:pt idx="147">
                  <c:v>2.0099999999999998</c:v>
                </c:pt>
                <c:pt idx="148">
                  <c:v>2.0329999999999999</c:v>
                </c:pt>
                <c:pt idx="149">
                  <c:v>1.931</c:v>
                </c:pt>
                <c:pt idx="150">
                  <c:v>1.853</c:v>
                </c:pt>
                <c:pt idx="151">
                  <c:v>1.948</c:v>
                </c:pt>
                <c:pt idx="152">
                  <c:v>1.978</c:v>
                </c:pt>
                <c:pt idx="153">
                  <c:v>2.0059999999999998</c:v>
                </c:pt>
                <c:pt idx="154">
                  <c:v>1.905</c:v>
                </c:pt>
                <c:pt idx="155">
                  <c:v>2.1419999999999999</c:v>
                </c:pt>
                <c:pt idx="156">
                  <c:v>2.036</c:v>
                </c:pt>
                <c:pt idx="157">
                  <c:v>2.2090000000000001</c:v>
                </c:pt>
                <c:pt idx="158">
                  <c:v>2.0630000000000002</c:v>
                </c:pt>
                <c:pt idx="159">
                  <c:v>1.992</c:v>
                </c:pt>
                <c:pt idx="160">
                  <c:v>1.9670000000000001</c:v>
                </c:pt>
                <c:pt idx="161">
                  <c:v>1.889</c:v>
                </c:pt>
                <c:pt idx="162">
                  <c:v>1.78</c:v>
                </c:pt>
                <c:pt idx="163">
                  <c:v>1.8089999999999999</c:v>
                </c:pt>
                <c:pt idx="164">
                  <c:v>1.92</c:v>
                </c:pt>
                <c:pt idx="165">
                  <c:v>1.9730000000000001</c:v>
                </c:pt>
                <c:pt idx="166">
                  <c:v>1.907</c:v>
                </c:pt>
                <c:pt idx="167">
                  <c:v>1.8919999999999999</c:v>
                </c:pt>
                <c:pt idx="168">
                  <c:v>1.7470000000000001</c:v>
                </c:pt>
                <c:pt idx="169">
                  <c:v>1.8360000000000001</c:v>
                </c:pt>
                <c:pt idx="170">
                  <c:v>1.7589999999999999</c:v>
                </c:pt>
                <c:pt idx="171">
                  <c:v>1.746</c:v>
                </c:pt>
                <c:pt idx="172">
                  <c:v>1.657</c:v>
                </c:pt>
                <c:pt idx="173">
                  <c:v>1.7869999999999999</c:v>
                </c:pt>
                <c:pt idx="174">
                  <c:v>1.756</c:v>
                </c:pt>
                <c:pt idx="175">
                  <c:v>1.6870000000000001</c:v>
                </c:pt>
                <c:pt idx="176">
                  <c:v>1.637</c:v>
                </c:pt>
                <c:pt idx="177">
                  <c:v>1.589</c:v>
                </c:pt>
                <c:pt idx="178">
                  <c:v>1.609</c:v>
                </c:pt>
                <c:pt idx="179">
                  <c:v>1.5569999999999999</c:v>
                </c:pt>
                <c:pt idx="180">
                  <c:v>1.63</c:v>
                </c:pt>
                <c:pt idx="181">
                  <c:v>1.573</c:v>
                </c:pt>
                <c:pt idx="182">
                  <c:v>1.524</c:v>
                </c:pt>
                <c:pt idx="183">
                  <c:v>1.429</c:v>
                </c:pt>
                <c:pt idx="184">
                  <c:v>1.43</c:v>
                </c:pt>
                <c:pt idx="185">
                  <c:v>1.3779999999999999</c:v>
                </c:pt>
                <c:pt idx="186">
                  <c:v>1.3520000000000001</c:v>
                </c:pt>
                <c:pt idx="187">
                  <c:v>1.3520000000000001</c:v>
                </c:pt>
                <c:pt idx="188">
                  <c:v>1.3420000000000001</c:v>
                </c:pt>
                <c:pt idx="189">
                  <c:v>1.292</c:v>
                </c:pt>
                <c:pt idx="190">
                  <c:v>1.2689999999999999</c:v>
                </c:pt>
                <c:pt idx="191">
                  <c:v>1.167</c:v>
                </c:pt>
                <c:pt idx="192">
                  <c:v>1.2270000000000001</c:v>
                </c:pt>
                <c:pt idx="193">
                  <c:v>1.3109999999999999</c:v>
                </c:pt>
                <c:pt idx="194">
                  <c:v>1.2929999999999999</c:v>
                </c:pt>
                <c:pt idx="195">
                  <c:v>1.28</c:v>
                </c:pt>
                <c:pt idx="196">
                  <c:v>1.3540000000000001</c:v>
                </c:pt>
                <c:pt idx="197">
                  <c:v>1.429</c:v>
                </c:pt>
                <c:pt idx="198">
                  <c:v>1.4390000000000001</c:v>
                </c:pt>
                <c:pt idx="199">
                  <c:v>1.504</c:v>
                </c:pt>
                <c:pt idx="200">
                  <c:v>1.5249999999999999</c:v>
                </c:pt>
                <c:pt idx="201">
                  <c:v>1.494</c:v>
                </c:pt>
                <c:pt idx="202">
                  <c:v>1.5349999999999999</c:v>
                </c:pt>
                <c:pt idx="203">
                  <c:v>1.528</c:v>
                </c:pt>
                <c:pt idx="204">
                  <c:v>1.667</c:v>
                </c:pt>
                <c:pt idx="205">
                  <c:v>1.6259999999999999</c:v>
                </c:pt>
                <c:pt idx="206">
                  <c:v>1.552</c:v>
                </c:pt>
                <c:pt idx="207">
                  <c:v>1.6220000000000001</c:v>
                </c:pt>
                <c:pt idx="208">
                  <c:v>1.601</c:v>
                </c:pt>
                <c:pt idx="209">
                  <c:v>1.573</c:v>
                </c:pt>
                <c:pt idx="210">
                  <c:v>1.5640000000000001</c:v>
                </c:pt>
                <c:pt idx="211">
                  <c:v>1.681</c:v>
                </c:pt>
                <c:pt idx="212">
                  <c:v>1.542</c:v>
                </c:pt>
                <c:pt idx="213">
                  <c:v>1.4</c:v>
                </c:pt>
                <c:pt idx="214">
                  <c:v>1.35</c:v>
                </c:pt>
                <c:pt idx="215">
                  <c:v>1.343</c:v>
                </c:pt>
                <c:pt idx="216">
                  <c:v>1.228</c:v>
                </c:pt>
                <c:pt idx="217">
                  <c:v>1.407</c:v>
                </c:pt>
                <c:pt idx="218">
                  <c:v>1.349</c:v>
                </c:pt>
                <c:pt idx="219">
                  <c:v>1.2270000000000001</c:v>
                </c:pt>
                <c:pt idx="220">
                  <c:v>1.3049999999999999</c:v>
                </c:pt>
                <c:pt idx="221">
                  <c:v>1.716</c:v>
                </c:pt>
                <c:pt idx="222">
                  <c:v>1.7430000000000001</c:v>
                </c:pt>
                <c:pt idx="223">
                  <c:v>1.7849999999999999</c:v>
                </c:pt>
                <c:pt idx="224">
                  <c:v>1.9450000000000001</c:v>
                </c:pt>
                <c:pt idx="225">
                  <c:v>2.081</c:v>
                </c:pt>
                <c:pt idx="226">
                  <c:v>1.86</c:v>
                </c:pt>
                <c:pt idx="227">
                  <c:v>1.903</c:v>
                </c:pt>
                <c:pt idx="228">
                  <c:v>1.915</c:v>
                </c:pt>
                <c:pt idx="229">
                  <c:v>1.6679999999999999</c:v>
                </c:pt>
                <c:pt idx="230">
                  <c:v>1.7869999999999999</c:v>
                </c:pt>
                <c:pt idx="231">
                  <c:v>1.8959999999999999</c:v>
                </c:pt>
                <c:pt idx="232">
                  <c:v>2.0760000000000001</c:v>
                </c:pt>
                <c:pt idx="233">
                  <c:v>1.984</c:v>
                </c:pt>
                <c:pt idx="234">
                  <c:v>2.0790000000000002</c:v>
                </c:pt>
                <c:pt idx="235">
                  <c:v>2.4119999999999999</c:v>
                </c:pt>
                <c:pt idx="236">
                  <c:v>2.081</c:v>
                </c:pt>
                <c:pt idx="237">
                  <c:v>2.1789999999999998</c:v>
                </c:pt>
                <c:pt idx="238">
                  <c:v>2.4079999999999999</c:v>
                </c:pt>
                <c:pt idx="239">
                  <c:v>2.4649999999999999</c:v>
                </c:pt>
                <c:pt idx="240">
                  <c:v>2.0339999999999998</c:v>
                </c:pt>
                <c:pt idx="241">
                  <c:v>1.6930000000000001</c:v>
                </c:pt>
                <c:pt idx="242">
                  <c:v>1.569</c:v>
                </c:pt>
                <c:pt idx="243">
                  <c:v>1.5349999999999999</c:v>
                </c:pt>
                <c:pt idx="244">
                  <c:v>1.6060000000000001</c:v>
                </c:pt>
                <c:pt idx="245">
                  <c:v>1.8759999999999999</c:v>
                </c:pt>
                <c:pt idx="246">
                  <c:v>2.0099999999999998</c:v>
                </c:pt>
                <c:pt idx="247">
                  <c:v>1.732</c:v>
                </c:pt>
                <c:pt idx="248">
                  <c:v>1.728</c:v>
                </c:pt>
                <c:pt idx="249">
                  <c:v>1.44</c:v>
                </c:pt>
                <c:pt idx="250">
                  <c:v>1.7150000000000001</c:v>
                </c:pt>
                <c:pt idx="251">
                  <c:v>1.913</c:v>
                </c:pt>
                <c:pt idx="252">
                  <c:v>2.1349999999999998</c:v>
                </c:pt>
                <c:pt idx="253">
                  <c:v>1.889</c:v>
                </c:pt>
                <c:pt idx="254">
                  <c:v>2.806</c:v>
                </c:pt>
                <c:pt idx="255">
                  <c:v>2.488</c:v>
                </c:pt>
                <c:pt idx="256">
                  <c:v>2.71</c:v>
                </c:pt>
                <c:pt idx="257">
                  <c:v>2.819</c:v>
                </c:pt>
                <c:pt idx="258">
                  <c:v>3.1539999999999999</c:v>
                </c:pt>
                <c:pt idx="259">
                  <c:v>2.9870000000000001</c:v>
                </c:pt>
                <c:pt idx="260">
                  <c:v>2.9260000000000002</c:v>
                </c:pt>
                <c:pt idx="261">
                  <c:v>3.387</c:v>
                </c:pt>
                <c:pt idx="262">
                  <c:v>3.3010000000000002</c:v>
                </c:pt>
                <c:pt idx="263">
                  <c:v>3.3679999999999999</c:v>
                </c:pt>
                <c:pt idx="264">
                  <c:v>3.4409999999999998</c:v>
                </c:pt>
                <c:pt idx="265">
                  <c:v>3.54</c:v>
                </c:pt>
                <c:pt idx="266">
                  <c:v>3.556</c:v>
                </c:pt>
                <c:pt idx="267">
                  <c:v>3.2839999999999998</c:v>
                </c:pt>
                <c:pt idx="268">
                  <c:v>2.9670000000000001</c:v>
                </c:pt>
                <c:pt idx="269">
                  <c:v>3.419</c:v>
                </c:pt>
                <c:pt idx="270">
                  <c:v>3.173</c:v>
                </c:pt>
                <c:pt idx="271">
                  <c:v>3.3319999999999999</c:v>
                </c:pt>
                <c:pt idx="272">
                  <c:v>3.2629999999999999</c:v>
                </c:pt>
                <c:pt idx="273">
                  <c:v>3.077</c:v>
                </c:pt>
                <c:pt idx="274">
                  <c:v>3.1190000000000002</c:v>
                </c:pt>
                <c:pt idx="275">
                  <c:v>3.25</c:v>
                </c:pt>
                <c:pt idx="276">
                  <c:v>2.7829999999999999</c:v>
                </c:pt>
                <c:pt idx="277">
                  <c:v>2.407</c:v>
                </c:pt>
                <c:pt idx="278">
                  <c:v>2.3610000000000002</c:v>
                </c:pt>
                <c:pt idx="279">
                  <c:v>2.544</c:v>
                </c:pt>
                <c:pt idx="280">
                  <c:v>2.6320000000000001</c:v>
                </c:pt>
                <c:pt idx="281">
                  <c:v>3.0259999999999998</c:v>
                </c:pt>
                <c:pt idx="282">
                  <c:v>2.956</c:v>
                </c:pt>
                <c:pt idx="283">
                  <c:v>2.786</c:v>
                </c:pt>
                <c:pt idx="284">
                  <c:v>3.0259999999999998</c:v>
                </c:pt>
                <c:pt idx="285">
                  <c:v>3.347</c:v>
                </c:pt>
                <c:pt idx="286">
                  <c:v>3.58</c:v>
                </c:pt>
                <c:pt idx="287">
                  <c:v>3.548</c:v>
                </c:pt>
                <c:pt idx="288">
                  <c:v>3.4060000000000001</c:v>
                </c:pt>
                <c:pt idx="289">
                  <c:v>3.5630000000000002</c:v>
                </c:pt>
                <c:pt idx="290">
                  <c:v>3.512</c:v>
                </c:pt>
                <c:pt idx="291">
                  <c:v>3.6669999999999998</c:v>
                </c:pt>
                <c:pt idx="292">
                  <c:v>3.778</c:v>
                </c:pt>
                <c:pt idx="293">
                  <c:v>3.407</c:v>
                </c:pt>
                <c:pt idx="294">
                  <c:v>3.3210000000000002</c:v>
                </c:pt>
                <c:pt idx="295">
                  <c:v>3.0680000000000001</c:v>
                </c:pt>
                <c:pt idx="296">
                  <c:v>3.448</c:v>
                </c:pt>
                <c:pt idx="297">
                  <c:v>3.278</c:v>
                </c:pt>
                <c:pt idx="298">
                  <c:v>3.3769999999999998</c:v>
                </c:pt>
                <c:pt idx="299">
                  <c:v>3.2490000000000001</c:v>
                </c:pt>
                <c:pt idx="300">
                  <c:v>3.04</c:v>
                </c:pt>
                <c:pt idx="301">
                  <c:v>2.92</c:v>
                </c:pt>
                <c:pt idx="302">
                  <c:v>2.72</c:v>
                </c:pt>
                <c:pt idx="303">
                  <c:v>2.802</c:v>
                </c:pt>
                <c:pt idx="304">
                  <c:v>2.7679999999999998</c:v>
                </c:pt>
                <c:pt idx="305">
                  <c:v>2.657</c:v>
                </c:pt>
                <c:pt idx="306">
                  <c:v>2.4670000000000001</c:v>
                </c:pt>
                <c:pt idx="307">
                  <c:v>2.4489999999999998</c:v>
                </c:pt>
                <c:pt idx="308">
                  <c:v>2.2770000000000001</c:v>
                </c:pt>
                <c:pt idx="309">
                  <c:v>2.37</c:v>
                </c:pt>
                <c:pt idx="310">
                  <c:v>2.6019999999999999</c:v>
                </c:pt>
                <c:pt idx="311">
                  <c:v>2.871</c:v>
                </c:pt>
                <c:pt idx="312">
                  <c:v>2.7330000000000001</c:v>
                </c:pt>
                <c:pt idx="313">
                  <c:v>2.7349999999999999</c:v>
                </c:pt>
                <c:pt idx="314">
                  <c:v>2.9089999999999998</c:v>
                </c:pt>
                <c:pt idx="315">
                  <c:v>2.7869999999999999</c:v>
                </c:pt>
                <c:pt idx="316">
                  <c:v>2.7559999999999998</c:v>
                </c:pt>
                <c:pt idx="317">
                  <c:v>2.222</c:v>
                </c:pt>
                <c:pt idx="318">
                  <c:v>2.056</c:v>
                </c:pt>
                <c:pt idx="319">
                  <c:v>2.1549999999999998</c:v>
                </c:pt>
                <c:pt idx="320">
                  <c:v>2.3159999999999998</c:v>
                </c:pt>
                <c:pt idx="321">
                  <c:v>2.2120000000000002</c:v>
                </c:pt>
                <c:pt idx="322">
                  <c:v>2.1960000000000002</c:v>
                </c:pt>
                <c:pt idx="323">
                  <c:v>2.0470000000000002</c:v>
                </c:pt>
                <c:pt idx="324">
                  <c:v>2.1800000000000002</c:v>
                </c:pt>
                <c:pt idx="325">
                  <c:v>2.1619999999999999</c:v>
                </c:pt>
                <c:pt idx="326">
                  <c:v>2.073</c:v>
                </c:pt>
                <c:pt idx="327">
                  <c:v>2.0550000000000002</c:v>
                </c:pt>
                <c:pt idx="328">
                  <c:v>2.1160000000000001</c:v>
                </c:pt>
                <c:pt idx="329">
                  <c:v>2.0059999999999998</c:v>
                </c:pt>
                <c:pt idx="330">
                  <c:v>1.8340000000000001</c:v>
                </c:pt>
                <c:pt idx="331">
                  <c:v>1.6679999999999999</c:v>
                </c:pt>
                <c:pt idx="332">
                  <c:v>1.6879999999999999</c:v>
                </c:pt>
                <c:pt idx="333">
                  <c:v>1.569</c:v>
                </c:pt>
                <c:pt idx="334">
                  <c:v>1.679</c:v>
                </c:pt>
                <c:pt idx="335">
                  <c:v>1.627</c:v>
                </c:pt>
                <c:pt idx="336">
                  <c:v>1.631</c:v>
                </c:pt>
                <c:pt idx="337">
                  <c:v>1.6319999999999999</c:v>
                </c:pt>
                <c:pt idx="338">
                  <c:v>1.6020000000000001</c:v>
                </c:pt>
                <c:pt idx="339">
                  <c:v>1.972</c:v>
                </c:pt>
                <c:pt idx="340">
                  <c:v>2.1880000000000002</c:v>
                </c:pt>
                <c:pt idx="341">
                  <c:v>2.0699999999999998</c:v>
                </c:pt>
                <c:pt idx="342">
                  <c:v>2.1869999999999998</c:v>
                </c:pt>
                <c:pt idx="343">
                  <c:v>2.2189999999999999</c:v>
                </c:pt>
                <c:pt idx="344">
                  <c:v>2.1230000000000002</c:v>
                </c:pt>
                <c:pt idx="345">
                  <c:v>2.0489999999999999</c:v>
                </c:pt>
                <c:pt idx="346">
                  <c:v>2.1080000000000001</c:v>
                </c:pt>
                <c:pt idx="347">
                  <c:v>2.1280000000000001</c:v>
                </c:pt>
                <c:pt idx="348">
                  <c:v>2.34</c:v>
                </c:pt>
                <c:pt idx="349">
                  <c:v>2.3889999999999998</c:v>
                </c:pt>
                <c:pt idx="350">
                  <c:v>2.3580000000000001</c:v>
                </c:pt>
                <c:pt idx="351">
                  <c:v>2.3439999999999999</c:v>
                </c:pt>
                <c:pt idx="352">
                  <c:v>2.012</c:v>
                </c:pt>
                <c:pt idx="353">
                  <c:v>1.835</c:v>
                </c:pt>
                <c:pt idx="354">
                  <c:v>1.752</c:v>
                </c:pt>
                <c:pt idx="355">
                  <c:v>1.7829999999999999</c:v>
                </c:pt>
                <c:pt idx="356">
                  <c:v>2.0019999999999998</c:v>
                </c:pt>
                <c:pt idx="357">
                  <c:v>1.5669999999999999</c:v>
                </c:pt>
                <c:pt idx="358">
                  <c:v>1.4870000000000001</c:v>
                </c:pt>
                <c:pt idx="359">
                  <c:v>1.4139999999999999</c:v>
                </c:pt>
                <c:pt idx="360">
                  <c:v>1.403</c:v>
                </c:pt>
                <c:pt idx="361">
                  <c:v>1.2909999999999999</c:v>
                </c:pt>
                <c:pt idx="362">
                  <c:v>1.379</c:v>
                </c:pt>
                <c:pt idx="363">
                  <c:v>1.2589999999999999</c:v>
                </c:pt>
                <c:pt idx="364">
                  <c:v>1.278</c:v>
                </c:pt>
                <c:pt idx="365">
                  <c:v>1.181</c:v>
                </c:pt>
                <c:pt idx="366">
                  <c:v>1.3180000000000001</c:v>
                </c:pt>
                <c:pt idx="367">
                  <c:v>1.319</c:v>
                </c:pt>
                <c:pt idx="368">
                  <c:v>1.3819999999999999</c:v>
                </c:pt>
                <c:pt idx="369">
                  <c:v>1.363</c:v>
                </c:pt>
                <c:pt idx="370">
                  <c:v>1.3640000000000001</c:v>
                </c:pt>
                <c:pt idx="371">
                  <c:v>1.3839999999999999</c:v>
                </c:pt>
                <c:pt idx="372">
                  <c:v>1.29</c:v>
                </c:pt>
                <c:pt idx="373">
                  <c:v>1.262</c:v>
                </c:pt>
                <c:pt idx="374">
                  <c:v>1.3360000000000001</c:v>
                </c:pt>
                <c:pt idx="375">
                  <c:v>1.234</c:v>
                </c:pt>
                <c:pt idx="376">
                  <c:v>1.276</c:v>
                </c:pt>
                <c:pt idx="377">
                  <c:v>1.234</c:v>
                </c:pt>
                <c:pt idx="378">
                  <c:v>1.0720000000000001</c:v>
                </c:pt>
                <c:pt idx="379">
                  <c:v>1.0980000000000001</c:v>
                </c:pt>
                <c:pt idx="380">
                  <c:v>0.998</c:v>
                </c:pt>
                <c:pt idx="381">
                  <c:v>0.97799999999999998</c:v>
                </c:pt>
                <c:pt idx="382">
                  <c:v>1.1339999999999999</c:v>
                </c:pt>
                <c:pt idx="383">
                  <c:v>1.1870000000000001</c:v>
                </c:pt>
                <c:pt idx="384">
                  <c:v>1.1259999999999999</c:v>
                </c:pt>
                <c:pt idx="385">
                  <c:v>1.0609999999999999</c:v>
                </c:pt>
                <c:pt idx="386">
                  <c:v>1.181</c:v>
                </c:pt>
                <c:pt idx="387">
                  <c:v>0.90900000000000003</c:v>
                </c:pt>
                <c:pt idx="388">
                  <c:v>0.82199999999999995</c:v>
                </c:pt>
                <c:pt idx="389">
                  <c:v>0.82899999999999996</c:v>
                </c:pt>
                <c:pt idx="390">
                  <c:v>0.78400000000000003</c:v>
                </c:pt>
                <c:pt idx="391">
                  <c:v>0.79900000000000004</c:v>
                </c:pt>
                <c:pt idx="392">
                  <c:v>0.79900000000000004</c:v>
                </c:pt>
                <c:pt idx="393">
                  <c:v>0.80700000000000005</c:v>
                </c:pt>
                <c:pt idx="394">
                  <c:v>0.82599999999999996</c:v>
                </c:pt>
                <c:pt idx="395">
                  <c:v>0.85799999999999998</c:v>
                </c:pt>
                <c:pt idx="396">
                  <c:v>0.81200000000000006</c:v>
                </c:pt>
                <c:pt idx="397">
                  <c:v>0.79700000000000004</c:v>
                </c:pt>
                <c:pt idx="398">
                  <c:v>0.83</c:v>
                </c:pt>
                <c:pt idx="399">
                  <c:v>0.81899999999999995</c:v>
                </c:pt>
                <c:pt idx="400">
                  <c:v>0.755</c:v>
                </c:pt>
                <c:pt idx="401">
                  <c:v>0.89200000000000002</c:v>
                </c:pt>
                <c:pt idx="402">
                  <c:v>0.872</c:v>
                </c:pt>
                <c:pt idx="403">
                  <c:v>0.92100000000000004</c:v>
                </c:pt>
                <c:pt idx="404">
                  <c:v>0.94699999999999995</c:v>
                </c:pt>
                <c:pt idx="405">
                  <c:v>0.94399999999999995</c:v>
                </c:pt>
                <c:pt idx="406">
                  <c:v>0.92500000000000004</c:v>
                </c:pt>
                <c:pt idx="407">
                  <c:v>0.94</c:v>
                </c:pt>
                <c:pt idx="408">
                  <c:v>0.95</c:v>
                </c:pt>
                <c:pt idx="409">
                  <c:v>0.91</c:v>
                </c:pt>
                <c:pt idx="410">
                  <c:v>0.92200000000000004</c:v>
                </c:pt>
                <c:pt idx="411">
                  <c:v>0.89300000000000002</c:v>
                </c:pt>
                <c:pt idx="412">
                  <c:v>0.86699999999999999</c:v>
                </c:pt>
                <c:pt idx="413">
                  <c:v>0.86399999999999999</c:v>
                </c:pt>
                <c:pt idx="414">
                  <c:v>0.89400000000000002</c:v>
                </c:pt>
                <c:pt idx="415">
                  <c:v>0.89300000000000002</c:v>
                </c:pt>
                <c:pt idx="416">
                  <c:v>0.95399999999999996</c:v>
                </c:pt>
                <c:pt idx="417">
                  <c:v>0.97699999999999998</c:v>
                </c:pt>
                <c:pt idx="418">
                  <c:v>0.97299999999999998</c:v>
                </c:pt>
                <c:pt idx="419">
                  <c:v>0.92700000000000005</c:v>
                </c:pt>
                <c:pt idx="420">
                  <c:v>1.012</c:v>
                </c:pt>
                <c:pt idx="421">
                  <c:v>1.0269999999999999</c:v>
                </c:pt>
                <c:pt idx="422">
                  <c:v>0.98699999999999999</c:v>
                </c:pt>
                <c:pt idx="423">
                  <c:v>1.0580000000000001</c:v>
                </c:pt>
                <c:pt idx="424">
                  <c:v>1.022</c:v>
                </c:pt>
                <c:pt idx="425">
                  <c:v>1.0129999999999999</c:v>
                </c:pt>
                <c:pt idx="426">
                  <c:v>0.96299999999999997</c:v>
                </c:pt>
                <c:pt idx="427">
                  <c:v>0.98099999999999998</c:v>
                </c:pt>
                <c:pt idx="428">
                  <c:v>1.157</c:v>
                </c:pt>
                <c:pt idx="429">
                  <c:v>1.1299999999999999</c:v>
                </c:pt>
                <c:pt idx="430">
                  <c:v>1.109</c:v>
                </c:pt>
                <c:pt idx="431">
                  <c:v>1.0209999999999999</c:v>
                </c:pt>
                <c:pt idx="432">
                  <c:v>1.0580000000000001</c:v>
                </c:pt>
                <c:pt idx="433">
                  <c:v>0.94</c:v>
                </c:pt>
                <c:pt idx="434">
                  <c:v>0.91200000000000003</c:v>
                </c:pt>
                <c:pt idx="435">
                  <c:v>0.92600000000000005</c:v>
                </c:pt>
                <c:pt idx="436">
                  <c:v>0.98599999999999999</c:v>
                </c:pt>
                <c:pt idx="437">
                  <c:v>0.94799999999999995</c:v>
                </c:pt>
                <c:pt idx="438">
                  <c:v>0.89100000000000001</c:v>
                </c:pt>
                <c:pt idx="439">
                  <c:v>0.89300000000000002</c:v>
                </c:pt>
                <c:pt idx="440">
                  <c:v>0.92500000000000004</c:v>
                </c:pt>
                <c:pt idx="441">
                  <c:v>0.86199999999999999</c:v>
                </c:pt>
                <c:pt idx="442">
                  <c:v>0.88900000000000001</c:v>
                </c:pt>
                <c:pt idx="443">
                  <c:v>0.879</c:v>
                </c:pt>
                <c:pt idx="444">
                  <c:v>0.81200000000000006</c:v>
                </c:pt>
                <c:pt idx="445">
                  <c:v>0.82</c:v>
                </c:pt>
                <c:pt idx="446">
                  <c:v>0.77700000000000002</c:v>
                </c:pt>
                <c:pt idx="447">
                  <c:v>0.81399999999999995</c:v>
                </c:pt>
                <c:pt idx="448">
                  <c:v>0.76</c:v>
                </c:pt>
                <c:pt idx="449">
                  <c:v>0.70699999999999996</c:v>
                </c:pt>
                <c:pt idx="450">
                  <c:v>0.74199999999999999</c:v>
                </c:pt>
                <c:pt idx="451">
                  <c:v>0.77700000000000002</c:v>
                </c:pt>
                <c:pt idx="452">
                  <c:v>0.79200000000000004</c:v>
                </c:pt>
                <c:pt idx="453">
                  <c:v>0.78700000000000003</c:v>
                </c:pt>
                <c:pt idx="454">
                  <c:v>0.79800000000000004</c:v>
                </c:pt>
                <c:pt idx="455">
                  <c:v>0.81599999999999995</c:v>
                </c:pt>
                <c:pt idx="456">
                  <c:v>0.85899999999999999</c:v>
                </c:pt>
                <c:pt idx="457">
                  <c:v>0.90800000000000003</c:v>
                </c:pt>
                <c:pt idx="458">
                  <c:v>0.89200000000000002</c:v>
                </c:pt>
                <c:pt idx="459">
                  <c:v>0.90300000000000002</c:v>
                </c:pt>
                <c:pt idx="460">
                  <c:v>0.92900000000000005</c:v>
                </c:pt>
                <c:pt idx="461">
                  <c:v>0.93400000000000005</c:v>
                </c:pt>
                <c:pt idx="462">
                  <c:v>0.94199999999999995</c:v>
                </c:pt>
                <c:pt idx="463">
                  <c:v>0.93</c:v>
                </c:pt>
                <c:pt idx="464">
                  <c:v>0.86199999999999999</c:v>
                </c:pt>
                <c:pt idx="465">
                  <c:v>0.90900000000000003</c:v>
                </c:pt>
                <c:pt idx="466">
                  <c:v>0.93300000000000005</c:v>
                </c:pt>
                <c:pt idx="467">
                  <c:v>0.91900000000000004</c:v>
                </c:pt>
                <c:pt idx="468">
                  <c:v>0.89700000000000002</c:v>
                </c:pt>
                <c:pt idx="469">
                  <c:v>0.92900000000000005</c:v>
                </c:pt>
                <c:pt idx="470">
                  <c:v>0.94099999999999995</c:v>
                </c:pt>
                <c:pt idx="471">
                  <c:v>0.99099999999999999</c:v>
                </c:pt>
                <c:pt idx="472">
                  <c:v>1.0109999999999999</c:v>
                </c:pt>
                <c:pt idx="473">
                  <c:v>0.96</c:v>
                </c:pt>
                <c:pt idx="474">
                  <c:v>0.97</c:v>
                </c:pt>
                <c:pt idx="475">
                  <c:v>0.96</c:v>
                </c:pt>
                <c:pt idx="476">
                  <c:v>0.92400000000000004</c:v>
                </c:pt>
                <c:pt idx="477">
                  <c:v>0.91500000000000004</c:v>
                </c:pt>
                <c:pt idx="478">
                  <c:v>0.86</c:v>
                </c:pt>
                <c:pt idx="479">
                  <c:v>0.92400000000000004</c:v>
                </c:pt>
                <c:pt idx="480">
                  <c:v>0.92500000000000004</c:v>
                </c:pt>
                <c:pt idx="481">
                  <c:v>0.91200000000000003</c:v>
                </c:pt>
                <c:pt idx="482">
                  <c:v>0.92300000000000004</c:v>
                </c:pt>
                <c:pt idx="483">
                  <c:v>0.95299999999999996</c:v>
                </c:pt>
                <c:pt idx="484">
                  <c:v>0.98</c:v>
                </c:pt>
                <c:pt idx="485">
                  <c:v>0.99</c:v>
                </c:pt>
                <c:pt idx="486">
                  <c:v>0.99199999999999999</c:v>
                </c:pt>
                <c:pt idx="487">
                  <c:v>1.008</c:v>
                </c:pt>
                <c:pt idx="488">
                  <c:v>1.022</c:v>
                </c:pt>
                <c:pt idx="489">
                  <c:v>0.98</c:v>
                </c:pt>
                <c:pt idx="490">
                  <c:v>0.94</c:v>
                </c:pt>
                <c:pt idx="491">
                  <c:v>0.85799999999999998</c:v>
                </c:pt>
                <c:pt idx="492">
                  <c:v>0.94199999999999995</c:v>
                </c:pt>
                <c:pt idx="493">
                  <c:v>0.90500000000000003</c:v>
                </c:pt>
                <c:pt idx="494">
                  <c:v>1.0109999999999999</c:v>
                </c:pt>
                <c:pt idx="495">
                  <c:v>1.0569999999999999</c:v>
                </c:pt>
                <c:pt idx="496">
                  <c:v>1.06</c:v>
                </c:pt>
                <c:pt idx="497">
                  <c:v>1.1180000000000001</c:v>
                </c:pt>
                <c:pt idx="498">
                  <c:v>1.157</c:v>
                </c:pt>
                <c:pt idx="499">
                  <c:v>1.1719999999999999</c:v>
                </c:pt>
                <c:pt idx="500">
                  <c:v>1.2210000000000001</c:v>
                </c:pt>
                <c:pt idx="501">
                  <c:v>1.226</c:v>
                </c:pt>
                <c:pt idx="502">
                  <c:v>1.3240000000000001</c:v>
                </c:pt>
                <c:pt idx="503">
                  <c:v>1.2270000000000001</c:v>
                </c:pt>
                <c:pt idx="504">
                  <c:v>1.2370000000000001</c:v>
                </c:pt>
                <c:pt idx="505">
                  <c:v>1.222</c:v>
                </c:pt>
                <c:pt idx="506">
                  <c:v>1.179</c:v>
                </c:pt>
                <c:pt idx="507">
                  <c:v>1.246</c:v>
                </c:pt>
                <c:pt idx="508">
                  <c:v>1.2989999999999999</c:v>
                </c:pt>
                <c:pt idx="509">
                  <c:v>1.181</c:v>
                </c:pt>
                <c:pt idx="510">
                  <c:v>1.3380000000000001</c:v>
                </c:pt>
                <c:pt idx="511">
                  <c:v>1.266</c:v>
                </c:pt>
                <c:pt idx="512">
                  <c:v>1.659</c:v>
                </c:pt>
                <c:pt idx="513">
                  <c:v>1.7430000000000001</c:v>
                </c:pt>
                <c:pt idx="514">
                  <c:v>1.802</c:v>
                </c:pt>
                <c:pt idx="515">
                  <c:v>1.706</c:v>
                </c:pt>
                <c:pt idx="516">
                  <c:v>1.653</c:v>
                </c:pt>
                <c:pt idx="517">
                  <c:v>1.5880000000000001</c:v>
                </c:pt>
                <c:pt idx="518">
                  <c:v>1.5489999999999999</c:v>
                </c:pt>
                <c:pt idx="519">
                  <c:v>1.627</c:v>
                </c:pt>
                <c:pt idx="520">
                  <c:v>1.5860000000000001</c:v>
                </c:pt>
                <c:pt idx="521">
                  <c:v>1.6839999999999999</c:v>
                </c:pt>
                <c:pt idx="522">
                  <c:v>1.708</c:v>
                </c:pt>
                <c:pt idx="523">
                  <c:v>1.7210000000000001</c:v>
                </c:pt>
                <c:pt idx="524">
                  <c:v>1.65</c:v>
                </c:pt>
                <c:pt idx="525">
                  <c:v>1.71</c:v>
                </c:pt>
                <c:pt idx="526">
                  <c:v>1.591</c:v>
                </c:pt>
                <c:pt idx="527">
                  <c:v>1.669</c:v>
                </c:pt>
                <c:pt idx="528">
                  <c:v>1.772</c:v>
                </c:pt>
                <c:pt idx="529">
                  <c:v>1.877</c:v>
                </c:pt>
                <c:pt idx="530">
                  <c:v>1.8420000000000001</c:v>
                </c:pt>
                <c:pt idx="531">
                  <c:v>1.8759999999999999</c:v>
                </c:pt>
                <c:pt idx="532">
                  <c:v>1.746</c:v>
                </c:pt>
                <c:pt idx="533">
                  <c:v>1.6830000000000001</c:v>
                </c:pt>
                <c:pt idx="534">
                  <c:v>1.61</c:v>
                </c:pt>
                <c:pt idx="535">
                  <c:v>1.7150000000000001</c:v>
                </c:pt>
                <c:pt idx="536">
                  <c:v>1.7869999999999999</c:v>
                </c:pt>
                <c:pt idx="537">
                  <c:v>1.6819999999999999</c:v>
                </c:pt>
                <c:pt idx="538">
                  <c:v>1.5269999999999999</c:v>
                </c:pt>
                <c:pt idx="539">
                  <c:v>1.603</c:v>
                </c:pt>
                <c:pt idx="540">
                  <c:v>1.5269999999999999</c:v>
                </c:pt>
                <c:pt idx="541">
                  <c:v>1.482</c:v>
                </c:pt>
                <c:pt idx="542">
                  <c:v>1.391</c:v>
                </c:pt>
                <c:pt idx="543">
                  <c:v>1.411</c:v>
                </c:pt>
                <c:pt idx="544">
                  <c:v>1.48</c:v>
                </c:pt>
                <c:pt idx="545">
                  <c:v>1.4670000000000001</c:v>
                </c:pt>
                <c:pt idx="546">
                  <c:v>1.4430000000000001</c:v>
                </c:pt>
                <c:pt idx="547">
                  <c:v>1.419</c:v>
                </c:pt>
                <c:pt idx="548">
                  <c:v>1.4630000000000001</c:v>
                </c:pt>
                <c:pt idx="549">
                  <c:v>1.375</c:v>
                </c:pt>
                <c:pt idx="550">
                  <c:v>1.5109999999999999</c:v>
                </c:pt>
                <c:pt idx="551">
                  <c:v>1.5369999999999999</c:v>
                </c:pt>
                <c:pt idx="552">
                  <c:v>1.587</c:v>
                </c:pt>
                <c:pt idx="553">
                  <c:v>1.6020000000000001</c:v>
                </c:pt>
                <c:pt idx="554">
                  <c:v>1.64</c:v>
                </c:pt>
                <c:pt idx="555">
                  <c:v>1.6559999999999999</c:v>
                </c:pt>
                <c:pt idx="556">
                  <c:v>1.635</c:v>
                </c:pt>
                <c:pt idx="557">
                  <c:v>1.6910000000000001</c:v>
                </c:pt>
                <c:pt idx="558">
                  <c:v>1.8260000000000001</c:v>
                </c:pt>
                <c:pt idx="559">
                  <c:v>1.637</c:v>
                </c:pt>
                <c:pt idx="560">
                  <c:v>1.573</c:v>
                </c:pt>
                <c:pt idx="561">
                  <c:v>1.585</c:v>
                </c:pt>
                <c:pt idx="562">
                  <c:v>1.6</c:v>
                </c:pt>
                <c:pt idx="563">
                  <c:v>1.524</c:v>
                </c:pt>
                <c:pt idx="564">
                  <c:v>1.613</c:v>
                </c:pt>
                <c:pt idx="565">
                  <c:v>1.643</c:v>
                </c:pt>
                <c:pt idx="566">
                  <c:v>1.6180000000000001</c:v>
                </c:pt>
                <c:pt idx="567">
                  <c:v>1.671</c:v>
                </c:pt>
                <c:pt idx="568">
                  <c:v>1.5860000000000001</c:v>
                </c:pt>
                <c:pt idx="569">
                  <c:v>1.5840000000000001</c:v>
                </c:pt>
                <c:pt idx="570">
                  <c:v>1.671</c:v>
                </c:pt>
                <c:pt idx="571">
                  <c:v>1.607</c:v>
                </c:pt>
                <c:pt idx="572">
                  <c:v>1.655</c:v>
                </c:pt>
                <c:pt idx="573">
                  <c:v>1.8580000000000001</c:v>
                </c:pt>
                <c:pt idx="574">
                  <c:v>1.532</c:v>
                </c:pt>
                <c:pt idx="575">
                  <c:v>1.339</c:v>
                </c:pt>
                <c:pt idx="576">
                  <c:v>1.21</c:v>
                </c:pt>
                <c:pt idx="577">
                  <c:v>1.173</c:v>
                </c:pt>
                <c:pt idx="578">
                  <c:v>1.097</c:v>
                </c:pt>
                <c:pt idx="579">
                  <c:v>1.0649999999999999</c:v>
                </c:pt>
                <c:pt idx="580">
                  <c:v>1.1599999999999999</c:v>
                </c:pt>
                <c:pt idx="581">
                  <c:v>1.1539999999999999</c:v>
                </c:pt>
                <c:pt idx="582">
                  <c:v>1.1759999999999999</c:v>
                </c:pt>
                <c:pt idx="583">
                  <c:v>1.2050000000000001</c:v>
                </c:pt>
                <c:pt idx="584">
                  <c:v>1.246</c:v>
                </c:pt>
                <c:pt idx="585">
                  <c:v>1.228</c:v>
                </c:pt>
                <c:pt idx="586">
                  <c:v>1.2889999999999999</c:v>
                </c:pt>
                <c:pt idx="587">
                  <c:v>1.1950000000000001</c:v>
                </c:pt>
                <c:pt idx="588">
                  <c:v>1.151</c:v>
                </c:pt>
                <c:pt idx="589">
                  <c:v>1.1950000000000001</c:v>
                </c:pt>
                <c:pt idx="590">
                  <c:v>1.256</c:v>
                </c:pt>
                <c:pt idx="591">
                  <c:v>1.165</c:v>
                </c:pt>
                <c:pt idx="592">
                  <c:v>1.171</c:v>
                </c:pt>
                <c:pt idx="593">
                  <c:v>1.2030000000000001</c:v>
                </c:pt>
                <c:pt idx="594">
                  <c:v>1.2789999999999999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5D-48AD-8650-C55390364B6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1.3781045419055609</c:v>
                </c:pt>
                <c:pt idx="1">
                  <c:v>1.3846847562707782</c:v>
                </c:pt>
                <c:pt idx="2">
                  <c:v>1.3617096601842915</c:v>
                </c:pt>
                <c:pt idx="3">
                  <c:v>1.3540999835244978</c:v>
                </c:pt>
                <c:pt idx="4">
                  <c:v>1.2941357103977373</c:v>
                </c:pt>
                <c:pt idx="5">
                  <c:v>1.2895904131596418</c:v>
                </c:pt>
                <c:pt idx="6">
                  <c:v>1.1974825427596421</c:v>
                </c:pt>
                <c:pt idx="7">
                  <c:v>1.2803718717475208</c:v>
                </c:pt>
                <c:pt idx="8">
                  <c:v>1.277323008152015</c:v>
                </c:pt>
                <c:pt idx="9">
                  <c:v>1.2566510246678522</c:v>
                </c:pt>
                <c:pt idx="10">
                  <c:v>1.2955886749856094</c:v>
                </c:pt>
                <c:pt idx="11">
                  <c:v>1.2589592888621524</c:v>
                </c:pt>
                <c:pt idx="12">
                  <c:v>1.2425597894985161</c:v>
                </c:pt>
                <c:pt idx="13">
                  <c:v>1.2305525315716868</c:v>
                </c:pt>
                <c:pt idx="14">
                  <c:v>1.2186598679131502</c:v>
                </c:pt>
                <c:pt idx="15">
                  <c:v>1.233051009147718</c:v>
                </c:pt>
                <c:pt idx="16">
                  <c:v>1.2149734706956634</c:v>
                </c:pt>
                <c:pt idx="17">
                  <c:v>1.2230582378956634</c:v>
                </c:pt>
                <c:pt idx="18">
                  <c:v>1.2246394940967806</c:v>
                </c:pt>
                <c:pt idx="19">
                  <c:v>1.2744255582073336</c:v>
                </c:pt>
                <c:pt idx="20">
                  <c:v>1.2653291142487846</c:v>
                </c:pt>
                <c:pt idx="21">
                  <c:v>1.1508816333318792</c:v>
                </c:pt>
                <c:pt idx="22">
                  <c:v>1.131665035835105</c:v>
                </c:pt>
                <c:pt idx="23">
                  <c:v>1.146773813722429</c:v>
                </c:pt>
                <c:pt idx="24">
                  <c:v>1.1610291706113178</c:v>
                </c:pt>
                <c:pt idx="25">
                  <c:v>1.1722713078643299</c:v>
                </c:pt>
                <c:pt idx="26">
                  <c:v>1.1589918484437689</c:v>
                </c:pt>
                <c:pt idx="27">
                  <c:v>1.1437618547253223</c:v>
                </c:pt>
                <c:pt idx="28">
                  <c:v>1.1470753792253223</c:v>
                </c:pt>
                <c:pt idx="29">
                  <c:v>1.1354096069753223</c:v>
                </c:pt>
                <c:pt idx="30">
                  <c:v>1.1439765522031704</c:v>
                </c:pt>
                <c:pt idx="31">
                  <c:v>1.1587282397031704</c:v>
                </c:pt>
                <c:pt idx="32">
                  <c:v>1.1707581430365037</c:v>
                </c:pt>
                <c:pt idx="33">
                  <c:v>1.1624199457996618</c:v>
                </c:pt>
                <c:pt idx="34">
                  <c:v>1.1602471575496618</c:v>
                </c:pt>
                <c:pt idx="35">
                  <c:v>1.1686248910631754</c:v>
                </c:pt>
                <c:pt idx="36">
                  <c:v>1.1541348404050558</c:v>
                </c:pt>
                <c:pt idx="37">
                  <c:v>1.1391420256682137</c:v>
                </c:pt>
                <c:pt idx="38">
                  <c:v>1.1339131403168621</c:v>
                </c:pt>
                <c:pt idx="39">
                  <c:v>1.1337684841932667</c:v>
                </c:pt>
                <c:pt idx="40">
                  <c:v>1.1430122284432667</c:v>
                </c:pt>
                <c:pt idx="41">
                  <c:v>1.1402556239534707</c:v>
                </c:pt>
                <c:pt idx="42">
                  <c:v>1.1426785685480652</c:v>
                </c:pt>
                <c:pt idx="43">
                  <c:v>1.1519264547875019</c:v>
                </c:pt>
                <c:pt idx="44">
                  <c:v>1.1399851166811188</c:v>
                </c:pt>
                <c:pt idx="45">
                  <c:v>1.132327738659141</c:v>
                </c:pt>
                <c:pt idx="46">
                  <c:v>1.1459621350955045</c:v>
                </c:pt>
                <c:pt idx="47">
                  <c:v>1.1406948428732824</c:v>
                </c:pt>
                <c:pt idx="48">
                  <c:v>1.1398125447757212</c:v>
                </c:pt>
                <c:pt idx="49">
                  <c:v>1.1573568597757211</c:v>
                </c:pt>
                <c:pt idx="50">
                  <c:v>1.1947898038740818</c:v>
                </c:pt>
                <c:pt idx="51">
                  <c:v>1.1806542392205386</c:v>
                </c:pt>
                <c:pt idx="52">
                  <c:v>1.1535843878705385</c:v>
                </c:pt>
                <c:pt idx="53">
                  <c:v>1.1195351023427609</c:v>
                </c:pt>
                <c:pt idx="54">
                  <c:v>1.1396051772537927</c:v>
                </c:pt>
                <c:pt idx="55">
                  <c:v>1.1376092680796692</c:v>
                </c:pt>
                <c:pt idx="56">
                  <c:v>1.1494778960434702</c:v>
                </c:pt>
                <c:pt idx="57">
                  <c:v>1.1526845942398987</c:v>
                </c:pt>
                <c:pt idx="58">
                  <c:v>1.1597576227220416</c:v>
                </c:pt>
                <c:pt idx="59">
                  <c:v>1.1759177137655197</c:v>
                </c:pt>
                <c:pt idx="60">
                  <c:v>1.1623064131124585</c:v>
                </c:pt>
                <c:pt idx="61">
                  <c:v>1.1269409559855927</c:v>
                </c:pt>
                <c:pt idx="62">
                  <c:v>1.2085972369638542</c:v>
                </c:pt>
                <c:pt idx="63">
                  <c:v>1.0952401557832374</c:v>
                </c:pt>
                <c:pt idx="64">
                  <c:v>1.0675829650855628</c:v>
                </c:pt>
                <c:pt idx="65">
                  <c:v>1.0721654791908262</c:v>
                </c:pt>
                <c:pt idx="66">
                  <c:v>1.0461253405466544</c:v>
                </c:pt>
                <c:pt idx="67">
                  <c:v>1.0559905671876799</c:v>
                </c:pt>
                <c:pt idx="68">
                  <c:v>1.05663610488631</c:v>
                </c:pt>
                <c:pt idx="69">
                  <c:v>1.0445421697590374</c:v>
                </c:pt>
                <c:pt idx="70">
                  <c:v>1.030740986544272</c:v>
                </c:pt>
                <c:pt idx="71">
                  <c:v>1.0576001770442722</c:v>
                </c:pt>
                <c:pt idx="72">
                  <c:v>1.0295337524035535</c:v>
                </c:pt>
                <c:pt idx="73">
                  <c:v>1.0430174987532039</c:v>
                </c:pt>
                <c:pt idx="74">
                  <c:v>1.0521594213678827</c:v>
                </c:pt>
                <c:pt idx="75">
                  <c:v>1.0400494496178829</c:v>
                </c:pt>
                <c:pt idx="76">
                  <c:v>1.0355404612935586</c:v>
                </c:pt>
                <c:pt idx="77">
                  <c:v>1.0361443322166353</c:v>
                </c:pt>
                <c:pt idx="78">
                  <c:v>1.0292562716561959</c:v>
                </c:pt>
                <c:pt idx="79">
                  <c:v>1.0427683332778175</c:v>
                </c:pt>
                <c:pt idx="80">
                  <c:v>1.0584139228333729</c:v>
                </c:pt>
                <c:pt idx="81">
                  <c:v>1.0160811688333728</c:v>
                </c:pt>
                <c:pt idx="82">
                  <c:v>0.9960319190627307</c:v>
                </c:pt>
                <c:pt idx="83">
                  <c:v>0.97196805622402094</c:v>
                </c:pt>
                <c:pt idx="84">
                  <c:v>0.98223867787107977</c:v>
                </c:pt>
                <c:pt idx="85">
                  <c:v>0.99507749096424747</c:v>
                </c:pt>
                <c:pt idx="86">
                  <c:v>1.0072126929973599</c:v>
                </c:pt>
                <c:pt idx="87">
                  <c:v>0.89557663148815736</c:v>
                </c:pt>
                <c:pt idx="88">
                  <c:v>0.97048691176710478</c:v>
                </c:pt>
                <c:pt idx="89">
                  <c:v>1.0273198231058518</c:v>
                </c:pt>
                <c:pt idx="90">
                  <c:v>0.94958541037273292</c:v>
                </c:pt>
                <c:pt idx="91">
                  <c:v>0.91618345815586544</c:v>
                </c:pt>
                <c:pt idx="92">
                  <c:v>0.90204837704406404</c:v>
                </c:pt>
                <c:pt idx="93">
                  <c:v>0.93469287642568966</c:v>
                </c:pt>
                <c:pt idx="94">
                  <c:v>0.95044347282568942</c:v>
                </c:pt>
                <c:pt idx="95">
                  <c:v>0.94321487403258608</c:v>
                </c:pt>
                <c:pt idx="96">
                  <c:v>0.94288004289305116</c:v>
                </c:pt>
                <c:pt idx="97">
                  <c:v>0.93352897689305137</c:v>
                </c:pt>
                <c:pt idx="98">
                  <c:v>0.93303025533207562</c:v>
                </c:pt>
                <c:pt idx="99">
                  <c:v>0.95788063583207561</c:v>
                </c:pt>
                <c:pt idx="100">
                  <c:v>0.93887529489874222</c:v>
                </c:pt>
                <c:pt idx="101">
                  <c:v>0.93714245747501346</c:v>
                </c:pt>
                <c:pt idx="102">
                  <c:v>0.92486633352764502</c:v>
                </c:pt>
                <c:pt idx="103">
                  <c:v>0.93030237502428925</c:v>
                </c:pt>
                <c:pt idx="104">
                  <c:v>0.94505445194736626</c:v>
                </c:pt>
                <c:pt idx="105">
                  <c:v>0.93611106166165203</c:v>
                </c:pt>
                <c:pt idx="106">
                  <c:v>0.95018707263533619</c:v>
                </c:pt>
                <c:pt idx="107">
                  <c:v>0.93994733529158625</c:v>
                </c:pt>
                <c:pt idx="108">
                  <c:v>0.94037583747136144</c:v>
                </c:pt>
                <c:pt idx="109">
                  <c:v>0.95472794203657885</c:v>
                </c:pt>
                <c:pt idx="110">
                  <c:v>0.93990509503657893</c:v>
                </c:pt>
                <c:pt idx="111">
                  <c:v>0.94283867455059767</c:v>
                </c:pt>
                <c:pt idx="112">
                  <c:v>0.92532785942656681</c:v>
                </c:pt>
                <c:pt idx="113">
                  <c:v>0.91933982217075283</c:v>
                </c:pt>
                <c:pt idx="114">
                  <c:v>0.90858491618302284</c:v>
                </c:pt>
                <c:pt idx="115">
                  <c:v>0.88900096755936697</c:v>
                </c:pt>
                <c:pt idx="116">
                  <c:v>0.89075981194742682</c:v>
                </c:pt>
                <c:pt idx="117">
                  <c:v>0.88101646050532167</c:v>
                </c:pt>
                <c:pt idx="118">
                  <c:v>0.87654863383865511</c:v>
                </c:pt>
                <c:pt idx="119">
                  <c:v>0.84629740960336086</c:v>
                </c:pt>
                <c:pt idx="120">
                  <c:v>0.83628342347836082</c:v>
                </c:pt>
                <c:pt idx="121">
                  <c:v>0.8408509237724785</c:v>
                </c:pt>
                <c:pt idx="122">
                  <c:v>0.85643216886338769</c:v>
                </c:pt>
                <c:pt idx="123">
                  <c:v>0.87822012789463766</c:v>
                </c:pt>
                <c:pt idx="124">
                  <c:v>0.85701383869345438</c:v>
                </c:pt>
                <c:pt idx="125">
                  <c:v>0.85506487121069585</c:v>
                </c:pt>
                <c:pt idx="126">
                  <c:v>0.85775288692970408</c:v>
                </c:pt>
                <c:pt idx="127">
                  <c:v>0.83866217789744613</c:v>
                </c:pt>
                <c:pt idx="128">
                  <c:v>0.80739451291237152</c:v>
                </c:pt>
                <c:pt idx="129">
                  <c:v>0.83087545501877924</c:v>
                </c:pt>
                <c:pt idx="130">
                  <c:v>0.84881649966163641</c:v>
                </c:pt>
                <c:pt idx="131">
                  <c:v>0.85656432860223042</c:v>
                </c:pt>
                <c:pt idx="132">
                  <c:v>0.85802836723488352</c:v>
                </c:pt>
                <c:pt idx="133">
                  <c:v>0.92282651289526074</c:v>
                </c:pt>
                <c:pt idx="134">
                  <c:v>0.94642426611997976</c:v>
                </c:pt>
                <c:pt idx="135">
                  <c:v>0.92222200301997992</c:v>
                </c:pt>
                <c:pt idx="136">
                  <c:v>0.90384074531506176</c:v>
                </c:pt>
                <c:pt idx="137">
                  <c:v>0.91024288250024687</c:v>
                </c:pt>
                <c:pt idx="138">
                  <c:v>0.89805113403806203</c:v>
                </c:pt>
                <c:pt idx="139">
                  <c:v>0.90160261109575435</c:v>
                </c:pt>
                <c:pt idx="140">
                  <c:v>0.93940382516103627</c:v>
                </c:pt>
                <c:pt idx="141">
                  <c:v>0.92919570278008379</c:v>
                </c:pt>
                <c:pt idx="142">
                  <c:v>0.88249483087709868</c:v>
                </c:pt>
                <c:pt idx="143">
                  <c:v>0.9256047339916702</c:v>
                </c:pt>
                <c:pt idx="144">
                  <c:v>0.91185971518214615</c:v>
                </c:pt>
                <c:pt idx="145">
                  <c:v>0.8758599109355707</c:v>
                </c:pt>
                <c:pt idx="146">
                  <c:v>0.83369717684088041</c:v>
                </c:pt>
                <c:pt idx="147">
                  <c:v>0.80204999447178937</c:v>
                </c:pt>
                <c:pt idx="148">
                  <c:v>0.80319701491178941</c:v>
                </c:pt>
                <c:pt idx="149">
                  <c:v>0.76645194742178946</c:v>
                </c:pt>
                <c:pt idx="150">
                  <c:v>0.73792914657446118</c:v>
                </c:pt>
                <c:pt idx="151">
                  <c:v>0.75740467444112791</c:v>
                </c:pt>
                <c:pt idx="152">
                  <c:v>0.75002763009659024</c:v>
                </c:pt>
                <c:pt idx="153">
                  <c:v>0.74393198236992364</c:v>
                </c:pt>
                <c:pt idx="154">
                  <c:v>0.70218749371992362</c:v>
                </c:pt>
                <c:pt idx="155">
                  <c:v>0.74836851911011781</c:v>
                </c:pt>
                <c:pt idx="156">
                  <c:v>0.71471896878511787</c:v>
                </c:pt>
                <c:pt idx="157">
                  <c:v>0.78435238213511771</c:v>
                </c:pt>
                <c:pt idx="158">
                  <c:v>0.73584872843895111</c:v>
                </c:pt>
                <c:pt idx="159">
                  <c:v>0.73150510523641765</c:v>
                </c:pt>
                <c:pt idx="160">
                  <c:v>0.73977101274419532</c:v>
                </c:pt>
                <c:pt idx="161">
                  <c:v>0.73107730738239751</c:v>
                </c:pt>
                <c:pt idx="162">
                  <c:v>0.70113602738239755</c:v>
                </c:pt>
                <c:pt idx="163">
                  <c:v>0.6971143166542223</c:v>
                </c:pt>
                <c:pt idx="164">
                  <c:v>0.73899385343896806</c:v>
                </c:pt>
                <c:pt idx="165">
                  <c:v>0.76064511886480746</c:v>
                </c:pt>
                <c:pt idx="166">
                  <c:v>0.71199653534131757</c:v>
                </c:pt>
                <c:pt idx="167">
                  <c:v>0.68372100628507693</c:v>
                </c:pt>
                <c:pt idx="168">
                  <c:v>0.65812036368963833</c:v>
                </c:pt>
                <c:pt idx="169">
                  <c:v>0.68016413043917956</c:v>
                </c:pt>
                <c:pt idx="170">
                  <c:v>0.67261537794225634</c:v>
                </c:pt>
                <c:pt idx="171">
                  <c:v>0.64906148400134722</c:v>
                </c:pt>
                <c:pt idx="172">
                  <c:v>0.61893590654532316</c:v>
                </c:pt>
                <c:pt idx="173">
                  <c:v>0.64230987967076869</c:v>
                </c:pt>
                <c:pt idx="174">
                  <c:v>0.61887268672006701</c:v>
                </c:pt>
                <c:pt idx="175">
                  <c:v>0.5806758600273686</c:v>
                </c:pt>
                <c:pt idx="176">
                  <c:v>0.54457914346587244</c:v>
                </c:pt>
                <c:pt idx="177">
                  <c:v>0.53321880372433406</c:v>
                </c:pt>
                <c:pt idx="178">
                  <c:v>0.54153610478357461</c:v>
                </c:pt>
                <c:pt idx="179">
                  <c:v>0.52437533872138709</c:v>
                </c:pt>
                <c:pt idx="180">
                  <c:v>0.56014812841738715</c:v>
                </c:pt>
                <c:pt idx="181">
                  <c:v>0.52554881933234776</c:v>
                </c:pt>
                <c:pt idx="182">
                  <c:v>0.46883444410192532</c:v>
                </c:pt>
                <c:pt idx="183">
                  <c:v>0.42505683445486642</c:v>
                </c:pt>
                <c:pt idx="184">
                  <c:v>0.40580668828783351</c:v>
                </c:pt>
                <c:pt idx="185">
                  <c:v>0.38073143271180515</c:v>
                </c:pt>
                <c:pt idx="186">
                  <c:v>0.4109295889977766</c:v>
                </c:pt>
                <c:pt idx="187">
                  <c:v>0.39549659267777648</c:v>
                </c:pt>
                <c:pt idx="188">
                  <c:v>0.40298702371050371</c:v>
                </c:pt>
                <c:pt idx="189">
                  <c:v>0.38187760318750369</c:v>
                </c:pt>
                <c:pt idx="190">
                  <c:v>0.37670853668057025</c:v>
                </c:pt>
                <c:pt idx="191">
                  <c:v>0.35887052347367376</c:v>
                </c:pt>
                <c:pt idx="192">
                  <c:v>0.37041595677291617</c:v>
                </c:pt>
                <c:pt idx="193">
                  <c:v>0.38456690934731619</c:v>
                </c:pt>
                <c:pt idx="194">
                  <c:v>0.38714758634731616</c:v>
                </c:pt>
                <c:pt idx="195">
                  <c:v>0.38742717327630172</c:v>
                </c:pt>
                <c:pt idx="196">
                  <c:v>0.40412633203325093</c:v>
                </c:pt>
                <c:pt idx="197">
                  <c:v>0.41968489072072979</c:v>
                </c:pt>
                <c:pt idx="198">
                  <c:v>0.40552364427072984</c:v>
                </c:pt>
                <c:pt idx="199">
                  <c:v>0.41595581078501548</c:v>
                </c:pt>
                <c:pt idx="200">
                  <c:v>0.42844138895846678</c:v>
                </c:pt>
                <c:pt idx="201">
                  <c:v>0.4166031382801953</c:v>
                </c:pt>
                <c:pt idx="202">
                  <c:v>0.42054180951139536</c:v>
                </c:pt>
                <c:pt idx="203">
                  <c:v>0.39633396589710962</c:v>
                </c:pt>
                <c:pt idx="204">
                  <c:v>0.42073409257898464</c:v>
                </c:pt>
                <c:pt idx="205">
                  <c:v>0.43353646079042107</c:v>
                </c:pt>
                <c:pt idx="206">
                  <c:v>0.42189645195972353</c:v>
                </c:pt>
                <c:pt idx="207">
                  <c:v>0.43274961644907828</c:v>
                </c:pt>
                <c:pt idx="208">
                  <c:v>0.43372891546084297</c:v>
                </c:pt>
                <c:pt idx="209">
                  <c:v>0.425347494005965</c:v>
                </c:pt>
                <c:pt idx="210">
                  <c:v>0.39863541600051056</c:v>
                </c:pt>
                <c:pt idx="211">
                  <c:v>0.41518249658094525</c:v>
                </c:pt>
                <c:pt idx="212">
                  <c:v>0.33929854144573401</c:v>
                </c:pt>
                <c:pt idx="213">
                  <c:v>0.30689980611573403</c:v>
                </c:pt>
                <c:pt idx="214">
                  <c:v>0.28631975912758284</c:v>
                </c:pt>
                <c:pt idx="215">
                  <c:v>0.25324148909545163</c:v>
                </c:pt>
                <c:pt idx="216">
                  <c:v>0.19675178833607665</c:v>
                </c:pt>
                <c:pt idx="217">
                  <c:v>0.24990397997467312</c:v>
                </c:pt>
                <c:pt idx="218">
                  <c:v>0.22528924085432425</c:v>
                </c:pt>
                <c:pt idx="219">
                  <c:v>0.20954822520207708</c:v>
                </c:pt>
                <c:pt idx="220">
                  <c:v>0.22360493943569146</c:v>
                </c:pt>
                <c:pt idx="221">
                  <c:v>0.28518074257618792</c:v>
                </c:pt>
                <c:pt idx="222">
                  <c:v>0.27445320989185057</c:v>
                </c:pt>
                <c:pt idx="223">
                  <c:v>0.28963351377250474</c:v>
                </c:pt>
                <c:pt idx="224">
                  <c:v>0.30534956072750474</c:v>
                </c:pt>
                <c:pt idx="225">
                  <c:v>0.33360270872080078</c:v>
                </c:pt>
                <c:pt idx="226">
                  <c:v>0.22578738630943596</c:v>
                </c:pt>
                <c:pt idx="227">
                  <c:v>0.25035610503633249</c:v>
                </c:pt>
                <c:pt idx="228">
                  <c:v>0.3078176891982573</c:v>
                </c:pt>
                <c:pt idx="229">
                  <c:v>0.25885271743870175</c:v>
                </c:pt>
                <c:pt idx="230">
                  <c:v>0.265754375745831</c:v>
                </c:pt>
                <c:pt idx="231">
                  <c:v>0.27281781571249769</c:v>
                </c:pt>
                <c:pt idx="232">
                  <c:v>0.31009985511016763</c:v>
                </c:pt>
                <c:pt idx="233">
                  <c:v>0.28456668695814058</c:v>
                </c:pt>
                <c:pt idx="234">
                  <c:v>0.27614455839273522</c:v>
                </c:pt>
                <c:pt idx="235">
                  <c:v>0.33739469418632007</c:v>
                </c:pt>
                <c:pt idx="236">
                  <c:v>0.28621103627515621</c:v>
                </c:pt>
                <c:pt idx="237">
                  <c:v>0.31560657563900457</c:v>
                </c:pt>
                <c:pt idx="238">
                  <c:v>0.34782874785940715</c:v>
                </c:pt>
                <c:pt idx="239">
                  <c:v>0.42930399426797849</c:v>
                </c:pt>
                <c:pt idx="240">
                  <c:v>0.2923565454103732</c:v>
                </c:pt>
                <c:pt idx="241">
                  <c:v>0.17796981840456388</c:v>
                </c:pt>
                <c:pt idx="242">
                  <c:v>0.14272485352020017</c:v>
                </c:pt>
                <c:pt idx="243">
                  <c:v>0.13424647591085523</c:v>
                </c:pt>
                <c:pt idx="244">
                  <c:v>0.14216075116704574</c:v>
                </c:pt>
                <c:pt idx="245">
                  <c:v>0.17467282487923055</c:v>
                </c:pt>
                <c:pt idx="246">
                  <c:v>0.19298846514977117</c:v>
                </c:pt>
                <c:pt idx="247">
                  <c:v>0.12234172620959431</c:v>
                </c:pt>
                <c:pt idx="248">
                  <c:v>9.4522414547949546E-2</c:v>
                </c:pt>
                <c:pt idx="249">
                  <c:v>4.2432929858976572E-2</c:v>
                </c:pt>
                <c:pt idx="250">
                  <c:v>5.6292132578976584E-2</c:v>
                </c:pt>
                <c:pt idx="251">
                  <c:v>9.1226599719179222E-2</c:v>
                </c:pt>
                <c:pt idx="252">
                  <c:v>0.1113201058628752</c:v>
                </c:pt>
                <c:pt idx="253">
                  <c:v>7.5346930480208602E-2</c:v>
                </c:pt>
                <c:pt idx="254">
                  <c:v>0.11374770171868026</c:v>
                </c:pt>
                <c:pt idx="255">
                  <c:v>9.3663965417823708E-2</c:v>
                </c:pt>
                <c:pt idx="256">
                  <c:v>0.11967425102602045</c:v>
                </c:pt>
                <c:pt idx="257">
                  <c:v>0.13372573371060378</c:v>
                </c:pt>
                <c:pt idx="258">
                  <c:v>0.1648580626355784</c:v>
                </c:pt>
                <c:pt idx="259">
                  <c:v>0.15485707215305208</c:v>
                </c:pt>
                <c:pt idx="260">
                  <c:v>0.14816695335104335</c:v>
                </c:pt>
                <c:pt idx="261">
                  <c:v>0.20761572491435717</c:v>
                </c:pt>
                <c:pt idx="262">
                  <c:v>0.17100630646956991</c:v>
                </c:pt>
                <c:pt idx="263">
                  <c:v>0.2106978883703983</c:v>
                </c:pt>
                <c:pt idx="264">
                  <c:v>0.20033828200453627</c:v>
                </c:pt>
                <c:pt idx="265">
                  <c:v>0.23217051895902238</c:v>
                </c:pt>
                <c:pt idx="266">
                  <c:v>0.31963057293483632</c:v>
                </c:pt>
                <c:pt idx="267">
                  <c:v>0.26011867682761414</c:v>
                </c:pt>
                <c:pt idx="268">
                  <c:v>0.22985097206414937</c:v>
                </c:pt>
                <c:pt idx="269">
                  <c:v>0.26618251426353401</c:v>
                </c:pt>
                <c:pt idx="270">
                  <c:v>0.23474737948229588</c:v>
                </c:pt>
                <c:pt idx="271">
                  <c:v>0.24782823857981418</c:v>
                </c:pt>
                <c:pt idx="272">
                  <c:v>0.22779841039029042</c:v>
                </c:pt>
                <c:pt idx="273">
                  <c:v>0.20821709426727161</c:v>
                </c:pt>
                <c:pt idx="274">
                  <c:v>0.23092081167011372</c:v>
                </c:pt>
                <c:pt idx="275">
                  <c:v>0.21873346618986195</c:v>
                </c:pt>
                <c:pt idx="276">
                  <c:v>0.16416102100322877</c:v>
                </c:pt>
                <c:pt idx="277">
                  <c:v>0.13088027010628905</c:v>
                </c:pt>
                <c:pt idx="278">
                  <c:v>0.13694214719028908</c:v>
                </c:pt>
                <c:pt idx="279">
                  <c:v>0.1466057019594319</c:v>
                </c:pt>
                <c:pt idx="280">
                  <c:v>0.11825910535095728</c:v>
                </c:pt>
                <c:pt idx="281">
                  <c:v>0.17806126795635616</c:v>
                </c:pt>
                <c:pt idx="282">
                  <c:v>0.23008036717003461</c:v>
                </c:pt>
                <c:pt idx="283">
                  <c:v>0.18222577876853385</c:v>
                </c:pt>
                <c:pt idx="284">
                  <c:v>0.20703665454075607</c:v>
                </c:pt>
                <c:pt idx="285">
                  <c:v>0.19803229825090174</c:v>
                </c:pt>
                <c:pt idx="286">
                  <c:v>0.21999800342985937</c:v>
                </c:pt>
                <c:pt idx="287">
                  <c:v>0.17564319420565455</c:v>
                </c:pt>
                <c:pt idx="288">
                  <c:v>0.16824201628175742</c:v>
                </c:pt>
                <c:pt idx="289">
                  <c:v>0.16687301688011319</c:v>
                </c:pt>
                <c:pt idx="290">
                  <c:v>0.14905837088372526</c:v>
                </c:pt>
                <c:pt idx="291">
                  <c:v>0.18663328943871568</c:v>
                </c:pt>
                <c:pt idx="292">
                  <c:v>0.18319476966401735</c:v>
                </c:pt>
                <c:pt idx="293">
                  <c:v>0.20479468986503077</c:v>
                </c:pt>
                <c:pt idx="294">
                  <c:v>0.19142171538976047</c:v>
                </c:pt>
                <c:pt idx="295">
                  <c:v>0.16922715737714916</c:v>
                </c:pt>
                <c:pt idx="296">
                  <c:v>0.19751912582039235</c:v>
                </c:pt>
                <c:pt idx="297">
                  <c:v>0.19162751154892899</c:v>
                </c:pt>
                <c:pt idx="298">
                  <c:v>0.21536943629019592</c:v>
                </c:pt>
                <c:pt idx="299">
                  <c:v>0.21102091998674771</c:v>
                </c:pt>
                <c:pt idx="300">
                  <c:v>0.28040625898082167</c:v>
                </c:pt>
                <c:pt idx="301">
                  <c:v>0.2483108871685995</c:v>
                </c:pt>
                <c:pt idx="302">
                  <c:v>0.21382365596389361</c:v>
                </c:pt>
                <c:pt idx="303">
                  <c:v>0.21656624072663802</c:v>
                </c:pt>
                <c:pt idx="304">
                  <c:v>0.20382672040315974</c:v>
                </c:pt>
                <c:pt idx="305">
                  <c:v>0.16906101311189767</c:v>
                </c:pt>
                <c:pt idx="306">
                  <c:v>0.13047766313505549</c:v>
                </c:pt>
                <c:pt idx="307">
                  <c:v>0.15958671183248657</c:v>
                </c:pt>
                <c:pt idx="308">
                  <c:v>0.14074862475066852</c:v>
                </c:pt>
                <c:pt idx="309">
                  <c:v>0.14172999241824413</c:v>
                </c:pt>
                <c:pt idx="310">
                  <c:v>0.19252113119560874</c:v>
                </c:pt>
                <c:pt idx="311">
                  <c:v>0.26137656589322777</c:v>
                </c:pt>
                <c:pt idx="312">
                  <c:v>0.2584041533910939</c:v>
                </c:pt>
                <c:pt idx="313">
                  <c:v>0.23755174002934271</c:v>
                </c:pt>
                <c:pt idx="314">
                  <c:v>0.30734343809155329</c:v>
                </c:pt>
                <c:pt idx="315">
                  <c:v>0.26090140226591235</c:v>
                </c:pt>
                <c:pt idx="316">
                  <c:v>0.52915823560829567</c:v>
                </c:pt>
                <c:pt idx="317">
                  <c:v>0.37383330992330227</c:v>
                </c:pt>
                <c:pt idx="318">
                  <c:v>0.32394182121208126</c:v>
                </c:pt>
                <c:pt idx="319">
                  <c:v>0.35464681446263691</c:v>
                </c:pt>
                <c:pt idx="320">
                  <c:v>0.38822894542520098</c:v>
                </c:pt>
                <c:pt idx="321">
                  <c:v>0.33322127148447378</c:v>
                </c:pt>
                <c:pt idx="322">
                  <c:v>0.36222472785159693</c:v>
                </c:pt>
                <c:pt idx="323">
                  <c:v>0.35916136866132414</c:v>
                </c:pt>
                <c:pt idx="324">
                  <c:v>0.38038303983489929</c:v>
                </c:pt>
                <c:pt idx="325">
                  <c:v>0.40252559789819337</c:v>
                </c:pt>
                <c:pt idx="326">
                  <c:v>0.36473172571204754</c:v>
                </c:pt>
                <c:pt idx="327">
                  <c:v>0.35417437490104747</c:v>
                </c:pt>
                <c:pt idx="328">
                  <c:v>0.3597282818011332</c:v>
                </c:pt>
                <c:pt idx="329">
                  <c:v>0.35008447125935349</c:v>
                </c:pt>
                <c:pt idx="330">
                  <c:v>0.32029613561765868</c:v>
                </c:pt>
                <c:pt idx="331">
                  <c:v>0.30146606787374408</c:v>
                </c:pt>
                <c:pt idx="332">
                  <c:v>0.3050387490228007</c:v>
                </c:pt>
                <c:pt idx="333">
                  <c:v>0.27663181001309922</c:v>
                </c:pt>
                <c:pt idx="334">
                  <c:v>0.27766207048561953</c:v>
                </c:pt>
                <c:pt idx="335">
                  <c:v>0.28556878671674202</c:v>
                </c:pt>
                <c:pt idx="336">
                  <c:v>0.27145284549157805</c:v>
                </c:pt>
                <c:pt idx="337">
                  <c:v>0.3067192227366724</c:v>
                </c:pt>
                <c:pt idx="338">
                  <c:v>0.30556304714179638</c:v>
                </c:pt>
                <c:pt idx="339">
                  <c:v>0.32228098164027563</c:v>
                </c:pt>
                <c:pt idx="340">
                  <c:v>0.30514653201983782</c:v>
                </c:pt>
                <c:pt idx="341">
                  <c:v>0.28056051546676763</c:v>
                </c:pt>
                <c:pt idx="342">
                  <c:v>0.29777271808420724</c:v>
                </c:pt>
                <c:pt idx="343">
                  <c:v>0.29777271808420741</c:v>
                </c:pt>
                <c:pt idx="344">
                  <c:v>0.28364594041630742</c:v>
                </c:pt>
                <c:pt idx="345">
                  <c:v>0.24958972852459022</c:v>
                </c:pt>
                <c:pt idx="346">
                  <c:v>0.25498553209601882</c:v>
                </c:pt>
                <c:pt idx="347">
                  <c:v>0.21836209257215669</c:v>
                </c:pt>
                <c:pt idx="348">
                  <c:v>0.25121028942422158</c:v>
                </c:pt>
                <c:pt idx="349">
                  <c:v>0.23560600778348934</c:v>
                </c:pt>
                <c:pt idx="350">
                  <c:v>0.22247474089627756</c:v>
                </c:pt>
                <c:pt idx="351">
                  <c:v>0.2238023703673567</c:v>
                </c:pt>
                <c:pt idx="352">
                  <c:v>0.11778527249497901</c:v>
                </c:pt>
                <c:pt idx="353">
                  <c:v>5.7717315204196061E-2</c:v>
                </c:pt>
                <c:pt idx="354">
                  <c:v>7.0318291300446145E-2</c:v>
                </c:pt>
                <c:pt idx="355">
                  <c:v>3.861040852012123E-2</c:v>
                </c:pt>
                <c:pt idx="356">
                  <c:v>8.034607917003013E-2</c:v>
                </c:pt>
                <c:pt idx="357">
                  <c:v>4.8263570516957378E-2</c:v>
                </c:pt>
                <c:pt idx="358">
                  <c:v>3.5679963885650423E-2</c:v>
                </c:pt>
                <c:pt idx="359">
                  <c:v>2.6128825719515341E-2</c:v>
                </c:pt>
                <c:pt idx="360">
                  <c:v>5.3215116300369035E-2</c:v>
                </c:pt>
                <c:pt idx="361">
                  <c:v>1.7861752978800403E-2</c:v>
                </c:pt>
                <c:pt idx="362">
                  <c:v>5.7319131348689961E-2</c:v>
                </c:pt>
                <c:pt idx="363">
                  <c:v>3.3693260938312576E-2</c:v>
                </c:pt>
                <c:pt idx="364">
                  <c:v>4.3726426226287314E-2</c:v>
                </c:pt>
                <c:pt idx="365">
                  <c:v>3.0830912452537298E-2</c:v>
                </c:pt>
                <c:pt idx="366">
                  <c:v>5.7133071407593411E-2</c:v>
                </c:pt>
                <c:pt idx="367">
                  <c:v>4.1062649966164863E-2</c:v>
                </c:pt>
                <c:pt idx="368">
                  <c:v>7.5509808863458094E-2</c:v>
                </c:pt>
                <c:pt idx="369">
                  <c:v>6.7906287282029604E-2</c:v>
                </c:pt>
                <c:pt idx="370">
                  <c:v>8.2299176966390469E-2</c:v>
                </c:pt>
                <c:pt idx="371">
                  <c:v>6.6679805775600981E-2</c:v>
                </c:pt>
                <c:pt idx="372">
                  <c:v>-1.8338476912803018E-5</c:v>
                </c:pt>
                <c:pt idx="373">
                  <c:v>-3.8378545842816414E-2</c:v>
                </c:pt>
                <c:pt idx="374">
                  <c:v>2.7204744821388037E-2</c:v>
                </c:pt>
                <c:pt idx="375">
                  <c:v>-4.018763452948276E-3</c:v>
                </c:pt>
                <c:pt idx="376">
                  <c:v>-1.9079462113776653E-2</c:v>
                </c:pt>
                <c:pt idx="377">
                  <c:v>-7.6406587963563991E-2</c:v>
                </c:pt>
                <c:pt idx="378">
                  <c:v>-0.15556707183280247</c:v>
                </c:pt>
                <c:pt idx="379">
                  <c:v>-0.15917904094753935</c:v>
                </c:pt>
                <c:pt idx="380">
                  <c:v>-0.18674845637329932</c:v>
                </c:pt>
                <c:pt idx="381">
                  <c:v>-0.15431613562663271</c:v>
                </c:pt>
                <c:pt idx="382">
                  <c:v>-0.14116128478962203</c:v>
                </c:pt>
                <c:pt idx="383">
                  <c:v>-0.12906992691903371</c:v>
                </c:pt>
                <c:pt idx="384">
                  <c:v>-0.13369074584783386</c:v>
                </c:pt>
                <c:pt idx="385">
                  <c:v>-0.16124302200638971</c:v>
                </c:pt>
                <c:pt idx="386">
                  <c:v>-0.11349451296077034</c:v>
                </c:pt>
                <c:pt idx="387">
                  <c:v>-0.18997933991895707</c:v>
                </c:pt>
                <c:pt idx="388">
                  <c:v>-0.22517562195375704</c:v>
                </c:pt>
                <c:pt idx="389">
                  <c:v>-0.21044473064053862</c:v>
                </c:pt>
                <c:pt idx="390">
                  <c:v>-0.23354365692253859</c:v>
                </c:pt>
                <c:pt idx="391">
                  <c:v>-0.22211146642769988</c:v>
                </c:pt>
                <c:pt idx="392">
                  <c:v>-0.21659184201817611</c:v>
                </c:pt>
                <c:pt idx="393">
                  <c:v>-0.22083965837960465</c:v>
                </c:pt>
                <c:pt idx="394">
                  <c:v>-0.21686249300652777</c:v>
                </c:pt>
                <c:pt idx="395">
                  <c:v>-0.21295292294094634</c:v>
                </c:pt>
                <c:pt idx="396">
                  <c:v>-0.22114104272254054</c:v>
                </c:pt>
                <c:pt idx="397">
                  <c:v>-0.20357226186241709</c:v>
                </c:pt>
                <c:pt idx="398">
                  <c:v>-0.19730918022375044</c:v>
                </c:pt>
                <c:pt idx="399">
                  <c:v>-0.19653178786341141</c:v>
                </c:pt>
                <c:pt idx="400">
                  <c:v>-0.21127206954693523</c:v>
                </c:pt>
                <c:pt idx="401">
                  <c:v>-0.1999088808807957</c:v>
                </c:pt>
                <c:pt idx="402">
                  <c:v>-0.21606246684079569</c:v>
                </c:pt>
                <c:pt idx="403">
                  <c:v>-0.20591766236961292</c:v>
                </c:pt>
                <c:pt idx="404">
                  <c:v>-0.19960716860961292</c:v>
                </c:pt>
                <c:pt idx="405">
                  <c:v>-0.18123662451229941</c:v>
                </c:pt>
                <c:pt idx="406">
                  <c:v>-0.19104548028029941</c:v>
                </c:pt>
                <c:pt idx="407">
                  <c:v>-0.16528206053435349</c:v>
                </c:pt>
                <c:pt idx="408">
                  <c:v>-0.17973298309727015</c:v>
                </c:pt>
                <c:pt idx="409">
                  <c:v>-0.18958872215400485</c:v>
                </c:pt>
                <c:pt idx="410">
                  <c:v>-0.18591727288572898</c:v>
                </c:pt>
                <c:pt idx="411">
                  <c:v>-0.1878436348322807</c:v>
                </c:pt>
                <c:pt idx="412">
                  <c:v>-0.1910500560746807</c:v>
                </c:pt>
                <c:pt idx="413">
                  <c:v>-0.19400848093712966</c:v>
                </c:pt>
                <c:pt idx="414">
                  <c:v>-0.18739155267051427</c:v>
                </c:pt>
                <c:pt idx="415">
                  <c:v>-0.19718313442851429</c:v>
                </c:pt>
                <c:pt idx="416">
                  <c:v>-0.18708519268412402</c:v>
                </c:pt>
                <c:pt idx="417">
                  <c:v>-0.18510677053562399</c:v>
                </c:pt>
                <c:pt idx="418">
                  <c:v>-0.18785145990667665</c:v>
                </c:pt>
                <c:pt idx="419">
                  <c:v>-0.20124509001292659</c:v>
                </c:pt>
                <c:pt idx="420">
                  <c:v>-0.16974419357699444</c:v>
                </c:pt>
                <c:pt idx="421">
                  <c:v>-0.15195769758230701</c:v>
                </c:pt>
                <c:pt idx="422">
                  <c:v>-0.16596993185492989</c:v>
                </c:pt>
                <c:pt idx="423">
                  <c:v>-0.14276790056370411</c:v>
                </c:pt>
                <c:pt idx="424">
                  <c:v>-0.14571408643276293</c:v>
                </c:pt>
                <c:pt idx="425">
                  <c:v>-0.15165765022062014</c:v>
                </c:pt>
                <c:pt idx="426">
                  <c:v>-0.16016160769407464</c:v>
                </c:pt>
                <c:pt idx="427">
                  <c:v>-0.15812457297248372</c:v>
                </c:pt>
                <c:pt idx="428">
                  <c:v>-0.13432328350821618</c:v>
                </c:pt>
                <c:pt idx="429">
                  <c:v>-9.5586546085736815E-2</c:v>
                </c:pt>
                <c:pt idx="430">
                  <c:v>-0.10355354720945102</c:v>
                </c:pt>
                <c:pt idx="431">
                  <c:v>-0.12231500196325387</c:v>
                </c:pt>
                <c:pt idx="432">
                  <c:v>-0.12560090711809258</c:v>
                </c:pt>
                <c:pt idx="433">
                  <c:v>-0.17584335552809255</c:v>
                </c:pt>
                <c:pt idx="434">
                  <c:v>-0.17966448466148238</c:v>
                </c:pt>
                <c:pt idx="435">
                  <c:v>-0.17222627182314906</c:v>
                </c:pt>
                <c:pt idx="436">
                  <c:v>-0.16890638703496727</c:v>
                </c:pt>
                <c:pt idx="437">
                  <c:v>-0.19198799767096728</c:v>
                </c:pt>
                <c:pt idx="438">
                  <c:v>-0.21187593978679004</c:v>
                </c:pt>
                <c:pt idx="439">
                  <c:v>-0.20355976857353708</c:v>
                </c:pt>
                <c:pt idx="440">
                  <c:v>-0.20192291757166206</c:v>
                </c:pt>
                <c:pt idx="441">
                  <c:v>-0.21296768616708381</c:v>
                </c:pt>
                <c:pt idx="442">
                  <c:v>-0.19944805842024838</c:v>
                </c:pt>
                <c:pt idx="443">
                  <c:v>-0.15683974598024839</c:v>
                </c:pt>
                <c:pt idx="444">
                  <c:v>-0.18756223150417242</c:v>
                </c:pt>
                <c:pt idx="445">
                  <c:v>-0.18390746298004546</c:v>
                </c:pt>
                <c:pt idx="446">
                  <c:v>-0.18916537854671212</c:v>
                </c:pt>
                <c:pt idx="447">
                  <c:v>-0.17020477928244546</c:v>
                </c:pt>
                <c:pt idx="448">
                  <c:v>-0.19518574023050514</c:v>
                </c:pt>
                <c:pt idx="449">
                  <c:v>-0.21769095876050515</c:v>
                </c:pt>
                <c:pt idx="450">
                  <c:v>-0.21250238155070919</c:v>
                </c:pt>
                <c:pt idx="451">
                  <c:v>-0.2097507719039092</c:v>
                </c:pt>
                <c:pt idx="452">
                  <c:v>-0.20743824439508565</c:v>
                </c:pt>
                <c:pt idx="453">
                  <c:v>-0.208041570172327</c:v>
                </c:pt>
                <c:pt idx="454">
                  <c:v>-0.20371767178198216</c:v>
                </c:pt>
                <c:pt idx="455">
                  <c:v>-0.20371767178198225</c:v>
                </c:pt>
                <c:pt idx="456">
                  <c:v>-0.19652231652099861</c:v>
                </c:pt>
                <c:pt idx="457">
                  <c:v>-0.18786165238099858</c:v>
                </c:pt>
                <c:pt idx="458">
                  <c:v>-0.19242016649276328</c:v>
                </c:pt>
                <c:pt idx="459">
                  <c:v>-0.18758528940142991</c:v>
                </c:pt>
                <c:pt idx="460">
                  <c:v>-0.18165682314264944</c:v>
                </c:pt>
                <c:pt idx="461">
                  <c:v>-0.18086304112820503</c:v>
                </c:pt>
                <c:pt idx="462">
                  <c:v>-0.18185548726083661</c:v>
                </c:pt>
                <c:pt idx="463">
                  <c:v>-0.17408689245201306</c:v>
                </c:pt>
                <c:pt idx="464">
                  <c:v>-0.18601631777188321</c:v>
                </c:pt>
                <c:pt idx="465">
                  <c:v>-0.17395413167410545</c:v>
                </c:pt>
                <c:pt idx="466">
                  <c:v>-0.17079286791528189</c:v>
                </c:pt>
                <c:pt idx="467">
                  <c:v>-0.17430292663454119</c:v>
                </c:pt>
                <c:pt idx="468">
                  <c:v>-0.17926556935187452</c:v>
                </c:pt>
                <c:pt idx="469">
                  <c:v>-0.17192469939473168</c:v>
                </c:pt>
                <c:pt idx="470">
                  <c:v>-0.17385134173073172</c:v>
                </c:pt>
                <c:pt idx="471">
                  <c:v>-0.16539334158334038</c:v>
                </c:pt>
                <c:pt idx="472">
                  <c:v>-0.15770901508334037</c:v>
                </c:pt>
                <c:pt idx="473">
                  <c:v>-0.16419675021590907</c:v>
                </c:pt>
                <c:pt idx="474">
                  <c:v>-0.17326149229416993</c:v>
                </c:pt>
                <c:pt idx="475">
                  <c:v>-0.16986096744416995</c:v>
                </c:pt>
                <c:pt idx="476">
                  <c:v>-0.17691731222043253</c:v>
                </c:pt>
                <c:pt idx="477">
                  <c:v>-0.18387132866209924</c:v>
                </c:pt>
                <c:pt idx="478">
                  <c:v>-0.21706727355805669</c:v>
                </c:pt>
                <c:pt idx="479">
                  <c:v>-0.20056720206375289</c:v>
                </c:pt>
                <c:pt idx="480">
                  <c:v>-0.19801186013125291</c:v>
                </c:pt>
                <c:pt idx="481">
                  <c:v>-0.19834146603929217</c:v>
                </c:pt>
                <c:pt idx="482">
                  <c:v>-0.19043857083209215</c:v>
                </c:pt>
                <c:pt idx="483">
                  <c:v>-0.18668142548948347</c:v>
                </c:pt>
                <c:pt idx="484">
                  <c:v>-0.16343266988032459</c:v>
                </c:pt>
                <c:pt idx="485">
                  <c:v>-0.16581640430275704</c:v>
                </c:pt>
                <c:pt idx="486">
                  <c:v>-0.1718621499682409</c:v>
                </c:pt>
                <c:pt idx="487">
                  <c:v>-0.15906260809824088</c:v>
                </c:pt>
                <c:pt idx="488">
                  <c:v>-0.16152329583986877</c:v>
                </c:pt>
                <c:pt idx="489">
                  <c:v>-0.16173234491911609</c:v>
                </c:pt>
                <c:pt idx="490">
                  <c:v>-0.16753145557845495</c:v>
                </c:pt>
                <c:pt idx="491">
                  <c:v>-0.18067896322515825</c:v>
                </c:pt>
                <c:pt idx="492">
                  <c:v>-0.15857161926171737</c:v>
                </c:pt>
                <c:pt idx="493">
                  <c:v>-0.16482715051767696</c:v>
                </c:pt>
                <c:pt idx="494">
                  <c:v>-0.14497123950397753</c:v>
                </c:pt>
                <c:pt idx="495">
                  <c:v>-0.13180117361460814</c:v>
                </c:pt>
                <c:pt idx="496">
                  <c:v>-0.13965702670175095</c:v>
                </c:pt>
                <c:pt idx="497">
                  <c:v>-0.12554524822447827</c:v>
                </c:pt>
                <c:pt idx="498">
                  <c:v>-9.7401221749594563E-2</c:v>
                </c:pt>
                <c:pt idx="499">
                  <c:v>-0.10222094980267149</c:v>
                </c:pt>
                <c:pt idx="500">
                  <c:v>-8.7905737042801343E-2</c:v>
                </c:pt>
                <c:pt idx="501">
                  <c:v>-9.4018273907294128E-2</c:v>
                </c:pt>
                <c:pt idx="502">
                  <c:v>-8.1421152710151254E-2</c:v>
                </c:pt>
                <c:pt idx="503">
                  <c:v>-0.10483735433099162</c:v>
                </c:pt>
                <c:pt idx="504">
                  <c:v>-0.11498174889066902</c:v>
                </c:pt>
                <c:pt idx="505">
                  <c:v>-0.11442815704769611</c:v>
                </c:pt>
                <c:pt idx="506">
                  <c:v>-0.12303636262264346</c:v>
                </c:pt>
                <c:pt idx="507">
                  <c:v>-0.11815058788710632</c:v>
                </c:pt>
                <c:pt idx="508">
                  <c:v>-0.1201639191908437</c:v>
                </c:pt>
                <c:pt idx="509">
                  <c:v>-0.14353883843047671</c:v>
                </c:pt>
                <c:pt idx="510">
                  <c:v>-0.13208099205452298</c:v>
                </c:pt>
                <c:pt idx="511">
                  <c:v>-0.13927138062762642</c:v>
                </c:pt>
                <c:pt idx="512">
                  <c:v>-8.7269973014664298E-2</c:v>
                </c:pt>
                <c:pt idx="513">
                  <c:v>-8.707560184334158E-2</c:v>
                </c:pt>
                <c:pt idx="514">
                  <c:v>-5.3904105397187797E-2</c:v>
                </c:pt>
                <c:pt idx="515">
                  <c:v>-6.7794871751033936E-2</c:v>
                </c:pt>
                <c:pt idx="516">
                  <c:v>-6.0831479865206144E-2</c:v>
                </c:pt>
                <c:pt idx="517">
                  <c:v>-7.1699713032941967E-2</c:v>
                </c:pt>
                <c:pt idx="518">
                  <c:v>-7.7720148133985492E-2</c:v>
                </c:pt>
                <c:pt idx="519">
                  <c:v>-7.1644480600827579E-2</c:v>
                </c:pt>
                <c:pt idx="520">
                  <c:v>-8.1911662168300092E-2</c:v>
                </c:pt>
                <c:pt idx="521">
                  <c:v>-7.1800145978902538E-2</c:v>
                </c:pt>
                <c:pt idx="522">
                  <c:v>-6.4225241187759685E-2</c:v>
                </c:pt>
                <c:pt idx="523">
                  <c:v>-6.4506412203611557E-2</c:v>
                </c:pt>
                <c:pt idx="524">
                  <c:v>-8.8786206873919304E-2</c:v>
                </c:pt>
                <c:pt idx="525">
                  <c:v>-9.2549211039192926E-3</c:v>
                </c:pt>
                <c:pt idx="526">
                  <c:v>-1.9567650611888053E-2</c:v>
                </c:pt>
                <c:pt idx="527">
                  <c:v>-1.4469952687073217E-2</c:v>
                </c:pt>
                <c:pt idx="528">
                  <c:v>1.6529414176742361E-3</c:v>
                </c:pt>
                <c:pt idx="529">
                  <c:v>3.2128901288886347E-2</c:v>
                </c:pt>
                <c:pt idx="530">
                  <c:v>2.6457510862125777E-2</c:v>
                </c:pt>
                <c:pt idx="531">
                  <c:v>5.3258707397571291E-2</c:v>
                </c:pt>
                <c:pt idx="532">
                  <c:v>5.2405987728958672E-2</c:v>
                </c:pt>
                <c:pt idx="533">
                  <c:v>8.2678035318271628E-2</c:v>
                </c:pt>
                <c:pt idx="534">
                  <c:v>5.9720376161712455E-2</c:v>
                </c:pt>
                <c:pt idx="535">
                  <c:v>6.1044284131404072E-2</c:v>
                </c:pt>
                <c:pt idx="536">
                  <c:v>5.1993257441587497E-2</c:v>
                </c:pt>
                <c:pt idx="537">
                  <c:v>1.6057929763928988E-2</c:v>
                </c:pt>
                <c:pt idx="538">
                  <c:v>-7.1978118088779856E-3</c:v>
                </c:pt>
                <c:pt idx="539">
                  <c:v>-2.2242056340035822E-3</c:v>
                </c:pt>
                <c:pt idx="540">
                  <c:v>-2.0533825839503528E-2</c:v>
                </c:pt>
                <c:pt idx="541">
                  <c:v>2.4235560778567244E-3</c:v>
                </c:pt>
                <c:pt idx="542">
                  <c:v>-2.3139654000143273E-2</c:v>
                </c:pt>
                <c:pt idx="543">
                  <c:v>-7.6347664882028985E-3</c:v>
                </c:pt>
                <c:pt idx="544">
                  <c:v>-2.9556654895159434E-2</c:v>
                </c:pt>
                <c:pt idx="545">
                  <c:v>-1.5917469352492771E-2</c:v>
                </c:pt>
                <c:pt idx="546">
                  <c:v>-1.3986416194410791E-2</c:v>
                </c:pt>
                <c:pt idx="547">
                  <c:v>-2.0472245896938747E-3</c:v>
                </c:pt>
                <c:pt idx="548">
                  <c:v>1.1885733887030207E-2</c:v>
                </c:pt>
                <c:pt idx="549">
                  <c:v>-1.884416809698113E-4</c:v>
                </c:pt>
                <c:pt idx="550">
                  <c:v>9.3959950280265835E-3</c:v>
                </c:pt>
                <c:pt idx="551">
                  <c:v>1.1750993059445968E-2</c:v>
                </c:pt>
                <c:pt idx="552">
                  <c:v>4.8173041719790866E-2</c:v>
                </c:pt>
                <c:pt idx="553">
                  <c:v>4.5812794856312601E-2</c:v>
                </c:pt>
                <c:pt idx="554">
                  <c:v>5.439694253758915E-2</c:v>
                </c:pt>
                <c:pt idx="555">
                  <c:v>6.6406832119811493E-2</c:v>
                </c:pt>
                <c:pt idx="556">
                  <c:v>6.5584579669811516E-2</c:v>
                </c:pt>
                <c:pt idx="557">
                  <c:v>8.778817358929604E-2</c:v>
                </c:pt>
                <c:pt idx="558">
                  <c:v>0.123962221887777</c:v>
                </c:pt>
                <c:pt idx="559">
                  <c:v>8.6776544289075178E-2</c:v>
                </c:pt>
                <c:pt idx="560">
                  <c:v>5.9415946332988218E-2</c:v>
                </c:pt>
                <c:pt idx="561">
                  <c:v>5.1877420640173443E-2</c:v>
                </c:pt>
                <c:pt idx="562">
                  <c:v>8.404859496864199E-2</c:v>
                </c:pt>
                <c:pt idx="563">
                  <c:v>3.1012533788642001E-2</c:v>
                </c:pt>
                <c:pt idx="564">
                  <c:v>4.6143656927885662E-2</c:v>
                </c:pt>
                <c:pt idx="565">
                  <c:v>5.3868458503747711E-2</c:v>
                </c:pt>
                <c:pt idx="566">
                  <c:v>4.1159425334516962E-2</c:v>
                </c:pt>
                <c:pt idx="567">
                  <c:v>4.4851379177951213E-2</c:v>
                </c:pt>
                <c:pt idx="568">
                  <c:v>3.1210040530699701E-2</c:v>
                </c:pt>
                <c:pt idx="569">
                  <c:v>6.3139005108090868E-2</c:v>
                </c:pt>
                <c:pt idx="570">
                  <c:v>9.8312695854477952E-2</c:v>
                </c:pt>
                <c:pt idx="571">
                  <c:v>0.10338138389447789</c:v>
                </c:pt>
                <c:pt idx="572">
                  <c:v>0.12983658194249678</c:v>
                </c:pt>
                <c:pt idx="573">
                  <c:v>0.18180895830613317</c:v>
                </c:pt>
                <c:pt idx="574">
                  <c:v>0.11707600029138956</c:v>
                </c:pt>
                <c:pt idx="575">
                  <c:v>5.1834996603945568E-2</c:v>
                </c:pt>
                <c:pt idx="576">
                  <c:v>3.0858522958728173E-2</c:v>
                </c:pt>
                <c:pt idx="577">
                  <c:v>2.635026931505732E-2</c:v>
                </c:pt>
                <c:pt idx="578">
                  <c:v>1.6049882944089579E-2</c:v>
                </c:pt>
                <c:pt idx="579">
                  <c:v>1.426002542045321E-2</c:v>
                </c:pt>
                <c:pt idx="580">
                  <c:v>1.7264236602271388E-2</c:v>
                </c:pt>
                <c:pt idx="581">
                  <c:v>2.0945016616239657E-2</c:v>
                </c:pt>
                <c:pt idx="582">
                  <c:v>1.8841841136239667E-2</c:v>
                </c:pt>
                <c:pt idx="583">
                  <c:v>2.2034358393088989E-2</c:v>
                </c:pt>
                <c:pt idx="584">
                  <c:v>2.3073470928803248E-2</c:v>
                </c:pt>
                <c:pt idx="585">
                  <c:v>2.2136669587758447E-2</c:v>
                </c:pt>
                <c:pt idx="586">
                  <c:v>2.8279992424901323E-2</c:v>
                </c:pt>
                <c:pt idx="587">
                  <c:v>1.2372267165166814E-2</c:v>
                </c:pt>
                <c:pt idx="588">
                  <c:v>9.5890626393131291E-3</c:v>
                </c:pt>
                <c:pt idx="589">
                  <c:v>1.3825517890190299E-2</c:v>
                </c:pt>
                <c:pt idx="590">
                  <c:v>1.6277605802530709E-2</c:v>
                </c:pt>
                <c:pt idx="591">
                  <c:v>3.6113412164989365E-3</c:v>
                </c:pt>
                <c:pt idx="592">
                  <c:v>-3.1125043443394041E-3</c:v>
                </c:pt>
                <c:pt idx="593">
                  <c:v>2.5470634253559629E-4</c:v>
                </c:pt>
                <c:pt idx="594">
                  <c:v>7.2808179512555901E-3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5D-48AD-8650-C5539036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378752"/>
        <c:axId val="524379168"/>
      </c:lineChart>
      <c:dateAx>
        <c:axId val="524378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9168"/>
        <c:crosses val="autoZero"/>
        <c:auto val="1"/>
        <c:lblOffset val="100"/>
        <c:baseTimeUnit val="days"/>
      </c:dateAx>
      <c:valAx>
        <c:axId val="52437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48671D-101C-44B6-A5D3-B9BEC001D982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77382D-5878-41CE-8D69-ECF7AE5D9C3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4.3600000000000003</v>
      </c>
      <c r="D2" s="4">
        <f>MIN(D3:D1912)</f>
        <v>0.68300000000000005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1.7250000000000001</v>
      </c>
      <c r="C5">
        <v>1.758</v>
      </c>
      <c r="D5">
        <v>1.643</v>
      </c>
      <c r="E5">
        <v>1.6459999999999999</v>
      </c>
      <c r="F5">
        <v>694242.8</v>
      </c>
      <c r="G5">
        <v>1.6459999999999999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-0.94782608695652359</v>
      </c>
      <c r="Q5">
        <f t="shared" ref="Q5" si="1">F5*P5</f>
        <v>-658021.43652174051</v>
      </c>
      <c r="R5">
        <f t="shared" ref="R5" si="2">R6+Q5</f>
        <v>137810454.19055608</v>
      </c>
      <c r="S5">
        <f t="shared" ref="S5" si="3">R5/100000</f>
        <v>1378.1045419055608</v>
      </c>
      <c r="T5">
        <f t="shared" ref="T5" si="4">S5/1000</f>
        <v>1.3781045419055609</v>
      </c>
    </row>
    <row r="6" spans="1:20" x14ac:dyDescent="0.25">
      <c r="A6" s="5">
        <v>44587</v>
      </c>
      <c r="B6">
        <v>1.66</v>
      </c>
      <c r="C6">
        <v>1.7869999999999999</v>
      </c>
      <c r="D6">
        <v>1.6020000000000001</v>
      </c>
      <c r="E6">
        <v>1.726</v>
      </c>
      <c r="F6">
        <v>6746655.2000000002</v>
      </c>
      <c r="G6">
        <v>1.726</v>
      </c>
      <c r="L6" t="s">
        <v>8</v>
      </c>
      <c r="M6" t="s">
        <v>8</v>
      </c>
      <c r="N6" t="s">
        <v>8</v>
      </c>
      <c r="P6">
        <f t="shared" ref="P6" si="5">IF(C6=D6,0,((E6-D6)-(C6-E6))/(C6-D6))</f>
        <v>0.34054054054054056</v>
      </c>
      <c r="Q6">
        <f t="shared" ref="Q6" si="6">F6*P6</f>
        <v>2297509.608648649</v>
      </c>
      <c r="R6">
        <f t="shared" ref="R6" si="7">R7+Q6</f>
        <v>138468475.62707782</v>
      </c>
      <c r="S6">
        <f t="shared" ref="S6" si="8">R6/100000</f>
        <v>1384.6847562707783</v>
      </c>
      <c r="T6">
        <f t="shared" ref="T6" si="9">S6/1000</f>
        <v>1.3846847562707782</v>
      </c>
    </row>
    <row r="7" spans="1:20" x14ac:dyDescent="0.25">
      <c r="A7" s="5">
        <v>44586</v>
      </c>
      <c r="B7">
        <v>1.554</v>
      </c>
      <c r="C7">
        <v>1.746</v>
      </c>
      <c r="D7">
        <v>1.552</v>
      </c>
      <c r="E7">
        <v>1.6579999999999999</v>
      </c>
      <c r="F7">
        <v>8201540.4000000004</v>
      </c>
      <c r="G7">
        <v>1.6579999999999999</v>
      </c>
      <c r="L7" t="s">
        <v>8</v>
      </c>
      <c r="M7" t="s">
        <v>8</v>
      </c>
      <c r="N7" t="s">
        <v>8</v>
      </c>
      <c r="P7">
        <f t="shared" ref="P7" si="10">IF(C7=D7,0,((E7-D7)-(C7-E7))/(C7-D7))</f>
        <v>9.2783505154638138E-2</v>
      </c>
      <c r="Q7">
        <f t="shared" ref="Q7" si="11">F7*P7</f>
        <v>760967.66597937292</v>
      </c>
      <c r="R7">
        <f t="shared" ref="R7" si="12">R8+Q7</f>
        <v>136170966.01842916</v>
      </c>
      <c r="S7">
        <f t="shared" ref="S7" si="13">R7/100000</f>
        <v>1361.7096601842916</v>
      </c>
      <c r="T7">
        <f t="shared" ref="T7" si="14">S7/1000</f>
        <v>1.3617096601842915</v>
      </c>
    </row>
    <row r="8" spans="1:20" x14ac:dyDescent="0.25">
      <c r="A8" s="5">
        <v>44585</v>
      </c>
      <c r="B8">
        <v>1.464</v>
      </c>
      <c r="C8">
        <v>1.5720000000000001</v>
      </c>
      <c r="D8">
        <v>1.288</v>
      </c>
      <c r="E8">
        <v>1.556</v>
      </c>
      <c r="F8">
        <v>6757878.4000000004</v>
      </c>
      <c r="G8">
        <v>1.556</v>
      </c>
      <c r="L8" t="s">
        <v>8</v>
      </c>
      <c r="M8" t="s">
        <v>8</v>
      </c>
      <c r="N8" t="s">
        <v>8</v>
      </c>
      <c r="P8">
        <f t="shared" ref="P8" si="15">IF(C8=D8,0,((E8-D8)-(C8-E8))/(C8-D8))</f>
        <v>0.88732394366197176</v>
      </c>
      <c r="Q8">
        <f t="shared" ref="Q8" si="16">F8*P8</f>
        <v>5996427.3126760563</v>
      </c>
      <c r="R8">
        <f t="shared" ref="R8" si="17">R9+Q8</f>
        <v>135409998.35244977</v>
      </c>
      <c r="S8">
        <f t="shared" ref="S8" si="18">R8/100000</f>
        <v>1354.0999835244977</v>
      </c>
      <c r="T8">
        <f t="shared" ref="T8" si="19">S8/1000</f>
        <v>1.3540999835244978</v>
      </c>
    </row>
    <row r="9" spans="1:20" x14ac:dyDescent="0.25">
      <c r="A9" s="5">
        <v>44584</v>
      </c>
      <c r="B9">
        <v>1.5049999999999999</v>
      </c>
      <c r="C9">
        <v>1.5389999999999999</v>
      </c>
      <c r="D9">
        <v>1.371</v>
      </c>
      <c r="E9">
        <v>1.4630000000000001</v>
      </c>
      <c r="F9">
        <v>4772562.0999999996</v>
      </c>
      <c r="G9">
        <v>1.4630000000000001</v>
      </c>
      <c r="L9" t="s">
        <v>8</v>
      </c>
      <c r="M9" t="s">
        <v>8</v>
      </c>
      <c r="N9" t="s">
        <v>8</v>
      </c>
      <c r="P9">
        <f t="shared" ref="P9" si="20">IF(C9=D9,0,((E9-D9)-(C9-E9))/(C9-D9))</f>
        <v>9.523809523809669E-2</v>
      </c>
      <c r="Q9">
        <f t="shared" ref="Q9" si="21">F9*P9</f>
        <v>454529.72380953073</v>
      </c>
      <c r="R9">
        <f t="shared" ref="R9" si="22">R10+Q9</f>
        <v>129413571.03977372</v>
      </c>
      <c r="S9">
        <f t="shared" ref="S9" si="23">R9/100000</f>
        <v>1294.1357103977373</v>
      </c>
      <c r="T9">
        <f t="shared" ref="T9" si="24">S9/1000</f>
        <v>1.2941357103977373</v>
      </c>
    </row>
    <row r="10" spans="1:20" x14ac:dyDescent="0.25">
      <c r="A10" s="5">
        <v>44583</v>
      </c>
      <c r="B10">
        <v>1.4319999999999999</v>
      </c>
      <c r="C10">
        <v>1.55</v>
      </c>
      <c r="D10">
        <v>1.25</v>
      </c>
      <c r="E10">
        <v>1.5049999999999999</v>
      </c>
      <c r="F10">
        <v>13158267.199999999</v>
      </c>
      <c r="G10">
        <v>1.5049999999999999</v>
      </c>
      <c r="L10" t="s">
        <v>7</v>
      </c>
      <c r="M10" t="s">
        <v>7</v>
      </c>
      <c r="N10" t="s">
        <v>8</v>
      </c>
      <c r="P10">
        <f t="shared" ref="P10" si="25">IF(C10=D10,0,((E10-D10)-(C10-E10))/(C10-D10))</f>
        <v>0.69999999999999907</v>
      </c>
      <c r="Q10">
        <f t="shared" ref="Q10" si="26">F10*P10</f>
        <v>9210787.0399999879</v>
      </c>
      <c r="R10">
        <f t="shared" ref="R10" si="27">R11+Q10</f>
        <v>128959041.31596419</v>
      </c>
      <c r="S10">
        <f t="shared" ref="S10" si="28">R10/100000</f>
        <v>1289.5904131596419</v>
      </c>
      <c r="T10">
        <f t="shared" ref="T10" si="29">S10/1000</f>
        <v>1.2895904131596418</v>
      </c>
    </row>
    <row r="11" spans="1:20" x14ac:dyDescent="0.25">
      <c r="A11" s="5">
        <v>44582</v>
      </c>
      <c r="B11">
        <v>1.58</v>
      </c>
      <c r="C11">
        <v>1.71</v>
      </c>
      <c r="D11">
        <v>1.38</v>
      </c>
      <c r="E11">
        <v>1.4319999999999999</v>
      </c>
      <c r="F11">
        <v>12103309.1</v>
      </c>
      <c r="G11">
        <v>1.4319999999999999</v>
      </c>
      <c r="L11" t="s">
        <v>8</v>
      </c>
      <c r="M11" t="s">
        <v>7</v>
      </c>
      <c r="N11" t="s">
        <v>8</v>
      </c>
      <c r="P11">
        <f t="shared" ref="P11" si="30">IF(C11=D11,0,((E11-D11)-(C11-E11))/(C11-D11))</f>
        <v>-0.6848484848484846</v>
      </c>
      <c r="Q11">
        <f t="shared" ref="Q11" si="31">F11*P11</f>
        <v>-8288932.8987878757</v>
      </c>
      <c r="R11">
        <f t="shared" ref="R11" si="32">R12+Q11</f>
        <v>119748254.2759642</v>
      </c>
      <c r="S11">
        <f t="shared" ref="S11" si="33">R11/100000</f>
        <v>1197.482542759642</v>
      </c>
      <c r="T11">
        <f t="shared" ref="T11" si="34">S11/1000</f>
        <v>1.1974825427596421</v>
      </c>
    </row>
    <row r="12" spans="1:20" x14ac:dyDescent="0.25">
      <c r="A12" s="5">
        <v>44581</v>
      </c>
      <c r="B12">
        <v>1.542</v>
      </c>
      <c r="C12">
        <v>1.6679999999999999</v>
      </c>
      <c r="D12">
        <v>1.49</v>
      </c>
      <c r="E12">
        <v>1.583</v>
      </c>
      <c r="F12">
        <v>6783721.5</v>
      </c>
      <c r="G12">
        <v>1.583</v>
      </c>
      <c r="L12" t="s">
        <v>8</v>
      </c>
      <c r="M12" t="s">
        <v>8</v>
      </c>
      <c r="N12" t="s">
        <v>8</v>
      </c>
      <c r="P12">
        <f t="shared" ref="P12" si="35">IF(C12=D12,0,((E12-D12)-(C12-E12))/(C12-D12))</f>
        <v>4.4943820224719155E-2</v>
      </c>
      <c r="Q12">
        <f t="shared" ref="Q12" si="36">F12*P12</f>
        <v>304886.35955056216</v>
      </c>
      <c r="R12">
        <f t="shared" ref="R12" si="37">R13+Q12</f>
        <v>128037187.17475207</v>
      </c>
      <c r="S12">
        <f t="shared" ref="S12" si="38">R12/100000</f>
        <v>1280.3718717475208</v>
      </c>
      <c r="T12">
        <f t="shared" ref="T12" si="39">S12/1000</f>
        <v>1.2803718717475208</v>
      </c>
    </row>
    <row r="13" spans="1:20" x14ac:dyDescent="0.25">
      <c r="A13" s="5">
        <v>44580</v>
      </c>
      <c r="B13">
        <v>1.472</v>
      </c>
      <c r="C13">
        <v>1.6</v>
      </c>
      <c r="D13">
        <v>1.379</v>
      </c>
      <c r="E13">
        <v>1.5409999999999999</v>
      </c>
      <c r="F13">
        <v>4435445</v>
      </c>
      <c r="G13">
        <v>1.5409999999999999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0.46606334841628833</v>
      </c>
      <c r="Q13">
        <f t="shared" ref="Q13" si="41">F13*P13</f>
        <v>2067198.348416284</v>
      </c>
      <c r="R13">
        <f t="shared" ref="R13" si="42">R14+Q13</f>
        <v>127732300.81520151</v>
      </c>
      <c r="S13">
        <f t="shared" ref="S13" si="43">R13/100000</f>
        <v>1277.3230081520151</v>
      </c>
      <c r="T13">
        <f t="shared" ref="T13" si="44">S13/1000</f>
        <v>1.277323008152015</v>
      </c>
    </row>
    <row r="14" spans="1:20" x14ac:dyDescent="0.25">
      <c r="A14" s="5">
        <v>44579</v>
      </c>
      <c r="B14">
        <v>1.609</v>
      </c>
      <c r="C14">
        <v>1.6679999999999999</v>
      </c>
      <c r="D14">
        <v>1.454</v>
      </c>
      <c r="E14">
        <v>1.4730000000000001</v>
      </c>
      <c r="F14">
        <v>4734464.3</v>
      </c>
      <c r="G14">
        <v>1.4730000000000001</v>
      </c>
      <c r="L14" t="s">
        <v>8</v>
      </c>
      <c r="M14" t="s">
        <v>8</v>
      </c>
      <c r="N14" t="s">
        <v>8</v>
      </c>
      <c r="P14">
        <f t="shared" ref="P14" si="45">IF(C14=D14,0,((E14-D14)-(C14-E14))/(C14-D14))</f>
        <v>-0.82242990654205483</v>
      </c>
      <c r="Q14">
        <f t="shared" ref="Q14" si="46">F14*P14</f>
        <v>-3893765.0317756948</v>
      </c>
      <c r="R14">
        <f t="shared" ref="R14" si="47">R15+Q14</f>
        <v>125665102.46678522</v>
      </c>
      <c r="S14">
        <f t="shared" ref="S14" si="48">R14/100000</f>
        <v>1256.6510246678522</v>
      </c>
      <c r="T14">
        <f t="shared" ref="T14" si="49">S14/1000</f>
        <v>1.2566510246678522</v>
      </c>
    </row>
    <row r="15" spans="1:20" x14ac:dyDescent="0.25">
      <c r="A15" s="5">
        <v>44578</v>
      </c>
      <c r="B15">
        <v>1.5389999999999999</v>
      </c>
      <c r="C15">
        <v>1.639</v>
      </c>
      <c r="D15">
        <v>1.4770000000000001</v>
      </c>
      <c r="E15">
        <v>1.61</v>
      </c>
      <c r="F15">
        <v>5705731.2999999998</v>
      </c>
      <c r="G15">
        <v>1.61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0.64197530864197616</v>
      </c>
      <c r="Q15">
        <f t="shared" ref="Q15" si="51">F15*P15</f>
        <v>3662938.6123456839</v>
      </c>
      <c r="R15">
        <f t="shared" ref="R15" si="52">R16+Q15</f>
        <v>129558867.49856092</v>
      </c>
      <c r="S15">
        <f t="shared" ref="S15" si="53">R15/100000</f>
        <v>1295.5886749856093</v>
      </c>
      <c r="T15">
        <f t="shared" ref="T15" si="54">S15/1000</f>
        <v>1.2955886749856094</v>
      </c>
    </row>
    <row r="16" spans="1:20" x14ac:dyDescent="0.25">
      <c r="A16" s="5">
        <v>44577</v>
      </c>
      <c r="B16">
        <v>1.526</v>
      </c>
      <c r="C16">
        <v>1.544</v>
      </c>
      <c r="D16">
        <v>1.456</v>
      </c>
      <c r="E16">
        <v>1.538</v>
      </c>
      <c r="F16">
        <v>1898889.4</v>
      </c>
      <c r="G16">
        <v>1.538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0.86363636363636365</v>
      </c>
      <c r="Q16">
        <f t="shared" ref="Q16" si="56">F16*P16</f>
        <v>1639949.9363636363</v>
      </c>
      <c r="R16">
        <f t="shared" ref="R16" si="57">R17+Q16</f>
        <v>125895928.88621524</v>
      </c>
      <c r="S16">
        <f t="shared" ref="S16" si="58">R16/100000</f>
        <v>1258.9592888621523</v>
      </c>
      <c r="T16">
        <f t="shared" ref="T16" si="59">S16/1000</f>
        <v>1.2589592888621524</v>
      </c>
    </row>
    <row r="17" spans="1:20" x14ac:dyDescent="0.25">
      <c r="A17" s="5">
        <v>44576</v>
      </c>
      <c r="B17">
        <v>1.4179999999999999</v>
      </c>
      <c r="C17">
        <v>1.573</v>
      </c>
      <c r="D17">
        <v>1.409</v>
      </c>
      <c r="E17">
        <v>1.526</v>
      </c>
      <c r="F17">
        <v>2813129</v>
      </c>
      <c r="G17">
        <v>1.526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0.42682926829268353</v>
      </c>
      <c r="Q17">
        <f t="shared" ref="Q17" si="61">F17*P17</f>
        <v>1200725.7926829285</v>
      </c>
      <c r="R17">
        <f t="shared" ref="R17" si="62">R18+Q17</f>
        <v>124255978.9498516</v>
      </c>
      <c r="S17">
        <f t="shared" ref="S17" si="63">R17/100000</f>
        <v>1242.559789498516</v>
      </c>
      <c r="T17">
        <f t="shared" ref="T17" si="64">S17/1000</f>
        <v>1.2425597894985161</v>
      </c>
    </row>
    <row r="18" spans="1:20" x14ac:dyDescent="0.25">
      <c r="A18" s="5">
        <v>44575</v>
      </c>
      <c r="B18">
        <v>1.3759999999999999</v>
      </c>
      <c r="C18">
        <v>1.4330000000000001</v>
      </c>
      <c r="D18">
        <v>1.351</v>
      </c>
      <c r="E18">
        <v>1.419</v>
      </c>
      <c r="F18">
        <v>1805923</v>
      </c>
      <c r="G18">
        <v>1.419</v>
      </c>
      <c r="L18" t="s">
        <v>8</v>
      </c>
      <c r="M18" t="s">
        <v>7</v>
      </c>
      <c r="N18" t="s">
        <v>8</v>
      </c>
      <c r="P18">
        <f t="shared" ref="P18" si="65">IF(C18=D18,0,((E18-D18)-(C18-E18))/(C18-D18))</f>
        <v>0.65853658536585369</v>
      </c>
      <c r="Q18">
        <f t="shared" ref="Q18" si="66">F18*P18</f>
        <v>1189266.3658536586</v>
      </c>
      <c r="R18">
        <f t="shared" ref="R18" si="67">R19+Q18</f>
        <v>123055253.15716867</v>
      </c>
      <c r="S18">
        <f t="shared" ref="S18" si="68">R18/100000</f>
        <v>1230.5525315716868</v>
      </c>
      <c r="T18">
        <f t="shared" ref="T18" si="69">S18/1000</f>
        <v>1.2305525315716868</v>
      </c>
    </row>
    <row r="19" spans="1:20" x14ac:dyDescent="0.25">
      <c r="A19" s="5">
        <v>44574</v>
      </c>
      <c r="B19">
        <v>1.399</v>
      </c>
      <c r="C19">
        <v>1.45</v>
      </c>
      <c r="D19">
        <v>1.369</v>
      </c>
      <c r="E19">
        <v>1.377</v>
      </c>
      <c r="F19">
        <v>1793357.6</v>
      </c>
      <c r="G19">
        <v>1.377</v>
      </c>
      <c r="L19" t="s">
        <v>8</v>
      </c>
      <c r="M19" t="s">
        <v>7</v>
      </c>
      <c r="N19" t="s">
        <v>8</v>
      </c>
      <c r="P19">
        <f t="shared" ref="P19" si="70">IF(C19=D19,0,((E19-D19)-(C19-E19))/(C19-D19))</f>
        <v>-0.80246913580246881</v>
      </c>
      <c r="Q19">
        <f t="shared" ref="Q19" si="71">F19*P19</f>
        <v>-1439114.1234567896</v>
      </c>
      <c r="R19">
        <f t="shared" ref="R19" si="72">R20+Q19</f>
        <v>121865986.79131502</v>
      </c>
      <c r="S19">
        <f t="shared" ref="S19" si="73">R19/100000</f>
        <v>1218.6598679131503</v>
      </c>
      <c r="T19">
        <f t="shared" ref="T19" si="74">S19/1000</f>
        <v>1.2186598679131502</v>
      </c>
    </row>
    <row r="20" spans="1:20" x14ac:dyDescent="0.25">
      <c r="A20" s="5">
        <v>44573</v>
      </c>
      <c r="B20">
        <v>1.3420000000000001</v>
      </c>
      <c r="C20">
        <v>1.413</v>
      </c>
      <c r="D20">
        <v>1.34</v>
      </c>
      <c r="E20">
        <v>1.401</v>
      </c>
      <c r="F20">
        <v>2693184.3</v>
      </c>
      <c r="G20">
        <v>1.401</v>
      </c>
      <c r="L20" t="s">
        <v>8</v>
      </c>
      <c r="M20" t="s">
        <v>7</v>
      </c>
      <c r="N20" t="s">
        <v>8</v>
      </c>
      <c r="P20">
        <f t="shared" ref="P20" si="75">IF(C20=D20,0,((E20-D20)-(C20-E20))/(C20-D20))</f>
        <v>0.67123287671232823</v>
      </c>
      <c r="Q20">
        <f t="shared" ref="Q20" si="76">F20*P20</f>
        <v>1807753.8452054779</v>
      </c>
      <c r="R20">
        <f t="shared" ref="R20" si="77">R21+Q20</f>
        <v>123305100.91477181</v>
      </c>
      <c r="S20">
        <f t="shared" ref="S20" si="78">R20/100000</f>
        <v>1233.0510091477181</v>
      </c>
      <c r="T20">
        <f t="shared" ref="T20" si="79">S20/1000</f>
        <v>1.233051009147718</v>
      </c>
    </row>
    <row r="21" spans="1:20" x14ac:dyDescent="0.25">
      <c r="A21" s="5">
        <v>44572</v>
      </c>
      <c r="B21">
        <v>1.3360000000000001</v>
      </c>
      <c r="C21">
        <v>1.393</v>
      </c>
      <c r="D21">
        <v>1.3129999999999999</v>
      </c>
      <c r="E21">
        <v>1.341</v>
      </c>
      <c r="F21">
        <v>2694922.4</v>
      </c>
      <c r="G21">
        <v>1.341</v>
      </c>
      <c r="L21" t="s">
        <v>8</v>
      </c>
      <c r="M21" t="s">
        <v>7</v>
      </c>
      <c r="N21" t="s">
        <v>8</v>
      </c>
      <c r="P21">
        <f t="shared" ref="P21" si="80">IF(C21=D21,0,((E21-D21)-(C21-E21))/(C21-D21))</f>
        <v>-0.3</v>
      </c>
      <c r="Q21">
        <f t="shared" ref="Q21" si="81">F21*P21</f>
        <v>-808476.72</v>
      </c>
      <c r="R21">
        <f t="shared" ref="R21" si="82">R22+Q21</f>
        <v>121497347.06956634</v>
      </c>
      <c r="S21">
        <f t="shared" ref="S21" si="83">R21/100000</f>
        <v>1214.9734706956633</v>
      </c>
      <c r="T21">
        <f t="shared" ref="T21" si="84">S21/1000</f>
        <v>1.2149734706956634</v>
      </c>
    </row>
    <row r="22" spans="1:20" x14ac:dyDescent="0.25">
      <c r="A22" s="5">
        <v>44571</v>
      </c>
      <c r="B22">
        <v>1.4259999999999999</v>
      </c>
      <c r="C22">
        <v>1.429</v>
      </c>
      <c r="D22">
        <v>1.25</v>
      </c>
      <c r="E22">
        <v>1.3360000000000001</v>
      </c>
      <c r="F22">
        <v>4043498</v>
      </c>
      <c r="G22">
        <v>1.3360000000000001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-3.9106145251396052E-2</v>
      </c>
      <c r="Q22">
        <f t="shared" ref="Q22" si="86">F22*P22</f>
        <v>-158125.62011172943</v>
      </c>
      <c r="R22">
        <f t="shared" ref="R22" si="87">R23+Q22</f>
        <v>122305823.78956634</v>
      </c>
      <c r="S22">
        <f t="shared" ref="S22" si="88">R22/100000</f>
        <v>1223.0582378956633</v>
      </c>
      <c r="T22">
        <f t="shared" ref="T22" si="89">S22/1000</f>
        <v>1.2230582378956634</v>
      </c>
    </row>
    <row r="23" spans="1:20" x14ac:dyDescent="0.25">
      <c r="A23" s="5">
        <v>44570</v>
      </c>
      <c r="B23">
        <v>1.526</v>
      </c>
      <c r="C23">
        <v>1.5960000000000001</v>
      </c>
      <c r="D23">
        <v>1.397</v>
      </c>
      <c r="E23">
        <v>1.4259999999999999</v>
      </c>
      <c r="F23">
        <v>7026543.7999999998</v>
      </c>
      <c r="G23">
        <v>1.4259999999999999</v>
      </c>
      <c r="L23" t="s">
        <v>7</v>
      </c>
      <c r="M23" t="s">
        <v>8</v>
      </c>
      <c r="N23" t="s">
        <v>8</v>
      </c>
      <c r="P23">
        <f t="shared" ref="P23" si="90">IF(C23=D23,0,((E23-D23)-(C23-E23))/(C23-D23))</f>
        <v>-0.70854271356784015</v>
      </c>
      <c r="Q23">
        <f t="shared" ref="Q23" si="91">F23*P23</f>
        <v>-4978606.4110552827</v>
      </c>
      <c r="R23">
        <f t="shared" ref="R23" si="92">R24+Q23</f>
        <v>122463949.40967807</v>
      </c>
      <c r="S23">
        <f t="shared" ref="S23" si="93">R23/100000</f>
        <v>1224.6394940967807</v>
      </c>
      <c r="T23">
        <f t="shared" ref="T23" si="94">S23/1000</f>
        <v>1.2246394940967806</v>
      </c>
    </row>
    <row r="24" spans="1:20" x14ac:dyDescent="0.25">
      <c r="A24" s="5">
        <v>44569</v>
      </c>
      <c r="B24">
        <v>1.51</v>
      </c>
      <c r="C24">
        <v>1.6140000000000001</v>
      </c>
      <c r="D24">
        <v>1.421</v>
      </c>
      <c r="E24">
        <v>1.5229999999999999</v>
      </c>
      <c r="F24">
        <v>15960124.4</v>
      </c>
      <c r="G24">
        <v>1.5229999999999999</v>
      </c>
      <c r="L24" t="s">
        <v>8</v>
      </c>
      <c r="M24" t="s">
        <v>8</v>
      </c>
      <c r="N24" t="s">
        <v>8</v>
      </c>
      <c r="P24">
        <f t="shared" ref="P24" si="95">IF(C24=D24,0,((E24-D24)-(C24-E24))/(C24-D24))</f>
        <v>5.6994818652848049E-2</v>
      </c>
      <c r="Q24">
        <f t="shared" ref="Q24" si="96">F24*P24</f>
        <v>909644.39585489535</v>
      </c>
      <c r="R24">
        <f t="shared" ref="R24" si="97">R25+Q24</f>
        <v>127442555.82073335</v>
      </c>
      <c r="S24">
        <f t="shared" ref="S24" si="98">R24/100000</f>
        <v>1274.4255582073336</v>
      </c>
      <c r="T24">
        <f t="shared" ref="T24" si="99">S24/1000</f>
        <v>1.2744255582073336</v>
      </c>
    </row>
    <row r="25" spans="1:20" x14ac:dyDescent="0.25">
      <c r="A25" s="5">
        <v>44568</v>
      </c>
      <c r="B25">
        <v>1.306</v>
      </c>
      <c r="C25">
        <v>1.5680000000000001</v>
      </c>
      <c r="D25">
        <v>1.2190000000000001</v>
      </c>
      <c r="E25">
        <v>1.508</v>
      </c>
      <c r="F25">
        <v>17441996</v>
      </c>
      <c r="G25">
        <v>1.508</v>
      </c>
      <c r="L25" t="s">
        <v>8</v>
      </c>
      <c r="M25" t="s">
        <v>8</v>
      </c>
      <c r="N25" t="s">
        <v>7</v>
      </c>
      <c r="P25">
        <f t="shared" ref="P25" si="100">IF(C25=D25,0,((E25-D25)-(C25-E25))/(C25-D25))</f>
        <v>0.65616045845272175</v>
      </c>
      <c r="Q25">
        <f t="shared" ref="Q25" si="101">F25*P25</f>
        <v>11444748.091690538</v>
      </c>
      <c r="R25">
        <f t="shared" ref="R25" si="102">R26+Q25</f>
        <v>126532911.42487846</v>
      </c>
      <c r="S25">
        <f t="shared" ref="S25" si="103">R25/100000</f>
        <v>1265.3291142487847</v>
      </c>
      <c r="T25">
        <f t="shared" ref="T25" si="104">S25/1000</f>
        <v>1.2653291142487846</v>
      </c>
    </row>
    <row r="26" spans="1:20" x14ac:dyDescent="0.25">
      <c r="A26" s="5">
        <v>44567</v>
      </c>
      <c r="B26">
        <v>1.2509999999999999</v>
      </c>
      <c r="C26">
        <v>1.339</v>
      </c>
      <c r="D26">
        <v>1.1839999999999999</v>
      </c>
      <c r="E26">
        <v>1.306</v>
      </c>
      <c r="F26">
        <v>3346710.8</v>
      </c>
      <c r="G26">
        <v>1.306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0.57419354838709791</v>
      </c>
      <c r="Q26">
        <f t="shared" ref="Q26" si="106">F26*P26</f>
        <v>1921659.7496774232</v>
      </c>
      <c r="R26">
        <f t="shared" ref="R26" si="107">R27+Q26</f>
        <v>115088163.33318792</v>
      </c>
      <c r="S26">
        <f t="shared" ref="S26" si="108">R26/100000</f>
        <v>1150.8816333318791</v>
      </c>
      <c r="T26">
        <f t="shared" ref="T26" si="109">S26/1000</f>
        <v>1.1508816333318792</v>
      </c>
    </row>
    <row r="27" spans="1:20" x14ac:dyDescent="0.25">
      <c r="A27" s="5">
        <v>44566</v>
      </c>
      <c r="B27">
        <v>1.3420000000000001</v>
      </c>
      <c r="C27">
        <v>1.4239999999999999</v>
      </c>
      <c r="D27">
        <v>1.2110000000000001</v>
      </c>
      <c r="E27">
        <v>1.25</v>
      </c>
      <c r="F27">
        <v>2383829.4</v>
      </c>
      <c r="G27">
        <v>1.25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-0.63380281690140894</v>
      </c>
      <c r="Q27">
        <f t="shared" ref="Q27" si="111">F27*P27</f>
        <v>-1510877.7887323955</v>
      </c>
      <c r="R27">
        <f t="shared" ref="R27" si="112">R28+Q27</f>
        <v>113166503.5835105</v>
      </c>
      <c r="S27">
        <f t="shared" ref="S27" si="113">R27/100000</f>
        <v>1131.6650358351051</v>
      </c>
      <c r="T27">
        <f t="shared" ref="T27" si="114">S27/1000</f>
        <v>1.131665035835105</v>
      </c>
    </row>
    <row r="28" spans="1:20" x14ac:dyDescent="0.25">
      <c r="A28" s="5">
        <v>44565</v>
      </c>
      <c r="B28">
        <v>1.3959999999999999</v>
      </c>
      <c r="C28">
        <v>1.4</v>
      </c>
      <c r="D28">
        <v>1.337</v>
      </c>
      <c r="E28">
        <v>1.3440000000000001</v>
      </c>
      <c r="F28">
        <v>1832831.6</v>
      </c>
      <c r="G28">
        <v>1.3440000000000001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-0.7777777777777739</v>
      </c>
      <c r="Q28">
        <f t="shared" ref="Q28" si="116">F28*P28</f>
        <v>-1425535.6888888818</v>
      </c>
      <c r="R28">
        <f t="shared" ref="R28" si="117">R29+Q28</f>
        <v>114677381.3722429</v>
      </c>
      <c r="S28">
        <f t="shared" ref="S28" si="118">R28/100000</f>
        <v>1146.7738137224289</v>
      </c>
      <c r="T28">
        <f t="shared" ref="T28" si="119">S28/1000</f>
        <v>1.146773813722429</v>
      </c>
    </row>
    <row r="29" spans="1:20" x14ac:dyDescent="0.25">
      <c r="A29" s="5">
        <v>44564</v>
      </c>
      <c r="B29">
        <v>1.423</v>
      </c>
      <c r="C29">
        <v>1.4610000000000001</v>
      </c>
      <c r="D29">
        <v>1.3779999999999999</v>
      </c>
      <c r="E29">
        <v>1.3959999999999999</v>
      </c>
      <c r="F29">
        <v>1985313.6</v>
      </c>
      <c r="G29">
        <v>1.3959999999999999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-0.56626506024096446</v>
      </c>
      <c r="Q29">
        <f t="shared" ref="Q29" si="121">F29*P29</f>
        <v>-1124213.7253012061</v>
      </c>
      <c r="R29">
        <f t="shared" ref="R29" si="122">R30+Q29</f>
        <v>116102917.06113178</v>
      </c>
      <c r="S29">
        <f t="shared" ref="S29" si="123">R29/100000</f>
        <v>1161.0291706113178</v>
      </c>
      <c r="T29">
        <f t="shared" ref="T29" si="124">S29/1000</f>
        <v>1.1610291706113178</v>
      </c>
    </row>
    <row r="30" spans="1:20" x14ac:dyDescent="0.25">
      <c r="A30" s="5">
        <v>44563</v>
      </c>
      <c r="B30">
        <v>1.383</v>
      </c>
      <c r="C30">
        <v>1.448</v>
      </c>
      <c r="D30">
        <v>1.341</v>
      </c>
      <c r="E30">
        <v>1.425</v>
      </c>
      <c r="F30">
        <v>2329347.7999999998</v>
      </c>
      <c r="G30">
        <v>1.425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0.57009345794392685</v>
      </c>
      <c r="Q30">
        <f t="shared" ref="Q30" si="126">F30*P30</f>
        <v>1327945.9420560785</v>
      </c>
      <c r="R30">
        <f t="shared" ref="R30" si="127">R31+Q30</f>
        <v>117227130.78643298</v>
      </c>
      <c r="S30">
        <f t="shared" ref="S30" si="128">R30/100000</f>
        <v>1172.2713078643299</v>
      </c>
      <c r="T30">
        <f t="shared" ref="T30" si="129">S30/1000</f>
        <v>1.1722713078643299</v>
      </c>
    </row>
    <row r="31" spans="1:20" x14ac:dyDescent="0.25">
      <c r="A31" s="5">
        <v>44562</v>
      </c>
      <c r="B31">
        <v>1.2829999999999999</v>
      </c>
      <c r="C31">
        <v>1.3859999999999999</v>
      </c>
      <c r="D31">
        <v>1.2829999999999999</v>
      </c>
      <c r="E31">
        <v>1.3839999999999999</v>
      </c>
      <c r="F31">
        <v>1584534.7</v>
      </c>
      <c r="G31">
        <v>1.3839999999999999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0.96116504854368923</v>
      </c>
      <c r="Q31">
        <f t="shared" ref="Q31" si="131">F31*P31</f>
        <v>1522999.37184466</v>
      </c>
      <c r="R31">
        <f t="shared" ref="R31" si="132">R32+Q31</f>
        <v>115899184.84437691</v>
      </c>
      <c r="S31">
        <f t="shared" ref="S31" si="133">R31/100000</f>
        <v>1158.991848443769</v>
      </c>
      <c r="T31">
        <f t="shared" ref="T31" si="134">S31/1000</f>
        <v>1.1589918484437689</v>
      </c>
    </row>
    <row r="32" spans="1:20" x14ac:dyDescent="0.25">
      <c r="A32" s="5">
        <v>44561</v>
      </c>
      <c r="B32">
        <v>1.319</v>
      </c>
      <c r="C32">
        <v>1.3480000000000001</v>
      </c>
      <c r="D32">
        <v>1.244</v>
      </c>
      <c r="E32">
        <v>1.2829999999999999</v>
      </c>
      <c r="F32">
        <v>1325409.8</v>
      </c>
      <c r="G32">
        <v>1.2829999999999999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-0.25000000000000211</v>
      </c>
      <c r="Q32">
        <f t="shared" ref="Q32" si="136">F32*P32</f>
        <v>-331352.45000000281</v>
      </c>
      <c r="R32">
        <f t="shared" ref="R32" si="137">R33+Q32</f>
        <v>114376185.47253224</v>
      </c>
      <c r="S32">
        <f t="shared" ref="S32" si="138">R32/100000</f>
        <v>1143.7618547253223</v>
      </c>
      <c r="T32">
        <f t="shared" ref="T32" si="139">S32/1000</f>
        <v>1.1437618547253223</v>
      </c>
    </row>
    <row r="33" spans="1:20" x14ac:dyDescent="0.25">
      <c r="A33" s="5">
        <v>44560</v>
      </c>
      <c r="B33">
        <v>1.258</v>
      </c>
      <c r="C33">
        <v>1.335</v>
      </c>
      <c r="D33">
        <v>1.2310000000000001</v>
      </c>
      <c r="E33">
        <v>1.3220000000000001</v>
      </c>
      <c r="F33">
        <v>1555436.3</v>
      </c>
      <c r="G33">
        <v>1.3220000000000001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0.75000000000000155</v>
      </c>
      <c r="Q33">
        <f t="shared" ref="Q33" si="141">F33*P33</f>
        <v>1166577.2250000024</v>
      </c>
      <c r="R33">
        <f t="shared" ref="R33" si="142">R34+Q33</f>
        <v>114707537.92253225</v>
      </c>
      <c r="S33">
        <f t="shared" ref="S33" si="143">R33/100000</f>
        <v>1147.0753792253224</v>
      </c>
      <c r="T33">
        <f t="shared" ref="T33" si="144">S33/1000</f>
        <v>1.1470753792253223</v>
      </c>
    </row>
    <row r="34" spans="1:20" x14ac:dyDescent="0.25">
      <c r="A34" s="5">
        <v>44559</v>
      </c>
      <c r="B34">
        <v>1.298</v>
      </c>
      <c r="C34">
        <v>1.32</v>
      </c>
      <c r="D34">
        <v>1.2410000000000001</v>
      </c>
      <c r="E34">
        <v>1.2569999999999999</v>
      </c>
      <c r="F34">
        <v>1439975.9</v>
      </c>
      <c r="G34">
        <v>1.2569999999999999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-0.59493670886076455</v>
      </c>
      <c r="Q34">
        <f t="shared" ref="Q34" si="146">F34*P34</f>
        <v>-856694.52278481738</v>
      </c>
      <c r="R34">
        <f t="shared" ref="R34" si="147">R35+Q34</f>
        <v>113540960.69753224</v>
      </c>
      <c r="S34">
        <f t="shared" ref="S34" si="148">R34/100000</f>
        <v>1135.4096069753223</v>
      </c>
      <c r="T34">
        <f t="shared" ref="T34" si="149">S34/1000</f>
        <v>1.1354096069753223</v>
      </c>
    </row>
    <row r="35" spans="1:20" x14ac:dyDescent="0.25">
      <c r="A35" s="5">
        <v>44558</v>
      </c>
      <c r="B35">
        <v>1.4159999999999999</v>
      </c>
      <c r="C35">
        <v>1.4159999999999999</v>
      </c>
      <c r="D35">
        <v>1.292</v>
      </c>
      <c r="E35">
        <v>1.2989999999999999</v>
      </c>
      <c r="F35">
        <v>1662917.5</v>
      </c>
      <c r="G35">
        <v>1.2989999999999999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-0.88709677419354993</v>
      </c>
      <c r="Q35">
        <f t="shared" ref="Q35" si="151">F35*P35</f>
        <v>-1475168.7500000026</v>
      </c>
      <c r="R35">
        <f t="shared" ref="R35" si="152">R36+Q35</f>
        <v>114397655.22031705</v>
      </c>
      <c r="S35">
        <f t="shared" ref="S35" si="153">R35/100000</f>
        <v>1143.9765522031705</v>
      </c>
      <c r="T35">
        <f t="shared" ref="T35" si="154">S35/1000</f>
        <v>1.1439765522031704</v>
      </c>
    </row>
    <row r="36" spans="1:20" x14ac:dyDescent="0.25">
      <c r="A36" s="5">
        <v>44557</v>
      </c>
      <c r="B36">
        <v>1.3939999999999999</v>
      </c>
      <c r="C36">
        <v>1.5649999999999999</v>
      </c>
      <c r="D36">
        <v>1.385</v>
      </c>
      <c r="E36">
        <v>1.4159999999999999</v>
      </c>
      <c r="F36">
        <v>1835070</v>
      </c>
      <c r="G36">
        <v>1.4159999999999999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-0.65555555555555634</v>
      </c>
      <c r="Q36">
        <f t="shared" ref="Q36" si="156">F36*P36</f>
        <v>-1202990.3333333347</v>
      </c>
      <c r="R36">
        <f t="shared" ref="R36" si="157">R37+Q36</f>
        <v>115872823.97031705</v>
      </c>
      <c r="S36">
        <f t="shared" ref="S36" si="158">R36/100000</f>
        <v>1158.7282397031704</v>
      </c>
      <c r="T36">
        <f t="shared" ref="T36" si="159">S36/1000</f>
        <v>1.1587282397031704</v>
      </c>
    </row>
    <row r="37" spans="1:20" x14ac:dyDescent="0.25">
      <c r="A37" s="5">
        <v>44556</v>
      </c>
      <c r="B37">
        <v>1.409</v>
      </c>
      <c r="C37">
        <v>1.417</v>
      </c>
      <c r="D37">
        <v>1.341</v>
      </c>
      <c r="E37">
        <v>1.3939999999999999</v>
      </c>
      <c r="F37">
        <v>2112343.2999999998</v>
      </c>
      <c r="G37">
        <v>1.3939999999999999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0.39473684210526022</v>
      </c>
      <c r="Q37">
        <f t="shared" ref="Q37" si="161">F37*P37</f>
        <v>833819.72368420428</v>
      </c>
      <c r="R37">
        <f t="shared" ref="R37" si="162">R38+Q37</f>
        <v>117075814.30365038</v>
      </c>
      <c r="S37">
        <f t="shared" ref="S37" si="163">R37/100000</f>
        <v>1170.7581430365037</v>
      </c>
      <c r="T37">
        <f t="shared" ref="T37" si="164">S37/1000</f>
        <v>1.1707581430365037</v>
      </c>
    </row>
    <row r="38" spans="1:20" x14ac:dyDescent="0.25">
      <c r="A38" s="5">
        <v>44555</v>
      </c>
      <c r="B38">
        <v>1.3859999999999999</v>
      </c>
      <c r="C38">
        <v>1.427</v>
      </c>
      <c r="D38">
        <v>1.379</v>
      </c>
      <c r="E38">
        <v>1.409</v>
      </c>
      <c r="F38">
        <v>869115.3</v>
      </c>
      <c r="G38">
        <v>1.409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0.25</v>
      </c>
      <c r="Q38">
        <f t="shared" ref="Q38" si="166">F38*P38</f>
        <v>217278.82500000001</v>
      </c>
      <c r="R38">
        <f t="shared" ref="R38" si="167">R39+Q38</f>
        <v>116241994.57996617</v>
      </c>
      <c r="S38">
        <f t="shared" ref="S38" si="168">R38/100000</f>
        <v>1162.4199457996617</v>
      </c>
      <c r="T38">
        <f t="shared" ref="T38" si="169">S38/1000</f>
        <v>1.1624199457996618</v>
      </c>
    </row>
    <row r="39" spans="1:20" x14ac:dyDescent="0.25">
      <c r="A39" s="5">
        <v>44554</v>
      </c>
      <c r="B39">
        <v>1.44</v>
      </c>
      <c r="C39">
        <v>1.4430000000000001</v>
      </c>
      <c r="D39">
        <v>1.369</v>
      </c>
      <c r="E39">
        <v>1.3859999999999999</v>
      </c>
      <c r="F39">
        <v>1549880.7</v>
      </c>
      <c r="G39">
        <v>1.3859999999999999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-0.54054054054054357</v>
      </c>
      <c r="Q39">
        <f t="shared" ref="Q39" si="171">F39*P39</f>
        <v>-837773.35135135602</v>
      </c>
      <c r="R39">
        <f t="shared" ref="R39" si="172">R40+Q39</f>
        <v>116024715.75496617</v>
      </c>
      <c r="S39">
        <f t="shared" ref="S39" si="173">R39/100000</f>
        <v>1160.2471575496618</v>
      </c>
      <c r="T39">
        <f t="shared" ref="T39" si="174">S39/1000</f>
        <v>1.1602471575496618</v>
      </c>
    </row>
    <row r="40" spans="1:20" x14ac:dyDescent="0.25">
      <c r="A40" s="5">
        <v>44553</v>
      </c>
      <c r="B40">
        <v>1.3640000000000001</v>
      </c>
      <c r="C40">
        <v>1.4450000000000001</v>
      </c>
      <c r="D40">
        <v>1.3280000000000001</v>
      </c>
      <c r="E40">
        <v>1.44</v>
      </c>
      <c r="F40">
        <v>1584426.1</v>
      </c>
      <c r="G40">
        <v>1.44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0.9145299145299125</v>
      </c>
      <c r="Q40">
        <f t="shared" ref="Q40" si="176">F40*P40</f>
        <v>1449005.0658119626</v>
      </c>
      <c r="R40">
        <f t="shared" ref="R40" si="177">R41+Q40</f>
        <v>116862489.10631752</v>
      </c>
      <c r="S40">
        <f t="shared" ref="S40" si="178">R40/100000</f>
        <v>1168.6248910631753</v>
      </c>
      <c r="T40">
        <f t="shared" ref="T40" si="179">S40/1000</f>
        <v>1.1686248910631754</v>
      </c>
    </row>
    <row r="41" spans="1:20" x14ac:dyDescent="0.25">
      <c r="A41" s="5">
        <v>44552</v>
      </c>
      <c r="B41">
        <v>1.284</v>
      </c>
      <c r="C41">
        <v>1.39</v>
      </c>
      <c r="D41">
        <v>1.276</v>
      </c>
      <c r="E41">
        <v>1.363</v>
      </c>
      <c r="F41">
        <v>2848634.8</v>
      </c>
      <c r="G41">
        <v>1.363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0.52631578947368518</v>
      </c>
      <c r="Q41">
        <f t="shared" ref="Q41" si="181">F41*P41</f>
        <v>1499281.4736842131</v>
      </c>
      <c r="R41">
        <f t="shared" ref="R41" si="182">R42+Q41</f>
        <v>115413484.04050556</v>
      </c>
      <c r="S41">
        <f t="shared" ref="S41" si="183">R41/100000</f>
        <v>1154.1348404050557</v>
      </c>
      <c r="T41">
        <f t="shared" ref="T41" si="184">S41/1000</f>
        <v>1.1541348404050558</v>
      </c>
    </row>
    <row r="42" spans="1:20" x14ac:dyDescent="0.25">
      <c r="A42" s="5">
        <v>44551</v>
      </c>
      <c r="B42">
        <v>1.238</v>
      </c>
      <c r="C42">
        <v>1.298</v>
      </c>
      <c r="D42">
        <v>1.224</v>
      </c>
      <c r="E42">
        <v>1.282</v>
      </c>
      <c r="F42">
        <v>921279.8</v>
      </c>
      <c r="G42">
        <v>1.282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0.56756756756756754</v>
      </c>
      <c r="Q42">
        <f t="shared" ref="Q42" si="186">F42*P42</f>
        <v>522888.53513513511</v>
      </c>
      <c r="R42">
        <f t="shared" ref="R42" si="187">R43+Q42</f>
        <v>113914202.56682135</v>
      </c>
      <c r="S42">
        <f t="shared" ref="S42" si="188">R42/100000</f>
        <v>1139.1420256682136</v>
      </c>
      <c r="T42">
        <f t="shared" ref="T42" si="189">S42/1000</f>
        <v>1.1391420256682137</v>
      </c>
    </row>
    <row r="43" spans="1:20" x14ac:dyDescent="0.25">
      <c r="A43" s="5">
        <v>44550</v>
      </c>
      <c r="B43">
        <v>1.278</v>
      </c>
      <c r="C43">
        <v>1.282</v>
      </c>
      <c r="D43">
        <v>1.1930000000000001</v>
      </c>
      <c r="E43">
        <v>1.238</v>
      </c>
      <c r="F43">
        <v>1287439.5</v>
      </c>
      <c r="G43">
        <v>1.238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1.1235955056178542E-2</v>
      </c>
      <c r="Q43">
        <f t="shared" ref="Q43" si="191">F43*P43</f>
        <v>14465.612359548973</v>
      </c>
      <c r="R43">
        <f t="shared" ref="R43" si="192">R44+Q43</f>
        <v>113391314.03168622</v>
      </c>
      <c r="S43">
        <f t="shared" ref="S43" si="193">R43/100000</f>
        <v>1133.9131403168622</v>
      </c>
      <c r="T43">
        <f t="shared" ref="T43" si="194">S43/1000</f>
        <v>1.1339131403168621</v>
      </c>
    </row>
    <row r="44" spans="1:20" x14ac:dyDescent="0.25">
      <c r="A44" s="5">
        <v>44549</v>
      </c>
      <c r="B44">
        <v>1.319</v>
      </c>
      <c r="C44">
        <v>1.335</v>
      </c>
      <c r="D44">
        <v>1.2709999999999999</v>
      </c>
      <c r="E44">
        <v>1.2769999999999999</v>
      </c>
      <c r="F44">
        <v>1137691.6000000001</v>
      </c>
      <c r="G44">
        <v>1.2769999999999999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-0.8125</v>
      </c>
      <c r="Q44">
        <f t="shared" ref="Q44" si="196">F44*P44</f>
        <v>-924374.42500000005</v>
      </c>
      <c r="R44">
        <f t="shared" ref="R44" si="197">R45+Q44</f>
        <v>113376848.41932666</v>
      </c>
      <c r="S44">
        <f t="shared" ref="S44" si="198">R44/100000</f>
        <v>1133.7684841932667</v>
      </c>
      <c r="T44">
        <f t="shared" ref="T44" si="199">S44/1000</f>
        <v>1.1337684841932667</v>
      </c>
    </row>
    <row r="45" spans="1:20" x14ac:dyDescent="0.25">
      <c r="A45" s="5">
        <v>44548</v>
      </c>
      <c r="B45">
        <v>1.284</v>
      </c>
      <c r="C45">
        <v>1.355</v>
      </c>
      <c r="D45">
        <v>1.2569999999999999</v>
      </c>
      <c r="E45">
        <v>1.3180000000000001</v>
      </c>
      <c r="F45">
        <v>1125613.5</v>
      </c>
      <c r="G45">
        <v>1.3180000000000001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0.24489795918367574</v>
      </c>
      <c r="Q45">
        <f t="shared" ref="Q45" si="201">F45*P45</f>
        <v>275660.4489795944</v>
      </c>
      <c r="R45">
        <f t="shared" ref="R45" si="202">R46+Q45</f>
        <v>114301222.84432666</v>
      </c>
      <c r="S45">
        <f t="shared" ref="S45" si="203">R45/100000</f>
        <v>1143.0122284432666</v>
      </c>
      <c r="T45">
        <f t="shared" ref="T45" si="204">S45/1000</f>
        <v>1.1430122284432667</v>
      </c>
    </row>
    <row r="46" spans="1:20" x14ac:dyDescent="0.25">
      <c r="A46" s="5">
        <v>44547</v>
      </c>
      <c r="B46">
        <v>1.2849999999999999</v>
      </c>
      <c r="C46">
        <v>1.3460000000000001</v>
      </c>
      <c r="D46">
        <v>1.2350000000000001</v>
      </c>
      <c r="E46">
        <v>1.2829999999999999</v>
      </c>
      <c r="F46">
        <v>1792979</v>
      </c>
      <c r="G46">
        <v>1.2829999999999999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-0.13513513513513828</v>
      </c>
      <c r="Q46">
        <f t="shared" ref="Q46" si="206">F46*P46</f>
        <v>-242294.45945946508</v>
      </c>
      <c r="R46">
        <f t="shared" ref="R46" si="207">R47+Q46</f>
        <v>114025562.39534706</v>
      </c>
      <c r="S46">
        <f t="shared" ref="S46" si="208">R46/100000</f>
        <v>1140.2556239534706</v>
      </c>
      <c r="T46">
        <f t="shared" ref="T46" si="209">S46/1000</f>
        <v>1.1402556239534707</v>
      </c>
    </row>
    <row r="47" spans="1:20" x14ac:dyDescent="0.25">
      <c r="A47" s="5">
        <v>44546</v>
      </c>
      <c r="B47">
        <v>1.2989999999999999</v>
      </c>
      <c r="C47">
        <v>1.3520000000000001</v>
      </c>
      <c r="D47">
        <v>1.2809999999999999</v>
      </c>
      <c r="E47">
        <v>1.2849999999999999</v>
      </c>
      <c r="F47">
        <v>1042222.1</v>
      </c>
      <c r="G47">
        <v>1.2849999999999999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-0.88732394366197198</v>
      </c>
      <c r="Q47">
        <f t="shared" ref="Q47" si="211">F47*P47</f>
        <v>-924788.62394366215</v>
      </c>
      <c r="R47">
        <f t="shared" ref="R47" si="212">R48+Q47</f>
        <v>114267856.85480653</v>
      </c>
      <c r="S47">
        <f t="shared" ref="S47" si="213">R47/100000</f>
        <v>1142.6785685480652</v>
      </c>
      <c r="T47">
        <f t="shared" ref="T47" si="214">S47/1000</f>
        <v>1.1426785685480652</v>
      </c>
    </row>
    <row r="48" spans="1:20" x14ac:dyDescent="0.25">
      <c r="A48" s="5">
        <v>44545</v>
      </c>
      <c r="B48">
        <v>1.2549999999999999</v>
      </c>
      <c r="C48">
        <v>1.31</v>
      </c>
      <c r="D48">
        <v>1.169</v>
      </c>
      <c r="E48">
        <v>1.3009999999999999</v>
      </c>
      <c r="F48">
        <v>1368885.1</v>
      </c>
      <c r="G48">
        <v>1.3009999999999999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0.87234042553191327</v>
      </c>
      <c r="Q48">
        <f t="shared" ref="Q48" si="216">F48*P48</f>
        <v>1194133.8106382957</v>
      </c>
      <c r="R48">
        <f t="shared" ref="R48" si="217">R49+Q48</f>
        <v>115192645.47875018</v>
      </c>
      <c r="S48">
        <f t="shared" ref="S48" si="218">R48/100000</f>
        <v>1151.9264547875018</v>
      </c>
      <c r="T48">
        <f t="shared" ref="T48" si="219">S48/1000</f>
        <v>1.1519264547875019</v>
      </c>
    </row>
    <row r="49" spans="1:20" x14ac:dyDescent="0.25">
      <c r="A49" s="5">
        <v>44544</v>
      </c>
      <c r="B49">
        <v>1.2250000000000001</v>
      </c>
      <c r="C49">
        <v>1.278</v>
      </c>
      <c r="D49">
        <v>1.1870000000000001</v>
      </c>
      <c r="E49">
        <v>1.2549999999999999</v>
      </c>
      <c r="F49">
        <v>1548492</v>
      </c>
      <c r="G49">
        <v>1.2549999999999999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0.49450549450549147</v>
      </c>
      <c r="Q49">
        <f t="shared" ref="Q49" si="221">F49*P49</f>
        <v>765737.80219779746</v>
      </c>
      <c r="R49">
        <f t="shared" ref="R49" si="222">R50+Q49</f>
        <v>113998511.66811189</v>
      </c>
      <c r="S49">
        <f t="shared" ref="S49" si="223">R49/100000</f>
        <v>1139.9851166811188</v>
      </c>
      <c r="T49">
        <f t="shared" ref="T49" si="224">S49/1000</f>
        <v>1.1399851166811188</v>
      </c>
    </row>
    <row r="50" spans="1:20" x14ac:dyDescent="0.25">
      <c r="A50" s="5">
        <v>44543</v>
      </c>
      <c r="B50">
        <v>1.3640000000000001</v>
      </c>
      <c r="C50">
        <v>1.3680000000000001</v>
      </c>
      <c r="D50">
        <v>1.2030000000000001</v>
      </c>
      <c r="E50">
        <v>1.224</v>
      </c>
      <c r="F50">
        <v>1829004.4</v>
      </c>
      <c r="G50">
        <v>1.224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-0.74545454545454659</v>
      </c>
      <c r="Q50">
        <f t="shared" ref="Q50" si="226">F50*P50</f>
        <v>-1363439.6436363657</v>
      </c>
      <c r="R50">
        <f t="shared" ref="R50" si="227">R51+Q50</f>
        <v>113232773.86591409</v>
      </c>
      <c r="S50">
        <f t="shared" ref="S50" si="228">R50/100000</f>
        <v>1132.327738659141</v>
      </c>
      <c r="T50">
        <f t="shared" ref="T50" si="229">S50/1000</f>
        <v>1.132327738659141</v>
      </c>
    </row>
    <row r="51" spans="1:20" x14ac:dyDescent="0.25">
      <c r="A51" s="5">
        <v>44542</v>
      </c>
      <c r="B51">
        <v>1.3640000000000001</v>
      </c>
      <c r="C51">
        <v>1.379</v>
      </c>
      <c r="D51">
        <v>1.3160000000000001</v>
      </c>
      <c r="E51">
        <v>1.365</v>
      </c>
      <c r="F51">
        <v>948112.6</v>
      </c>
      <c r="G51">
        <v>1.365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0.5555555555555548</v>
      </c>
      <c r="Q51">
        <f t="shared" ref="Q51" si="231">F51*P51</f>
        <v>526729.22222222155</v>
      </c>
      <c r="R51">
        <f t="shared" ref="R51" si="232">R52+Q51</f>
        <v>114596213.50955045</v>
      </c>
      <c r="S51">
        <f t="shared" ref="S51" si="233">R51/100000</f>
        <v>1145.9621350955044</v>
      </c>
      <c r="T51">
        <f t="shared" ref="T51" si="234">S51/1000</f>
        <v>1.1459621350955045</v>
      </c>
    </row>
    <row r="52" spans="1:20" x14ac:dyDescent="0.25">
      <c r="A52" s="5">
        <v>44541</v>
      </c>
      <c r="B52">
        <v>1.3009999999999999</v>
      </c>
      <c r="C52">
        <v>1.3160000000000001</v>
      </c>
      <c r="D52">
        <v>1.2749999999999999</v>
      </c>
      <c r="E52">
        <v>1.3089999999999999</v>
      </c>
      <c r="F52">
        <v>133978.6</v>
      </c>
      <c r="G52">
        <v>1.3089999999999999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0.65853658536584914</v>
      </c>
      <c r="Q52">
        <f t="shared" ref="Q52" si="236">F52*P52</f>
        <v>88229.809756096962</v>
      </c>
      <c r="R52">
        <f t="shared" ref="R52" si="237">R53+Q52</f>
        <v>114069484.28732823</v>
      </c>
      <c r="S52">
        <f t="shared" ref="S52" si="238">R52/100000</f>
        <v>1140.6948428732824</v>
      </c>
      <c r="T52">
        <f t="shared" ref="T52" si="239">S52/1000</f>
        <v>1.1406948428732824</v>
      </c>
    </row>
    <row r="53" spans="1:20" x14ac:dyDescent="0.25">
      <c r="A53" s="5">
        <v>44540</v>
      </c>
      <c r="B53">
        <v>1.3520000000000001</v>
      </c>
      <c r="C53">
        <v>1.4019999999999999</v>
      </c>
      <c r="D53">
        <v>1.3</v>
      </c>
      <c r="E53">
        <v>1.3</v>
      </c>
      <c r="F53">
        <v>1754431.5</v>
      </c>
      <c r="G53">
        <v>1.3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-1</v>
      </c>
      <c r="Q53">
        <f t="shared" ref="Q53" si="241">F53*P53</f>
        <v>-1754431.5</v>
      </c>
      <c r="R53">
        <f t="shared" ref="R53" si="242">R54+Q53</f>
        <v>113981254.47757213</v>
      </c>
      <c r="S53">
        <f t="shared" ref="S53" si="243">R53/100000</f>
        <v>1139.8125447757213</v>
      </c>
      <c r="T53">
        <f t="shared" ref="T53" si="244">S53/1000</f>
        <v>1.1398125447757212</v>
      </c>
    </row>
    <row r="54" spans="1:20" x14ac:dyDescent="0.25">
      <c r="A54" s="5">
        <v>44539</v>
      </c>
      <c r="B54">
        <v>1.516</v>
      </c>
      <c r="C54">
        <v>1.528</v>
      </c>
      <c r="D54">
        <v>1.345</v>
      </c>
      <c r="E54">
        <v>1.3540000000000001</v>
      </c>
      <c r="F54">
        <v>4151653.8</v>
      </c>
      <c r="G54">
        <v>1.3540000000000001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-0.90163934426229386</v>
      </c>
      <c r="Q54">
        <f t="shared" ref="Q54" si="246">F54*P54</f>
        <v>-3743294.4098360604</v>
      </c>
      <c r="R54">
        <f t="shared" ref="R54" si="247">R55+Q54</f>
        <v>115735685.97757213</v>
      </c>
      <c r="S54">
        <f t="shared" ref="S54" si="248">R54/100000</f>
        <v>1157.3568597757212</v>
      </c>
      <c r="T54">
        <f t="shared" ref="T54" si="249">S54/1000</f>
        <v>1.1573568597757211</v>
      </c>
    </row>
    <row r="55" spans="1:20" x14ac:dyDescent="0.25">
      <c r="A55" s="5">
        <v>44538</v>
      </c>
      <c r="B55">
        <v>1.53</v>
      </c>
      <c r="C55">
        <v>1.5369999999999999</v>
      </c>
      <c r="D55">
        <v>1.41</v>
      </c>
      <c r="E55">
        <v>1.5149999999999999</v>
      </c>
      <c r="F55">
        <v>2162911.7000000002</v>
      </c>
      <c r="G55">
        <v>1.5149999999999999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0.6535433070866139</v>
      </c>
      <c r="Q55">
        <f t="shared" ref="Q55" si="251">F55*P55</f>
        <v>1413556.4653543301</v>
      </c>
      <c r="R55">
        <f t="shared" ref="R55" si="252">R56+Q55</f>
        <v>119478980.38740818</v>
      </c>
      <c r="S55">
        <f t="shared" ref="S55" si="253">R55/100000</f>
        <v>1194.7898038740818</v>
      </c>
      <c r="T55">
        <f t="shared" ref="T55" si="254">S55/1000</f>
        <v>1.1947898038740818</v>
      </c>
    </row>
    <row r="56" spans="1:20" x14ac:dyDescent="0.25">
      <c r="A56" s="5">
        <v>44537</v>
      </c>
      <c r="B56">
        <v>1.4079999999999999</v>
      </c>
      <c r="C56">
        <v>1.554</v>
      </c>
      <c r="D56">
        <v>1.3939999999999999</v>
      </c>
      <c r="E56">
        <v>1.532</v>
      </c>
      <c r="F56">
        <v>3733772.6</v>
      </c>
      <c r="G56">
        <v>1.532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0.72499999999999998</v>
      </c>
      <c r="Q56">
        <f t="shared" ref="Q56" si="256">F56*P56</f>
        <v>2706985.1349999998</v>
      </c>
      <c r="R56">
        <f t="shared" ref="R56" si="257">R57+Q56</f>
        <v>118065423.92205386</v>
      </c>
      <c r="S56">
        <f t="shared" ref="S56" si="258">R56/100000</f>
        <v>1180.6542392205386</v>
      </c>
      <c r="T56">
        <f t="shared" ref="T56" si="259">S56/1000</f>
        <v>1.1806542392205386</v>
      </c>
    </row>
    <row r="57" spans="1:20" x14ac:dyDescent="0.25">
      <c r="A57" s="5">
        <v>44536</v>
      </c>
      <c r="B57">
        <v>1.365</v>
      </c>
      <c r="C57">
        <v>1.415</v>
      </c>
      <c r="D57">
        <v>1.1990000000000001</v>
      </c>
      <c r="E57">
        <v>1.4079999999999999</v>
      </c>
      <c r="F57">
        <v>3640913.7</v>
      </c>
      <c r="G57">
        <v>1.4079999999999999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0.93518518518518412</v>
      </c>
      <c r="Q57">
        <f t="shared" ref="Q57" si="261">F57*P57</f>
        <v>3404928.5527777742</v>
      </c>
      <c r="R57">
        <f t="shared" ref="R57" si="262">R58+Q57</f>
        <v>115358438.78705385</v>
      </c>
      <c r="S57">
        <f t="shared" ref="S57" si="263">R57/100000</f>
        <v>1153.5843878705384</v>
      </c>
      <c r="T57">
        <f t="shared" ref="T57" si="264">S57/1000</f>
        <v>1.1535843878705385</v>
      </c>
    </row>
    <row r="58" spans="1:20" x14ac:dyDescent="0.25">
      <c r="A58" s="5">
        <v>44535</v>
      </c>
      <c r="B58">
        <v>1.478</v>
      </c>
      <c r="C58">
        <v>1.591</v>
      </c>
      <c r="D58">
        <v>1.31</v>
      </c>
      <c r="E58">
        <v>1.363</v>
      </c>
      <c r="F58">
        <v>3222680.6</v>
      </c>
      <c r="G58">
        <v>1.363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-0.6227758007117441</v>
      </c>
      <c r="Q58">
        <f t="shared" ref="Q58" si="266">F58*P58</f>
        <v>-2007007.491103204</v>
      </c>
      <c r="R58">
        <f t="shared" ref="R58" si="267">R59+Q58</f>
        <v>111953510.23427609</v>
      </c>
      <c r="S58">
        <f t="shared" ref="S58" si="268">R58/100000</f>
        <v>1119.5351023427609</v>
      </c>
      <c r="T58">
        <f t="shared" ref="T58" si="269">S58/1000</f>
        <v>1.1195351023427609</v>
      </c>
    </row>
    <row r="59" spans="1:20" x14ac:dyDescent="0.25">
      <c r="A59" s="5">
        <v>44534</v>
      </c>
      <c r="B59">
        <v>1.758</v>
      </c>
      <c r="C59">
        <v>1.758</v>
      </c>
      <c r="D59">
        <v>1.1759999999999999</v>
      </c>
      <c r="E59">
        <v>1.476</v>
      </c>
      <c r="F59">
        <v>6453439.6629999997</v>
      </c>
      <c r="G59">
        <v>1.476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3.0927835051546414E-2</v>
      </c>
      <c r="Q59">
        <f t="shared" ref="Q59" si="271">F59*P59</f>
        <v>199590.91741237126</v>
      </c>
      <c r="R59">
        <f t="shared" ref="R59" si="272">R60+Q59</f>
        <v>113960517.72537929</v>
      </c>
      <c r="S59">
        <f t="shared" ref="S59" si="273">R59/100000</f>
        <v>1139.6051772537928</v>
      </c>
      <c r="T59">
        <f t="shared" ref="T59" si="274">S59/1000</f>
        <v>1.1396051772537927</v>
      </c>
    </row>
    <row r="60" spans="1:20" x14ac:dyDescent="0.25">
      <c r="A60" s="5">
        <v>44533</v>
      </c>
      <c r="B60">
        <v>1.8759999999999999</v>
      </c>
      <c r="C60">
        <v>1.921</v>
      </c>
      <c r="D60">
        <v>1.7</v>
      </c>
      <c r="E60">
        <v>1.758</v>
      </c>
      <c r="F60">
        <v>2498063.6</v>
      </c>
      <c r="G60">
        <v>1.758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-0.47511312217194546</v>
      </c>
      <c r="Q60">
        <f t="shared" ref="Q60" si="276">F60*P60</f>
        <v>-1186862.7963800898</v>
      </c>
      <c r="R60">
        <f t="shared" ref="R60" si="277">R61+Q60</f>
        <v>113760926.80796692</v>
      </c>
      <c r="S60">
        <f t="shared" ref="S60" si="278">R60/100000</f>
        <v>1137.6092680796692</v>
      </c>
      <c r="T60">
        <f t="shared" ref="T60" si="279">S60/1000</f>
        <v>1.1376092680796692</v>
      </c>
    </row>
    <row r="61" spans="1:20" x14ac:dyDescent="0.25">
      <c r="A61" s="5">
        <v>44532</v>
      </c>
      <c r="B61">
        <v>1.9410000000000001</v>
      </c>
      <c r="C61">
        <v>1.9430000000000001</v>
      </c>
      <c r="D61">
        <v>1.831</v>
      </c>
      <c r="E61">
        <v>1.8759999999999999</v>
      </c>
      <c r="F61">
        <v>1632500.9</v>
      </c>
      <c r="G61">
        <v>1.8759999999999999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-0.19642857142857342</v>
      </c>
      <c r="Q61">
        <f t="shared" ref="Q61" si="281">F61*P61</f>
        <v>-320669.81964286038</v>
      </c>
      <c r="R61">
        <f t="shared" ref="R61" si="282">R62+Q61</f>
        <v>114947789.60434701</v>
      </c>
      <c r="S61">
        <f t="shared" ref="S61" si="283">R61/100000</f>
        <v>1149.4778960434701</v>
      </c>
      <c r="T61">
        <f t="shared" ref="T61" si="284">S61/1000</f>
        <v>1.1494778960434702</v>
      </c>
    </row>
    <row r="62" spans="1:20" x14ac:dyDescent="0.25">
      <c r="A62" s="5">
        <v>44531</v>
      </c>
      <c r="B62">
        <v>1.9419999999999999</v>
      </c>
      <c r="C62">
        <v>2.0129999999999999</v>
      </c>
      <c r="D62">
        <v>1.901</v>
      </c>
      <c r="E62">
        <v>1.9419999999999999</v>
      </c>
      <c r="F62">
        <v>2640597.2999999998</v>
      </c>
      <c r="G62">
        <v>1.9419999999999999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-0.2678571428571434</v>
      </c>
      <c r="Q62">
        <f t="shared" ref="Q62" si="286">F62*P62</f>
        <v>-707302.84821428708</v>
      </c>
      <c r="R62">
        <f t="shared" ref="R62" si="287">R63+Q62</f>
        <v>115268459.42398986</v>
      </c>
      <c r="S62">
        <f t="shared" ref="S62" si="288">R62/100000</f>
        <v>1152.6845942398986</v>
      </c>
      <c r="T62">
        <f t="shared" ref="T62" si="289">S62/1000</f>
        <v>1.1526845942398987</v>
      </c>
    </row>
    <row r="63" spans="1:20" x14ac:dyDescent="0.25">
      <c r="A63" s="5">
        <v>44530</v>
      </c>
      <c r="B63">
        <v>2.0470000000000002</v>
      </c>
      <c r="C63">
        <v>2.0510000000000002</v>
      </c>
      <c r="D63">
        <v>1.913</v>
      </c>
      <c r="E63">
        <v>1.94</v>
      </c>
      <c r="F63">
        <v>2654872.1</v>
      </c>
      <c r="G63">
        <v>1.94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-0.60869565217391464</v>
      </c>
      <c r="Q63">
        <f t="shared" ref="Q63" si="291">F63*P63</f>
        <v>-1616009.1043478304</v>
      </c>
      <c r="R63">
        <f t="shared" ref="R63" si="292">R64+Q63</f>
        <v>115975762.27220415</v>
      </c>
      <c r="S63">
        <f t="shared" ref="S63" si="293">R63/100000</f>
        <v>1159.7576227220416</v>
      </c>
      <c r="T63">
        <f t="shared" ref="T63" si="294">S63/1000</f>
        <v>1.1597576227220416</v>
      </c>
    </row>
    <row r="64" spans="1:20" x14ac:dyDescent="0.25">
      <c r="A64" s="5">
        <v>44529</v>
      </c>
      <c r="B64">
        <v>2.0499999999999998</v>
      </c>
      <c r="C64">
        <v>2.0750000000000002</v>
      </c>
      <c r="D64">
        <v>1.9770000000000001</v>
      </c>
      <c r="E64">
        <v>2.0449999999999999</v>
      </c>
      <c r="F64">
        <v>3510282.8</v>
      </c>
      <c r="G64">
        <v>2.0449999999999999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0.38775510204081182</v>
      </c>
      <c r="Q64">
        <f t="shared" ref="Q64" si="296">F64*P64</f>
        <v>1361130.0653061066</v>
      </c>
      <c r="R64">
        <f t="shared" ref="R64" si="297">R65+Q64</f>
        <v>117591771.37655197</v>
      </c>
      <c r="S64">
        <f t="shared" ref="S64" si="298">R64/100000</f>
        <v>1175.9177137655197</v>
      </c>
      <c r="T64">
        <f t="shared" ref="T64" si="299">S64/1000</f>
        <v>1.1759177137655197</v>
      </c>
    </row>
    <row r="65" spans="1:20" x14ac:dyDescent="0.25">
      <c r="A65" s="5">
        <v>44528</v>
      </c>
      <c r="B65">
        <v>2.09</v>
      </c>
      <c r="C65">
        <v>2.093</v>
      </c>
      <c r="D65">
        <v>1.825</v>
      </c>
      <c r="E65">
        <v>2.044</v>
      </c>
      <c r="F65">
        <v>5575260.2999999998</v>
      </c>
      <c r="G65">
        <v>2.044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0.63432835820895572</v>
      </c>
      <c r="Q65">
        <f t="shared" ref="Q65" si="301">F65*P65</f>
        <v>3536545.7126865699</v>
      </c>
      <c r="R65">
        <f t="shared" ref="R65" si="302">R66+Q65</f>
        <v>116230641.31124586</v>
      </c>
      <c r="S65">
        <f t="shared" ref="S65" si="303">R65/100000</f>
        <v>1162.3064131124586</v>
      </c>
      <c r="T65">
        <f t="shared" ref="T65" si="304">S65/1000</f>
        <v>1.1623064131124585</v>
      </c>
    </row>
    <row r="66" spans="1:20" x14ac:dyDescent="0.25">
      <c r="A66" s="5">
        <v>44527</v>
      </c>
      <c r="B66">
        <v>2.0249999999999999</v>
      </c>
      <c r="C66">
        <v>2.3490000000000002</v>
      </c>
      <c r="D66">
        <v>1.9810000000000001</v>
      </c>
      <c r="E66">
        <v>2.09</v>
      </c>
      <c r="F66">
        <v>20033007.600000001</v>
      </c>
      <c r="G66">
        <v>2.09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-0.40760869565217539</v>
      </c>
      <c r="Q66">
        <f t="shared" ref="Q66" si="306">F66*P66</f>
        <v>-8165628.0978261167</v>
      </c>
      <c r="R66">
        <f t="shared" ref="R66" si="307">R67+Q66</f>
        <v>112694095.59855929</v>
      </c>
      <c r="S66">
        <f t="shared" ref="S66" si="308">R66/100000</f>
        <v>1126.9409559855928</v>
      </c>
      <c r="T66">
        <f t="shared" ref="T66" si="309">S66/1000</f>
        <v>1.1269409559855927</v>
      </c>
    </row>
    <row r="67" spans="1:20" x14ac:dyDescent="0.25">
      <c r="A67" s="5">
        <v>44526</v>
      </c>
      <c r="B67">
        <v>1.8420000000000001</v>
      </c>
      <c r="C67">
        <v>2.097</v>
      </c>
      <c r="D67">
        <v>1.643</v>
      </c>
      <c r="E67">
        <v>2.024</v>
      </c>
      <c r="F67">
        <v>16709128.199999999</v>
      </c>
      <c r="G67">
        <v>2.024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0.67841409691629972</v>
      </c>
      <c r="Q67">
        <f t="shared" ref="Q67" si="311">F67*P67</f>
        <v>11335708.118061677</v>
      </c>
      <c r="R67">
        <f t="shared" ref="R67" si="312">R68+Q67</f>
        <v>120859723.69638541</v>
      </c>
      <c r="S67">
        <f t="shared" ref="S67" si="313">R67/100000</f>
        <v>1208.5972369638541</v>
      </c>
      <c r="T67">
        <f t="shared" ref="T67" si="314">S67/1000</f>
        <v>1.2085972369638542</v>
      </c>
    </row>
    <row r="68" spans="1:20" x14ac:dyDescent="0.25">
      <c r="A68" s="5">
        <v>44525</v>
      </c>
      <c r="B68">
        <v>1.716</v>
      </c>
      <c r="C68">
        <v>1.865</v>
      </c>
      <c r="D68">
        <v>1.6930000000000001</v>
      </c>
      <c r="E68">
        <v>1.841</v>
      </c>
      <c r="F68">
        <v>3836320</v>
      </c>
      <c r="G68">
        <v>1.841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0.72093023255813915</v>
      </c>
      <c r="Q68">
        <f t="shared" ref="Q68" si="316">F68*P68</f>
        <v>2765719.0697674402</v>
      </c>
      <c r="R68">
        <f t="shared" ref="R68" si="317">R69+Q68</f>
        <v>109524015.57832374</v>
      </c>
      <c r="S68">
        <f t="shared" ref="S68" si="318">R68/100000</f>
        <v>1095.2401557832375</v>
      </c>
      <c r="T68">
        <f t="shared" ref="T68" si="319">S68/1000</f>
        <v>1.0952401557832374</v>
      </c>
    </row>
    <row r="69" spans="1:20" x14ac:dyDescent="0.25">
      <c r="A69" s="5">
        <v>44524</v>
      </c>
      <c r="B69">
        <v>1.798</v>
      </c>
      <c r="C69">
        <v>1.8069999999999999</v>
      </c>
      <c r="D69">
        <v>1.7310000000000001</v>
      </c>
      <c r="E69">
        <v>1.7529999999999999</v>
      </c>
      <c r="F69">
        <v>1088347.1000000001</v>
      </c>
      <c r="G69">
        <v>1.7529999999999999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-0.42105263157895151</v>
      </c>
      <c r="Q69">
        <f t="shared" ref="Q69" si="321">F69*P69</f>
        <v>-458251.41052632034</v>
      </c>
      <c r="R69">
        <f t="shared" ref="R69" si="322">R70+Q69</f>
        <v>106758296.50855629</v>
      </c>
      <c r="S69">
        <f t="shared" ref="S69" si="323">R69/100000</f>
        <v>1067.5829650855628</v>
      </c>
      <c r="T69">
        <f t="shared" ref="T69" si="324">S69/1000</f>
        <v>1.0675829650855628</v>
      </c>
    </row>
    <row r="70" spans="1:20" x14ac:dyDescent="0.25">
      <c r="A70" s="5">
        <v>44523</v>
      </c>
      <c r="B70">
        <v>1.6679999999999999</v>
      </c>
      <c r="C70">
        <v>1.8149999999999999</v>
      </c>
      <c r="D70">
        <v>1.6519999999999999</v>
      </c>
      <c r="E70">
        <v>1.798</v>
      </c>
      <c r="F70">
        <v>3290343.1</v>
      </c>
      <c r="G70">
        <v>1.798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0.79141104294478648</v>
      </c>
      <c r="Q70">
        <f t="shared" ref="Q70" si="326">F70*P70</f>
        <v>2604013.8644171818</v>
      </c>
      <c r="R70">
        <f t="shared" ref="R70" si="327">R71+Q70</f>
        <v>107216547.91908261</v>
      </c>
      <c r="S70">
        <f t="shared" ref="S70" si="328">R70/100000</f>
        <v>1072.1654791908261</v>
      </c>
      <c r="T70">
        <f t="shared" ref="T70" si="329">S70/1000</f>
        <v>1.0721654791908262</v>
      </c>
    </row>
    <row r="71" spans="1:20" x14ac:dyDescent="0.25">
      <c r="A71" s="5">
        <v>44522</v>
      </c>
      <c r="B71">
        <v>1.756</v>
      </c>
      <c r="C71">
        <v>1.7609999999999999</v>
      </c>
      <c r="D71">
        <v>1.6439999999999999</v>
      </c>
      <c r="E71">
        <v>1.6679999999999999</v>
      </c>
      <c r="F71">
        <v>1672799.3</v>
      </c>
      <c r="G71">
        <v>1.6679999999999999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-0.58974358974358931</v>
      </c>
      <c r="Q71">
        <f t="shared" ref="Q71" si="331">F71*P71</f>
        <v>-986522.6641025634</v>
      </c>
      <c r="R71">
        <f t="shared" ref="R71" si="332">R72+Q71</f>
        <v>104612534.05466543</v>
      </c>
      <c r="S71">
        <f t="shared" ref="S71" si="333">R71/100000</f>
        <v>1046.1253405466543</v>
      </c>
      <c r="T71">
        <f t="shared" ref="T71" si="334">S71/1000</f>
        <v>1.0461253405466544</v>
      </c>
    </row>
    <row r="72" spans="1:20" x14ac:dyDescent="0.25">
      <c r="A72" s="5">
        <v>44521</v>
      </c>
      <c r="B72">
        <v>1.776</v>
      </c>
      <c r="C72">
        <v>1.794</v>
      </c>
      <c r="D72">
        <v>1.7210000000000001</v>
      </c>
      <c r="E72">
        <v>1.756</v>
      </c>
      <c r="F72">
        <v>1570808.4</v>
      </c>
      <c r="G72">
        <v>1.756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-4.1095890410960491E-2</v>
      </c>
      <c r="Q72">
        <f t="shared" ref="Q72" si="336">F72*P72</f>
        <v>-64553.76986301619</v>
      </c>
      <c r="R72">
        <f t="shared" ref="R72" si="337">R73+Q72</f>
        <v>105599056.718768</v>
      </c>
      <c r="S72">
        <f t="shared" ref="S72" si="338">R72/100000</f>
        <v>1055.99056718768</v>
      </c>
      <c r="T72">
        <f t="shared" ref="T72" si="339">S72/1000</f>
        <v>1.0559905671876799</v>
      </c>
    </row>
    <row r="73" spans="1:20" x14ac:dyDescent="0.25">
      <c r="A73" s="5">
        <v>44520</v>
      </c>
      <c r="B73">
        <v>1.7210000000000001</v>
      </c>
      <c r="C73">
        <v>1.7969999999999999</v>
      </c>
      <c r="D73">
        <v>1.6870000000000001</v>
      </c>
      <c r="E73">
        <v>1.774</v>
      </c>
      <c r="F73">
        <v>2078645.1</v>
      </c>
      <c r="G73">
        <v>1.774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0.58181818181818301</v>
      </c>
      <c r="Q73">
        <f t="shared" ref="Q73" si="341">F73*P73</f>
        <v>1209393.5127272753</v>
      </c>
      <c r="R73">
        <f t="shared" ref="R73" si="342">R74+Q73</f>
        <v>105663610.48863101</v>
      </c>
      <c r="S73">
        <f t="shared" ref="S73" si="343">R73/100000</f>
        <v>1056.63610488631</v>
      </c>
      <c r="T73">
        <f t="shared" ref="T73" si="344">S73/1000</f>
        <v>1.05663610488631</v>
      </c>
    </row>
    <row r="74" spans="1:20" x14ac:dyDescent="0.25">
      <c r="A74" s="5">
        <v>44519</v>
      </c>
      <c r="B74">
        <v>1.6180000000000001</v>
      </c>
      <c r="C74">
        <v>1.73</v>
      </c>
      <c r="D74">
        <v>1.581</v>
      </c>
      <c r="E74">
        <v>1.7210000000000001</v>
      </c>
      <c r="F74">
        <v>1569752.9</v>
      </c>
      <c r="G74">
        <v>1.7210000000000001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0.87919463087248462</v>
      </c>
      <c r="Q74">
        <f t="shared" ref="Q74" si="346">F74*P74</f>
        <v>1380118.3214765121</v>
      </c>
      <c r="R74">
        <f t="shared" ref="R74" si="347">R75+Q74</f>
        <v>104454216.97590373</v>
      </c>
      <c r="S74">
        <f t="shared" ref="S74" si="348">R74/100000</f>
        <v>1044.5421697590373</v>
      </c>
      <c r="T74">
        <f t="shared" ref="T74" si="349">S74/1000</f>
        <v>1.0445421697590374</v>
      </c>
    </row>
    <row r="75" spans="1:20" x14ac:dyDescent="0.25">
      <c r="A75" s="5">
        <v>44518</v>
      </c>
      <c r="B75">
        <v>1.8</v>
      </c>
      <c r="C75">
        <v>1.8720000000000001</v>
      </c>
      <c r="D75">
        <v>1.5840000000000001</v>
      </c>
      <c r="E75">
        <v>1.62</v>
      </c>
      <c r="F75">
        <v>3581225.4</v>
      </c>
      <c r="G75">
        <v>1.62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-0.74999999999999978</v>
      </c>
      <c r="Q75">
        <f t="shared" ref="Q75" si="351">F75*P75</f>
        <v>-2685919.0499999993</v>
      </c>
      <c r="R75">
        <f t="shared" ref="R75" si="352">R76+Q75</f>
        <v>103074098.65442722</v>
      </c>
      <c r="S75">
        <f t="shared" ref="S75" si="353">R75/100000</f>
        <v>1030.7409865442721</v>
      </c>
      <c r="T75">
        <f t="shared" ref="T75" si="354">S75/1000</f>
        <v>1.030740986544272</v>
      </c>
    </row>
    <row r="76" spans="1:20" x14ac:dyDescent="0.25">
      <c r="A76" s="5">
        <v>44517</v>
      </c>
      <c r="B76">
        <v>1.71</v>
      </c>
      <c r="C76">
        <v>1.8069999999999999</v>
      </c>
      <c r="D76">
        <v>1.64</v>
      </c>
      <c r="E76">
        <v>1.802</v>
      </c>
      <c r="F76">
        <v>2985409.5</v>
      </c>
      <c r="G76">
        <v>1.802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0.94011976047904322</v>
      </c>
      <c r="Q76">
        <f t="shared" ref="Q76" si="356">F76*P76</f>
        <v>2806642.4640718601</v>
      </c>
      <c r="R76">
        <f t="shared" ref="R76" si="357">R77+Q76</f>
        <v>105760017.70442721</v>
      </c>
      <c r="S76">
        <f t="shared" ref="S76" si="358">R76/100000</f>
        <v>1057.6001770442722</v>
      </c>
      <c r="T76">
        <f t="shared" ref="T76" si="359">S76/1000</f>
        <v>1.0576001770442722</v>
      </c>
    </row>
    <row r="77" spans="1:20" x14ac:dyDescent="0.25">
      <c r="A77" s="5">
        <v>44516</v>
      </c>
      <c r="B77">
        <v>1.8959999999999999</v>
      </c>
      <c r="C77">
        <v>1.897</v>
      </c>
      <c r="D77">
        <v>1.611</v>
      </c>
      <c r="E77">
        <v>1.7110000000000001</v>
      </c>
      <c r="F77">
        <v>4484129.5999999996</v>
      </c>
      <c r="G77">
        <v>1.7110000000000001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-0.30069930069930018</v>
      </c>
      <c r="Q77">
        <f t="shared" ref="Q77" si="361">F77*P77</f>
        <v>-1348374.6349650326</v>
      </c>
      <c r="R77">
        <f t="shared" ref="R77" si="362">R78+Q77</f>
        <v>102953375.24035536</v>
      </c>
      <c r="S77">
        <f t="shared" ref="S77" si="363">R77/100000</f>
        <v>1029.5337524035535</v>
      </c>
      <c r="T77">
        <f t="shared" ref="T77" si="364">S77/1000</f>
        <v>1.0295337524035535</v>
      </c>
    </row>
    <row r="78" spans="1:20" x14ac:dyDescent="0.25">
      <c r="A78" s="5">
        <v>44515</v>
      </c>
      <c r="B78">
        <v>1.883</v>
      </c>
      <c r="C78">
        <v>1.9670000000000001</v>
      </c>
      <c r="D78">
        <v>1.8580000000000001</v>
      </c>
      <c r="E78">
        <v>1.895</v>
      </c>
      <c r="F78">
        <v>2847055.9</v>
      </c>
      <c r="G78">
        <v>1.895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-0.32110091743119401</v>
      </c>
      <c r="Q78">
        <f t="shared" ref="Q78" si="366">F78*P78</f>
        <v>-914192.26146789372</v>
      </c>
      <c r="R78">
        <f t="shared" ref="R78" si="367">R79+Q78</f>
        <v>104301749.87532039</v>
      </c>
      <c r="S78">
        <f t="shared" ref="S78" si="368">R78/100000</f>
        <v>1043.0174987532039</v>
      </c>
      <c r="T78">
        <f t="shared" ref="T78" si="369">S78/1000</f>
        <v>1.0430174987532039</v>
      </c>
    </row>
    <row r="79" spans="1:20" x14ac:dyDescent="0.25">
      <c r="A79" s="5">
        <v>44514</v>
      </c>
      <c r="B79">
        <v>1.8839999999999999</v>
      </c>
      <c r="C79">
        <v>1.891</v>
      </c>
      <c r="D79">
        <v>1.819</v>
      </c>
      <c r="E79">
        <v>1.8819999999999999</v>
      </c>
      <c r="F79">
        <v>1614662.9</v>
      </c>
      <c r="G79">
        <v>1.8819999999999999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0.74999999999999689</v>
      </c>
      <c r="Q79">
        <f t="shared" ref="Q79" si="371">F79*P79</f>
        <v>1210997.1749999949</v>
      </c>
      <c r="R79">
        <f t="shared" ref="R79" si="372">R80+Q79</f>
        <v>105215942.13678828</v>
      </c>
      <c r="S79">
        <f t="shared" ref="S79" si="373">R79/100000</f>
        <v>1052.1594213678827</v>
      </c>
      <c r="T79">
        <f t="shared" ref="T79" si="374">S79/1000</f>
        <v>1.0521594213678827</v>
      </c>
    </row>
    <row r="80" spans="1:20" x14ac:dyDescent="0.25">
      <c r="A80" s="5">
        <v>44513</v>
      </c>
      <c r="B80">
        <v>1.851</v>
      </c>
      <c r="C80">
        <v>1.9279999999999999</v>
      </c>
      <c r="D80">
        <v>1.8169999999999999</v>
      </c>
      <c r="E80">
        <v>1.8859999999999999</v>
      </c>
      <c r="F80">
        <v>1853695.2</v>
      </c>
      <c r="G80">
        <v>1.8859999999999999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0.24324324324324248</v>
      </c>
      <c r="Q80">
        <f t="shared" ref="Q80" si="376">F80*P80</f>
        <v>450898.83243243099</v>
      </c>
      <c r="R80">
        <f t="shared" ref="R80" si="377">R81+Q80</f>
        <v>104004944.96178828</v>
      </c>
      <c r="S80">
        <f t="shared" ref="S80" si="378">R80/100000</f>
        <v>1040.0494496178828</v>
      </c>
      <c r="T80">
        <f t="shared" ref="T80" si="379">S80/1000</f>
        <v>1.0400494496178829</v>
      </c>
    </row>
    <row r="81" spans="1:20" x14ac:dyDescent="0.25">
      <c r="A81" s="5">
        <v>44512</v>
      </c>
      <c r="B81">
        <v>1.865</v>
      </c>
      <c r="C81">
        <v>1.923</v>
      </c>
      <c r="D81">
        <v>1.78</v>
      </c>
      <c r="E81">
        <v>1.85</v>
      </c>
      <c r="F81">
        <v>2878451.4</v>
      </c>
      <c r="G81">
        <v>1.85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-2.097902097902022E-2</v>
      </c>
      <c r="Q81">
        <f t="shared" ref="Q81" si="381">F81*P81</f>
        <v>-60387.092307690124</v>
      </c>
      <c r="R81">
        <f t="shared" ref="R81" si="382">R82+Q81</f>
        <v>103554046.12935585</v>
      </c>
      <c r="S81">
        <f t="shared" ref="S81" si="383">R81/100000</f>
        <v>1035.5404612935586</v>
      </c>
      <c r="T81">
        <f t="shared" ref="T81" si="384">S81/1000</f>
        <v>1.0355404612935586</v>
      </c>
    </row>
    <row r="82" spans="1:20" x14ac:dyDescent="0.25">
      <c r="A82" s="5">
        <v>44511</v>
      </c>
      <c r="B82">
        <v>1.8480000000000001</v>
      </c>
      <c r="C82">
        <v>1.8979999999999999</v>
      </c>
      <c r="D82">
        <v>1.8069999999999999</v>
      </c>
      <c r="E82">
        <v>1.867</v>
      </c>
      <c r="F82">
        <v>2161425.9</v>
      </c>
      <c r="G82">
        <v>1.867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0.31868131868132027</v>
      </c>
      <c r="Q82">
        <f t="shared" ref="Q82" si="386">F82*P82</f>
        <v>688806.05604395946</v>
      </c>
      <c r="R82">
        <f t="shared" ref="R82" si="387">R83+Q82</f>
        <v>103614433.22166353</v>
      </c>
      <c r="S82">
        <f t="shared" ref="S82" si="388">R82/100000</f>
        <v>1036.1443322166353</v>
      </c>
      <c r="T82">
        <f t="shared" ref="T82" si="389">S82/1000</f>
        <v>1.0361443322166353</v>
      </c>
    </row>
    <row r="83" spans="1:20" x14ac:dyDescent="0.25">
      <c r="A83" s="5">
        <v>44510</v>
      </c>
      <c r="B83">
        <v>1.9890000000000001</v>
      </c>
      <c r="C83">
        <v>2.0459999999999998</v>
      </c>
      <c r="D83">
        <v>1.75</v>
      </c>
      <c r="E83">
        <v>1.85</v>
      </c>
      <c r="F83">
        <v>4166219</v>
      </c>
      <c r="G83">
        <v>1.85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-0.32432432432432329</v>
      </c>
      <c r="Q83">
        <f t="shared" ref="Q83" si="391">F83*P83</f>
        <v>-1351206.1621621579</v>
      </c>
      <c r="R83">
        <f t="shared" ref="R83" si="392">R84+Q83</f>
        <v>102925627.16561958</v>
      </c>
      <c r="S83">
        <f t="shared" ref="S83" si="393">R83/100000</f>
        <v>1029.2562716561958</v>
      </c>
      <c r="T83">
        <f t="shared" ref="T83" si="394">S83/1000</f>
        <v>1.0292562716561959</v>
      </c>
    </row>
    <row r="84" spans="1:20" x14ac:dyDescent="0.25">
      <c r="A84" s="5">
        <v>44509</v>
      </c>
      <c r="B84">
        <v>2.0609999999999999</v>
      </c>
      <c r="C84">
        <v>2.0710000000000002</v>
      </c>
      <c r="D84">
        <v>1.9630000000000001</v>
      </c>
      <c r="E84">
        <v>1.9890000000000001</v>
      </c>
      <c r="F84">
        <v>3017363.7</v>
      </c>
      <c r="G84">
        <v>1.9890000000000001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-0.51851851851851849</v>
      </c>
      <c r="Q84">
        <f t="shared" ref="Q84" si="396">F84*P84</f>
        <v>-1564558.9555555556</v>
      </c>
      <c r="R84">
        <f t="shared" ref="R84" si="397">R85+Q84</f>
        <v>104276833.32778174</v>
      </c>
      <c r="S84">
        <f t="shared" ref="S84" si="398">R84/100000</f>
        <v>1042.7683332778174</v>
      </c>
      <c r="T84">
        <f t="shared" ref="T84" si="399">S84/1000</f>
        <v>1.0427683332778175</v>
      </c>
    </row>
    <row r="85" spans="1:20" x14ac:dyDescent="0.25">
      <c r="A85" s="5">
        <v>44508</v>
      </c>
      <c r="B85">
        <v>1.986</v>
      </c>
      <c r="C85">
        <v>2.06</v>
      </c>
      <c r="D85">
        <v>1.919</v>
      </c>
      <c r="E85">
        <v>2.06</v>
      </c>
      <c r="F85">
        <v>4233275.4000000004</v>
      </c>
      <c r="G85">
        <v>2.06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1</v>
      </c>
      <c r="Q85">
        <f t="shared" ref="Q85" si="401">F85*P85</f>
        <v>4233275.4000000004</v>
      </c>
      <c r="R85">
        <f t="shared" ref="R85" si="402">R86+Q85</f>
        <v>105841392.2833373</v>
      </c>
      <c r="S85">
        <f t="shared" ref="S85" si="403">R85/100000</f>
        <v>1058.4139228333729</v>
      </c>
      <c r="T85">
        <f t="shared" ref="T85" si="404">S85/1000</f>
        <v>1.0584139228333729</v>
      </c>
    </row>
    <row r="86" spans="1:20" x14ac:dyDescent="0.25">
      <c r="A86" s="5">
        <v>44507</v>
      </c>
      <c r="B86">
        <v>1.91</v>
      </c>
      <c r="C86">
        <v>1.9970000000000001</v>
      </c>
      <c r="D86">
        <v>1.8879999999999999</v>
      </c>
      <c r="E86">
        <v>1.986</v>
      </c>
      <c r="F86">
        <v>2511917.5</v>
      </c>
      <c r="G86">
        <v>1.986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0.79816513761467711</v>
      </c>
      <c r="Q86">
        <f t="shared" ref="Q86" si="406">F86*P86</f>
        <v>2004924.9770642156</v>
      </c>
      <c r="R86">
        <f t="shared" ref="R86" si="407">R87+Q86</f>
        <v>101608116.88333729</v>
      </c>
      <c r="S86">
        <f t="shared" ref="S86" si="408">R86/100000</f>
        <v>1016.0811688333729</v>
      </c>
      <c r="T86">
        <f t="shared" ref="T86" si="409">S86/1000</f>
        <v>1.0160811688333728</v>
      </c>
    </row>
    <row r="87" spans="1:20" x14ac:dyDescent="0.25">
      <c r="A87" s="5">
        <v>44506</v>
      </c>
      <c r="B87">
        <v>1.919</v>
      </c>
      <c r="C87">
        <v>1.9319999999999999</v>
      </c>
      <c r="D87">
        <v>1.8080000000000001</v>
      </c>
      <c r="E87">
        <v>1.911</v>
      </c>
      <c r="F87">
        <v>3638925.6</v>
      </c>
      <c r="G87">
        <v>1.911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0.66129032258064635</v>
      </c>
      <c r="Q87">
        <f t="shared" ref="Q87" si="411">F87*P87</f>
        <v>2406386.2838709722</v>
      </c>
      <c r="R87">
        <f t="shared" ref="R87" si="412">R88+Q87</f>
        <v>99603191.906273067</v>
      </c>
      <c r="S87">
        <f t="shared" ref="S87" si="413">R87/100000</f>
        <v>996.03191906273071</v>
      </c>
      <c r="T87">
        <f t="shared" ref="T87" si="414">S87/1000</f>
        <v>0.9960319190627307</v>
      </c>
    </row>
    <row r="88" spans="1:20" x14ac:dyDescent="0.25">
      <c r="A88" s="5">
        <v>44505</v>
      </c>
      <c r="B88">
        <v>1.996</v>
      </c>
      <c r="C88">
        <v>1.996</v>
      </c>
      <c r="D88">
        <v>1.8939999999999999</v>
      </c>
      <c r="E88">
        <v>1.921</v>
      </c>
      <c r="F88">
        <v>2182507.1</v>
      </c>
      <c r="G88">
        <v>1.921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-0.47058823529411548</v>
      </c>
      <c r="Q88">
        <f t="shared" ref="Q88" si="416">F88*P88</f>
        <v>-1027062.1647058777</v>
      </c>
      <c r="R88">
        <f t="shared" ref="R88" si="417">R89+Q88</f>
        <v>97196805.622402102</v>
      </c>
      <c r="S88">
        <f t="shared" ref="S88" si="418">R88/100000</f>
        <v>971.96805622402098</v>
      </c>
      <c r="T88">
        <f t="shared" ref="T88" si="419">S88/1000</f>
        <v>0.97196805622402094</v>
      </c>
    </row>
    <row r="89" spans="1:20" x14ac:dyDescent="0.25">
      <c r="A89" s="5">
        <v>44504</v>
      </c>
      <c r="B89">
        <v>2.1</v>
      </c>
      <c r="C89">
        <v>2.1</v>
      </c>
      <c r="D89">
        <v>1.9390000000000001</v>
      </c>
      <c r="E89">
        <v>1.996</v>
      </c>
      <c r="F89">
        <v>4397976.4000000004</v>
      </c>
      <c r="G89">
        <v>1.996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-0.2919254658385102</v>
      </c>
      <c r="Q89">
        <f t="shared" ref="Q89" si="421">F89*P89</f>
        <v>-1283881.3093167741</v>
      </c>
      <c r="R89">
        <f t="shared" ref="R89" si="422">R90+Q89</f>
        <v>98223867.787107974</v>
      </c>
      <c r="S89">
        <f t="shared" ref="S89" si="423">R89/100000</f>
        <v>982.23867787107974</v>
      </c>
      <c r="T89">
        <f t="shared" ref="T89" si="424">S89/1000</f>
        <v>0.98223867787107977</v>
      </c>
    </row>
    <row r="90" spans="1:20" x14ac:dyDescent="0.25">
      <c r="A90" s="5">
        <v>44503</v>
      </c>
      <c r="B90">
        <v>2.2869999999999999</v>
      </c>
      <c r="C90">
        <v>2.29</v>
      </c>
      <c r="D90">
        <v>1.988</v>
      </c>
      <c r="E90">
        <v>2.1</v>
      </c>
      <c r="F90">
        <v>4698501.3</v>
      </c>
      <c r="G90">
        <v>2.1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-0.25827814569536367</v>
      </c>
      <c r="Q90">
        <f t="shared" ref="Q90" si="426">F90*P90</f>
        <v>-1213520.2033112557</v>
      </c>
      <c r="R90">
        <f t="shared" ref="R90" si="427">R91+Q90</f>
        <v>99507749.096424744</v>
      </c>
      <c r="S90">
        <f t="shared" ref="S90" si="428">R90/100000</f>
        <v>995.07749096424743</v>
      </c>
      <c r="T90">
        <f t="shared" ref="T90" si="429">S90/1000</f>
        <v>0.99507749096424747</v>
      </c>
    </row>
    <row r="91" spans="1:20" x14ac:dyDescent="0.25">
      <c r="A91" s="5">
        <v>44502</v>
      </c>
      <c r="B91">
        <v>1.988</v>
      </c>
      <c r="C91">
        <v>2.2869999999999999</v>
      </c>
      <c r="D91">
        <v>1.9610000000000001</v>
      </c>
      <c r="E91">
        <v>2.286</v>
      </c>
      <c r="F91">
        <v>11232517.300000001</v>
      </c>
      <c r="G91">
        <v>2.286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0.99386503067484733</v>
      </c>
      <c r="Q91">
        <f t="shared" ref="Q91" si="431">F91*P91</f>
        <v>11163606.150920253</v>
      </c>
      <c r="R91">
        <f t="shared" ref="R91" si="432">R92+Q91</f>
        <v>100721269.29973599</v>
      </c>
      <c r="S91">
        <f t="shared" ref="S91" si="433">R91/100000</f>
        <v>1007.2126929973599</v>
      </c>
      <c r="T91">
        <f t="shared" ref="T91" si="434">S91/1000</f>
        <v>1.0072126929973599</v>
      </c>
    </row>
    <row r="92" spans="1:20" x14ac:dyDescent="0.25">
      <c r="A92" s="5">
        <v>44501</v>
      </c>
      <c r="B92">
        <v>1.99</v>
      </c>
      <c r="C92">
        <v>2.4550000000000001</v>
      </c>
      <c r="D92">
        <v>1.8280000000000001</v>
      </c>
      <c r="E92">
        <v>1.986</v>
      </c>
      <c r="F92">
        <v>15102490.59</v>
      </c>
      <c r="G92">
        <v>1.986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-0.49601275917065418</v>
      </c>
      <c r="Q92">
        <f t="shared" ref="Q92" si="436">F92*P92</f>
        <v>-7491028.0278947409</v>
      </c>
      <c r="R92">
        <f t="shared" ref="R92" si="437">R93+Q92</f>
        <v>89557663.148815736</v>
      </c>
      <c r="S92">
        <f t="shared" ref="S92" si="438">R92/100000</f>
        <v>895.57663148815732</v>
      </c>
      <c r="T92">
        <f t="shared" ref="T92" si="439">S92/1000</f>
        <v>0.89557663148815736</v>
      </c>
    </row>
    <row r="93" spans="1:20" x14ac:dyDescent="0.25">
      <c r="A93" s="5">
        <v>44500</v>
      </c>
      <c r="B93">
        <v>1.9279999999999999</v>
      </c>
      <c r="C93">
        <v>2.27</v>
      </c>
      <c r="D93">
        <v>1.839</v>
      </c>
      <c r="E93">
        <v>1.99</v>
      </c>
      <c r="F93">
        <v>18988360.300000001</v>
      </c>
      <c r="G93">
        <v>1.99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-0.29930394431554525</v>
      </c>
      <c r="Q93">
        <f t="shared" ref="Q93" si="441">F93*P93</f>
        <v>-5683291.1338747106</v>
      </c>
      <c r="R93">
        <f t="shared" ref="R93" si="442">R94+Q93</f>
        <v>97048691.176710472</v>
      </c>
      <c r="S93">
        <f t="shared" ref="S93" si="443">R93/100000</f>
        <v>970.48691176710474</v>
      </c>
      <c r="T93">
        <f t="shared" ref="T93" si="444">S93/1000</f>
        <v>0.97048691176710478</v>
      </c>
    </row>
    <row r="94" spans="1:20" x14ac:dyDescent="0.25">
      <c r="A94" s="5">
        <v>44499</v>
      </c>
      <c r="B94">
        <v>1.7509999999999999</v>
      </c>
      <c r="C94">
        <v>1.98</v>
      </c>
      <c r="D94">
        <v>1.669</v>
      </c>
      <c r="E94">
        <v>1.927</v>
      </c>
      <c r="F94">
        <v>11792879.199999999</v>
      </c>
      <c r="G94">
        <v>1.927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0.65916398713826396</v>
      </c>
      <c r="Q94">
        <f t="shared" ref="Q94" si="446">F94*P94</f>
        <v>7773441.2733119</v>
      </c>
      <c r="R94">
        <f t="shared" ref="R94" si="447">R95+Q94</f>
        <v>102731982.31058519</v>
      </c>
      <c r="S94">
        <f t="shared" ref="S94" si="448">R94/100000</f>
        <v>1027.3198231058518</v>
      </c>
      <c r="T94">
        <f t="shared" ref="T94" si="449">S94/1000</f>
        <v>1.0273198231058518</v>
      </c>
    </row>
    <row r="95" spans="1:20" x14ac:dyDescent="0.25">
      <c r="A95" s="5">
        <v>44498</v>
      </c>
      <c r="B95">
        <v>1.5980000000000001</v>
      </c>
      <c r="C95">
        <v>1.754</v>
      </c>
      <c r="D95">
        <v>1.5880000000000001</v>
      </c>
      <c r="E95">
        <v>1.7490000000000001</v>
      </c>
      <c r="F95">
        <v>3554310.3</v>
      </c>
      <c r="G95">
        <v>1.7490000000000001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0.93975903614457956</v>
      </c>
      <c r="Q95">
        <f t="shared" ref="Q95" si="451">F95*P95</f>
        <v>3340195.2216867511</v>
      </c>
      <c r="R95">
        <f t="shared" ref="R95" si="452">R96+Q95</f>
        <v>94958541.037273288</v>
      </c>
      <c r="S95">
        <f t="shared" ref="S95" si="453">R95/100000</f>
        <v>949.58541037273289</v>
      </c>
      <c r="T95">
        <f t="shared" ref="T95" si="454">S95/1000</f>
        <v>0.94958541037273292</v>
      </c>
    </row>
    <row r="96" spans="1:20" x14ac:dyDescent="0.25">
      <c r="A96" s="5">
        <v>44497</v>
      </c>
      <c r="B96">
        <v>1.4750000000000001</v>
      </c>
      <c r="C96">
        <v>1.625</v>
      </c>
      <c r="D96">
        <v>1.464</v>
      </c>
      <c r="E96">
        <v>1.595</v>
      </c>
      <c r="F96">
        <v>2253215.9</v>
      </c>
      <c r="G96">
        <v>1.595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0.62732919254658359</v>
      </c>
      <c r="Q96">
        <f t="shared" ref="Q96" si="456">F96*P96</f>
        <v>1413508.1111801236</v>
      </c>
      <c r="R96">
        <f t="shared" ref="R96" si="457">R97+Q96</f>
        <v>91618345.815586537</v>
      </c>
      <c r="S96">
        <f t="shared" ref="S96" si="458">R96/100000</f>
        <v>916.18345815586542</v>
      </c>
      <c r="T96">
        <f t="shared" ref="T96" si="459">S96/1000</f>
        <v>0.91618345815586544</v>
      </c>
    </row>
    <row r="97" spans="1:20" x14ac:dyDescent="0.25">
      <c r="A97" s="5">
        <v>44496</v>
      </c>
      <c r="B97">
        <v>1.6579999999999999</v>
      </c>
      <c r="C97">
        <v>1.7030000000000001</v>
      </c>
      <c r="D97">
        <v>1.42</v>
      </c>
      <c r="E97">
        <v>1.474</v>
      </c>
      <c r="F97">
        <v>5279081.9000000004</v>
      </c>
      <c r="G97">
        <v>1.474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-0.61837455830388677</v>
      </c>
      <c r="Q97">
        <f t="shared" ref="Q97" si="461">F97*P97</f>
        <v>-3264449.9381625433</v>
      </c>
      <c r="R97">
        <f t="shared" ref="R97" si="462">R98+Q97</f>
        <v>90204837.70440641</v>
      </c>
      <c r="S97">
        <f t="shared" ref="S97" si="463">R97/100000</f>
        <v>902.04837704406407</v>
      </c>
      <c r="T97">
        <f t="shared" ref="T97" si="464">S97/1000</f>
        <v>0.90204837704406404</v>
      </c>
    </row>
    <row r="98" spans="1:20" x14ac:dyDescent="0.25">
      <c r="A98" s="5">
        <v>44495</v>
      </c>
      <c r="B98">
        <v>1.651</v>
      </c>
      <c r="C98">
        <v>1.73</v>
      </c>
      <c r="D98">
        <v>1.63</v>
      </c>
      <c r="E98">
        <v>1.659</v>
      </c>
      <c r="F98">
        <v>3750142</v>
      </c>
      <c r="G98">
        <v>1.659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-0.41999999999999776</v>
      </c>
      <c r="Q98">
        <f t="shared" ref="Q98" si="466">F98*P98</f>
        <v>-1575059.6399999915</v>
      </c>
      <c r="R98">
        <f t="shared" ref="R98" si="467">R99+Q98</f>
        <v>93469287.642568961</v>
      </c>
      <c r="S98">
        <f t="shared" ref="S98" si="468">R98/100000</f>
        <v>934.69287642568963</v>
      </c>
      <c r="T98">
        <f t="shared" ref="T98" si="469">S98/1000</f>
        <v>0.93469287642568966</v>
      </c>
    </row>
    <row r="99" spans="1:20" x14ac:dyDescent="0.25">
      <c r="A99" s="5">
        <v>44494</v>
      </c>
      <c r="B99">
        <v>1.6339999999999999</v>
      </c>
      <c r="C99">
        <v>1.657</v>
      </c>
      <c r="D99">
        <v>1.6279999999999999</v>
      </c>
      <c r="E99">
        <v>1.65</v>
      </c>
      <c r="F99">
        <v>1397529.1</v>
      </c>
      <c r="G99">
        <v>1.65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0.51724137931033898</v>
      </c>
      <c r="Q99">
        <f t="shared" ref="Q99" si="471">F99*P99</f>
        <v>722859.87931033666</v>
      </c>
      <c r="R99">
        <f t="shared" ref="R99" si="472">R100+Q99</f>
        <v>95044347.282568946</v>
      </c>
      <c r="S99">
        <f t="shared" ref="S99" si="473">R99/100000</f>
        <v>950.44347282568947</v>
      </c>
      <c r="T99">
        <f t="shared" ref="T99" si="474">S99/1000</f>
        <v>0.95044347282568942</v>
      </c>
    </row>
    <row r="100" spans="1:20" x14ac:dyDescent="0.25">
      <c r="A100" s="5">
        <v>44493</v>
      </c>
      <c r="B100">
        <v>1.67</v>
      </c>
      <c r="C100">
        <v>1.677</v>
      </c>
      <c r="D100">
        <v>1.591</v>
      </c>
      <c r="E100">
        <v>1.635</v>
      </c>
      <c r="F100">
        <v>1439773.9</v>
      </c>
      <c r="G100">
        <v>1.635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2.3255813953488372E-2</v>
      </c>
      <c r="Q100">
        <f t="shared" ref="Q100" si="476">F100*P100</f>
        <v>33483.11395348837</v>
      </c>
      <c r="R100">
        <f t="shared" ref="R100" si="477">R101+Q100</f>
        <v>94321487.403258607</v>
      </c>
      <c r="S100">
        <f t="shared" ref="S100" si="478">R100/100000</f>
        <v>943.21487403258607</v>
      </c>
      <c r="T100">
        <f t="shared" ref="T100" si="479">S100/1000</f>
        <v>0.94321487403258608</v>
      </c>
    </row>
    <row r="101" spans="1:20" x14ac:dyDescent="0.25">
      <c r="A101" s="5">
        <v>44492</v>
      </c>
      <c r="B101">
        <v>1.641</v>
      </c>
      <c r="C101">
        <v>1.671</v>
      </c>
      <c r="D101">
        <v>1.6060000000000001</v>
      </c>
      <c r="E101">
        <v>1.671</v>
      </c>
      <c r="F101">
        <v>935106.6</v>
      </c>
      <c r="G101">
        <v>1.671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1</v>
      </c>
      <c r="Q101">
        <f t="shared" ref="Q101" si="481">F101*P101</f>
        <v>935106.6</v>
      </c>
      <c r="R101">
        <f t="shared" ref="R101" si="482">R102+Q101</f>
        <v>94288004.289305121</v>
      </c>
      <c r="S101">
        <f t="shared" ref="S101" si="483">R101/100000</f>
        <v>942.88004289305115</v>
      </c>
      <c r="T101">
        <f t="shared" ref="T101" si="484">S101/1000</f>
        <v>0.94288004289305116</v>
      </c>
    </row>
    <row r="102" spans="1:20" x14ac:dyDescent="0.25">
      <c r="A102" s="5">
        <v>44491</v>
      </c>
      <c r="B102">
        <v>1.61</v>
      </c>
      <c r="C102">
        <v>1.6819999999999999</v>
      </c>
      <c r="D102">
        <v>1.6</v>
      </c>
      <c r="E102">
        <v>1.6419999999999999</v>
      </c>
      <c r="F102">
        <v>2044758.4</v>
      </c>
      <c r="G102">
        <v>1.6419999999999999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2.4390243902436382E-2</v>
      </c>
      <c r="Q102">
        <f t="shared" ref="Q102" si="486">F102*P102</f>
        <v>49872.156097555569</v>
      </c>
      <c r="R102">
        <f t="shared" ref="R102" si="487">R103+Q102</f>
        <v>93352897.689305127</v>
      </c>
      <c r="S102">
        <f t="shared" ref="S102" si="488">R102/100000</f>
        <v>933.52897689305132</v>
      </c>
      <c r="T102">
        <f t="shared" ref="T102" si="489">S102/1000</f>
        <v>0.93352897689305137</v>
      </c>
    </row>
    <row r="103" spans="1:20" x14ac:dyDescent="0.25">
      <c r="A103" s="5">
        <v>44490</v>
      </c>
      <c r="B103">
        <v>1.675</v>
      </c>
      <c r="C103">
        <v>1.7250000000000001</v>
      </c>
      <c r="D103">
        <v>1.605</v>
      </c>
      <c r="E103">
        <v>1.61</v>
      </c>
      <c r="F103">
        <v>2710950.6</v>
      </c>
      <c r="G103">
        <v>1.61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-0.91666666666666485</v>
      </c>
      <c r="Q103">
        <f t="shared" ref="Q103" si="491">F103*P103</f>
        <v>-2485038.0499999952</v>
      </c>
      <c r="R103">
        <f t="shared" ref="R103" si="492">R104+Q103</f>
        <v>93303025.533207566</v>
      </c>
      <c r="S103">
        <f t="shared" ref="S103" si="493">R103/100000</f>
        <v>933.03025533207563</v>
      </c>
      <c r="T103">
        <f t="shared" ref="T103" si="494">S103/1000</f>
        <v>0.93303025533207562</v>
      </c>
    </row>
    <row r="104" spans="1:20" x14ac:dyDescent="0.25">
      <c r="A104" s="5">
        <v>44489</v>
      </c>
      <c r="B104">
        <v>1.6140000000000001</v>
      </c>
      <c r="C104">
        <v>1.6839999999999999</v>
      </c>
      <c r="D104">
        <v>1.609</v>
      </c>
      <c r="E104">
        <v>1.6739999999999999</v>
      </c>
      <c r="F104">
        <v>2591637.4</v>
      </c>
      <c r="G104">
        <v>1.6739999999999999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0.73333333333333295</v>
      </c>
      <c r="Q104">
        <f t="shared" ref="Q104" si="496">F104*P104</f>
        <v>1900534.0933333323</v>
      </c>
      <c r="R104">
        <f t="shared" ref="R104" si="497">R105+Q104</f>
        <v>95788063.583207563</v>
      </c>
      <c r="S104">
        <f t="shared" ref="S104" si="498">R104/100000</f>
        <v>957.88063583207565</v>
      </c>
      <c r="T104">
        <f t="shared" ref="T104" si="499">S104/1000</f>
        <v>0.95788063583207561</v>
      </c>
    </row>
    <row r="105" spans="1:20" x14ac:dyDescent="0.25">
      <c r="A105" s="5">
        <v>44488</v>
      </c>
      <c r="B105">
        <v>1.623</v>
      </c>
      <c r="C105">
        <v>1.64</v>
      </c>
      <c r="D105">
        <v>1.581</v>
      </c>
      <c r="E105">
        <v>1.6140000000000001</v>
      </c>
      <c r="F105">
        <v>1460534.4</v>
      </c>
      <c r="G105">
        <v>1.6140000000000001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0.11864406779661604</v>
      </c>
      <c r="Q105">
        <f t="shared" ref="Q105" si="501">F105*P105</f>
        <v>173283.74237288992</v>
      </c>
      <c r="R105">
        <f t="shared" ref="R105" si="502">R106+Q105</f>
        <v>93887529.489874229</v>
      </c>
      <c r="S105">
        <f t="shared" ref="S105" si="503">R105/100000</f>
        <v>938.87529489874225</v>
      </c>
      <c r="T105">
        <f t="shared" ref="T105" si="504">S105/1000</f>
        <v>0.93887529489874222</v>
      </c>
    </row>
    <row r="106" spans="1:20" x14ac:dyDescent="0.25">
      <c r="A106" s="5">
        <v>44487</v>
      </c>
      <c r="B106">
        <v>1.619</v>
      </c>
      <c r="C106">
        <v>1.631</v>
      </c>
      <c r="D106">
        <v>1.5549999999999999</v>
      </c>
      <c r="E106">
        <v>1.623</v>
      </c>
      <c r="F106">
        <v>1554975.7</v>
      </c>
      <c r="G106">
        <v>1.623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0.78947368421052633</v>
      </c>
      <c r="Q106">
        <f t="shared" ref="Q106" si="506">F106*P106</f>
        <v>1227612.394736842</v>
      </c>
      <c r="R106">
        <f t="shared" ref="R106" si="507">R107+Q106</f>
        <v>93714245.747501343</v>
      </c>
      <c r="S106">
        <f t="shared" ref="S106" si="508">R106/100000</f>
        <v>937.14245747501343</v>
      </c>
      <c r="T106">
        <f t="shared" ref="T106" si="509">S106/1000</f>
        <v>0.93714245747501346</v>
      </c>
    </row>
    <row r="107" spans="1:20" x14ac:dyDescent="0.25">
      <c r="A107" s="5">
        <v>44486</v>
      </c>
      <c r="B107">
        <v>1.6879999999999999</v>
      </c>
      <c r="C107">
        <v>1.708</v>
      </c>
      <c r="D107">
        <v>1.5589999999999999</v>
      </c>
      <c r="E107">
        <v>1.617</v>
      </c>
      <c r="F107">
        <v>2454455.1</v>
      </c>
      <c r="G107">
        <v>1.617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-0.22147651006711352</v>
      </c>
      <c r="Q107">
        <f t="shared" ref="Q107" si="511">F107*P107</f>
        <v>-543604.1496644282</v>
      </c>
      <c r="R107">
        <f t="shared" ref="R107" si="512">R108+Q107</f>
        <v>92486633.352764502</v>
      </c>
      <c r="S107">
        <f t="shared" ref="S107" si="513">R107/100000</f>
        <v>924.866333527645</v>
      </c>
      <c r="T107">
        <f t="shared" ref="T107" si="514">S107/1000</f>
        <v>0.92486633352764502</v>
      </c>
    </row>
    <row r="108" spans="1:20" x14ac:dyDescent="0.25">
      <c r="A108" s="5">
        <v>44485</v>
      </c>
      <c r="B108">
        <v>1.6830000000000001</v>
      </c>
      <c r="C108">
        <v>1.7450000000000001</v>
      </c>
      <c r="D108">
        <v>1.667</v>
      </c>
      <c r="E108">
        <v>1.6890000000000001</v>
      </c>
      <c r="F108">
        <v>3384300</v>
      </c>
      <c r="G108">
        <v>1.6890000000000001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-0.4358974358974359</v>
      </c>
      <c r="Q108">
        <f t="shared" ref="Q108" si="516">F108*P108</f>
        <v>-1475207.6923076923</v>
      </c>
      <c r="R108">
        <f t="shared" ref="R108" si="517">R109+Q108</f>
        <v>93030237.502428934</v>
      </c>
      <c r="S108">
        <f t="shared" ref="S108" si="518">R108/100000</f>
        <v>930.30237502428929</v>
      </c>
      <c r="T108">
        <f t="shared" ref="T108" si="519">S108/1000</f>
        <v>0.93030237502428925</v>
      </c>
    </row>
    <row r="109" spans="1:20" x14ac:dyDescent="0.25">
      <c r="A109" s="5">
        <v>44484</v>
      </c>
      <c r="B109">
        <v>1.73</v>
      </c>
      <c r="C109">
        <v>1.7310000000000001</v>
      </c>
      <c r="D109">
        <v>1.591</v>
      </c>
      <c r="E109">
        <v>1.681</v>
      </c>
      <c r="F109">
        <v>3130186.6</v>
      </c>
      <c r="G109">
        <v>1.681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0.2857142857142857</v>
      </c>
      <c r="Q109">
        <f t="shared" ref="Q109" si="521">F109*P109</f>
        <v>894339.0285714285</v>
      </c>
      <c r="R109">
        <f t="shared" ref="R109" si="522">R110+Q109</f>
        <v>94505445.19473663</v>
      </c>
      <c r="S109">
        <f t="shared" ref="S109" si="523">R109/100000</f>
        <v>945.05445194736626</v>
      </c>
      <c r="T109">
        <f t="shared" ref="T109" si="524">S109/1000</f>
        <v>0.94505445194736626</v>
      </c>
    </row>
    <row r="110" spans="1:20" x14ac:dyDescent="0.25">
      <c r="A110" s="5">
        <v>44483</v>
      </c>
      <c r="B110">
        <v>1.742</v>
      </c>
      <c r="C110">
        <v>1.79</v>
      </c>
      <c r="D110">
        <v>1.714</v>
      </c>
      <c r="E110">
        <v>1.7310000000000001</v>
      </c>
      <c r="F110">
        <v>2547087.7000000002</v>
      </c>
      <c r="G110">
        <v>1.7310000000000001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-0.55263157894736548</v>
      </c>
      <c r="Q110">
        <f t="shared" ref="Q110" si="526">F110*P110</f>
        <v>-1407601.0973684136</v>
      </c>
      <c r="R110">
        <f t="shared" ref="R110" si="527">R111+Q110</f>
        <v>93611106.166165203</v>
      </c>
      <c r="S110">
        <f t="shared" ref="S110" si="528">R110/100000</f>
        <v>936.111061661652</v>
      </c>
      <c r="T110">
        <f t="shared" ref="T110" si="529">S110/1000</f>
        <v>0.93611106166165203</v>
      </c>
    </row>
    <row r="111" spans="1:20" x14ac:dyDescent="0.25">
      <c r="A111" s="5">
        <v>44482</v>
      </c>
      <c r="B111">
        <v>1.631</v>
      </c>
      <c r="C111">
        <v>1.81</v>
      </c>
      <c r="D111">
        <v>1.6180000000000001</v>
      </c>
      <c r="E111">
        <v>1.7410000000000001</v>
      </c>
      <c r="F111">
        <v>3640795.5</v>
      </c>
      <c r="G111">
        <v>1.7410000000000001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0.28125000000000033</v>
      </c>
      <c r="Q111">
        <f t="shared" ref="Q111" si="531">F111*P111</f>
        <v>1023973.7343750012</v>
      </c>
      <c r="R111">
        <f t="shared" ref="R111" si="532">R112+Q111</f>
        <v>95018707.263533622</v>
      </c>
      <c r="S111">
        <f t="shared" ref="S111" si="533">R111/100000</f>
        <v>950.18707263533622</v>
      </c>
      <c r="T111">
        <f t="shared" ref="T111" si="534">S111/1000</f>
        <v>0.95018707263533619</v>
      </c>
    </row>
    <row r="112" spans="1:20" x14ac:dyDescent="0.25">
      <c r="A112" s="5">
        <v>44481</v>
      </c>
      <c r="B112">
        <v>1.7170000000000001</v>
      </c>
      <c r="C112">
        <v>1.7210000000000001</v>
      </c>
      <c r="D112">
        <v>1.5429999999999999</v>
      </c>
      <c r="E112">
        <v>1.631</v>
      </c>
      <c r="F112">
        <v>3813669.4</v>
      </c>
      <c r="G112">
        <v>1.631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-1.1235955056179775E-2</v>
      </c>
      <c r="Q112">
        <f t="shared" ref="Q112" si="536">F112*P112</f>
        <v>-42850.217977528089</v>
      </c>
      <c r="R112">
        <f t="shared" ref="R112" si="537">R113+Q112</f>
        <v>93994733.529158622</v>
      </c>
      <c r="S112">
        <f t="shared" ref="S112" si="538">R112/100000</f>
        <v>939.94733529158623</v>
      </c>
      <c r="T112">
        <f t="shared" ref="T112" si="539">S112/1000</f>
        <v>0.93994733529158625</v>
      </c>
    </row>
    <row r="113" spans="1:20" x14ac:dyDescent="0.25">
      <c r="A113" s="5">
        <v>44480</v>
      </c>
      <c r="B113">
        <v>1.804</v>
      </c>
      <c r="C113">
        <v>1.8320000000000001</v>
      </c>
      <c r="D113">
        <v>1.671</v>
      </c>
      <c r="E113">
        <v>1.7190000000000001</v>
      </c>
      <c r="F113">
        <v>3554905.9</v>
      </c>
      <c r="G113">
        <v>1.7190000000000001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-0.40372670807453376</v>
      </c>
      <c r="Q113">
        <f t="shared" ref="Q113" si="541">F113*P113</f>
        <v>-1435210.4565217376</v>
      </c>
      <c r="R113">
        <f t="shared" ref="R113" si="542">R114+Q113</f>
        <v>94037583.747136146</v>
      </c>
      <c r="S113">
        <f t="shared" ref="S113" si="543">R113/100000</f>
        <v>940.37583747136148</v>
      </c>
      <c r="T113">
        <f t="shared" ref="T113" si="544">S113/1000</f>
        <v>0.94037583747136144</v>
      </c>
    </row>
    <row r="114" spans="1:20" x14ac:dyDescent="0.25">
      <c r="A114" s="5">
        <v>44479</v>
      </c>
      <c r="B114">
        <v>1.7789999999999999</v>
      </c>
      <c r="C114">
        <v>1.83</v>
      </c>
      <c r="D114">
        <v>1.7450000000000001</v>
      </c>
      <c r="E114">
        <v>1.8069999999999999</v>
      </c>
      <c r="F114">
        <v>3230620.5</v>
      </c>
      <c r="G114">
        <v>1.8069999999999999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0.45882352941176141</v>
      </c>
      <c r="Q114">
        <f t="shared" ref="Q114" si="546">F114*P114</f>
        <v>1482284.6999999892</v>
      </c>
      <c r="R114">
        <f t="shared" ref="R114" si="547">R115+Q114</f>
        <v>95472794.20365788</v>
      </c>
      <c r="S114">
        <f t="shared" ref="S114" si="548">R114/100000</f>
        <v>954.72794203657884</v>
      </c>
      <c r="T114">
        <f t="shared" ref="T114" si="549">S114/1000</f>
        <v>0.95472794203657885</v>
      </c>
    </row>
    <row r="115" spans="1:20" x14ac:dyDescent="0.25">
      <c r="A115" s="5">
        <v>44478</v>
      </c>
      <c r="B115">
        <v>1.7969999999999999</v>
      </c>
      <c r="C115">
        <v>1.837</v>
      </c>
      <c r="D115">
        <v>1.73</v>
      </c>
      <c r="E115">
        <v>1.7769999999999999</v>
      </c>
      <c r="F115">
        <v>2414561.6</v>
      </c>
      <c r="G115">
        <v>1.7769999999999999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-0.1214953271028049</v>
      </c>
      <c r="Q115">
        <f t="shared" ref="Q115" si="551">F115*P115</f>
        <v>-293357.95140187198</v>
      </c>
      <c r="R115">
        <f t="shared" ref="R115" si="552">R116+Q115</f>
        <v>93990509.503657892</v>
      </c>
      <c r="S115">
        <f t="shared" ref="S115" si="553">R115/100000</f>
        <v>939.90509503657893</v>
      </c>
      <c r="T115">
        <f t="shared" ref="T115" si="554">S115/1000</f>
        <v>0.93990509503657893</v>
      </c>
    </row>
    <row r="116" spans="1:20" x14ac:dyDescent="0.25">
      <c r="A116" s="5">
        <v>44477</v>
      </c>
      <c r="B116">
        <v>1.7070000000000001</v>
      </c>
      <c r="C116">
        <v>1.8260000000000001</v>
      </c>
      <c r="D116">
        <v>1.6970000000000001</v>
      </c>
      <c r="E116">
        <v>1.7949999999999999</v>
      </c>
      <c r="F116">
        <v>3371485.3</v>
      </c>
      <c r="G116">
        <v>1.7949999999999999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0.51937984496123812</v>
      </c>
      <c r="Q116">
        <f t="shared" ref="Q116" si="556">F116*P116</f>
        <v>1751081.5124030933</v>
      </c>
      <c r="R116">
        <f t="shared" ref="R116" si="557">R117+Q116</f>
        <v>94283867.455059767</v>
      </c>
      <c r="S116">
        <f t="shared" ref="S116" si="558">R116/100000</f>
        <v>942.83867455059772</v>
      </c>
      <c r="T116">
        <f t="shared" ref="T116" si="559">S116/1000</f>
        <v>0.94283867455059767</v>
      </c>
    </row>
    <row r="117" spans="1:20" x14ac:dyDescent="0.25">
      <c r="A117" s="5">
        <v>44476</v>
      </c>
      <c r="B117">
        <v>1.7110000000000001</v>
      </c>
      <c r="C117">
        <v>1.738</v>
      </c>
      <c r="D117">
        <v>1.6519999999999999</v>
      </c>
      <c r="E117">
        <v>1.706</v>
      </c>
      <c r="F117">
        <v>2340778.2000000002</v>
      </c>
      <c r="G117">
        <v>1.706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0.2558139534883721</v>
      </c>
      <c r="Q117">
        <f t="shared" ref="Q117" si="561">F117*P117</f>
        <v>598803.72558139544</v>
      </c>
      <c r="R117">
        <f t="shared" ref="R117" si="562">R118+Q117</f>
        <v>92532785.942656681</v>
      </c>
      <c r="S117">
        <f t="shared" ref="S117" si="563">R117/100000</f>
        <v>925.32785942656676</v>
      </c>
      <c r="T117">
        <f t="shared" ref="T117" si="564">S117/1000</f>
        <v>0.92532785942656681</v>
      </c>
    </row>
    <row r="118" spans="1:20" x14ac:dyDescent="0.25">
      <c r="A118" s="5">
        <v>44475</v>
      </c>
      <c r="B118">
        <v>1.72</v>
      </c>
      <c r="C118">
        <v>1.7669999999999999</v>
      </c>
      <c r="D118">
        <v>1.6040000000000001</v>
      </c>
      <c r="E118">
        <v>1.71</v>
      </c>
      <c r="F118">
        <v>3577652.4</v>
      </c>
      <c r="G118">
        <v>1.71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0.30061349693251527</v>
      </c>
      <c r="Q118">
        <f t="shared" ref="Q118" si="566">F118*P118</f>
        <v>1075490.5987730059</v>
      </c>
      <c r="R118">
        <f t="shared" ref="R118" si="567">R119+Q118</f>
        <v>91933982.217075288</v>
      </c>
      <c r="S118">
        <f t="shared" ref="S118" si="568">R118/100000</f>
        <v>919.33982217075288</v>
      </c>
      <c r="T118">
        <f t="shared" ref="T118" si="569">S118/1000</f>
        <v>0.91933982217075283</v>
      </c>
    </row>
    <row r="119" spans="1:20" x14ac:dyDescent="0.25">
      <c r="A119" s="5">
        <v>44474</v>
      </c>
      <c r="B119">
        <v>1.6659999999999999</v>
      </c>
      <c r="C119">
        <v>1.7290000000000001</v>
      </c>
      <c r="D119">
        <v>1.6359999999999999</v>
      </c>
      <c r="E119">
        <v>1.7190000000000001</v>
      </c>
      <c r="F119">
        <v>2494941.4</v>
      </c>
      <c r="G119">
        <v>1.7190000000000001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0.78494623655914009</v>
      </c>
      <c r="Q119">
        <f t="shared" ref="Q119" si="571">F119*P119</f>
        <v>1958394.862365592</v>
      </c>
      <c r="R119">
        <f t="shared" ref="R119" si="572">R120+Q119</f>
        <v>90858491.618302286</v>
      </c>
      <c r="S119">
        <f t="shared" ref="S119" si="573">R119/100000</f>
        <v>908.58491618302287</v>
      </c>
      <c r="T119">
        <f t="shared" ref="T119" si="574">S119/1000</f>
        <v>0.90858491618302284</v>
      </c>
    </row>
    <row r="120" spans="1:20" x14ac:dyDescent="0.25">
      <c r="A120" s="5">
        <v>44473</v>
      </c>
      <c r="B120">
        <v>1.675</v>
      </c>
      <c r="C120">
        <v>1.736</v>
      </c>
      <c r="D120">
        <v>1.6020000000000001</v>
      </c>
      <c r="E120">
        <v>1.6659999999999999</v>
      </c>
      <c r="F120">
        <v>3928085.8</v>
      </c>
      <c r="G120">
        <v>1.6659999999999999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-4.4776119402986807E-2</v>
      </c>
      <c r="Q120">
        <f t="shared" ref="Q120" si="576">F120*P120</f>
        <v>-175884.43880597694</v>
      </c>
      <c r="R120">
        <f t="shared" ref="R120" si="577">R121+Q120</f>
        <v>88900096.755936697</v>
      </c>
      <c r="S120">
        <f t="shared" ref="S120" si="578">R120/100000</f>
        <v>889.00096755936693</v>
      </c>
      <c r="T120">
        <f t="shared" ref="T120" si="579">S120/1000</f>
        <v>0.88900096755936697</v>
      </c>
    </row>
    <row r="121" spans="1:20" x14ac:dyDescent="0.25">
      <c r="A121" s="5">
        <v>44472</v>
      </c>
      <c r="B121">
        <v>1.6319999999999999</v>
      </c>
      <c r="C121">
        <v>1.6910000000000001</v>
      </c>
      <c r="D121">
        <v>1.5960000000000001</v>
      </c>
      <c r="E121">
        <v>1.665</v>
      </c>
      <c r="F121">
        <v>2152600.9</v>
      </c>
      <c r="G121">
        <v>1.665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0.45263157894736777</v>
      </c>
      <c r="Q121">
        <f t="shared" ref="Q121" si="581">F121*P121</f>
        <v>974335.14421052486</v>
      </c>
      <c r="R121">
        <f t="shared" ref="R121" si="582">R122+Q121</f>
        <v>89075981.19474268</v>
      </c>
      <c r="S121">
        <f t="shared" ref="S121" si="583">R121/100000</f>
        <v>890.75981194742678</v>
      </c>
      <c r="T121">
        <f t="shared" ref="T121" si="584">S121/1000</f>
        <v>0.89075981194742682</v>
      </c>
    </row>
    <row r="122" spans="1:20" x14ac:dyDescent="0.25">
      <c r="A122" s="5">
        <v>44471</v>
      </c>
      <c r="B122">
        <v>1.623</v>
      </c>
      <c r="C122">
        <v>1.67</v>
      </c>
      <c r="D122">
        <v>1.5740000000000001</v>
      </c>
      <c r="E122">
        <v>1.6319999999999999</v>
      </c>
      <c r="F122">
        <v>2144556.7999999998</v>
      </c>
      <c r="G122">
        <v>1.6319999999999999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0.20833333333333151</v>
      </c>
      <c r="Q122">
        <f t="shared" ref="Q122" si="586">F122*P122</f>
        <v>446782.66666666273</v>
      </c>
      <c r="R122">
        <f t="shared" ref="R122" si="587">R123+Q122</f>
        <v>88101646.050532162</v>
      </c>
      <c r="S122">
        <f t="shared" ref="S122" si="588">R122/100000</f>
        <v>881.01646050532167</v>
      </c>
      <c r="T122">
        <f t="shared" ref="T122" si="589">S122/1000</f>
        <v>0.88101646050532167</v>
      </c>
    </row>
    <row r="123" spans="1:20" x14ac:dyDescent="0.25">
      <c r="A123" s="5">
        <v>44470</v>
      </c>
      <c r="B123">
        <v>1.4930000000000001</v>
      </c>
      <c r="C123">
        <v>1.6240000000000001</v>
      </c>
      <c r="D123">
        <v>1.488</v>
      </c>
      <c r="E123">
        <v>1.6220000000000001</v>
      </c>
      <c r="F123">
        <v>3116792.8</v>
      </c>
      <c r="G123">
        <v>1.6220000000000001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0.97058823529411764</v>
      </c>
      <c r="Q123">
        <f t="shared" ref="Q123" si="591">F123*P123</f>
        <v>3025122.4235294117</v>
      </c>
      <c r="R123">
        <f t="shared" ref="R123" si="592">R124+Q123</f>
        <v>87654863.383865505</v>
      </c>
      <c r="S123">
        <f t="shared" ref="S123" si="593">R123/100000</f>
        <v>876.54863383865506</v>
      </c>
      <c r="T123">
        <f t="shared" ref="T123" si="594">S123/1000</f>
        <v>0.87654863383865511</v>
      </c>
    </row>
    <row r="124" spans="1:20" x14ac:dyDescent="0.25">
      <c r="A124" s="5">
        <v>44469</v>
      </c>
      <c r="B124">
        <v>1.39</v>
      </c>
      <c r="C124">
        <v>1.5469999999999999</v>
      </c>
      <c r="D124">
        <v>1.387</v>
      </c>
      <c r="E124">
        <v>1.494</v>
      </c>
      <c r="F124">
        <v>2967107</v>
      </c>
      <c r="G124">
        <v>1.494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0.33750000000000047</v>
      </c>
      <c r="Q124">
        <f t="shared" ref="Q124" si="596">F124*P124</f>
        <v>1001398.6125000013</v>
      </c>
      <c r="R124">
        <f t="shared" ref="R124" si="597">R125+Q124</f>
        <v>84629740.960336089</v>
      </c>
      <c r="S124">
        <f t="shared" ref="S124" si="598">R124/100000</f>
        <v>846.29740960336085</v>
      </c>
      <c r="T124">
        <f t="shared" ref="T124" si="599">S124/1000</f>
        <v>0.84629740960336086</v>
      </c>
    </row>
    <row r="125" spans="1:20" x14ac:dyDescent="0.25">
      <c r="A125" s="5">
        <v>44468</v>
      </c>
      <c r="B125">
        <v>1.339</v>
      </c>
      <c r="C125">
        <v>1.4730000000000001</v>
      </c>
      <c r="D125">
        <v>1.337</v>
      </c>
      <c r="E125">
        <v>1.3919999999999999</v>
      </c>
      <c r="F125">
        <v>2389154</v>
      </c>
      <c r="G125">
        <v>1.3919999999999999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-0.19117647058823692</v>
      </c>
      <c r="Q125">
        <f t="shared" ref="Q125" si="601">F125*P125</f>
        <v>-456750.0294117686</v>
      </c>
      <c r="R125">
        <f t="shared" ref="R125" si="602">R126+Q125</f>
        <v>83628342.347836092</v>
      </c>
      <c r="S125">
        <f t="shared" ref="S125" si="603">R125/100000</f>
        <v>836.28342347836087</v>
      </c>
      <c r="T125">
        <f t="shared" ref="T125" si="604">S125/1000</f>
        <v>0.83628342347836082</v>
      </c>
    </row>
    <row r="126" spans="1:20" x14ac:dyDescent="0.25">
      <c r="A126" s="5">
        <v>44467</v>
      </c>
      <c r="B126">
        <v>1.385</v>
      </c>
      <c r="C126">
        <v>1.421</v>
      </c>
      <c r="D126">
        <v>1.333</v>
      </c>
      <c r="E126">
        <v>1.341</v>
      </c>
      <c r="F126">
        <v>1904374.4</v>
      </c>
      <c r="G126">
        <v>1.341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-0.81818181818181823</v>
      </c>
      <c r="Q126">
        <f t="shared" ref="Q126" si="606">F126*P126</f>
        <v>-1558124.509090909</v>
      </c>
      <c r="R126">
        <f t="shared" ref="R126" si="607">R127+Q126</f>
        <v>84085092.377247855</v>
      </c>
      <c r="S126">
        <f t="shared" ref="S126" si="608">R126/100000</f>
        <v>840.8509237724785</v>
      </c>
      <c r="T126">
        <f t="shared" ref="T126" si="609">S126/1000</f>
        <v>0.8408509237724785</v>
      </c>
    </row>
    <row r="127" spans="1:20" x14ac:dyDescent="0.25">
      <c r="A127" s="5">
        <v>44466</v>
      </c>
      <c r="B127">
        <v>1.456</v>
      </c>
      <c r="C127">
        <v>1.5109999999999999</v>
      </c>
      <c r="D127">
        <v>1.383</v>
      </c>
      <c r="E127">
        <v>1.3859999999999999</v>
      </c>
      <c r="F127">
        <v>2285949.7999999998</v>
      </c>
      <c r="G127">
        <v>1.3859999999999999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-0.95312500000000167</v>
      </c>
      <c r="Q127">
        <f t="shared" ref="Q127" si="611">F127*P127</f>
        <v>-2178795.9031250034</v>
      </c>
      <c r="R127">
        <f t="shared" ref="R127" si="612">R128+Q127</f>
        <v>85643216.88633877</v>
      </c>
      <c r="S127">
        <f t="shared" ref="S127" si="613">R127/100000</f>
        <v>856.43216886338769</v>
      </c>
      <c r="T127">
        <f t="shared" ref="T127" si="614">S127/1000</f>
        <v>0.85643216886338769</v>
      </c>
    </row>
    <row r="128" spans="1:20" x14ac:dyDescent="0.25">
      <c r="A128" s="5">
        <v>44465</v>
      </c>
      <c r="B128">
        <v>1.4370000000000001</v>
      </c>
      <c r="C128">
        <v>1.4850000000000001</v>
      </c>
      <c r="D128">
        <v>1.3160000000000001</v>
      </c>
      <c r="E128">
        <v>1.458</v>
      </c>
      <c r="F128">
        <v>3116402.5</v>
      </c>
      <c r="G128">
        <v>1.458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0.68047337278106357</v>
      </c>
      <c r="Q128">
        <f t="shared" ref="Q128" si="616">F128*P128</f>
        <v>2120628.9201183384</v>
      </c>
      <c r="R128">
        <f t="shared" ref="R128" si="617">R129+Q128</f>
        <v>87822012.789463773</v>
      </c>
      <c r="S128">
        <f t="shared" ref="S128" si="618">R128/100000</f>
        <v>878.2201278946377</v>
      </c>
      <c r="T128">
        <f t="shared" ref="T128" si="619">S128/1000</f>
        <v>0.87822012789463766</v>
      </c>
    </row>
    <row r="129" spans="1:20" x14ac:dyDescent="0.25">
      <c r="A129" s="5">
        <v>44464</v>
      </c>
      <c r="B129">
        <v>1.4550000000000001</v>
      </c>
      <c r="C129">
        <v>1.474</v>
      </c>
      <c r="D129">
        <v>1.387</v>
      </c>
      <c r="E129">
        <v>1.4359999999999999</v>
      </c>
      <c r="F129">
        <v>1541456.1</v>
      </c>
      <c r="G129">
        <v>1.4359999999999999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0.12643678160919428</v>
      </c>
      <c r="Q129">
        <f t="shared" ref="Q129" si="621">F129*P129</f>
        <v>194896.74827586036</v>
      </c>
      <c r="R129">
        <f t="shared" ref="R129" si="622">R130+Q129</f>
        <v>85701383.869345441</v>
      </c>
      <c r="S129">
        <f t="shared" ref="S129" si="623">R129/100000</f>
        <v>857.01383869345443</v>
      </c>
      <c r="T129">
        <f t="shared" ref="T129" si="624">S129/1000</f>
        <v>0.85701383869345438</v>
      </c>
    </row>
    <row r="130" spans="1:20" x14ac:dyDescent="0.25">
      <c r="A130" s="5">
        <v>44463</v>
      </c>
      <c r="B130">
        <v>1.5780000000000001</v>
      </c>
      <c r="C130">
        <v>1.587</v>
      </c>
      <c r="D130">
        <v>1.345</v>
      </c>
      <c r="E130">
        <v>1.4570000000000001</v>
      </c>
      <c r="F130">
        <v>3613887.8</v>
      </c>
      <c r="G130">
        <v>1.4570000000000001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-7.4380165289255354E-2</v>
      </c>
      <c r="Q130">
        <f t="shared" ref="Q130" si="626">F130*P130</f>
        <v>-268801.57190082339</v>
      </c>
      <c r="R130">
        <f t="shared" ref="R130" si="627">R131+Q130</f>
        <v>85506487.12106958</v>
      </c>
      <c r="S130">
        <f t="shared" ref="S130" si="628">R130/100000</f>
        <v>855.06487121069586</v>
      </c>
      <c r="T130">
        <f t="shared" ref="T130" si="629">S130/1000</f>
        <v>0.85506487121069585</v>
      </c>
    </row>
    <row r="131" spans="1:20" x14ac:dyDescent="0.25">
      <c r="A131" s="5">
        <v>44462</v>
      </c>
      <c r="B131">
        <v>1.5509999999999999</v>
      </c>
      <c r="C131">
        <v>1.59</v>
      </c>
      <c r="D131">
        <v>1.4970000000000001</v>
      </c>
      <c r="E131">
        <v>1.579</v>
      </c>
      <c r="F131">
        <v>2500614</v>
      </c>
      <c r="G131">
        <v>1.579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0.76344086021505109</v>
      </c>
      <c r="Q131">
        <f t="shared" ref="Q131" si="631">F131*P131</f>
        <v>1909070.9032257998</v>
      </c>
      <c r="R131">
        <f t="shared" ref="R131" si="632">R132+Q131</f>
        <v>85775288.69297041</v>
      </c>
      <c r="S131">
        <f t="shared" ref="S131" si="633">R131/100000</f>
        <v>857.75288692970412</v>
      </c>
      <c r="T131">
        <f t="shared" ref="T131" si="634">S131/1000</f>
        <v>0.85775288692970408</v>
      </c>
    </row>
    <row r="132" spans="1:20" x14ac:dyDescent="0.25">
      <c r="A132" s="5">
        <v>44461</v>
      </c>
      <c r="B132">
        <v>1.379</v>
      </c>
      <c r="C132">
        <v>1.554</v>
      </c>
      <c r="D132">
        <v>1.353</v>
      </c>
      <c r="E132">
        <v>1.55</v>
      </c>
      <c r="F132">
        <v>3256373.4</v>
      </c>
      <c r="G132">
        <v>1.55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0.96019900497512434</v>
      </c>
      <c r="Q132">
        <f t="shared" ref="Q132" si="636">F132*P132</f>
        <v>3126766.4985074624</v>
      </c>
      <c r="R132">
        <f t="shared" ref="R132" si="637">R133+Q132</f>
        <v>83866217.789744616</v>
      </c>
      <c r="S132">
        <f t="shared" ref="S132" si="638">R132/100000</f>
        <v>838.6621778974461</v>
      </c>
      <c r="T132">
        <f t="shared" ref="T132" si="639">S132/1000</f>
        <v>0.83866217789744613</v>
      </c>
    </row>
    <row r="133" spans="1:20" x14ac:dyDescent="0.25">
      <c r="A133" s="5">
        <v>44460</v>
      </c>
      <c r="B133">
        <v>1.4870000000000001</v>
      </c>
      <c r="C133">
        <v>1.548</v>
      </c>
      <c r="D133">
        <v>1.3420000000000001</v>
      </c>
      <c r="E133">
        <v>1.379</v>
      </c>
      <c r="F133">
        <v>3664450.0559999999</v>
      </c>
      <c r="G133">
        <v>1.379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-0.64077669902912693</v>
      </c>
      <c r="Q133">
        <f t="shared" ref="Q133" si="641">F133*P133</f>
        <v>-2348094.2106407792</v>
      </c>
      <c r="R133">
        <f t="shared" ref="R133" si="642">R134+Q133</f>
        <v>80739451.291237146</v>
      </c>
      <c r="S133">
        <f t="shared" ref="S133" si="643">R133/100000</f>
        <v>807.39451291237151</v>
      </c>
      <c r="T133">
        <f t="shared" ref="T133" si="644">S133/1000</f>
        <v>0.80739451291237152</v>
      </c>
    </row>
    <row r="134" spans="1:20" x14ac:dyDescent="0.25">
      <c r="A134" s="5">
        <v>44459</v>
      </c>
      <c r="B134">
        <v>1.7410000000000001</v>
      </c>
      <c r="C134">
        <v>1.742</v>
      </c>
      <c r="D134">
        <v>1.546</v>
      </c>
      <c r="E134">
        <v>1.569</v>
      </c>
      <c r="F134">
        <v>2344296.5</v>
      </c>
      <c r="G134">
        <v>1.569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-0.76530612244898044</v>
      </c>
      <c r="Q134">
        <f t="shared" ref="Q134" si="646">F134*P134</f>
        <v>-1794104.4642857162</v>
      </c>
      <c r="R134">
        <f t="shared" ref="R134" si="647">R135+Q134</f>
        <v>83087545.501877919</v>
      </c>
      <c r="S134">
        <f t="shared" ref="S134" si="648">R134/100000</f>
        <v>830.87545501877923</v>
      </c>
      <c r="T134">
        <f t="shared" ref="T134" si="649">S134/1000</f>
        <v>0.83087545501877924</v>
      </c>
    </row>
    <row r="135" spans="1:20" x14ac:dyDescent="0.25">
      <c r="A135" s="5">
        <v>44458</v>
      </c>
      <c r="B135">
        <v>1.8080000000000001</v>
      </c>
      <c r="C135">
        <v>1.81</v>
      </c>
      <c r="D135">
        <v>1.7090000000000001</v>
      </c>
      <c r="E135">
        <v>1.7410000000000001</v>
      </c>
      <c r="F135">
        <v>2114947.9</v>
      </c>
      <c r="G135">
        <v>1.7410000000000001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-0.36633663366336566</v>
      </c>
      <c r="Q135">
        <f t="shared" ref="Q135" si="651">F135*P135</f>
        <v>-774782.8940594045</v>
      </c>
      <c r="R135">
        <f t="shared" ref="R135" si="652">R136+Q135</f>
        <v>84881649.966163635</v>
      </c>
      <c r="S135">
        <f t="shared" ref="S135" si="653">R135/100000</f>
        <v>848.81649966163639</v>
      </c>
      <c r="T135">
        <f t="shared" ref="T135" si="654">S135/1000</f>
        <v>0.84881649966163641</v>
      </c>
    </row>
    <row r="136" spans="1:20" x14ac:dyDescent="0.25">
      <c r="A136" s="5">
        <v>44457</v>
      </c>
      <c r="B136">
        <v>1.8</v>
      </c>
      <c r="C136">
        <v>1.859</v>
      </c>
      <c r="D136">
        <v>1.7609999999999999</v>
      </c>
      <c r="E136">
        <v>1.8069999999999999</v>
      </c>
      <c r="F136">
        <v>2391263.1</v>
      </c>
      <c r="G136">
        <v>1.8069999999999999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-6.1224489795918366E-2</v>
      </c>
      <c r="Q136">
        <f t="shared" ref="Q136" si="656">F136*P136</f>
        <v>-146403.86326530614</v>
      </c>
      <c r="R136">
        <f t="shared" ref="R136" si="657">R137+Q136</f>
        <v>85656432.86022304</v>
      </c>
      <c r="S136">
        <f t="shared" ref="S136" si="658">R136/100000</f>
        <v>856.56432860223038</v>
      </c>
      <c r="T136">
        <f t="shared" ref="T136" si="659">S136/1000</f>
        <v>0.85656432860223042</v>
      </c>
    </row>
    <row r="137" spans="1:20" x14ac:dyDescent="0.25">
      <c r="A137" s="5">
        <v>44456</v>
      </c>
      <c r="B137">
        <v>1.8680000000000001</v>
      </c>
      <c r="C137">
        <v>1.986</v>
      </c>
      <c r="D137">
        <v>1.774</v>
      </c>
      <c r="E137">
        <v>1.8</v>
      </c>
      <c r="F137">
        <v>8585754.3000000007</v>
      </c>
      <c r="G137">
        <v>1.8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-0.75471698113207519</v>
      </c>
      <c r="Q137">
        <f t="shared" ref="Q137" si="661">F137*P137</f>
        <v>-6479814.566037734</v>
      </c>
      <c r="R137">
        <f t="shared" ref="R137" si="662">R138+Q137</f>
        <v>85802836.723488346</v>
      </c>
      <c r="S137">
        <f t="shared" ref="S137" si="663">R137/100000</f>
        <v>858.02836723488349</v>
      </c>
      <c r="T137">
        <f t="shared" ref="T137" si="664">S137/1000</f>
        <v>0.85802836723488352</v>
      </c>
    </row>
    <row r="138" spans="1:20" x14ac:dyDescent="0.25">
      <c r="A138" s="5">
        <v>44455</v>
      </c>
      <c r="B138">
        <v>1.8839999999999999</v>
      </c>
      <c r="C138">
        <v>1.996</v>
      </c>
      <c r="D138">
        <v>1.8180000000000001</v>
      </c>
      <c r="E138">
        <v>1.8680000000000001</v>
      </c>
      <c r="F138">
        <v>5385128.2999999998</v>
      </c>
      <c r="G138">
        <v>1.8680000000000001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-0.43820224719101053</v>
      </c>
      <c r="Q138">
        <f t="shared" ref="Q138" si="666">F138*P138</f>
        <v>-2359775.3224719064</v>
      </c>
      <c r="R138">
        <f t="shared" ref="R138" si="667">R139+Q138</f>
        <v>92282651.289526075</v>
      </c>
      <c r="S138">
        <f t="shared" ref="S138" si="668">R138/100000</f>
        <v>922.82651289526075</v>
      </c>
      <c r="T138">
        <f t="shared" ref="T138" si="669">S138/1000</f>
        <v>0.92282651289526074</v>
      </c>
    </row>
    <row r="139" spans="1:20" x14ac:dyDescent="0.25">
      <c r="A139" s="5">
        <v>44454</v>
      </c>
      <c r="B139">
        <v>1.835</v>
      </c>
      <c r="C139">
        <v>1.893</v>
      </c>
      <c r="D139">
        <v>1.7929999999999999</v>
      </c>
      <c r="E139">
        <v>1.8839999999999999</v>
      </c>
      <c r="F139">
        <v>2951495.5</v>
      </c>
      <c r="G139">
        <v>1.8839999999999999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0.81999999999999773</v>
      </c>
      <c r="Q139">
        <f t="shared" ref="Q139" si="671">F139*P139</f>
        <v>2420226.3099999931</v>
      </c>
      <c r="R139">
        <f t="shared" ref="R139" si="672">R140+Q139</f>
        <v>94642426.611997977</v>
      </c>
      <c r="S139">
        <f t="shared" ref="S139" si="673">R139/100000</f>
        <v>946.42426611997973</v>
      </c>
      <c r="T139">
        <f t="shared" ref="T139" si="674">S139/1000</f>
        <v>0.94642426611997976</v>
      </c>
    </row>
    <row r="140" spans="1:20" x14ac:dyDescent="0.25">
      <c r="A140" s="5">
        <v>44453</v>
      </c>
      <c r="B140">
        <v>1.7470000000000001</v>
      </c>
      <c r="C140">
        <v>1.849</v>
      </c>
      <c r="D140">
        <v>1.7270000000000001</v>
      </c>
      <c r="E140">
        <v>1.8360000000000001</v>
      </c>
      <c r="F140">
        <v>2335951.5</v>
      </c>
      <c r="G140">
        <v>1.8360000000000001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0.78688524590164077</v>
      </c>
      <c r="Q140">
        <f t="shared" ref="Q140" si="676">F140*P140</f>
        <v>1838125.7704918066</v>
      </c>
      <c r="R140">
        <f t="shared" ref="R140" si="677">R141+Q140</f>
        <v>92222200.301997989</v>
      </c>
      <c r="S140">
        <f t="shared" ref="S140" si="678">R140/100000</f>
        <v>922.22200301997987</v>
      </c>
      <c r="T140">
        <f t="shared" ref="T140" si="679">S140/1000</f>
        <v>0.92222200301997992</v>
      </c>
    </row>
    <row r="141" spans="1:20" x14ac:dyDescent="0.25">
      <c r="A141" s="5">
        <v>44452</v>
      </c>
      <c r="B141">
        <v>1.885</v>
      </c>
      <c r="C141">
        <v>1.9019999999999999</v>
      </c>
      <c r="D141">
        <v>1.6319999999999999</v>
      </c>
      <c r="E141">
        <v>1.7470000000000001</v>
      </c>
      <c r="F141">
        <v>4321442.5999999996</v>
      </c>
      <c r="G141">
        <v>1.7470000000000001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-0.14814814814814661</v>
      </c>
      <c r="Q141">
        <f t="shared" ref="Q141" si="681">F141*P141</f>
        <v>-640213.71851851186</v>
      </c>
      <c r="R141">
        <f t="shared" ref="R141" si="682">R142+Q141</f>
        <v>90384074.531506181</v>
      </c>
      <c r="S141">
        <f t="shared" ref="S141" si="683">R141/100000</f>
        <v>903.84074531506178</v>
      </c>
      <c r="T141">
        <f t="shared" ref="T141" si="684">S141/1000</f>
        <v>0.90384074531506176</v>
      </c>
    </row>
    <row r="142" spans="1:20" x14ac:dyDescent="0.25">
      <c r="A142" s="5">
        <v>44451</v>
      </c>
      <c r="B142">
        <v>1.849</v>
      </c>
      <c r="C142">
        <v>1.9119999999999999</v>
      </c>
      <c r="D142">
        <v>1.7929999999999999</v>
      </c>
      <c r="E142">
        <v>1.8859999999999999</v>
      </c>
      <c r="F142">
        <v>2165400.1</v>
      </c>
      <c r="G142">
        <v>1.8859999999999999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0.56302521008403317</v>
      </c>
      <c r="Q142">
        <f t="shared" ref="Q142" si="686">F142*P142</f>
        <v>1219174.8462184865</v>
      </c>
      <c r="R142">
        <f t="shared" ref="R142" si="687">R143+Q142</f>
        <v>91024288.250024691</v>
      </c>
      <c r="S142">
        <f t="shared" ref="S142" si="688">R142/100000</f>
        <v>910.24288250024688</v>
      </c>
      <c r="T142">
        <f t="shared" ref="T142" si="689">S142/1000</f>
        <v>0.91024288250024687</v>
      </c>
    </row>
    <row r="143" spans="1:20" x14ac:dyDescent="0.25">
      <c r="A143" s="5">
        <v>44450</v>
      </c>
      <c r="B143">
        <v>1.839</v>
      </c>
      <c r="C143">
        <v>1.91</v>
      </c>
      <c r="D143">
        <v>1.806</v>
      </c>
      <c r="E143">
        <v>1.851</v>
      </c>
      <c r="F143">
        <v>2638240.1</v>
      </c>
      <c r="G143">
        <v>1.851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-0.13461538461538491</v>
      </c>
      <c r="Q143">
        <f t="shared" ref="Q143" si="691">F143*P143</f>
        <v>-355147.70576923154</v>
      </c>
      <c r="R143">
        <f t="shared" ref="R143" si="692">R144+Q143</f>
        <v>89805113.40380621</v>
      </c>
      <c r="S143">
        <f t="shared" ref="S143" si="693">R143/100000</f>
        <v>898.05113403806206</v>
      </c>
      <c r="T143">
        <f t="shared" ref="T143" si="694">S143/1000</f>
        <v>0.89805113403806203</v>
      </c>
    </row>
    <row r="144" spans="1:20" x14ac:dyDescent="0.25">
      <c r="A144" s="5">
        <v>44449</v>
      </c>
      <c r="B144">
        <v>1.833</v>
      </c>
      <c r="C144">
        <v>2.089</v>
      </c>
      <c r="D144">
        <v>1.752</v>
      </c>
      <c r="E144">
        <v>1.8380000000000001</v>
      </c>
      <c r="F144">
        <v>7720611.5999999996</v>
      </c>
      <c r="G144">
        <v>1.8380000000000001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-0.48961424332344161</v>
      </c>
      <c r="Q144">
        <f t="shared" ref="Q144" si="696">F144*P144</f>
        <v>-3780121.4065281856</v>
      </c>
      <c r="R144">
        <f t="shared" ref="R144" si="697">R145+Q144</f>
        <v>90160261.109575436</v>
      </c>
      <c r="S144">
        <f t="shared" ref="S144" si="698">R144/100000</f>
        <v>901.60261109575436</v>
      </c>
      <c r="T144">
        <f t="shared" ref="T144" si="699">S144/1000</f>
        <v>0.90160261109575435</v>
      </c>
    </row>
    <row r="145" spans="1:20" x14ac:dyDescent="0.25">
      <c r="A145" s="5">
        <v>44448</v>
      </c>
      <c r="B145">
        <v>1.7709999999999999</v>
      </c>
      <c r="C145">
        <v>1.8959999999999999</v>
      </c>
      <c r="D145">
        <v>1.728</v>
      </c>
      <c r="E145">
        <v>1.8320000000000001</v>
      </c>
      <c r="F145">
        <v>4287411.4000000004</v>
      </c>
      <c r="G145">
        <v>1.8320000000000001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0.23809523809523972</v>
      </c>
      <c r="Q145">
        <f t="shared" ref="Q145" si="701">F145*P145</f>
        <v>1020812.2380952451</v>
      </c>
      <c r="R145">
        <f t="shared" ref="R145" si="702">R146+Q145</f>
        <v>93940382.516103625</v>
      </c>
      <c r="S145">
        <f t="shared" ref="S145" si="703">R145/100000</f>
        <v>939.40382516103625</v>
      </c>
      <c r="T145">
        <f t="shared" ref="T145" si="704">S145/1000</f>
        <v>0.93940382516103627</v>
      </c>
    </row>
    <row r="146" spans="1:20" x14ac:dyDescent="0.25">
      <c r="A146" s="5">
        <v>44447</v>
      </c>
      <c r="B146">
        <v>1.7529999999999999</v>
      </c>
      <c r="C146">
        <v>1.819</v>
      </c>
      <c r="D146">
        <v>1.5509999999999999</v>
      </c>
      <c r="E146">
        <v>1.77</v>
      </c>
      <c r="F146">
        <v>7362255.0999999996</v>
      </c>
      <c r="G146">
        <v>1.77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0.63432835820895572</v>
      </c>
      <c r="Q146">
        <f t="shared" ref="Q146" si="706">F146*P146</f>
        <v>4670087.1902985107</v>
      </c>
      <c r="R146">
        <f t="shared" ref="R146" si="707">R147+Q146</f>
        <v>92919570.278008386</v>
      </c>
      <c r="S146">
        <f t="shared" ref="S146" si="708">R146/100000</f>
        <v>929.19570278008382</v>
      </c>
      <c r="T146">
        <f t="shared" ref="T146" si="709">S146/1000</f>
        <v>0.92919570278008379</v>
      </c>
    </row>
    <row r="147" spans="1:20" x14ac:dyDescent="0.25">
      <c r="A147" s="5">
        <v>44446</v>
      </c>
      <c r="B147">
        <v>2.2450000000000001</v>
      </c>
      <c r="C147">
        <v>2.33</v>
      </c>
      <c r="D147">
        <v>1.49</v>
      </c>
      <c r="E147">
        <v>1.754</v>
      </c>
      <c r="F147">
        <v>11606512.377</v>
      </c>
      <c r="G147">
        <v>1.754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-0.37142857142857144</v>
      </c>
      <c r="Q147">
        <f t="shared" ref="Q147" si="711">F147*P147</f>
        <v>-4310990.3114571432</v>
      </c>
      <c r="R147">
        <f t="shared" ref="R147" si="712">R148+Q147</f>
        <v>88249483.087709874</v>
      </c>
      <c r="S147">
        <f t="shared" ref="S147" si="713">R147/100000</f>
        <v>882.49483087709871</v>
      </c>
      <c r="T147">
        <f t="shared" ref="T147" si="714">S147/1000</f>
        <v>0.88249483087709868</v>
      </c>
    </row>
    <row r="148" spans="1:20" x14ac:dyDescent="0.25">
      <c r="A148" s="5">
        <v>44445</v>
      </c>
      <c r="B148">
        <v>2.2959999999999998</v>
      </c>
      <c r="C148">
        <v>2.3199999999999998</v>
      </c>
      <c r="D148">
        <v>2.11</v>
      </c>
      <c r="E148">
        <v>2.2400000000000002</v>
      </c>
      <c r="F148">
        <v>5772907.9000000004</v>
      </c>
      <c r="G148">
        <v>2.2400000000000002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0.23809523809524152</v>
      </c>
      <c r="Q148">
        <f t="shared" ref="Q148" si="716">F148*P148</f>
        <v>1374501.8809524009</v>
      </c>
      <c r="R148">
        <f t="shared" ref="R148" si="717">R149+Q148</f>
        <v>92560473.399167016</v>
      </c>
      <c r="S148">
        <f t="shared" ref="S148" si="718">R148/100000</f>
        <v>925.60473399167017</v>
      </c>
      <c r="T148">
        <f t="shared" ref="T148" si="719">S148/1000</f>
        <v>0.9256047339916702</v>
      </c>
    </row>
    <row r="149" spans="1:20" x14ac:dyDescent="0.25">
      <c r="A149" s="5">
        <v>44444</v>
      </c>
      <c r="B149">
        <v>2.1640000000000001</v>
      </c>
      <c r="C149">
        <v>2.35</v>
      </c>
      <c r="D149">
        <v>2.1309999999999998</v>
      </c>
      <c r="E149">
        <v>2.2930000000000001</v>
      </c>
      <c r="F149">
        <v>7508530.5999999996</v>
      </c>
      <c r="G149">
        <v>2.2930000000000001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0.4794520547945218</v>
      </c>
      <c r="Q149">
        <f t="shared" ref="Q149" si="721">F149*P149</f>
        <v>3599980.4246575437</v>
      </c>
      <c r="R149">
        <f t="shared" ref="R149" si="722">R150+Q149</f>
        <v>91185971.518214613</v>
      </c>
      <c r="S149">
        <f t="shared" ref="S149" si="723">R149/100000</f>
        <v>911.85971518214615</v>
      </c>
      <c r="T149">
        <f t="shared" ref="T149" si="724">S149/1000</f>
        <v>0.91185971518214615</v>
      </c>
    </row>
    <row r="150" spans="1:20" x14ac:dyDescent="0.25">
      <c r="A150" s="5">
        <v>44443</v>
      </c>
      <c r="B150">
        <v>2.0670000000000002</v>
      </c>
      <c r="C150">
        <v>2.1739999999999999</v>
      </c>
      <c r="D150">
        <v>2.0609999999999999</v>
      </c>
      <c r="E150">
        <v>2.165</v>
      </c>
      <c r="F150">
        <v>5015146.2659999998</v>
      </c>
      <c r="G150">
        <v>2.165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0.84070796460177177</v>
      </c>
      <c r="Q150">
        <f t="shared" ref="Q150" si="726">F150*P150</f>
        <v>4216273.4094690355</v>
      </c>
      <c r="R150">
        <f t="shared" ref="R150" si="727">R151+Q150</f>
        <v>87585991.093557075</v>
      </c>
      <c r="S150">
        <f t="shared" ref="S150" si="728">R150/100000</f>
        <v>875.85991093557072</v>
      </c>
      <c r="T150">
        <f t="shared" ref="T150" si="729">S150/1000</f>
        <v>0.8758599109355707</v>
      </c>
    </row>
    <row r="151" spans="1:20" x14ac:dyDescent="0.25">
      <c r="A151" s="5">
        <v>44442</v>
      </c>
      <c r="B151">
        <v>2.0099999999999998</v>
      </c>
      <c r="C151">
        <v>2.093</v>
      </c>
      <c r="D151">
        <v>1.95</v>
      </c>
      <c r="E151">
        <v>2.0670000000000002</v>
      </c>
      <c r="F151">
        <v>4973128.6579999998</v>
      </c>
      <c r="G151">
        <v>2.0670000000000002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0.63636363636363924</v>
      </c>
      <c r="Q151">
        <f t="shared" ref="Q151" si="731">F151*P151</f>
        <v>3164718.236909105</v>
      </c>
      <c r="R151">
        <f t="shared" ref="R151" si="732">R152+Q151</f>
        <v>83369717.684088036</v>
      </c>
      <c r="S151">
        <f t="shared" ref="S151" si="733">R151/100000</f>
        <v>833.69717684088039</v>
      </c>
      <c r="T151">
        <f t="shared" ref="T151" si="734">S151/1000</f>
        <v>0.83369717684088041</v>
      </c>
    </row>
    <row r="152" spans="1:20" x14ac:dyDescent="0.25">
      <c r="A152" s="5">
        <v>44441</v>
      </c>
      <c r="B152">
        <v>2.0329999999999999</v>
      </c>
      <c r="C152">
        <v>2.0489999999999999</v>
      </c>
      <c r="D152">
        <v>1.974</v>
      </c>
      <c r="E152">
        <v>2.0099999999999998</v>
      </c>
      <c r="F152">
        <v>2867551.1</v>
      </c>
      <c r="G152">
        <v>2.0099999999999998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-4.0000000000004497E-2</v>
      </c>
      <c r="Q152">
        <f t="shared" ref="Q152" si="736">F152*P152</f>
        <v>-114702.0440000129</v>
      </c>
      <c r="R152">
        <f t="shared" ref="R152" si="737">R153+Q152</f>
        <v>80204999.44717893</v>
      </c>
      <c r="S152">
        <f t="shared" ref="S152" si="738">R152/100000</f>
        <v>802.04999447178932</v>
      </c>
      <c r="T152">
        <f t="shared" ref="T152" si="739">S152/1000</f>
        <v>0.80204999447178937</v>
      </c>
    </row>
    <row r="153" spans="1:20" x14ac:dyDescent="0.25">
      <c r="A153" s="5">
        <v>44440</v>
      </c>
      <c r="B153">
        <v>1.929</v>
      </c>
      <c r="C153">
        <v>2.0569999999999999</v>
      </c>
      <c r="D153">
        <v>1.871</v>
      </c>
      <c r="E153">
        <v>2.0329999999999999</v>
      </c>
      <c r="F153">
        <v>4952596.0530000003</v>
      </c>
      <c r="G153">
        <v>2.0329999999999999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0.74193548387096742</v>
      </c>
      <c r="Q153">
        <f t="shared" ref="Q153" si="741">F153*P153</f>
        <v>3674506.7489999984</v>
      </c>
      <c r="R153">
        <f t="shared" ref="R153" si="742">R154+Q153</f>
        <v>80319701.491178945</v>
      </c>
      <c r="S153">
        <f t="shared" ref="S153" si="743">R153/100000</f>
        <v>803.19701491178944</v>
      </c>
      <c r="T153">
        <f t="shared" ref="T153" si="744">S153/1000</f>
        <v>0.80319701491178941</v>
      </c>
    </row>
    <row r="154" spans="1:20" x14ac:dyDescent="0.25">
      <c r="A154" s="5">
        <v>44439</v>
      </c>
      <c r="B154">
        <v>1.8540000000000001</v>
      </c>
      <c r="C154">
        <v>1.952</v>
      </c>
      <c r="D154">
        <v>1.821</v>
      </c>
      <c r="E154">
        <v>1.931</v>
      </c>
      <c r="F154">
        <v>4198299.9000000004</v>
      </c>
      <c r="G154">
        <v>1.931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0.6793893129771007</v>
      </c>
      <c r="Q154">
        <f t="shared" ref="Q154" si="746">F154*P154</f>
        <v>2852280.084732831</v>
      </c>
      <c r="R154">
        <f t="shared" ref="R154" si="747">R155+Q154</f>
        <v>76645194.742178947</v>
      </c>
      <c r="S154">
        <f t="shared" ref="S154" si="748">R154/100000</f>
        <v>766.45194742178944</v>
      </c>
      <c r="T154">
        <f t="shared" ref="T154" si="749">S154/1000</f>
        <v>0.76645194742178946</v>
      </c>
    </row>
    <row r="155" spans="1:20" x14ac:dyDescent="0.25">
      <c r="A155" s="5">
        <v>44438</v>
      </c>
      <c r="B155">
        <v>1.9490000000000001</v>
      </c>
      <c r="C155">
        <v>1.96</v>
      </c>
      <c r="D155">
        <v>1.84</v>
      </c>
      <c r="E155">
        <v>1.853</v>
      </c>
      <c r="F155">
        <v>2486237.6</v>
      </c>
      <c r="G155">
        <v>1.853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-0.78333333333333477</v>
      </c>
      <c r="Q155">
        <f t="shared" ref="Q155" si="751">F155*P155</f>
        <v>-1947552.7866666703</v>
      </c>
      <c r="R155">
        <f t="shared" ref="R155" si="752">R156+Q155</f>
        <v>73792914.657446116</v>
      </c>
      <c r="S155">
        <f t="shared" ref="S155" si="753">R155/100000</f>
        <v>737.92914657446113</v>
      </c>
      <c r="T155">
        <f t="shared" ref="T155" si="754">S155/1000</f>
        <v>0.73792914657446118</v>
      </c>
    </row>
    <row r="156" spans="1:20" x14ac:dyDescent="0.25">
      <c r="A156" s="5">
        <v>44437</v>
      </c>
      <c r="B156">
        <v>1.978</v>
      </c>
      <c r="C156">
        <v>1.9910000000000001</v>
      </c>
      <c r="D156">
        <v>1.8720000000000001</v>
      </c>
      <c r="E156">
        <v>1.948</v>
      </c>
      <c r="F156">
        <v>2660206.9</v>
      </c>
      <c r="G156">
        <v>1.948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0.27731092436974536</v>
      </c>
      <c r="Q156">
        <f t="shared" ref="Q156" si="756">F156*P156</f>
        <v>737704.43445377471</v>
      </c>
      <c r="R156">
        <f t="shared" ref="R156" si="757">R157+Q156</f>
        <v>75740467.444112793</v>
      </c>
      <c r="S156">
        <f t="shared" ref="S156" si="758">R156/100000</f>
        <v>757.4046744411279</v>
      </c>
      <c r="T156">
        <f t="shared" ref="T156" si="759">S156/1000</f>
        <v>0.75740467444112791</v>
      </c>
    </row>
    <row r="157" spans="1:20" x14ac:dyDescent="0.25">
      <c r="A157" s="5">
        <v>44436</v>
      </c>
      <c r="B157">
        <v>2.0049999999999999</v>
      </c>
      <c r="C157">
        <v>2.012</v>
      </c>
      <c r="D157">
        <v>1.9219999999999999</v>
      </c>
      <c r="E157">
        <v>1.978</v>
      </c>
      <c r="F157">
        <v>2493674.0699999998</v>
      </c>
      <c r="G157">
        <v>1.978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0.24444444444444444</v>
      </c>
      <c r="Q157">
        <f t="shared" ref="Q157" si="761">F157*P157</f>
        <v>609564.77266666666</v>
      </c>
      <c r="R157">
        <f t="shared" ref="R157" si="762">R158+Q157</f>
        <v>75002763.009659022</v>
      </c>
      <c r="S157">
        <f t="shared" ref="S157" si="763">R157/100000</f>
        <v>750.0276300965902</v>
      </c>
      <c r="T157">
        <f t="shared" ref="T157" si="764">S157/1000</f>
        <v>0.75002763009659024</v>
      </c>
    </row>
    <row r="158" spans="1:20" x14ac:dyDescent="0.25">
      <c r="A158" s="5">
        <v>44435</v>
      </c>
      <c r="B158">
        <v>1.905</v>
      </c>
      <c r="C158">
        <v>2.0059999999999998</v>
      </c>
      <c r="D158">
        <v>1.806</v>
      </c>
      <c r="E158">
        <v>2.0059999999999998</v>
      </c>
      <c r="F158">
        <v>4174448.8650000002</v>
      </c>
      <c r="G158">
        <v>2.0059999999999998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1</v>
      </c>
      <c r="Q158">
        <f t="shared" ref="Q158" si="766">F158*P158</f>
        <v>4174448.8650000002</v>
      </c>
      <c r="R158">
        <f t="shared" ref="R158" si="767">R159+Q158</f>
        <v>74393198.236992359</v>
      </c>
      <c r="S158">
        <f t="shared" ref="S158" si="768">R158/100000</f>
        <v>743.93198236992362</v>
      </c>
      <c r="T158">
        <f t="shared" ref="T158" si="769">S158/1000</f>
        <v>0.74393198236992364</v>
      </c>
    </row>
    <row r="159" spans="1:20" x14ac:dyDescent="0.25">
      <c r="A159" s="5">
        <v>44434</v>
      </c>
      <c r="B159">
        <v>2.1429999999999998</v>
      </c>
      <c r="C159">
        <v>2.173</v>
      </c>
      <c r="D159">
        <v>1.8640000000000001</v>
      </c>
      <c r="E159">
        <v>1.905</v>
      </c>
      <c r="F159">
        <v>6286315.7910000002</v>
      </c>
      <c r="G159">
        <v>1.905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-0.73462783171521084</v>
      </c>
      <c r="Q159">
        <f t="shared" ref="Q159" si="771">F159*P159</f>
        <v>-4618102.5390194207</v>
      </c>
      <c r="R159">
        <f t="shared" ref="R159" si="772">R160+Q159</f>
        <v>70218749.371992365</v>
      </c>
      <c r="S159">
        <f t="shared" ref="S159" si="773">R159/100000</f>
        <v>702.18749371992362</v>
      </c>
      <c r="T159">
        <f t="shared" ref="T159" si="774">S159/1000</f>
        <v>0.70218749371992362</v>
      </c>
    </row>
    <row r="160" spans="1:20" x14ac:dyDescent="0.25">
      <c r="A160" s="5">
        <v>44433</v>
      </c>
      <c r="B160">
        <v>2.0350000000000001</v>
      </c>
      <c r="C160">
        <v>2.177</v>
      </c>
      <c r="D160">
        <v>1.9570000000000001</v>
      </c>
      <c r="E160">
        <v>2.1419999999999999</v>
      </c>
      <c r="F160">
        <v>4935267.3810000001</v>
      </c>
      <c r="G160">
        <v>2.1419999999999999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0.68181818181818044</v>
      </c>
      <c r="Q160">
        <f t="shared" ref="Q160" si="776">F160*P160</f>
        <v>3364955.0324999932</v>
      </c>
      <c r="R160">
        <f t="shared" ref="R160" si="777">R161+Q160</f>
        <v>74836851.911011785</v>
      </c>
      <c r="S160">
        <f t="shared" ref="S160" si="778">R160/100000</f>
        <v>748.36851911011786</v>
      </c>
      <c r="T160">
        <f t="shared" ref="T160" si="779">S160/1000</f>
        <v>0.74836851911011781</v>
      </c>
    </row>
    <row r="161" spans="1:20" x14ac:dyDescent="0.25">
      <c r="A161" s="5">
        <v>44432</v>
      </c>
      <c r="B161">
        <v>2.2109999999999999</v>
      </c>
      <c r="C161">
        <v>2.3220000000000001</v>
      </c>
      <c r="D161">
        <v>2.0099999999999998</v>
      </c>
      <c r="E161">
        <v>2.036</v>
      </c>
      <c r="F161">
        <v>8356009.602</v>
      </c>
      <c r="G161">
        <v>2.036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-0.83333333333333193</v>
      </c>
      <c r="Q161">
        <f t="shared" ref="Q161" si="781">F161*P161</f>
        <v>-6963341.3349999879</v>
      </c>
      <c r="R161">
        <f t="shared" ref="R161" si="782">R162+Q161</f>
        <v>71471896.878511786</v>
      </c>
      <c r="S161">
        <f t="shared" ref="S161" si="783">R161/100000</f>
        <v>714.71896878511791</v>
      </c>
      <c r="T161">
        <f t="shared" ref="T161" si="784">S161/1000</f>
        <v>0.71471896878511787</v>
      </c>
    </row>
    <row r="162" spans="1:20" x14ac:dyDescent="0.25">
      <c r="A162" s="5">
        <v>44431</v>
      </c>
      <c r="B162">
        <v>2.17</v>
      </c>
      <c r="C162">
        <v>2.222</v>
      </c>
      <c r="D162">
        <v>2.1019999999999999</v>
      </c>
      <c r="E162">
        <v>2.2090000000000001</v>
      </c>
      <c r="F162">
        <v>6191955.7910000002</v>
      </c>
      <c r="G162">
        <v>2.2090000000000001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0.78333333333333521</v>
      </c>
      <c r="Q162">
        <f t="shared" ref="Q162" si="786">F162*P162</f>
        <v>4850365.3696166789</v>
      </c>
      <c r="R162">
        <f t="shared" ref="R162" si="787">R163+Q162</f>
        <v>78435238.21351178</v>
      </c>
      <c r="S162">
        <f t="shared" ref="S162" si="788">R162/100000</f>
        <v>784.35238213511775</v>
      </c>
      <c r="T162">
        <f t="shared" ref="T162" si="789">S162/1000</f>
        <v>0.78435238213511771</v>
      </c>
    </row>
    <row r="163" spans="1:20" x14ac:dyDescent="0.25">
      <c r="A163" s="5">
        <v>44430</v>
      </c>
      <c r="B163">
        <v>1.992</v>
      </c>
      <c r="C163">
        <v>2.125</v>
      </c>
      <c r="D163">
        <v>1.9750000000000001</v>
      </c>
      <c r="E163">
        <v>2.0630000000000002</v>
      </c>
      <c r="F163">
        <v>2505936.463</v>
      </c>
      <c r="G163">
        <v>2.0630000000000002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0.17333333333333506</v>
      </c>
      <c r="Q163">
        <f t="shared" ref="Q163" si="791">F163*P163</f>
        <v>434362.32025333768</v>
      </c>
      <c r="R163">
        <f t="shared" ref="R163" si="792">R164+Q163</f>
        <v>73584872.843895108</v>
      </c>
      <c r="S163">
        <f t="shared" ref="S163" si="793">R163/100000</f>
        <v>735.84872843895107</v>
      </c>
      <c r="T163">
        <f t="shared" ref="T163" si="794">S163/1000</f>
        <v>0.73584872843895111</v>
      </c>
    </row>
    <row r="164" spans="1:20" x14ac:dyDescent="0.25">
      <c r="A164" s="5">
        <v>44429</v>
      </c>
      <c r="B164">
        <v>1.968</v>
      </c>
      <c r="C164">
        <v>2.077</v>
      </c>
      <c r="D164">
        <v>1.9239999999999999</v>
      </c>
      <c r="E164">
        <v>1.992</v>
      </c>
      <c r="F164">
        <v>7439316.7570000002</v>
      </c>
      <c r="G164">
        <v>1.992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-0.11111111111111047</v>
      </c>
      <c r="Q164">
        <f t="shared" ref="Q164" si="796">F164*P164</f>
        <v>-826590.75077777298</v>
      </c>
      <c r="R164">
        <f t="shared" ref="R164" si="797">R165+Q164</f>
        <v>73150510.523641765</v>
      </c>
      <c r="S164">
        <f t="shared" ref="S164" si="798">R164/100000</f>
        <v>731.50510523641765</v>
      </c>
      <c r="T164">
        <f t="shared" ref="T164" si="799">S164/1000</f>
        <v>0.73150510523641765</v>
      </c>
    </row>
    <row r="165" spans="1:20" x14ac:dyDescent="0.25">
      <c r="A165" s="5">
        <v>44428</v>
      </c>
      <c r="B165">
        <v>1.8879999999999999</v>
      </c>
      <c r="C165">
        <v>2.0430000000000001</v>
      </c>
      <c r="D165">
        <v>1.865</v>
      </c>
      <c r="E165">
        <v>1.9670000000000001</v>
      </c>
      <c r="F165">
        <v>5951844.4400000004</v>
      </c>
      <c r="G165">
        <v>1.9670000000000001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0.14606741573033707</v>
      </c>
      <c r="Q165">
        <f t="shared" ref="Q165" si="801">F165*P165</f>
        <v>869370.53617977537</v>
      </c>
      <c r="R165">
        <f t="shared" ref="R165" si="802">R166+Q165</f>
        <v>73977101.274419531</v>
      </c>
      <c r="S165">
        <f t="shared" ref="S165" si="803">R165/100000</f>
        <v>739.77101274419533</v>
      </c>
      <c r="T165">
        <f t="shared" ref="T165" si="804">S165/1000</f>
        <v>0.73977101274419532</v>
      </c>
    </row>
    <row r="166" spans="1:20" x14ac:dyDescent="0.25">
      <c r="A166" s="5">
        <v>44427</v>
      </c>
      <c r="B166">
        <v>1.782</v>
      </c>
      <c r="C166">
        <v>1.889</v>
      </c>
      <c r="D166">
        <v>1.72</v>
      </c>
      <c r="E166">
        <v>1.889</v>
      </c>
      <c r="F166">
        <v>2994128</v>
      </c>
      <c r="G166">
        <v>1.889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1</v>
      </c>
      <c r="Q166">
        <f t="shared" ref="Q166" si="806">F166*P166</f>
        <v>2994128</v>
      </c>
      <c r="R166">
        <f t="shared" ref="R166" si="807">R167+Q166</f>
        <v>73107730.73823975</v>
      </c>
      <c r="S166">
        <f t="shared" ref="S166" si="808">R166/100000</f>
        <v>731.07730738239752</v>
      </c>
      <c r="T166">
        <f t="shared" ref="T166" si="809">S166/1000</f>
        <v>0.73107730738239751</v>
      </c>
    </row>
    <row r="167" spans="1:20" x14ac:dyDescent="0.25">
      <c r="A167" s="5">
        <v>44426</v>
      </c>
      <c r="B167">
        <v>1.8089999999999999</v>
      </c>
      <c r="C167">
        <v>1.839</v>
      </c>
      <c r="D167">
        <v>1.702</v>
      </c>
      <c r="E167">
        <v>1.78</v>
      </c>
      <c r="F167">
        <v>2899865.1039999998</v>
      </c>
      <c r="G167">
        <v>1.78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0.13868613138686223</v>
      </c>
      <c r="Q167">
        <f t="shared" ref="Q167" si="811">F167*P167</f>
        <v>402171.07281752088</v>
      </c>
      <c r="R167">
        <f t="shared" ref="R167" si="812">R168+Q167</f>
        <v>70113602.73823975</v>
      </c>
      <c r="S167">
        <f t="shared" ref="S167" si="813">R167/100000</f>
        <v>701.13602738239751</v>
      </c>
      <c r="T167">
        <f t="shared" ref="T167" si="814">S167/1000</f>
        <v>0.70113602738239755</v>
      </c>
    </row>
    <row r="168" spans="1:20" x14ac:dyDescent="0.25">
      <c r="A168" s="5">
        <v>44425</v>
      </c>
      <c r="B168">
        <v>1.921</v>
      </c>
      <c r="C168">
        <v>1.996</v>
      </c>
      <c r="D168">
        <v>1.76</v>
      </c>
      <c r="E168">
        <v>1.8089999999999999</v>
      </c>
      <c r="F168">
        <v>7162007.7400000002</v>
      </c>
      <c r="G168">
        <v>1.8089999999999999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-0.58474576271186496</v>
      </c>
      <c r="Q168">
        <f t="shared" ref="Q168" si="816">F168*P168</f>
        <v>-4187953.6784745804</v>
      </c>
      <c r="R168">
        <f t="shared" ref="R168" si="817">R169+Q168</f>
        <v>69711431.665422231</v>
      </c>
      <c r="S168">
        <f t="shared" ref="S168" si="818">R168/100000</f>
        <v>697.11431665422231</v>
      </c>
      <c r="T168">
        <f t="shared" ref="T168" si="819">S168/1000</f>
        <v>0.6971143166542223</v>
      </c>
    </row>
    <row r="169" spans="1:20" x14ac:dyDescent="0.25">
      <c r="A169" s="5">
        <v>44424</v>
      </c>
      <c r="B169">
        <v>1.9730000000000001</v>
      </c>
      <c r="C169">
        <v>2.0179999999999998</v>
      </c>
      <c r="D169">
        <v>1.881</v>
      </c>
      <c r="E169">
        <v>1.92</v>
      </c>
      <c r="F169">
        <v>5027497.2259999998</v>
      </c>
      <c r="G169">
        <v>1.92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-0.43065693430656959</v>
      </c>
      <c r="Q169">
        <f t="shared" ref="Q169" si="821">F169*P169</f>
        <v>-2165126.5425839429</v>
      </c>
      <c r="R169">
        <f t="shared" ref="R169" si="822">R170+Q169</f>
        <v>73899385.343896806</v>
      </c>
      <c r="S169">
        <f t="shared" ref="S169" si="823">R169/100000</f>
        <v>738.99385343896802</v>
      </c>
      <c r="T169">
        <f t="shared" ref="T169" si="824">S169/1000</f>
        <v>0.73899385343896806</v>
      </c>
    </row>
    <row r="170" spans="1:20" x14ac:dyDescent="0.25">
      <c r="A170" s="5">
        <v>44423</v>
      </c>
      <c r="B170">
        <v>1.9059999999999999</v>
      </c>
      <c r="C170">
        <v>1.99</v>
      </c>
      <c r="D170">
        <v>1.841</v>
      </c>
      <c r="E170">
        <v>1.9730000000000001</v>
      </c>
      <c r="F170">
        <v>6303164.2999999998</v>
      </c>
      <c r="G170">
        <v>1.9730000000000001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0.77181208053691408</v>
      </c>
      <c r="Q170">
        <f t="shared" ref="Q170" si="826">F170*P170</f>
        <v>4864858.3523490019</v>
      </c>
      <c r="R170">
        <f t="shared" ref="R170" si="827">R171+Q170</f>
        <v>76064511.886480749</v>
      </c>
      <c r="S170">
        <f t="shared" ref="S170" si="828">R170/100000</f>
        <v>760.6451188648075</v>
      </c>
      <c r="T170">
        <f t="shared" ref="T170" si="829">S170/1000</f>
        <v>0.76064511886480746</v>
      </c>
    </row>
    <row r="171" spans="1:20" x14ac:dyDescent="0.25">
      <c r="A171" s="5">
        <v>44422</v>
      </c>
      <c r="B171">
        <v>1.893</v>
      </c>
      <c r="C171">
        <v>1.925</v>
      </c>
      <c r="D171">
        <v>1.792</v>
      </c>
      <c r="E171">
        <v>1.907</v>
      </c>
      <c r="F171">
        <v>3876953.9840000002</v>
      </c>
      <c r="G171">
        <v>1.907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0.72932330827067648</v>
      </c>
      <c r="Q171">
        <f t="shared" ref="Q171" si="831">F171*P171</f>
        <v>2827552.9056240595</v>
      </c>
      <c r="R171">
        <f t="shared" ref="R171" si="832">R172+Q171</f>
        <v>71199653.53413175</v>
      </c>
      <c r="S171">
        <f t="shared" ref="S171" si="833">R171/100000</f>
        <v>711.99653534131755</v>
      </c>
      <c r="T171">
        <f t="shared" ref="T171" si="834">S171/1000</f>
        <v>0.71199653534131757</v>
      </c>
    </row>
    <row r="172" spans="1:20" x14ac:dyDescent="0.25">
      <c r="A172" s="5">
        <v>44421</v>
      </c>
      <c r="B172">
        <v>1.748</v>
      </c>
      <c r="C172">
        <v>1.893</v>
      </c>
      <c r="D172">
        <v>1.722</v>
      </c>
      <c r="E172">
        <v>1.8919999999999999</v>
      </c>
      <c r="F172">
        <v>2590360.878</v>
      </c>
      <c r="G172">
        <v>1.8919999999999999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0.98830409356725013</v>
      </c>
      <c r="Q172">
        <f t="shared" ref="Q172" si="836">F172*P172</f>
        <v>2560064.2595438561</v>
      </c>
      <c r="R172">
        <f t="shared" ref="R172" si="837">R173+Q172</f>
        <v>68372100.628507689</v>
      </c>
      <c r="S172">
        <f t="shared" ref="S172" si="838">R172/100000</f>
        <v>683.7210062850769</v>
      </c>
      <c r="T172">
        <f t="shared" ref="T172" si="839">S172/1000</f>
        <v>0.68372100628507693</v>
      </c>
    </row>
    <row r="173" spans="1:20" x14ac:dyDescent="0.25">
      <c r="A173" s="5">
        <v>44420</v>
      </c>
      <c r="B173">
        <v>1.837</v>
      </c>
      <c r="C173">
        <v>1.9019999999999999</v>
      </c>
      <c r="D173">
        <v>1.6839999999999999</v>
      </c>
      <c r="E173">
        <v>1.7470000000000001</v>
      </c>
      <c r="F173">
        <v>5223414.2949999999</v>
      </c>
      <c r="G173">
        <v>1.7470000000000001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-0.42201834862385162</v>
      </c>
      <c r="Q173">
        <f t="shared" ref="Q173" si="841">F173*P173</f>
        <v>-2204376.6749541201</v>
      </c>
      <c r="R173">
        <f t="shared" ref="R173" si="842">R174+Q173</f>
        <v>65812036.368963838</v>
      </c>
      <c r="S173">
        <f t="shared" ref="S173" si="843">R173/100000</f>
        <v>658.12036368963834</v>
      </c>
      <c r="T173">
        <f t="shared" ref="T173" si="844">S173/1000</f>
        <v>0.65812036368963833</v>
      </c>
    </row>
    <row r="174" spans="1:20" x14ac:dyDescent="0.25">
      <c r="A174" s="5">
        <v>44419</v>
      </c>
      <c r="B174">
        <v>1.7589999999999999</v>
      </c>
      <c r="C174">
        <v>1.9019999999999999</v>
      </c>
      <c r="D174">
        <v>1.746</v>
      </c>
      <c r="E174">
        <v>1.8360000000000001</v>
      </c>
      <c r="F174">
        <v>4906689.1229999997</v>
      </c>
      <c r="G174">
        <v>1.8360000000000001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0.15384615384615549</v>
      </c>
      <c r="Q174">
        <f t="shared" ref="Q174" si="846">F174*P174</f>
        <v>754875.2496923157</v>
      </c>
      <c r="R174">
        <f t="shared" ref="R174" si="847">R175+Q174</f>
        <v>68016413.043917954</v>
      </c>
      <c r="S174">
        <f t="shared" ref="S174" si="848">R174/100000</f>
        <v>680.16413043917953</v>
      </c>
      <c r="T174">
        <f t="shared" ref="T174" si="849">S174/1000</f>
        <v>0.68016413043917956</v>
      </c>
    </row>
    <row r="175" spans="1:20" x14ac:dyDescent="0.25">
      <c r="A175" s="5">
        <v>44418</v>
      </c>
      <c r="B175">
        <v>1.746</v>
      </c>
      <c r="C175">
        <v>1.7949999999999999</v>
      </c>
      <c r="D175">
        <v>1.663</v>
      </c>
      <c r="E175">
        <v>1.7589999999999999</v>
      </c>
      <c r="F175">
        <v>5181856.6670000004</v>
      </c>
      <c r="G175">
        <v>1.7589999999999999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0.45454545454545364</v>
      </c>
      <c r="Q175">
        <f t="shared" ref="Q175" si="851">F175*P175</f>
        <v>2355389.3940909044</v>
      </c>
      <c r="R175">
        <f t="shared" ref="R175" si="852">R176+Q175</f>
        <v>67261537.794225633</v>
      </c>
      <c r="S175">
        <f t="shared" ref="S175" si="853">R175/100000</f>
        <v>672.61537794225637</v>
      </c>
      <c r="T175">
        <f t="shared" ref="T175" si="854">S175/1000</f>
        <v>0.67261537794225634</v>
      </c>
    </row>
    <row r="176" spans="1:20" x14ac:dyDescent="0.25">
      <c r="A176" s="5">
        <v>44417</v>
      </c>
      <c r="B176">
        <v>1.657</v>
      </c>
      <c r="C176">
        <v>1.758</v>
      </c>
      <c r="D176">
        <v>1.5920000000000001</v>
      </c>
      <c r="E176">
        <v>1.746</v>
      </c>
      <c r="F176">
        <v>3521722.4350000001</v>
      </c>
      <c r="G176">
        <v>1.746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0.85542168674698771</v>
      </c>
      <c r="Q176">
        <f t="shared" ref="Q176" si="856">F176*P176</f>
        <v>3012557.7456024089</v>
      </c>
      <c r="R176">
        <f t="shared" ref="R176" si="857">R177+Q176</f>
        <v>64906148.400134727</v>
      </c>
      <c r="S176">
        <f t="shared" ref="S176" si="858">R176/100000</f>
        <v>649.06148400134725</v>
      </c>
      <c r="T176">
        <f t="shared" ref="T176" si="859">S176/1000</f>
        <v>0.64906148400134722</v>
      </c>
    </row>
    <row r="177" spans="1:20" x14ac:dyDescent="0.25">
      <c r="A177" s="5">
        <v>44416</v>
      </c>
      <c r="B177">
        <v>1.788</v>
      </c>
      <c r="C177">
        <v>1.821</v>
      </c>
      <c r="D177">
        <v>1.619</v>
      </c>
      <c r="E177">
        <v>1.657</v>
      </c>
      <c r="F177">
        <v>3747256.0090000001</v>
      </c>
      <c r="G177">
        <v>1.657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-0.62376237623762332</v>
      </c>
      <c r="Q177">
        <f t="shared" ref="Q177" si="861">F177*P177</f>
        <v>-2337397.3125445526</v>
      </c>
      <c r="R177">
        <f t="shared" ref="R177" si="862">R178+Q177</f>
        <v>61893590.654532321</v>
      </c>
      <c r="S177">
        <f t="shared" ref="S177" si="863">R177/100000</f>
        <v>618.93590654532318</v>
      </c>
      <c r="T177">
        <f t="shared" ref="T177" si="864">S177/1000</f>
        <v>0.61893590654532316</v>
      </c>
    </row>
    <row r="178" spans="1:20" x14ac:dyDescent="0.25">
      <c r="A178" s="5">
        <v>44415</v>
      </c>
      <c r="B178">
        <v>1.756</v>
      </c>
      <c r="C178">
        <v>1.8129999999999999</v>
      </c>
      <c r="D178">
        <v>1.6990000000000001</v>
      </c>
      <c r="E178">
        <v>1.7869999999999999</v>
      </c>
      <c r="F178">
        <v>4309419.3490000004</v>
      </c>
      <c r="G178">
        <v>1.7869999999999999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0.54385964912280615</v>
      </c>
      <c r="Q178">
        <f t="shared" ref="Q178" si="866">F178*P178</f>
        <v>2343719.2950701718</v>
      </c>
      <c r="R178">
        <f t="shared" ref="R178" si="867">R179+Q178</f>
        <v>64230987.967076875</v>
      </c>
      <c r="S178">
        <f t="shared" ref="S178" si="868">R178/100000</f>
        <v>642.30987967076874</v>
      </c>
      <c r="T178">
        <f t="shared" ref="T178" si="869">S178/1000</f>
        <v>0.64230987967076869</v>
      </c>
    </row>
    <row r="179" spans="1:20" x14ac:dyDescent="0.25">
      <c r="A179" s="5">
        <v>44414</v>
      </c>
      <c r="B179">
        <v>1.6859999999999999</v>
      </c>
      <c r="C179">
        <v>1.7609999999999999</v>
      </c>
      <c r="D179">
        <v>1.635</v>
      </c>
      <c r="E179">
        <v>1.756</v>
      </c>
      <c r="F179">
        <v>4148965.6579999998</v>
      </c>
      <c r="G179">
        <v>1.756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0.92063492063492225</v>
      </c>
      <c r="Q179">
        <f t="shared" ref="Q179" si="871">F179*P179</f>
        <v>3819682.6692698477</v>
      </c>
      <c r="R179">
        <f t="shared" ref="R179" si="872">R180+Q179</f>
        <v>61887268.672006704</v>
      </c>
      <c r="S179">
        <f t="shared" ref="S179" si="873">R179/100000</f>
        <v>618.87268672006701</v>
      </c>
      <c r="T179">
        <f t="shared" ref="T179" si="874">S179/1000</f>
        <v>0.61887268672006701</v>
      </c>
    </row>
    <row r="180" spans="1:20" x14ac:dyDescent="0.25">
      <c r="A180" s="5">
        <v>44413</v>
      </c>
      <c r="B180">
        <v>1.637</v>
      </c>
      <c r="C180">
        <v>1.706</v>
      </c>
      <c r="D180">
        <v>1.579</v>
      </c>
      <c r="E180">
        <v>1.6870000000000001</v>
      </c>
      <c r="F180">
        <v>5150879.7790000001</v>
      </c>
      <c r="G180">
        <v>1.6870000000000001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0.70078740157480468</v>
      </c>
      <c r="Q180">
        <f t="shared" ref="Q180" si="876">F180*P180</f>
        <v>3609671.6561496141</v>
      </c>
      <c r="R180">
        <f t="shared" ref="R180" si="877">R181+Q180</f>
        <v>58067586.002736859</v>
      </c>
      <c r="S180">
        <f t="shared" ref="S180" si="878">R180/100000</f>
        <v>580.67586002736857</v>
      </c>
      <c r="T180">
        <f t="shared" ref="T180" si="879">S180/1000</f>
        <v>0.5806758600273686</v>
      </c>
    </row>
    <row r="181" spans="1:20" x14ac:dyDescent="0.25">
      <c r="A181" s="5">
        <v>44412</v>
      </c>
      <c r="B181">
        <v>1.5880000000000001</v>
      </c>
      <c r="C181">
        <v>1.6779999999999999</v>
      </c>
      <c r="D181">
        <v>1.522</v>
      </c>
      <c r="E181">
        <v>1.637</v>
      </c>
      <c r="F181">
        <v>2394882.432</v>
      </c>
      <c r="G181">
        <v>1.637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0.47435897435897506</v>
      </c>
      <c r="Q181">
        <f t="shared" ref="Q181" si="881">F181*P181</f>
        <v>1136033.9741538479</v>
      </c>
      <c r="R181">
        <f t="shared" ref="R181" si="882">R182+Q181</f>
        <v>54457914.346587248</v>
      </c>
      <c r="S181">
        <f t="shared" ref="S181" si="883">R181/100000</f>
        <v>544.57914346587245</v>
      </c>
      <c r="T181">
        <f t="shared" ref="T181" si="884">S181/1000</f>
        <v>0.54457914346587244</v>
      </c>
    </row>
    <row r="182" spans="1:20" x14ac:dyDescent="0.25">
      <c r="A182" s="5">
        <v>44411</v>
      </c>
      <c r="B182">
        <v>1.609</v>
      </c>
      <c r="C182">
        <v>1.6839999999999999</v>
      </c>
      <c r="D182">
        <v>1.526</v>
      </c>
      <c r="E182">
        <v>1.589</v>
      </c>
      <c r="F182">
        <v>4106667.398</v>
      </c>
      <c r="G182">
        <v>1.589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-0.20253164556962053</v>
      </c>
      <c r="Q182">
        <f t="shared" ref="Q182" si="886">F182*P182</f>
        <v>-831730.10592405172</v>
      </c>
      <c r="R182">
        <f t="shared" ref="R182" si="887">R183+Q182</f>
        <v>53321880.372433402</v>
      </c>
      <c r="S182">
        <f t="shared" ref="S182" si="888">R182/100000</f>
        <v>533.21880372433407</v>
      </c>
      <c r="T182">
        <f t="shared" ref="T182" si="889">S182/1000</f>
        <v>0.53321880372433406</v>
      </c>
    </row>
    <row r="183" spans="1:20" x14ac:dyDescent="0.25">
      <c r="A183" s="5">
        <v>44410</v>
      </c>
      <c r="B183">
        <v>1.5549999999999999</v>
      </c>
      <c r="C183">
        <v>1.639</v>
      </c>
      <c r="D183">
        <v>1.5109999999999999</v>
      </c>
      <c r="E183">
        <v>1.609</v>
      </c>
      <c r="F183">
        <v>3230261.8470000001</v>
      </c>
      <c r="G183">
        <v>1.609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0.53125</v>
      </c>
      <c r="Q183">
        <f t="shared" ref="Q183" si="891">F183*P183</f>
        <v>1716076.6062187501</v>
      </c>
      <c r="R183">
        <f t="shared" ref="R183" si="892">R184+Q183</f>
        <v>54153610.478357457</v>
      </c>
      <c r="S183">
        <f t="shared" ref="S183" si="893">R183/100000</f>
        <v>541.53610478357461</v>
      </c>
      <c r="T183">
        <f t="shared" ref="T183" si="894">S183/1000</f>
        <v>0.54153610478357461</v>
      </c>
    </row>
    <row r="184" spans="1:20" x14ac:dyDescent="0.25">
      <c r="A184" s="5">
        <v>44409</v>
      </c>
      <c r="B184">
        <v>1.63</v>
      </c>
      <c r="C184">
        <v>1.744</v>
      </c>
      <c r="D184">
        <v>1.524</v>
      </c>
      <c r="E184">
        <v>1.5569999999999999</v>
      </c>
      <c r="F184">
        <v>5110398.5279999999</v>
      </c>
      <c r="G184">
        <v>1.5569999999999999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-0.70000000000000073</v>
      </c>
      <c r="Q184">
        <f t="shared" ref="Q184" si="896">F184*P184</f>
        <v>-3577278.9696000037</v>
      </c>
      <c r="R184">
        <f t="shared" ref="R184" si="897">R185+Q184</f>
        <v>52437533.872138709</v>
      </c>
      <c r="S184">
        <f t="shared" ref="S184" si="898">R184/100000</f>
        <v>524.37533872138704</v>
      </c>
      <c r="T184">
        <f t="shared" ref="T184" si="899">S184/1000</f>
        <v>0.52437533872138709</v>
      </c>
    </row>
    <row r="185" spans="1:20" x14ac:dyDescent="0.25">
      <c r="A185" s="5">
        <v>44408</v>
      </c>
      <c r="B185">
        <v>1.5760000000000001</v>
      </c>
      <c r="C185">
        <v>1.65</v>
      </c>
      <c r="D185">
        <v>1.5229999999999999</v>
      </c>
      <c r="E185">
        <v>1.63</v>
      </c>
      <c r="F185">
        <v>5050703.74</v>
      </c>
      <c r="G185">
        <v>1.63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0.68503937007873983</v>
      </c>
      <c r="Q185">
        <f t="shared" ref="Q185" si="901">F185*P185</f>
        <v>3459930.9085039357</v>
      </c>
      <c r="R185">
        <f t="shared" ref="R185" si="902">R186+Q185</f>
        <v>56014812.841738716</v>
      </c>
      <c r="S185">
        <f t="shared" ref="S185" si="903">R185/100000</f>
        <v>560.14812841738717</v>
      </c>
      <c r="T185">
        <f t="shared" ref="T185" si="904">S185/1000</f>
        <v>0.56014812841738715</v>
      </c>
    </row>
    <row r="186" spans="1:20" x14ac:dyDescent="0.25">
      <c r="A186" s="5">
        <v>44407</v>
      </c>
      <c r="B186">
        <v>1.5249999999999999</v>
      </c>
      <c r="C186">
        <v>1.5760000000000001</v>
      </c>
      <c r="D186">
        <v>1.4339999999999999</v>
      </c>
      <c r="E186">
        <v>1.573</v>
      </c>
      <c r="F186">
        <v>5921648.0020000003</v>
      </c>
      <c r="G186">
        <v>1.573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0.95774647887323783</v>
      </c>
      <c r="Q186">
        <f t="shared" ref="Q186" si="906">F186*P186</f>
        <v>5671437.5230422439</v>
      </c>
      <c r="R186">
        <f t="shared" ref="R186" si="907">R187+Q186</f>
        <v>52554881.933234781</v>
      </c>
      <c r="S186">
        <f t="shared" ref="S186" si="908">R186/100000</f>
        <v>525.54881933234776</v>
      </c>
      <c r="T186">
        <f t="shared" ref="T186" si="909">S186/1000</f>
        <v>0.52554881933234776</v>
      </c>
    </row>
    <row r="187" spans="1:20" x14ac:dyDescent="0.25">
      <c r="A187" s="5">
        <v>44406</v>
      </c>
      <c r="B187">
        <v>1.429</v>
      </c>
      <c r="C187">
        <v>1.5529999999999999</v>
      </c>
      <c r="D187">
        <v>1.383</v>
      </c>
      <c r="E187">
        <v>1.524</v>
      </c>
      <c r="F187">
        <v>6644815.75</v>
      </c>
      <c r="G187">
        <v>1.524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0.65882352941176558</v>
      </c>
      <c r="Q187">
        <f t="shared" ref="Q187" si="911">F187*P187</f>
        <v>4377760.9647058882</v>
      </c>
      <c r="R187">
        <f t="shared" ref="R187" si="912">R188+Q187</f>
        <v>46883444.410192534</v>
      </c>
      <c r="S187">
        <f t="shared" ref="S187" si="913">R187/100000</f>
        <v>468.83444410192533</v>
      </c>
      <c r="T187">
        <f t="shared" ref="T187" si="914">S187/1000</f>
        <v>0.46883444410192532</v>
      </c>
    </row>
    <row r="188" spans="1:20" x14ac:dyDescent="0.25">
      <c r="A188" s="5">
        <v>44405</v>
      </c>
      <c r="B188">
        <v>1.43</v>
      </c>
      <c r="C188">
        <v>1.4510000000000001</v>
      </c>
      <c r="D188">
        <v>1.36</v>
      </c>
      <c r="E188">
        <v>1.429</v>
      </c>
      <c r="F188">
        <v>3727155.96</v>
      </c>
      <c r="G188">
        <v>1.429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0.51648351648351587</v>
      </c>
      <c r="Q188">
        <f t="shared" ref="Q188" si="916">F188*P188</f>
        <v>1925014.6167032945</v>
      </c>
      <c r="R188">
        <f t="shared" ref="R188" si="917">R189+Q188</f>
        <v>42505683.445486642</v>
      </c>
      <c r="S188">
        <f t="shared" ref="S188" si="918">R188/100000</f>
        <v>425.05683445486642</v>
      </c>
      <c r="T188">
        <f t="shared" ref="T188" si="919">S188/1000</f>
        <v>0.42505683445486642</v>
      </c>
    </row>
    <row r="189" spans="1:20" x14ac:dyDescent="0.25">
      <c r="A189" s="5">
        <v>44404</v>
      </c>
      <c r="B189">
        <v>1.3759999999999999</v>
      </c>
      <c r="C189">
        <v>1.4490000000000001</v>
      </c>
      <c r="D189">
        <v>1.3080000000000001</v>
      </c>
      <c r="E189">
        <v>1.43</v>
      </c>
      <c r="F189">
        <v>3432632.074</v>
      </c>
      <c r="G189">
        <v>1.43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0.73049645390070739</v>
      </c>
      <c r="Q189">
        <f t="shared" ref="Q189" si="921">F189*P189</f>
        <v>2507525.5576028307</v>
      </c>
      <c r="R189">
        <f t="shared" ref="R189" si="922">R190+Q189</f>
        <v>40580668.828783348</v>
      </c>
      <c r="S189">
        <f t="shared" ref="S189" si="923">R189/100000</f>
        <v>405.80668828783348</v>
      </c>
      <c r="T189">
        <f t="shared" ref="T189" si="924">S189/1000</f>
        <v>0.40580668828783351</v>
      </c>
    </row>
    <row r="190" spans="1:20" x14ac:dyDescent="0.25">
      <c r="A190" s="5">
        <v>44403</v>
      </c>
      <c r="B190">
        <v>1.353</v>
      </c>
      <c r="C190">
        <v>1.4850000000000001</v>
      </c>
      <c r="D190">
        <v>1.3460000000000001</v>
      </c>
      <c r="E190">
        <v>1.3779999999999999</v>
      </c>
      <c r="F190">
        <v>5596724.9649999999</v>
      </c>
      <c r="G190">
        <v>1.3779999999999999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-0.53956834532374387</v>
      </c>
      <c r="Q190">
        <f t="shared" ref="Q190" si="926">F190*P190</f>
        <v>-3019815.6285971384</v>
      </c>
      <c r="R190">
        <f t="shared" ref="R190" si="927">R191+Q190</f>
        <v>38073143.271180518</v>
      </c>
      <c r="S190">
        <f t="shared" ref="S190" si="928">R190/100000</f>
        <v>380.73143271180516</v>
      </c>
      <c r="T190">
        <f t="shared" ref="T190" si="929">S190/1000</f>
        <v>0.38073143271180515</v>
      </c>
    </row>
    <row r="191" spans="1:20" x14ac:dyDescent="0.25">
      <c r="A191" s="5">
        <v>44402</v>
      </c>
      <c r="B191">
        <v>1.353</v>
      </c>
      <c r="C191">
        <v>1.361</v>
      </c>
      <c r="D191">
        <v>1.3009999999999999</v>
      </c>
      <c r="E191">
        <v>1.3520000000000001</v>
      </c>
      <c r="F191">
        <v>2204713.7599999998</v>
      </c>
      <c r="G191">
        <v>1.3520000000000001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0.70000000000000373</v>
      </c>
      <c r="Q191">
        <f t="shared" ref="Q191" si="931">F191*P191</f>
        <v>1543299.6320000081</v>
      </c>
      <c r="R191">
        <f t="shared" ref="R191" si="932">R192+Q191</f>
        <v>41092958.899777658</v>
      </c>
      <c r="S191">
        <f t="shared" ref="S191" si="933">R191/100000</f>
        <v>410.92958899777659</v>
      </c>
      <c r="T191">
        <f t="shared" ref="T191:T197" si="934">S191/1000</f>
        <v>0.4109295889977766</v>
      </c>
    </row>
    <row r="192" spans="1:20" x14ac:dyDescent="0.25">
      <c r="A192" s="5">
        <v>44401</v>
      </c>
      <c r="B192">
        <v>1.341</v>
      </c>
      <c r="C192">
        <v>1.4039999999999999</v>
      </c>
      <c r="D192">
        <v>1.3160000000000001</v>
      </c>
      <c r="E192">
        <v>1.3520000000000001</v>
      </c>
      <c r="F192">
        <v>4119737.068</v>
      </c>
      <c r="G192">
        <v>1.3520000000000001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-0.18181818181817974</v>
      </c>
      <c r="Q192">
        <f t="shared" ref="Q192" si="936">F192*P192</f>
        <v>-749043.10327271873</v>
      </c>
      <c r="R192">
        <f t="shared" ref="R192" si="937">R193+Q192</f>
        <v>39549659.267777652</v>
      </c>
      <c r="S192">
        <f t="shared" ref="S192" si="938">R192/100000</f>
        <v>395.4965926777765</v>
      </c>
      <c r="T192">
        <f t="shared" si="934"/>
        <v>0.39549659267777648</v>
      </c>
    </row>
    <row r="193" spans="1:20" x14ac:dyDescent="0.25">
      <c r="A193" s="5">
        <v>44400</v>
      </c>
      <c r="B193">
        <v>1.2929999999999999</v>
      </c>
      <c r="C193">
        <v>1.355</v>
      </c>
      <c r="D193">
        <v>1.2549999999999999</v>
      </c>
      <c r="E193">
        <v>1.3420000000000001</v>
      </c>
      <c r="F193">
        <v>2852624.395</v>
      </c>
      <c r="G193">
        <v>1.3420000000000001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0.74000000000000221</v>
      </c>
      <c r="Q193">
        <f t="shared" ref="Q193" si="940">F193*P193</f>
        <v>2110942.0523000062</v>
      </c>
      <c r="R193">
        <f t="shared" ref="R193" si="941">R194+Q193</f>
        <v>40298702.371050373</v>
      </c>
      <c r="S193">
        <f t="shared" ref="S193" si="942">R193/100000</f>
        <v>402.98702371050371</v>
      </c>
      <c r="T193">
        <f t="shared" si="934"/>
        <v>0.40298702371050371</v>
      </c>
    </row>
    <row r="194" spans="1:20" x14ac:dyDescent="0.25">
      <c r="A194" s="5">
        <v>44399</v>
      </c>
      <c r="B194">
        <v>1.27</v>
      </c>
      <c r="C194">
        <v>1.323</v>
      </c>
      <c r="D194">
        <v>1.248</v>
      </c>
      <c r="E194">
        <v>1.292</v>
      </c>
      <c r="F194">
        <v>2982153.7540000002</v>
      </c>
      <c r="G194">
        <v>1.292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0.17333333333333506</v>
      </c>
      <c r="Q194">
        <f t="shared" ref="Q194" si="944">F194*P194</f>
        <v>516906.65069333854</v>
      </c>
      <c r="R194">
        <f t="shared" ref="R194" si="945">R195+Q194</f>
        <v>38187760.318750367</v>
      </c>
      <c r="S194">
        <f t="shared" ref="S194" si="946">R194/100000</f>
        <v>381.87760318750367</v>
      </c>
      <c r="T194">
        <f t="shared" si="934"/>
        <v>0.38187760318750369</v>
      </c>
    </row>
    <row r="195" spans="1:20" x14ac:dyDescent="0.25">
      <c r="A195" s="5">
        <v>44398</v>
      </c>
      <c r="B195">
        <v>1.167</v>
      </c>
      <c r="C195">
        <v>1.304</v>
      </c>
      <c r="D195">
        <v>1.1299999999999999</v>
      </c>
      <c r="E195">
        <v>1.2689999999999999</v>
      </c>
      <c r="F195">
        <v>2984436.8250000002</v>
      </c>
      <c r="G195">
        <v>1.2689999999999999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0.59770114942528607</v>
      </c>
      <c r="Q195">
        <f t="shared" ref="Q195" si="948">F195*P195</f>
        <v>1783801.3206896514</v>
      </c>
      <c r="R195">
        <f t="shared" ref="R195" si="949">R196+Q195</f>
        <v>37670853.668057024</v>
      </c>
      <c r="S195">
        <f t="shared" ref="S195" si="950">R195/100000</f>
        <v>376.70853668057026</v>
      </c>
      <c r="T195">
        <f t="shared" si="934"/>
        <v>0.37670853668057025</v>
      </c>
    </row>
    <row r="196" spans="1:20" x14ac:dyDescent="0.25">
      <c r="A196" s="5">
        <v>44397</v>
      </c>
      <c r="B196">
        <v>1.226</v>
      </c>
      <c r="C196">
        <v>1.258</v>
      </c>
      <c r="D196">
        <v>1.1259999999999999</v>
      </c>
      <c r="E196">
        <v>1.167</v>
      </c>
      <c r="F196">
        <v>3047994.3909999998</v>
      </c>
      <c r="G196">
        <v>1.167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-0.37878787878787712</v>
      </c>
      <c r="Q196">
        <f t="shared" ref="Q196" si="952">F196*P196</f>
        <v>-1154543.3299242372</v>
      </c>
      <c r="R196">
        <f t="shared" ref="R196" si="953">R197+Q196</f>
        <v>35887052.347367376</v>
      </c>
      <c r="S196">
        <f t="shared" ref="S196" si="954">R196/100000</f>
        <v>358.87052347367376</v>
      </c>
      <c r="T196">
        <f t="shared" si="934"/>
        <v>0.35887052347367376</v>
      </c>
    </row>
    <row r="197" spans="1:20" x14ac:dyDescent="0.25">
      <c r="A197" s="5">
        <v>44396</v>
      </c>
      <c r="B197">
        <v>1.3109999999999999</v>
      </c>
      <c r="C197">
        <v>1.3149999999999999</v>
      </c>
      <c r="D197">
        <v>1.2150000000000001</v>
      </c>
      <c r="E197">
        <v>1.2270000000000001</v>
      </c>
      <c r="F197">
        <v>1861967.4439999999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-0.75999999999999945</v>
      </c>
      <c r="Q197">
        <f t="shared" ref="Q197" si="956">F197*P197</f>
        <v>-1415095.2574399989</v>
      </c>
      <c r="R197">
        <f t="shared" ref="R197" si="957">R198+Q197</f>
        <v>37041595.677291617</v>
      </c>
      <c r="S197">
        <f t="shared" ref="S197" si="958">R197/100000</f>
        <v>370.41595677291616</v>
      </c>
      <c r="T197">
        <f t="shared" si="934"/>
        <v>0.37041595677291617</v>
      </c>
    </row>
    <row r="198" spans="1:20" x14ac:dyDescent="0.25">
      <c r="A198" s="5">
        <v>44395</v>
      </c>
      <c r="B198">
        <v>1.2929999999999999</v>
      </c>
      <c r="C198">
        <v>1.351</v>
      </c>
      <c r="D198">
        <v>1.2809999999999999</v>
      </c>
      <c r="E198">
        <v>1.3109999999999999</v>
      </c>
      <c r="F198">
        <v>1806473.9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-0.14285714285714285</v>
      </c>
      <c r="Q198">
        <f t="shared" ref="Q198:Q261" si="960">F198*P198</f>
        <v>-258067.69999999998</v>
      </c>
      <c r="R198">
        <f t="shared" ref="R198:R261" si="961">R199+Q198</f>
        <v>38456690.934731618</v>
      </c>
      <c r="S198">
        <f t="shared" ref="S198:S261" si="962">R198/100000</f>
        <v>384.5669093473162</v>
      </c>
      <c r="T198">
        <f t="shared" ref="T198:T261" si="963">S198/1000</f>
        <v>0.38456690934731619</v>
      </c>
    </row>
    <row r="199" spans="1:20" x14ac:dyDescent="0.25">
      <c r="A199" s="5">
        <v>44394</v>
      </c>
      <c r="B199">
        <v>1.278</v>
      </c>
      <c r="C199">
        <v>1.3280000000000001</v>
      </c>
      <c r="D199">
        <v>1.2589999999999999</v>
      </c>
      <c r="E199">
        <v>1.2929999999999999</v>
      </c>
      <c r="F199">
        <v>1929149.81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-1.4492753623189992E-2</v>
      </c>
      <c r="Q199">
        <f t="shared" si="960"/>
        <v>-27958.692898553785</v>
      </c>
      <c r="R199">
        <f t="shared" si="961"/>
        <v>38714758.634731621</v>
      </c>
      <c r="S199">
        <f t="shared" si="962"/>
        <v>387.14758634731618</v>
      </c>
      <c r="T199">
        <f t="shared" si="963"/>
        <v>0.38714758634731616</v>
      </c>
    </row>
    <row r="200" spans="1:20" x14ac:dyDescent="0.25">
      <c r="A200" s="5">
        <v>44393</v>
      </c>
      <c r="B200">
        <v>1.3560000000000001</v>
      </c>
      <c r="C200">
        <v>1.3879999999999999</v>
      </c>
      <c r="D200">
        <v>1.27</v>
      </c>
      <c r="E200">
        <v>1.28</v>
      </c>
      <c r="F200">
        <v>2010715.034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-0.83050847457627086</v>
      </c>
      <c r="Q200">
        <f t="shared" si="960"/>
        <v>-1669915.8756949145</v>
      </c>
      <c r="R200">
        <f t="shared" si="961"/>
        <v>38742717.327630177</v>
      </c>
      <c r="S200">
        <f t="shared" si="962"/>
        <v>387.42717327630174</v>
      </c>
      <c r="T200">
        <f t="shared" si="963"/>
        <v>0.38742717327630172</v>
      </c>
    </row>
    <row r="201" spans="1:20" x14ac:dyDescent="0.25">
      <c r="A201" s="5">
        <v>44392</v>
      </c>
      <c r="B201">
        <v>1.427</v>
      </c>
      <c r="C201">
        <v>1.45</v>
      </c>
      <c r="D201">
        <v>1.331</v>
      </c>
      <c r="E201">
        <v>1.3540000000000001</v>
      </c>
      <c r="F201">
        <v>2536258.1970000002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-0.61344537815125832</v>
      </c>
      <c r="Q201">
        <f t="shared" si="960"/>
        <v>-1555855.8687478937</v>
      </c>
      <c r="R201">
        <f t="shared" si="961"/>
        <v>40412633.203325093</v>
      </c>
      <c r="S201">
        <f t="shared" si="962"/>
        <v>404.12633203325095</v>
      </c>
      <c r="T201">
        <f t="shared" si="963"/>
        <v>0.40412633203325093</v>
      </c>
    </row>
    <row r="202" spans="1:20" x14ac:dyDescent="0.25">
      <c r="A202" s="5">
        <v>44391</v>
      </c>
      <c r="B202">
        <v>1.4390000000000001</v>
      </c>
      <c r="C202">
        <v>1.4470000000000001</v>
      </c>
      <c r="D202">
        <v>1.3460000000000001</v>
      </c>
      <c r="E202">
        <v>1.429</v>
      </c>
      <c r="F202">
        <v>2200439.8330000001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0.64356435643564314</v>
      </c>
      <c r="Q202">
        <f t="shared" si="960"/>
        <v>1416124.6449999991</v>
      </c>
      <c r="R202">
        <f t="shared" si="961"/>
        <v>41968489.072072983</v>
      </c>
      <c r="S202">
        <f t="shared" si="962"/>
        <v>419.68489072072981</v>
      </c>
      <c r="T202">
        <f t="shared" si="963"/>
        <v>0.41968489072072979</v>
      </c>
    </row>
    <row r="203" spans="1:20" x14ac:dyDescent="0.25">
      <c r="A203" s="5">
        <v>44390</v>
      </c>
      <c r="B203">
        <v>1.504</v>
      </c>
      <c r="C203">
        <v>1.5049999999999999</v>
      </c>
      <c r="D203">
        <v>1.4139999999999999</v>
      </c>
      <c r="E203">
        <v>1.4390000000000001</v>
      </c>
      <c r="F203">
        <v>2315432.08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-0.45054945054944745</v>
      </c>
      <c r="Q203">
        <f t="shared" si="960"/>
        <v>-1043216.6514285643</v>
      </c>
      <c r="R203">
        <f t="shared" si="961"/>
        <v>40552364.427072987</v>
      </c>
      <c r="S203">
        <f t="shared" si="962"/>
        <v>405.52364427072985</v>
      </c>
      <c r="T203">
        <f t="shared" si="963"/>
        <v>0.40552364427072984</v>
      </c>
    </row>
    <row r="204" spans="1:20" x14ac:dyDescent="0.25">
      <c r="A204" s="5">
        <v>44389</v>
      </c>
      <c r="B204">
        <v>1.524</v>
      </c>
      <c r="C204">
        <v>1.583</v>
      </c>
      <c r="D204">
        <v>1.47</v>
      </c>
      <c r="E204">
        <v>1.504</v>
      </c>
      <c r="F204">
        <v>3135267.4079999998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-0.39823008849557462</v>
      </c>
      <c r="Q204">
        <f t="shared" si="960"/>
        <v>-1248557.8173451307</v>
      </c>
      <c r="R204">
        <f t="shared" si="961"/>
        <v>41595581.078501552</v>
      </c>
      <c r="S204">
        <f t="shared" si="962"/>
        <v>415.9558107850155</v>
      </c>
      <c r="T204">
        <f t="shared" si="963"/>
        <v>0.41595581078501548</v>
      </c>
    </row>
    <row r="205" spans="1:20" x14ac:dyDescent="0.25">
      <c r="A205" s="5">
        <v>44388</v>
      </c>
      <c r="B205">
        <v>1.496</v>
      </c>
      <c r="C205">
        <v>1.544</v>
      </c>
      <c r="D205">
        <v>1.4630000000000001</v>
      </c>
      <c r="E205">
        <v>1.5249999999999999</v>
      </c>
      <c r="F205">
        <v>2229996.0580000002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0.53086419753086078</v>
      </c>
      <c r="Q205">
        <f t="shared" si="960"/>
        <v>1183825.067827153</v>
      </c>
      <c r="R205">
        <f t="shared" si="961"/>
        <v>42844138.89584668</v>
      </c>
      <c r="S205">
        <f t="shared" si="962"/>
        <v>428.4413889584668</v>
      </c>
      <c r="T205">
        <f t="shared" si="963"/>
        <v>0.42844138895846678</v>
      </c>
    </row>
    <row r="206" spans="1:20" x14ac:dyDescent="0.25">
      <c r="A206" s="5">
        <v>44387</v>
      </c>
      <c r="B206">
        <v>1.534</v>
      </c>
      <c r="C206">
        <v>1.556</v>
      </c>
      <c r="D206">
        <v>1.456</v>
      </c>
      <c r="E206">
        <v>1.494</v>
      </c>
      <c r="F206">
        <v>1641113.013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-0.24</v>
      </c>
      <c r="Q206">
        <f t="shared" si="960"/>
        <v>-393867.12312</v>
      </c>
      <c r="R206">
        <f t="shared" si="961"/>
        <v>41660313.82801953</v>
      </c>
      <c r="S206">
        <f t="shared" si="962"/>
        <v>416.60313828019531</v>
      </c>
      <c r="T206">
        <f t="shared" si="963"/>
        <v>0.4166031382801953</v>
      </c>
    </row>
    <row r="207" spans="1:20" x14ac:dyDescent="0.25">
      <c r="A207" s="5">
        <v>44386</v>
      </c>
      <c r="B207">
        <v>1.5289999999999999</v>
      </c>
      <c r="C207">
        <v>1.5509999999999999</v>
      </c>
      <c r="D207">
        <v>1.4390000000000001</v>
      </c>
      <c r="E207">
        <v>1.5349999999999999</v>
      </c>
      <c r="F207">
        <v>3389098.1060000001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0.71428571428571375</v>
      </c>
      <c r="Q207">
        <f t="shared" si="960"/>
        <v>2420784.3614285695</v>
      </c>
      <c r="R207">
        <f t="shared" si="961"/>
        <v>42054180.951139532</v>
      </c>
      <c r="S207">
        <f t="shared" si="962"/>
        <v>420.54180951139534</v>
      </c>
      <c r="T207">
        <f t="shared" si="963"/>
        <v>0.42054180951139536</v>
      </c>
    </row>
    <row r="208" spans="1:20" x14ac:dyDescent="0.25">
      <c r="A208" s="5">
        <v>44385</v>
      </c>
      <c r="B208">
        <v>1.675</v>
      </c>
      <c r="C208">
        <v>1.6779999999999999</v>
      </c>
      <c r="D208">
        <v>1.486</v>
      </c>
      <c r="E208">
        <v>1.528</v>
      </c>
      <c r="F208">
        <v>4337800.2989999996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-0.56249999999999944</v>
      </c>
      <c r="Q208">
        <f t="shared" si="960"/>
        <v>-2440012.6681874972</v>
      </c>
      <c r="R208">
        <f t="shared" si="961"/>
        <v>39633396.589710966</v>
      </c>
      <c r="S208">
        <f t="shared" si="962"/>
        <v>396.33396589710964</v>
      </c>
      <c r="T208">
        <f t="shared" si="963"/>
        <v>0.39633396589710962</v>
      </c>
    </row>
    <row r="209" spans="1:20" x14ac:dyDescent="0.25">
      <c r="A209" s="5">
        <v>44384</v>
      </c>
      <c r="B209">
        <v>1.627</v>
      </c>
      <c r="C209">
        <v>1.7729999999999999</v>
      </c>
      <c r="D209">
        <v>1.5920000000000001</v>
      </c>
      <c r="E209">
        <v>1.667</v>
      </c>
      <c r="F209">
        <v>7474931.1169999996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-0.1712707182320439</v>
      </c>
      <c r="Q209">
        <f t="shared" si="960"/>
        <v>-1280236.8211436442</v>
      </c>
      <c r="R209">
        <f t="shared" si="961"/>
        <v>42073409.257898465</v>
      </c>
      <c r="S209">
        <f t="shared" si="962"/>
        <v>420.73409257898464</v>
      </c>
      <c r="T209">
        <f t="shared" si="963"/>
        <v>0.42073409257898464</v>
      </c>
    </row>
    <row r="210" spans="1:20" x14ac:dyDescent="0.25">
      <c r="A210" s="5">
        <v>44383</v>
      </c>
      <c r="B210">
        <v>1.55</v>
      </c>
      <c r="C210">
        <v>1.679</v>
      </c>
      <c r="D210">
        <v>1.55</v>
      </c>
      <c r="E210">
        <v>1.6259999999999999</v>
      </c>
      <c r="F210">
        <v>6528526.6919999998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0.17829457364340842</v>
      </c>
      <c r="Q210">
        <f t="shared" si="960"/>
        <v>1164000.8830697516</v>
      </c>
      <c r="R210">
        <f t="shared" si="961"/>
        <v>43353646.079042107</v>
      </c>
      <c r="S210">
        <f t="shared" si="962"/>
        <v>433.53646079042107</v>
      </c>
      <c r="T210">
        <f t="shared" si="963"/>
        <v>0.43353646079042107</v>
      </c>
    </row>
    <row r="211" spans="1:20" x14ac:dyDescent="0.25">
      <c r="A211" s="5">
        <v>44382</v>
      </c>
      <c r="B211">
        <v>1.621</v>
      </c>
      <c r="C211">
        <v>1.6319999999999999</v>
      </c>
      <c r="D211">
        <v>1.508</v>
      </c>
      <c r="E211">
        <v>1.552</v>
      </c>
      <c r="F211">
        <v>3738312.213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-0.29032258064516003</v>
      </c>
      <c r="Q211">
        <f t="shared" si="960"/>
        <v>-1085316.4489354792</v>
      </c>
      <c r="R211">
        <f t="shared" si="961"/>
        <v>42189645.195972353</v>
      </c>
      <c r="S211">
        <f t="shared" si="962"/>
        <v>421.89645195972355</v>
      </c>
      <c r="T211">
        <f t="shared" si="963"/>
        <v>0.42189645195972353</v>
      </c>
    </row>
    <row r="212" spans="1:20" x14ac:dyDescent="0.25">
      <c r="A212" s="5">
        <v>44381</v>
      </c>
      <c r="B212">
        <v>1.601</v>
      </c>
      <c r="C212">
        <v>1.6919999999999999</v>
      </c>
      <c r="D212">
        <v>1.556</v>
      </c>
      <c r="E212">
        <v>1.6220000000000001</v>
      </c>
      <c r="F212">
        <v>3329616.64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-2.9411764705880767E-2</v>
      </c>
      <c r="Q212">
        <f t="shared" si="960"/>
        <v>-97929.901176465311</v>
      </c>
      <c r="R212">
        <f t="shared" si="961"/>
        <v>43274961.644907832</v>
      </c>
      <c r="S212">
        <f t="shared" si="962"/>
        <v>432.7496164490783</v>
      </c>
      <c r="T212">
        <f t="shared" si="963"/>
        <v>0.43274961644907828</v>
      </c>
    </row>
    <row r="213" spans="1:20" x14ac:dyDescent="0.25">
      <c r="A213" s="5">
        <v>44380</v>
      </c>
      <c r="B213">
        <v>1.5720000000000001</v>
      </c>
      <c r="C213">
        <v>1.637</v>
      </c>
      <c r="D213">
        <v>1.514</v>
      </c>
      <c r="E213">
        <v>1.601</v>
      </c>
      <c r="F213">
        <v>2021401.645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0.41463414634146289</v>
      </c>
      <c r="Q213">
        <f t="shared" si="960"/>
        <v>838142.14548780385</v>
      </c>
      <c r="R213">
        <f t="shared" si="961"/>
        <v>43372891.5460843</v>
      </c>
      <c r="S213">
        <f t="shared" si="962"/>
        <v>433.72891546084298</v>
      </c>
      <c r="T213">
        <f t="shared" si="963"/>
        <v>0.43372891546084297</v>
      </c>
    </row>
    <row r="214" spans="1:20" x14ac:dyDescent="0.25">
      <c r="A214" s="5">
        <v>44379</v>
      </c>
      <c r="B214">
        <v>1.5620000000000001</v>
      </c>
      <c r="C214">
        <v>1.5840000000000001</v>
      </c>
      <c r="D214">
        <v>1.4630000000000001</v>
      </c>
      <c r="E214">
        <v>1.573</v>
      </c>
      <c r="F214">
        <v>3264809.534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0.81818181818181623</v>
      </c>
      <c r="Q214">
        <f t="shared" si="960"/>
        <v>2671207.800545448</v>
      </c>
      <c r="R214">
        <f t="shared" si="961"/>
        <v>42534749.400596499</v>
      </c>
      <c r="S214">
        <f t="shared" si="962"/>
        <v>425.34749400596502</v>
      </c>
      <c r="T214">
        <f t="shared" si="963"/>
        <v>0.425347494005965</v>
      </c>
    </row>
    <row r="215" spans="1:20" x14ac:dyDescent="0.25">
      <c r="A215" s="5">
        <v>44378</v>
      </c>
      <c r="B215">
        <v>1.681</v>
      </c>
      <c r="C215">
        <v>1.6839999999999999</v>
      </c>
      <c r="D215">
        <v>1.5</v>
      </c>
      <c r="E215">
        <v>1.5640000000000001</v>
      </c>
      <c r="F215">
        <v>5436897.9050000003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-0.30434782608695571</v>
      </c>
      <c r="Q215">
        <f t="shared" si="960"/>
        <v>-1654708.0580434739</v>
      </c>
      <c r="R215">
        <f t="shared" si="961"/>
        <v>39863541.600051053</v>
      </c>
      <c r="S215">
        <f t="shared" si="962"/>
        <v>398.63541600051053</v>
      </c>
      <c r="T215">
        <f t="shared" si="963"/>
        <v>0.39863541600051056</v>
      </c>
    </row>
    <row r="216" spans="1:20" x14ac:dyDescent="0.25">
      <c r="A216" s="5">
        <v>44377</v>
      </c>
      <c r="B216">
        <v>1.542</v>
      </c>
      <c r="C216">
        <v>1.7310000000000001</v>
      </c>
      <c r="D216">
        <v>1.4470000000000001</v>
      </c>
      <c r="E216">
        <v>1.681</v>
      </c>
      <c r="F216">
        <v>11712523.51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0.64788732394366166</v>
      </c>
      <c r="Q216">
        <f t="shared" si="960"/>
        <v>7588395.5135211227</v>
      </c>
      <c r="R216">
        <f t="shared" si="961"/>
        <v>41518249.658094525</v>
      </c>
      <c r="S216">
        <f t="shared" si="962"/>
        <v>415.18249658094527</v>
      </c>
      <c r="T216">
        <f t="shared" si="963"/>
        <v>0.41518249658094525</v>
      </c>
    </row>
    <row r="217" spans="1:20" x14ac:dyDescent="0.25">
      <c r="A217" s="5">
        <v>44376</v>
      </c>
      <c r="B217">
        <v>1.4019999999999999</v>
      </c>
      <c r="C217">
        <v>1.569</v>
      </c>
      <c r="D217">
        <v>1.3979999999999999</v>
      </c>
      <c r="E217">
        <v>1.542</v>
      </c>
      <c r="F217">
        <v>4735199.7790000001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0.6842105263157906</v>
      </c>
      <c r="Q217">
        <f t="shared" si="960"/>
        <v>3239873.5330000054</v>
      </c>
      <c r="R217">
        <f t="shared" si="961"/>
        <v>33929854.144573405</v>
      </c>
      <c r="S217">
        <f t="shared" si="962"/>
        <v>339.29854144573403</v>
      </c>
      <c r="T217">
        <f t="shared" si="963"/>
        <v>0.33929854144573401</v>
      </c>
    </row>
    <row r="218" spans="1:20" x14ac:dyDescent="0.25">
      <c r="A218" s="5">
        <v>44375</v>
      </c>
      <c r="B218">
        <v>1.353</v>
      </c>
      <c r="C218">
        <v>1.4330000000000001</v>
      </c>
      <c r="D218">
        <v>1.3140000000000001</v>
      </c>
      <c r="E218">
        <v>1.4</v>
      </c>
      <c r="F218">
        <v>4620803.0029999996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0.44537815126050184</v>
      </c>
      <c r="Q218">
        <f t="shared" si="960"/>
        <v>2058004.698815115</v>
      </c>
      <c r="R218">
        <f t="shared" si="961"/>
        <v>30689980.611573398</v>
      </c>
      <c r="S218">
        <f t="shared" si="962"/>
        <v>306.89980611573401</v>
      </c>
      <c r="T218">
        <f t="shared" si="963"/>
        <v>0.30689980611573403</v>
      </c>
    </row>
    <row r="219" spans="1:20" x14ac:dyDescent="0.25">
      <c r="A219" s="5">
        <v>44374</v>
      </c>
      <c r="B219">
        <v>1.343</v>
      </c>
      <c r="C219">
        <v>1.359</v>
      </c>
      <c r="D219">
        <v>1.2370000000000001</v>
      </c>
      <c r="E219">
        <v>1.35</v>
      </c>
      <c r="F219">
        <v>3880335.523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0.85245901639344412</v>
      </c>
      <c r="Q219">
        <f t="shared" si="960"/>
        <v>3307827.0032131206</v>
      </c>
      <c r="R219">
        <f t="shared" si="961"/>
        <v>28631975.912758283</v>
      </c>
      <c r="S219">
        <f t="shared" si="962"/>
        <v>286.31975912758281</v>
      </c>
      <c r="T219">
        <f t="shared" si="963"/>
        <v>0.28631975912758284</v>
      </c>
    </row>
    <row r="220" spans="1:20" x14ac:dyDescent="0.25">
      <c r="A220" s="5">
        <v>44373</v>
      </c>
      <c r="B220">
        <v>1.2290000000000001</v>
      </c>
      <c r="C220">
        <v>1.349</v>
      </c>
      <c r="D220">
        <v>1.157</v>
      </c>
      <c r="E220">
        <v>1.343</v>
      </c>
      <c r="F220">
        <v>6025568.0810000002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0.93749999999999989</v>
      </c>
      <c r="Q220">
        <f t="shared" si="960"/>
        <v>5648970.0759374993</v>
      </c>
      <c r="R220">
        <f t="shared" si="961"/>
        <v>25324148.909545165</v>
      </c>
      <c r="S220">
        <f t="shared" si="962"/>
        <v>253.24148909545164</v>
      </c>
      <c r="T220">
        <f t="shared" si="963"/>
        <v>0.25324148909545163</v>
      </c>
    </row>
    <row r="221" spans="1:20" x14ac:dyDescent="0.25">
      <c r="A221" s="5">
        <v>44372</v>
      </c>
      <c r="B221">
        <v>1.4079999999999999</v>
      </c>
      <c r="C221">
        <v>1.448</v>
      </c>
      <c r="D221">
        <v>1.22</v>
      </c>
      <c r="E221">
        <v>1.228</v>
      </c>
      <c r="F221">
        <v>5716367.7800000003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-0.92982456140350866</v>
      </c>
      <c r="Q221">
        <f t="shared" si="960"/>
        <v>-5315219.1638596486</v>
      </c>
      <c r="R221">
        <f t="shared" si="961"/>
        <v>19675178.833607666</v>
      </c>
      <c r="S221">
        <f t="shared" si="962"/>
        <v>196.75178833607666</v>
      </c>
      <c r="T221">
        <f t="shared" si="963"/>
        <v>0.19675178833607665</v>
      </c>
    </row>
    <row r="222" spans="1:20" x14ac:dyDescent="0.25">
      <c r="A222" s="5">
        <v>44371</v>
      </c>
      <c r="B222">
        <v>1.35</v>
      </c>
      <c r="C222">
        <v>1.43</v>
      </c>
      <c r="D222">
        <v>1.258</v>
      </c>
      <c r="E222">
        <v>1.407</v>
      </c>
      <c r="F222">
        <v>3360107.2450000001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0.73255813953488469</v>
      </c>
      <c r="Q222">
        <f t="shared" si="960"/>
        <v>2461473.9120348869</v>
      </c>
      <c r="R222">
        <f t="shared" si="961"/>
        <v>24990397.997467313</v>
      </c>
      <c r="S222">
        <f t="shared" si="962"/>
        <v>249.90397997467312</v>
      </c>
      <c r="T222">
        <f t="shared" si="963"/>
        <v>0.24990397997467312</v>
      </c>
    </row>
    <row r="223" spans="1:20" x14ac:dyDescent="0.25">
      <c r="A223" s="5">
        <v>44370</v>
      </c>
      <c r="B223">
        <v>1.2270000000000001</v>
      </c>
      <c r="C223">
        <v>1.44</v>
      </c>
      <c r="D223">
        <v>1.173</v>
      </c>
      <c r="E223">
        <v>1.349</v>
      </c>
      <c r="F223">
        <v>4944530.7989999996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0.31835205992509363</v>
      </c>
      <c r="Q223">
        <f t="shared" si="960"/>
        <v>1574101.565224719</v>
      </c>
      <c r="R223">
        <f t="shared" si="961"/>
        <v>22528924.085432425</v>
      </c>
      <c r="S223">
        <f t="shared" si="962"/>
        <v>225.28924085432425</v>
      </c>
      <c r="T223">
        <f t="shared" si="963"/>
        <v>0.22528924085432425</v>
      </c>
    </row>
    <row r="224" spans="1:20" x14ac:dyDescent="0.25">
      <c r="A224" s="5">
        <v>44369</v>
      </c>
      <c r="B224">
        <v>1.3049999999999999</v>
      </c>
      <c r="C224">
        <v>1.4139999999999999</v>
      </c>
      <c r="D224">
        <v>1.0820000000000001</v>
      </c>
      <c r="E224">
        <v>1.2270000000000001</v>
      </c>
      <c r="F224">
        <v>11111497.918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-0.12650602409638503</v>
      </c>
      <c r="Q224">
        <f t="shared" si="960"/>
        <v>-1405671.4233614402</v>
      </c>
      <c r="R224">
        <f t="shared" si="961"/>
        <v>20954822.520207707</v>
      </c>
      <c r="S224">
        <f t="shared" si="962"/>
        <v>209.54822520207708</v>
      </c>
      <c r="T224">
        <f t="shared" si="963"/>
        <v>0.20954822520207708</v>
      </c>
    </row>
    <row r="225" spans="1:20" x14ac:dyDescent="0.25">
      <c r="A225" s="5">
        <v>44368</v>
      </c>
      <c r="B225">
        <v>1.716</v>
      </c>
      <c r="C225">
        <v>1.726</v>
      </c>
      <c r="D225">
        <v>1.3029999999999999</v>
      </c>
      <c r="E225">
        <v>1.3049999999999999</v>
      </c>
      <c r="F225">
        <v>6216363.8969999999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-0.99054373522458627</v>
      </c>
      <c r="Q225">
        <f t="shared" si="960"/>
        <v>-6157580.3140496453</v>
      </c>
      <c r="R225">
        <f t="shared" si="961"/>
        <v>22360493.943569146</v>
      </c>
      <c r="S225">
        <f t="shared" si="962"/>
        <v>223.60493943569145</v>
      </c>
      <c r="T225">
        <f t="shared" si="963"/>
        <v>0.22360493943569146</v>
      </c>
    </row>
    <row r="226" spans="1:20" x14ac:dyDescent="0.25">
      <c r="A226" s="5">
        <v>44367</v>
      </c>
      <c r="B226">
        <v>1.742</v>
      </c>
      <c r="C226">
        <v>1.7669999999999999</v>
      </c>
      <c r="D226">
        <v>1.601</v>
      </c>
      <c r="E226">
        <v>1.716</v>
      </c>
      <c r="F226">
        <v>2782453.79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0.38554216867469931</v>
      </c>
      <c r="Q226">
        <f t="shared" si="960"/>
        <v>1072753.2684337364</v>
      </c>
      <c r="R226">
        <f t="shared" si="961"/>
        <v>28518074.257618792</v>
      </c>
      <c r="S226">
        <f t="shared" si="962"/>
        <v>285.18074257618792</v>
      </c>
      <c r="T226">
        <f t="shared" si="963"/>
        <v>0.28518074257618792</v>
      </c>
    </row>
    <row r="227" spans="1:20" x14ac:dyDescent="0.25">
      <c r="A227" s="5">
        <v>44366</v>
      </c>
      <c r="B227">
        <v>1.786</v>
      </c>
      <c r="C227">
        <v>1.835</v>
      </c>
      <c r="D227">
        <v>1.728</v>
      </c>
      <c r="E227">
        <v>1.7430000000000001</v>
      </c>
      <c r="F227">
        <v>2109470.7990000001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-0.7196261682242967</v>
      </c>
      <c r="Q227">
        <f t="shared" si="960"/>
        <v>-1518030.3880654157</v>
      </c>
      <c r="R227">
        <f t="shared" si="961"/>
        <v>27445320.989185058</v>
      </c>
      <c r="S227">
        <f t="shared" si="962"/>
        <v>274.45320989185058</v>
      </c>
      <c r="T227">
        <f t="shared" si="963"/>
        <v>0.27445320989185057</v>
      </c>
    </row>
    <row r="228" spans="1:20" x14ac:dyDescent="0.25">
      <c r="A228" s="5">
        <v>44365</v>
      </c>
      <c r="B228">
        <v>1.9450000000000001</v>
      </c>
      <c r="C228">
        <v>1.946</v>
      </c>
      <c r="D228">
        <v>1.722</v>
      </c>
      <c r="E228">
        <v>1.7849999999999999</v>
      </c>
      <c r="F228">
        <v>3592239.304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-0.43750000000000044</v>
      </c>
      <c r="Q228">
        <f t="shared" si="960"/>
        <v>-1571604.6955000015</v>
      </c>
      <c r="R228">
        <f t="shared" si="961"/>
        <v>28963351.377250474</v>
      </c>
      <c r="S228">
        <f t="shared" si="962"/>
        <v>289.63351377250473</v>
      </c>
      <c r="T228">
        <f t="shared" si="963"/>
        <v>0.28963351377250474</v>
      </c>
    </row>
    <row r="229" spans="1:20" x14ac:dyDescent="0.25">
      <c r="A229" s="5">
        <v>44364</v>
      </c>
      <c r="B229">
        <v>2.081</v>
      </c>
      <c r="C229">
        <v>2.085</v>
      </c>
      <c r="D229">
        <v>1.9059999999999999</v>
      </c>
      <c r="E229">
        <v>1.9450000000000001</v>
      </c>
      <c r="F229">
        <v>5007241.08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-0.56424581005586438</v>
      </c>
      <c r="Q229">
        <f t="shared" si="960"/>
        <v>-2825314.7993296012</v>
      </c>
      <c r="R229">
        <f t="shared" si="961"/>
        <v>30534956.072750475</v>
      </c>
      <c r="S229">
        <f t="shared" si="962"/>
        <v>305.34956072750475</v>
      </c>
      <c r="T229">
        <f t="shared" si="963"/>
        <v>0.30534956072750474</v>
      </c>
    </row>
    <row r="230" spans="1:20" x14ac:dyDescent="0.25">
      <c r="A230" s="5">
        <v>44363</v>
      </c>
      <c r="B230">
        <v>1.86</v>
      </c>
      <c r="C230">
        <v>2.12</v>
      </c>
      <c r="D230">
        <v>1.7609999999999999</v>
      </c>
      <c r="E230">
        <v>2.081</v>
      </c>
      <c r="F230">
        <v>13774270.728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0.78272980501392686</v>
      </c>
      <c r="Q230">
        <f t="shared" si="960"/>
        <v>10781532.24113648</v>
      </c>
      <c r="R230">
        <f t="shared" si="961"/>
        <v>33360270.872080076</v>
      </c>
      <c r="S230">
        <f t="shared" si="962"/>
        <v>333.60270872080076</v>
      </c>
      <c r="T230">
        <f t="shared" si="963"/>
        <v>0.33360270872080078</v>
      </c>
    </row>
    <row r="231" spans="1:20" x14ac:dyDescent="0.25">
      <c r="A231" s="5">
        <v>44362</v>
      </c>
      <c r="B231">
        <v>1.903</v>
      </c>
      <c r="C231">
        <v>1.956</v>
      </c>
      <c r="D231">
        <v>1.84</v>
      </c>
      <c r="E231">
        <v>1.86</v>
      </c>
      <c r="F231">
        <v>3749962.3319999999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-0.65517241379310276</v>
      </c>
      <c r="Q231">
        <f t="shared" si="960"/>
        <v>-2456871.8726896527</v>
      </c>
      <c r="R231">
        <f t="shared" si="961"/>
        <v>22578738.630943596</v>
      </c>
      <c r="S231">
        <f t="shared" si="962"/>
        <v>225.78738630943596</v>
      </c>
      <c r="T231">
        <f t="shared" si="963"/>
        <v>0.22578738630943596</v>
      </c>
    </row>
    <row r="232" spans="1:20" x14ac:dyDescent="0.25">
      <c r="A232" s="5">
        <v>44361</v>
      </c>
      <c r="B232">
        <v>1.915</v>
      </c>
      <c r="C232">
        <v>2.0699999999999998</v>
      </c>
      <c r="D232">
        <v>1.857</v>
      </c>
      <c r="E232">
        <v>1.903</v>
      </c>
      <c r="F232">
        <v>10115138.369000001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-0.56807511737089134</v>
      </c>
      <c r="Q232">
        <f t="shared" si="960"/>
        <v>-5746158.4161924822</v>
      </c>
      <c r="R232">
        <f t="shared" si="961"/>
        <v>25035610.50363325</v>
      </c>
      <c r="S232">
        <f t="shared" si="962"/>
        <v>250.35610503633251</v>
      </c>
      <c r="T232">
        <f t="shared" si="963"/>
        <v>0.25035610503633249</v>
      </c>
    </row>
    <row r="233" spans="1:20" x14ac:dyDescent="0.25">
      <c r="A233" s="5">
        <v>44360</v>
      </c>
      <c r="B233">
        <v>1.669</v>
      </c>
      <c r="C233">
        <v>1.9590000000000001</v>
      </c>
      <c r="D233">
        <v>1.599</v>
      </c>
      <c r="E233">
        <v>1.915</v>
      </c>
      <c r="F233">
        <v>6480658.0269999998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0.75555555555555542</v>
      </c>
      <c r="Q233">
        <f t="shared" si="960"/>
        <v>4896497.1759555545</v>
      </c>
      <c r="R233">
        <f t="shared" si="961"/>
        <v>30781768.919825733</v>
      </c>
      <c r="S233">
        <f t="shared" si="962"/>
        <v>307.81768919825731</v>
      </c>
      <c r="T233">
        <f t="shared" si="963"/>
        <v>0.3078176891982573</v>
      </c>
    </row>
    <row r="234" spans="1:20" x14ac:dyDescent="0.25">
      <c r="A234" s="5">
        <v>44359</v>
      </c>
      <c r="B234">
        <v>1.79</v>
      </c>
      <c r="C234">
        <v>1.7909999999999999</v>
      </c>
      <c r="D234">
        <v>1.5820000000000001</v>
      </c>
      <c r="E234">
        <v>1.6679999999999999</v>
      </c>
      <c r="F234">
        <v>3898504.287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-0.17703349282296732</v>
      </c>
      <c r="Q234">
        <f t="shared" si="960"/>
        <v>-690165.8307129218</v>
      </c>
      <c r="R234">
        <f t="shared" si="961"/>
        <v>25885271.743870176</v>
      </c>
      <c r="S234">
        <f t="shared" si="962"/>
        <v>258.85271743870175</v>
      </c>
      <c r="T234">
        <f t="shared" si="963"/>
        <v>0.25885271743870175</v>
      </c>
    </row>
    <row r="235" spans="1:20" x14ac:dyDescent="0.25">
      <c r="A235" s="5">
        <v>44358</v>
      </c>
      <c r="B235">
        <v>1.8979999999999999</v>
      </c>
      <c r="C235">
        <v>1.92</v>
      </c>
      <c r="D235">
        <v>1.6890000000000001</v>
      </c>
      <c r="E235">
        <v>1.7869999999999999</v>
      </c>
      <c r="F235">
        <v>4661870.3779999996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-0.15151515151515221</v>
      </c>
      <c r="Q235">
        <f t="shared" si="960"/>
        <v>-706343.99666666985</v>
      </c>
      <c r="R235">
        <f t="shared" si="961"/>
        <v>26575437.574583098</v>
      </c>
      <c r="S235">
        <f t="shared" si="962"/>
        <v>265.754375745831</v>
      </c>
      <c r="T235">
        <f t="shared" si="963"/>
        <v>0.265754375745831</v>
      </c>
    </row>
    <row r="236" spans="1:20" x14ac:dyDescent="0.25">
      <c r="A236" s="5">
        <v>44357</v>
      </c>
      <c r="B236">
        <v>2.0779999999999998</v>
      </c>
      <c r="C236">
        <v>2.085</v>
      </c>
      <c r="D236">
        <v>1.879</v>
      </c>
      <c r="E236">
        <v>1.8959999999999999</v>
      </c>
      <c r="F236">
        <v>4465174.4859999996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-0.83495145631068046</v>
      </c>
      <c r="Q236">
        <f t="shared" si="960"/>
        <v>-3728203.9397669937</v>
      </c>
      <c r="R236">
        <f t="shared" si="961"/>
        <v>27281781.571249768</v>
      </c>
      <c r="S236">
        <f t="shared" si="962"/>
        <v>272.81781571249769</v>
      </c>
      <c r="T236">
        <f t="shared" si="963"/>
        <v>0.27281781571249769</v>
      </c>
    </row>
    <row r="237" spans="1:20" x14ac:dyDescent="0.25">
      <c r="A237" s="5">
        <v>44356</v>
      </c>
      <c r="B237">
        <v>1.9850000000000001</v>
      </c>
      <c r="C237">
        <v>2.149</v>
      </c>
      <c r="D237">
        <v>1.853</v>
      </c>
      <c r="E237">
        <v>2.0760000000000001</v>
      </c>
      <c r="F237">
        <v>5038545.182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0.50675675675675713</v>
      </c>
      <c r="Q237">
        <f t="shared" si="960"/>
        <v>2553316.8152027046</v>
      </c>
      <c r="R237">
        <f t="shared" si="961"/>
        <v>31009985.511016764</v>
      </c>
      <c r="S237">
        <f t="shared" si="962"/>
        <v>310.09985511016765</v>
      </c>
      <c r="T237">
        <f t="shared" si="963"/>
        <v>0.31009985511016763</v>
      </c>
    </row>
    <row r="238" spans="1:20" x14ac:dyDescent="0.25">
      <c r="A238" s="5">
        <v>44355</v>
      </c>
      <c r="B238">
        <v>2.0790000000000002</v>
      </c>
      <c r="C238">
        <v>2.1160000000000001</v>
      </c>
      <c r="D238">
        <v>1.82</v>
      </c>
      <c r="E238">
        <v>1.984</v>
      </c>
      <c r="F238">
        <v>7790468.9230000004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0.10810810810810743</v>
      </c>
      <c r="Q238">
        <f t="shared" si="960"/>
        <v>842212.85654053534</v>
      </c>
      <c r="R238">
        <f t="shared" si="961"/>
        <v>28456668.695814058</v>
      </c>
      <c r="S238">
        <f t="shared" si="962"/>
        <v>284.56668695814056</v>
      </c>
      <c r="T238">
        <f t="shared" si="963"/>
        <v>0.28456668695814058</v>
      </c>
    </row>
    <row r="239" spans="1:20" x14ac:dyDescent="0.25">
      <c r="A239" s="5">
        <v>44354</v>
      </c>
      <c r="B239">
        <v>2.41</v>
      </c>
      <c r="C239">
        <v>2.415</v>
      </c>
      <c r="D239">
        <v>2.044</v>
      </c>
      <c r="E239">
        <v>2.0790000000000002</v>
      </c>
      <c r="F239">
        <v>7549435.3420000002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-0.8113207547169804</v>
      </c>
      <c r="Q239">
        <f t="shared" si="960"/>
        <v>-6125013.5793584855</v>
      </c>
      <c r="R239">
        <f t="shared" si="961"/>
        <v>27614455.839273524</v>
      </c>
      <c r="S239">
        <f t="shared" si="962"/>
        <v>276.14455839273523</v>
      </c>
      <c r="T239">
        <f t="shared" si="963"/>
        <v>0.27614455839273522</v>
      </c>
    </row>
    <row r="240" spans="1:20" x14ac:dyDescent="0.25">
      <c r="A240" s="5">
        <v>44353</v>
      </c>
      <c r="B240">
        <v>2.081</v>
      </c>
      <c r="C240">
        <v>2.476</v>
      </c>
      <c r="D240">
        <v>2.0550000000000002</v>
      </c>
      <c r="E240">
        <v>2.4119999999999999</v>
      </c>
      <c r="F240">
        <v>7354375.4199999999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0.69596199524940583</v>
      </c>
      <c r="Q240">
        <f t="shared" si="960"/>
        <v>5118365.7911163867</v>
      </c>
      <c r="R240">
        <f t="shared" si="961"/>
        <v>33739469.418632008</v>
      </c>
      <c r="S240">
        <f t="shared" si="962"/>
        <v>337.39469418632007</v>
      </c>
      <c r="T240">
        <f t="shared" si="963"/>
        <v>0.33739469418632007</v>
      </c>
    </row>
    <row r="241" spans="1:20" x14ac:dyDescent="0.25">
      <c r="A241" s="5">
        <v>44352</v>
      </c>
      <c r="B241">
        <v>2.181</v>
      </c>
      <c r="C241">
        <v>2.3570000000000002</v>
      </c>
      <c r="D241">
        <v>2.0139999999999998</v>
      </c>
      <c r="E241">
        <v>2.081</v>
      </c>
      <c r="F241">
        <v>4824244.0199999996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-0.60932944606413941</v>
      </c>
      <c r="Q241">
        <f t="shared" si="960"/>
        <v>-2939553.9363848367</v>
      </c>
      <c r="R241">
        <f t="shared" si="961"/>
        <v>28621103.627515621</v>
      </c>
      <c r="S241">
        <f t="shared" si="962"/>
        <v>286.21103627515623</v>
      </c>
      <c r="T241">
        <f t="shared" si="963"/>
        <v>0.28621103627515621</v>
      </c>
    </row>
    <row r="242" spans="1:20" x14ac:dyDescent="0.25">
      <c r="A242" s="5">
        <v>44351</v>
      </c>
      <c r="B242">
        <v>2.4089999999999998</v>
      </c>
      <c r="C242">
        <v>2.4159999999999999</v>
      </c>
      <c r="D242">
        <v>2.093</v>
      </c>
      <c r="E242">
        <v>2.1789999999999998</v>
      </c>
      <c r="F242">
        <v>6892557.3689999999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-0.46749226006192035</v>
      </c>
      <c r="Q242">
        <f t="shared" si="960"/>
        <v>-3222217.2220402537</v>
      </c>
      <c r="R242">
        <f t="shared" si="961"/>
        <v>31560657.56390046</v>
      </c>
      <c r="S242">
        <f t="shared" si="962"/>
        <v>315.60657563900457</v>
      </c>
      <c r="T242">
        <f t="shared" si="963"/>
        <v>0.31560657563900457</v>
      </c>
    </row>
    <row r="243" spans="1:20" x14ac:dyDescent="0.25">
      <c r="A243" s="5">
        <v>44350</v>
      </c>
      <c r="B243">
        <v>2.4649999999999999</v>
      </c>
      <c r="C243">
        <v>2.6709999999999998</v>
      </c>
      <c r="D243">
        <v>2.3559999999999999</v>
      </c>
      <c r="E243">
        <v>2.4079999999999999</v>
      </c>
      <c r="F243">
        <v>12163366.17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-0.66984126984126946</v>
      </c>
      <c r="Q243">
        <f t="shared" si="960"/>
        <v>-8147524.6408571377</v>
      </c>
      <c r="R243">
        <f t="shared" si="961"/>
        <v>34782874.785940714</v>
      </c>
      <c r="S243">
        <f t="shared" si="962"/>
        <v>347.82874785940714</v>
      </c>
      <c r="T243">
        <f t="shared" si="963"/>
        <v>0.34782874785940715</v>
      </c>
    </row>
    <row r="244" spans="1:20" x14ac:dyDescent="0.25">
      <c r="A244" s="5">
        <v>44349</v>
      </c>
      <c r="B244">
        <v>2.032</v>
      </c>
      <c r="C244">
        <v>2.7170000000000001</v>
      </c>
      <c r="D244">
        <v>2.0070000000000001</v>
      </c>
      <c r="E244">
        <v>2.4649999999999999</v>
      </c>
      <c r="F244">
        <v>47200334.314999998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0.29014084507042187</v>
      </c>
      <c r="Q244">
        <f t="shared" si="960"/>
        <v>13694744.885760531</v>
      </c>
      <c r="R244">
        <f t="shared" si="961"/>
        <v>42930399.426797852</v>
      </c>
      <c r="S244">
        <f t="shared" si="962"/>
        <v>429.30399426797851</v>
      </c>
      <c r="T244">
        <f t="shared" si="963"/>
        <v>0.42930399426797849</v>
      </c>
    </row>
    <row r="245" spans="1:20" x14ac:dyDescent="0.25">
      <c r="A245" s="5">
        <v>44348</v>
      </c>
      <c r="B245">
        <v>1.6910000000000001</v>
      </c>
      <c r="C245">
        <v>2.0990000000000002</v>
      </c>
      <c r="D245">
        <v>1.5740000000000001</v>
      </c>
      <c r="E245">
        <v>2.0339999999999998</v>
      </c>
      <c r="F245">
        <v>15203299.159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0.75238095238095093</v>
      </c>
      <c r="Q245">
        <f t="shared" si="960"/>
        <v>11438672.70058093</v>
      </c>
      <c r="R245">
        <f t="shared" si="961"/>
        <v>29235654.541037321</v>
      </c>
      <c r="S245">
        <f t="shared" si="962"/>
        <v>292.3565454103732</v>
      </c>
      <c r="T245">
        <f t="shared" si="963"/>
        <v>0.2923565454103732</v>
      </c>
    </row>
    <row r="246" spans="1:20" x14ac:dyDescent="0.25">
      <c r="A246" s="5">
        <v>44347</v>
      </c>
      <c r="B246">
        <v>1.569</v>
      </c>
      <c r="C246">
        <v>1.7</v>
      </c>
      <c r="D246">
        <v>1.48</v>
      </c>
      <c r="E246">
        <v>1.6930000000000001</v>
      </c>
      <c r="F246">
        <v>3764025.3760000002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0.93636363636363729</v>
      </c>
      <c r="Q246">
        <f t="shared" si="960"/>
        <v>3524496.4884363674</v>
      </c>
      <c r="R246">
        <f t="shared" si="961"/>
        <v>17796981.840456389</v>
      </c>
      <c r="S246">
        <f t="shared" si="962"/>
        <v>177.96981840456388</v>
      </c>
      <c r="T246">
        <f t="shared" si="963"/>
        <v>0.17796981840456388</v>
      </c>
    </row>
    <row r="247" spans="1:20" x14ac:dyDescent="0.25">
      <c r="A247" s="5">
        <v>44346</v>
      </c>
      <c r="B247">
        <v>1.538</v>
      </c>
      <c r="C247">
        <v>1.649</v>
      </c>
      <c r="D247">
        <v>1.42</v>
      </c>
      <c r="E247">
        <v>1.569</v>
      </c>
      <c r="F247">
        <v>2813838.3659999999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0.30131004366812192</v>
      </c>
      <c r="Q247">
        <f t="shared" si="960"/>
        <v>847837.76093449676</v>
      </c>
      <c r="R247">
        <f t="shared" si="961"/>
        <v>14272485.35202002</v>
      </c>
      <c r="S247">
        <f t="shared" si="962"/>
        <v>142.72485352020018</v>
      </c>
      <c r="T247">
        <f t="shared" si="963"/>
        <v>0.14272485352020017</v>
      </c>
    </row>
    <row r="248" spans="1:20" x14ac:dyDescent="0.25">
      <c r="A248" s="5">
        <v>44345</v>
      </c>
      <c r="B248">
        <v>1.6060000000000001</v>
      </c>
      <c r="C248">
        <v>1.6919999999999999</v>
      </c>
      <c r="D248">
        <v>1.419</v>
      </c>
      <c r="E248">
        <v>1.5349999999999999</v>
      </c>
      <c r="F248">
        <v>5269749.1339999996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-0.15018315018315076</v>
      </c>
      <c r="Q248">
        <f t="shared" si="960"/>
        <v>-791427.5256190506</v>
      </c>
      <c r="R248">
        <f t="shared" si="961"/>
        <v>13424647.591085523</v>
      </c>
      <c r="S248">
        <f t="shared" si="962"/>
        <v>134.24647591085522</v>
      </c>
      <c r="T248">
        <f t="shared" si="963"/>
        <v>0.13424647591085523</v>
      </c>
    </row>
    <row r="249" spans="1:20" x14ac:dyDescent="0.25">
      <c r="A249" s="5">
        <v>44344</v>
      </c>
      <c r="B249">
        <v>1.8759999999999999</v>
      </c>
      <c r="C249">
        <v>1.8959999999999999</v>
      </c>
      <c r="D249">
        <v>1.5389999999999999</v>
      </c>
      <c r="E249">
        <v>1.6060000000000001</v>
      </c>
      <c r="F249">
        <v>5204847.6749999998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-0.62464985994397659</v>
      </c>
      <c r="Q249">
        <f t="shared" si="960"/>
        <v>-3251207.371218482</v>
      </c>
      <c r="R249">
        <f t="shared" si="961"/>
        <v>14216075.116704574</v>
      </c>
      <c r="S249">
        <f t="shared" si="962"/>
        <v>142.16075116704573</v>
      </c>
      <c r="T249">
        <f t="shared" si="963"/>
        <v>0.14216075116704574</v>
      </c>
    </row>
    <row r="250" spans="1:20" x14ac:dyDescent="0.25">
      <c r="A250" s="5">
        <v>44343</v>
      </c>
      <c r="B250">
        <v>2.0099999999999998</v>
      </c>
      <c r="C250">
        <v>2.0489999999999999</v>
      </c>
      <c r="D250">
        <v>1.79</v>
      </c>
      <c r="E250">
        <v>1.8759999999999999</v>
      </c>
      <c r="F250">
        <v>5452587.1610000003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-0.33590733590733679</v>
      </c>
      <c r="Q250">
        <f t="shared" si="960"/>
        <v>-1831564.0270540591</v>
      </c>
      <c r="R250">
        <f t="shared" si="961"/>
        <v>17467282.487923056</v>
      </c>
      <c r="S250">
        <f t="shared" si="962"/>
        <v>174.67282487923055</v>
      </c>
      <c r="T250">
        <f t="shared" si="963"/>
        <v>0.17467282487923055</v>
      </c>
    </row>
    <row r="251" spans="1:20" x14ac:dyDescent="0.25">
      <c r="A251" s="5">
        <v>44342</v>
      </c>
      <c r="B251">
        <v>1.73</v>
      </c>
      <c r="C251">
        <v>2.0190000000000001</v>
      </c>
      <c r="D251">
        <v>1.68</v>
      </c>
      <c r="E251">
        <v>2.0099999999999998</v>
      </c>
      <c r="F251">
        <v>7460823.8320000004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0.94690265486725467</v>
      </c>
      <c r="Q251">
        <f t="shared" si="960"/>
        <v>7064673.8940176852</v>
      </c>
      <c r="R251">
        <f t="shared" si="961"/>
        <v>19298846.514977116</v>
      </c>
      <c r="S251">
        <f t="shared" si="962"/>
        <v>192.98846514977117</v>
      </c>
      <c r="T251">
        <f t="shared" si="963"/>
        <v>0.19298846514977117</v>
      </c>
    </row>
    <row r="252" spans="1:20" x14ac:dyDescent="0.25">
      <c r="A252" s="5">
        <v>44341</v>
      </c>
      <c r="B252">
        <v>1.728</v>
      </c>
      <c r="C252">
        <v>1.8109999999999999</v>
      </c>
      <c r="D252">
        <v>1.5069999999999999</v>
      </c>
      <c r="E252">
        <v>1.732</v>
      </c>
      <c r="F252">
        <v>5792514.2089999998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0.48026315789473717</v>
      </c>
      <c r="Q252">
        <f t="shared" si="960"/>
        <v>2781931.1661644755</v>
      </c>
      <c r="R252">
        <f t="shared" si="961"/>
        <v>12234172.620959431</v>
      </c>
      <c r="S252">
        <f t="shared" si="962"/>
        <v>122.34172620959431</v>
      </c>
      <c r="T252">
        <f t="shared" si="963"/>
        <v>0.12234172620959431</v>
      </c>
    </row>
    <row r="253" spans="1:20" x14ac:dyDescent="0.25">
      <c r="A253" s="5">
        <v>44340</v>
      </c>
      <c r="B253">
        <v>1.4410000000000001</v>
      </c>
      <c r="C253">
        <v>1.764</v>
      </c>
      <c r="D253">
        <v>1.3939999999999999</v>
      </c>
      <c r="E253">
        <v>1.728</v>
      </c>
      <c r="F253">
        <v>6467486.3540000003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0.80540540540540528</v>
      </c>
      <c r="Q253">
        <f t="shared" si="960"/>
        <v>5208948.468897297</v>
      </c>
      <c r="R253">
        <f t="shared" si="961"/>
        <v>9452241.4547949545</v>
      </c>
      <c r="S253">
        <f t="shared" si="962"/>
        <v>94.522414547949552</v>
      </c>
      <c r="T253">
        <f t="shared" si="963"/>
        <v>9.4522414547949546E-2</v>
      </c>
    </row>
    <row r="254" spans="1:20" x14ac:dyDescent="0.25">
      <c r="A254" s="5">
        <v>44339</v>
      </c>
      <c r="B254">
        <v>1.7150000000000001</v>
      </c>
      <c r="C254">
        <v>1.788</v>
      </c>
      <c r="D254">
        <v>1.1879999999999999</v>
      </c>
      <c r="E254">
        <v>1.44</v>
      </c>
      <c r="F254">
        <v>8662001.6999999993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-0.16000000000000011</v>
      </c>
      <c r="Q254">
        <f t="shared" si="960"/>
        <v>-1385920.2720000008</v>
      </c>
      <c r="R254">
        <f t="shared" si="961"/>
        <v>4243292.9858976575</v>
      </c>
      <c r="S254">
        <f t="shared" si="962"/>
        <v>42.432929858976571</v>
      </c>
      <c r="T254">
        <f t="shared" si="963"/>
        <v>4.2432929858976572E-2</v>
      </c>
    </row>
    <row r="255" spans="1:20" x14ac:dyDescent="0.25">
      <c r="A255" s="5">
        <v>44338</v>
      </c>
      <c r="B255">
        <v>1.913</v>
      </c>
      <c r="C255">
        <v>1.9379999999999999</v>
      </c>
      <c r="D255">
        <v>1.6419999999999999</v>
      </c>
      <c r="E255">
        <v>1.7150000000000001</v>
      </c>
      <c r="F255">
        <v>6893734.8490000004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-0.50675675675675569</v>
      </c>
      <c r="Q255">
        <f t="shared" si="960"/>
        <v>-3493446.7140202629</v>
      </c>
      <c r="R255">
        <f t="shared" si="961"/>
        <v>5629213.2578976583</v>
      </c>
      <c r="S255">
        <f t="shared" si="962"/>
        <v>56.292132578976585</v>
      </c>
      <c r="T255">
        <f t="shared" si="963"/>
        <v>5.6292132578976584E-2</v>
      </c>
    </row>
    <row r="256" spans="1:20" x14ac:dyDescent="0.25">
      <c r="A256" s="5">
        <v>44337</v>
      </c>
      <c r="B256">
        <v>2.1349999999999998</v>
      </c>
      <c r="C256">
        <v>2.2599999999999998</v>
      </c>
      <c r="D256">
        <v>1.681</v>
      </c>
      <c r="E256">
        <v>1.913</v>
      </c>
      <c r="F256">
        <v>10116643.528000001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-0.19861830742659728</v>
      </c>
      <c r="Q256">
        <f t="shared" si="960"/>
        <v>-2009350.6143695998</v>
      </c>
      <c r="R256">
        <f t="shared" si="961"/>
        <v>9122659.9719179217</v>
      </c>
      <c r="S256">
        <f t="shared" si="962"/>
        <v>91.22659971917922</v>
      </c>
      <c r="T256">
        <f t="shared" si="963"/>
        <v>9.1226599719179222E-2</v>
      </c>
    </row>
    <row r="257" spans="1:20" x14ac:dyDescent="0.25">
      <c r="A257" s="5">
        <v>44336</v>
      </c>
      <c r="B257">
        <v>1.893</v>
      </c>
      <c r="C257">
        <v>2.2789999999999999</v>
      </c>
      <c r="D257">
        <v>1.7390000000000001</v>
      </c>
      <c r="E257">
        <v>2.1349999999999998</v>
      </c>
      <c r="F257">
        <v>7708537.5820000004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0.46666666666666601</v>
      </c>
      <c r="Q257">
        <f t="shared" si="960"/>
        <v>3597317.5382666616</v>
      </c>
      <c r="R257">
        <f t="shared" si="961"/>
        <v>11132010.586287521</v>
      </c>
      <c r="S257">
        <f t="shared" si="962"/>
        <v>111.32010586287521</v>
      </c>
      <c r="T257">
        <f t="shared" si="963"/>
        <v>0.1113201058628752</v>
      </c>
    </row>
    <row r="258" spans="1:20" x14ac:dyDescent="0.25">
      <c r="A258" s="5">
        <v>44335</v>
      </c>
      <c r="B258">
        <v>2.806</v>
      </c>
      <c r="C258">
        <v>2.8980000000000001</v>
      </c>
      <c r="D258">
        <v>1.38</v>
      </c>
      <c r="E258">
        <v>1.889</v>
      </c>
      <c r="F258">
        <v>11658474.148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-0.32938076416337281</v>
      </c>
      <c r="Q258">
        <f t="shared" si="960"/>
        <v>-3840077.1238471665</v>
      </c>
      <c r="R258">
        <f t="shared" si="961"/>
        <v>7534693.0480208602</v>
      </c>
      <c r="S258">
        <f t="shared" si="962"/>
        <v>75.346930480208599</v>
      </c>
      <c r="T258">
        <f t="shared" si="963"/>
        <v>7.5346930480208602E-2</v>
      </c>
    </row>
    <row r="259" spans="1:20" x14ac:dyDescent="0.25">
      <c r="A259" s="5">
        <v>44334</v>
      </c>
      <c r="B259">
        <v>2.4929999999999999</v>
      </c>
      <c r="C259">
        <v>2.9319999999999999</v>
      </c>
      <c r="D259">
        <v>2.4649999999999999</v>
      </c>
      <c r="E259">
        <v>2.806</v>
      </c>
      <c r="F259">
        <v>4362374.3499999996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0.46038543897216333</v>
      </c>
      <c r="Q259">
        <f t="shared" si="960"/>
        <v>2008373.6300856555</v>
      </c>
      <c r="R259">
        <f t="shared" si="961"/>
        <v>11374770.171868026</v>
      </c>
      <c r="S259">
        <f t="shared" si="962"/>
        <v>113.74770171868026</v>
      </c>
      <c r="T259">
        <f t="shared" si="963"/>
        <v>0.11374770171868026</v>
      </c>
    </row>
    <row r="260" spans="1:20" x14ac:dyDescent="0.25">
      <c r="A260" s="5">
        <v>44333</v>
      </c>
      <c r="B260">
        <v>2.71</v>
      </c>
      <c r="C260">
        <v>2.7759999999999998</v>
      </c>
      <c r="D260">
        <v>2.41</v>
      </c>
      <c r="E260">
        <v>2.488</v>
      </c>
      <c r="F260">
        <v>4533221.2060000002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-0.5737704918032791</v>
      </c>
      <c r="Q260">
        <f t="shared" si="960"/>
        <v>-2601028.5608196743</v>
      </c>
      <c r="R260">
        <f t="shared" si="961"/>
        <v>9366396.5417823698</v>
      </c>
      <c r="S260">
        <f t="shared" si="962"/>
        <v>93.663965417823704</v>
      </c>
      <c r="T260">
        <f t="shared" si="963"/>
        <v>9.3663965417823708E-2</v>
      </c>
    </row>
    <row r="261" spans="1:20" x14ac:dyDescent="0.25">
      <c r="A261" s="5">
        <v>44332</v>
      </c>
      <c r="B261">
        <v>2.8290000000000002</v>
      </c>
      <c r="C261">
        <v>3.036</v>
      </c>
      <c r="D261">
        <v>2.556</v>
      </c>
      <c r="E261">
        <v>2.71</v>
      </c>
      <c r="F261">
        <v>3921344.0049999999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-0.35833333333333367</v>
      </c>
      <c r="Q261">
        <f t="shared" si="960"/>
        <v>-1405148.2684583347</v>
      </c>
      <c r="R261">
        <f t="shared" si="961"/>
        <v>11967425.102602044</v>
      </c>
      <c r="S261">
        <f t="shared" si="962"/>
        <v>119.67425102602044</v>
      </c>
      <c r="T261">
        <f t="shared" si="963"/>
        <v>0.11967425102602045</v>
      </c>
    </row>
    <row r="262" spans="1:20" x14ac:dyDescent="0.25">
      <c r="A262" s="5">
        <v>44331</v>
      </c>
      <c r="B262">
        <v>3.1520000000000001</v>
      </c>
      <c r="C262">
        <v>3.198</v>
      </c>
      <c r="D262">
        <v>2.8039999999999998</v>
      </c>
      <c r="E262">
        <v>2.819</v>
      </c>
      <c r="F262">
        <v>3369818.0210000002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-0.92385786802030401</v>
      </c>
      <c r="Q262">
        <f t="shared" ref="Q262:Q325" si="965">F262*P262</f>
        <v>-3113232.8924974604</v>
      </c>
      <c r="R262">
        <f t="shared" ref="R262:R325" si="966">R263+Q262</f>
        <v>13372573.371060379</v>
      </c>
      <c r="S262">
        <f t="shared" ref="S262:S325" si="967">R262/100000</f>
        <v>133.72573371060378</v>
      </c>
      <c r="T262">
        <f t="shared" ref="T262:T325" si="968">S262/1000</f>
        <v>0.13372573371060378</v>
      </c>
    </row>
    <row r="263" spans="1:20" x14ac:dyDescent="0.25">
      <c r="A263" s="5">
        <v>44330</v>
      </c>
      <c r="B263">
        <v>2.99</v>
      </c>
      <c r="C263">
        <v>3.25</v>
      </c>
      <c r="D263">
        <v>2.9649999999999999</v>
      </c>
      <c r="E263">
        <v>3.1539999999999999</v>
      </c>
      <c r="F263">
        <v>3064819.6639999999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0.32631578947368395</v>
      </c>
      <c r="Q263">
        <f t="shared" si="965"/>
        <v>1000099.0482526307</v>
      </c>
      <c r="R263">
        <f t="shared" si="966"/>
        <v>16485806.26355784</v>
      </c>
      <c r="S263">
        <f t="shared" si="967"/>
        <v>164.85806263557839</v>
      </c>
      <c r="T263">
        <f t="shared" si="968"/>
        <v>0.1648580626355784</v>
      </c>
    </row>
    <row r="264" spans="1:20" x14ac:dyDescent="0.25">
      <c r="A264" s="5">
        <v>44329</v>
      </c>
      <c r="B264">
        <v>2.9239999999999999</v>
      </c>
      <c r="C264">
        <v>3.19</v>
      </c>
      <c r="D264">
        <v>2.7320000000000002</v>
      </c>
      <c r="E264">
        <v>2.9870000000000001</v>
      </c>
      <c r="F264">
        <v>5892450.7910000002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0.1135371179039303</v>
      </c>
      <c r="Q264">
        <f t="shared" si="965"/>
        <v>669011.88020087441</v>
      </c>
      <c r="R264">
        <f t="shared" si="966"/>
        <v>15485707.215305209</v>
      </c>
      <c r="S264">
        <f t="shared" si="967"/>
        <v>154.85707215305209</v>
      </c>
      <c r="T264">
        <f t="shared" si="968"/>
        <v>0.15485707215305208</v>
      </c>
    </row>
    <row r="265" spans="1:20" x14ac:dyDescent="0.25">
      <c r="A265" s="5">
        <v>44328</v>
      </c>
      <c r="B265">
        <v>3.3879999999999999</v>
      </c>
      <c r="C265">
        <v>3.7010000000000001</v>
      </c>
      <c r="D265">
        <v>2.8439999999999999</v>
      </c>
      <c r="E265">
        <v>2.9260000000000002</v>
      </c>
      <c r="F265">
        <v>7351745.6320000002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-0.80863477246207638</v>
      </c>
      <c r="Q265">
        <f t="shared" si="965"/>
        <v>-5944877.1563313836</v>
      </c>
      <c r="R265">
        <f t="shared" si="966"/>
        <v>14816695.335104335</v>
      </c>
      <c r="S265">
        <f t="shared" si="967"/>
        <v>148.16695335104336</v>
      </c>
      <c r="T265">
        <f t="shared" si="968"/>
        <v>0.14816695335104335</v>
      </c>
    </row>
    <row r="266" spans="1:20" x14ac:dyDescent="0.25">
      <c r="A266" s="5">
        <v>44327</v>
      </c>
      <c r="B266">
        <v>3.3010000000000002</v>
      </c>
      <c r="C266">
        <v>3.4369999999999998</v>
      </c>
      <c r="D266">
        <v>3.0609999999999999</v>
      </c>
      <c r="E266">
        <v>3.387</v>
      </c>
      <c r="F266">
        <v>4987370.0489999996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0.73404255319149025</v>
      </c>
      <c r="Q266">
        <f t="shared" si="965"/>
        <v>3660941.8444787278</v>
      </c>
      <c r="R266">
        <f t="shared" si="966"/>
        <v>20761572.491435718</v>
      </c>
      <c r="S266">
        <f t="shared" si="967"/>
        <v>207.61572491435717</v>
      </c>
      <c r="T266">
        <f t="shared" si="968"/>
        <v>0.20761572491435717</v>
      </c>
    </row>
    <row r="267" spans="1:20" x14ac:dyDescent="0.25">
      <c r="A267" s="5">
        <v>44326</v>
      </c>
      <c r="B267">
        <v>3.37</v>
      </c>
      <c r="C267">
        <v>3.9940000000000002</v>
      </c>
      <c r="D267">
        <v>2.98</v>
      </c>
      <c r="E267">
        <v>3.3010000000000002</v>
      </c>
      <c r="F267">
        <v>10819157.002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-0.36686390532544361</v>
      </c>
      <c r="Q267">
        <f t="shared" si="965"/>
        <v>-3969158.1900828383</v>
      </c>
      <c r="R267">
        <f t="shared" si="966"/>
        <v>17100630.646956991</v>
      </c>
      <c r="S267">
        <f t="shared" si="967"/>
        <v>171.00630646956992</v>
      </c>
      <c r="T267">
        <f t="shared" si="968"/>
        <v>0.17100630646956991</v>
      </c>
    </row>
    <row r="268" spans="1:20" x14ac:dyDescent="0.25">
      <c r="A268" s="5">
        <v>44325</v>
      </c>
      <c r="B268">
        <v>3.44</v>
      </c>
      <c r="C268">
        <v>3.4670000000000001</v>
      </c>
      <c r="D268">
        <v>3.206</v>
      </c>
      <c r="E268">
        <v>3.3679999999999999</v>
      </c>
      <c r="F268">
        <v>4291836.9230000004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0.2413793103448264</v>
      </c>
      <c r="Q268">
        <f t="shared" si="965"/>
        <v>1035960.636586202</v>
      </c>
      <c r="R268">
        <f t="shared" si="966"/>
        <v>21069788.837039828</v>
      </c>
      <c r="S268">
        <f t="shared" si="967"/>
        <v>210.69788837039829</v>
      </c>
      <c r="T268">
        <f t="shared" si="968"/>
        <v>0.2106978883703983</v>
      </c>
    </row>
    <row r="269" spans="1:20" x14ac:dyDescent="0.25">
      <c r="A269" s="5">
        <v>44324</v>
      </c>
      <c r="B269">
        <v>3.5369999999999999</v>
      </c>
      <c r="C269">
        <v>3.69</v>
      </c>
      <c r="D269">
        <v>3.3690000000000002</v>
      </c>
      <c r="E269">
        <v>3.4409999999999998</v>
      </c>
      <c r="F269">
        <v>5772965.0070000002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-0.55140186915888045</v>
      </c>
      <c r="Q269">
        <f t="shared" si="965"/>
        <v>-3183223.6954486095</v>
      </c>
      <c r="R269">
        <f t="shared" si="966"/>
        <v>20033828.200453628</v>
      </c>
      <c r="S269">
        <f t="shared" si="967"/>
        <v>200.33828200453627</v>
      </c>
      <c r="T269">
        <f t="shared" si="968"/>
        <v>0.20033828200453627</v>
      </c>
    </row>
    <row r="270" spans="1:20" x14ac:dyDescent="0.25">
      <c r="A270" s="5">
        <v>44323</v>
      </c>
      <c r="B270">
        <v>3.552</v>
      </c>
      <c r="C270">
        <v>4.25</v>
      </c>
      <c r="D270">
        <v>3.39</v>
      </c>
      <c r="E270">
        <v>3.54</v>
      </c>
      <c r="F270">
        <v>13431365.432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-0.65116279069767458</v>
      </c>
      <c r="Q270">
        <f t="shared" si="965"/>
        <v>-8746005.3975813966</v>
      </c>
      <c r="R270">
        <f t="shared" si="966"/>
        <v>23217051.895902239</v>
      </c>
      <c r="S270">
        <f t="shared" si="967"/>
        <v>232.17051895902239</v>
      </c>
      <c r="T270">
        <f t="shared" si="968"/>
        <v>0.23217051895902238</v>
      </c>
    </row>
    <row r="271" spans="1:20" x14ac:dyDescent="0.25">
      <c r="A271" s="5">
        <v>44322</v>
      </c>
      <c r="B271">
        <v>3.2850000000000001</v>
      </c>
      <c r="C271">
        <v>3.6</v>
      </c>
      <c r="D271">
        <v>3.1680000000000001</v>
      </c>
      <c r="E271">
        <v>3.556</v>
      </c>
      <c r="F271">
        <v>7473586.9529999997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0.79629629629629606</v>
      </c>
      <c r="Q271">
        <f t="shared" si="965"/>
        <v>5951189.6107222205</v>
      </c>
      <c r="R271">
        <f t="shared" si="966"/>
        <v>31963057.293483634</v>
      </c>
      <c r="S271">
        <f t="shared" si="967"/>
        <v>319.63057293483632</v>
      </c>
      <c r="T271">
        <f t="shared" si="968"/>
        <v>0.31963057293483632</v>
      </c>
    </row>
    <row r="272" spans="1:20" x14ac:dyDescent="0.25">
      <c r="A272" s="5">
        <v>44321</v>
      </c>
      <c r="B272">
        <v>2.9670000000000001</v>
      </c>
      <c r="C272">
        <v>3.29</v>
      </c>
      <c r="D272">
        <v>2.9350000000000001</v>
      </c>
      <c r="E272">
        <v>3.2839999999999998</v>
      </c>
      <c r="F272">
        <v>3132663.321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0.96619718309859026</v>
      </c>
      <c r="Q272">
        <f t="shared" si="965"/>
        <v>3026770.4763464746</v>
      </c>
      <c r="R272">
        <f t="shared" si="966"/>
        <v>26011867.682761412</v>
      </c>
      <c r="S272">
        <f t="shared" si="967"/>
        <v>260.11867682761414</v>
      </c>
      <c r="T272">
        <f t="shared" si="968"/>
        <v>0.26011867682761414</v>
      </c>
    </row>
    <row r="273" spans="1:20" x14ac:dyDescent="0.25">
      <c r="A273" s="5">
        <v>44320</v>
      </c>
      <c r="B273">
        <v>3.423</v>
      </c>
      <c r="C273">
        <v>3.4340000000000002</v>
      </c>
      <c r="D273">
        <v>2.9140000000000001</v>
      </c>
      <c r="E273">
        <v>2.9670000000000001</v>
      </c>
      <c r="F273">
        <v>4563382.1119999997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-0.79615384615384643</v>
      </c>
      <c r="Q273">
        <f t="shared" si="965"/>
        <v>-3633154.2199384626</v>
      </c>
      <c r="R273">
        <f t="shared" si="966"/>
        <v>22985097.206414938</v>
      </c>
      <c r="S273">
        <f t="shared" si="967"/>
        <v>229.85097206414937</v>
      </c>
      <c r="T273">
        <f t="shared" si="968"/>
        <v>0.22985097206414937</v>
      </c>
    </row>
    <row r="274" spans="1:20" x14ac:dyDescent="0.25">
      <c r="A274" s="5">
        <v>44319</v>
      </c>
      <c r="B274">
        <v>3.1739999999999999</v>
      </c>
      <c r="C274">
        <v>3.4849999999999999</v>
      </c>
      <c r="D274">
        <v>3.17</v>
      </c>
      <c r="E274">
        <v>3.419</v>
      </c>
      <c r="F274">
        <v>5410965.8229999999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0.58095238095238189</v>
      </c>
      <c r="Q274">
        <f t="shared" si="965"/>
        <v>3143513.4781238143</v>
      </c>
      <c r="R274">
        <f t="shared" si="966"/>
        <v>26618251.426353402</v>
      </c>
      <c r="S274">
        <f t="shared" si="967"/>
        <v>266.18251426353402</v>
      </c>
      <c r="T274">
        <f t="shared" si="968"/>
        <v>0.26618251426353401</v>
      </c>
    </row>
    <row r="275" spans="1:20" x14ac:dyDescent="0.25">
      <c r="A275" s="5">
        <v>44318</v>
      </c>
      <c r="B275">
        <v>3.335</v>
      </c>
      <c r="C275">
        <v>3.3610000000000002</v>
      </c>
      <c r="D275">
        <v>3.0870000000000002</v>
      </c>
      <c r="E275">
        <v>3.173</v>
      </c>
      <c r="F275">
        <v>3513877.8360000001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-0.37226277372262884</v>
      </c>
      <c r="Q275">
        <f t="shared" si="965"/>
        <v>-1308085.9097518288</v>
      </c>
      <c r="R275">
        <f t="shared" si="966"/>
        <v>23474737.948229589</v>
      </c>
      <c r="S275">
        <f t="shared" si="967"/>
        <v>234.74737948229588</v>
      </c>
      <c r="T275">
        <f t="shared" si="968"/>
        <v>0.23474737948229588</v>
      </c>
    </row>
    <row r="276" spans="1:20" x14ac:dyDescent="0.25">
      <c r="A276" s="5">
        <v>44317</v>
      </c>
      <c r="B276">
        <v>3.2610000000000001</v>
      </c>
      <c r="C276">
        <v>3.39</v>
      </c>
      <c r="D276">
        <v>3.1379999999999999</v>
      </c>
      <c r="E276">
        <v>3.3319999999999999</v>
      </c>
      <c r="F276">
        <v>3711409.341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0.53968253968253788</v>
      </c>
      <c r="Q276">
        <f t="shared" si="965"/>
        <v>2002982.8189523742</v>
      </c>
      <c r="R276">
        <f t="shared" si="966"/>
        <v>24782823.857981417</v>
      </c>
      <c r="S276">
        <f t="shared" si="967"/>
        <v>247.82823857981418</v>
      </c>
      <c r="T276">
        <f t="shared" si="968"/>
        <v>0.24782823857981418</v>
      </c>
    </row>
    <row r="277" spans="1:20" x14ac:dyDescent="0.25">
      <c r="A277" s="5">
        <v>44316</v>
      </c>
      <c r="B277">
        <v>3.0739999999999998</v>
      </c>
      <c r="C277">
        <v>3.33</v>
      </c>
      <c r="D277">
        <v>3.012</v>
      </c>
      <c r="E277">
        <v>3.2629999999999999</v>
      </c>
      <c r="F277">
        <v>3384162.2429999998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0.57861635220125684</v>
      </c>
      <c r="Q277">
        <f t="shared" si="965"/>
        <v>1958131.6123018833</v>
      </c>
      <c r="R277">
        <f t="shared" si="966"/>
        <v>22779841.039029043</v>
      </c>
      <c r="S277">
        <f t="shared" si="967"/>
        <v>227.79841039029043</v>
      </c>
      <c r="T277">
        <f t="shared" si="968"/>
        <v>0.22779841039029042</v>
      </c>
    </row>
    <row r="278" spans="1:20" x14ac:dyDescent="0.25">
      <c r="A278" s="5">
        <v>44315</v>
      </c>
      <c r="B278">
        <v>3.1230000000000002</v>
      </c>
      <c r="C278">
        <v>3.36</v>
      </c>
      <c r="D278">
        <v>2.98</v>
      </c>
      <c r="E278">
        <v>3.077</v>
      </c>
      <c r="F278">
        <v>4638393.8779999996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-0.48947368421052628</v>
      </c>
      <c r="Q278">
        <f t="shared" si="965"/>
        <v>-2270371.7402842101</v>
      </c>
      <c r="R278">
        <f t="shared" si="966"/>
        <v>20821709.426727161</v>
      </c>
      <c r="S278">
        <f t="shared" si="967"/>
        <v>208.21709426727162</v>
      </c>
      <c r="T278">
        <f t="shared" si="968"/>
        <v>0.20821709426727161</v>
      </c>
    </row>
    <row r="279" spans="1:20" x14ac:dyDescent="0.25">
      <c r="A279" s="5">
        <v>44314</v>
      </c>
      <c r="B279">
        <v>3.25</v>
      </c>
      <c r="C279">
        <v>3.2829999999999999</v>
      </c>
      <c r="D279">
        <v>2.8460000000000001</v>
      </c>
      <c r="E279">
        <v>3.1190000000000002</v>
      </c>
      <c r="F279">
        <v>4886119.2429999998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0.24942791762013838</v>
      </c>
      <c r="Q279">
        <f t="shared" si="965"/>
        <v>1218734.5480251769</v>
      </c>
      <c r="R279">
        <f t="shared" si="966"/>
        <v>23092081.167011373</v>
      </c>
      <c r="S279">
        <f t="shared" si="967"/>
        <v>230.92081167011372</v>
      </c>
      <c r="T279">
        <f t="shared" si="968"/>
        <v>0.23092081167011372</v>
      </c>
    </row>
    <row r="280" spans="1:20" x14ac:dyDescent="0.25">
      <c r="A280" s="5">
        <v>44313</v>
      </c>
      <c r="B280">
        <v>2.7810000000000001</v>
      </c>
      <c r="C280">
        <v>3.3279999999999998</v>
      </c>
      <c r="D280">
        <v>2.7309999999999999</v>
      </c>
      <c r="E280">
        <v>3.25</v>
      </c>
      <c r="F280">
        <v>7387698.3619999997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0.73869346733668395</v>
      </c>
      <c r="Q280">
        <f t="shared" si="965"/>
        <v>5457244.5186633207</v>
      </c>
      <c r="R280">
        <f t="shared" si="966"/>
        <v>21873346.618986197</v>
      </c>
      <c r="S280">
        <f t="shared" si="967"/>
        <v>218.73346618986196</v>
      </c>
      <c r="T280">
        <f t="shared" si="968"/>
        <v>0.21873346618986195</v>
      </c>
    </row>
    <row r="281" spans="1:20" x14ac:dyDescent="0.25">
      <c r="A281" s="5">
        <v>44312</v>
      </c>
      <c r="B281">
        <v>2.4079999999999999</v>
      </c>
      <c r="C281">
        <v>2.8050000000000002</v>
      </c>
      <c r="D281">
        <v>2.39</v>
      </c>
      <c r="E281">
        <v>2.7829999999999999</v>
      </c>
      <c r="F281">
        <v>3722779.4130000002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0.89397590361445667</v>
      </c>
      <c r="Q281">
        <f t="shared" si="965"/>
        <v>3328075.0896939719</v>
      </c>
      <c r="R281">
        <f t="shared" si="966"/>
        <v>16416102.100322876</v>
      </c>
      <c r="S281">
        <f t="shared" si="967"/>
        <v>164.16102100322877</v>
      </c>
      <c r="T281">
        <f t="shared" si="968"/>
        <v>0.16416102100322877</v>
      </c>
    </row>
    <row r="282" spans="1:20" x14ac:dyDescent="0.25">
      <c r="A282" s="5">
        <v>44311</v>
      </c>
      <c r="B282">
        <v>2.3610000000000002</v>
      </c>
      <c r="C282">
        <v>2.6320000000000001</v>
      </c>
      <c r="D282">
        <v>2.2570000000000001</v>
      </c>
      <c r="E282">
        <v>2.407</v>
      </c>
      <c r="F282">
        <v>3030938.5419999999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-0.20000000000000048</v>
      </c>
      <c r="Q282">
        <f t="shared" si="965"/>
        <v>-606187.7084000014</v>
      </c>
      <c r="R282">
        <f t="shared" si="966"/>
        <v>13088027.010628905</v>
      </c>
      <c r="S282">
        <f t="shared" si="967"/>
        <v>130.88027010628906</v>
      </c>
      <c r="T282">
        <f t="shared" si="968"/>
        <v>0.13088027010628905</v>
      </c>
    </row>
    <row r="283" spans="1:20" x14ac:dyDescent="0.25">
      <c r="A283" s="5">
        <v>44310</v>
      </c>
      <c r="B283">
        <v>2.54</v>
      </c>
      <c r="C283">
        <v>2.5529999999999999</v>
      </c>
      <c r="D283">
        <v>2.2730000000000001</v>
      </c>
      <c r="E283">
        <v>2.3610000000000002</v>
      </c>
      <c r="F283">
        <v>2601726.284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-0.37142857142857044</v>
      </c>
      <c r="Q283">
        <f t="shared" si="965"/>
        <v>-966355.47691428312</v>
      </c>
      <c r="R283">
        <f t="shared" si="966"/>
        <v>13694214.719028907</v>
      </c>
      <c r="S283">
        <f t="shared" si="967"/>
        <v>136.94214719028906</v>
      </c>
      <c r="T283">
        <f t="shared" si="968"/>
        <v>0.13694214719028908</v>
      </c>
    </row>
    <row r="284" spans="1:20" x14ac:dyDescent="0.25">
      <c r="A284" s="5">
        <v>44309</v>
      </c>
      <c r="B284">
        <v>2.6320000000000001</v>
      </c>
      <c r="C284">
        <v>2.698</v>
      </c>
      <c r="D284">
        <v>2.226</v>
      </c>
      <c r="E284">
        <v>2.544</v>
      </c>
      <c r="F284">
        <v>8158288.7800000003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0.34745762711864442</v>
      </c>
      <c r="Q284">
        <f t="shared" si="965"/>
        <v>2834659.6608474604</v>
      </c>
      <c r="R284">
        <f t="shared" si="966"/>
        <v>14660570.19594319</v>
      </c>
      <c r="S284">
        <f t="shared" si="967"/>
        <v>146.60570195943191</v>
      </c>
      <c r="T284">
        <f t="shared" si="968"/>
        <v>0.1466057019594319</v>
      </c>
    </row>
    <row r="285" spans="1:20" x14ac:dyDescent="0.25">
      <c r="A285" s="5">
        <v>44308</v>
      </c>
      <c r="B285">
        <v>3.0249999999999999</v>
      </c>
      <c r="C285">
        <v>3.14</v>
      </c>
      <c r="D285">
        <v>2.601</v>
      </c>
      <c r="E285">
        <v>2.6320000000000001</v>
      </c>
      <c r="F285">
        <v>6757519.0029999996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-0.88497217068645595</v>
      </c>
      <c r="Q285">
        <f t="shared" si="965"/>
        <v>-5980216.2605398856</v>
      </c>
      <c r="R285">
        <f t="shared" si="966"/>
        <v>11825910.535095729</v>
      </c>
      <c r="S285">
        <f t="shared" si="967"/>
        <v>118.25910535095728</v>
      </c>
      <c r="T285">
        <f t="shared" si="968"/>
        <v>0.11825910535095728</v>
      </c>
    </row>
    <row r="286" spans="1:20" x14ac:dyDescent="0.25">
      <c r="A286" s="5">
        <v>44307</v>
      </c>
      <c r="B286">
        <v>2.956</v>
      </c>
      <c r="C286">
        <v>3.4239999999999999</v>
      </c>
      <c r="D286">
        <v>2.883</v>
      </c>
      <c r="E286">
        <v>3.0259999999999998</v>
      </c>
      <c r="F286">
        <v>11036208.892000001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-0.47134935304990827</v>
      </c>
      <c r="Q286">
        <f t="shared" si="965"/>
        <v>-5201909.9213678455</v>
      </c>
      <c r="R286">
        <f t="shared" si="966"/>
        <v>17806126.795635615</v>
      </c>
      <c r="S286">
        <f t="shared" si="967"/>
        <v>178.06126795635615</v>
      </c>
      <c r="T286">
        <f t="shared" si="968"/>
        <v>0.17806126795635616</v>
      </c>
    </row>
    <row r="287" spans="1:20" x14ac:dyDescent="0.25">
      <c r="A287" s="5">
        <v>44306</v>
      </c>
      <c r="B287">
        <v>2.786</v>
      </c>
      <c r="C287">
        <v>3.08</v>
      </c>
      <c r="D287">
        <v>2.4470000000000001</v>
      </c>
      <c r="E287">
        <v>2.956</v>
      </c>
      <c r="F287">
        <v>7868040.1189999999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0.60821484992101071</v>
      </c>
      <c r="Q287">
        <f t="shared" si="965"/>
        <v>4785458.840150076</v>
      </c>
      <c r="R287">
        <f t="shared" si="966"/>
        <v>23008036.717003461</v>
      </c>
      <c r="S287">
        <f t="shared" si="967"/>
        <v>230.08036717003461</v>
      </c>
      <c r="T287">
        <f t="shared" si="968"/>
        <v>0.23008036717003461</v>
      </c>
    </row>
    <row r="288" spans="1:20" x14ac:dyDescent="0.25">
      <c r="A288" s="5">
        <v>44305</v>
      </c>
      <c r="B288">
        <v>3.024</v>
      </c>
      <c r="C288">
        <v>3.1459999999999999</v>
      </c>
      <c r="D288">
        <v>2.66</v>
      </c>
      <c r="E288">
        <v>2.786</v>
      </c>
      <c r="F288">
        <v>5153028.0449999999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-0.48148148148148168</v>
      </c>
      <c r="Q288">
        <f t="shared" si="965"/>
        <v>-2481087.5772222234</v>
      </c>
      <c r="R288">
        <f t="shared" si="966"/>
        <v>18222577.876853384</v>
      </c>
      <c r="S288">
        <f t="shared" si="967"/>
        <v>182.22577876853384</v>
      </c>
      <c r="T288">
        <f t="shared" si="968"/>
        <v>0.18222577876853385</v>
      </c>
    </row>
    <row r="289" spans="1:20" x14ac:dyDescent="0.25">
      <c r="A289" s="5">
        <v>44304</v>
      </c>
      <c r="B289">
        <v>3.347</v>
      </c>
      <c r="C289">
        <v>3.3849999999999998</v>
      </c>
      <c r="D289">
        <v>2.5609999999999999</v>
      </c>
      <c r="E289">
        <v>3.0259999999999998</v>
      </c>
      <c r="F289">
        <v>6999612.8140000002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0.12864077669902899</v>
      </c>
      <c r="Q289">
        <f t="shared" si="965"/>
        <v>900435.62898543593</v>
      </c>
      <c r="R289">
        <f t="shared" si="966"/>
        <v>20703665.454075608</v>
      </c>
      <c r="S289">
        <f t="shared" si="967"/>
        <v>207.03665454075607</v>
      </c>
      <c r="T289">
        <f t="shared" si="968"/>
        <v>0.20703665454075607</v>
      </c>
    </row>
    <row r="290" spans="1:20" x14ac:dyDescent="0.25">
      <c r="A290" s="5">
        <v>44303</v>
      </c>
      <c r="B290">
        <v>3.5790000000000002</v>
      </c>
      <c r="C290">
        <v>3.61</v>
      </c>
      <c r="D290">
        <v>3.3029999999999999</v>
      </c>
      <c r="E290">
        <v>3.347</v>
      </c>
      <c r="F290">
        <v>3079210.7259999998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-0.7133550488599345</v>
      </c>
      <c r="Q290">
        <f t="shared" si="965"/>
        <v>-2196570.5178957642</v>
      </c>
      <c r="R290">
        <f t="shared" si="966"/>
        <v>19803229.825090174</v>
      </c>
      <c r="S290">
        <f t="shared" si="967"/>
        <v>198.03229825090173</v>
      </c>
      <c r="T290">
        <f t="shared" si="968"/>
        <v>0.19803229825090174</v>
      </c>
    </row>
    <row r="291" spans="1:20" x14ac:dyDescent="0.25">
      <c r="A291" s="5">
        <v>44302</v>
      </c>
      <c r="B291">
        <v>3.5529999999999999</v>
      </c>
      <c r="C291">
        <v>3.597</v>
      </c>
      <c r="D291">
        <v>3.226</v>
      </c>
      <c r="E291">
        <v>3.58</v>
      </c>
      <c r="F291">
        <v>4882977.5140000004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0.90835579514824849</v>
      </c>
      <c r="Q291">
        <f t="shared" si="965"/>
        <v>4435480.9224204877</v>
      </c>
      <c r="R291">
        <f t="shared" si="966"/>
        <v>21999800.342985939</v>
      </c>
      <c r="S291">
        <f t="shared" si="967"/>
        <v>219.99800342985938</v>
      </c>
      <c r="T291">
        <f t="shared" si="968"/>
        <v>0.21999800342985937</v>
      </c>
    </row>
    <row r="292" spans="1:20" x14ac:dyDescent="0.25">
      <c r="A292" s="5">
        <v>44301</v>
      </c>
      <c r="B292">
        <v>3.4089999999999998</v>
      </c>
      <c r="C292">
        <v>3.649</v>
      </c>
      <c r="D292">
        <v>3.3769999999999998</v>
      </c>
      <c r="E292">
        <v>3.548</v>
      </c>
      <c r="F292">
        <v>2875886.2790000001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0.25735294117647139</v>
      </c>
      <c r="Q292">
        <f t="shared" si="965"/>
        <v>740117.79238970822</v>
      </c>
      <c r="R292">
        <f t="shared" si="966"/>
        <v>17564319.420565452</v>
      </c>
      <c r="S292">
        <f t="shared" si="967"/>
        <v>175.64319420565454</v>
      </c>
      <c r="T292">
        <f t="shared" si="968"/>
        <v>0.17564319420565455</v>
      </c>
    </row>
    <row r="293" spans="1:20" x14ac:dyDescent="0.25">
      <c r="A293" s="5">
        <v>44300</v>
      </c>
      <c r="B293">
        <v>3.5630000000000002</v>
      </c>
      <c r="C293">
        <v>3.585</v>
      </c>
      <c r="D293">
        <v>3.214</v>
      </c>
      <c r="E293">
        <v>3.4060000000000001</v>
      </c>
      <c r="F293">
        <v>3906913.6770000001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3.5040431266847291E-2</v>
      </c>
      <c r="Q293">
        <f t="shared" si="965"/>
        <v>136899.94016442413</v>
      </c>
      <c r="R293">
        <f t="shared" si="966"/>
        <v>16824201.628175743</v>
      </c>
      <c r="S293">
        <f t="shared" si="967"/>
        <v>168.24201628175743</v>
      </c>
      <c r="T293">
        <f t="shared" si="968"/>
        <v>0.16824201628175742</v>
      </c>
    </row>
    <row r="294" spans="1:20" x14ac:dyDescent="0.25">
      <c r="A294" s="5">
        <v>44299</v>
      </c>
      <c r="B294">
        <v>3.5179999999999998</v>
      </c>
      <c r="C294">
        <v>3.6389999999999998</v>
      </c>
      <c r="D294">
        <v>3.3759999999999999</v>
      </c>
      <c r="E294">
        <v>3.5630000000000002</v>
      </c>
      <c r="F294">
        <v>4220947.6550000003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0.42205323193916616</v>
      </c>
      <c r="Q294">
        <f t="shared" si="965"/>
        <v>1781464.5996387945</v>
      </c>
      <c r="R294">
        <f t="shared" si="966"/>
        <v>16687301.688011318</v>
      </c>
      <c r="S294">
        <f t="shared" si="967"/>
        <v>166.8730168801132</v>
      </c>
      <c r="T294">
        <f t="shared" si="968"/>
        <v>0.16687301688011319</v>
      </c>
    </row>
    <row r="295" spans="1:20" x14ac:dyDescent="0.25">
      <c r="A295" s="5">
        <v>44298</v>
      </c>
      <c r="B295">
        <v>3.6629999999999998</v>
      </c>
      <c r="C295">
        <v>3.9540000000000002</v>
      </c>
      <c r="D295">
        <v>3.4289999999999998</v>
      </c>
      <c r="E295">
        <v>3.512</v>
      </c>
      <c r="F295">
        <v>5494939.3430000003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-0.68380952380952331</v>
      </c>
      <c r="Q295">
        <f t="shared" si="965"/>
        <v>-3757491.855499045</v>
      </c>
      <c r="R295">
        <f t="shared" si="966"/>
        <v>14905837.088372525</v>
      </c>
      <c r="S295">
        <f t="shared" si="967"/>
        <v>149.05837088372525</v>
      </c>
      <c r="T295">
        <f t="shared" si="968"/>
        <v>0.14905837088372526</v>
      </c>
    </row>
    <row r="296" spans="1:20" x14ac:dyDescent="0.25">
      <c r="A296" s="5">
        <v>44297</v>
      </c>
      <c r="B296">
        <v>3.7749999999999999</v>
      </c>
      <c r="C296">
        <v>3.8149999999999999</v>
      </c>
      <c r="D296">
        <v>3.5</v>
      </c>
      <c r="E296">
        <v>3.6669999999999998</v>
      </c>
      <c r="F296">
        <v>5700703.8370000003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6.0317460317459326E-2</v>
      </c>
      <c r="Q296">
        <f t="shared" si="965"/>
        <v>343851.97746983566</v>
      </c>
      <c r="R296">
        <f t="shared" si="966"/>
        <v>18663328.943871569</v>
      </c>
      <c r="S296">
        <f t="shared" si="967"/>
        <v>186.63328943871568</v>
      </c>
      <c r="T296">
        <f t="shared" si="968"/>
        <v>0.18663328943871568</v>
      </c>
    </row>
    <row r="297" spans="1:20" x14ac:dyDescent="0.25">
      <c r="A297" s="5">
        <v>44296</v>
      </c>
      <c r="B297">
        <v>3.41</v>
      </c>
      <c r="C297">
        <v>4.3600000000000003</v>
      </c>
      <c r="D297">
        <v>3.3140000000000001</v>
      </c>
      <c r="E297">
        <v>3.778</v>
      </c>
      <c r="F297">
        <v>19147047.907000002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-0.11281070745697926</v>
      </c>
      <c r="Q297">
        <f t="shared" si="965"/>
        <v>-2159992.0201013442</v>
      </c>
      <c r="R297">
        <f t="shared" si="966"/>
        <v>18319476.966401733</v>
      </c>
      <c r="S297">
        <f t="shared" si="967"/>
        <v>183.19476966401734</v>
      </c>
      <c r="T297">
        <f t="shared" si="968"/>
        <v>0.18319476966401735</v>
      </c>
    </row>
    <row r="298" spans="1:20" x14ac:dyDescent="0.25">
      <c r="A298" s="5">
        <v>44295</v>
      </c>
      <c r="B298">
        <v>3.3159999999999998</v>
      </c>
      <c r="C298">
        <v>3.5089999999999999</v>
      </c>
      <c r="D298">
        <v>3.2130000000000001</v>
      </c>
      <c r="E298">
        <v>3.407</v>
      </c>
      <c r="F298">
        <v>4302609.1789999995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0.3108108108108113</v>
      </c>
      <c r="Q298">
        <f t="shared" si="965"/>
        <v>1337297.4475270291</v>
      </c>
      <c r="R298">
        <f t="shared" si="966"/>
        <v>20479468.986503076</v>
      </c>
      <c r="S298">
        <f t="shared" si="967"/>
        <v>204.79468986503076</v>
      </c>
      <c r="T298">
        <f t="shared" si="968"/>
        <v>0.20479468986503077</v>
      </c>
    </row>
    <row r="299" spans="1:20" x14ac:dyDescent="0.25">
      <c r="A299" s="5">
        <v>44294</v>
      </c>
      <c r="B299">
        <v>3.0659999999999998</v>
      </c>
      <c r="C299">
        <v>3.387</v>
      </c>
      <c r="D299">
        <v>3.05</v>
      </c>
      <c r="E299">
        <v>3.3210000000000002</v>
      </c>
      <c r="F299">
        <v>3648568.8050000002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0.60830860534124753</v>
      </c>
      <c r="Q299">
        <f t="shared" si="965"/>
        <v>2219455.8012611321</v>
      </c>
      <c r="R299">
        <f t="shared" si="966"/>
        <v>19142171.538976047</v>
      </c>
      <c r="S299">
        <f t="shared" si="967"/>
        <v>191.42171538976046</v>
      </c>
      <c r="T299">
        <f t="shared" si="968"/>
        <v>0.19142171538976047</v>
      </c>
    </row>
    <row r="300" spans="1:20" x14ac:dyDescent="0.25">
      <c r="A300" s="5">
        <v>44293</v>
      </c>
      <c r="B300">
        <v>3.4430000000000001</v>
      </c>
      <c r="C300">
        <v>3.5369999999999999</v>
      </c>
      <c r="D300">
        <v>2.871</v>
      </c>
      <c r="E300">
        <v>3.0680000000000001</v>
      </c>
      <c r="F300">
        <v>6927371.6849999996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-0.40840840840840814</v>
      </c>
      <c r="Q300">
        <f t="shared" si="965"/>
        <v>-2829196.8443243224</v>
      </c>
      <c r="R300">
        <f t="shared" si="966"/>
        <v>16922715.737714916</v>
      </c>
      <c r="S300">
        <f t="shared" si="967"/>
        <v>169.22715737714915</v>
      </c>
      <c r="T300">
        <f t="shared" si="968"/>
        <v>0.16922715737714916</v>
      </c>
    </row>
    <row r="301" spans="1:20" x14ac:dyDescent="0.25">
      <c r="A301" s="5">
        <v>44292</v>
      </c>
      <c r="B301">
        <v>3.2829999999999999</v>
      </c>
      <c r="C301">
        <v>3.613</v>
      </c>
      <c r="D301">
        <v>3.2440000000000002</v>
      </c>
      <c r="E301">
        <v>3.448</v>
      </c>
      <c r="F301">
        <v>5574373.5029999996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0.10569105691056836</v>
      </c>
      <c r="Q301">
        <f t="shared" si="965"/>
        <v>589161.42714633723</v>
      </c>
      <c r="R301">
        <f t="shared" si="966"/>
        <v>19751912.582039237</v>
      </c>
      <c r="S301">
        <f t="shared" si="967"/>
        <v>197.51912582039236</v>
      </c>
      <c r="T301">
        <f t="shared" si="968"/>
        <v>0.19751912582039235</v>
      </c>
    </row>
    <row r="302" spans="1:20" x14ac:dyDescent="0.25">
      <c r="A302" s="5">
        <v>44291</v>
      </c>
      <c r="B302">
        <v>3.3769999999999998</v>
      </c>
      <c r="C302">
        <v>3.58</v>
      </c>
      <c r="D302">
        <v>3.1379999999999999</v>
      </c>
      <c r="E302">
        <v>3.278</v>
      </c>
      <c r="F302">
        <v>6477735.0219999999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-0.3665158371040721</v>
      </c>
      <c r="Q302">
        <f t="shared" si="965"/>
        <v>-2374192.4741266947</v>
      </c>
      <c r="R302">
        <f t="shared" si="966"/>
        <v>19162751.154892899</v>
      </c>
      <c r="S302">
        <f t="shared" si="967"/>
        <v>191.62751154892899</v>
      </c>
      <c r="T302">
        <f t="shared" si="968"/>
        <v>0.19162751154892899</v>
      </c>
    </row>
    <row r="303" spans="1:20" x14ac:dyDescent="0.25">
      <c r="A303" s="5">
        <v>44290</v>
      </c>
      <c r="B303">
        <v>3.25</v>
      </c>
      <c r="C303">
        <v>3.51</v>
      </c>
      <c r="D303">
        <v>3.22</v>
      </c>
      <c r="E303">
        <v>3.3769999999999998</v>
      </c>
      <c r="F303">
        <v>5254457.2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8.2758620689653825E-2</v>
      </c>
      <c r="Q303">
        <f t="shared" si="965"/>
        <v>434851.6303448205</v>
      </c>
      <c r="R303">
        <f t="shared" si="966"/>
        <v>21536943.629019592</v>
      </c>
      <c r="S303">
        <f t="shared" si="967"/>
        <v>215.36943629019592</v>
      </c>
      <c r="T303">
        <f t="shared" si="968"/>
        <v>0.21536943629019592</v>
      </c>
    </row>
    <row r="304" spans="1:20" x14ac:dyDescent="0.25">
      <c r="A304" s="5">
        <v>44289</v>
      </c>
      <c r="B304">
        <v>3.0430000000000001</v>
      </c>
      <c r="C304">
        <v>3.8</v>
      </c>
      <c r="D304">
        <v>3.0169999999999999</v>
      </c>
      <c r="E304">
        <v>3.2490000000000001</v>
      </c>
      <c r="F304">
        <v>17030946.844000001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-0.40740740740740683</v>
      </c>
      <c r="Q304">
        <f t="shared" si="965"/>
        <v>-6938533.899407398</v>
      </c>
      <c r="R304">
        <f t="shared" si="966"/>
        <v>21102091.998674773</v>
      </c>
      <c r="S304">
        <f t="shared" si="967"/>
        <v>211.02091998674771</v>
      </c>
      <c r="T304">
        <f t="shared" si="968"/>
        <v>0.21102091998674771</v>
      </c>
    </row>
    <row r="305" spans="1:20" x14ac:dyDescent="0.25">
      <c r="A305" s="5">
        <v>44288</v>
      </c>
      <c r="B305">
        <v>2.92</v>
      </c>
      <c r="C305">
        <v>3.1</v>
      </c>
      <c r="D305">
        <v>2.7759999999999998</v>
      </c>
      <c r="E305">
        <v>3.04</v>
      </c>
      <c r="F305">
        <v>5097500.2290000003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0.62962962962962965</v>
      </c>
      <c r="Q305">
        <f t="shared" si="965"/>
        <v>3209537.1812222223</v>
      </c>
      <c r="R305">
        <f t="shared" si="966"/>
        <v>28040625.898082171</v>
      </c>
      <c r="S305">
        <f t="shared" si="967"/>
        <v>280.40625898082169</v>
      </c>
      <c r="T305">
        <f t="shared" si="968"/>
        <v>0.28040625898082167</v>
      </c>
    </row>
    <row r="306" spans="1:20" x14ac:dyDescent="0.25">
      <c r="A306" s="5">
        <v>44287</v>
      </c>
      <c r="B306">
        <v>2.722</v>
      </c>
      <c r="C306">
        <v>2.956</v>
      </c>
      <c r="D306">
        <v>2.65</v>
      </c>
      <c r="E306">
        <v>2.92</v>
      </c>
      <c r="F306">
        <v>4509868.6960000005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0.76470588235294101</v>
      </c>
      <c r="Q306">
        <f t="shared" si="965"/>
        <v>3448723.1204705876</v>
      </c>
      <c r="R306">
        <f t="shared" si="966"/>
        <v>24831088.716859948</v>
      </c>
      <c r="S306">
        <f t="shared" si="967"/>
        <v>248.31088716859949</v>
      </c>
      <c r="T306">
        <f t="shared" si="968"/>
        <v>0.2483108871685995</v>
      </c>
    </row>
    <row r="307" spans="1:20" x14ac:dyDescent="0.25">
      <c r="A307" s="5">
        <v>44286</v>
      </c>
      <c r="B307">
        <v>2.798</v>
      </c>
      <c r="C307">
        <v>2.8889999999999998</v>
      </c>
      <c r="D307">
        <v>2.5720000000000001</v>
      </c>
      <c r="E307">
        <v>2.72</v>
      </c>
      <c r="F307">
        <v>4139996.9989999998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-6.6246056782332752E-2</v>
      </c>
      <c r="Q307">
        <f t="shared" si="965"/>
        <v>-274258.47627444117</v>
      </c>
      <c r="R307">
        <f t="shared" si="966"/>
        <v>21382365.596389361</v>
      </c>
      <c r="S307">
        <f t="shared" si="967"/>
        <v>213.8236559638936</v>
      </c>
      <c r="T307">
        <f t="shared" si="968"/>
        <v>0.21382365596389361</v>
      </c>
    </row>
    <row r="308" spans="1:20" x14ac:dyDescent="0.25">
      <c r="A308" s="5">
        <v>44285</v>
      </c>
      <c r="B308">
        <v>2.7669999999999999</v>
      </c>
      <c r="C308">
        <v>2.8740000000000001</v>
      </c>
      <c r="D308">
        <v>2.6669999999999998</v>
      </c>
      <c r="E308">
        <v>2.802</v>
      </c>
      <c r="F308">
        <v>4185842.392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0.30434782608695687</v>
      </c>
      <c r="Q308">
        <f t="shared" si="965"/>
        <v>1273952.0323478275</v>
      </c>
      <c r="R308">
        <f t="shared" si="966"/>
        <v>21656624.072663803</v>
      </c>
      <c r="S308">
        <f t="shared" si="967"/>
        <v>216.56624072663803</v>
      </c>
      <c r="T308">
        <f t="shared" si="968"/>
        <v>0.21656624072663802</v>
      </c>
    </row>
    <row r="309" spans="1:20" x14ac:dyDescent="0.25">
      <c r="A309" s="5">
        <v>44284</v>
      </c>
      <c r="B309">
        <v>2.6560000000000001</v>
      </c>
      <c r="C309">
        <v>2.7949999999999999</v>
      </c>
      <c r="D309">
        <v>2.589</v>
      </c>
      <c r="E309">
        <v>2.7679999999999998</v>
      </c>
      <c r="F309">
        <v>4711668.2249999996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0.73786407766990159</v>
      </c>
      <c r="Q309">
        <f t="shared" si="965"/>
        <v>3476570.7291262071</v>
      </c>
      <c r="R309">
        <f t="shared" si="966"/>
        <v>20382672.040315975</v>
      </c>
      <c r="S309">
        <f t="shared" si="967"/>
        <v>203.82672040315975</v>
      </c>
      <c r="T309">
        <f t="shared" si="968"/>
        <v>0.20382672040315974</v>
      </c>
    </row>
    <row r="310" spans="1:20" x14ac:dyDescent="0.25">
      <c r="A310" s="5">
        <v>44283</v>
      </c>
      <c r="B310">
        <v>2.4660000000000002</v>
      </c>
      <c r="C310">
        <v>2.6629999999999998</v>
      </c>
      <c r="D310">
        <v>2.4350000000000001</v>
      </c>
      <c r="E310">
        <v>2.657</v>
      </c>
      <c r="F310">
        <v>4072686.9419999998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0.94736842105263341</v>
      </c>
      <c r="Q310">
        <f t="shared" si="965"/>
        <v>3858334.997684218</v>
      </c>
      <c r="R310">
        <f t="shared" si="966"/>
        <v>16906101.311189767</v>
      </c>
      <c r="S310">
        <f t="shared" si="967"/>
        <v>169.06101311189767</v>
      </c>
      <c r="T310">
        <f t="shared" si="968"/>
        <v>0.16906101311189767</v>
      </c>
    </row>
    <row r="311" spans="1:20" x14ac:dyDescent="0.25">
      <c r="A311" s="5">
        <v>44282</v>
      </c>
      <c r="B311">
        <v>2.4489999999999998</v>
      </c>
      <c r="C311">
        <v>2.6429999999999998</v>
      </c>
      <c r="D311">
        <v>2.4249999999999998</v>
      </c>
      <c r="E311">
        <v>2.4670000000000001</v>
      </c>
      <c r="F311">
        <v>4735651.2060000002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-0.61467889908256634</v>
      </c>
      <c r="Q311">
        <f t="shared" si="965"/>
        <v>-2910904.8697431078</v>
      </c>
      <c r="R311">
        <f t="shared" si="966"/>
        <v>13047766.313505549</v>
      </c>
      <c r="S311">
        <f t="shared" si="967"/>
        <v>130.47766313505548</v>
      </c>
      <c r="T311">
        <f t="shared" si="968"/>
        <v>0.13047766313505549</v>
      </c>
    </row>
    <row r="312" spans="1:20" x14ac:dyDescent="0.25">
      <c r="A312" s="5">
        <v>44281</v>
      </c>
      <c r="B312">
        <v>2.2759999999999998</v>
      </c>
      <c r="C312">
        <v>2.5150000000000001</v>
      </c>
      <c r="D312">
        <v>2.2730000000000001</v>
      </c>
      <c r="E312">
        <v>2.4489999999999998</v>
      </c>
      <c r="F312">
        <v>4144379.1579999998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0.4545454545454522</v>
      </c>
      <c r="Q312">
        <f t="shared" si="965"/>
        <v>1883808.7081818085</v>
      </c>
      <c r="R312">
        <f t="shared" si="966"/>
        <v>15958671.183248658</v>
      </c>
      <c r="S312">
        <f t="shared" si="967"/>
        <v>159.58671183248657</v>
      </c>
      <c r="T312">
        <f t="shared" si="968"/>
        <v>0.15958671183248657</v>
      </c>
    </row>
    <row r="313" spans="1:20" x14ac:dyDescent="0.25">
      <c r="A313" s="5">
        <v>44280</v>
      </c>
      <c r="B313">
        <v>2.3719999999999999</v>
      </c>
      <c r="C313">
        <v>2.411</v>
      </c>
      <c r="D313">
        <v>2.1469999999999998</v>
      </c>
      <c r="E313">
        <v>2.2770000000000001</v>
      </c>
      <c r="F313">
        <v>6477026.6059999997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-1.5151515151513469E-2</v>
      </c>
      <c r="Q313">
        <f t="shared" si="965"/>
        <v>-98136.766757564852</v>
      </c>
      <c r="R313">
        <f t="shared" si="966"/>
        <v>14074862.47506685</v>
      </c>
      <c r="S313">
        <f t="shared" si="967"/>
        <v>140.74862475066851</v>
      </c>
      <c r="T313">
        <f t="shared" si="968"/>
        <v>0.14074862475066852</v>
      </c>
    </row>
    <row r="314" spans="1:20" x14ac:dyDescent="0.25">
      <c r="A314" s="5">
        <v>44279</v>
      </c>
      <c r="B314">
        <v>2.605</v>
      </c>
      <c r="C314">
        <v>2.8359999999999999</v>
      </c>
      <c r="D314">
        <v>2.282</v>
      </c>
      <c r="E314">
        <v>2.37</v>
      </c>
      <c r="F314">
        <v>7443992.2970000003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-0.68231046931407902</v>
      </c>
      <c r="Q314">
        <f t="shared" si="965"/>
        <v>-5079113.8777364595</v>
      </c>
      <c r="R314">
        <f t="shared" si="966"/>
        <v>14172999.241824415</v>
      </c>
      <c r="S314">
        <f t="shared" si="967"/>
        <v>141.72999241824414</v>
      </c>
      <c r="T314">
        <f t="shared" si="968"/>
        <v>0.14172999241824413</v>
      </c>
    </row>
    <row r="315" spans="1:20" x14ac:dyDescent="0.25">
      <c r="A315" s="5">
        <v>44278</v>
      </c>
      <c r="B315">
        <v>2.867</v>
      </c>
      <c r="C315">
        <v>3.0960000000000001</v>
      </c>
      <c r="D315">
        <v>2.5499999999999998</v>
      </c>
      <c r="E315">
        <v>2.6019999999999999</v>
      </c>
      <c r="F315">
        <v>8505671.3450000007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-0.80952380952380942</v>
      </c>
      <c r="Q315">
        <f t="shared" si="965"/>
        <v>-6885543.4697619043</v>
      </c>
      <c r="R315">
        <f t="shared" si="966"/>
        <v>19252113.119560875</v>
      </c>
      <c r="S315">
        <f t="shared" si="967"/>
        <v>192.52113119560875</v>
      </c>
      <c r="T315">
        <f t="shared" si="968"/>
        <v>0.19252113119560874</v>
      </c>
    </row>
    <row r="316" spans="1:20" x14ac:dyDescent="0.25">
      <c r="A316" s="5">
        <v>44277</v>
      </c>
      <c r="B316">
        <v>2.7349999999999999</v>
      </c>
      <c r="C316">
        <v>3.1030000000000002</v>
      </c>
      <c r="D316">
        <v>2.625</v>
      </c>
      <c r="E316">
        <v>2.871</v>
      </c>
      <c r="F316">
        <v>10148665.543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2.9288702928869842E-2</v>
      </c>
      <c r="Q316">
        <f t="shared" si="965"/>
        <v>297241.25021338451</v>
      </c>
      <c r="R316">
        <f t="shared" si="966"/>
        <v>26137656.589322779</v>
      </c>
      <c r="S316">
        <f t="shared" si="967"/>
        <v>261.37656589322779</v>
      </c>
      <c r="T316">
        <f t="shared" si="968"/>
        <v>0.26137656589322777</v>
      </c>
    </row>
    <row r="317" spans="1:20" x14ac:dyDescent="0.25">
      <c r="A317" s="5">
        <v>44276</v>
      </c>
      <c r="B317">
        <v>2.734</v>
      </c>
      <c r="C317">
        <v>2.8039999999999998</v>
      </c>
      <c r="D317">
        <v>2.5870000000000002</v>
      </c>
      <c r="E317">
        <v>2.7330000000000001</v>
      </c>
      <c r="F317">
        <v>6033298.2659999998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0.34562211981566959</v>
      </c>
      <c r="Q317">
        <f t="shared" si="965"/>
        <v>2085241.3361751235</v>
      </c>
      <c r="R317">
        <f t="shared" si="966"/>
        <v>25840415.339109395</v>
      </c>
      <c r="S317">
        <f t="shared" si="967"/>
        <v>258.40415339109393</v>
      </c>
      <c r="T317">
        <f t="shared" si="968"/>
        <v>0.2584041533910939</v>
      </c>
    </row>
    <row r="318" spans="1:20" x14ac:dyDescent="0.25">
      <c r="A318" s="5">
        <v>44275</v>
      </c>
      <c r="B318">
        <v>2.9119999999999999</v>
      </c>
      <c r="C318">
        <v>3.2</v>
      </c>
      <c r="D318">
        <v>2.7250000000000001</v>
      </c>
      <c r="E318">
        <v>2.7349999999999999</v>
      </c>
      <c r="F318">
        <v>7285946.5010000002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-0.95789473684210613</v>
      </c>
      <c r="Q318">
        <f t="shared" si="965"/>
        <v>-6979169.8062210595</v>
      </c>
      <c r="R318">
        <f t="shared" si="966"/>
        <v>23755174.00293427</v>
      </c>
      <c r="S318">
        <f t="shared" si="967"/>
        <v>237.55174002934271</v>
      </c>
      <c r="T318">
        <f t="shared" si="968"/>
        <v>0.23755174002934271</v>
      </c>
    </row>
    <row r="319" spans="1:20" x14ac:dyDescent="0.25">
      <c r="A319" s="5">
        <v>44274</v>
      </c>
      <c r="B319">
        <v>2.7850000000000001</v>
      </c>
      <c r="C319">
        <v>2.9849999999999999</v>
      </c>
      <c r="D319">
        <v>2.673</v>
      </c>
      <c r="E319">
        <v>2.9089999999999998</v>
      </c>
      <c r="F319">
        <v>9056196.9859999996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0.51282051282051211</v>
      </c>
      <c r="Q319">
        <f t="shared" si="965"/>
        <v>4644203.582564096</v>
      </c>
      <c r="R319">
        <f t="shared" si="966"/>
        <v>30734343.80915533</v>
      </c>
      <c r="S319">
        <f t="shared" si="967"/>
        <v>307.34343809155331</v>
      </c>
      <c r="T319">
        <f t="shared" si="968"/>
        <v>0.30734343809155329</v>
      </c>
    </row>
    <row r="320" spans="1:20" x14ac:dyDescent="0.25">
      <c r="A320" s="5">
        <v>44273</v>
      </c>
      <c r="B320">
        <v>2.758</v>
      </c>
      <c r="C320">
        <v>3.3439999999999999</v>
      </c>
      <c r="D320">
        <v>2.7229999999999999</v>
      </c>
      <c r="E320">
        <v>2.7869999999999999</v>
      </c>
      <c r="F320">
        <v>33790566.634000003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-0.79388083735909809</v>
      </c>
      <c r="Q320">
        <f t="shared" si="965"/>
        <v>-26825683.334238324</v>
      </c>
      <c r="R320">
        <f t="shared" si="966"/>
        <v>26090140.226591233</v>
      </c>
      <c r="S320">
        <f t="shared" si="967"/>
        <v>260.90140226591234</v>
      </c>
      <c r="T320">
        <f t="shared" si="968"/>
        <v>0.26090140226591235</v>
      </c>
    </row>
    <row r="321" spans="1:20" x14ac:dyDescent="0.25">
      <c r="A321" s="5">
        <v>44272</v>
      </c>
      <c r="B321">
        <v>2.2200000000000002</v>
      </c>
      <c r="C321">
        <v>2.8929999999999998</v>
      </c>
      <c r="D321">
        <v>2.1459999999999999</v>
      </c>
      <c r="E321">
        <v>2.7559999999999998</v>
      </c>
      <c r="F321">
        <v>24530173.252999999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0.63319946452476561</v>
      </c>
      <c r="Q321">
        <f t="shared" si="965"/>
        <v>15532492.568499327</v>
      </c>
      <c r="R321">
        <f t="shared" si="966"/>
        <v>52915823.560829557</v>
      </c>
      <c r="S321">
        <f t="shared" si="967"/>
        <v>529.15823560829563</v>
      </c>
      <c r="T321">
        <f t="shared" si="968"/>
        <v>0.52915823560829567</v>
      </c>
    </row>
    <row r="322" spans="1:20" x14ac:dyDescent="0.25">
      <c r="A322" s="5">
        <v>44271</v>
      </c>
      <c r="B322">
        <v>2.056</v>
      </c>
      <c r="C322">
        <v>2.2360000000000002</v>
      </c>
      <c r="D322">
        <v>1.9330000000000001</v>
      </c>
      <c r="E322">
        <v>2.222</v>
      </c>
      <c r="F322">
        <v>5497134.9380000001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0.90759075907590614</v>
      </c>
      <c r="Q322">
        <f t="shared" si="965"/>
        <v>4989148.8711221041</v>
      </c>
      <c r="R322">
        <f t="shared" si="966"/>
        <v>37383330.992330231</v>
      </c>
      <c r="S322">
        <f t="shared" si="967"/>
        <v>373.83330992330229</v>
      </c>
      <c r="T322">
        <f t="shared" si="968"/>
        <v>0.37383330992330227</v>
      </c>
    </row>
    <row r="323" spans="1:20" x14ac:dyDescent="0.25">
      <c r="A323" s="5">
        <v>44270</v>
      </c>
      <c r="B323">
        <v>2.1549999999999998</v>
      </c>
      <c r="C323">
        <v>2.2770000000000001</v>
      </c>
      <c r="D323">
        <v>1.9890000000000001</v>
      </c>
      <c r="E323">
        <v>2.056</v>
      </c>
      <c r="F323">
        <v>5742232.5039999997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-0.53472222222222265</v>
      </c>
      <c r="Q323">
        <f t="shared" si="965"/>
        <v>-3070499.3250555578</v>
      </c>
      <c r="R323">
        <f t="shared" si="966"/>
        <v>32394182.121208128</v>
      </c>
      <c r="S323">
        <f t="shared" si="967"/>
        <v>323.94182121208127</v>
      </c>
      <c r="T323">
        <f t="shared" si="968"/>
        <v>0.32394182121208126</v>
      </c>
    </row>
    <row r="324" spans="1:20" x14ac:dyDescent="0.25">
      <c r="A324" s="5">
        <v>44269</v>
      </c>
      <c r="B324">
        <v>2.3170000000000002</v>
      </c>
      <c r="C324">
        <v>2.33</v>
      </c>
      <c r="D324">
        <v>2.1349999999999998</v>
      </c>
      <c r="E324">
        <v>2.1549999999999998</v>
      </c>
      <c r="F324">
        <v>4224848.7340000002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-0.79487179487179493</v>
      </c>
      <c r="Q324">
        <f t="shared" si="965"/>
        <v>-3358213.0962564107</v>
      </c>
      <c r="R324">
        <f t="shared" si="966"/>
        <v>35464681.446263686</v>
      </c>
      <c r="S324">
        <f t="shared" si="967"/>
        <v>354.64681446263688</v>
      </c>
      <c r="T324">
        <f t="shared" si="968"/>
        <v>0.35464681446263691</v>
      </c>
    </row>
    <row r="325" spans="1:20" x14ac:dyDescent="0.25">
      <c r="A325" s="5">
        <v>44268</v>
      </c>
      <c r="B325">
        <v>2.21</v>
      </c>
      <c r="C325">
        <v>2.355</v>
      </c>
      <c r="D325">
        <v>2.08</v>
      </c>
      <c r="E325">
        <v>2.3159999999999998</v>
      </c>
      <c r="F325">
        <v>7678736.21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0.7163636363636352</v>
      </c>
      <c r="Q325">
        <f t="shared" si="965"/>
        <v>5500767.394072718</v>
      </c>
      <c r="R325">
        <f t="shared" si="966"/>
        <v>38822894.542520098</v>
      </c>
      <c r="S325">
        <f t="shared" si="967"/>
        <v>388.228945425201</v>
      </c>
      <c r="T325">
        <f t="shared" si="968"/>
        <v>0.38822894542520098</v>
      </c>
    </row>
    <row r="326" spans="1:20" x14ac:dyDescent="0.25">
      <c r="A326" s="5">
        <v>44267</v>
      </c>
      <c r="B326">
        <v>2.1970000000000001</v>
      </c>
      <c r="C326">
        <v>2.4470000000000001</v>
      </c>
      <c r="D326">
        <v>2.0819999999999999</v>
      </c>
      <c r="E326">
        <v>2.2120000000000002</v>
      </c>
      <c r="F326">
        <v>10082153.880000001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-0.28767123287671087</v>
      </c>
      <c r="Q326">
        <f t="shared" ref="Q326:Q389" si="970">F326*P326</f>
        <v>-2900345.6367123141</v>
      </c>
      <c r="R326">
        <f t="shared" ref="R326:R389" si="971">R327+Q326</f>
        <v>33322127.148447379</v>
      </c>
      <c r="S326">
        <f t="shared" ref="S326:S389" si="972">R326/100000</f>
        <v>333.22127148447379</v>
      </c>
      <c r="T326">
        <f t="shared" ref="T326:T389" si="973">S326/1000</f>
        <v>0.33322127148447378</v>
      </c>
    </row>
    <row r="327" spans="1:20" x14ac:dyDescent="0.25">
      <c r="A327" s="5">
        <v>44266</v>
      </c>
      <c r="B327">
        <v>2.0470000000000002</v>
      </c>
      <c r="C327">
        <v>2.41</v>
      </c>
      <c r="D327">
        <v>1.97</v>
      </c>
      <c r="E327">
        <v>2.1960000000000002</v>
      </c>
      <c r="F327">
        <v>11232317.030999999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2.7272727272727792E-2</v>
      </c>
      <c r="Q327">
        <f t="shared" si="970"/>
        <v>306335.91902727855</v>
      </c>
      <c r="R327">
        <f t="shared" si="971"/>
        <v>36222472.785159692</v>
      </c>
      <c r="S327">
        <f t="shared" si="972"/>
        <v>362.22472785159692</v>
      </c>
      <c r="T327">
        <f t="shared" si="973"/>
        <v>0.36222472785159693</v>
      </c>
    </row>
    <row r="328" spans="1:20" x14ac:dyDescent="0.25">
      <c r="A328" s="5">
        <v>44265</v>
      </c>
      <c r="B328">
        <v>2.1840000000000002</v>
      </c>
      <c r="C328">
        <v>2.1880000000000002</v>
      </c>
      <c r="D328">
        <v>1.9950000000000001</v>
      </c>
      <c r="E328">
        <v>2.0470000000000002</v>
      </c>
      <c r="F328">
        <v>4602002.8499999996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-0.46113989637305669</v>
      </c>
      <c r="Q328">
        <f t="shared" si="970"/>
        <v>-2122167.1173575115</v>
      </c>
      <c r="R328">
        <f t="shared" si="971"/>
        <v>35916136.866132416</v>
      </c>
      <c r="S328">
        <f t="shared" si="972"/>
        <v>359.16136866132416</v>
      </c>
      <c r="T328">
        <f t="shared" si="973"/>
        <v>0.35916136866132414</v>
      </c>
    </row>
    <row r="329" spans="1:20" x14ac:dyDescent="0.25">
      <c r="A329" s="5">
        <v>44264</v>
      </c>
      <c r="B329">
        <v>2.165</v>
      </c>
      <c r="C329">
        <v>2.351</v>
      </c>
      <c r="D329">
        <v>2.0960000000000001</v>
      </c>
      <c r="E329">
        <v>2.1800000000000002</v>
      </c>
      <c r="F329">
        <v>6490060.1220000004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-0.34117647058823442</v>
      </c>
      <c r="Q329">
        <f t="shared" si="970"/>
        <v>-2214255.8063294063</v>
      </c>
      <c r="R329">
        <f t="shared" si="971"/>
        <v>38038303.983489931</v>
      </c>
      <c r="S329">
        <f t="shared" si="972"/>
        <v>380.38303983489931</v>
      </c>
      <c r="T329">
        <f t="shared" si="973"/>
        <v>0.38038303983489929</v>
      </c>
    </row>
    <row r="330" spans="1:20" x14ac:dyDescent="0.25">
      <c r="A330" s="5">
        <v>44263</v>
      </c>
      <c r="B330">
        <v>2.0680000000000001</v>
      </c>
      <c r="C330">
        <v>2.1669999999999998</v>
      </c>
      <c r="D330">
        <v>1.9750000000000001</v>
      </c>
      <c r="E330">
        <v>2.1619999999999999</v>
      </c>
      <c r="F330">
        <v>3987045.8569999998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0.94791666666666774</v>
      </c>
      <c r="Q330">
        <f t="shared" si="970"/>
        <v>3779387.2186145876</v>
      </c>
      <c r="R330">
        <f t="shared" si="971"/>
        <v>40252559.789819337</v>
      </c>
      <c r="S330">
        <f t="shared" si="972"/>
        <v>402.52559789819338</v>
      </c>
      <c r="T330">
        <f t="shared" si="973"/>
        <v>0.40252559789819337</v>
      </c>
    </row>
    <row r="331" spans="1:20" x14ac:dyDescent="0.25">
      <c r="A331" s="5">
        <v>44262</v>
      </c>
      <c r="B331">
        <v>2.0590000000000002</v>
      </c>
      <c r="C331">
        <v>2.1219999999999999</v>
      </c>
      <c r="D331">
        <v>1.982</v>
      </c>
      <c r="E331">
        <v>2.073</v>
      </c>
      <c r="F331">
        <v>3519116.9369999999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0.30000000000000049</v>
      </c>
      <c r="Q331">
        <f t="shared" si="970"/>
        <v>1055735.0811000017</v>
      </c>
      <c r="R331">
        <f t="shared" si="971"/>
        <v>36473172.571204752</v>
      </c>
      <c r="S331">
        <f t="shared" si="972"/>
        <v>364.73172571204753</v>
      </c>
      <c r="T331">
        <f t="shared" si="973"/>
        <v>0.36473172571204754</v>
      </c>
    </row>
    <row r="332" spans="1:20" x14ac:dyDescent="0.25">
      <c r="A332" s="5">
        <v>44261</v>
      </c>
      <c r="B332">
        <v>2.1160000000000001</v>
      </c>
      <c r="C332">
        <v>2.1829999999999998</v>
      </c>
      <c r="D332">
        <v>1.95</v>
      </c>
      <c r="E332">
        <v>2.0550000000000002</v>
      </c>
      <c r="F332">
        <v>5626349.1639999999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-9.8712446351929092E-2</v>
      </c>
      <c r="Q332">
        <f t="shared" si="970"/>
        <v>-555390.69000857114</v>
      </c>
      <c r="R332">
        <f t="shared" si="971"/>
        <v>35417437.49010475</v>
      </c>
      <c r="S332">
        <f t="shared" si="972"/>
        <v>354.17437490104749</v>
      </c>
      <c r="T332">
        <f t="shared" si="973"/>
        <v>0.35417437490104747</v>
      </c>
    </row>
    <row r="333" spans="1:20" x14ac:dyDescent="0.25">
      <c r="A333" s="5">
        <v>44260</v>
      </c>
      <c r="B333">
        <v>2.0089999999999999</v>
      </c>
      <c r="C333">
        <v>2.3380000000000001</v>
      </c>
      <c r="D333">
        <v>1.8660000000000001</v>
      </c>
      <c r="E333">
        <v>2.1160000000000001</v>
      </c>
      <c r="F333">
        <v>16256709.198999999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5.9322033898305142E-2</v>
      </c>
      <c r="Q333">
        <f t="shared" si="970"/>
        <v>964381.05417796702</v>
      </c>
      <c r="R333">
        <f t="shared" si="971"/>
        <v>35972828.180113323</v>
      </c>
      <c r="S333">
        <f t="shared" si="972"/>
        <v>359.72828180113322</v>
      </c>
      <c r="T333">
        <f t="shared" si="973"/>
        <v>0.3597282818011332</v>
      </c>
    </row>
    <row r="334" spans="1:20" x14ac:dyDescent="0.25">
      <c r="A334" s="5">
        <v>44259</v>
      </c>
      <c r="B334">
        <v>1.8340000000000001</v>
      </c>
      <c r="C334">
        <v>2.117</v>
      </c>
      <c r="D334">
        <v>1.7629999999999999</v>
      </c>
      <c r="E334">
        <v>2.0059999999999998</v>
      </c>
      <c r="F334">
        <v>7988690.0130000003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0.3728813559322024</v>
      </c>
      <c r="Q334">
        <f t="shared" si="970"/>
        <v>2978833.5641694837</v>
      </c>
      <c r="R334">
        <f t="shared" si="971"/>
        <v>35008447.125935353</v>
      </c>
      <c r="S334">
        <f t="shared" si="972"/>
        <v>350.08447125935351</v>
      </c>
      <c r="T334">
        <f t="shared" si="973"/>
        <v>0.35008447125935349</v>
      </c>
    </row>
    <row r="335" spans="1:20" x14ac:dyDescent="0.25">
      <c r="A335" s="5">
        <v>44258</v>
      </c>
      <c r="B335">
        <v>1.6659999999999999</v>
      </c>
      <c r="C335">
        <v>1.93</v>
      </c>
      <c r="D335">
        <v>1.649</v>
      </c>
      <c r="E335">
        <v>1.8340000000000001</v>
      </c>
      <c r="F335">
        <v>5945223.6359999999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0.31672597864768759</v>
      </c>
      <c r="Q335">
        <f t="shared" si="970"/>
        <v>1883006.7743914635</v>
      </c>
      <c r="R335">
        <f t="shared" si="971"/>
        <v>32029613.561765872</v>
      </c>
      <c r="S335">
        <f t="shared" si="972"/>
        <v>320.29613561765871</v>
      </c>
      <c r="T335">
        <f t="shared" si="973"/>
        <v>0.32029613561765868</v>
      </c>
    </row>
    <row r="336" spans="1:20" x14ac:dyDescent="0.25">
      <c r="A336" s="5">
        <v>44257</v>
      </c>
      <c r="B336">
        <v>1.6859999999999999</v>
      </c>
      <c r="C336">
        <v>1.7549999999999999</v>
      </c>
      <c r="D336">
        <v>1.5960000000000001</v>
      </c>
      <c r="E336">
        <v>1.6679999999999999</v>
      </c>
      <c r="F336">
        <v>3787042.0180000002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-9.4339622641510329E-2</v>
      </c>
      <c r="Q336">
        <f t="shared" si="970"/>
        <v>-357268.11490566377</v>
      </c>
      <c r="R336">
        <f t="shared" si="971"/>
        <v>30146606.787374407</v>
      </c>
      <c r="S336">
        <f t="shared" si="972"/>
        <v>301.46606787374407</v>
      </c>
      <c r="T336">
        <f t="shared" si="973"/>
        <v>0.30146606787374408</v>
      </c>
    </row>
    <row r="337" spans="1:20" x14ac:dyDescent="0.25">
      <c r="A337" s="5">
        <v>44256</v>
      </c>
      <c r="B337">
        <v>1.5720000000000001</v>
      </c>
      <c r="C337">
        <v>1.696</v>
      </c>
      <c r="D337">
        <v>1.5620000000000001</v>
      </c>
      <c r="E337">
        <v>1.6879999999999999</v>
      </c>
      <c r="F337">
        <v>3225872.7349999999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0.8805970149253729</v>
      </c>
      <c r="Q337">
        <f t="shared" si="970"/>
        <v>2840693.9009701484</v>
      </c>
      <c r="R337">
        <f t="shared" si="971"/>
        <v>30503874.90228007</v>
      </c>
      <c r="S337">
        <f t="shared" si="972"/>
        <v>305.03874902280069</v>
      </c>
      <c r="T337">
        <f t="shared" si="973"/>
        <v>0.3050387490228007</v>
      </c>
    </row>
    <row r="338" spans="1:20" x14ac:dyDescent="0.25">
      <c r="A338" s="5">
        <v>44255</v>
      </c>
      <c r="B338">
        <v>1.68</v>
      </c>
      <c r="C338">
        <v>1.696</v>
      </c>
      <c r="D338">
        <v>1.45</v>
      </c>
      <c r="E338">
        <v>1.569</v>
      </c>
      <c r="F338">
        <v>3168050.9530000002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-3.2520325203252064E-2</v>
      </c>
      <c r="Q338">
        <f t="shared" si="970"/>
        <v>-103026.04725203263</v>
      </c>
      <c r="R338">
        <f t="shared" si="971"/>
        <v>27663181.00130992</v>
      </c>
      <c r="S338">
        <f t="shared" si="972"/>
        <v>276.6318100130992</v>
      </c>
      <c r="T338">
        <f t="shared" si="973"/>
        <v>0.27663181001309922</v>
      </c>
    </row>
    <row r="339" spans="1:20" x14ac:dyDescent="0.25">
      <c r="A339" s="5">
        <v>44254</v>
      </c>
      <c r="B339">
        <v>1.627</v>
      </c>
      <c r="C339">
        <v>1.8</v>
      </c>
      <c r="D339">
        <v>1.6040000000000001</v>
      </c>
      <c r="E339">
        <v>1.679</v>
      </c>
      <c r="F339">
        <v>3368948.6549999998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-0.23469387755102067</v>
      </c>
      <c r="Q339">
        <f t="shared" si="970"/>
        <v>-790671.6231122457</v>
      </c>
      <c r="R339">
        <f t="shared" si="971"/>
        <v>27766207.048561953</v>
      </c>
      <c r="S339">
        <f t="shared" si="972"/>
        <v>277.66207048561955</v>
      </c>
      <c r="T339">
        <f t="shared" si="973"/>
        <v>0.27766207048561953</v>
      </c>
    </row>
    <row r="340" spans="1:20" x14ac:dyDescent="0.25">
      <c r="A340" s="5">
        <v>44253</v>
      </c>
      <c r="B340">
        <v>1.633</v>
      </c>
      <c r="C340">
        <v>1.71</v>
      </c>
      <c r="D340">
        <v>1.466</v>
      </c>
      <c r="E340">
        <v>1.627</v>
      </c>
      <c r="F340">
        <v>4415755.9730000002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0.31967213114754128</v>
      </c>
      <c r="Q340">
        <f t="shared" si="970"/>
        <v>1411594.1225163948</v>
      </c>
      <c r="R340">
        <f t="shared" si="971"/>
        <v>28556878.671674199</v>
      </c>
      <c r="S340">
        <f t="shared" si="972"/>
        <v>285.56878671674201</v>
      </c>
      <c r="T340">
        <f t="shared" si="973"/>
        <v>0.28556878671674202</v>
      </c>
    </row>
    <row r="341" spans="1:20" x14ac:dyDescent="0.25">
      <c r="A341" s="5">
        <v>44252</v>
      </c>
      <c r="B341">
        <v>1.6339999999999999</v>
      </c>
      <c r="C341">
        <v>1.921</v>
      </c>
      <c r="D341">
        <v>1.603</v>
      </c>
      <c r="E341">
        <v>1.631</v>
      </c>
      <c r="F341">
        <v>4280422.8870000001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-0.82389937106918232</v>
      </c>
      <c r="Q341">
        <f t="shared" si="970"/>
        <v>-3526637.7245094338</v>
      </c>
      <c r="R341">
        <f t="shared" si="971"/>
        <v>27145284.549157806</v>
      </c>
      <c r="S341">
        <f t="shared" si="972"/>
        <v>271.45284549157805</v>
      </c>
      <c r="T341">
        <f t="shared" si="973"/>
        <v>0.27145284549157805</v>
      </c>
    </row>
    <row r="342" spans="1:20" x14ac:dyDescent="0.25">
      <c r="A342" s="5">
        <v>44251</v>
      </c>
      <c r="B342">
        <v>1.6020000000000001</v>
      </c>
      <c r="C342">
        <v>1.75</v>
      </c>
      <c r="D342">
        <v>1.508</v>
      </c>
      <c r="E342">
        <v>1.6319999999999999</v>
      </c>
      <c r="F342">
        <v>4663241.5659999996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2.4793388429751172E-2</v>
      </c>
      <c r="Q342">
        <f t="shared" si="970"/>
        <v>115617.55948759912</v>
      </c>
      <c r="R342">
        <f t="shared" si="971"/>
        <v>30671922.273667239</v>
      </c>
      <c r="S342">
        <f t="shared" si="972"/>
        <v>306.71922273667241</v>
      </c>
      <c r="T342">
        <f t="shared" si="973"/>
        <v>0.3067192227366724</v>
      </c>
    </row>
    <row r="343" spans="1:20" x14ac:dyDescent="0.25">
      <c r="A343" s="5">
        <v>44250</v>
      </c>
      <c r="B343">
        <v>1.9750000000000001</v>
      </c>
      <c r="C343">
        <v>1.9930000000000001</v>
      </c>
      <c r="D343">
        <v>1.3420000000000001</v>
      </c>
      <c r="E343">
        <v>1.6020000000000001</v>
      </c>
      <c r="F343">
        <v>8307920.1210000003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-0.20122887864823349</v>
      </c>
      <c r="Q343">
        <f t="shared" si="970"/>
        <v>-1671793.4498479264</v>
      </c>
      <c r="R343">
        <f t="shared" si="971"/>
        <v>30556304.714179639</v>
      </c>
      <c r="S343">
        <f t="shared" si="972"/>
        <v>305.5630471417964</v>
      </c>
      <c r="T343">
        <f t="shared" si="973"/>
        <v>0.30556304714179638</v>
      </c>
    </row>
    <row r="344" spans="1:20" x14ac:dyDescent="0.25">
      <c r="A344" s="5">
        <v>44249</v>
      </c>
      <c r="B344">
        <v>2.1880000000000002</v>
      </c>
      <c r="C344">
        <v>2.1960000000000002</v>
      </c>
      <c r="D344">
        <v>1.625</v>
      </c>
      <c r="E344">
        <v>1.972</v>
      </c>
      <c r="F344">
        <v>7954285.1490000002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0.2154115586690013</v>
      </c>
      <c r="Q344">
        <f t="shared" si="970"/>
        <v>1713444.9620437792</v>
      </c>
      <c r="R344">
        <f t="shared" si="971"/>
        <v>32228098.164027564</v>
      </c>
      <c r="S344">
        <f t="shared" si="972"/>
        <v>322.28098164027563</v>
      </c>
      <c r="T344">
        <f t="shared" si="973"/>
        <v>0.32228098164027563</v>
      </c>
    </row>
    <row r="345" spans="1:20" x14ac:dyDescent="0.25">
      <c r="A345" s="5">
        <v>44248</v>
      </c>
      <c r="B345">
        <v>2.0699999999999998</v>
      </c>
      <c r="C345">
        <v>2.2370000000000001</v>
      </c>
      <c r="D345">
        <v>2.0089999999999999</v>
      </c>
      <c r="E345">
        <v>2.1880000000000002</v>
      </c>
      <c r="F345">
        <v>4312009.057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0.57017543859649222</v>
      </c>
      <c r="Q345">
        <f t="shared" si="970"/>
        <v>2458601.6553070219</v>
      </c>
      <c r="R345">
        <f t="shared" si="971"/>
        <v>30514653.201983783</v>
      </c>
      <c r="S345">
        <f t="shared" si="972"/>
        <v>305.14653201983782</v>
      </c>
      <c r="T345">
        <f t="shared" si="973"/>
        <v>0.30514653201983782</v>
      </c>
    </row>
    <row r="346" spans="1:20" x14ac:dyDescent="0.25">
      <c r="A346" s="5">
        <v>44247</v>
      </c>
      <c r="B346">
        <v>2.19</v>
      </c>
      <c r="C346">
        <v>2.33</v>
      </c>
      <c r="D346">
        <v>1.9159999999999999</v>
      </c>
      <c r="E346">
        <v>2.0699999999999998</v>
      </c>
      <c r="F346">
        <v>6722501.7769999998</v>
      </c>
      <c r="G346">
        <v>0</v>
      </c>
      <c r="L346" t="s">
        <v>7</v>
      </c>
      <c r="M346" t="s">
        <v>8</v>
      </c>
      <c r="N346" t="s">
        <v>7</v>
      </c>
      <c r="P346">
        <f t="shared" si="969"/>
        <v>-0.25603864734299586</v>
      </c>
      <c r="Q346">
        <f t="shared" si="970"/>
        <v>-1721220.261743966</v>
      </c>
      <c r="R346">
        <f t="shared" si="971"/>
        <v>28056051.546676762</v>
      </c>
      <c r="S346">
        <f t="shared" si="972"/>
        <v>280.56051546676764</v>
      </c>
      <c r="T346">
        <f t="shared" si="973"/>
        <v>0.28056051546676763</v>
      </c>
    </row>
    <row r="347" spans="1:20" x14ac:dyDescent="0.25">
      <c r="A347" s="5">
        <v>44246</v>
      </c>
      <c r="B347">
        <v>2.2240000000000002</v>
      </c>
      <c r="C347">
        <v>2.2789999999999999</v>
      </c>
      <c r="D347">
        <v>2.0950000000000002</v>
      </c>
      <c r="E347">
        <v>2.1869999999999998</v>
      </c>
      <c r="F347">
        <v>5248659.6529999999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-2.4135283144025178E-15</v>
      </c>
      <c r="Q347">
        <f t="shared" si="970"/>
        <v>-1.2667788685177594E-8</v>
      </c>
      <c r="R347">
        <f t="shared" si="971"/>
        <v>29777271.808420729</v>
      </c>
      <c r="S347">
        <f t="shared" si="972"/>
        <v>297.77271808420727</v>
      </c>
      <c r="T347">
        <f t="shared" si="973"/>
        <v>0.29777271808420724</v>
      </c>
    </row>
    <row r="348" spans="1:20" x14ac:dyDescent="0.25">
      <c r="A348" s="5">
        <v>44245</v>
      </c>
      <c r="B348">
        <v>2.1269999999999998</v>
      </c>
      <c r="C348">
        <v>2.2919999999999998</v>
      </c>
      <c r="D348">
        <v>2.0920000000000001</v>
      </c>
      <c r="E348">
        <v>2.2189999999999999</v>
      </c>
      <c r="F348">
        <v>5232139.8770000003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0.26999999999999946</v>
      </c>
      <c r="Q348">
        <f t="shared" si="970"/>
        <v>1412677.7667899972</v>
      </c>
      <c r="R348">
        <f t="shared" si="971"/>
        <v>29777271.80842074</v>
      </c>
      <c r="S348">
        <f t="shared" si="972"/>
        <v>297.77271808420738</v>
      </c>
      <c r="T348">
        <f t="shared" si="973"/>
        <v>0.29777271808420741</v>
      </c>
    </row>
    <row r="349" spans="1:20" x14ac:dyDescent="0.25">
      <c r="A349" s="5">
        <v>44244</v>
      </c>
      <c r="B349">
        <v>2.0499999999999998</v>
      </c>
      <c r="C349">
        <v>2.1880000000000002</v>
      </c>
      <c r="D349">
        <v>1.891</v>
      </c>
      <c r="E349">
        <v>2.1230000000000002</v>
      </c>
      <c r="F349">
        <v>6056703.5520000001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0.56228956228956284</v>
      </c>
      <c r="Q349">
        <f t="shared" si="970"/>
        <v>3405621.1891717208</v>
      </c>
      <c r="R349">
        <f t="shared" si="971"/>
        <v>28364594.041630741</v>
      </c>
      <c r="S349">
        <f t="shared" si="972"/>
        <v>283.64594041630744</v>
      </c>
      <c r="T349">
        <f t="shared" si="973"/>
        <v>0.28364594041630742</v>
      </c>
    </row>
    <row r="350" spans="1:20" x14ac:dyDescent="0.25">
      <c r="A350" s="5">
        <v>44243</v>
      </c>
      <c r="B350">
        <v>2.1059999999999999</v>
      </c>
      <c r="C350">
        <v>2.177</v>
      </c>
      <c r="D350">
        <v>1.946</v>
      </c>
      <c r="E350">
        <v>2.0489999999999999</v>
      </c>
      <c r="F350">
        <v>4985722.5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-0.10822510822510875</v>
      </c>
      <c r="Q350">
        <f t="shared" si="970"/>
        <v>-539580.35714285972</v>
      </c>
      <c r="R350">
        <f t="shared" si="971"/>
        <v>24958972.852459021</v>
      </c>
      <c r="S350">
        <f t="shared" si="972"/>
        <v>249.58972852459021</v>
      </c>
      <c r="T350">
        <f t="shared" si="973"/>
        <v>0.24958972852459022</v>
      </c>
    </row>
    <row r="351" spans="1:20" x14ac:dyDescent="0.25">
      <c r="A351" s="5">
        <v>44242</v>
      </c>
      <c r="B351">
        <v>2.13</v>
      </c>
      <c r="C351">
        <v>2.29</v>
      </c>
      <c r="D351">
        <v>1.71</v>
      </c>
      <c r="E351">
        <v>2.1080000000000001</v>
      </c>
      <c r="F351">
        <v>9834071.7239999995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0.37241379310344858</v>
      </c>
      <c r="Q351">
        <f t="shared" si="970"/>
        <v>3662343.9523862097</v>
      </c>
      <c r="R351">
        <f t="shared" si="971"/>
        <v>25498553.209601879</v>
      </c>
      <c r="S351">
        <f t="shared" si="972"/>
        <v>254.9855320960188</v>
      </c>
      <c r="T351">
        <f t="shared" si="973"/>
        <v>0.25498553209601882</v>
      </c>
    </row>
    <row r="352" spans="1:20" x14ac:dyDescent="0.25">
      <c r="A352" s="5">
        <v>44241</v>
      </c>
      <c r="B352">
        <v>2.34</v>
      </c>
      <c r="C352">
        <v>2.3780000000000001</v>
      </c>
      <c r="D352">
        <v>2.0390000000000001</v>
      </c>
      <c r="E352">
        <v>2.1280000000000001</v>
      </c>
      <c r="F352">
        <v>6916483.6849999996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-0.47492625368731578</v>
      </c>
      <c r="Q352">
        <f t="shared" si="970"/>
        <v>-3284819.6852064906</v>
      </c>
      <c r="R352">
        <f t="shared" si="971"/>
        <v>21836209.257215668</v>
      </c>
      <c r="S352">
        <f t="shared" si="972"/>
        <v>218.36209257215668</v>
      </c>
      <c r="T352">
        <f t="shared" si="973"/>
        <v>0.21836209257215669</v>
      </c>
    </row>
    <row r="353" spans="1:20" x14ac:dyDescent="0.25">
      <c r="A353" s="5">
        <v>44240</v>
      </c>
      <c r="B353">
        <v>2.3860000000000001</v>
      </c>
      <c r="C353">
        <v>2.5259999999999998</v>
      </c>
      <c r="D353">
        <v>2.089</v>
      </c>
      <c r="E353">
        <v>2.34</v>
      </c>
      <c r="F353">
        <v>10490878.58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0.148741418764302</v>
      </c>
      <c r="Q353">
        <f t="shared" si="970"/>
        <v>1560428.1640732258</v>
      </c>
      <c r="R353">
        <f t="shared" si="971"/>
        <v>25121028.942422159</v>
      </c>
      <c r="S353">
        <f t="shared" si="972"/>
        <v>251.2102894242216</v>
      </c>
      <c r="T353">
        <f t="shared" si="973"/>
        <v>0.25121028942422158</v>
      </c>
    </row>
    <row r="354" spans="1:20" x14ac:dyDescent="0.25">
      <c r="A354" s="5">
        <v>44239</v>
      </c>
      <c r="B354">
        <v>2.3559999999999999</v>
      </c>
      <c r="C354">
        <v>2.5</v>
      </c>
      <c r="D354">
        <v>2.2309999999999999</v>
      </c>
      <c r="E354">
        <v>2.3889999999999998</v>
      </c>
      <c r="F354">
        <v>7515554.8779999996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0.17472118959107691</v>
      </c>
      <c r="Q354">
        <f t="shared" si="970"/>
        <v>1313126.6887211809</v>
      </c>
      <c r="R354">
        <f t="shared" si="971"/>
        <v>23560600.778348934</v>
      </c>
      <c r="S354">
        <f t="shared" si="972"/>
        <v>235.60600778348933</v>
      </c>
      <c r="T354">
        <f t="shared" si="973"/>
        <v>0.23560600778348934</v>
      </c>
    </row>
    <row r="355" spans="1:20" x14ac:dyDescent="0.25">
      <c r="A355" s="5">
        <v>44238</v>
      </c>
      <c r="B355">
        <v>2.3439999999999999</v>
      </c>
      <c r="C355">
        <v>2.4990000000000001</v>
      </c>
      <c r="D355">
        <v>2.2210000000000001</v>
      </c>
      <c r="E355">
        <v>2.3580000000000001</v>
      </c>
      <c r="F355">
        <v>9227024.8239999991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-1.4388489208633105E-2</v>
      </c>
      <c r="Q355">
        <f t="shared" si="970"/>
        <v>-132762.94710791376</v>
      </c>
      <c r="R355">
        <f t="shared" si="971"/>
        <v>22247474.089627754</v>
      </c>
      <c r="S355">
        <f t="shared" si="972"/>
        <v>222.47474089627755</v>
      </c>
      <c r="T355">
        <f t="shared" si="973"/>
        <v>0.22247474089627756</v>
      </c>
    </row>
    <row r="356" spans="1:20" x14ac:dyDescent="0.25">
      <c r="A356" s="5">
        <v>44237</v>
      </c>
      <c r="B356">
        <v>2.012</v>
      </c>
      <c r="C356">
        <v>2.472</v>
      </c>
      <c r="D356">
        <v>1.879</v>
      </c>
      <c r="E356">
        <v>2.3439999999999999</v>
      </c>
      <c r="F356">
        <v>18655234.136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0.56829679595278204</v>
      </c>
      <c r="Q356">
        <f t="shared" si="970"/>
        <v>10601709.787237765</v>
      </c>
      <c r="R356">
        <f t="shared" si="971"/>
        <v>22380237.036735669</v>
      </c>
      <c r="S356">
        <f t="shared" si="972"/>
        <v>223.8023703673567</v>
      </c>
      <c r="T356">
        <f t="shared" si="973"/>
        <v>0.2238023703673567</v>
      </c>
    </row>
    <row r="357" spans="1:20" x14ac:dyDescent="0.25">
      <c r="A357" s="5">
        <v>44236</v>
      </c>
      <c r="B357">
        <v>1.8360000000000001</v>
      </c>
      <c r="C357">
        <v>2.069</v>
      </c>
      <c r="D357">
        <v>1.788</v>
      </c>
      <c r="E357">
        <v>2.012</v>
      </c>
      <c r="F357">
        <v>10107243.113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0.59430604982206436</v>
      </c>
      <c r="Q357">
        <f t="shared" si="970"/>
        <v>6006795.7290782947</v>
      </c>
      <c r="R357">
        <f t="shared" si="971"/>
        <v>11778527.249497902</v>
      </c>
      <c r="S357">
        <f t="shared" si="972"/>
        <v>117.78527249497901</v>
      </c>
      <c r="T357">
        <f t="shared" si="973"/>
        <v>0.11778527249497901</v>
      </c>
    </row>
    <row r="358" spans="1:20" x14ac:dyDescent="0.25">
      <c r="A358" s="5">
        <v>44235</v>
      </c>
      <c r="B358">
        <v>1.754</v>
      </c>
      <c r="C358">
        <v>1.9970000000000001</v>
      </c>
      <c r="D358">
        <v>1.7090000000000001</v>
      </c>
      <c r="E358">
        <v>1.835</v>
      </c>
      <c r="F358">
        <v>10080780.877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-0.12500000000000086</v>
      </c>
      <c r="Q358">
        <f t="shared" si="970"/>
        <v>-1260097.6096250087</v>
      </c>
      <c r="R358">
        <f t="shared" si="971"/>
        <v>5771731.520419606</v>
      </c>
      <c r="S358">
        <f t="shared" si="972"/>
        <v>57.717315204196062</v>
      </c>
      <c r="T358">
        <f t="shared" si="973"/>
        <v>5.7717315204196061E-2</v>
      </c>
    </row>
    <row r="359" spans="1:20" x14ac:dyDescent="0.25">
      <c r="A359" s="5">
        <v>44234</v>
      </c>
      <c r="B359">
        <v>1.782</v>
      </c>
      <c r="C359">
        <v>1.835</v>
      </c>
      <c r="D359">
        <v>1.5580000000000001</v>
      </c>
      <c r="E359">
        <v>1.752</v>
      </c>
      <c r="F359">
        <v>7912687.8650000002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0.40072202166064991</v>
      </c>
      <c r="Q359">
        <f t="shared" si="970"/>
        <v>3170788.2780324919</v>
      </c>
      <c r="R359">
        <f t="shared" si="971"/>
        <v>7031829.1300446149</v>
      </c>
      <c r="S359">
        <f t="shared" si="972"/>
        <v>70.318291300446148</v>
      </c>
      <c r="T359">
        <f t="shared" si="973"/>
        <v>7.0318291300446145E-2</v>
      </c>
    </row>
    <row r="360" spans="1:20" x14ac:dyDescent="0.25">
      <c r="A360" s="5">
        <v>44233</v>
      </c>
      <c r="B360">
        <v>2.0009999999999999</v>
      </c>
      <c r="C360">
        <v>2.008</v>
      </c>
      <c r="D360">
        <v>1.679</v>
      </c>
      <c r="E360">
        <v>1.7829999999999999</v>
      </c>
      <c r="F360">
        <v>11347963.342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-0.36778115501519826</v>
      </c>
      <c r="Q360">
        <f t="shared" si="970"/>
        <v>-4173567.0649908893</v>
      </c>
      <c r="R360">
        <f t="shared" si="971"/>
        <v>3861040.852012123</v>
      </c>
      <c r="S360">
        <f t="shared" si="972"/>
        <v>38.610408520121233</v>
      </c>
      <c r="T360">
        <f t="shared" si="973"/>
        <v>3.861040852012123E-2</v>
      </c>
    </row>
    <row r="361" spans="1:20" x14ac:dyDescent="0.25">
      <c r="A361" s="5">
        <v>44232</v>
      </c>
      <c r="B361">
        <v>1.5660000000000001</v>
      </c>
      <c r="C361">
        <v>2.3450000000000002</v>
      </c>
      <c r="D361">
        <v>1.5640000000000001</v>
      </c>
      <c r="E361">
        <v>2.0019999999999998</v>
      </c>
      <c r="F361">
        <v>26375199.219000001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0.12163892445582496</v>
      </c>
      <c r="Q361">
        <f t="shared" si="970"/>
        <v>3208250.8653072743</v>
      </c>
      <c r="R361">
        <f t="shared" si="971"/>
        <v>8034607.9170030123</v>
      </c>
      <c r="S361">
        <f t="shared" si="972"/>
        <v>80.346079170030123</v>
      </c>
      <c r="T361">
        <f t="shared" si="973"/>
        <v>8.034607917003013E-2</v>
      </c>
    </row>
    <row r="362" spans="1:20" x14ac:dyDescent="0.25">
      <c r="A362" s="5">
        <v>44231</v>
      </c>
      <c r="B362">
        <v>1.4890000000000001</v>
      </c>
      <c r="C362">
        <v>1.7090000000000001</v>
      </c>
      <c r="D362">
        <v>1.38</v>
      </c>
      <c r="E362">
        <v>1.5669999999999999</v>
      </c>
      <c r="F362">
        <v>9200014.6260000002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0.13677811550151947</v>
      </c>
      <c r="Q362">
        <f t="shared" si="970"/>
        <v>1258360.6631306964</v>
      </c>
      <c r="R362">
        <f t="shared" si="971"/>
        <v>4826357.051695738</v>
      </c>
      <c r="S362">
        <f t="shared" si="972"/>
        <v>48.26357051695738</v>
      </c>
      <c r="T362">
        <f t="shared" si="973"/>
        <v>4.8263570516957378E-2</v>
      </c>
    </row>
    <row r="363" spans="1:20" x14ac:dyDescent="0.25">
      <c r="A363" s="5">
        <v>44230</v>
      </c>
      <c r="B363">
        <v>1.4139999999999999</v>
      </c>
      <c r="C363">
        <v>1.5529999999999999</v>
      </c>
      <c r="D363">
        <v>1.39</v>
      </c>
      <c r="E363">
        <v>1.4870000000000001</v>
      </c>
      <c r="F363">
        <v>5022050.068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0.19018404907975678</v>
      </c>
      <c r="Q363">
        <f t="shared" si="970"/>
        <v>955113.81661350781</v>
      </c>
      <c r="R363">
        <f t="shared" si="971"/>
        <v>3567996.3885650421</v>
      </c>
      <c r="S363">
        <f t="shared" si="972"/>
        <v>35.679963885650423</v>
      </c>
      <c r="T363">
        <f t="shared" si="973"/>
        <v>3.5679963885650423E-2</v>
      </c>
    </row>
    <row r="364" spans="1:20" x14ac:dyDescent="0.25">
      <c r="A364" s="5">
        <v>44229</v>
      </c>
      <c r="B364">
        <v>1.4039999999999999</v>
      </c>
      <c r="C364">
        <v>1.5289999999999999</v>
      </c>
      <c r="D364">
        <v>1.365</v>
      </c>
      <c r="E364">
        <v>1.4139999999999999</v>
      </c>
      <c r="F364">
        <v>6730532.8109999998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-0.40243902439024443</v>
      </c>
      <c r="Q364">
        <f t="shared" si="970"/>
        <v>-2708629.0580853694</v>
      </c>
      <c r="R364">
        <f t="shared" si="971"/>
        <v>2612882.5719515341</v>
      </c>
      <c r="S364">
        <f t="shared" si="972"/>
        <v>26.128825719515341</v>
      </c>
      <c r="T364">
        <f t="shared" si="973"/>
        <v>2.6128825719515341E-2</v>
      </c>
    </row>
    <row r="365" spans="1:20" x14ac:dyDescent="0.25">
      <c r="A365" s="5">
        <v>44228</v>
      </c>
      <c r="B365">
        <v>1.2909999999999999</v>
      </c>
      <c r="C365">
        <v>1.409</v>
      </c>
      <c r="D365">
        <v>1.256</v>
      </c>
      <c r="E365">
        <v>1.403</v>
      </c>
      <c r="F365">
        <v>3836216.02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0.92156862745098034</v>
      </c>
      <c r="Q365">
        <f t="shared" si="970"/>
        <v>3535336.3321568626</v>
      </c>
      <c r="R365">
        <f t="shared" si="971"/>
        <v>5321511.6300369035</v>
      </c>
      <c r="S365">
        <f t="shared" si="972"/>
        <v>53.215116300369033</v>
      </c>
      <c r="T365">
        <f t="shared" si="973"/>
        <v>5.3215116300369035E-2</v>
      </c>
    </row>
    <row r="366" spans="1:20" x14ac:dyDescent="0.25">
      <c r="A366" s="5">
        <v>44227</v>
      </c>
      <c r="B366">
        <v>1.38</v>
      </c>
      <c r="C366">
        <v>1.4470000000000001</v>
      </c>
      <c r="D366">
        <v>1.266</v>
      </c>
      <c r="E366">
        <v>1.2909999999999999</v>
      </c>
      <c r="F366">
        <v>5451744.6449999996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-0.7237569060773491</v>
      </c>
      <c r="Q366">
        <f t="shared" si="970"/>
        <v>-3945737.8369889557</v>
      </c>
      <c r="R366">
        <f t="shared" si="971"/>
        <v>1786175.2978800405</v>
      </c>
      <c r="S366">
        <f t="shared" si="972"/>
        <v>17.861752978800403</v>
      </c>
      <c r="T366">
        <f t="shared" si="973"/>
        <v>1.7861752978800403E-2</v>
      </c>
    </row>
    <row r="367" spans="1:20" x14ac:dyDescent="0.25">
      <c r="A367" s="5">
        <v>44226</v>
      </c>
      <c r="B367">
        <v>1.26</v>
      </c>
      <c r="C367">
        <v>1.43</v>
      </c>
      <c r="D367">
        <v>1.218</v>
      </c>
      <c r="E367">
        <v>1.379</v>
      </c>
      <c r="F367">
        <v>4553349.57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0.51886792452830244</v>
      </c>
      <c r="Q367">
        <f t="shared" si="970"/>
        <v>2362587.0410377383</v>
      </c>
      <c r="R367">
        <f t="shared" si="971"/>
        <v>5731913.1348689962</v>
      </c>
      <c r="S367">
        <f t="shared" si="972"/>
        <v>57.319131348689965</v>
      </c>
      <c r="T367">
        <f t="shared" si="973"/>
        <v>5.7319131348689961E-2</v>
      </c>
    </row>
    <row r="368" spans="1:20" x14ac:dyDescent="0.25">
      <c r="A368" s="5">
        <v>44225</v>
      </c>
      <c r="B368">
        <v>1.276</v>
      </c>
      <c r="C368">
        <v>1.3109999999999999</v>
      </c>
      <c r="D368">
        <v>1.232</v>
      </c>
      <c r="E368">
        <v>1.2589999999999999</v>
      </c>
      <c r="F368">
        <v>3170480.2310000001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-0.3164556962025335</v>
      </c>
      <c r="Q368">
        <f t="shared" si="970"/>
        <v>-1003316.5287974742</v>
      </c>
      <c r="R368">
        <f t="shared" si="971"/>
        <v>3369326.0938312574</v>
      </c>
      <c r="S368">
        <f t="shared" si="972"/>
        <v>33.693260938312577</v>
      </c>
      <c r="T368">
        <f t="shared" si="973"/>
        <v>3.3693260938312576E-2</v>
      </c>
    </row>
    <row r="369" spans="1:20" x14ac:dyDescent="0.25">
      <c r="A369" s="5">
        <v>44224</v>
      </c>
      <c r="B369">
        <v>1.181</v>
      </c>
      <c r="C369">
        <v>1.347</v>
      </c>
      <c r="D369">
        <v>1.155</v>
      </c>
      <c r="E369">
        <v>1.278</v>
      </c>
      <c r="F369">
        <v>4585071.5640000002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0.28125000000000033</v>
      </c>
      <c r="Q369">
        <f t="shared" si="970"/>
        <v>1289551.3773750016</v>
      </c>
      <c r="R369">
        <f t="shared" si="971"/>
        <v>4372642.6226287317</v>
      </c>
      <c r="S369">
        <f t="shared" si="972"/>
        <v>43.726426226287316</v>
      </c>
      <c r="T369">
        <f t="shared" si="973"/>
        <v>4.3726426226287314E-2</v>
      </c>
    </row>
    <row r="370" spans="1:20" x14ac:dyDescent="0.25">
      <c r="A370" s="5">
        <v>44223</v>
      </c>
      <c r="B370">
        <v>1.3180000000000001</v>
      </c>
      <c r="C370">
        <v>1.32</v>
      </c>
      <c r="D370">
        <v>1.1419999999999999</v>
      </c>
      <c r="E370">
        <v>1.181</v>
      </c>
      <c r="F370">
        <v>4681784.2939999998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-0.56179775280898747</v>
      </c>
      <c r="Q370">
        <f t="shared" si="970"/>
        <v>-2630215.8955056118</v>
      </c>
      <c r="R370">
        <f t="shared" si="971"/>
        <v>3083091.2452537296</v>
      </c>
      <c r="S370">
        <f t="shared" si="972"/>
        <v>30.830912452537298</v>
      </c>
      <c r="T370">
        <f t="shared" si="973"/>
        <v>3.0830912452537298E-2</v>
      </c>
    </row>
    <row r="371" spans="1:20" x14ac:dyDescent="0.25">
      <c r="A371" s="5">
        <v>44222</v>
      </c>
      <c r="B371">
        <v>1.32</v>
      </c>
      <c r="C371">
        <v>1.3560000000000001</v>
      </c>
      <c r="D371">
        <v>1.2230000000000001</v>
      </c>
      <c r="E371">
        <v>1.3180000000000001</v>
      </c>
      <c r="F371">
        <v>3749765.003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0.4285714285714281</v>
      </c>
      <c r="Q371">
        <f t="shared" si="970"/>
        <v>1607042.1441428554</v>
      </c>
      <c r="R371">
        <f t="shared" si="971"/>
        <v>5713307.1407593414</v>
      </c>
      <c r="S371">
        <f t="shared" si="972"/>
        <v>57.133071407593413</v>
      </c>
      <c r="T371">
        <f t="shared" si="973"/>
        <v>5.7133071407593411E-2</v>
      </c>
    </row>
    <row r="372" spans="1:20" x14ac:dyDescent="0.25">
      <c r="A372" s="5">
        <v>44221</v>
      </c>
      <c r="B372">
        <v>1.3819999999999999</v>
      </c>
      <c r="C372">
        <v>1.4419999999999999</v>
      </c>
      <c r="D372">
        <v>1.3089999999999999</v>
      </c>
      <c r="E372">
        <v>1.319</v>
      </c>
      <c r="F372">
        <v>4054400.1179999998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-0.84962406015037584</v>
      </c>
      <c r="Q372">
        <f t="shared" si="970"/>
        <v>-3444715.8897293229</v>
      </c>
      <c r="R372">
        <f t="shared" si="971"/>
        <v>4106264.9966164865</v>
      </c>
      <c r="S372">
        <f t="shared" si="972"/>
        <v>41.062649966164862</v>
      </c>
      <c r="T372">
        <f t="shared" si="973"/>
        <v>4.1062649966164863E-2</v>
      </c>
    </row>
    <row r="373" spans="1:20" x14ac:dyDescent="0.25">
      <c r="A373" s="5">
        <v>44220</v>
      </c>
      <c r="B373">
        <v>1.363</v>
      </c>
      <c r="C373">
        <v>1.43</v>
      </c>
      <c r="D373">
        <v>1.3180000000000001</v>
      </c>
      <c r="E373">
        <v>1.3819999999999999</v>
      </c>
      <c r="F373">
        <v>5322465.1069999998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0.14285714285714116</v>
      </c>
      <c r="Q373">
        <f t="shared" si="970"/>
        <v>760352.15814284806</v>
      </c>
      <c r="R373">
        <f t="shared" si="971"/>
        <v>7550980.8863458093</v>
      </c>
      <c r="S373">
        <f t="shared" si="972"/>
        <v>75.50980886345809</v>
      </c>
      <c r="T373">
        <f t="shared" si="973"/>
        <v>7.5509808863458094E-2</v>
      </c>
    </row>
    <row r="374" spans="1:20" x14ac:dyDescent="0.25">
      <c r="A374" s="5">
        <v>44219</v>
      </c>
      <c r="B374">
        <v>1.3620000000000001</v>
      </c>
      <c r="C374">
        <v>1.448</v>
      </c>
      <c r="D374">
        <v>1.3149999999999999</v>
      </c>
      <c r="E374">
        <v>1.363</v>
      </c>
      <c r="F374">
        <v>5173660.3459999999</v>
      </c>
      <c r="G374">
        <v>0</v>
      </c>
      <c r="L374" t="s">
        <v>7</v>
      </c>
      <c r="M374" t="s">
        <v>8</v>
      </c>
      <c r="N374" t="s">
        <v>8</v>
      </c>
      <c r="P374">
        <f t="shared" si="969"/>
        <v>-0.27819548872180389</v>
      </c>
      <c r="Q374">
        <f t="shared" si="970"/>
        <v>-1439288.968436087</v>
      </c>
      <c r="R374">
        <f t="shared" si="971"/>
        <v>6790628.7282029614</v>
      </c>
      <c r="S374">
        <f t="shared" si="972"/>
        <v>67.906287282029609</v>
      </c>
      <c r="T374">
        <f t="shared" si="973"/>
        <v>6.7906287282029604E-2</v>
      </c>
    </row>
    <row r="375" spans="1:20" x14ac:dyDescent="0.25">
      <c r="A375" s="5">
        <v>44218</v>
      </c>
      <c r="B375">
        <v>1.381</v>
      </c>
      <c r="C375">
        <v>1.4870000000000001</v>
      </c>
      <c r="D375">
        <v>1.1830000000000001</v>
      </c>
      <c r="E375">
        <v>1.3640000000000001</v>
      </c>
      <c r="F375">
        <v>8186704.9000000004</v>
      </c>
      <c r="G375">
        <v>0</v>
      </c>
      <c r="L375" t="s">
        <v>8</v>
      </c>
      <c r="M375" t="s">
        <v>7</v>
      </c>
      <c r="N375" t="s">
        <v>8</v>
      </c>
      <c r="P375">
        <f t="shared" si="969"/>
        <v>0.19078947368421068</v>
      </c>
      <c r="Q375">
        <f t="shared" si="970"/>
        <v>1561937.1190789486</v>
      </c>
      <c r="R375">
        <f t="shared" si="971"/>
        <v>8229917.6966390479</v>
      </c>
      <c r="S375">
        <f t="shared" si="972"/>
        <v>82.299176966390476</v>
      </c>
      <c r="T375">
        <f t="shared" si="973"/>
        <v>8.2299176966390469E-2</v>
      </c>
    </row>
    <row r="376" spans="1:20" x14ac:dyDescent="0.25">
      <c r="A376" s="5">
        <v>44217</v>
      </c>
      <c r="B376">
        <v>1.292</v>
      </c>
      <c r="C376">
        <v>1.4930000000000001</v>
      </c>
      <c r="D376">
        <v>1.135</v>
      </c>
      <c r="E376">
        <v>1.3839999999999999</v>
      </c>
      <c r="F376">
        <v>17055668.316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0.39106145251396546</v>
      </c>
      <c r="Q376">
        <f t="shared" si="970"/>
        <v>6669814.4252513787</v>
      </c>
      <c r="R376">
        <f t="shared" si="971"/>
        <v>6667980.5775600988</v>
      </c>
      <c r="S376">
        <f t="shared" si="972"/>
        <v>66.679805775600983</v>
      </c>
      <c r="T376">
        <f t="shared" si="973"/>
        <v>6.6679805775600981E-2</v>
      </c>
    </row>
    <row r="377" spans="1:20" x14ac:dyDescent="0.25">
      <c r="A377" s="5">
        <v>44216</v>
      </c>
      <c r="B377">
        <v>1.2609999999999999</v>
      </c>
      <c r="C377">
        <v>1.32</v>
      </c>
      <c r="D377">
        <v>1.1539999999999999</v>
      </c>
      <c r="E377">
        <v>1.29</v>
      </c>
      <c r="F377">
        <v>6007353.2290000003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0.63855421686746983</v>
      </c>
      <c r="Q377">
        <f t="shared" si="970"/>
        <v>3836020.7365903612</v>
      </c>
      <c r="R377">
        <f t="shared" si="971"/>
        <v>-1833.8476912803017</v>
      </c>
      <c r="S377">
        <f t="shared" si="972"/>
        <v>-1.8338476912803017E-2</v>
      </c>
      <c r="T377">
        <f t="shared" si="973"/>
        <v>-1.8338476912803018E-5</v>
      </c>
    </row>
    <row r="378" spans="1:20" x14ac:dyDescent="0.25">
      <c r="A378" s="5">
        <v>44215</v>
      </c>
      <c r="B378">
        <v>1.3360000000000001</v>
      </c>
      <c r="C378">
        <v>1.431</v>
      </c>
      <c r="D378">
        <v>1.2549999999999999</v>
      </c>
      <c r="E378">
        <v>1.262</v>
      </c>
      <c r="F378">
        <v>7125098.2450000001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-0.92045454545454419</v>
      </c>
      <c r="Q378">
        <f t="shared" si="970"/>
        <v>-6558329.0664204452</v>
      </c>
      <c r="R378">
        <f t="shared" si="971"/>
        <v>-3837854.5842816415</v>
      </c>
      <c r="S378">
        <f t="shared" si="972"/>
        <v>-38.378545842816415</v>
      </c>
      <c r="T378">
        <f t="shared" si="973"/>
        <v>-3.8378545842816414E-2</v>
      </c>
    </row>
    <row r="379" spans="1:20" x14ac:dyDescent="0.25">
      <c r="A379" s="5">
        <v>44214</v>
      </c>
      <c r="B379">
        <v>1.234</v>
      </c>
      <c r="C379">
        <v>1.399</v>
      </c>
      <c r="D379">
        <v>1.173</v>
      </c>
      <c r="E379">
        <v>1.3360000000000001</v>
      </c>
      <c r="F379">
        <v>7056512.8700000001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0.4424778761061951</v>
      </c>
      <c r="Q379">
        <f t="shared" si="970"/>
        <v>3122350.8274336313</v>
      </c>
      <c r="R379">
        <f t="shared" si="971"/>
        <v>2720474.4821388037</v>
      </c>
      <c r="S379">
        <f t="shared" si="972"/>
        <v>27.204744821388037</v>
      </c>
      <c r="T379">
        <f t="shared" si="973"/>
        <v>2.7204744821388037E-2</v>
      </c>
    </row>
    <row r="380" spans="1:20" x14ac:dyDescent="0.25">
      <c r="A380" s="5">
        <v>44213</v>
      </c>
      <c r="B380">
        <v>1.2749999999999999</v>
      </c>
      <c r="C380">
        <v>1.294</v>
      </c>
      <c r="D380">
        <v>1.125</v>
      </c>
      <c r="E380">
        <v>1.234</v>
      </c>
      <c r="F380">
        <v>5194404.2319999998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0.2899408284023664</v>
      </c>
      <c r="Q380">
        <f t="shared" si="970"/>
        <v>1506069.8660828378</v>
      </c>
      <c r="R380">
        <f t="shared" si="971"/>
        <v>-401876.3452948276</v>
      </c>
      <c r="S380">
        <f t="shared" si="972"/>
        <v>-4.0187634529482761</v>
      </c>
      <c r="T380">
        <f t="shared" si="973"/>
        <v>-4.018763452948276E-3</v>
      </c>
    </row>
    <row r="381" spans="1:20" x14ac:dyDescent="0.25">
      <c r="A381" s="5">
        <v>44212</v>
      </c>
      <c r="B381">
        <v>1.2350000000000001</v>
      </c>
      <c r="C381">
        <v>1.2849999999999999</v>
      </c>
      <c r="D381">
        <v>1.1439999999999999</v>
      </c>
      <c r="E381">
        <v>1.276</v>
      </c>
      <c r="F381">
        <v>6571646.1339999996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0.87234042553191637</v>
      </c>
      <c r="Q381">
        <f t="shared" si="970"/>
        <v>5732712.5849787332</v>
      </c>
      <c r="R381">
        <f t="shared" si="971"/>
        <v>-1907946.2113776654</v>
      </c>
      <c r="S381">
        <f t="shared" si="972"/>
        <v>-19.079462113776653</v>
      </c>
      <c r="T381">
        <f t="shared" si="973"/>
        <v>-1.9079462113776653E-2</v>
      </c>
    </row>
    <row r="382" spans="1:20" x14ac:dyDescent="0.25">
      <c r="A382" s="5">
        <v>44211</v>
      </c>
      <c r="B382">
        <v>1.0720000000000001</v>
      </c>
      <c r="C382">
        <v>1.2370000000000001</v>
      </c>
      <c r="D382">
        <v>1.04</v>
      </c>
      <c r="E382">
        <v>1.234</v>
      </c>
      <c r="F382">
        <v>8164720.0640000002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0.96954314720812074</v>
      </c>
      <c r="Q382">
        <f t="shared" si="970"/>
        <v>7916048.3869238496</v>
      </c>
      <c r="R382">
        <f t="shared" si="971"/>
        <v>-7640658.7963563986</v>
      </c>
      <c r="S382">
        <f t="shared" si="972"/>
        <v>-76.406587963563993</v>
      </c>
      <c r="T382">
        <f t="shared" si="973"/>
        <v>-7.6406587963563991E-2</v>
      </c>
    </row>
    <row r="383" spans="1:20" x14ac:dyDescent="0.25">
      <c r="A383" s="5">
        <v>44210</v>
      </c>
      <c r="B383">
        <v>1.099</v>
      </c>
      <c r="C383">
        <v>1.1060000000000001</v>
      </c>
      <c r="D383">
        <v>1.03</v>
      </c>
      <c r="E383">
        <v>1.0720000000000001</v>
      </c>
      <c r="F383">
        <v>3431370.659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0.10526315789473684</v>
      </c>
      <c r="Q383">
        <f t="shared" si="970"/>
        <v>361196.91147368419</v>
      </c>
      <c r="R383">
        <f t="shared" si="971"/>
        <v>-15556707.183280248</v>
      </c>
      <c r="S383">
        <f t="shared" si="972"/>
        <v>-155.56707183280247</v>
      </c>
      <c r="T383">
        <f t="shared" si="973"/>
        <v>-0.15556707183280247</v>
      </c>
    </row>
    <row r="384" spans="1:20" x14ac:dyDescent="0.25">
      <c r="A384" s="5">
        <v>44209</v>
      </c>
      <c r="B384">
        <v>1.0029999999999999</v>
      </c>
      <c r="C384">
        <v>1.1020000000000001</v>
      </c>
      <c r="D384">
        <v>0.97699999999999998</v>
      </c>
      <c r="E384">
        <v>1.0980000000000001</v>
      </c>
      <c r="F384">
        <v>2945450.3659999999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0.93600000000000005</v>
      </c>
      <c r="Q384">
        <f t="shared" si="970"/>
        <v>2756941.5425760001</v>
      </c>
      <c r="R384">
        <f t="shared" si="971"/>
        <v>-15917904.094753932</v>
      </c>
      <c r="S384">
        <f t="shared" si="972"/>
        <v>-159.17904094753933</v>
      </c>
      <c r="T384">
        <f t="shared" si="973"/>
        <v>-0.15917904094753935</v>
      </c>
    </row>
    <row r="385" spans="1:20" x14ac:dyDescent="0.25">
      <c r="A385" s="5">
        <v>44208</v>
      </c>
      <c r="B385">
        <v>0.98</v>
      </c>
      <c r="C385">
        <v>1.099</v>
      </c>
      <c r="D385">
        <v>0.96099999999999997</v>
      </c>
      <c r="E385">
        <v>0.998</v>
      </c>
      <c r="F385">
        <v>6993219.1610000003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-0.46376811594202855</v>
      </c>
      <c r="Q385">
        <f t="shared" si="970"/>
        <v>-3243232.0746666635</v>
      </c>
      <c r="R385">
        <f t="shared" si="971"/>
        <v>-18674845.637329932</v>
      </c>
      <c r="S385">
        <f t="shared" si="972"/>
        <v>-186.74845637329932</v>
      </c>
      <c r="T385">
        <f t="shared" si="973"/>
        <v>-0.18674845637329932</v>
      </c>
    </row>
    <row r="386" spans="1:20" x14ac:dyDescent="0.25">
      <c r="A386" s="5">
        <v>44207</v>
      </c>
      <c r="B386">
        <v>1.1359999999999999</v>
      </c>
      <c r="C386">
        <v>1.1379999999999999</v>
      </c>
      <c r="D386">
        <v>0.85699999999999998</v>
      </c>
      <c r="E386">
        <v>0.97799999999999998</v>
      </c>
      <c r="F386">
        <v>9478238.6799999997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-0.13879003558718839</v>
      </c>
      <c r="Q386">
        <f t="shared" si="970"/>
        <v>-1315485.0837010655</v>
      </c>
      <c r="R386">
        <f t="shared" si="971"/>
        <v>-15431613.56266327</v>
      </c>
      <c r="S386">
        <f t="shared" si="972"/>
        <v>-154.3161356266327</v>
      </c>
      <c r="T386">
        <f t="shared" si="973"/>
        <v>-0.15431613562663271</v>
      </c>
    </row>
    <row r="387" spans="1:20" x14ac:dyDescent="0.25">
      <c r="A387" s="5">
        <v>44206</v>
      </c>
      <c r="B387">
        <v>1.1879999999999999</v>
      </c>
      <c r="C387">
        <v>1.29</v>
      </c>
      <c r="D387">
        <v>1.018</v>
      </c>
      <c r="E387">
        <v>1.1339999999999999</v>
      </c>
      <c r="F387">
        <v>8222123.352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-0.14705882352941271</v>
      </c>
      <c r="Q387">
        <f t="shared" si="970"/>
        <v>-1209135.7870588314</v>
      </c>
      <c r="R387">
        <f t="shared" si="971"/>
        <v>-14116128.478962205</v>
      </c>
      <c r="S387">
        <f t="shared" si="972"/>
        <v>-141.16128478962204</v>
      </c>
      <c r="T387">
        <f t="shared" si="973"/>
        <v>-0.14116128478962203</v>
      </c>
    </row>
    <row r="388" spans="1:20" x14ac:dyDescent="0.25">
      <c r="A388" s="5">
        <v>44205</v>
      </c>
      <c r="B388">
        <v>1.127</v>
      </c>
      <c r="C388">
        <v>1.2829999999999999</v>
      </c>
      <c r="D388">
        <v>1.083</v>
      </c>
      <c r="E388">
        <v>1.1870000000000001</v>
      </c>
      <c r="F388">
        <v>11552047.322000001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4.0000000000001153E-2</v>
      </c>
      <c r="Q388">
        <f t="shared" si="970"/>
        <v>462081.89288001333</v>
      </c>
      <c r="R388">
        <f t="shared" si="971"/>
        <v>-12906992.691903373</v>
      </c>
      <c r="S388">
        <f t="shared" si="972"/>
        <v>-129.06992691903372</v>
      </c>
      <c r="T388">
        <f t="shared" si="973"/>
        <v>-0.12906992691903371</v>
      </c>
    </row>
    <row r="389" spans="1:20" x14ac:dyDescent="0.25">
      <c r="A389" s="5">
        <v>44204</v>
      </c>
      <c r="B389">
        <v>1.0609999999999999</v>
      </c>
      <c r="C389">
        <v>1.2230000000000001</v>
      </c>
      <c r="D389">
        <v>0.94599999999999995</v>
      </c>
      <c r="E389">
        <v>1.1259999999999999</v>
      </c>
      <c r="F389">
        <v>9195157.2239999995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0.29963898916967402</v>
      </c>
      <c r="Q389">
        <f t="shared" si="970"/>
        <v>2755227.6158555858</v>
      </c>
      <c r="R389">
        <f t="shared" si="971"/>
        <v>-13369074.584783386</v>
      </c>
      <c r="S389">
        <f t="shared" si="972"/>
        <v>-133.69074584783385</v>
      </c>
      <c r="T389">
        <f t="shared" si="973"/>
        <v>-0.13369074584783386</v>
      </c>
    </row>
    <row r="390" spans="1:20" x14ac:dyDescent="0.25">
      <c r="A390" s="5">
        <v>44203</v>
      </c>
      <c r="B390">
        <v>1.1819999999999999</v>
      </c>
      <c r="C390">
        <v>1.3</v>
      </c>
      <c r="D390">
        <v>0.96899999999999997</v>
      </c>
      <c r="E390">
        <v>1.0609999999999999</v>
      </c>
      <c r="F390">
        <v>10751535.029999999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-0.44410876132930543</v>
      </c>
      <c r="Q390">
        <f t="shared" ref="Q390:Q453" si="975">F390*P390</f>
        <v>-4774850.9045619369</v>
      </c>
      <c r="R390">
        <f t="shared" ref="R390:R453" si="976">R391+Q390</f>
        <v>-16124302.200638972</v>
      </c>
      <c r="S390">
        <f t="shared" ref="S390:S453" si="977">R390/100000</f>
        <v>-161.24302200638971</v>
      </c>
      <c r="T390">
        <f t="shared" ref="T390:T453" si="978">S390/1000</f>
        <v>-0.16124302200638971</v>
      </c>
    </row>
    <row r="391" spans="1:20" x14ac:dyDescent="0.25">
      <c r="A391" s="5">
        <v>44202</v>
      </c>
      <c r="B391">
        <v>0.90700000000000003</v>
      </c>
      <c r="C391">
        <v>1.254</v>
      </c>
      <c r="D391">
        <v>0.879</v>
      </c>
      <c r="E391">
        <v>1.181</v>
      </c>
      <c r="F391">
        <v>12524807.908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0.61066666666666691</v>
      </c>
      <c r="Q391">
        <f t="shared" si="975"/>
        <v>7648482.6958186701</v>
      </c>
      <c r="R391">
        <f t="shared" si="976"/>
        <v>-11349451.296077035</v>
      </c>
      <c r="S391">
        <f t="shared" si="977"/>
        <v>-113.49451296077035</v>
      </c>
      <c r="T391">
        <f t="shared" si="978"/>
        <v>-0.11349451296077034</v>
      </c>
    </row>
    <row r="392" spans="1:20" x14ac:dyDescent="0.25">
      <c r="A392" s="5">
        <v>44201</v>
      </c>
      <c r="B392">
        <v>0.82199999999999995</v>
      </c>
      <c r="C392">
        <v>0.92300000000000004</v>
      </c>
      <c r="D392">
        <v>0.79800000000000004</v>
      </c>
      <c r="E392">
        <v>0.90900000000000003</v>
      </c>
      <c r="F392">
        <v>4535603.3550000004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0.7759999999999998</v>
      </c>
      <c r="Q392">
        <f t="shared" si="975"/>
        <v>3519628.2034799997</v>
      </c>
      <c r="R392">
        <f t="shared" si="976"/>
        <v>-18997933.991895705</v>
      </c>
      <c r="S392">
        <f t="shared" si="977"/>
        <v>-189.97933991895707</v>
      </c>
      <c r="T392">
        <f t="shared" si="978"/>
        <v>-0.18997933991895707</v>
      </c>
    </row>
    <row r="393" spans="1:20" x14ac:dyDescent="0.25">
      <c r="A393" s="5">
        <v>44200</v>
      </c>
      <c r="B393">
        <v>0.82899999999999996</v>
      </c>
      <c r="C393">
        <v>0.93400000000000005</v>
      </c>
      <c r="D393">
        <v>0.76</v>
      </c>
      <c r="E393">
        <v>0.82199999999999995</v>
      </c>
      <c r="F393">
        <v>5126350.1770000001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-0.28735632183908127</v>
      </c>
      <c r="Q393">
        <f t="shared" si="975"/>
        <v>-1473089.1313218432</v>
      </c>
      <c r="R393">
        <f t="shared" si="976"/>
        <v>-22517562.195375703</v>
      </c>
      <c r="S393">
        <f t="shared" si="977"/>
        <v>-225.17562195375703</v>
      </c>
      <c r="T393">
        <f t="shared" si="978"/>
        <v>-0.22517562195375704</v>
      </c>
    </row>
    <row r="394" spans="1:20" x14ac:dyDescent="0.25">
      <c r="A394" s="5">
        <v>44199</v>
      </c>
      <c r="B394">
        <v>0.78500000000000003</v>
      </c>
      <c r="C394">
        <v>0.84499999999999997</v>
      </c>
      <c r="D394">
        <v>0.76500000000000001</v>
      </c>
      <c r="E394">
        <v>0.82899999999999996</v>
      </c>
      <c r="F394">
        <v>3849821.0469999998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0.59999999999999942</v>
      </c>
      <c r="Q394">
        <f t="shared" si="975"/>
        <v>2309892.6281999978</v>
      </c>
      <c r="R394">
        <f t="shared" si="976"/>
        <v>-21044473.06405386</v>
      </c>
      <c r="S394">
        <f t="shared" si="977"/>
        <v>-210.44473064053861</v>
      </c>
      <c r="T394">
        <f t="shared" si="978"/>
        <v>-0.21044473064053862</v>
      </c>
    </row>
    <row r="395" spans="1:20" x14ac:dyDescent="0.25">
      <c r="A395" s="5">
        <v>44198</v>
      </c>
      <c r="B395">
        <v>0.79900000000000004</v>
      </c>
      <c r="C395">
        <v>0.81100000000000005</v>
      </c>
      <c r="D395">
        <v>0.78</v>
      </c>
      <c r="E395">
        <v>0.78400000000000003</v>
      </c>
      <c r="F395">
        <v>1540860.4580000001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-0.74193548387096775</v>
      </c>
      <c r="Q395">
        <f t="shared" si="975"/>
        <v>-1143219.0494838711</v>
      </c>
      <c r="R395">
        <f t="shared" si="976"/>
        <v>-23354365.692253858</v>
      </c>
      <c r="S395">
        <f t="shared" si="977"/>
        <v>-233.54365692253859</v>
      </c>
      <c r="T395">
        <f t="shared" si="978"/>
        <v>-0.23354365692253859</v>
      </c>
    </row>
    <row r="396" spans="1:20" x14ac:dyDescent="0.25">
      <c r="A396" s="5">
        <v>44197</v>
      </c>
      <c r="B396">
        <v>0.79900000000000004</v>
      </c>
      <c r="C396">
        <v>0.83799999999999997</v>
      </c>
      <c r="D396">
        <v>0.77500000000000002</v>
      </c>
      <c r="E396">
        <v>0.79900000000000004</v>
      </c>
      <c r="F396">
        <v>2318242.2519999999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-0.23809523809523675</v>
      </c>
      <c r="Q396">
        <f t="shared" si="975"/>
        <v>-551962.44095237774</v>
      </c>
      <c r="R396">
        <f t="shared" si="976"/>
        <v>-22211146.642769989</v>
      </c>
      <c r="S396">
        <f t="shared" si="977"/>
        <v>-222.1114664276999</v>
      </c>
      <c r="T396">
        <f t="shared" si="978"/>
        <v>-0.22211146642769988</v>
      </c>
    </row>
    <row r="397" spans="1:20" x14ac:dyDescent="0.25">
      <c r="A397" s="5">
        <v>44196</v>
      </c>
      <c r="B397">
        <v>0.80500000000000005</v>
      </c>
      <c r="C397">
        <v>0.80700000000000005</v>
      </c>
      <c r="D397">
        <v>0.77900000000000003</v>
      </c>
      <c r="E397">
        <v>0.79900000000000004</v>
      </c>
      <c r="F397">
        <v>991157.15099999995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0.42857142857142855</v>
      </c>
      <c r="Q397">
        <f t="shared" si="975"/>
        <v>424781.63614285708</v>
      </c>
      <c r="R397">
        <f t="shared" si="976"/>
        <v>-21659184.201817609</v>
      </c>
      <c r="S397">
        <f t="shared" si="977"/>
        <v>-216.5918420181761</v>
      </c>
      <c r="T397">
        <f t="shared" si="978"/>
        <v>-0.21659184201817611</v>
      </c>
    </row>
    <row r="398" spans="1:20" x14ac:dyDescent="0.25">
      <c r="A398" s="5">
        <v>44195</v>
      </c>
      <c r="B398">
        <v>0.82599999999999996</v>
      </c>
      <c r="C398">
        <v>0.83399999999999996</v>
      </c>
      <c r="D398">
        <v>0.79500000000000004</v>
      </c>
      <c r="E398">
        <v>0.80700000000000005</v>
      </c>
      <c r="F398">
        <v>1034062.997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-0.38461538461538286</v>
      </c>
      <c r="Q398">
        <f t="shared" si="975"/>
        <v>-397716.53730769048</v>
      </c>
      <c r="R398">
        <f t="shared" si="976"/>
        <v>-22083965.837960467</v>
      </c>
      <c r="S398">
        <f t="shared" si="977"/>
        <v>-220.83965837960466</v>
      </c>
      <c r="T398">
        <f t="shared" si="978"/>
        <v>-0.22083965837960465</v>
      </c>
    </row>
    <row r="399" spans="1:20" x14ac:dyDescent="0.25">
      <c r="A399" s="5">
        <v>44194</v>
      </c>
      <c r="B399">
        <v>0.85899999999999999</v>
      </c>
      <c r="C399">
        <v>0.878</v>
      </c>
      <c r="D399">
        <v>0.79200000000000004</v>
      </c>
      <c r="E399">
        <v>0.82599999999999996</v>
      </c>
      <c r="F399">
        <v>1867905.6980000001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-0.20930232558139691</v>
      </c>
      <c r="Q399">
        <f t="shared" si="975"/>
        <v>-390957.00655814249</v>
      </c>
      <c r="R399">
        <f t="shared" si="976"/>
        <v>-21686249.300652776</v>
      </c>
      <c r="S399">
        <f t="shared" si="977"/>
        <v>-216.86249300652776</v>
      </c>
      <c r="T399">
        <f t="shared" si="978"/>
        <v>-0.21686249300652777</v>
      </c>
    </row>
    <row r="400" spans="1:20" x14ac:dyDescent="0.25">
      <c r="A400" s="5">
        <v>44193</v>
      </c>
      <c r="B400">
        <v>0.81299999999999994</v>
      </c>
      <c r="C400">
        <v>0.874</v>
      </c>
      <c r="D400">
        <v>0.80500000000000005</v>
      </c>
      <c r="E400">
        <v>0.85799999999999998</v>
      </c>
      <c r="F400">
        <v>1526973.689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0.53623188405797029</v>
      </c>
      <c r="Q400">
        <f t="shared" si="975"/>
        <v>818811.97815941914</v>
      </c>
      <c r="R400">
        <f t="shared" si="976"/>
        <v>-21295292.294094633</v>
      </c>
      <c r="S400">
        <f t="shared" si="977"/>
        <v>-212.95292294094634</v>
      </c>
      <c r="T400">
        <f t="shared" si="978"/>
        <v>-0.21295292294094634</v>
      </c>
    </row>
    <row r="401" spans="1:20" x14ac:dyDescent="0.25">
      <c r="A401" s="5">
        <v>44192</v>
      </c>
      <c r="B401">
        <v>0.79900000000000004</v>
      </c>
      <c r="C401">
        <v>0.873</v>
      </c>
      <c r="D401">
        <v>0.79200000000000004</v>
      </c>
      <c r="E401">
        <v>0.81200000000000006</v>
      </c>
      <c r="F401">
        <v>3470905.4870000002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-0.5061728395061722</v>
      </c>
      <c r="Q401">
        <f t="shared" si="975"/>
        <v>-1756878.0860123436</v>
      </c>
      <c r="R401">
        <f t="shared" si="976"/>
        <v>-22114104.272254054</v>
      </c>
      <c r="S401">
        <f t="shared" si="977"/>
        <v>-221.14104272254053</v>
      </c>
      <c r="T401">
        <f t="shared" si="978"/>
        <v>-0.22114104272254054</v>
      </c>
    </row>
    <row r="402" spans="1:20" x14ac:dyDescent="0.25">
      <c r="A402" s="5">
        <v>44191</v>
      </c>
      <c r="B402">
        <v>0.83</v>
      </c>
      <c r="C402">
        <v>0.83099999999999996</v>
      </c>
      <c r="D402">
        <v>0.78600000000000003</v>
      </c>
      <c r="E402">
        <v>0.79700000000000004</v>
      </c>
      <c r="F402">
        <v>1225385.5379999999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-0.51111111111110985</v>
      </c>
      <c r="Q402">
        <f t="shared" si="975"/>
        <v>-626308.1638666651</v>
      </c>
      <c r="R402">
        <f t="shared" si="976"/>
        <v>-20357226.186241709</v>
      </c>
      <c r="S402">
        <f t="shared" si="977"/>
        <v>-203.57226186241709</v>
      </c>
      <c r="T402">
        <f t="shared" si="978"/>
        <v>-0.20357226186241709</v>
      </c>
    </row>
    <row r="403" spans="1:20" x14ac:dyDescent="0.25">
      <c r="A403" s="5">
        <v>44190</v>
      </c>
      <c r="B403">
        <v>0.81899999999999995</v>
      </c>
      <c r="C403">
        <v>0.86099999999999999</v>
      </c>
      <c r="D403">
        <v>0.80200000000000005</v>
      </c>
      <c r="E403">
        <v>0.83</v>
      </c>
      <c r="F403">
        <v>1528871.642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-5.0847457627120625E-2</v>
      </c>
      <c r="Q403">
        <f t="shared" si="975"/>
        <v>-77739.236033901339</v>
      </c>
      <c r="R403">
        <f t="shared" si="976"/>
        <v>-19730918.022375043</v>
      </c>
      <c r="S403">
        <f t="shared" si="977"/>
        <v>-197.30918022375045</v>
      </c>
      <c r="T403">
        <f t="shared" si="978"/>
        <v>-0.19730918022375044</v>
      </c>
    </row>
    <row r="404" spans="1:20" x14ac:dyDescent="0.25">
      <c r="A404" s="5">
        <v>44189</v>
      </c>
      <c r="B404">
        <v>0.755</v>
      </c>
      <c r="C404">
        <v>0.83199999999999996</v>
      </c>
      <c r="D404">
        <v>0.72699999999999998</v>
      </c>
      <c r="E404">
        <v>0.81899999999999995</v>
      </c>
      <c r="F404">
        <v>1959151.3629999999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0.75238095238095215</v>
      </c>
      <c r="Q404">
        <f t="shared" si="975"/>
        <v>1474028.1683523804</v>
      </c>
      <c r="R404">
        <f t="shared" si="976"/>
        <v>-19653178.786341142</v>
      </c>
      <c r="S404">
        <f t="shared" si="977"/>
        <v>-196.53178786341141</v>
      </c>
      <c r="T404">
        <f t="shared" si="978"/>
        <v>-0.19653178786341141</v>
      </c>
    </row>
    <row r="405" spans="1:20" x14ac:dyDescent="0.25">
      <c r="A405" s="5">
        <v>44188</v>
      </c>
      <c r="B405">
        <v>0.89</v>
      </c>
      <c r="C405">
        <v>0.89800000000000002</v>
      </c>
      <c r="D405">
        <v>0.68300000000000005</v>
      </c>
      <c r="E405">
        <v>0.755</v>
      </c>
      <c r="F405">
        <v>3440965.5819999999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-0.33023255813953523</v>
      </c>
      <c r="Q405">
        <f t="shared" si="975"/>
        <v>-1136318.8666139545</v>
      </c>
      <c r="R405">
        <f t="shared" si="976"/>
        <v>-21127206.954693522</v>
      </c>
      <c r="S405">
        <f t="shared" si="977"/>
        <v>-211.27206954693523</v>
      </c>
      <c r="T405">
        <f t="shared" si="978"/>
        <v>-0.21127206954693523</v>
      </c>
    </row>
    <row r="406" spans="1:20" x14ac:dyDescent="0.25">
      <c r="A406" s="5">
        <v>44187</v>
      </c>
      <c r="B406">
        <v>0.873</v>
      </c>
      <c r="C406">
        <v>0.89200000000000002</v>
      </c>
      <c r="D406">
        <v>0.84299999999999997</v>
      </c>
      <c r="E406">
        <v>0.89200000000000002</v>
      </c>
      <c r="F406">
        <v>1615358.5959999999</v>
      </c>
      <c r="G406">
        <v>0</v>
      </c>
      <c r="L406" t="s">
        <v>7</v>
      </c>
      <c r="M406" t="s">
        <v>8</v>
      </c>
      <c r="N406" t="s">
        <v>7</v>
      </c>
      <c r="P406">
        <f t="shared" si="974"/>
        <v>1</v>
      </c>
      <c r="Q406">
        <f t="shared" si="975"/>
        <v>1615358.5959999999</v>
      </c>
      <c r="R406">
        <f t="shared" si="976"/>
        <v>-19990888.088079568</v>
      </c>
      <c r="S406">
        <f t="shared" si="977"/>
        <v>-199.90888088079569</v>
      </c>
      <c r="T406">
        <f t="shared" si="978"/>
        <v>-0.1999088808807957</v>
      </c>
    </row>
    <row r="407" spans="1:20" x14ac:dyDescent="0.25">
      <c r="A407" s="5">
        <v>44186</v>
      </c>
      <c r="B407">
        <v>0.92100000000000004</v>
      </c>
      <c r="C407">
        <v>0.94</v>
      </c>
      <c r="D407">
        <v>0.84699999999999998</v>
      </c>
      <c r="E407">
        <v>0.872</v>
      </c>
      <c r="F407">
        <v>2194108.8739999998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-0.46236559139784883</v>
      </c>
      <c r="Q407">
        <f t="shared" si="975"/>
        <v>-1014480.4471182781</v>
      </c>
      <c r="R407">
        <f t="shared" si="976"/>
        <v>-21606246.684079569</v>
      </c>
      <c r="S407">
        <f t="shared" si="977"/>
        <v>-216.06246684079568</v>
      </c>
      <c r="T407">
        <f t="shared" si="978"/>
        <v>-0.21606246684079569</v>
      </c>
    </row>
    <row r="408" spans="1:20" x14ac:dyDescent="0.25">
      <c r="A408" s="5">
        <v>44185</v>
      </c>
      <c r="B408">
        <v>0.94699999999999995</v>
      </c>
      <c r="C408">
        <v>0.95699999999999996</v>
      </c>
      <c r="D408">
        <v>0.90300000000000002</v>
      </c>
      <c r="E408">
        <v>0.92100000000000004</v>
      </c>
      <c r="F408">
        <v>1893148.128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-0.33333333333333198</v>
      </c>
      <c r="Q408">
        <f t="shared" si="975"/>
        <v>-631049.37599999749</v>
      </c>
      <c r="R408">
        <f t="shared" si="976"/>
        <v>-20591766.23696129</v>
      </c>
      <c r="S408">
        <f t="shared" si="977"/>
        <v>-205.91766236961291</v>
      </c>
      <c r="T408">
        <f t="shared" si="978"/>
        <v>-0.20591766236961292</v>
      </c>
    </row>
    <row r="409" spans="1:20" x14ac:dyDescent="0.25">
      <c r="A409" s="5">
        <v>44184</v>
      </c>
      <c r="B409">
        <v>0.94399999999999995</v>
      </c>
      <c r="C409">
        <v>1</v>
      </c>
      <c r="D409">
        <v>0.93300000000000005</v>
      </c>
      <c r="E409">
        <v>0.94699999999999995</v>
      </c>
      <c r="F409">
        <v>3155965.2680000002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-0.58208955223880854</v>
      </c>
      <c r="Q409">
        <f t="shared" si="975"/>
        <v>-1837054.4097313515</v>
      </c>
      <c r="R409">
        <f t="shared" si="976"/>
        <v>-19960716.860961292</v>
      </c>
      <c r="S409">
        <f t="shared" si="977"/>
        <v>-199.60716860961293</v>
      </c>
      <c r="T409">
        <f t="shared" si="978"/>
        <v>-0.19960716860961292</v>
      </c>
    </row>
    <row r="410" spans="1:20" x14ac:dyDescent="0.25">
      <c r="A410" s="5">
        <v>44183</v>
      </c>
      <c r="B410">
        <v>0.92600000000000005</v>
      </c>
      <c r="C410">
        <v>0.94799999999999995</v>
      </c>
      <c r="D410">
        <v>0.90800000000000003</v>
      </c>
      <c r="E410">
        <v>0.94399999999999995</v>
      </c>
      <c r="F410">
        <v>1226106.9709999999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0.79999999999999949</v>
      </c>
      <c r="Q410">
        <f t="shared" si="975"/>
        <v>980885.57679999934</v>
      </c>
      <c r="R410">
        <f t="shared" si="976"/>
        <v>-18123662.451229941</v>
      </c>
      <c r="S410">
        <f t="shared" si="977"/>
        <v>-181.23662451229941</v>
      </c>
      <c r="T410">
        <f t="shared" si="978"/>
        <v>-0.18123662451229941</v>
      </c>
    </row>
    <row r="411" spans="1:20" x14ac:dyDescent="0.25">
      <c r="A411" s="5">
        <v>44182</v>
      </c>
      <c r="B411">
        <v>0.94</v>
      </c>
      <c r="C411">
        <v>0.98199999999999998</v>
      </c>
      <c r="D411">
        <v>0.90800000000000003</v>
      </c>
      <c r="E411">
        <v>0.92500000000000004</v>
      </c>
      <c r="F411">
        <v>4766232.6529999999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-0.5405405405405399</v>
      </c>
      <c r="Q411">
        <f t="shared" si="975"/>
        <v>-2576341.9745945917</v>
      </c>
      <c r="R411">
        <f t="shared" si="976"/>
        <v>-19104548.028029941</v>
      </c>
      <c r="S411">
        <f t="shared" si="977"/>
        <v>-191.04548028029942</v>
      </c>
      <c r="T411">
        <f t="shared" si="978"/>
        <v>-0.19104548028029941</v>
      </c>
    </row>
    <row r="412" spans="1:20" x14ac:dyDescent="0.25">
      <c r="A412" s="5">
        <v>44181</v>
      </c>
      <c r="B412">
        <v>0.95</v>
      </c>
      <c r="C412">
        <v>0.95099999999999996</v>
      </c>
      <c r="D412">
        <v>0.90300000000000002</v>
      </c>
      <c r="E412">
        <v>0.94</v>
      </c>
      <c r="F412">
        <v>2667862.6269999999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0.54166666666666563</v>
      </c>
      <c r="Q412">
        <f t="shared" si="975"/>
        <v>1445092.2562916637</v>
      </c>
      <c r="R412">
        <f t="shared" si="976"/>
        <v>-16528206.05343535</v>
      </c>
      <c r="S412">
        <f t="shared" si="977"/>
        <v>-165.28206053435349</v>
      </c>
      <c r="T412">
        <f t="shared" si="978"/>
        <v>-0.16528206053435349</v>
      </c>
    </row>
    <row r="413" spans="1:20" x14ac:dyDescent="0.25">
      <c r="A413" s="5">
        <v>44180</v>
      </c>
      <c r="B413">
        <v>0.91100000000000003</v>
      </c>
      <c r="C413">
        <v>0.95299999999999996</v>
      </c>
      <c r="D413">
        <v>0.90400000000000003</v>
      </c>
      <c r="E413">
        <v>0.95</v>
      </c>
      <c r="F413">
        <v>1123095.8459999999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0.87755102040816302</v>
      </c>
      <c r="Q413">
        <f t="shared" si="975"/>
        <v>985573.90567346907</v>
      </c>
      <c r="R413">
        <f t="shared" si="976"/>
        <v>-17973298.309727013</v>
      </c>
      <c r="S413">
        <f t="shared" si="977"/>
        <v>-179.73298309727014</v>
      </c>
      <c r="T413">
        <f t="shared" si="978"/>
        <v>-0.17973298309727015</v>
      </c>
    </row>
    <row r="414" spans="1:20" x14ac:dyDescent="0.25">
      <c r="A414" s="5">
        <v>44179</v>
      </c>
      <c r="B414">
        <v>0.92200000000000004</v>
      </c>
      <c r="C414">
        <v>0.93100000000000005</v>
      </c>
      <c r="D414">
        <v>0.90200000000000002</v>
      </c>
      <c r="E414">
        <v>0.91</v>
      </c>
      <c r="F414">
        <v>819015.60600000003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-0.44827586206896552</v>
      </c>
      <c r="Q414">
        <f t="shared" si="975"/>
        <v>-367144.9268275862</v>
      </c>
      <c r="R414">
        <f t="shared" si="976"/>
        <v>-18958872.215400483</v>
      </c>
      <c r="S414">
        <f t="shared" si="977"/>
        <v>-189.58872215400484</v>
      </c>
      <c r="T414">
        <f t="shared" si="978"/>
        <v>-0.18958872215400485</v>
      </c>
    </row>
    <row r="415" spans="1:20" x14ac:dyDescent="0.25">
      <c r="A415" s="5">
        <v>44178</v>
      </c>
      <c r="B415">
        <v>0.89400000000000002</v>
      </c>
      <c r="C415">
        <v>0.94399999999999995</v>
      </c>
      <c r="D415">
        <v>0.88600000000000001</v>
      </c>
      <c r="E415">
        <v>0.92200000000000004</v>
      </c>
      <c r="F415">
        <v>798064.23499999999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0.24137931034482996</v>
      </c>
      <c r="Q415">
        <f t="shared" si="975"/>
        <v>192636.1946551743</v>
      </c>
      <c r="R415">
        <f t="shared" si="976"/>
        <v>-18591727.288572896</v>
      </c>
      <c r="S415">
        <f t="shared" si="977"/>
        <v>-185.91727288572898</v>
      </c>
      <c r="T415">
        <f t="shared" si="978"/>
        <v>-0.18591727288572898</v>
      </c>
    </row>
    <row r="416" spans="1:20" x14ac:dyDescent="0.25">
      <c r="A416" s="5">
        <v>44177</v>
      </c>
      <c r="B416">
        <v>0.86699999999999999</v>
      </c>
      <c r="C416">
        <v>0.91200000000000003</v>
      </c>
      <c r="D416">
        <v>0.86199999999999999</v>
      </c>
      <c r="E416">
        <v>0.89300000000000002</v>
      </c>
      <c r="F416">
        <v>1336008.851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0.24</v>
      </c>
      <c r="Q416">
        <f t="shared" si="975"/>
        <v>320642.12423999998</v>
      </c>
      <c r="R416">
        <f t="shared" si="976"/>
        <v>-18784363.483228069</v>
      </c>
      <c r="S416">
        <f t="shared" si="977"/>
        <v>-187.84363483228069</v>
      </c>
      <c r="T416">
        <f t="shared" si="978"/>
        <v>-0.1878436348322807</v>
      </c>
    </row>
    <row r="417" spans="1:20" x14ac:dyDescent="0.25">
      <c r="A417" s="5">
        <v>44176</v>
      </c>
      <c r="B417">
        <v>0.86499999999999999</v>
      </c>
      <c r="C417">
        <v>0.88500000000000001</v>
      </c>
      <c r="D417">
        <v>0.83599999999999997</v>
      </c>
      <c r="E417">
        <v>0.86699999999999999</v>
      </c>
      <c r="F417">
        <v>1115098.602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0.26530612244897961</v>
      </c>
      <c r="Q417">
        <f t="shared" si="975"/>
        <v>295842.48624489794</v>
      </c>
      <c r="R417">
        <f t="shared" si="976"/>
        <v>-19105005.607468069</v>
      </c>
      <c r="S417">
        <f t="shared" si="977"/>
        <v>-191.0500560746807</v>
      </c>
      <c r="T417">
        <f t="shared" si="978"/>
        <v>-0.1910500560746807</v>
      </c>
    </row>
    <row r="418" spans="1:20" x14ac:dyDescent="0.25">
      <c r="A418" s="5">
        <v>44175</v>
      </c>
      <c r="B418">
        <v>0.89500000000000002</v>
      </c>
      <c r="C418">
        <v>0.91700000000000004</v>
      </c>
      <c r="D418">
        <v>0.85199999999999998</v>
      </c>
      <c r="E418">
        <v>0.86399999999999999</v>
      </c>
      <c r="F418">
        <v>1049025.213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-0.63076923076923075</v>
      </c>
      <c r="Q418">
        <f t="shared" si="975"/>
        <v>-661692.82666153845</v>
      </c>
      <c r="R418">
        <f t="shared" si="976"/>
        <v>-19400848.093712967</v>
      </c>
      <c r="S418">
        <f t="shared" si="977"/>
        <v>-194.00848093712966</v>
      </c>
      <c r="T418">
        <f t="shared" si="978"/>
        <v>-0.19400848093712966</v>
      </c>
    </row>
    <row r="419" spans="1:20" x14ac:dyDescent="0.25">
      <c r="A419" s="5">
        <v>44174</v>
      </c>
      <c r="B419">
        <v>0.89200000000000002</v>
      </c>
      <c r="C419">
        <v>0.90600000000000003</v>
      </c>
      <c r="D419">
        <v>0.83599999999999997</v>
      </c>
      <c r="E419">
        <v>0.89400000000000002</v>
      </c>
      <c r="F419">
        <v>1490023.311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0.65714285714285714</v>
      </c>
      <c r="Q419">
        <f t="shared" si="975"/>
        <v>979158.17579999997</v>
      </c>
      <c r="R419">
        <f t="shared" si="976"/>
        <v>-18739155.267051429</v>
      </c>
      <c r="S419">
        <f t="shared" si="977"/>
        <v>-187.39155267051427</v>
      </c>
      <c r="T419">
        <f t="shared" si="978"/>
        <v>-0.18739155267051427</v>
      </c>
    </row>
    <row r="420" spans="1:20" x14ac:dyDescent="0.25">
      <c r="A420" s="5">
        <v>44173</v>
      </c>
      <c r="B420">
        <v>0.95499999999999996</v>
      </c>
      <c r="C420">
        <v>0.95499999999999996</v>
      </c>
      <c r="D420">
        <v>0.873</v>
      </c>
      <c r="E420">
        <v>0.89300000000000002</v>
      </c>
      <c r="F420">
        <v>1971502.912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-0.51219512195121886</v>
      </c>
      <c r="Q420">
        <f t="shared" si="975"/>
        <v>-1009794.1744390231</v>
      </c>
      <c r="R420">
        <f t="shared" si="976"/>
        <v>-19718313.442851428</v>
      </c>
      <c r="S420">
        <f t="shared" si="977"/>
        <v>-197.18313442851428</v>
      </c>
      <c r="T420">
        <f t="shared" si="978"/>
        <v>-0.19718313442851429</v>
      </c>
    </row>
    <row r="421" spans="1:20" x14ac:dyDescent="0.25">
      <c r="A421" s="5">
        <v>44172</v>
      </c>
      <c r="B421">
        <v>0.97599999999999998</v>
      </c>
      <c r="C421">
        <v>0.97699999999999998</v>
      </c>
      <c r="D421">
        <v>0.93700000000000006</v>
      </c>
      <c r="E421">
        <v>0.95399999999999996</v>
      </c>
      <c r="F421">
        <v>1318948.0989999999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-0.15000000000000319</v>
      </c>
      <c r="Q421">
        <f t="shared" si="975"/>
        <v>-197842.21485000418</v>
      </c>
      <c r="R421">
        <f t="shared" si="976"/>
        <v>-18708519.268412404</v>
      </c>
      <c r="S421">
        <f t="shared" si="977"/>
        <v>-187.08519268412402</v>
      </c>
      <c r="T421">
        <f t="shared" si="978"/>
        <v>-0.18708519268412402</v>
      </c>
    </row>
    <row r="422" spans="1:20" x14ac:dyDescent="0.25">
      <c r="A422" s="5">
        <v>44171</v>
      </c>
      <c r="B422">
        <v>0.97299999999999998</v>
      </c>
      <c r="C422">
        <v>0.99099999999999999</v>
      </c>
      <c r="D422">
        <v>0.95299999999999996</v>
      </c>
      <c r="E422">
        <v>0.97699999999999998</v>
      </c>
      <c r="F422">
        <v>1042981.961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0.26315789473684209</v>
      </c>
      <c r="Q422">
        <f t="shared" si="975"/>
        <v>274468.93710526312</v>
      </c>
      <c r="R422">
        <f t="shared" si="976"/>
        <v>-18510677.053562399</v>
      </c>
      <c r="S422">
        <f t="shared" si="977"/>
        <v>-185.10677053562398</v>
      </c>
      <c r="T422">
        <f t="shared" si="978"/>
        <v>-0.18510677053562399</v>
      </c>
    </row>
    <row r="423" spans="1:20" x14ac:dyDescent="0.25">
      <c r="A423" s="5">
        <v>44170</v>
      </c>
      <c r="B423">
        <v>0.92800000000000005</v>
      </c>
      <c r="C423">
        <v>0.98199999999999998</v>
      </c>
      <c r="D423">
        <v>0.91800000000000004</v>
      </c>
      <c r="E423">
        <v>0.97299999999999998</v>
      </c>
      <c r="F423">
        <v>1863461.58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0.71874999999999956</v>
      </c>
      <c r="Q423">
        <f t="shared" si="975"/>
        <v>1339363.0106249992</v>
      </c>
      <c r="R423">
        <f t="shared" si="976"/>
        <v>-18785145.990667664</v>
      </c>
      <c r="S423">
        <f t="shared" si="977"/>
        <v>-187.85145990667664</v>
      </c>
      <c r="T423">
        <f t="shared" si="978"/>
        <v>-0.18785145990667665</v>
      </c>
    </row>
    <row r="424" spans="1:20" x14ac:dyDescent="0.25">
      <c r="A424" s="5">
        <v>44169</v>
      </c>
      <c r="B424">
        <v>1.0109999999999999</v>
      </c>
      <c r="C424">
        <v>1.044</v>
      </c>
      <c r="D424">
        <v>0.92600000000000005</v>
      </c>
      <c r="E424">
        <v>0.92700000000000005</v>
      </c>
      <c r="F424">
        <v>3204401.534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-0.98305084745762705</v>
      </c>
      <c r="Q424">
        <f t="shared" si="975"/>
        <v>-3150089.64359322</v>
      </c>
      <c r="R424">
        <f t="shared" si="976"/>
        <v>-20124509.001292661</v>
      </c>
      <c r="S424">
        <f t="shared" si="977"/>
        <v>-201.2450900129266</v>
      </c>
      <c r="T424">
        <f t="shared" si="978"/>
        <v>-0.20124509001292659</v>
      </c>
    </row>
    <row r="425" spans="1:20" x14ac:dyDescent="0.25">
      <c r="A425" s="5">
        <v>44168</v>
      </c>
      <c r="B425">
        <v>1.0249999999999999</v>
      </c>
      <c r="C425">
        <v>1.0669999999999999</v>
      </c>
      <c r="D425">
        <v>1.0029999999999999</v>
      </c>
      <c r="E425">
        <v>1.012</v>
      </c>
      <c r="F425">
        <v>2474642.9210000001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-0.71874999999999656</v>
      </c>
      <c r="Q425">
        <f t="shared" si="975"/>
        <v>-1778649.5994687416</v>
      </c>
      <c r="R425">
        <f t="shared" si="976"/>
        <v>-16974419.357699443</v>
      </c>
      <c r="S425">
        <f t="shared" si="977"/>
        <v>-169.74419357699443</v>
      </c>
      <c r="T425">
        <f t="shared" si="978"/>
        <v>-0.16974419357699444</v>
      </c>
    </row>
    <row r="426" spans="1:20" x14ac:dyDescent="0.25">
      <c r="A426" s="5">
        <v>44167</v>
      </c>
      <c r="B426">
        <v>0.98699999999999999</v>
      </c>
      <c r="C426">
        <v>1.034</v>
      </c>
      <c r="D426">
        <v>0.97299999999999998</v>
      </c>
      <c r="E426">
        <v>1.0269999999999999</v>
      </c>
      <c r="F426">
        <v>1818609.129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0.77049180327868494</v>
      </c>
      <c r="Q426">
        <f t="shared" si="975"/>
        <v>1401223.4272622885</v>
      </c>
      <c r="R426">
        <f t="shared" si="976"/>
        <v>-15195769.758230701</v>
      </c>
      <c r="S426">
        <f t="shared" si="977"/>
        <v>-151.95769758230702</v>
      </c>
      <c r="T426">
        <f t="shared" si="978"/>
        <v>-0.15195769758230701</v>
      </c>
    </row>
    <row r="427" spans="1:20" x14ac:dyDescent="0.25">
      <c r="A427" s="5">
        <v>44166</v>
      </c>
      <c r="B427">
        <v>1.0580000000000001</v>
      </c>
      <c r="C427">
        <v>1.1060000000000001</v>
      </c>
      <c r="D427">
        <v>0.95099999999999996</v>
      </c>
      <c r="E427">
        <v>0.98699999999999999</v>
      </c>
      <c r="F427">
        <v>4332909.4579999996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-0.53548387096774197</v>
      </c>
      <c r="Q427">
        <f t="shared" si="975"/>
        <v>-2320203.1291225804</v>
      </c>
      <c r="R427">
        <f t="shared" si="976"/>
        <v>-16596993.185492989</v>
      </c>
      <c r="S427">
        <f t="shared" si="977"/>
        <v>-165.96993185492988</v>
      </c>
      <c r="T427">
        <f t="shared" si="978"/>
        <v>-0.16596993185492989</v>
      </c>
    </row>
    <row r="428" spans="1:20" x14ac:dyDescent="0.25">
      <c r="A428" s="5">
        <v>44165</v>
      </c>
      <c r="B428">
        <v>1.02</v>
      </c>
      <c r="C428">
        <v>1.0940000000000001</v>
      </c>
      <c r="D428">
        <v>1.0089999999999999</v>
      </c>
      <c r="E428">
        <v>1.0580000000000001</v>
      </c>
      <c r="F428">
        <v>1926352.2990000001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0.15294117647058933</v>
      </c>
      <c r="Q428">
        <f t="shared" si="975"/>
        <v>294618.5869058845</v>
      </c>
      <c r="R428">
        <f t="shared" si="976"/>
        <v>-14276790.056370409</v>
      </c>
      <c r="S428">
        <f t="shared" si="977"/>
        <v>-142.7679005637041</v>
      </c>
      <c r="T428">
        <f t="shared" si="978"/>
        <v>-0.14276790056370411</v>
      </c>
    </row>
    <row r="429" spans="1:20" x14ac:dyDescent="0.25">
      <c r="A429" s="5">
        <v>44164</v>
      </c>
      <c r="B429">
        <v>1.0149999999999999</v>
      </c>
      <c r="C429">
        <v>1.0409999999999999</v>
      </c>
      <c r="D429">
        <v>0.98499999999999999</v>
      </c>
      <c r="E429">
        <v>1.022</v>
      </c>
      <c r="F429">
        <v>1849108.7339999999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0.32142857142857406</v>
      </c>
      <c r="Q429">
        <f t="shared" si="975"/>
        <v>594356.37878571916</v>
      </c>
      <c r="R429">
        <f t="shared" si="976"/>
        <v>-14571408.643276293</v>
      </c>
      <c r="S429">
        <f t="shared" si="977"/>
        <v>-145.71408643276294</v>
      </c>
      <c r="T429">
        <f t="shared" si="978"/>
        <v>-0.14571408643276293</v>
      </c>
    </row>
    <row r="430" spans="1:20" x14ac:dyDescent="0.25">
      <c r="A430" s="5">
        <v>44163</v>
      </c>
      <c r="B430">
        <v>0.96299999999999997</v>
      </c>
      <c r="C430">
        <v>1.0449999999999999</v>
      </c>
      <c r="D430">
        <v>0.93500000000000005</v>
      </c>
      <c r="E430">
        <v>1.0129999999999999</v>
      </c>
      <c r="F430">
        <v>2033555.048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0.41818181818181699</v>
      </c>
      <c r="Q430">
        <f t="shared" si="975"/>
        <v>850395.74734545208</v>
      </c>
      <c r="R430">
        <f t="shared" si="976"/>
        <v>-15165765.022062013</v>
      </c>
      <c r="S430">
        <f t="shared" si="977"/>
        <v>-151.65765022062013</v>
      </c>
      <c r="T430">
        <f t="shared" si="978"/>
        <v>-0.15165765022062014</v>
      </c>
    </row>
    <row r="431" spans="1:20" x14ac:dyDescent="0.25">
      <c r="A431" s="5">
        <v>44162</v>
      </c>
      <c r="B431">
        <v>0.98199999999999998</v>
      </c>
      <c r="C431">
        <v>1.012</v>
      </c>
      <c r="D431">
        <v>0.92400000000000004</v>
      </c>
      <c r="E431">
        <v>0.96299999999999997</v>
      </c>
      <c r="F431">
        <v>1792590.5549999999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-0.11363636363636505</v>
      </c>
      <c r="Q431">
        <f t="shared" si="975"/>
        <v>-203703.47215909342</v>
      </c>
      <c r="R431">
        <f t="shared" si="976"/>
        <v>-16016160.769407464</v>
      </c>
      <c r="S431">
        <f t="shared" si="977"/>
        <v>-160.16160769407463</v>
      </c>
      <c r="T431">
        <f t="shared" si="978"/>
        <v>-0.16016160769407464</v>
      </c>
    </row>
    <row r="432" spans="1:20" x14ac:dyDescent="0.25">
      <c r="A432" s="5">
        <v>44161</v>
      </c>
      <c r="B432">
        <v>1.1559999999999999</v>
      </c>
      <c r="C432">
        <v>1.1990000000000001</v>
      </c>
      <c r="D432">
        <v>0.88500000000000001</v>
      </c>
      <c r="E432">
        <v>0.98099999999999998</v>
      </c>
      <c r="F432">
        <v>6125905.6490000002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-0.38853503184713406</v>
      </c>
      <c r="Q432">
        <f t="shared" si="975"/>
        <v>-2380128.9464267534</v>
      </c>
      <c r="R432">
        <f t="shared" si="976"/>
        <v>-15812457.297248371</v>
      </c>
      <c r="S432">
        <f t="shared" si="977"/>
        <v>-158.12457297248372</v>
      </c>
      <c r="T432">
        <f t="shared" si="978"/>
        <v>-0.15812457297248372</v>
      </c>
    </row>
    <row r="433" spans="1:20" x14ac:dyDescent="0.25">
      <c r="A433" s="5">
        <v>44160</v>
      </c>
      <c r="B433">
        <v>1.1319999999999999</v>
      </c>
      <c r="C433">
        <v>1.3520000000000001</v>
      </c>
      <c r="D433">
        <v>1.1100000000000001</v>
      </c>
      <c r="E433">
        <v>1.157</v>
      </c>
      <c r="F433">
        <v>6333980.0379999997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-0.61157024793388481</v>
      </c>
      <c r="Q433">
        <f t="shared" si="975"/>
        <v>-3873673.7422479368</v>
      </c>
      <c r="R433">
        <f t="shared" si="976"/>
        <v>-13432328.350821618</v>
      </c>
      <c r="S433">
        <f t="shared" si="977"/>
        <v>-134.32328350821618</v>
      </c>
      <c r="T433">
        <f t="shared" si="978"/>
        <v>-0.13432328350821618</v>
      </c>
    </row>
    <row r="434" spans="1:20" x14ac:dyDescent="0.25">
      <c r="A434" s="5">
        <v>44159</v>
      </c>
      <c r="B434">
        <v>1.109</v>
      </c>
      <c r="C434">
        <v>1.1870000000000001</v>
      </c>
      <c r="D434">
        <v>1.0469999999999999</v>
      </c>
      <c r="E434">
        <v>1.1299999999999999</v>
      </c>
      <c r="F434">
        <v>4289923.682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0.18571428571428414</v>
      </c>
      <c r="Q434">
        <f t="shared" si="975"/>
        <v>796700.11237142177</v>
      </c>
      <c r="R434">
        <f t="shared" si="976"/>
        <v>-9558654.6085736807</v>
      </c>
      <c r="S434">
        <f t="shared" si="977"/>
        <v>-95.586546085736813</v>
      </c>
      <c r="T434">
        <f t="shared" si="978"/>
        <v>-9.5586546085736815E-2</v>
      </c>
    </row>
    <row r="435" spans="1:20" x14ac:dyDescent="0.25">
      <c r="A435" s="5">
        <v>44158</v>
      </c>
      <c r="B435">
        <v>1.024</v>
      </c>
      <c r="C435">
        <v>1.1319999999999999</v>
      </c>
      <c r="D435">
        <v>0.99</v>
      </c>
      <c r="E435">
        <v>1.109</v>
      </c>
      <c r="F435">
        <v>2775131.8489999999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0.67605633802817011</v>
      </c>
      <c r="Q435">
        <f t="shared" si="975"/>
        <v>1876145.4753802847</v>
      </c>
      <c r="R435">
        <f t="shared" si="976"/>
        <v>-10355354.720945103</v>
      </c>
      <c r="S435">
        <f t="shared" si="977"/>
        <v>-103.55354720945103</v>
      </c>
      <c r="T435">
        <f t="shared" si="978"/>
        <v>-0.10355354720945102</v>
      </c>
    </row>
    <row r="436" spans="1:20" x14ac:dyDescent="0.25">
      <c r="A436" s="5">
        <v>44157</v>
      </c>
      <c r="B436">
        <v>1.0569999999999999</v>
      </c>
      <c r="C436">
        <v>1.075</v>
      </c>
      <c r="D436">
        <v>0.95099999999999996</v>
      </c>
      <c r="E436">
        <v>1.0209999999999999</v>
      </c>
      <c r="F436">
        <v>2546576.4950000001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0.12903225806451535</v>
      </c>
      <c r="Q436">
        <f t="shared" si="975"/>
        <v>328590.51548386901</v>
      </c>
      <c r="R436">
        <f t="shared" si="976"/>
        <v>-12231500.196325388</v>
      </c>
      <c r="S436">
        <f t="shared" si="977"/>
        <v>-122.31500196325388</v>
      </c>
      <c r="T436">
        <f t="shared" si="978"/>
        <v>-0.12231500196325387</v>
      </c>
    </row>
    <row r="437" spans="1:20" x14ac:dyDescent="0.25">
      <c r="A437" s="5">
        <v>44156</v>
      </c>
      <c r="B437">
        <v>0.94</v>
      </c>
      <c r="C437">
        <v>1.0580000000000001</v>
      </c>
      <c r="D437">
        <v>0.93700000000000006</v>
      </c>
      <c r="E437">
        <v>1.0580000000000001</v>
      </c>
      <c r="F437">
        <v>5024244.841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1</v>
      </c>
      <c r="Q437">
        <f t="shared" si="975"/>
        <v>5024244.841</v>
      </c>
      <c r="R437">
        <f t="shared" si="976"/>
        <v>-12560090.711809257</v>
      </c>
      <c r="S437">
        <f t="shared" si="977"/>
        <v>-125.60090711809256</v>
      </c>
      <c r="T437">
        <f t="shared" si="978"/>
        <v>-0.12560090711809258</v>
      </c>
    </row>
    <row r="438" spans="1:20" x14ac:dyDescent="0.25">
      <c r="A438" s="5">
        <v>44155</v>
      </c>
      <c r="B438">
        <v>0.91300000000000003</v>
      </c>
      <c r="C438">
        <v>0.96399999999999997</v>
      </c>
      <c r="D438">
        <v>0.90500000000000003</v>
      </c>
      <c r="E438">
        <v>0.94</v>
      </c>
      <c r="F438">
        <v>2049514.7169999999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0.18644067796610017</v>
      </c>
      <c r="Q438">
        <f t="shared" si="975"/>
        <v>382112.91333897994</v>
      </c>
      <c r="R438">
        <f t="shared" si="976"/>
        <v>-17584335.552809257</v>
      </c>
      <c r="S438">
        <f t="shared" si="977"/>
        <v>-175.84335552809256</v>
      </c>
      <c r="T438">
        <f t="shared" si="978"/>
        <v>-0.17584335552809255</v>
      </c>
    </row>
    <row r="439" spans="1:20" x14ac:dyDescent="0.25">
      <c r="A439" s="5">
        <v>44154</v>
      </c>
      <c r="B439">
        <v>0.92700000000000005</v>
      </c>
      <c r="C439">
        <v>0.95499999999999996</v>
      </c>
      <c r="D439">
        <v>0.89500000000000002</v>
      </c>
      <c r="E439">
        <v>0.91200000000000003</v>
      </c>
      <c r="F439">
        <v>1716510.655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-0.43333333333333229</v>
      </c>
      <c r="Q439">
        <f t="shared" si="975"/>
        <v>-743821.28383333154</v>
      </c>
      <c r="R439">
        <f t="shared" si="976"/>
        <v>-17966448.466148239</v>
      </c>
      <c r="S439">
        <f t="shared" si="977"/>
        <v>-179.66448466148239</v>
      </c>
      <c r="T439">
        <f t="shared" si="978"/>
        <v>-0.17966448466148238</v>
      </c>
    </row>
    <row r="440" spans="1:20" x14ac:dyDescent="0.25">
      <c r="A440" s="5">
        <v>44153</v>
      </c>
      <c r="B440">
        <v>0.98599999999999999</v>
      </c>
      <c r="C440">
        <v>0.999</v>
      </c>
      <c r="D440">
        <v>0.86699999999999999</v>
      </c>
      <c r="E440">
        <v>0.92600000000000005</v>
      </c>
      <c r="F440">
        <v>3130177.0860000001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-0.10606060606060531</v>
      </c>
      <c r="Q440">
        <f t="shared" si="975"/>
        <v>-331988.47881817952</v>
      </c>
      <c r="R440">
        <f t="shared" si="976"/>
        <v>-17222627.182314906</v>
      </c>
      <c r="S440">
        <f t="shared" si="977"/>
        <v>-172.22627182314906</v>
      </c>
      <c r="T440">
        <f t="shared" si="978"/>
        <v>-0.17222627182314906</v>
      </c>
    </row>
    <row r="441" spans="1:20" x14ac:dyDescent="0.25">
      <c r="A441" s="5">
        <v>44152</v>
      </c>
      <c r="B441">
        <v>0.94799999999999995</v>
      </c>
      <c r="C441">
        <v>0.98899999999999999</v>
      </c>
      <c r="D441">
        <v>0.92900000000000005</v>
      </c>
      <c r="E441">
        <v>0.98599999999999999</v>
      </c>
      <c r="F441">
        <v>2564623.4040000001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0.8999999999999998</v>
      </c>
      <c r="Q441">
        <f t="shared" si="975"/>
        <v>2308161.0635999995</v>
      </c>
      <c r="R441">
        <f t="shared" si="976"/>
        <v>-16890638.703496728</v>
      </c>
      <c r="S441">
        <f t="shared" si="977"/>
        <v>-168.90638703496728</v>
      </c>
      <c r="T441">
        <f t="shared" si="978"/>
        <v>-0.16890638703496727</v>
      </c>
    </row>
    <row r="442" spans="1:20" x14ac:dyDescent="0.25">
      <c r="A442" s="5">
        <v>44151</v>
      </c>
      <c r="B442">
        <v>0.88900000000000001</v>
      </c>
      <c r="C442">
        <v>0.95899999999999996</v>
      </c>
      <c r="D442">
        <v>0.88</v>
      </c>
      <c r="E442">
        <v>0.94799999999999995</v>
      </c>
      <c r="F442">
        <v>2756398.9950000001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0.72151898734177178</v>
      </c>
      <c r="Q442">
        <f t="shared" si="975"/>
        <v>1988794.2115822774</v>
      </c>
      <c r="R442">
        <f t="shared" si="976"/>
        <v>-19198799.767096728</v>
      </c>
      <c r="S442">
        <f t="shared" si="977"/>
        <v>-191.98799767096727</v>
      </c>
      <c r="T442">
        <f t="shared" si="978"/>
        <v>-0.19198799767096728</v>
      </c>
    </row>
    <row r="443" spans="1:20" x14ac:dyDescent="0.25">
      <c r="A443" s="5">
        <v>44150</v>
      </c>
      <c r="B443">
        <v>0.89200000000000002</v>
      </c>
      <c r="C443">
        <v>0.95</v>
      </c>
      <c r="D443">
        <v>0.86699999999999999</v>
      </c>
      <c r="E443">
        <v>0.89100000000000001</v>
      </c>
      <c r="F443">
        <v>1972120.602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-0.42168674698795106</v>
      </c>
      <c r="Q443">
        <f t="shared" si="975"/>
        <v>-831617.12132529973</v>
      </c>
      <c r="R443">
        <f t="shared" si="976"/>
        <v>-21187593.978679005</v>
      </c>
      <c r="S443">
        <f t="shared" si="977"/>
        <v>-211.87593978679004</v>
      </c>
      <c r="T443">
        <f t="shared" si="978"/>
        <v>-0.21187593978679004</v>
      </c>
    </row>
    <row r="444" spans="1:20" x14ac:dyDescent="0.25">
      <c r="A444" s="5">
        <v>44149</v>
      </c>
      <c r="B444">
        <v>0.92300000000000004</v>
      </c>
      <c r="C444">
        <v>0.92800000000000005</v>
      </c>
      <c r="D444">
        <v>0.86399999999999999</v>
      </c>
      <c r="E444">
        <v>0.89300000000000002</v>
      </c>
      <c r="F444">
        <v>1745974.402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-9.375E-2</v>
      </c>
      <c r="Q444">
        <f t="shared" si="975"/>
        <v>-163685.10018750001</v>
      </c>
      <c r="R444">
        <f t="shared" si="976"/>
        <v>-20355976.857353706</v>
      </c>
      <c r="S444">
        <f t="shared" si="977"/>
        <v>-203.55976857353707</v>
      </c>
      <c r="T444">
        <f t="shared" si="978"/>
        <v>-0.20355976857353708</v>
      </c>
    </row>
    <row r="445" spans="1:20" x14ac:dyDescent="0.25">
      <c r="A445" s="5">
        <v>44148</v>
      </c>
      <c r="B445">
        <v>0.86199999999999999</v>
      </c>
      <c r="C445">
        <v>0.94199999999999995</v>
      </c>
      <c r="D445">
        <v>0.85899999999999999</v>
      </c>
      <c r="E445">
        <v>0.92500000000000004</v>
      </c>
      <c r="F445">
        <v>1870848.558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0.59036144578313465</v>
      </c>
      <c r="Q445">
        <f t="shared" si="975"/>
        <v>1104476.8595421726</v>
      </c>
      <c r="R445">
        <f t="shared" si="976"/>
        <v>-20192291.757166207</v>
      </c>
      <c r="S445">
        <f t="shared" si="977"/>
        <v>-201.92291757166205</v>
      </c>
      <c r="T445">
        <f t="shared" si="978"/>
        <v>-0.20192291757166206</v>
      </c>
    </row>
    <row r="446" spans="1:20" x14ac:dyDescent="0.25">
      <c r="A446" s="5">
        <v>44147</v>
      </c>
      <c r="B446">
        <v>0.89100000000000001</v>
      </c>
      <c r="C446">
        <v>0.92400000000000004</v>
      </c>
      <c r="D446">
        <v>0.84499999999999997</v>
      </c>
      <c r="E446">
        <v>0.86199999999999999</v>
      </c>
      <c r="F446">
        <v>2373445.7599999998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-0.569620253164557</v>
      </c>
      <c r="Q446">
        <f t="shared" si="975"/>
        <v>-1351962.7746835442</v>
      </c>
      <c r="R446">
        <f t="shared" si="976"/>
        <v>-21296768.616708379</v>
      </c>
      <c r="S446">
        <f t="shared" si="977"/>
        <v>-212.9676861670838</v>
      </c>
      <c r="T446">
        <f t="shared" si="978"/>
        <v>-0.21296768616708381</v>
      </c>
    </row>
    <row r="447" spans="1:20" x14ac:dyDescent="0.25">
      <c r="A447" s="5">
        <v>44146</v>
      </c>
      <c r="B447">
        <v>0.879</v>
      </c>
      <c r="C447">
        <v>0.97899999999999998</v>
      </c>
      <c r="D447">
        <v>0.879</v>
      </c>
      <c r="E447">
        <v>0.88900000000000001</v>
      </c>
      <c r="F447">
        <v>5326039.0549999997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-0.79999999999999982</v>
      </c>
      <c r="Q447">
        <f t="shared" si="975"/>
        <v>-4260831.243999999</v>
      </c>
      <c r="R447">
        <f t="shared" si="976"/>
        <v>-19944805.842024837</v>
      </c>
      <c r="S447">
        <f t="shared" si="977"/>
        <v>-199.44805842024837</v>
      </c>
      <c r="T447">
        <f t="shared" si="978"/>
        <v>-0.19944805842024838</v>
      </c>
    </row>
    <row r="448" spans="1:20" x14ac:dyDescent="0.25">
      <c r="A448" s="5">
        <v>44145</v>
      </c>
      <c r="B448">
        <v>0.81200000000000006</v>
      </c>
      <c r="C448">
        <v>0.88700000000000001</v>
      </c>
      <c r="D448">
        <v>0.80800000000000005</v>
      </c>
      <c r="E448">
        <v>0.879</v>
      </c>
      <c r="F448">
        <v>3852502.1529999999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0.79746835443037944</v>
      </c>
      <c r="Q448">
        <f t="shared" si="975"/>
        <v>3072248.5523924041</v>
      </c>
      <c r="R448">
        <f t="shared" si="976"/>
        <v>-15683974.598024838</v>
      </c>
      <c r="S448">
        <f t="shared" si="977"/>
        <v>-156.83974598024838</v>
      </c>
      <c r="T448">
        <f t="shared" si="978"/>
        <v>-0.15683974598024839</v>
      </c>
    </row>
    <row r="449" spans="1:20" x14ac:dyDescent="0.25">
      <c r="A449" s="5">
        <v>44144</v>
      </c>
      <c r="B449">
        <v>0.82199999999999995</v>
      </c>
      <c r="C449">
        <v>0.85</v>
      </c>
      <c r="D449">
        <v>0.78700000000000003</v>
      </c>
      <c r="E449">
        <v>0.81200000000000006</v>
      </c>
      <c r="F449">
        <v>1771157.054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-0.20634920634920495</v>
      </c>
      <c r="Q449">
        <f t="shared" si="975"/>
        <v>-365476.85241269594</v>
      </c>
      <c r="R449">
        <f t="shared" si="976"/>
        <v>-18756223.150417242</v>
      </c>
      <c r="S449">
        <f t="shared" si="977"/>
        <v>-187.56223150417242</v>
      </c>
      <c r="T449">
        <f t="shared" si="978"/>
        <v>-0.18756223150417242</v>
      </c>
    </row>
    <row r="450" spans="1:20" x14ac:dyDescent="0.25">
      <c r="A450" s="5">
        <v>44143</v>
      </c>
      <c r="B450">
        <v>0.77700000000000002</v>
      </c>
      <c r="C450">
        <v>0.84099999999999997</v>
      </c>
      <c r="D450">
        <v>0.76900000000000002</v>
      </c>
      <c r="E450">
        <v>0.82</v>
      </c>
      <c r="F450">
        <v>1261899.736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0.41666666666666574</v>
      </c>
      <c r="Q450">
        <f t="shared" si="975"/>
        <v>525791.55666666548</v>
      </c>
      <c r="R450">
        <f t="shared" si="976"/>
        <v>-18390746.298004545</v>
      </c>
      <c r="S450">
        <f t="shared" si="977"/>
        <v>-183.90746298004547</v>
      </c>
      <c r="T450">
        <f t="shared" si="978"/>
        <v>-0.18390746298004546</v>
      </c>
    </row>
    <row r="451" spans="1:20" x14ac:dyDescent="0.25">
      <c r="A451" s="5">
        <v>44142</v>
      </c>
      <c r="B451">
        <v>0.81399999999999995</v>
      </c>
      <c r="C451">
        <v>0.89</v>
      </c>
      <c r="D451">
        <v>0.74</v>
      </c>
      <c r="E451">
        <v>0.77700000000000002</v>
      </c>
      <c r="F451">
        <v>3742223.5389999999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-0.50666666666666627</v>
      </c>
      <c r="Q451">
        <f t="shared" si="975"/>
        <v>-1896059.9264266652</v>
      </c>
      <c r="R451">
        <f t="shared" si="976"/>
        <v>-18916537.85467121</v>
      </c>
      <c r="S451">
        <f t="shared" si="977"/>
        <v>-189.16537854671211</v>
      </c>
      <c r="T451">
        <f t="shared" si="978"/>
        <v>-0.18916537854671212</v>
      </c>
    </row>
    <row r="452" spans="1:20" x14ac:dyDescent="0.25">
      <c r="A452" s="5">
        <v>44141</v>
      </c>
      <c r="B452">
        <v>0.75900000000000001</v>
      </c>
      <c r="C452">
        <v>0.82299999999999995</v>
      </c>
      <c r="D452">
        <v>0.75600000000000001</v>
      </c>
      <c r="E452">
        <v>0.81399999999999995</v>
      </c>
      <c r="F452">
        <v>3415764.048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0.73134328358208911</v>
      </c>
      <c r="Q452">
        <f t="shared" si="975"/>
        <v>2498096.0948059685</v>
      </c>
      <c r="R452">
        <f t="shared" si="976"/>
        <v>-17020477.928244546</v>
      </c>
      <c r="S452">
        <f t="shared" si="977"/>
        <v>-170.20477928244546</v>
      </c>
      <c r="T452">
        <f t="shared" si="978"/>
        <v>-0.17020477928244546</v>
      </c>
    </row>
    <row r="453" spans="1:20" x14ac:dyDescent="0.25">
      <c r="A453" s="5">
        <v>44140</v>
      </c>
      <c r="B453">
        <v>0.70699999999999996</v>
      </c>
      <c r="C453">
        <v>0.76</v>
      </c>
      <c r="D453">
        <v>0.68600000000000005</v>
      </c>
      <c r="E453">
        <v>0.76</v>
      </c>
      <c r="F453">
        <v>2250521.8530000001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1</v>
      </c>
      <c r="Q453">
        <f t="shared" si="975"/>
        <v>2250521.8530000001</v>
      </c>
      <c r="R453">
        <f t="shared" si="976"/>
        <v>-19518574.023050513</v>
      </c>
      <c r="S453">
        <f t="shared" si="977"/>
        <v>-195.18574023050513</v>
      </c>
      <c r="T453">
        <f t="shared" si="978"/>
        <v>-0.19518574023050514</v>
      </c>
    </row>
    <row r="454" spans="1:20" x14ac:dyDescent="0.25">
      <c r="A454" s="5">
        <v>44139</v>
      </c>
      <c r="B454">
        <v>0.74099999999999999</v>
      </c>
      <c r="C454">
        <v>0.74299999999999999</v>
      </c>
      <c r="D454">
        <v>0.69399999999999995</v>
      </c>
      <c r="E454">
        <v>0.70699999999999996</v>
      </c>
      <c r="F454">
        <v>1105392.5360000001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-0.46938775510204084</v>
      </c>
      <c r="Q454">
        <f t="shared" ref="Q454:Q517" si="980">F454*P454</f>
        <v>-518857.72097959189</v>
      </c>
      <c r="R454">
        <f t="shared" ref="R454:R517" si="981">R455+Q454</f>
        <v>-21769095.876050513</v>
      </c>
      <c r="S454">
        <f t="shared" ref="S454:S517" si="982">R454/100000</f>
        <v>-217.69095876050514</v>
      </c>
      <c r="T454">
        <f t="shared" ref="T454:T517" si="983">S454/1000</f>
        <v>-0.21769095876050515</v>
      </c>
    </row>
    <row r="455" spans="1:20" x14ac:dyDescent="0.25">
      <c r="A455" s="5">
        <v>44138</v>
      </c>
      <c r="B455">
        <v>0.77600000000000002</v>
      </c>
      <c r="C455">
        <v>0.77600000000000002</v>
      </c>
      <c r="D455">
        <v>0.72599999999999998</v>
      </c>
      <c r="E455">
        <v>0.74199999999999999</v>
      </c>
      <c r="F455">
        <v>764336.01300000004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-0.36</v>
      </c>
      <c r="Q455">
        <f t="shared" si="980"/>
        <v>-275160.96467999998</v>
      </c>
      <c r="R455">
        <f t="shared" si="981"/>
        <v>-21250238.15507092</v>
      </c>
      <c r="S455">
        <f t="shared" si="982"/>
        <v>-212.5023815507092</v>
      </c>
      <c r="T455">
        <f t="shared" si="983"/>
        <v>-0.21250238155070919</v>
      </c>
    </row>
    <row r="456" spans="1:20" x14ac:dyDescent="0.25">
      <c r="A456" s="5">
        <v>44137</v>
      </c>
      <c r="B456">
        <v>0.79200000000000004</v>
      </c>
      <c r="C456">
        <v>0.81</v>
      </c>
      <c r="D456">
        <v>0.75900000000000001</v>
      </c>
      <c r="E456">
        <v>0.77700000000000002</v>
      </c>
      <c r="F456">
        <v>786259.353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-0.29411764705882354</v>
      </c>
      <c r="Q456">
        <f t="shared" si="980"/>
        <v>-231252.75088235294</v>
      </c>
      <c r="R456">
        <f t="shared" si="981"/>
        <v>-20975077.190390918</v>
      </c>
      <c r="S456">
        <f t="shared" si="982"/>
        <v>-209.7507719039092</v>
      </c>
      <c r="T456">
        <f t="shared" si="983"/>
        <v>-0.2097507719039092</v>
      </c>
    </row>
    <row r="457" spans="1:20" x14ac:dyDescent="0.25">
      <c r="A457" s="5">
        <v>44136</v>
      </c>
      <c r="B457">
        <v>0.78700000000000003</v>
      </c>
      <c r="C457">
        <v>0.80500000000000005</v>
      </c>
      <c r="D457">
        <v>0.77600000000000002</v>
      </c>
      <c r="E457">
        <v>0.79200000000000004</v>
      </c>
      <c r="F457">
        <v>583214.91799999995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0.10344827586206896</v>
      </c>
      <c r="Q457">
        <f t="shared" si="980"/>
        <v>60332.577724137926</v>
      </c>
      <c r="R457">
        <f t="shared" si="981"/>
        <v>-20743824.439508565</v>
      </c>
      <c r="S457">
        <f t="shared" si="982"/>
        <v>-207.43824439508566</v>
      </c>
      <c r="T457">
        <f t="shared" si="983"/>
        <v>-0.20743824439508565</v>
      </c>
    </row>
    <row r="458" spans="1:20" x14ac:dyDescent="0.25">
      <c r="A458" s="5">
        <v>44135</v>
      </c>
      <c r="B458">
        <v>0.79800000000000004</v>
      </c>
      <c r="C458">
        <v>0.81499999999999995</v>
      </c>
      <c r="D458">
        <v>0.78600000000000003</v>
      </c>
      <c r="E458">
        <v>0.78700000000000003</v>
      </c>
      <c r="F458">
        <v>464418.71600000001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-0.93103448275862044</v>
      </c>
      <c r="Q458">
        <f t="shared" si="980"/>
        <v>-432389.83903448266</v>
      </c>
      <c r="R458">
        <f t="shared" si="981"/>
        <v>-20804157.017232701</v>
      </c>
      <c r="S458">
        <f t="shared" si="982"/>
        <v>-208.041570172327</v>
      </c>
      <c r="T458">
        <f t="shared" si="983"/>
        <v>-0.208041570172327</v>
      </c>
    </row>
    <row r="459" spans="1:20" x14ac:dyDescent="0.25">
      <c r="A459" s="5">
        <v>44134</v>
      </c>
      <c r="B459">
        <v>0.81699999999999995</v>
      </c>
      <c r="C459">
        <v>0.82799999999999996</v>
      </c>
      <c r="D459">
        <v>0.76800000000000002</v>
      </c>
      <c r="E459">
        <v>0.79800000000000004</v>
      </c>
      <c r="F459">
        <v>1370650.294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1.8503717077085959E-15</v>
      </c>
      <c r="Q459">
        <f t="shared" si="980"/>
        <v>2.5362125251800692E-9</v>
      </c>
      <c r="R459">
        <f t="shared" si="981"/>
        <v>-20371767.178198218</v>
      </c>
      <c r="S459">
        <f t="shared" si="982"/>
        <v>-203.71767178198218</v>
      </c>
      <c r="T459">
        <f t="shared" si="983"/>
        <v>-0.20371767178198216</v>
      </c>
    </row>
    <row r="460" spans="1:20" x14ac:dyDescent="0.25">
      <c r="A460" s="5">
        <v>44133</v>
      </c>
      <c r="B460">
        <v>0.85699999999999998</v>
      </c>
      <c r="C460">
        <v>0.871</v>
      </c>
      <c r="D460">
        <v>0.81</v>
      </c>
      <c r="E460">
        <v>0.81599999999999995</v>
      </c>
      <c r="F460">
        <v>895748.30799999996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-0.8032786885245935</v>
      </c>
      <c r="Q460">
        <f t="shared" si="980"/>
        <v>-719535.52609836357</v>
      </c>
      <c r="R460">
        <f t="shared" si="981"/>
        <v>-20371767.178198222</v>
      </c>
      <c r="S460">
        <f t="shared" si="982"/>
        <v>-203.71767178198223</v>
      </c>
      <c r="T460">
        <f t="shared" si="983"/>
        <v>-0.20371767178198225</v>
      </c>
    </row>
    <row r="461" spans="1:20" x14ac:dyDescent="0.25">
      <c r="A461" s="5">
        <v>44132</v>
      </c>
      <c r="B461">
        <v>0.90600000000000003</v>
      </c>
      <c r="C461">
        <v>0.90700000000000003</v>
      </c>
      <c r="D461">
        <v>0.84299999999999997</v>
      </c>
      <c r="E461">
        <v>0.85899999999999999</v>
      </c>
      <c r="F461">
        <v>1732132.828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</v>
      </c>
      <c r="Q461">
        <f t="shared" si="980"/>
        <v>-866066.41399999999</v>
      </c>
      <c r="R461">
        <f t="shared" si="981"/>
        <v>-19652231.652099859</v>
      </c>
      <c r="S461">
        <f t="shared" si="982"/>
        <v>-196.5223165209986</v>
      </c>
      <c r="T461">
        <f t="shared" si="983"/>
        <v>-0.19652231652099861</v>
      </c>
    </row>
    <row r="462" spans="1:20" x14ac:dyDescent="0.25">
      <c r="A462" s="5">
        <v>44131</v>
      </c>
      <c r="B462">
        <v>0.89200000000000002</v>
      </c>
      <c r="C462">
        <v>0.91500000000000004</v>
      </c>
      <c r="D462">
        <v>0.88100000000000001</v>
      </c>
      <c r="E462">
        <v>0.90800000000000003</v>
      </c>
      <c r="F462">
        <v>774947.39899999998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0.58823529411764708</v>
      </c>
      <c r="Q462">
        <f t="shared" si="980"/>
        <v>455851.41117647057</v>
      </c>
      <c r="R462">
        <f t="shared" si="981"/>
        <v>-18786165.238099858</v>
      </c>
      <c r="S462">
        <f t="shared" si="982"/>
        <v>-187.86165238099858</v>
      </c>
      <c r="T462">
        <f t="shared" si="983"/>
        <v>-0.18786165238099858</v>
      </c>
    </row>
    <row r="463" spans="1:20" x14ac:dyDescent="0.25">
      <c r="A463" s="5">
        <v>44130</v>
      </c>
      <c r="B463">
        <v>0.90300000000000002</v>
      </c>
      <c r="C463">
        <v>0.93600000000000005</v>
      </c>
      <c r="D463">
        <v>0.876</v>
      </c>
      <c r="E463">
        <v>0.89200000000000002</v>
      </c>
      <c r="F463">
        <v>1036045.091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-0.46666666666666667</v>
      </c>
      <c r="Q463">
        <f t="shared" si="980"/>
        <v>-483487.70913333335</v>
      </c>
      <c r="R463">
        <f t="shared" si="981"/>
        <v>-19242016.649276327</v>
      </c>
      <c r="S463">
        <f t="shared" si="982"/>
        <v>-192.42016649276329</v>
      </c>
      <c r="T463">
        <f t="shared" si="983"/>
        <v>-0.19242016649276328</v>
      </c>
    </row>
    <row r="464" spans="1:20" x14ac:dyDescent="0.25">
      <c r="A464" s="5">
        <v>44129</v>
      </c>
      <c r="B464">
        <v>0.93</v>
      </c>
      <c r="C464">
        <v>0.94199999999999995</v>
      </c>
      <c r="D464">
        <v>0.90100000000000002</v>
      </c>
      <c r="E464">
        <v>0.90300000000000002</v>
      </c>
      <c r="F464">
        <v>656938.15300000005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-0.90243902439024359</v>
      </c>
      <c r="Q464">
        <f t="shared" si="980"/>
        <v>-592846.6258780486</v>
      </c>
      <c r="R464">
        <f t="shared" si="981"/>
        <v>-18758528.940142993</v>
      </c>
      <c r="S464">
        <f t="shared" si="982"/>
        <v>-187.58528940142992</v>
      </c>
      <c r="T464">
        <f t="shared" si="983"/>
        <v>-0.18758528940142991</v>
      </c>
    </row>
    <row r="465" spans="1:20" x14ac:dyDescent="0.25">
      <c r="A465" s="5">
        <v>44128</v>
      </c>
      <c r="B465">
        <v>0.93500000000000005</v>
      </c>
      <c r="C465">
        <v>0.94899999999999995</v>
      </c>
      <c r="D465">
        <v>0.91300000000000003</v>
      </c>
      <c r="E465">
        <v>0.92900000000000005</v>
      </c>
      <c r="F465">
        <v>714403.81299999997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-0.11111111111110837</v>
      </c>
      <c r="Q465">
        <f t="shared" si="980"/>
        <v>-79378.201444442486</v>
      </c>
      <c r="R465">
        <f t="shared" si="981"/>
        <v>-18165682.314264946</v>
      </c>
      <c r="S465">
        <f t="shared" si="982"/>
        <v>-181.65682314264944</v>
      </c>
      <c r="T465">
        <f t="shared" si="983"/>
        <v>-0.18165682314264944</v>
      </c>
    </row>
    <row r="466" spans="1:20" x14ac:dyDescent="0.25">
      <c r="A466" s="5">
        <v>44127</v>
      </c>
      <c r="B466">
        <v>0.94299999999999995</v>
      </c>
      <c r="C466">
        <v>0.95099999999999996</v>
      </c>
      <c r="D466">
        <v>0.91300000000000003</v>
      </c>
      <c r="E466">
        <v>0.93400000000000005</v>
      </c>
      <c r="F466">
        <v>942823.826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0.10526315789474007</v>
      </c>
      <c r="Q466">
        <f t="shared" si="980"/>
        <v>99244.613263160936</v>
      </c>
      <c r="R466">
        <f t="shared" si="981"/>
        <v>-18086304.112820502</v>
      </c>
      <c r="S466">
        <f t="shared" si="982"/>
        <v>-180.86304112820503</v>
      </c>
      <c r="T466">
        <f t="shared" si="983"/>
        <v>-0.18086304112820503</v>
      </c>
    </row>
    <row r="467" spans="1:20" x14ac:dyDescent="0.25">
      <c r="A467" s="5">
        <v>44126</v>
      </c>
      <c r="B467">
        <v>0.93</v>
      </c>
      <c r="C467">
        <v>0.98</v>
      </c>
      <c r="D467">
        <v>0.92900000000000005</v>
      </c>
      <c r="E467">
        <v>0.94199999999999995</v>
      </c>
      <c r="F467">
        <v>1584793.341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-0.4901960784313758</v>
      </c>
      <c r="Q467">
        <f t="shared" si="980"/>
        <v>-776859.48088235816</v>
      </c>
      <c r="R467">
        <f t="shared" si="981"/>
        <v>-18185548.726083662</v>
      </c>
      <c r="S467">
        <f t="shared" si="982"/>
        <v>-181.85548726083661</v>
      </c>
      <c r="T467">
        <f t="shared" si="983"/>
        <v>-0.18185548726083661</v>
      </c>
    </row>
    <row r="468" spans="1:20" x14ac:dyDescent="0.25">
      <c r="A468" s="5">
        <v>44125</v>
      </c>
      <c r="B468">
        <v>0.86299999999999999</v>
      </c>
      <c r="C468">
        <v>0.94</v>
      </c>
      <c r="D468">
        <v>0.86299999999999999</v>
      </c>
      <c r="E468">
        <v>0.93</v>
      </c>
      <c r="F468">
        <v>1611518.8589999999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0.74025974025974273</v>
      </c>
      <c r="Q468">
        <f t="shared" si="980"/>
        <v>1192942.531987017</v>
      </c>
      <c r="R468">
        <f t="shared" si="981"/>
        <v>-17408689.245201305</v>
      </c>
      <c r="S468">
        <f t="shared" si="982"/>
        <v>-174.08689245201305</v>
      </c>
      <c r="T468">
        <f t="shared" si="983"/>
        <v>-0.17408689245201306</v>
      </c>
    </row>
    <row r="469" spans="1:20" x14ac:dyDescent="0.25">
      <c r="A469" s="5">
        <v>44124</v>
      </c>
      <c r="B469">
        <v>0.91</v>
      </c>
      <c r="C469">
        <v>0.91300000000000003</v>
      </c>
      <c r="D469">
        <v>0.85899999999999999</v>
      </c>
      <c r="E469">
        <v>0.86199999999999999</v>
      </c>
      <c r="F469">
        <v>1356995.936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-0.88888888888888884</v>
      </c>
      <c r="Q469">
        <f t="shared" si="980"/>
        <v>-1206218.6097777777</v>
      </c>
      <c r="R469">
        <f t="shared" si="981"/>
        <v>-18601631.777188323</v>
      </c>
      <c r="S469">
        <f t="shared" si="982"/>
        <v>-186.01631777188322</v>
      </c>
      <c r="T469">
        <f t="shared" si="983"/>
        <v>-0.18601631777188321</v>
      </c>
    </row>
    <row r="470" spans="1:20" x14ac:dyDescent="0.25">
      <c r="A470" s="5">
        <v>44123</v>
      </c>
      <c r="B470">
        <v>0.93400000000000005</v>
      </c>
      <c r="C470">
        <v>0.93600000000000005</v>
      </c>
      <c r="D470">
        <v>0.90200000000000002</v>
      </c>
      <c r="E470">
        <v>0.90900000000000003</v>
      </c>
      <c r="F470">
        <v>537414.83900000004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-0.58823529411764708</v>
      </c>
      <c r="Q470">
        <f t="shared" si="980"/>
        <v>-316126.37588235299</v>
      </c>
      <c r="R470">
        <f t="shared" si="981"/>
        <v>-17395413.167410545</v>
      </c>
      <c r="S470">
        <f t="shared" si="982"/>
        <v>-173.95413167410544</v>
      </c>
      <c r="T470">
        <f t="shared" si="983"/>
        <v>-0.17395413167410545</v>
      </c>
    </row>
    <row r="471" spans="1:20" x14ac:dyDescent="0.25">
      <c r="A471" s="5">
        <v>44122</v>
      </c>
      <c r="B471">
        <v>0.92</v>
      </c>
      <c r="C471">
        <v>0.93700000000000006</v>
      </c>
      <c r="D471">
        <v>0.91</v>
      </c>
      <c r="E471">
        <v>0.93300000000000005</v>
      </c>
      <c r="F471">
        <v>498797.81800000003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0.70370370370370372</v>
      </c>
      <c r="Q471">
        <f t="shared" si="980"/>
        <v>351005.87192592595</v>
      </c>
      <c r="R471">
        <f t="shared" si="981"/>
        <v>-17079286.791528191</v>
      </c>
      <c r="S471">
        <f t="shared" si="982"/>
        <v>-170.7928679152819</v>
      </c>
      <c r="T471">
        <f t="shared" si="983"/>
        <v>-0.17079286791528189</v>
      </c>
    </row>
    <row r="472" spans="1:20" x14ac:dyDescent="0.25">
      <c r="A472" s="5">
        <v>44121</v>
      </c>
      <c r="B472">
        <v>0.89800000000000002</v>
      </c>
      <c r="C472">
        <v>0.93</v>
      </c>
      <c r="D472">
        <v>0.88500000000000001</v>
      </c>
      <c r="E472">
        <v>0.91900000000000004</v>
      </c>
      <c r="F472">
        <v>970951.83600000001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0.51111111111111107</v>
      </c>
      <c r="Q472">
        <f t="shared" si="980"/>
        <v>496264.2717333333</v>
      </c>
      <c r="R472">
        <f t="shared" si="981"/>
        <v>-17430292.663454119</v>
      </c>
      <c r="S472">
        <f t="shared" si="982"/>
        <v>-174.30292663454119</v>
      </c>
      <c r="T472">
        <f t="shared" si="983"/>
        <v>-0.17430292663454119</v>
      </c>
    </row>
    <row r="473" spans="1:20" x14ac:dyDescent="0.25">
      <c r="A473" s="5">
        <v>44120</v>
      </c>
      <c r="B473">
        <v>0.93100000000000005</v>
      </c>
      <c r="C473">
        <v>0.93899999999999995</v>
      </c>
      <c r="D473">
        <v>0.89</v>
      </c>
      <c r="E473">
        <v>0.89700000000000002</v>
      </c>
      <c r="F473">
        <v>1027721.794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-0.71428571428571364</v>
      </c>
      <c r="Q473">
        <f t="shared" si="980"/>
        <v>-734086.99571428506</v>
      </c>
      <c r="R473">
        <f t="shared" si="981"/>
        <v>-17926556.935187452</v>
      </c>
      <c r="S473">
        <f t="shared" si="982"/>
        <v>-179.26556935187452</v>
      </c>
      <c r="T473">
        <f t="shared" si="983"/>
        <v>-0.17926556935187452</v>
      </c>
    </row>
    <row r="474" spans="1:20" x14ac:dyDescent="0.25">
      <c r="A474" s="5">
        <v>44119</v>
      </c>
      <c r="B474">
        <v>0.94099999999999995</v>
      </c>
      <c r="C474">
        <v>0.94599999999999995</v>
      </c>
      <c r="D474">
        <v>0.90600000000000003</v>
      </c>
      <c r="E474">
        <v>0.92900000000000005</v>
      </c>
      <c r="F474">
        <v>1284428.2239999999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0.15000000000000319</v>
      </c>
      <c r="Q474">
        <f t="shared" si="980"/>
        <v>192664.23360000408</v>
      </c>
      <c r="R474">
        <f t="shared" si="981"/>
        <v>-17192469.939473167</v>
      </c>
      <c r="S474">
        <f t="shared" si="982"/>
        <v>-171.92469939473168</v>
      </c>
      <c r="T474">
        <f t="shared" si="983"/>
        <v>-0.17192469939473168</v>
      </c>
    </row>
    <row r="475" spans="1:20" x14ac:dyDescent="0.25">
      <c r="A475" s="5">
        <v>44118</v>
      </c>
      <c r="B475">
        <v>0.99199999999999999</v>
      </c>
      <c r="C475">
        <v>0.996</v>
      </c>
      <c r="D475">
        <v>0.92700000000000005</v>
      </c>
      <c r="E475">
        <v>0.94099999999999995</v>
      </c>
      <c r="F475">
        <v>1423419.537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-0.59420289855072717</v>
      </c>
      <c r="Q475">
        <f t="shared" si="980"/>
        <v>-845800.014739134</v>
      </c>
      <c r="R475">
        <f t="shared" si="981"/>
        <v>-17385134.173073173</v>
      </c>
      <c r="S475">
        <f t="shared" si="982"/>
        <v>-173.85134173073172</v>
      </c>
      <c r="T475">
        <f t="shared" si="983"/>
        <v>-0.17385134173073172</v>
      </c>
    </row>
    <row r="476" spans="1:20" x14ac:dyDescent="0.25">
      <c r="A476" s="5">
        <v>44117</v>
      </c>
      <c r="B476">
        <v>1.0109999999999999</v>
      </c>
      <c r="C476">
        <v>1.04</v>
      </c>
      <c r="D476">
        <v>0.96699999999999997</v>
      </c>
      <c r="E476">
        <v>0.99099999999999999</v>
      </c>
      <c r="F476">
        <v>2243823.338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-0.34246575342465752</v>
      </c>
      <c r="Q476">
        <f t="shared" si="980"/>
        <v>-768432.64999999991</v>
      </c>
      <c r="R476">
        <f t="shared" si="981"/>
        <v>-16539334.158334037</v>
      </c>
      <c r="S476">
        <f t="shared" si="982"/>
        <v>-165.39334158334037</v>
      </c>
      <c r="T476">
        <f t="shared" si="983"/>
        <v>-0.16539334158334038</v>
      </c>
    </row>
    <row r="477" spans="1:20" x14ac:dyDescent="0.25">
      <c r="A477" s="5">
        <v>44116</v>
      </c>
      <c r="B477">
        <v>0.95899999999999996</v>
      </c>
      <c r="C477">
        <v>1.0580000000000001</v>
      </c>
      <c r="D477">
        <v>0.94899999999999995</v>
      </c>
      <c r="E477">
        <v>1.0109999999999999</v>
      </c>
      <c r="F477">
        <v>4714420.8629999999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0.13761467889908052</v>
      </c>
      <c r="Q477">
        <f t="shared" si="980"/>
        <v>648773.51325687103</v>
      </c>
      <c r="R477">
        <f t="shared" si="981"/>
        <v>-15770901.508334037</v>
      </c>
      <c r="S477">
        <f t="shared" si="982"/>
        <v>-157.70901508334038</v>
      </c>
      <c r="T477">
        <f t="shared" si="983"/>
        <v>-0.15770901508334037</v>
      </c>
    </row>
    <row r="478" spans="1:20" x14ac:dyDescent="0.25">
      <c r="A478" s="5">
        <v>44115</v>
      </c>
      <c r="B478">
        <v>0.97099999999999997</v>
      </c>
      <c r="C478">
        <v>0.98</v>
      </c>
      <c r="D478">
        <v>0.91100000000000003</v>
      </c>
      <c r="E478">
        <v>0.96</v>
      </c>
      <c r="F478">
        <v>2156783.46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0.42028985507246286</v>
      </c>
      <c r="Q478">
        <f t="shared" si="980"/>
        <v>906474.20782608492</v>
      </c>
      <c r="R478">
        <f t="shared" si="981"/>
        <v>-16419675.021590907</v>
      </c>
      <c r="S478">
        <f t="shared" si="982"/>
        <v>-164.19675021590908</v>
      </c>
      <c r="T478">
        <f t="shared" si="983"/>
        <v>-0.16419675021590907</v>
      </c>
    </row>
    <row r="479" spans="1:20" x14ac:dyDescent="0.25">
      <c r="A479" s="5">
        <v>44114</v>
      </c>
      <c r="B479">
        <v>0.96</v>
      </c>
      <c r="C479">
        <v>0.99399999999999999</v>
      </c>
      <c r="D479">
        <v>0.95399999999999996</v>
      </c>
      <c r="E479">
        <v>0.97</v>
      </c>
      <c r="F479">
        <v>1700262.425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-0.2</v>
      </c>
      <c r="Q479">
        <f t="shared" si="980"/>
        <v>-340052.48500000004</v>
      </c>
      <c r="R479">
        <f t="shared" si="981"/>
        <v>-17326149.229416993</v>
      </c>
      <c r="S479">
        <f t="shared" si="982"/>
        <v>-173.26149229416993</v>
      </c>
      <c r="T479">
        <f t="shared" si="983"/>
        <v>-0.17326149229416993</v>
      </c>
    </row>
    <row r="480" spans="1:20" x14ac:dyDescent="0.25">
      <c r="A480" s="5">
        <v>44113</v>
      </c>
      <c r="B480">
        <v>0.92600000000000005</v>
      </c>
      <c r="C480">
        <v>1</v>
      </c>
      <c r="D480">
        <v>0.90100000000000002</v>
      </c>
      <c r="E480">
        <v>0.96</v>
      </c>
      <c r="F480">
        <v>3676727.0150000001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0.19191919191919102</v>
      </c>
      <c r="Q480">
        <f t="shared" si="980"/>
        <v>705634.47762625932</v>
      </c>
      <c r="R480">
        <f t="shared" si="981"/>
        <v>-16986096.744416993</v>
      </c>
      <c r="S480">
        <f t="shared" si="982"/>
        <v>-169.86096744416994</v>
      </c>
      <c r="T480">
        <f t="shared" si="983"/>
        <v>-0.16986096744416995</v>
      </c>
    </row>
    <row r="481" spans="1:20" x14ac:dyDescent="0.25">
      <c r="A481" s="5">
        <v>44112</v>
      </c>
      <c r="B481">
        <v>0.91400000000000003</v>
      </c>
      <c r="C481">
        <v>0.94699999999999995</v>
      </c>
      <c r="D481">
        <v>0.875</v>
      </c>
      <c r="E481">
        <v>0.92400000000000004</v>
      </c>
      <c r="F481">
        <v>1925727.63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0.36111111111111321</v>
      </c>
      <c r="Q481">
        <f t="shared" si="980"/>
        <v>695401.64416667062</v>
      </c>
      <c r="R481">
        <f t="shared" si="981"/>
        <v>-17691731.222043253</v>
      </c>
      <c r="S481">
        <f t="shared" si="982"/>
        <v>-176.91731222043254</v>
      </c>
      <c r="T481">
        <f t="shared" si="983"/>
        <v>-0.17691731222043253</v>
      </c>
    </row>
    <row r="482" spans="1:20" x14ac:dyDescent="0.25">
      <c r="A482" s="5">
        <v>44111</v>
      </c>
      <c r="B482">
        <v>0.85799999999999998</v>
      </c>
      <c r="C482">
        <v>0.91900000000000004</v>
      </c>
      <c r="D482">
        <v>0.82499999999999996</v>
      </c>
      <c r="E482">
        <v>0.91500000000000004</v>
      </c>
      <c r="F482">
        <v>3628393.977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0.91489361702127658</v>
      </c>
      <c r="Q482">
        <f t="shared" si="980"/>
        <v>3319594.4895957448</v>
      </c>
      <c r="R482">
        <f t="shared" si="981"/>
        <v>-18387132.866209924</v>
      </c>
      <c r="S482">
        <f t="shared" si="982"/>
        <v>-183.87132866209924</v>
      </c>
      <c r="T482">
        <f t="shared" si="983"/>
        <v>-0.18387132866209924</v>
      </c>
    </row>
    <row r="483" spans="1:20" x14ac:dyDescent="0.25">
      <c r="A483" s="5">
        <v>44110</v>
      </c>
      <c r="B483">
        <v>0.92500000000000004</v>
      </c>
      <c r="C483">
        <v>0.93</v>
      </c>
      <c r="D483">
        <v>0.85099999999999998</v>
      </c>
      <c r="E483">
        <v>0.86</v>
      </c>
      <c r="F483">
        <v>2136894.5049999999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-0.77215189873417722</v>
      </c>
      <c r="Q483">
        <f t="shared" si="980"/>
        <v>-1650007.1494303797</v>
      </c>
      <c r="R483">
        <f t="shared" si="981"/>
        <v>-21706727.355805669</v>
      </c>
      <c r="S483">
        <f t="shared" si="982"/>
        <v>-217.06727355805668</v>
      </c>
      <c r="T483">
        <f t="shared" si="983"/>
        <v>-0.21706727355805669</v>
      </c>
    </row>
    <row r="484" spans="1:20" x14ac:dyDescent="0.25">
      <c r="A484" s="5">
        <v>44109</v>
      </c>
      <c r="B484">
        <v>0.92200000000000004</v>
      </c>
      <c r="C484">
        <v>0.94399999999999995</v>
      </c>
      <c r="D484">
        <v>0.91200000000000003</v>
      </c>
      <c r="E484">
        <v>0.92400000000000004</v>
      </c>
      <c r="F484">
        <v>1022136.773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-0.24999999999999739</v>
      </c>
      <c r="Q484">
        <f t="shared" si="980"/>
        <v>-255534.19324999733</v>
      </c>
      <c r="R484">
        <f t="shared" si="981"/>
        <v>-20056720.20637529</v>
      </c>
      <c r="S484">
        <f t="shared" si="982"/>
        <v>-200.56720206375289</v>
      </c>
      <c r="T484">
        <f t="shared" si="983"/>
        <v>-0.20056720206375289</v>
      </c>
    </row>
    <row r="485" spans="1:20" x14ac:dyDescent="0.25">
      <c r="A485" s="5">
        <v>44108</v>
      </c>
      <c r="B485">
        <v>0.91</v>
      </c>
      <c r="C485">
        <v>0.95</v>
      </c>
      <c r="D485">
        <v>0.89900000000000002</v>
      </c>
      <c r="E485">
        <v>0.92500000000000004</v>
      </c>
      <c r="F485">
        <v>1680990.1310000001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1.9607843137257122E-2</v>
      </c>
      <c r="Q485">
        <f t="shared" si="980"/>
        <v>32960.590803925304</v>
      </c>
      <c r="R485">
        <f t="shared" si="981"/>
        <v>-19801186.013125293</v>
      </c>
      <c r="S485">
        <f t="shared" si="982"/>
        <v>-198.01186013125292</v>
      </c>
      <c r="T485">
        <f t="shared" si="983"/>
        <v>-0.19801186013125291</v>
      </c>
    </row>
    <row r="486" spans="1:20" x14ac:dyDescent="0.25">
      <c r="A486" s="5">
        <v>44107</v>
      </c>
      <c r="B486">
        <v>0.92600000000000005</v>
      </c>
      <c r="C486">
        <v>0.95799999999999996</v>
      </c>
      <c r="D486">
        <v>0.90800000000000003</v>
      </c>
      <c r="E486">
        <v>0.91200000000000003</v>
      </c>
      <c r="F486">
        <v>940820.85800000001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-0.83999999999999964</v>
      </c>
      <c r="Q486">
        <f t="shared" si="980"/>
        <v>-790289.52071999968</v>
      </c>
      <c r="R486">
        <f t="shared" si="981"/>
        <v>-19834146.603929218</v>
      </c>
      <c r="S486">
        <f t="shared" si="982"/>
        <v>-198.34146603929219</v>
      </c>
      <c r="T486">
        <f t="shared" si="983"/>
        <v>-0.19834146603929217</v>
      </c>
    </row>
    <row r="487" spans="1:20" x14ac:dyDescent="0.25">
      <c r="A487" s="5">
        <v>44106</v>
      </c>
      <c r="B487">
        <v>0.95299999999999996</v>
      </c>
      <c r="C487">
        <v>1</v>
      </c>
      <c r="D487">
        <v>0.86199999999999999</v>
      </c>
      <c r="E487">
        <v>0.92300000000000004</v>
      </c>
      <c r="F487">
        <v>3240537.858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-0.11594202898550654</v>
      </c>
      <c r="Q487">
        <f t="shared" si="980"/>
        <v>-375714.53426086728</v>
      </c>
      <c r="R487">
        <f t="shared" si="981"/>
        <v>-19043857.083209217</v>
      </c>
      <c r="S487">
        <f t="shared" si="982"/>
        <v>-190.43857083209215</v>
      </c>
      <c r="T487">
        <f t="shared" si="983"/>
        <v>-0.19043857083209215</v>
      </c>
    </row>
    <row r="488" spans="1:20" x14ac:dyDescent="0.25">
      <c r="A488" s="5">
        <v>44105</v>
      </c>
      <c r="B488">
        <v>0.98199999999999998</v>
      </c>
      <c r="C488">
        <v>1.0449999999999999</v>
      </c>
      <c r="D488">
        <v>0.93799999999999994</v>
      </c>
      <c r="E488">
        <v>0.95299999999999996</v>
      </c>
      <c r="F488">
        <v>3230671.2340000002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-0.71962616822429881</v>
      </c>
      <c r="Q488">
        <f t="shared" si="980"/>
        <v>-2324875.5609158874</v>
      </c>
      <c r="R488">
        <f t="shared" si="981"/>
        <v>-18668142.548948348</v>
      </c>
      <c r="S488">
        <f t="shared" si="982"/>
        <v>-186.68142548948347</v>
      </c>
      <c r="T488">
        <f t="shared" si="983"/>
        <v>-0.18668142548948347</v>
      </c>
    </row>
    <row r="489" spans="1:20" x14ac:dyDescent="0.25">
      <c r="A489" s="5">
        <v>44104</v>
      </c>
      <c r="B489">
        <v>0.99</v>
      </c>
      <c r="C489">
        <v>0.99399999999999999</v>
      </c>
      <c r="D489">
        <v>0.95699999999999996</v>
      </c>
      <c r="E489">
        <v>0.98</v>
      </c>
      <c r="F489">
        <v>979979.70700000005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0.24324324324324326</v>
      </c>
      <c r="Q489">
        <f t="shared" si="980"/>
        <v>238373.44224324328</v>
      </c>
      <c r="R489">
        <f t="shared" si="981"/>
        <v>-16343266.98803246</v>
      </c>
      <c r="S489">
        <f t="shared" si="982"/>
        <v>-163.4326698803246</v>
      </c>
      <c r="T489">
        <f t="shared" si="983"/>
        <v>-0.16343266988032459</v>
      </c>
    </row>
    <row r="490" spans="1:20" x14ac:dyDescent="0.25">
      <c r="A490" s="5">
        <v>44103</v>
      </c>
      <c r="B490">
        <v>0.99199999999999999</v>
      </c>
      <c r="C490">
        <v>1.012</v>
      </c>
      <c r="D490">
        <v>0.95</v>
      </c>
      <c r="E490">
        <v>0.99</v>
      </c>
      <c r="F490">
        <v>2082423.507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0.29032258064516131</v>
      </c>
      <c r="Q490">
        <f t="shared" si="980"/>
        <v>604574.56654838717</v>
      </c>
      <c r="R490">
        <f t="shared" si="981"/>
        <v>-16581640.430275703</v>
      </c>
      <c r="S490">
        <f t="shared" si="982"/>
        <v>-165.81640430275704</v>
      </c>
      <c r="T490">
        <f t="shared" si="983"/>
        <v>-0.16581640430275704</v>
      </c>
    </row>
    <row r="491" spans="1:20" x14ac:dyDescent="0.25">
      <c r="A491" s="5">
        <v>44102</v>
      </c>
      <c r="B491">
        <v>1.0069999999999999</v>
      </c>
      <c r="C491">
        <v>1.06</v>
      </c>
      <c r="D491">
        <v>0.97699999999999998</v>
      </c>
      <c r="E491">
        <v>0.99199999999999999</v>
      </c>
      <c r="F491">
        <v>2004456.557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-0.63855421686746983</v>
      </c>
      <c r="Q491">
        <f t="shared" si="980"/>
        <v>-1279954.1869999999</v>
      </c>
      <c r="R491">
        <f t="shared" si="981"/>
        <v>-17186214.996824089</v>
      </c>
      <c r="S491">
        <f t="shared" si="982"/>
        <v>-171.86214996824089</v>
      </c>
      <c r="T491">
        <f t="shared" si="983"/>
        <v>-0.1718621499682409</v>
      </c>
    </row>
    <row r="492" spans="1:20" x14ac:dyDescent="0.25">
      <c r="A492" s="5">
        <v>44101</v>
      </c>
      <c r="B492">
        <v>1.0229999999999999</v>
      </c>
      <c r="C492">
        <v>1.044</v>
      </c>
      <c r="D492">
        <v>0.95799999999999996</v>
      </c>
      <c r="E492">
        <v>1.008</v>
      </c>
      <c r="F492">
        <v>1511565.327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0.16279069767441862</v>
      </c>
      <c r="Q492">
        <f t="shared" si="980"/>
        <v>246068.77416279071</v>
      </c>
      <c r="R492">
        <f t="shared" si="981"/>
        <v>-15906260.809824089</v>
      </c>
      <c r="S492">
        <f t="shared" si="982"/>
        <v>-159.06260809824087</v>
      </c>
      <c r="T492">
        <f t="shared" si="983"/>
        <v>-0.15906260809824088</v>
      </c>
    </row>
    <row r="493" spans="1:20" x14ac:dyDescent="0.25">
      <c r="A493" s="5">
        <v>44100</v>
      </c>
      <c r="B493">
        <v>0.97899999999999998</v>
      </c>
      <c r="C493">
        <v>1.0680000000000001</v>
      </c>
      <c r="D493">
        <v>0.97499999999999998</v>
      </c>
      <c r="E493">
        <v>1.022</v>
      </c>
      <c r="F493">
        <v>1944156.4369999999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1.0752688172043012E-2</v>
      </c>
      <c r="Q493">
        <f t="shared" si="980"/>
        <v>20904.907924731182</v>
      </c>
      <c r="R493">
        <f t="shared" si="981"/>
        <v>-16152329.583986878</v>
      </c>
      <c r="S493">
        <f t="shared" si="982"/>
        <v>-161.52329583986878</v>
      </c>
      <c r="T493">
        <f t="shared" si="983"/>
        <v>-0.16152329583986877</v>
      </c>
    </row>
    <row r="494" spans="1:20" x14ac:dyDescent="0.25">
      <c r="A494" s="5">
        <v>44099</v>
      </c>
      <c r="B494">
        <v>0.93799999999999994</v>
      </c>
      <c r="C494">
        <v>1.0249999999999999</v>
      </c>
      <c r="D494">
        <v>0.90400000000000003</v>
      </c>
      <c r="E494">
        <v>0.98</v>
      </c>
      <c r="F494">
        <v>2263523.838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0.2561983471074385</v>
      </c>
      <c r="Q494">
        <f t="shared" si="980"/>
        <v>579911.0659338854</v>
      </c>
      <c r="R494">
        <f t="shared" si="981"/>
        <v>-16173234.491911609</v>
      </c>
      <c r="S494">
        <f t="shared" si="982"/>
        <v>-161.73234491911609</v>
      </c>
      <c r="T494">
        <f t="shared" si="983"/>
        <v>-0.16173234491911609</v>
      </c>
    </row>
    <row r="495" spans="1:20" x14ac:dyDescent="0.25">
      <c r="A495" s="5">
        <v>44098</v>
      </c>
      <c r="B495">
        <v>0.85799999999999998</v>
      </c>
      <c r="C495">
        <v>0.94299999999999995</v>
      </c>
      <c r="D495">
        <v>0.85199999999999998</v>
      </c>
      <c r="E495">
        <v>0.94</v>
      </c>
      <c r="F495">
        <v>1407556.7009999999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0.93406593406593397</v>
      </c>
      <c r="Q495">
        <f t="shared" si="980"/>
        <v>1314750.7646703294</v>
      </c>
      <c r="R495">
        <f t="shared" si="981"/>
        <v>-16753145.557845494</v>
      </c>
      <c r="S495">
        <f t="shared" si="982"/>
        <v>-167.53145557845494</v>
      </c>
      <c r="T495">
        <f t="shared" si="983"/>
        <v>-0.16753145557845495</v>
      </c>
    </row>
    <row r="496" spans="1:20" x14ac:dyDescent="0.25">
      <c r="A496" s="5">
        <v>44097</v>
      </c>
      <c r="B496">
        <v>0.94099999999999995</v>
      </c>
      <c r="C496">
        <v>0.94699999999999995</v>
      </c>
      <c r="D496">
        <v>0.85399999999999998</v>
      </c>
      <c r="E496">
        <v>0.85799999999999998</v>
      </c>
      <c r="F496">
        <v>2418803.5159999998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-0.91397849462365577</v>
      </c>
      <c r="Q496">
        <f t="shared" si="980"/>
        <v>-2210734.3963440857</v>
      </c>
      <c r="R496">
        <f t="shared" si="981"/>
        <v>-18067896.322515823</v>
      </c>
      <c r="S496">
        <f t="shared" si="982"/>
        <v>-180.67896322515824</v>
      </c>
      <c r="T496">
        <f t="shared" si="983"/>
        <v>-0.18067896322515825</v>
      </c>
    </row>
    <row r="497" spans="1:20" x14ac:dyDescent="0.25">
      <c r="A497" s="5">
        <v>44096</v>
      </c>
      <c r="B497">
        <v>0.90800000000000003</v>
      </c>
      <c r="C497">
        <v>0.97299999999999998</v>
      </c>
      <c r="D497">
        <v>0.874</v>
      </c>
      <c r="E497">
        <v>0.94199999999999995</v>
      </c>
      <c r="F497">
        <v>1673777.2819999999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0.37373737373737304</v>
      </c>
      <c r="Q497">
        <f t="shared" si="980"/>
        <v>625553.12559595844</v>
      </c>
      <c r="R497">
        <f t="shared" si="981"/>
        <v>-15857161.926171737</v>
      </c>
      <c r="S497">
        <f t="shared" si="982"/>
        <v>-158.57161926171736</v>
      </c>
      <c r="T497">
        <f t="shared" si="983"/>
        <v>-0.15857161926171737</v>
      </c>
    </row>
    <row r="498" spans="1:20" x14ac:dyDescent="0.25">
      <c r="A498" s="5">
        <v>44095</v>
      </c>
      <c r="B498">
        <v>1.01</v>
      </c>
      <c r="C498">
        <v>1.032</v>
      </c>
      <c r="D498">
        <v>0.85899999999999999</v>
      </c>
      <c r="E498">
        <v>0.90500000000000003</v>
      </c>
      <c r="F498">
        <v>4240830.3770000003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-0.46820809248554879</v>
      </c>
      <c r="Q498">
        <f t="shared" si="980"/>
        <v>-1985591.1013699409</v>
      </c>
      <c r="R498">
        <f t="shared" si="981"/>
        <v>-16482715.051767696</v>
      </c>
      <c r="S498">
        <f t="shared" si="982"/>
        <v>-164.82715051767696</v>
      </c>
      <c r="T498">
        <f t="shared" si="983"/>
        <v>-0.16482715051767696</v>
      </c>
    </row>
    <row r="499" spans="1:20" x14ac:dyDescent="0.25">
      <c r="A499" s="5">
        <v>44094</v>
      </c>
      <c r="B499">
        <v>1.056</v>
      </c>
      <c r="C499">
        <v>1.1020000000000001</v>
      </c>
      <c r="D499">
        <v>0.99099999999999999</v>
      </c>
      <c r="E499">
        <v>1.0109999999999999</v>
      </c>
      <c r="F499">
        <v>2058982.132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-0.63963963963964166</v>
      </c>
      <c r="Q499">
        <f t="shared" si="980"/>
        <v>-1317006.588936941</v>
      </c>
      <c r="R499">
        <f t="shared" si="981"/>
        <v>-14497123.950397754</v>
      </c>
      <c r="S499">
        <f t="shared" si="982"/>
        <v>-144.97123950397753</v>
      </c>
      <c r="T499">
        <f t="shared" si="983"/>
        <v>-0.14497123950397753</v>
      </c>
    </row>
    <row r="500" spans="1:20" x14ac:dyDescent="0.25">
      <c r="A500" s="5">
        <v>44093</v>
      </c>
      <c r="B500">
        <v>1.0589999999999999</v>
      </c>
      <c r="C500">
        <v>1.073</v>
      </c>
      <c r="D500">
        <v>1.01</v>
      </c>
      <c r="E500">
        <v>1.0569999999999999</v>
      </c>
      <c r="F500">
        <v>1596512.0789999999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0.49206349206349115</v>
      </c>
      <c r="Q500">
        <f t="shared" si="980"/>
        <v>785585.30871428421</v>
      </c>
      <c r="R500">
        <f t="shared" si="981"/>
        <v>-13180117.361460812</v>
      </c>
      <c r="S500">
        <f t="shared" si="982"/>
        <v>-131.80117361460813</v>
      </c>
      <c r="T500">
        <f t="shared" si="983"/>
        <v>-0.13180117361460814</v>
      </c>
    </row>
    <row r="501" spans="1:20" x14ac:dyDescent="0.25">
      <c r="A501" s="5">
        <v>44092</v>
      </c>
      <c r="B501">
        <v>1.1180000000000001</v>
      </c>
      <c r="C501">
        <v>1.1399999999999999</v>
      </c>
      <c r="D501">
        <v>1.03</v>
      </c>
      <c r="E501">
        <v>1.06</v>
      </c>
      <c r="F501">
        <v>3104591.2650000001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-0.45454545454545342</v>
      </c>
      <c r="Q501">
        <f t="shared" si="980"/>
        <v>-1411177.8477272694</v>
      </c>
      <c r="R501">
        <f t="shared" si="981"/>
        <v>-13965702.670175096</v>
      </c>
      <c r="S501">
        <f t="shared" si="982"/>
        <v>-139.65702670175097</v>
      </c>
      <c r="T501">
        <f t="shared" si="983"/>
        <v>-0.13965702670175095</v>
      </c>
    </row>
    <row r="502" spans="1:20" x14ac:dyDescent="0.25">
      <c r="A502" s="5">
        <v>44091</v>
      </c>
      <c r="B502">
        <v>1.1579999999999999</v>
      </c>
      <c r="C502">
        <v>1.198</v>
      </c>
      <c r="D502">
        <v>1.1120000000000001</v>
      </c>
      <c r="E502">
        <v>1.1180000000000001</v>
      </c>
      <c r="F502">
        <v>3270792.2659999998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-0.86046511627906941</v>
      </c>
      <c r="Q502">
        <f t="shared" si="980"/>
        <v>-2814402.647488371</v>
      </c>
      <c r="R502">
        <f t="shared" si="981"/>
        <v>-12554524.822447827</v>
      </c>
      <c r="S502">
        <f t="shared" si="982"/>
        <v>-125.54524822447827</v>
      </c>
      <c r="T502">
        <f t="shared" si="983"/>
        <v>-0.12554524822447827</v>
      </c>
    </row>
    <row r="503" spans="1:20" x14ac:dyDescent="0.25">
      <c r="A503" s="5">
        <v>44090</v>
      </c>
      <c r="B503">
        <v>1.171</v>
      </c>
      <c r="C503">
        <v>1.1870000000000001</v>
      </c>
      <c r="D503">
        <v>1.109</v>
      </c>
      <c r="E503">
        <v>1.157</v>
      </c>
      <c r="F503">
        <v>2088548.8230000001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0.23076923076923078</v>
      </c>
      <c r="Q503">
        <f t="shared" si="980"/>
        <v>481972.80530769238</v>
      </c>
      <c r="R503">
        <f t="shared" si="981"/>
        <v>-9740122.1749594565</v>
      </c>
      <c r="S503">
        <f t="shared" si="982"/>
        <v>-97.401221749594569</v>
      </c>
      <c r="T503">
        <f t="shared" si="983"/>
        <v>-9.7401221749594563E-2</v>
      </c>
    </row>
    <row r="504" spans="1:20" x14ac:dyDescent="0.25">
      <c r="A504" s="5">
        <v>44089</v>
      </c>
      <c r="B504">
        <v>1.2210000000000001</v>
      </c>
      <c r="C504">
        <v>1.2390000000000001</v>
      </c>
      <c r="D504">
        <v>1.1619999999999999</v>
      </c>
      <c r="E504">
        <v>1.1719999999999999</v>
      </c>
      <c r="F504">
        <v>1933809.443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-0.74025974025974062</v>
      </c>
      <c r="Q504">
        <f t="shared" si="980"/>
        <v>-1431521.2759870137</v>
      </c>
      <c r="R504">
        <f t="shared" si="981"/>
        <v>-10222094.980267148</v>
      </c>
      <c r="S504">
        <f t="shared" si="982"/>
        <v>-102.22094980267148</v>
      </c>
      <c r="T504">
        <f t="shared" si="983"/>
        <v>-0.10222094980267149</v>
      </c>
    </row>
    <row r="505" spans="1:20" x14ac:dyDescent="0.25">
      <c r="A505" s="5">
        <v>44088</v>
      </c>
      <c r="B505">
        <v>1.2250000000000001</v>
      </c>
      <c r="C505">
        <v>1.2470000000000001</v>
      </c>
      <c r="D505">
        <v>1.1779999999999999</v>
      </c>
      <c r="E505">
        <v>1.2210000000000001</v>
      </c>
      <c r="F505">
        <v>2480970.8450000002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0.2463768115942041</v>
      </c>
      <c r="Q505">
        <f t="shared" si="980"/>
        <v>611253.68644927838</v>
      </c>
      <c r="R505">
        <f t="shared" si="981"/>
        <v>-8790573.7042801343</v>
      </c>
      <c r="S505">
        <f t="shared" si="982"/>
        <v>-87.905737042801348</v>
      </c>
      <c r="T505">
        <f t="shared" si="983"/>
        <v>-8.7905737042801343E-2</v>
      </c>
    </row>
    <row r="506" spans="1:20" x14ac:dyDescent="0.25">
      <c r="A506" s="5">
        <v>44087</v>
      </c>
      <c r="B506">
        <v>1.3240000000000001</v>
      </c>
      <c r="C506">
        <v>1.34</v>
      </c>
      <c r="D506">
        <v>1.179</v>
      </c>
      <c r="E506">
        <v>1.226</v>
      </c>
      <c r="F506">
        <v>3027069.4219999998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-0.41614906832298232</v>
      </c>
      <c r="Q506">
        <f t="shared" si="980"/>
        <v>-1259712.1197142885</v>
      </c>
      <c r="R506">
        <f t="shared" si="981"/>
        <v>-9401827.3907294124</v>
      </c>
      <c r="S506">
        <f t="shared" si="982"/>
        <v>-94.01827390729413</v>
      </c>
      <c r="T506">
        <f t="shared" si="983"/>
        <v>-9.4018273907294128E-2</v>
      </c>
    </row>
    <row r="507" spans="1:20" x14ac:dyDescent="0.25">
      <c r="A507" s="5">
        <v>44086</v>
      </c>
      <c r="B507">
        <v>1.228</v>
      </c>
      <c r="C507">
        <v>1.327</v>
      </c>
      <c r="D507">
        <v>1.208</v>
      </c>
      <c r="E507">
        <v>1.3240000000000001</v>
      </c>
      <c r="F507">
        <v>2465953.9759999998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0.94957983193277495</v>
      </c>
      <c r="Q507">
        <f t="shared" si="980"/>
        <v>2341620.1620840379</v>
      </c>
      <c r="R507">
        <f t="shared" si="981"/>
        <v>-8142115.2710151244</v>
      </c>
      <c r="S507">
        <f t="shared" si="982"/>
        <v>-81.421152710151247</v>
      </c>
      <c r="T507">
        <f t="shared" si="983"/>
        <v>-8.1421152710151254E-2</v>
      </c>
    </row>
    <row r="508" spans="1:20" x14ac:dyDescent="0.25">
      <c r="A508" s="5">
        <v>44085</v>
      </c>
      <c r="B508">
        <v>1.2390000000000001</v>
      </c>
      <c r="C508">
        <v>1.2430000000000001</v>
      </c>
      <c r="D508">
        <v>1.181</v>
      </c>
      <c r="E508">
        <v>1.2270000000000001</v>
      </c>
      <c r="F508">
        <v>2096508.209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0.4838709677419355</v>
      </c>
      <c r="Q508">
        <f t="shared" si="980"/>
        <v>1014439.455967742</v>
      </c>
      <c r="R508">
        <f t="shared" si="981"/>
        <v>-10483735.433099162</v>
      </c>
      <c r="S508">
        <f t="shared" si="982"/>
        <v>-104.83735433099162</v>
      </c>
      <c r="T508">
        <f t="shared" si="983"/>
        <v>-0.10483735433099162</v>
      </c>
    </row>
    <row r="509" spans="1:20" x14ac:dyDescent="0.25">
      <c r="A509" s="5">
        <v>44084</v>
      </c>
      <c r="B509">
        <v>1.2210000000000001</v>
      </c>
      <c r="C509">
        <v>1.2749999999999999</v>
      </c>
      <c r="D509">
        <v>1.2010000000000001</v>
      </c>
      <c r="E509">
        <v>1.2370000000000001</v>
      </c>
      <c r="F509">
        <v>2048289.8189999999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-2.7027027027024107E-2</v>
      </c>
      <c r="Q509">
        <f t="shared" si="980"/>
        <v>-55359.184297291315</v>
      </c>
      <c r="R509">
        <f t="shared" si="981"/>
        <v>-11498174.889066903</v>
      </c>
      <c r="S509">
        <f t="shared" si="982"/>
        <v>-114.98174889066902</v>
      </c>
      <c r="T509">
        <f t="shared" si="983"/>
        <v>-0.11498174889066902</v>
      </c>
    </row>
    <row r="510" spans="1:20" x14ac:dyDescent="0.25">
      <c r="A510" s="5">
        <v>44083</v>
      </c>
      <c r="B510">
        <v>1.18</v>
      </c>
      <c r="C510">
        <v>1.246</v>
      </c>
      <c r="D510">
        <v>1.151</v>
      </c>
      <c r="E510">
        <v>1.222</v>
      </c>
      <c r="F510">
        <v>1739956.446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0.49473684210526259</v>
      </c>
      <c r="Q510">
        <f t="shared" si="980"/>
        <v>860820.55749473581</v>
      </c>
      <c r="R510">
        <f t="shared" si="981"/>
        <v>-11442815.704769611</v>
      </c>
      <c r="S510">
        <f t="shared" si="982"/>
        <v>-114.42815704769612</v>
      </c>
      <c r="T510">
        <f t="shared" si="983"/>
        <v>-0.11442815704769611</v>
      </c>
    </row>
    <row r="511" spans="1:20" x14ac:dyDescent="0.25">
      <c r="A511" s="5">
        <v>44082</v>
      </c>
      <c r="B511">
        <v>1.2490000000000001</v>
      </c>
      <c r="C511">
        <v>1.2529999999999999</v>
      </c>
      <c r="D511">
        <v>1.1319999999999999</v>
      </c>
      <c r="E511">
        <v>1.179</v>
      </c>
      <c r="F511">
        <v>2189550.9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-0.22314049586776605</v>
      </c>
      <c r="Q511">
        <f t="shared" si="980"/>
        <v>-488577.47355371341</v>
      </c>
      <c r="R511">
        <f t="shared" si="981"/>
        <v>-12303636.262264347</v>
      </c>
      <c r="S511">
        <f t="shared" si="982"/>
        <v>-123.03636262264347</v>
      </c>
      <c r="T511">
        <f t="shared" si="983"/>
        <v>-0.12303636262264346</v>
      </c>
    </row>
    <row r="512" spans="1:20" x14ac:dyDescent="0.25">
      <c r="A512" s="5">
        <v>44081</v>
      </c>
      <c r="B512">
        <v>1.2989999999999999</v>
      </c>
      <c r="C512">
        <v>1.3380000000000001</v>
      </c>
      <c r="D512">
        <v>1.1399999999999999</v>
      </c>
      <c r="E512">
        <v>1.246</v>
      </c>
      <c r="F512">
        <v>2847425.7009999999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7.0707070707070704E-2</v>
      </c>
      <c r="Q512">
        <f t="shared" si="980"/>
        <v>201333.13037373737</v>
      </c>
      <c r="R512">
        <f t="shared" si="981"/>
        <v>-11815058.788710633</v>
      </c>
      <c r="S512">
        <f t="shared" si="982"/>
        <v>-118.15058788710633</v>
      </c>
      <c r="T512">
        <f t="shared" si="983"/>
        <v>-0.11815058788710632</v>
      </c>
    </row>
    <row r="513" spans="1:20" x14ac:dyDescent="0.25">
      <c r="A513" s="5">
        <v>44080</v>
      </c>
      <c r="B513">
        <v>1.181</v>
      </c>
      <c r="C513">
        <v>1.319</v>
      </c>
      <c r="D513">
        <v>1.101</v>
      </c>
      <c r="E513">
        <v>1.2989999999999999</v>
      </c>
      <c r="F513">
        <v>2862771.0079999999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0.81651376146788968</v>
      </c>
      <c r="Q513">
        <f t="shared" si="980"/>
        <v>2337491.9239633018</v>
      </c>
      <c r="R513">
        <f t="shared" si="981"/>
        <v>-12016391.91908437</v>
      </c>
      <c r="S513">
        <f t="shared" si="982"/>
        <v>-120.1639191908437</v>
      </c>
      <c r="T513">
        <f t="shared" si="983"/>
        <v>-0.1201639191908437</v>
      </c>
    </row>
    <row r="514" spans="1:20" x14ac:dyDescent="0.25">
      <c r="A514" s="5">
        <v>44079</v>
      </c>
      <c r="B514">
        <v>1.3380000000000001</v>
      </c>
      <c r="C514">
        <v>1.393</v>
      </c>
      <c r="D514">
        <v>1.0469999999999999</v>
      </c>
      <c r="E514">
        <v>1.181</v>
      </c>
      <c r="F514">
        <v>5082583.1359999999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-0.22543352601156019</v>
      </c>
      <c r="Q514">
        <f t="shared" si="980"/>
        <v>-1145784.6375953732</v>
      </c>
      <c r="R514">
        <f t="shared" si="981"/>
        <v>-14353883.843047671</v>
      </c>
      <c r="S514">
        <f t="shared" si="982"/>
        <v>-143.53883843047672</v>
      </c>
      <c r="T514">
        <f t="shared" si="983"/>
        <v>-0.14353883843047671</v>
      </c>
    </row>
    <row r="515" spans="1:20" x14ac:dyDescent="0.25">
      <c r="A515" s="5">
        <v>44078</v>
      </c>
      <c r="B515">
        <v>1.2649999999999999</v>
      </c>
      <c r="C515">
        <v>1.411</v>
      </c>
      <c r="D515">
        <v>1.2370000000000001</v>
      </c>
      <c r="E515">
        <v>1.3380000000000001</v>
      </c>
      <c r="F515">
        <v>4468312.8990000002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0.16091954022988525</v>
      </c>
      <c r="Q515">
        <f t="shared" si="980"/>
        <v>719038.85731034575</v>
      </c>
      <c r="R515">
        <f t="shared" si="981"/>
        <v>-13208099.205452297</v>
      </c>
      <c r="S515">
        <f t="shared" si="982"/>
        <v>-132.08099205452297</v>
      </c>
      <c r="T515">
        <f t="shared" si="983"/>
        <v>-0.13208099205452298</v>
      </c>
    </row>
    <row r="516" spans="1:20" x14ac:dyDescent="0.25">
      <c r="A516" s="5">
        <v>44077</v>
      </c>
      <c r="B516">
        <v>1.6579999999999999</v>
      </c>
      <c r="C516">
        <v>1.671</v>
      </c>
      <c r="D516">
        <v>1.222</v>
      </c>
      <c r="E516">
        <v>1.266</v>
      </c>
      <c r="F516">
        <v>6467765.102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-0.80400890868596864</v>
      </c>
      <c r="Q516">
        <f t="shared" si="980"/>
        <v>-5200140.7612962127</v>
      </c>
      <c r="R516">
        <f t="shared" si="981"/>
        <v>-13927138.062762642</v>
      </c>
      <c r="S516">
        <f t="shared" si="982"/>
        <v>-139.27138062762643</v>
      </c>
      <c r="T516">
        <f t="shared" si="983"/>
        <v>-0.13927138062762642</v>
      </c>
    </row>
    <row r="517" spans="1:20" x14ac:dyDescent="0.25">
      <c r="A517" s="5">
        <v>44076</v>
      </c>
      <c r="B517">
        <v>1.7390000000000001</v>
      </c>
      <c r="C517">
        <v>1.754</v>
      </c>
      <c r="D517">
        <v>1.5649999999999999</v>
      </c>
      <c r="E517">
        <v>1.659</v>
      </c>
      <c r="F517">
        <v>3673615.1379999998</v>
      </c>
      <c r="G517">
        <v>0</v>
      </c>
      <c r="L517" t="s">
        <v>7</v>
      </c>
      <c r="M517" t="s">
        <v>8</v>
      </c>
      <c r="N517" t="s">
        <v>8</v>
      </c>
      <c r="P517">
        <f t="shared" si="979"/>
        <v>-5.291005291004707E-3</v>
      </c>
      <c r="Q517">
        <f t="shared" si="980"/>
        <v>-19437.117132272986</v>
      </c>
      <c r="R517">
        <f t="shared" si="981"/>
        <v>-8726997.3014664296</v>
      </c>
      <c r="S517">
        <f t="shared" si="982"/>
        <v>-87.269973014664302</v>
      </c>
      <c r="T517">
        <f t="shared" si="983"/>
        <v>-8.7269973014664298E-2</v>
      </c>
    </row>
    <row r="518" spans="1:20" x14ac:dyDescent="0.25">
      <c r="A518" s="5">
        <v>44075</v>
      </c>
      <c r="B518">
        <v>1.804</v>
      </c>
      <c r="C518">
        <v>1.8580000000000001</v>
      </c>
      <c r="D518">
        <v>1.728</v>
      </c>
      <c r="E518">
        <v>1.7430000000000001</v>
      </c>
      <c r="F518">
        <v>4312294.5379999997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-0.7692307692307675</v>
      </c>
      <c r="Q518">
        <f t="shared" ref="Q518:Q581" si="985">F518*P518</f>
        <v>-3317149.6446153768</v>
      </c>
      <c r="R518">
        <f t="shared" ref="R518:R581" si="986">R519+Q518</f>
        <v>-8707560.184334157</v>
      </c>
      <c r="S518">
        <f t="shared" ref="S518:S581" si="987">R518/100000</f>
        <v>-87.075601843341573</v>
      </c>
      <c r="T518">
        <f t="shared" ref="T518:T581" si="988">S518/1000</f>
        <v>-8.707560184334158E-2</v>
      </c>
    </row>
    <row r="519" spans="1:20" x14ac:dyDescent="0.25">
      <c r="A519" s="5">
        <v>44074</v>
      </c>
      <c r="B519">
        <v>1.7070000000000001</v>
      </c>
      <c r="C519">
        <v>1.8460000000000001</v>
      </c>
      <c r="D519">
        <v>1.7030000000000001</v>
      </c>
      <c r="E519">
        <v>1.802</v>
      </c>
      <c r="F519">
        <v>3611599.2519999999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0.38461538461538414</v>
      </c>
      <c r="Q519">
        <f t="shared" si="985"/>
        <v>1389076.6353846136</v>
      </c>
      <c r="R519">
        <f t="shared" si="986"/>
        <v>-5390410.5397187797</v>
      </c>
      <c r="S519">
        <f t="shared" si="987"/>
        <v>-53.904105397187799</v>
      </c>
      <c r="T519">
        <f t="shared" si="988"/>
        <v>-5.3904105397187797E-2</v>
      </c>
    </row>
    <row r="520" spans="1:20" x14ac:dyDescent="0.25">
      <c r="A520" s="5">
        <v>44073</v>
      </c>
      <c r="B520">
        <v>1.6519999999999999</v>
      </c>
      <c r="C520">
        <v>1.7949999999999999</v>
      </c>
      <c r="D520">
        <v>1.6439999999999999</v>
      </c>
      <c r="E520">
        <v>1.706</v>
      </c>
      <c r="F520">
        <v>3894341.3879999998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-0.17880794701986694</v>
      </c>
      <c r="Q520">
        <f t="shared" si="985"/>
        <v>-696339.18858277902</v>
      </c>
      <c r="R520">
        <f t="shared" si="986"/>
        <v>-6779487.1751033934</v>
      </c>
      <c r="S520">
        <f t="shared" si="987"/>
        <v>-67.794871751033938</v>
      </c>
      <c r="T520">
        <f t="shared" si="988"/>
        <v>-6.7794871751033936E-2</v>
      </c>
    </row>
    <row r="521" spans="1:20" x14ac:dyDescent="0.25">
      <c r="A521" s="5">
        <v>44072</v>
      </c>
      <c r="B521">
        <v>1.5880000000000001</v>
      </c>
      <c r="C521">
        <v>1.7070000000000001</v>
      </c>
      <c r="D521">
        <v>1.548</v>
      </c>
      <c r="E521">
        <v>1.653</v>
      </c>
      <c r="F521">
        <v>3388331.517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0.32075471698113162</v>
      </c>
      <c r="Q521">
        <f t="shared" si="985"/>
        <v>1086823.3167735834</v>
      </c>
      <c r="R521">
        <f t="shared" si="986"/>
        <v>-6083147.9865206145</v>
      </c>
      <c r="S521">
        <f t="shared" si="987"/>
        <v>-60.831479865206141</v>
      </c>
      <c r="T521">
        <f t="shared" si="988"/>
        <v>-6.0831479865206144E-2</v>
      </c>
    </row>
    <row r="522" spans="1:20" x14ac:dyDescent="0.25">
      <c r="A522" s="5">
        <v>44071</v>
      </c>
      <c r="B522">
        <v>1.5509999999999999</v>
      </c>
      <c r="C522">
        <v>1.629</v>
      </c>
      <c r="D522">
        <v>1.514</v>
      </c>
      <c r="E522">
        <v>1.5880000000000001</v>
      </c>
      <c r="F522">
        <v>2098030.4139999999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0.28695652173913166</v>
      </c>
      <c r="Q522">
        <f t="shared" si="985"/>
        <v>602043.5101043504</v>
      </c>
      <c r="R522">
        <f t="shared" si="986"/>
        <v>-7169971.3032941977</v>
      </c>
      <c r="S522">
        <f t="shared" si="987"/>
        <v>-71.699713032941972</v>
      </c>
      <c r="T522">
        <f t="shared" si="988"/>
        <v>-7.1699713032941967E-2</v>
      </c>
    </row>
    <row r="523" spans="1:20" x14ac:dyDescent="0.25">
      <c r="A523" s="5">
        <v>44070</v>
      </c>
      <c r="B523">
        <v>1.629</v>
      </c>
      <c r="C523">
        <v>1.6459999999999999</v>
      </c>
      <c r="D523">
        <v>1.494</v>
      </c>
      <c r="E523">
        <v>1.5489999999999999</v>
      </c>
      <c r="F523">
        <v>2198813.0120000001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-0.27631578947368463</v>
      </c>
      <c r="Q523">
        <f t="shared" si="985"/>
        <v>-607566.75331579044</v>
      </c>
      <c r="R523">
        <f t="shared" si="986"/>
        <v>-7772014.8133985484</v>
      </c>
      <c r="S523">
        <f t="shared" si="987"/>
        <v>-77.720148133985489</v>
      </c>
      <c r="T523">
        <f t="shared" si="988"/>
        <v>-7.7720148133985492E-2</v>
      </c>
    </row>
    <row r="524" spans="1:20" x14ac:dyDescent="0.25">
      <c r="A524" s="5">
        <v>44069</v>
      </c>
      <c r="B524">
        <v>1.587</v>
      </c>
      <c r="C524">
        <v>1.649</v>
      </c>
      <c r="D524">
        <v>1.5580000000000001</v>
      </c>
      <c r="E524">
        <v>1.627</v>
      </c>
      <c r="F524">
        <v>1987901.112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0.51648351648351587</v>
      </c>
      <c r="Q524">
        <f t="shared" si="985"/>
        <v>1026718.1567472515</v>
      </c>
      <c r="R524">
        <f t="shared" si="986"/>
        <v>-7164448.0600827578</v>
      </c>
      <c r="S524">
        <f t="shared" si="987"/>
        <v>-71.644480600827578</v>
      </c>
      <c r="T524">
        <f t="shared" si="988"/>
        <v>-7.1644480600827579E-2</v>
      </c>
    </row>
    <row r="525" spans="1:20" x14ac:dyDescent="0.25">
      <c r="A525" s="5">
        <v>44068</v>
      </c>
      <c r="B525">
        <v>1.6850000000000001</v>
      </c>
      <c r="C525">
        <v>1.6970000000000001</v>
      </c>
      <c r="D525">
        <v>1.5309999999999999</v>
      </c>
      <c r="E525">
        <v>1.5860000000000001</v>
      </c>
      <c r="F525">
        <v>2997342.2990000001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-0.33734939759036009</v>
      </c>
      <c r="Q525">
        <f t="shared" si="985"/>
        <v>-1011151.618939755</v>
      </c>
      <c r="R525">
        <f t="shared" si="986"/>
        <v>-8191166.2168300096</v>
      </c>
      <c r="S525">
        <f t="shared" si="987"/>
        <v>-81.911662168300097</v>
      </c>
      <c r="T525">
        <f t="shared" si="988"/>
        <v>-8.1911662168300092E-2</v>
      </c>
    </row>
    <row r="526" spans="1:20" x14ac:dyDescent="0.25">
      <c r="A526" s="5">
        <v>44067</v>
      </c>
      <c r="B526">
        <v>1.714</v>
      </c>
      <c r="C526">
        <v>1.73</v>
      </c>
      <c r="D526">
        <v>1.66</v>
      </c>
      <c r="E526">
        <v>1.6839999999999999</v>
      </c>
      <c r="F526">
        <v>2410196.9789999998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-0.31428571428571428</v>
      </c>
      <c r="Q526">
        <f t="shared" si="985"/>
        <v>-757490.47911428567</v>
      </c>
      <c r="R526">
        <f t="shared" si="986"/>
        <v>-7180014.5978902541</v>
      </c>
      <c r="S526">
        <f t="shared" si="987"/>
        <v>-71.800145978902535</v>
      </c>
      <c r="T526">
        <f t="shared" si="988"/>
        <v>-7.1800145978902538E-2</v>
      </c>
    </row>
    <row r="527" spans="1:20" x14ac:dyDescent="0.25">
      <c r="A527" s="5">
        <v>44066</v>
      </c>
      <c r="B527">
        <v>1.7230000000000001</v>
      </c>
      <c r="C527">
        <v>1.7749999999999999</v>
      </c>
      <c r="D527">
        <v>1.64</v>
      </c>
      <c r="E527">
        <v>1.708</v>
      </c>
      <c r="F527">
        <v>3795808.7140000002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7.407407407408236E-3</v>
      </c>
      <c r="Q527">
        <f t="shared" si="985"/>
        <v>28117.101585188331</v>
      </c>
      <c r="R527">
        <f t="shared" si="986"/>
        <v>-6422524.1187759684</v>
      </c>
      <c r="S527">
        <f t="shared" si="987"/>
        <v>-64.225241187759678</v>
      </c>
      <c r="T527">
        <f t="shared" si="988"/>
        <v>-6.4225241187759685E-2</v>
      </c>
    </row>
    <row r="528" spans="1:20" x14ac:dyDescent="0.25">
      <c r="A528" s="5">
        <v>44065</v>
      </c>
      <c r="B528">
        <v>1.65</v>
      </c>
      <c r="C528">
        <v>1.75</v>
      </c>
      <c r="D528">
        <v>1.5549999999999999</v>
      </c>
      <c r="E528">
        <v>1.7210000000000001</v>
      </c>
      <c r="F528">
        <v>3455883.1830000002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0.70256410256410351</v>
      </c>
      <c r="Q528">
        <f t="shared" si="985"/>
        <v>2427979.4670307725</v>
      </c>
      <c r="R528">
        <f t="shared" si="986"/>
        <v>-6450641.2203611564</v>
      </c>
      <c r="S528">
        <f t="shared" si="987"/>
        <v>-64.506412203611561</v>
      </c>
      <c r="T528">
        <f t="shared" si="988"/>
        <v>-6.4506412203611557E-2</v>
      </c>
    </row>
    <row r="529" spans="1:20" x14ac:dyDescent="0.25">
      <c r="A529" s="5">
        <v>44064</v>
      </c>
      <c r="B529">
        <v>1.7110000000000001</v>
      </c>
      <c r="C529">
        <v>1.923</v>
      </c>
      <c r="D529">
        <v>1.65</v>
      </c>
      <c r="E529">
        <v>1.65</v>
      </c>
      <c r="F529">
        <v>7953128.5769999996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-1</v>
      </c>
      <c r="Q529">
        <f t="shared" si="985"/>
        <v>-7953128.5769999996</v>
      </c>
      <c r="R529">
        <f t="shared" si="986"/>
        <v>-8878620.6873919293</v>
      </c>
      <c r="S529">
        <f t="shared" si="987"/>
        <v>-88.786206873919298</v>
      </c>
      <c r="T529">
        <f t="shared" si="988"/>
        <v>-8.8786206873919304E-2</v>
      </c>
    </row>
    <row r="530" spans="1:20" x14ac:dyDescent="0.25">
      <c r="A530" s="5">
        <v>44063</v>
      </c>
      <c r="B530">
        <v>1.593</v>
      </c>
      <c r="C530">
        <v>1.8089999999999999</v>
      </c>
      <c r="D530">
        <v>1.5529999999999999</v>
      </c>
      <c r="E530">
        <v>1.71</v>
      </c>
      <c r="F530">
        <v>4551825.4380000001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0.22656250000000019</v>
      </c>
      <c r="Q530">
        <f t="shared" si="985"/>
        <v>1031272.9507968759</v>
      </c>
      <c r="R530">
        <f t="shared" si="986"/>
        <v>-925492.11039192928</v>
      </c>
      <c r="S530">
        <f t="shared" si="987"/>
        <v>-9.2549211039192922</v>
      </c>
      <c r="T530">
        <f t="shared" si="988"/>
        <v>-9.2549211039192926E-3</v>
      </c>
    </row>
    <row r="531" spans="1:20" x14ac:dyDescent="0.25">
      <c r="A531" s="5">
        <v>44062</v>
      </c>
      <c r="B531">
        <v>1.6719999999999999</v>
      </c>
      <c r="C531">
        <v>1.7290000000000001</v>
      </c>
      <c r="D531">
        <v>1.486</v>
      </c>
      <c r="E531">
        <v>1.591</v>
      </c>
      <c r="F531">
        <v>3753759.3810000001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-0.13580246913580299</v>
      </c>
      <c r="Q531">
        <f t="shared" si="985"/>
        <v>-509769.79248148343</v>
      </c>
      <c r="R531">
        <f t="shared" si="986"/>
        <v>-1956765.0611888051</v>
      </c>
      <c r="S531">
        <f t="shared" si="987"/>
        <v>-19.567650611888052</v>
      </c>
      <c r="T531">
        <f t="shared" si="988"/>
        <v>-1.9567650611888053E-2</v>
      </c>
    </row>
    <row r="532" spans="1:20" x14ac:dyDescent="0.25">
      <c r="A532" s="5">
        <v>44061</v>
      </c>
      <c r="B532">
        <v>1.774</v>
      </c>
      <c r="C532">
        <v>1.8149999999999999</v>
      </c>
      <c r="D532">
        <v>1.617</v>
      </c>
      <c r="E532">
        <v>1.669</v>
      </c>
      <c r="F532">
        <v>3396098.9709999999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-0.47474747474747414</v>
      </c>
      <c r="Q532">
        <f t="shared" si="985"/>
        <v>-1612289.4104747453</v>
      </c>
      <c r="R532">
        <f t="shared" si="986"/>
        <v>-1446995.2687073217</v>
      </c>
      <c r="S532">
        <f t="shared" si="987"/>
        <v>-14.469952687073217</v>
      </c>
      <c r="T532">
        <f t="shared" si="988"/>
        <v>-1.4469952687073217E-2</v>
      </c>
    </row>
    <row r="533" spans="1:20" x14ac:dyDescent="0.25">
      <c r="A533" s="5">
        <v>44060</v>
      </c>
      <c r="B533">
        <v>1.879</v>
      </c>
      <c r="C533">
        <v>1.946</v>
      </c>
      <c r="D533">
        <v>1.748</v>
      </c>
      <c r="E533">
        <v>1.772</v>
      </c>
      <c r="F533">
        <v>4022826.7030000002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-0.75757575757575735</v>
      </c>
      <c r="Q533">
        <f t="shared" si="985"/>
        <v>-3047595.9871212114</v>
      </c>
      <c r="R533">
        <f t="shared" si="986"/>
        <v>165294.1417674236</v>
      </c>
      <c r="S533">
        <f t="shared" si="987"/>
        <v>1.6529414176742361</v>
      </c>
      <c r="T533">
        <f t="shared" si="988"/>
        <v>1.6529414176742361E-3</v>
      </c>
    </row>
    <row r="534" spans="1:20" x14ac:dyDescent="0.25">
      <c r="A534" s="5">
        <v>44059</v>
      </c>
      <c r="B534">
        <v>1.84</v>
      </c>
      <c r="C534">
        <v>1.9379999999999999</v>
      </c>
      <c r="D534">
        <v>1.796</v>
      </c>
      <c r="E534">
        <v>1.877</v>
      </c>
      <c r="F534">
        <v>4026687.2030000002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0.14084507042253544</v>
      </c>
      <c r="Q534">
        <f t="shared" si="985"/>
        <v>567139.04267605732</v>
      </c>
      <c r="R534">
        <f t="shared" si="986"/>
        <v>3212890.128888635</v>
      </c>
      <c r="S534">
        <f t="shared" si="987"/>
        <v>32.128901288886347</v>
      </c>
      <c r="T534">
        <f t="shared" si="988"/>
        <v>3.2128901288886347E-2</v>
      </c>
    </row>
    <row r="535" spans="1:20" x14ac:dyDescent="0.25">
      <c r="A535" s="5">
        <v>44058</v>
      </c>
      <c r="B535">
        <v>1.8759999999999999</v>
      </c>
      <c r="C535">
        <v>1.99</v>
      </c>
      <c r="D535">
        <v>1.788</v>
      </c>
      <c r="E535">
        <v>1.8420000000000001</v>
      </c>
      <c r="F535">
        <v>5759406.0640000002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-0.46534653465346476</v>
      </c>
      <c r="Q535">
        <f t="shared" si="985"/>
        <v>-2680119.6535445512</v>
      </c>
      <c r="R535">
        <f t="shared" si="986"/>
        <v>2645751.0862125778</v>
      </c>
      <c r="S535">
        <f t="shared" si="987"/>
        <v>26.457510862125776</v>
      </c>
      <c r="T535">
        <f t="shared" si="988"/>
        <v>2.6457510862125777E-2</v>
      </c>
    </row>
    <row r="536" spans="1:20" x14ac:dyDescent="0.25">
      <c r="A536" s="5">
        <v>44057</v>
      </c>
      <c r="B536">
        <v>1.7450000000000001</v>
      </c>
      <c r="C536">
        <v>2.048</v>
      </c>
      <c r="D536">
        <v>1.702</v>
      </c>
      <c r="E536">
        <v>1.8759999999999999</v>
      </c>
      <c r="F536">
        <v>14752050.267000001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5.7803468208086108E-3</v>
      </c>
      <c r="Q536">
        <f t="shared" si="985"/>
        <v>85271.966861262277</v>
      </c>
      <c r="R536">
        <f t="shared" si="986"/>
        <v>5325870.739757129</v>
      </c>
      <c r="S536">
        <f t="shared" si="987"/>
        <v>53.258707397571293</v>
      </c>
      <c r="T536">
        <f t="shared" si="988"/>
        <v>5.3258707397571291E-2</v>
      </c>
    </row>
    <row r="537" spans="1:20" x14ac:dyDescent="0.25">
      <c r="A537" s="5">
        <v>44056</v>
      </c>
      <c r="B537">
        <v>1.6830000000000001</v>
      </c>
      <c r="C537">
        <v>1.99</v>
      </c>
      <c r="D537">
        <v>1.597</v>
      </c>
      <c r="E537">
        <v>1.746</v>
      </c>
      <c r="F537">
        <v>12523068.107999999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-0.24173027989821874</v>
      </c>
      <c r="Q537">
        <f t="shared" si="985"/>
        <v>-3027204.7589312964</v>
      </c>
      <c r="R537">
        <f t="shared" si="986"/>
        <v>5240598.772895867</v>
      </c>
      <c r="S537">
        <f t="shared" si="987"/>
        <v>52.405987728958671</v>
      </c>
      <c r="T537">
        <f t="shared" si="988"/>
        <v>5.2405987728958672E-2</v>
      </c>
    </row>
    <row r="538" spans="1:20" x14ac:dyDescent="0.25">
      <c r="A538" s="5">
        <v>44055</v>
      </c>
      <c r="B538">
        <v>1.6080000000000001</v>
      </c>
      <c r="C538">
        <v>1.73</v>
      </c>
      <c r="D538">
        <v>1.544</v>
      </c>
      <c r="E538">
        <v>1.6830000000000001</v>
      </c>
      <c r="F538">
        <v>4641439.7860000003</v>
      </c>
      <c r="G538">
        <v>0</v>
      </c>
      <c r="L538" t="s">
        <v>8</v>
      </c>
      <c r="M538" t="s">
        <v>7</v>
      </c>
      <c r="N538" t="s">
        <v>8</v>
      </c>
      <c r="P538">
        <f t="shared" si="984"/>
        <v>0.49462365591397911</v>
      </c>
      <c r="Q538">
        <f t="shared" si="985"/>
        <v>2295765.915655917</v>
      </c>
      <c r="R538">
        <f t="shared" si="986"/>
        <v>8267803.531827163</v>
      </c>
      <c r="S538">
        <f t="shared" si="987"/>
        <v>82.678035318271625</v>
      </c>
      <c r="T538">
        <f t="shared" si="988"/>
        <v>8.2678035318271628E-2</v>
      </c>
    </row>
    <row r="539" spans="1:20" x14ac:dyDescent="0.25">
      <c r="A539" s="5">
        <v>44054</v>
      </c>
      <c r="B539">
        <v>1.7130000000000001</v>
      </c>
      <c r="C539">
        <v>1.7270000000000001</v>
      </c>
      <c r="D539">
        <v>1.5</v>
      </c>
      <c r="E539">
        <v>1.61</v>
      </c>
      <c r="F539">
        <v>4293244.4160000002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-3.0837004405285869E-2</v>
      </c>
      <c r="Q539">
        <f t="shared" si="985"/>
        <v>-132390.79696916096</v>
      </c>
      <c r="R539">
        <f t="shared" si="986"/>
        <v>5972037.6161712455</v>
      </c>
      <c r="S539">
        <f t="shared" si="987"/>
        <v>59.720376161712451</v>
      </c>
      <c r="T539">
        <f t="shared" si="988"/>
        <v>5.9720376161712455E-2</v>
      </c>
    </row>
    <row r="540" spans="1:20" x14ac:dyDescent="0.25">
      <c r="A540" s="5">
        <v>44053</v>
      </c>
      <c r="B540">
        <v>1.786</v>
      </c>
      <c r="C540">
        <v>1.8049999999999999</v>
      </c>
      <c r="D540">
        <v>1.587</v>
      </c>
      <c r="E540">
        <v>1.7150000000000001</v>
      </c>
      <c r="F540">
        <v>5192431.1009999998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0.17431192660550579</v>
      </c>
      <c r="Q540">
        <f t="shared" si="985"/>
        <v>905102.6689816576</v>
      </c>
      <c r="R540">
        <f t="shared" si="986"/>
        <v>6104428.4131404068</v>
      </c>
      <c r="S540">
        <f t="shared" si="987"/>
        <v>61.044284131404069</v>
      </c>
      <c r="T540">
        <f t="shared" si="988"/>
        <v>6.1044284131404072E-2</v>
      </c>
    </row>
    <row r="541" spans="1:20" x14ac:dyDescent="0.25">
      <c r="A541" s="5">
        <v>44052</v>
      </c>
      <c r="B541">
        <v>1.6839999999999999</v>
      </c>
      <c r="C541">
        <v>1.825</v>
      </c>
      <c r="D541">
        <v>1.62</v>
      </c>
      <c r="E541">
        <v>1.7869999999999999</v>
      </c>
      <c r="F541">
        <v>5710652.8480000002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0.62926829268292628</v>
      </c>
      <c r="Q541">
        <f t="shared" si="985"/>
        <v>3593532.7677658508</v>
      </c>
      <c r="R541">
        <f t="shared" si="986"/>
        <v>5199325.7441587495</v>
      </c>
      <c r="S541">
        <f t="shared" si="987"/>
        <v>51.993257441587495</v>
      </c>
      <c r="T541">
        <f t="shared" si="988"/>
        <v>5.1993257441587497E-2</v>
      </c>
    </row>
    <row r="542" spans="1:20" x14ac:dyDescent="0.25">
      <c r="A542" s="5">
        <v>44051</v>
      </c>
      <c r="B542">
        <v>1.526</v>
      </c>
      <c r="C542">
        <v>1.7370000000000001</v>
      </c>
      <c r="D542">
        <v>1.5089999999999999</v>
      </c>
      <c r="E542">
        <v>1.6819999999999999</v>
      </c>
      <c r="F542">
        <v>4493482.2699999996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0.51754385964912186</v>
      </c>
      <c r="Q542">
        <f t="shared" si="985"/>
        <v>2325574.1572806975</v>
      </c>
      <c r="R542">
        <f t="shared" si="986"/>
        <v>1605792.9763928989</v>
      </c>
      <c r="S542">
        <f t="shared" si="987"/>
        <v>16.057929763928989</v>
      </c>
      <c r="T542">
        <f t="shared" si="988"/>
        <v>1.6057929763928988E-2</v>
      </c>
    </row>
    <row r="543" spans="1:20" x14ac:dyDescent="0.25">
      <c r="A543" s="5">
        <v>44050</v>
      </c>
      <c r="B543">
        <v>1.603</v>
      </c>
      <c r="C543">
        <v>1.6379999999999999</v>
      </c>
      <c r="D543">
        <v>1.4390000000000001</v>
      </c>
      <c r="E543">
        <v>1.5269999999999999</v>
      </c>
      <c r="F543">
        <v>4303250.5599999996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-0.11557788944723693</v>
      </c>
      <c r="Q543">
        <f t="shared" si="985"/>
        <v>-497360.61748744035</v>
      </c>
      <c r="R543">
        <f t="shared" si="986"/>
        <v>-719781.18088779855</v>
      </c>
      <c r="S543">
        <f t="shared" si="987"/>
        <v>-7.1978118088779857</v>
      </c>
      <c r="T543">
        <f t="shared" si="988"/>
        <v>-7.1978118088779856E-3</v>
      </c>
    </row>
    <row r="544" spans="1:20" x14ac:dyDescent="0.25">
      <c r="A544" s="5">
        <v>44049</v>
      </c>
      <c r="B544">
        <v>1.5249999999999999</v>
      </c>
      <c r="C544">
        <v>1.657</v>
      </c>
      <c r="D544">
        <v>1.4970000000000001</v>
      </c>
      <c r="E544">
        <v>1.603</v>
      </c>
      <c r="F544">
        <v>5633729.2939999998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0.32499999999999907</v>
      </c>
      <c r="Q544">
        <f t="shared" si="985"/>
        <v>1830962.0205499947</v>
      </c>
      <c r="R544">
        <f t="shared" si="986"/>
        <v>-222420.56340035819</v>
      </c>
      <c r="S544">
        <f t="shared" si="987"/>
        <v>-2.2242056340035821</v>
      </c>
      <c r="T544">
        <f t="shared" si="988"/>
        <v>-2.2242056340035822E-3</v>
      </c>
    </row>
    <row r="545" spans="1:20" x14ac:dyDescent="0.25">
      <c r="A545" s="5">
        <v>44048</v>
      </c>
      <c r="B545">
        <v>1.482</v>
      </c>
      <c r="C545">
        <v>1.6060000000000001</v>
      </c>
      <c r="D545">
        <v>1.4810000000000001</v>
      </c>
      <c r="E545">
        <v>1.5269999999999999</v>
      </c>
      <c r="F545">
        <v>8695977.9989999998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-0.2640000000000029</v>
      </c>
      <c r="Q545">
        <f t="shared" si="985"/>
        <v>-2295738.1917360253</v>
      </c>
      <c r="R545">
        <f t="shared" si="986"/>
        <v>-2053382.5839503529</v>
      </c>
      <c r="S545">
        <f t="shared" si="987"/>
        <v>-20.533825839503528</v>
      </c>
      <c r="T545">
        <f t="shared" si="988"/>
        <v>-2.0533825839503528E-2</v>
      </c>
    </row>
    <row r="546" spans="1:20" x14ac:dyDescent="0.25">
      <c r="A546" s="5">
        <v>44047</v>
      </c>
      <c r="B546">
        <v>1.39</v>
      </c>
      <c r="C546">
        <v>1.5</v>
      </c>
      <c r="D546">
        <v>1.38</v>
      </c>
      <c r="E546">
        <v>1.482</v>
      </c>
      <c r="F546">
        <v>3651887.1540000001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0.7</v>
      </c>
      <c r="Q546">
        <f t="shared" si="985"/>
        <v>2556321.0077999998</v>
      </c>
      <c r="R546">
        <f t="shared" si="986"/>
        <v>242355.60778567242</v>
      </c>
      <c r="S546">
        <f t="shared" si="987"/>
        <v>2.4235560778567242</v>
      </c>
      <c r="T546">
        <f t="shared" si="988"/>
        <v>2.4235560778567244E-3</v>
      </c>
    </row>
    <row r="547" spans="1:20" x14ac:dyDescent="0.25">
      <c r="A547" s="5">
        <v>44046</v>
      </c>
      <c r="B547">
        <v>1.4139999999999999</v>
      </c>
      <c r="C547">
        <v>1.4410000000000001</v>
      </c>
      <c r="D547">
        <v>1.3740000000000001</v>
      </c>
      <c r="E547">
        <v>1.391</v>
      </c>
      <c r="F547">
        <v>3147962.01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-0.4925373134328383</v>
      </c>
      <c r="Q547">
        <f t="shared" si="985"/>
        <v>-1550488.7511940375</v>
      </c>
      <c r="R547">
        <f t="shared" si="986"/>
        <v>-2313965.4000143274</v>
      </c>
      <c r="S547">
        <f t="shared" si="987"/>
        <v>-23.139654000143274</v>
      </c>
      <c r="T547">
        <f t="shared" si="988"/>
        <v>-2.3139654000143273E-2</v>
      </c>
    </row>
    <row r="548" spans="1:20" x14ac:dyDescent="0.25">
      <c r="A548" s="5">
        <v>44045</v>
      </c>
      <c r="B548">
        <v>1.478</v>
      </c>
      <c r="C548">
        <v>1.506</v>
      </c>
      <c r="D548">
        <v>1.1839999999999999</v>
      </c>
      <c r="E548">
        <v>1.411</v>
      </c>
      <c r="F548">
        <v>5347612.1720000003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0.40993788819875804</v>
      </c>
      <c r="Q548">
        <f t="shared" si="985"/>
        <v>2192188.8406956536</v>
      </c>
      <c r="R548">
        <f t="shared" si="986"/>
        <v>-763476.64882028988</v>
      </c>
      <c r="S548">
        <f t="shared" si="987"/>
        <v>-7.6347664882028985</v>
      </c>
      <c r="T548">
        <f t="shared" si="988"/>
        <v>-7.6347664882028985E-3</v>
      </c>
    </row>
    <row r="549" spans="1:20" x14ac:dyDescent="0.25">
      <c r="A549" s="5">
        <v>44044</v>
      </c>
      <c r="B549">
        <v>1.4670000000000001</v>
      </c>
      <c r="C549">
        <v>1.538</v>
      </c>
      <c r="D549">
        <v>1.448</v>
      </c>
      <c r="E549">
        <v>1.48</v>
      </c>
      <c r="F549">
        <v>4721256.534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-0.28888888888888886</v>
      </c>
      <c r="Q549">
        <f t="shared" si="985"/>
        <v>-1363918.5542666665</v>
      </c>
      <c r="R549">
        <f t="shared" si="986"/>
        <v>-2955665.4895159435</v>
      </c>
      <c r="S549">
        <f t="shared" si="987"/>
        <v>-29.556654895159433</v>
      </c>
      <c r="T549">
        <f t="shared" si="988"/>
        <v>-2.9556654895159434E-2</v>
      </c>
    </row>
    <row r="550" spans="1:20" x14ac:dyDescent="0.25">
      <c r="A550" s="5">
        <v>44043</v>
      </c>
      <c r="B550">
        <v>1.444</v>
      </c>
      <c r="C550">
        <v>1.5049999999999999</v>
      </c>
      <c r="D550">
        <v>1.4319999999999999</v>
      </c>
      <c r="E550">
        <v>1.4670000000000001</v>
      </c>
      <c r="F550">
        <v>4698896.0180000002</v>
      </c>
      <c r="G550">
        <v>0</v>
      </c>
      <c r="L550" t="s">
        <v>8</v>
      </c>
      <c r="M550" t="s">
        <v>8</v>
      </c>
      <c r="N550" t="s">
        <v>7</v>
      </c>
      <c r="P550">
        <f t="shared" si="984"/>
        <v>-4.1095890410954405E-2</v>
      </c>
      <c r="Q550">
        <f t="shared" si="985"/>
        <v>-193105.31580819804</v>
      </c>
      <c r="R550">
        <f t="shared" si="986"/>
        <v>-1591746.9352492772</v>
      </c>
      <c r="S550">
        <f t="shared" si="987"/>
        <v>-15.917469352492772</v>
      </c>
      <c r="T550">
        <f t="shared" si="988"/>
        <v>-1.5917469352492771E-2</v>
      </c>
    </row>
    <row r="551" spans="1:20" x14ac:dyDescent="0.25">
      <c r="A551" s="5">
        <v>44042</v>
      </c>
      <c r="B551">
        <v>1.4179999999999999</v>
      </c>
      <c r="C551">
        <v>1.5109999999999999</v>
      </c>
      <c r="D551">
        <v>1.405</v>
      </c>
      <c r="E551">
        <v>1.4430000000000001</v>
      </c>
      <c r="F551">
        <v>4218514.3669999996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-0.2830188679245268</v>
      </c>
      <c r="Q551">
        <f t="shared" si="985"/>
        <v>-1193919.1604716917</v>
      </c>
      <c r="R551">
        <f t="shared" si="986"/>
        <v>-1398641.6194410792</v>
      </c>
      <c r="S551">
        <f t="shared" si="987"/>
        <v>-13.986416194410792</v>
      </c>
      <c r="T551">
        <f t="shared" si="988"/>
        <v>-1.3986416194410791E-2</v>
      </c>
    </row>
    <row r="552" spans="1:20" x14ac:dyDescent="0.25">
      <c r="A552" s="5">
        <v>44041</v>
      </c>
      <c r="B552">
        <v>1.4630000000000001</v>
      </c>
      <c r="C552">
        <v>1.504</v>
      </c>
      <c r="D552">
        <v>1.3879999999999999</v>
      </c>
      <c r="E552">
        <v>1.419</v>
      </c>
      <c r="F552">
        <v>2993005.895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-0.46551724137930844</v>
      </c>
      <c r="Q552">
        <f t="shared" si="985"/>
        <v>-1393295.8476724082</v>
      </c>
      <c r="R552">
        <f t="shared" si="986"/>
        <v>-204722.45896938746</v>
      </c>
      <c r="S552">
        <f t="shared" si="987"/>
        <v>-2.0472245896938746</v>
      </c>
      <c r="T552">
        <f t="shared" si="988"/>
        <v>-2.0472245896938747E-3</v>
      </c>
    </row>
    <row r="553" spans="1:20" x14ac:dyDescent="0.25">
      <c r="A553" s="5">
        <v>44040</v>
      </c>
      <c r="B553">
        <v>1.3740000000000001</v>
      </c>
      <c r="C553">
        <v>1.514</v>
      </c>
      <c r="D553">
        <v>1.3640000000000001</v>
      </c>
      <c r="E553">
        <v>1.4630000000000001</v>
      </c>
      <c r="F553">
        <v>3773179.8650000002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0.32000000000000045</v>
      </c>
      <c r="Q553">
        <f t="shared" si="985"/>
        <v>1207417.5568000018</v>
      </c>
      <c r="R553">
        <f t="shared" si="986"/>
        <v>1188573.3887030208</v>
      </c>
      <c r="S553">
        <f t="shared" si="987"/>
        <v>11.885733887030208</v>
      </c>
      <c r="T553">
        <f t="shared" si="988"/>
        <v>1.1885733887030207E-2</v>
      </c>
    </row>
    <row r="554" spans="1:20" x14ac:dyDescent="0.25">
      <c r="A554" s="5">
        <v>44039</v>
      </c>
      <c r="B554">
        <v>1.512</v>
      </c>
      <c r="C554">
        <v>1.536</v>
      </c>
      <c r="D554">
        <v>1.2569999999999999</v>
      </c>
      <c r="E554">
        <v>1.375</v>
      </c>
      <c r="F554">
        <v>6218739.1670000004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-0.1541218637992828</v>
      </c>
      <c r="Q554">
        <f t="shared" si="985"/>
        <v>-958443.67089963949</v>
      </c>
      <c r="R554">
        <f t="shared" si="986"/>
        <v>-18844.168096981128</v>
      </c>
      <c r="S554">
        <f t="shared" si="987"/>
        <v>-0.18844168096981129</v>
      </c>
      <c r="T554">
        <f t="shared" si="988"/>
        <v>-1.884416809698113E-4</v>
      </c>
    </row>
    <row r="555" spans="1:20" x14ac:dyDescent="0.25">
      <c r="A555" s="5">
        <v>44038</v>
      </c>
      <c r="B555">
        <v>1.5389999999999999</v>
      </c>
      <c r="C555">
        <v>1.593</v>
      </c>
      <c r="D555">
        <v>1.4379999999999999</v>
      </c>
      <c r="E555">
        <v>1.5109999999999999</v>
      </c>
      <c r="F555">
        <v>4055829.943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-5.8064516129033017E-2</v>
      </c>
      <c r="Q555">
        <f t="shared" si="985"/>
        <v>-235499.80314193855</v>
      </c>
      <c r="R555">
        <f t="shared" si="986"/>
        <v>939599.50280265836</v>
      </c>
      <c r="S555">
        <f t="shared" si="987"/>
        <v>9.3959950280265829</v>
      </c>
      <c r="T555">
        <f t="shared" si="988"/>
        <v>9.3959950280265835E-3</v>
      </c>
    </row>
    <row r="556" spans="1:20" x14ac:dyDescent="0.25">
      <c r="A556" s="5">
        <v>44037</v>
      </c>
      <c r="B556">
        <v>1.587</v>
      </c>
      <c r="C556">
        <v>1.65</v>
      </c>
      <c r="D556">
        <v>1.534</v>
      </c>
      <c r="E556">
        <v>1.5369999999999999</v>
      </c>
      <c r="F556">
        <v>3840870.5860000001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-0.9482758620689673</v>
      </c>
      <c r="Q556">
        <f t="shared" si="985"/>
        <v>-3642204.8660344896</v>
      </c>
      <c r="R556">
        <f t="shared" si="986"/>
        <v>1175099.3059445969</v>
      </c>
      <c r="S556">
        <f t="shared" si="987"/>
        <v>11.750993059445969</v>
      </c>
      <c r="T556">
        <f t="shared" si="988"/>
        <v>1.1750993059445968E-2</v>
      </c>
    </row>
    <row r="557" spans="1:20" x14ac:dyDescent="0.25">
      <c r="A557" s="5">
        <v>44036</v>
      </c>
      <c r="B557">
        <v>1.603</v>
      </c>
      <c r="C557">
        <v>1.629</v>
      </c>
      <c r="D557">
        <v>1.5369999999999999</v>
      </c>
      <c r="E557">
        <v>1.587</v>
      </c>
      <c r="F557">
        <v>2714283.8930000002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8.6956521739130432E-2</v>
      </c>
      <c r="Q557">
        <f t="shared" si="985"/>
        <v>236024.68634782609</v>
      </c>
      <c r="R557">
        <f t="shared" si="986"/>
        <v>4817304.1719790865</v>
      </c>
      <c r="S557">
        <f t="shared" si="987"/>
        <v>48.173041719790866</v>
      </c>
      <c r="T557">
        <f t="shared" si="988"/>
        <v>4.8173041719790866E-2</v>
      </c>
    </row>
    <row r="558" spans="1:20" x14ac:dyDescent="0.25">
      <c r="A558" s="5">
        <v>44035</v>
      </c>
      <c r="B558">
        <v>1.64</v>
      </c>
      <c r="C558">
        <v>1.667</v>
      </c>
      <c r="D558">
        <v>1.573</v>
      </c>
      <c r="E558">
        <v>1.6020000000000001</v>
      </c>
      <c r="F558">
        <v>2241416.3390000002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-0.38297872340425293</v>
      </c>
      <c r="Q558">
        <f t="shared" si="985"/>
        <v>-858414.76812765433</v>
      </c>
      <c r="R558">
        <f t="shared" si="986"/>
        <v>4581279.4856312601</v>
      </c>
      <c r="S558">
        <f t="shared" si="987"/>
        <v>45.8127948563126</v>
      </c>
      <c r="T558">
        <f t="shared" si="988"/>
        <v>4.5812794856312601E-2</v>
      </c>
    </row>
    <row r="559" spans="1:20" x14ac:dyDescent="0.25">
      <c r="A559" s="5">
        <v>44034</v>
      </c>
      <c r="B559">
        <v>1.6559999999999999</v>
      </c>
      <c r="C559">
        <v>1.6919999999999999</v>
      </c>
      <c r="D559">
        <v>1.62</v>
      </c>
      <c r="E559">
        <v>1.64</v>
      </c>
      <c r="F559">
        <v>2702225.156</v>
      </c>
      <c r="G559">
        <v>0</v>
      </c>
      <c r="L559" t="s">
        <v>7</v>
      </c>
      <c r="M559" t="s">
        <v>7</v>
      </c>
      <c r="N559" t="s">
        <v>7</v>
      </c>
      <c r="P559">
        <f t="shared" si="984"/>
        <v>-0.44444444444444892</v>
      </c>
      <c r="Q559">
        <f t="shared" si="985"/>
        <v>-1200988.9582222344</v>
      </c>
      <c r="R559">
        <f t="shared" si="986"/>
        <v>5439694.2537589148</v>
      </c>
      <c r="S559">
        <f t="shared" si="987"/>
        <v>54.396942537589148</v>
      </c>
      <c r="T559">
        <f t="shared" si="988"/>
        <v>5.439694253758915E-2</v>
      </c>
    </row>
    <row r="560" spans="1:20" x14ac:dyDescent="0.25">
      <c r="A560" s="5">
        <v>44033</v>
      </c>
      <c r="B560">
        <v>1.633</v>
      </c>
      <c r="C560">
        <v>1.706</v>
      </c>
      <c r="D560">
        <v>1.603</v>
      </c>
      <c r="E560">
        <v>1.6559999999999999</v>
      </c>
      <c r="F560">
        <v>2823066.7450000001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2.9126213592231963E-2</v>
      </c>
      <c r="Q560">
        <f t="shared" si="985"/>
        <v>82225.244999997041</v>
      </c>
      <c r="R560">
        <f t="shared" si="986"/>
        <v>6640683.2119811494</v>
      </c>
      <c r="S560">
        <f t="shared" si="987"/>
        <v>66.406832119811497</v>
      </c>
      <c r="T560">
        <f t="shared" si="988"/>
        <v>6.6406832119811493E-2</v>
      </c>
    </row>
    <row r="561" spans="1:104" x14ac:dyDescent="0.25">
      <c r="A561" s="5">
        <v>44032</v>
      </c>
      <c r="B561">
        <v>1.6919999999999999</v>
      </c>
      <c r="C561">
        <v>1.7849999999999999</v>
      </c>
      <c r="D561">
        <v>1.591</v>
      </c>
      <c r="E561">
        <v>1.635</v>
      </c>
      <c r="F561">
        <v>4063676.6230000001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-0.54639175257731909</v>
      </c>
      <c r="Q561">
        <f t="shared" si="985"/>
        <v>-2220359.3919484518</v>
      </c>
      <c r="R561">
        <f t="shared" si="986"/>
        <v>6558457.9669811521</v>
      </c>
      <c r="S561">
        <f t="shared" si="987"/>
        <v>65.584579669811518</v>
      </c>
      <c r="T561">
        <f t="shared" si="988"/>
        <v>6.5584579669811516E-2</v>
      </c>
      <c r="CZ561" t="s">
        <v>7</v>
      </c>
    </row>
    <row r="562" spans="1:104" x14ac:dyDescent="0.25">
      <c r="A562" s="5">
        <v>44031</v>
      </c>
      <c r="B562">
        <v>1.827</v>
      </c>
      <c r="C562">
        <v>1.8360000000000001</v>
      </c>
      <c r="D562">
        <v>1.6779999999999999</v>
      </c>
      <c r="E562">
        <v>1.6910000000000001</v>
      </c>
      <c r="F562">
        <v>4329923.9630000005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-0.83544303797468211</v>
      </c>
      <c r="Q562">
        <f t="shared" si="985"/>
        <v>-3617404.8298480953</v>
      </c>
      <c r="R562">
        <f t="shared" si="986"/>
        <v>8778817.3589296043</v>
      </c>
      <c r="S562">
        <f t="shared" si="987"/>
        <v>87.788173589296036</v>
      </c>
      <c r="T562">
        <f t="shared" si="988"/>
        <v>8.778817358929604E-2</v>
      </c>
      <c r="CZ562" t="s">
        <v>7</v>
      </c>
    </row>
    <row r="563" spans="1:104" x14ac:dyDescent="0.25">
      <c r="A563" s="5">
        <v>44030</v>
      </c>
      <c r="B563">
        <v>1.6359999999999999</v>
      </c>
      <c r="C563">
        <v>1.92</v>
      </c>
      <c r="D563">
        <v>1.635</v>
      </c>
      <c r="E563">
        <v>1.8260000000000001</v>
      </c>
      <c r="F563">
        <v>10925688.778999999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0.34035087719298324</v>
      </c>
      <c r="Q563">
        <f t="shared" si="985"/>
        <v>3718567.7598701837</v>
      </c>
      <c r="R563">
        <f t="shared" si="986"/>
        <v>12396222.1887777</v>
      </c>
      <c r="S563">
        <f t="shared" si="987"/>
        <v>123.96222188777701</v>
      </c>
      <c r="T563">
        <f t="shared" si="988"/>
        <v>0.123962221887777</v>
      </c>
      <c r="CZ563" t="s">
        <v>7</v>
      </c>
    </row>
    <row r="564" spans="1:104" x14ac:dyDescent="0.25">
      <c r="A564" s="5">
        <v>44029</v>
      </c>
      <c r="B564">
        <v>1.5720000000000001</v>
      </c>
      <c r="C564">
        <v>1.641</v>
      </c>
      <c r="D564">
        <v>1.5489999999999999</v>
      </c>
      <c r="E564">
        <v>1.637</v>
      </c>
      <c r="F564">
        <v>2996636.9190000002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0.91304347826086951</v>
      </c>
      <c r="Q564">
        <f t="shared" si="985"/>
        <v>2736059.7956086956</v>
      </c>
      <c r="R564">
        <f t="shared" si="986"/>
        <v>8677654.4289075173</v>
      </c>
      <c r="S564">
        <f t="shared" si="987"/>
        <v>86.776544289075176</v>
      </c>
      <c r="T564">
        <f t="shared" si="988"/>
        <v>8.6776544289075178E-2</v>
      </c>
    </row>
    <row r="565" spans="1:104" x14ac:dyDescent="0.25">
      <c r="A565" s="5">
        <v>44028</v>
      </c>
      <c r="B565">
        <v>1.5840000000000001</v>
      </c>
      <c r="C565">
        <v>1.631</v>
      </c>
      <c r="D565">
        <v>1.496</v>
      </c>
      <c r="E565">
        <v>1.573</v>
      </c>
      <c r="F565">
        <v>5356320.8870000001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0.14074074074074003</v>
      </c>
      <c r="Q565">
        <f t="shared" si="985"/>
        <v>753852.56928147771</v>
      </c>
      <c r="R565">
        <f t="shared" si="986"/>
        <v>5941594.6332988217</v>
      </c>
      <c r="S565">
        <f t="shared" si="987"/>
        <v>59.41594633298822</v>
      </c>
      <c r="T565">
        <f t="shared" si="988"/>
        <v>5.9415946332988218E-2</v>
      </c>
    </row>
    <row r="566" spans="1:104" x14ac:dyDescent="0.25">
      <c r="A566" s="5">
        <v>44027</v>
      </c>
      <c r="B566">
        <v>1.595</v>
      </c>
      <c r="C566">
        <v>1.677</v>
      </c>
      <c r="D566">
        <v>1.5660000000000001</v>
      </c>
      <c r="E566">
        <v>1.585</v>
      </c>
      <c r="F566">
        <v>4891781.3020000001</v>
      </c>
      <c r="G566">
        <v>0</v>
      </c>
      <c r="L566" t="s">
        <v>8</v>
      </c>
      <c r="M566" t="s">
        <v>7</v>
      </c>
      <c r="N566" t="s">
        <v>7</v>
      </c>
      <c r="P566">
        <f t="shared" si="984"/>
        <v>-0.65765765765765927</v>
      </c>
      <c r="Q566">
        <f t="shared" si="985"/>
        <v>-3217117.4328468549</v>
      </c>
      <c r="R566">
        <f t="shared" si="986"/>
        <v>5187742.0640173443</v>
      </c>
      <c r="S566">
        <f t="shared" si="987"/>
        <v>51.87742064017344</v>
      </c>
      <c r="T566">
        <f t="shared" si="988"/>
        <v>5.1877420640173443E-2</v>
      </c>
    </row>
    <row r="567" spans="1:104" x14ac:dyDescent="0.25">
      <c r="A567" s="5">
        <v>44026</v>
      </c>
      <c r="B567">
        <v>1.526</v>
      </c>
      <c r="C567">
        <v>1.6</v>
      </c>
      <c r="D567">
        <v>1.464</v>
      </c>
      <c r="E567">
        <v>1.6</v>
      </c>
      <c r="F567">
        <v>5303606.1179999998</v>
      </c>
      <c r="G567">
        <v>0</v>
      </c>
      <c r="L567" t="s">
        <v>8</v>
      </c>
      <c r="M567" t="s">
        <v>7</v>
      </c>
      <c r="N567" t="s">
        <v>7</v>
      </c>
      <c r="P567">
        <f t="shared" si="984"/>
        <v>1</v>
      </c>
      <c r="Q567">
        <f t="shared" si="985"/>
        <v>5303606.1179999998</v>
      </c>
      <c r="R567">
        <f t="shared" si="986"/>
        <v>8404859.4968641996</v>
      </c>
      <c r="S567">
        <f t="shared" si="987"/>
        <v>84.048594968641993</v>
      </c>
      <c r="T567">
        <f t="shared" si="988"/>
        <v>8.404859496864199E-2</v>
      </c>
    </row>
    <row r="568" spans="1:104" x14ac:dyDescent="0.25">
      <c r="A568" s="5">
        <v>44025</v>
      </c>
      <c r="B568">
        <v>1.611</v>
      </c>
      <c r="C568">
        <v>1.68</v>
      </c>
      <c r="D568">
        <v>1.4419999999999999</v>
      </c>
      <c r="E568">
        <v>1.524</v>
      </c>
      <c r="F568">
        <v>4866496.3609999996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-0.3109243697478985</v>
      </c>
      <c r="Q568">
        <f t="shared" si="985"/>
        <v>-1513112.3139243664</v>
      </c>
      <c r="R568">
        <f t="shared" si="986"/>
        <v>3101253.3788641999</v>
      </c>
      <c r="S568">
        <f t="shared" si="987"/>
        <v>31.012533788641999</v>
      </c>
      <c r="T568">
        <f t="shared" si="988"/>
        <v>3.1012533788642001E-2</v>
      </c>
    </row>
    <row r="569" spans="1:104" x14ac:dyDescent="0.25">
      <c r="A569" s="5">
        <v>44024</v>
      </c>
      <c r="B569">
        <v>1.643</v>
      </c>
      <c r="C569">
        <v>1.67</v>
      </c>
      <c r="D569">
        <v>1.583</v>
      </c>
      <c r="E569">
        <v>1.613</v>
      </c>
      <c r="F569">
        <v>2489102.73</v>
      </c>
      <c r="G569">
        <v>0</v>
      </c>
      <c r="L569" t="s">
        <v>7</v>
      </c>
      <c r="M569" t="s">
        <v>7</v>
      </c>
      <c r="N569" t="s">
        <v>8</v>
      </c>
      <c r="P569">
        <f t="shared" si="984"/>
        <v>-0.31034482758620602</v>
      </c>
      <c r="Q569">
        <f t="shared" si="985"/>
        <v>-772480.1575862047</v>
      </c>
      <c r="R569">
        <f t="shared" si="986"/>
        <v>4614365.6927885665</v>
      </c>
      <c r="S569">
        <f t="shared" si="987"/>
        <v>46.143656927885665</v>
      </c>
      <c r="T569">
        <f t="shared" si="988"/>
        <v>4.6143656927885662E-2</v>
      </c>
    </row>
    <row r="570" spans="1:104" x14ac:dyDescent="0.25">
      <c r="A570" s="5">
        <v>44023</v>
      </c>
      <c r="B570">
        <v>1.6160000000000001</v>
      </c>
      <c r="C570">
        <v>1.671</v>
      </c>
      <c r="D570">
        <v>1.58</v>
      </c>
      <c r="E570">
        <v>1.643</v>
      </c>
      <c r="F570">
        <v>3304348.6239999998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0.38461538461538386</v>
      </c>
      <c r="Q570">
        <f t="shared" si="985"/>
        <v>1270903.3169230744</v>
      </c>
      <c r="R570">
        <f t="shared" si="986"/>
        <v>5386845.8503747713</v>
      </c>
      <c r="S570">
        <f t="shared" si="987"/>
        <v>53.868458503747711</v>
      </c>
      <c r="T570">
        <f t="shared" si="988"/>
        <v>5.3868458503747711E-2</v>
      </c>
    </row>
    <row r="571" spans="1:104" x14ac:dyDescent="0.25">
      <c r="A571" s="5">
        <v>44022</v>
      </c>
      <c r="B571">
        <v>1.671</v>
      </c>
      <c r="C571">
        <v>1.6739999999999999</v>
      </c>
      <c r="D571">
        <v>1.575</v>
      </c>
      <c r="E571">
        <v>1.6180000000000001</v>
      </c>
      <c r="F571">
        <v>2811564.85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-0.13131313131312811</v>
      </c>
      <c r="Q571">
        <f t="shared" si="985"/>
        <v>-369195.38434342534</v>
      </c>
      <c r="R571">
        <f t="shared" si="986"/>
        <v>4115942.5334516964</v>
      </c>
      <c r="S571">
        <f t="shared" si="987"/>
        <v>41.159425334516961</v>
      </c>
      <c r="T571">
        <f t="shared" si="988"/>
        <v>4.1159425334516962E-2</v>
      </c>
    </row>
    <row r="572" spans="1:104" x14ac:dyDescent="0.25">
      <c r="A572" s="5">
        <v>44021</v>
      </c>
      <c r="B572">
        <v>1.5860000000000001</v>
      </c>
      <c r="C572">
        <v>1.738</v>
      </c>
      <c r="D572">
        <v>1.5669999999999999</v>
      </c>
      <c r="E572">
        <v>1.671</v>
      </c>
      <c r="F572">
        <v>6304510.5640000002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0.21637426900584875</v>
      </c>
      <c r="Q572">
        <f t="shared" si="985"/>
        <v>1364133.8647251513</v>
      </c>
      <c r="R572">
        <f t="shared" si="986"/>
        <v>4485137.9177951217</v>
      </c>
      <c r="S572">
        <f t="shared" si="987"/>
        <v>44.851379177951216</v>
      </c>
      <c r="T572">
        <f t="shared" si="988"/>
        <v>4.4851379177951213E-2</v>
      </c>
    </row>
    <row r="573" spans="1:104" x14ac:dyDescent="0.25">
      <c r="A573" s="5">
        <v>44020</v>
      </c>
      <c r="B573">
        <v>1.587</v>
      </c>
      <c r="C573">
        <v>1.6759999999999999</v>
      </c>
      <c r="D573">
        <v>1.5609999999999999</v>
      </c>
      <c r="E573">
        <v>1.5860000000000001</v>
      </c>
      <c r="F573">
        <v>5648970.6560000004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-0.56521739130434545</v>
      </c>
      <c r="Q573">
        <f t="shared" si="985"/>
        <v>-3192896.4577391171</v>
      </c>
      <c r="R573">
        <f t="shared" si="986"/>
        <v>3121004.0530699701</v>
      </c>
      <c r="S573">
        <f t="shared" si="987"/>
        <v>31.2100405306997</v>
      </c>
      <c r="T573">
        <f t="shared" si="988"/>
        <v>3.1210040530699701E-2</v>
      </c>
    </row>
    <row r="574" spans="1:104" x14ac:dyDescent="0.25">
      <c r="A574" s="5">
        <v>44019</v>
      </c>
      <c r="B574">
        <v>1.671</v>
      </c>
      <c r="C574">
        <v>1.7150000000000001</v>
      </c>
      <c r="D574">
        <v>1.56</v>
      </c>
      <c r="E574">
        <v>1.5840000000000001</v>
      </c>
      <c r="F574">
        <v>5095254.267</v>
      </c>
      <c r="G574">
        <v>0</v>
      </c>
      <c r="L574" t="s">
        <v>7</v>
      </c>
      <c r="M574" t="s">
        <v>7</v>
      </c>
      <c r="N574" t="s">
        <v>8</v>
      </c>
      <c r="P574">
        <f t="shared" si="984"/>
        <v>-0.69032258064516105</v>
      </c>
      <c r="Q574">
        <f t="shared" si="985"/>
        <v>-3517369.0746387085</v>
      </c>
      <c r="R574">
        <f t="shared" si="986"/>
        <v>6313900.5108090872</v>
      </c>
      <c r="S574">
        <f t="shared" si="987"/>
        <v>63.139005108090871</v>
      </c>
      <c r="T574">
        <f t="shared" si="988"/>
        <v>6.3139005108090868E-2</v>
      </c>
    </row>
    <row r="575" spans="1:104" x14ac:dyDescent="0.25">
      <c r="A575" s="5">
        <v>44018</v>
      </c>
      <c r="B575">
        <v>1.607</v>
      </c>
      <c r="C575">
        <v>1.7889999999999999</v>
      </c>
      <c r="D575">
        <v>1.571</v>
      </c>
      <c r="E575">
        <v>1.671</v>
      </c>
      <c r="F575">
        <v>6138744.4040000001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-8.2568807339448602E-2</v>
      </c>
      <c r="Q575">
        <f t="shared" si="985"/>
        <v>-506868.80399999424</v>
      </c>
      <c r="R575">
        <f t="shared" si="986"/>
        <v>9831269.5854477957</v>
      </c>
      <c r="S575">
        <f t="shared" si="987"/>
        <v>98.312695854477951</v>
      </c>
      <c r="T575">
        <f t="shared" si="988"/>
        <v>9.8312695854477952E-2</v>
      </c>
    </row>
    <row r="576" spans="1:104" x14ac:dyDescent="0.25">
      <c r="A576" s="5">
        <v>44017</v>
      </c>
      <c r="B576">
        <v>1.6559999999999999</v>
      </c>
      <c r="C576">
        <v>1.764</v>
      </c>
      <c r="D576">
        <v>1.552</v>
      </c>
      <c r="E576">
        <v>1.607</v>
      </c>
      <c r="F576">
        <v>5498531.3590000002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-0.48113207547169862</v>
      </c>
      <c r="Q576">
        <f t="shared" si="985"/>
        <v>-2645519.8048018897</v>
      </c>
      <c r="R576">
        <f t="shared" si="986"/>
        <v>10338138.38944779</v>
      </c>
      <c r="S576">
        <f t="shared" si="987"/>
        <v>103.38138389447789</v>
      </c>
      <c r="T576">
        <f t="shared" si="988"/>
        <v>0.10338138389447789</v>
      </c>
    </row>
    <row r="577" spans="1:20" x14ac:dyDescent="0.25">
      <c r="A577" s="5">
        <v>44016</v>
      </c>
      <c r="B577">
        <v>1.8560000000000001</v>
      </c>
      <c r="C577">
        <v>1.865</v>
      </c>
      <c r="D577">
        <v>1.59</v>
      </c>
      <c r="E577">
        <v>1.655</v>
      </c>
      <c r="F577">
        <v>9856830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-0.52727272727272756</v>
      </c>
      <c r="Q577">
        <f t="shared" si="985"/>
        <v>-5197237.6363636395</v>
      </c>
      <c r="R577">
        <f t="shared" si="986"/>
        <v>12983658.194249678</v>
      </c>
      <c r="S577">
        <f t="shared" si="987"/>
        <v>129.83658194249679</v>
      </c>
      <c r="T577">
        <f t="shared" si="988"/>
        <v>0.12983658194249678</v>
      </c>
    </row>
    <row r="578" spans="1:20" x14ac:dyDescent="0.25">
      <c r="A578" s="5">
        <v>44015</v>
      </c>
      <c r="B578">
        <v>1.532</v>
      </c>
      <c r="C578">
        <v>1.9850000000000001</v>
      </c>
      <c r="D578">
        <v>1.5169999999999999</v>
      </c>
      <c r="E578">
        <v>1.8580000000000001</v>
      </c>
      <c r="F578">
        <v>14156553.435000001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0.45726495726495747</v>
      </c>
      <c r="Q578">
        <f t="shared" si="985"/>
        <v>6473295.8014743626</v>
      </c>
      <c r="R578">
        <f t="shared" si="986"/>
        <v>18180895.830613319</v>
      </c>
      <c r="S578">
        <f t="shared" si="987"/>
        <v>181.80895830613318</v>
      </c>
      <c r="T578">
        <f t="shared" si="988"/>
        <v>0.18180895830613317</v>
      </c>
    </row>
    <row r="579" spans="1:20" x14ac:dyDescent="0.25">
      <c r="A579" s="5">
        <v>44014</v>
      </c>
      <c r="B579">
        <v>1.3360000000000001</v>
      </c>
      <c r="C579">
        <v>1.5569999999999999</v>
      </c>
      <c r="D579">
        <v>1.3340000000000001</v>
      </c>
      <c r="E579">
        <v>1.532</v>
      </c>
      <c r="F579">
        <v>8409678.5099999998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0.77578475336322938</v>
      </c>
      <c r="Q579">
        <f t="shared" si="985"/>
        <v>6524100.3687444003</v>
      </c>
      <c r="R579">
        <f t="shared" si="986"/>
        <v>11707600.029138956</v>
      </c>
      <c r="S579">
        <f t="shared" si="987"/>
        <v>117.07600029138956</v>
      </c>
      <c r="T579">
        <f t="shared" si="988"/>
        <v>0.11707600029138956</v>
      </c>
    </row>
    <row r="580" spans="1:20" x14ac:dyDescent="0.25">
      <c r="A580" s="5">
        <v>44013</v>
      </c>
      <c r="B580">
        <v>1.2070000000000001</v>
      </c>
      <c r="C580">
        <v>1.353</v>
      </c>
      <c r="D580">
        <v>1.1919999999999999</v>
      </c>
      <c r="E580">
        <v>1.339</v>
      </c>
      <c r="F580">
        <v>2539257.3360000001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0.82608695652173902</v>
      </c>
      <c r="Q580">
        <f t="shared" si="985"/>
        <v>2097647.3645217391</v>
      </c>
      <c r="R580">
        <f t="shared" si="986"/>
        <v>5183499.6603945568</v>
      </c>
      <c r="S580">
        <f t="shared" si="987"/>
        <v>51.834996603945569</v>
      </c>
      <c r="T580">
        <f t="shared" si="988"/>
        <v>5.1834996603945568E-2</v>
      </c>
    </row>
    <row r="581" spans="1:20" x14ac:dyDescent="0.25">
      <c r="A581" s="5">
        <v>44012</v>
      </c>
      <c r="B581">
        <v>1.173</v>
      </c>
      <c r="C581">
        <v>1.2390000000000001</v>
      </c>
      <c r="D581">
        <v>1.1599999999999999</v>
      </c>
      <c r="E581">
        <v>1.21</v>
      </c>
      <c r="F581">
        <v>1695962.085</v>
      </c>
      <c r="G581">
        <v>0</v>
      </c>
      <c r="L581" t="s">
        <v>8</v>
      </c>
      <c r="M581" t="s">
        <v>8</v>
      </c>
      <c r="N581" t="s">
        <v>8</v>
      </c>
      <c r="P581">
        <f t="shared" si="984"/>
        <v>0.26582278481012478</v>
      </c>
      <c r="Q581">
        <f t="shared" si="985"/>
        <v>450825.36436708557</v>
      </c>
      <c r="R581">
        <f t="shared" si="986"/>
        <v>3085852.2958728173</v>
      </c>
      <c r="S581">
        <f t="shared" si="987"/>
        <v>30.858522958728173</v>
      </c>
      <c r="T581">
        <f t="shared" si="988"/>
        <v>3.0858522958728173E-2</v>
      </c>
    </row>
    <row r="582" spans="1:20" x14ac:dyDescent="0.25">
      <c r="A582" s="5">
        <v>44011</v>
      </c>
      <c r="B582">
        <v>1.1000000000000001</v>
      </c>
      <c r="C582">
        <v>1.2010000000000001</v>
      </c>
      <c r="D582">
        <v>1.077</v>
      </c>
      <c r="E582">
        <v>1.173</v>
      </c>
      <c r="F582">
        <v>1878305.75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0.54838709677419351</v>
      </c>
      <c r="Q582">
        <f t="shared" ref="Q582:Q645" si="990">F582*P582</f>
        <v>1030038.6370967741</v>
      </c>
      <c r="R582">
        <f t="shared" ref="R582:R645" si="991">R583+Q582</f>
        <v>2635026.9315057318</v>
      </c>
      <c r="S582">
        <f t="shared" ref="S582:S645" si="992">R582/100000</f>
        <v>26.350269315057318</v>
      </c>
      <c r="T582">
        <f t="shared" ref="T582:T645" si="993">S582/1000</f>
        <v>2.635026931505732E-2</v>
      </c>
    </row>
    <row r="583" spans="1:20" x14ac:dyDescent="0.25">
      <c r="A583" s="5">
        <v>44010</v>
      </c>
      <c r="B583">
        <v>1.0649999999999999</v>
      </c>
      <c r="C583">
        <v>1.1319999999999999</v>
      </c>
      <c r="D583">
        <v>1.044</v>
      </c>
      <c r="E583">
        <v>1.097</v>
      </c>
      <c r="F583">
        <v>875041.45600000001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0.20454545454545506</v>
      </c>
      <c r="Q583">
        <f t="shared" si="990"/>
        <v>178985.7523636368</v>
      </c>
      <c r="R583">
        <f t="shared" si="991"/>
        <v>1604988.2944089577</v>
      </c>
      <c r="S583">
        <f t="shared" si="992"/>
        <v>16.049882944089578</v>
      </c>
      <c r="T583">
        <f t="shared" si="993"/>
        <v>1.6049882944089579E-2</v>
      </c>
    </row>
    <row r="584" spans="1:20" x14ac:dyDescent="0.25">
      <c r="A584" s="5">
        <v>44009</v>
      </c>
      <c r="B584">
        <v>1.1599999999999999</v>
      </c>
      <c r="C584">
        <v>1.177</v>
      </c>
      <c r="D584">
        <v>1.0009999999999999</v>
      </c>
      <c r="E584">
        <v>1.0649999999999999</v>
      </c>
      <c r="F584">
        <v>1101544.1000000001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-0.27272727272727271</v>
      </c>
      <c r="Q584">
        <f t="shared" si="990"/>
        <v>-300421.11818181816</v>
      </c>
      <c r="R584">
        <f t="shared" si="991"/>
        <v>1426002.5420453208</v>
      </c>
      <c r="S584">
        <f t="shared" si="992"/>
        <v>14.260025420453209</v>
      </c>
      <c r="T584">
        <f t="shared" si="993"/>
        <v>1.426002542045321E-2</v>
      </c>
    </row>
    <row r="585" spans="1:20" x14ac:dyDescent="0.25">
      <c r="A585" s="5">
        <v>44008</v>
      </c>
      <c r="B585">
        <v>1.1539999999999999</v>
      </c>
      <c r="C585">
        <v>1.2030000000000001</v>
      </c>
      <c r="D585">
        <v>1.1399999999999999</v>
      </c>
      <c r="E585">
        <v>1.1599999999999999</v>
      </c>
      <c r="F585">
        <v>1008213.656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-0.36507936507936622</v>
      </c>
      <c r="Q585">
        <f t="shared" si="990"/>
        <v>-368078.00139682653</v>
      </c>
      <c r="R585">
        <f t="shared" si="991"/>
        <v>1726423.660227139</v>
      </c>
      <c r="S585">
        <f t="shared" si="992"/>
        <v>17.264236602271389</v>
      </c>
      <c r="T585">
        <f t="shared" si="993"/>
        <v>1.7264236602271388E-2</v>
      </c>
    </row>
    <row r="586" spans="1:20" x14ac:dyDescent="0.25">
      <c r="A586" s="5">
        <v>44007</v>
      </c>
      <c r="B586">
        <v>1.1759999999999999</v>
      </c>
      <c r="C586">
        <v>1.18</v>
      </c>
      <c r="D586">
        <v>1.1000000000000001</v>
      </c>
      <c r="E586">
        <v>1.1539999999999999</v>
      </c>
      <c r="F586">
        <v>600907.28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0.3499999999999982</v>
      </c>
      <c r="Q586">
        <f t="shared" si="990"/>
        <v>210317.54799999893</v>
      </c>
      <c r="R586">
        <f t="shared" si="991"/>
        <v>2094501.6616239655</v>
      </c>
      <c r="S586">
        <f t="shared" si="992"/>
        <v>20.945016616239656</v>
      </c>
      <c r="T586">
        <f t="shared" si="993"/>
        <v>2.0945016616239657E-2</v>
      </c>
    </row>
    <row r="587" spans="1:20" x14ac:dyDescent="0.25">
      <c r="A587" s="5">
        <v>44006</v>
      </c>
      <c r="B587">
        <v>1.202</v>
      </c>
      <c r="C587">
        <v>1.2250000000000001</v>
      </c>
      <c r="D587">
        <v>1.1519999999999999</v>
      </c>
      <c r="E587">
        <v>1.1759999999999999</v>
      </c>
      <c r="F587">
        <v>932215.03899999999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-0.34246575342465851</v>
      </c>
      <c r="Q587">
        <f t="shared" si="990"/>
        <v>-319251.72568493243</v>
      </c>
      <c r="R587">
        <f t="shared" si="991"/>
        <v>1884184.1136239665</v>
      </c>
      <c r="S587">
        <f t="shared" si="992"/>
        <v>18.841841136239665</v>
      </c>
      <c r="T587">
        <f t="shared" si="993"/>
        <v>1.8841841136239667E-2</v>
      </c>
    </row>
    <row r="588" spans="1:20" x14ac:dyDescent="0.25">
      <c r="A588" s="5">
        <v>44005</v>
      </c>
      <c r="B588">
        <v>1.2430000000000001</v>
      </c>
      <c r="C588">
        <v>1.252</v>
      </c>
      <c r="D588">
        <v>1.1679999999999999</v>
      </c>
      <c r="E588">
        <v>1.2050000000000001</v>
      </c>
      <c r="F588">
        <v>872854.53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-0.1190476190476164</v>
      </c>
      <c r="Q588">
        <f t="shared" si="990"/>
        <v>-103911.25357142626</v>
      </c>
      <c r="R588">
        <f t="shared" si="991"/>
        <v>2203435.8393088989</v>
      </c>
      <c r="S588">
        <f t="shared" si="992"/>
        <v>22.03435839308899</v>
      </c>
      <c r="T588">
        <f t="shared" si="993"/>
        <v>2.2034358393088989E-2</v>
      </c>
    </row>
    <row r="589" spans="1:20" x14ac:dyDescent="0.25">
      <c r="A589" s="5">
        <v>44004</v>
      </c>
      <c r="B589">
        <v>1.228</v>
      </c>
      <c r="C589">
        <v>1.2769999999999999</v>
      </c>
      <c r="D589">
        <v>1.21</v>
      </c>
      <c r="E589">
        <v>1.246</v>
      </c>
      <c r="F589">
        <v>1255313.797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7.4626865671643575E-2</v>
      </c>
      <c r="Q589">
        <f t="shared" si="990"/>
        <v>93680.134104479846</v>
      </c>
      <c r="R589">
        <f t="shared" si="991"/>
        <v>2307347.0928803249</v>
      </c>
      <c r="S589">
        <f t="shared" si="992"/>
        <v>23.07347092880325</v>
      </c>
      <c r="T589">
        <f t="shared" si="993"/>
        <v>2.3073470928803248E-2</v>
      </c>
    </row>
    <row r="590" spans="1:20" x14ac:dyDescent="0.25">
      <c r="A590" s="5">
        <v>44003</v>
      </c>
      <c r="B590">
        <v>1.294</v>
      </c>
      <c r="C590">
        <v>1.3029999999999999</v>
      </c>
      <c r="D590">
        <v>1.2190000000000001</v>
      </c>
      <c r="E590">
        <v>1.228</v>
      </c>
      <c r="F590">
        <v>781877.45200000005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-0.78571428571428781</v>
      </c>
      <c r="Q590">
        <f t="shared" si="990"/>
        <v>-614332.28371428733</v>
      </c>
      <c r="R590">
        <f t="shared" si="991"/>
        <v>2213666.9587758449</v>
      </c>
      <c r="S590">
        <f t="shared" si="992"/>
        <v>22.136669587758448</v>
      </c>
      <c r="T590">
        <f t="shared" si="993"/>
        <v>2.2136669587758447E-2</v>
      </c>
    </row>
    <row r="591" spans="1:20" x14ac:dyDescent="0.25">
      <c r="A591" s="5">
        <v>44002</v>
      </c>
      <c r="B591">
        <v>1.1930000000000001</v>
      </c>
      <c r="C591">
        <v>1.3029999999999999</v>
      </c>
      <c r="D591">
        <v>1.19</v>
      </c>
      <c r="E591">
        <v>1.2889999999999999</v>
      </c>
      <c r="F591">
        <v>2114791.7110000001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0.7522123893805307</v>
      </c>
      <c r="Q591">
        <f t="shared" si="990"/>
        <v>1590772.5259734509</v>
      </c>
      <c r="R591">
        <f t="shared" si="991"/>
        <v>2827999.2424901323</v>
      </c>
      <c r="S591">
        <f t="shared" si="992"/>
        <v>28.279992424901323</v>
      </c>
      <c r="T591">
        <f t="shared" si="993"/>
        <v>2.8279992424901323E-2</v>
      </c>
    </row>
    <row r="592" spans="1:20" x14ac:dyDescent="0.25">
      <c r="A592" s="5">
        <v>44001</v>
      </c>
      <c r="B592">
        <v>1.151</v>
      </c>
      <c r="C592">
        <v>1.224</v>
      </c>
      <c r="D592">
        <v>1.1419999999999999</v>
      </c>
      <c r="E592">
        <v>1.1950000000000001</v>
      </c>
      <c r="F592">
        <v>950928.21299999999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0.292682926829271</v>
      </c>
      <c r="Q592">
        <f t="shared" si="990"/>
        <v>278320.45258536842</v>
      </c>
      <c r="R592">
        <f t="shared" si="991"/>
        <v>1237226.7165166815</v>
      </c>
      <c r="S592">
        <f t="shared" si="992"/>
        <v>12.372267165166814</v>
      </c>
      <c r="T592">
        <f t="shared" si="993"/>
        <v>1.2372267165166814E-2</v>
      </c>
    </row>
    <row r="593" spans="1:20" x14ac:dyDescent="0.25">
      <c r="A593" s="5">
        <v>44000</v>
      </c>
      <c r="B593">
        <v>1.1930000000000001</v>
      </c>
      <c r="C593">
        <v>1.1970000000000001</v>
      </c>
      <c r="D593">
        <v>1.1399999999999999</v>
      </c>
      <c r="E593">
        <v>1.151</v>
      </c>
      <c r="F593">
        <v>689936.99800000002</v>
      </c>
      <c r="G593">
        <v>0</v>
      </c>
      <c r="L593" t="s">
        <v>7</v>
      </c>
      <c r="M593" t="s">
        <v>7</v>
      </c>
      <c r="N593" t="s">
        <v>8</v>
      </c>
      <c r="P593">
        <f t="shared" si="989"/>
        <v>-0.61403508771929505</v>
      </c>
      <c r="Q593">
        <f t="shared" si="990"/>
        <v>-423645.52508771711</v>
      </c>
      <c r="R593">
        <f t="shared" si="991"/>
        <v>958906.26393131295</v>
      </c>
      <c r="S593">
        <f t="shared" si="992"/>
        <v>9.5890626393131289</v>
      </c>
      <c r="T593">
        <f t="shared" si="993"/>
        <v>9.5890626393131291E-3</v>
      </c>
    </row>
    <row r="594" spans="1:20" x14ac:dyDescent="0.25">
      <c r="A594" s="5">
        <v>43999</v>
      </c>
      <c r="B594">
        <v>1.2549999999999999</v>
      </c>
      <c r="C594">
        <v>1.256</v>
      </c>
      <c r="D594">
        <v>1.1619999999999999</v>
      </c>
      <c r="E594">
        <v>1.1950000000000001</v>
      </c>
      <c r="F594">
        <v>823200.94200000004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-0.29787234042552957</v>
      </c>
      <c r="Q594">
        <f t="shared" si="990"/>
        <v>-245208.79123404063</v>
      </c>
      <c r="R594">
        <f t="shared" si="991"/>
        <v>1382551.7890190301</v>
      </c>
      <c r="S594">
        <f t="shared" si="992"/>
        <v>13.8255178901903</v>
      </c>
      <c r="T594">
        <f t="shared" si="993"/>
        <v>1.3825517890190299E-2</v>
      </c>
    </row>
    <row r="595" spans="1:20" x14ac:dyDescent="0.25">
      <c r="A595" s="5">
        <v>43998</v>
      </c>
      <c r="B595">
        <v>1.165</v>
      </c>
      <c r="C595">
        <v>1.2669999999999999</v>
      </c>
      <c r="D595">
        <v>1.141</v>
      </c>
      <c r="E595">
        <v>1.256</v>
      </c>
      <c r="F595">
        <v>1534566.6710000001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0.82539682539682691</v>
      </c>
      <c r="Q595">
        <f t="shared" si="990"/>
        <v>1266626.458603177</v>
      </c>
      <c r="R595">
        <f t="shared" si="991"/>
        <v>1627760.5802530707</v>
      </c>
      <c r="S595">
        <f t="shared" si="992"/>
        <v>16.277605802530708</v>
      </c>
      <c r="T595">
        <f t="shared" si="993"/>
        <v>1.6277605802530709E-2</v>
      </c>
    </row>
    <row r="596" spans="1:20" x14ac:dyDescent="0.25">
      <c r="A596" s="5">
        <v>43997</v>
      </c>
      <c r="B596">
        <v>1.171</v>
      </c>
      <c r="C596">
        <v>1.218</v>
      </c>
      <c r="D596">
        <v>1.0509999999999999</v>
      </c>
      <c r="E596">
        <v>1.165</v>
      </c>
      <c r="F596">
        <v>1840790.5060000001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0.36526946107784519</v>
      </c>
      <c r="Q596">
        <f t="shared" si="990"/>
        <v>672384.55608383403</v>
      </c>
      <c r="R596">
        <f t="shared" si="991"/>
        <v>361134.12164989364</v>
      </c>
      <c r="S596">
        <f t="shared" si="992"/>
        <v>3.6113412164989365</v>
      </c>
      <c r="T596">
        <f t="shared" si="993"/>
        <v>3.6113412164989365E-3</v>
      </c>
    </row>
    <row r="597" spans="1:20" x14ac:dyDescent="0.25">
      <c r="A597" s="5">
        <v>43996</v>
      </c>
      <c r="B597">
        <v>1.204</v>
      </c>
      <c r="C597">
        <v>1.2490000000000001</v>
      </c>
      <c r="D597">
        <v>1.121</v>
      </c>
      <c r="E597">
        <v>1.171</v>
      </c>
      <c r="F597">
        <v>1539296.314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-0.21875</v>
      </c>
      <c r="Q597">
        <f t="shared" si="990"/>
        <v>-336721.06868750002</v>
      </c>
      <c r="R597">
        <f t="shared" si="991"/>
        <v>-311250.43443394039</v>
      </c>
      <c r="S597">
        <f t="shared" si="992"/>
        <v>-3.112504344339404</v>
      </c>
      <c r="T597">
        <f t="shared" si="993"/>
        <v>-3.1125043443394041E-3</v>
      </c>
    </row>
    <row r="598" spans="1:20" x14ac:dyDescent="0.25">
      <c r="A598" s="5">
        <v>43995</v>
      </c>
      <c r="B598">
        <v>1.282</v>
      </c>
      <c r="C598">
        <v>1.296</v>
      </c>
      <c r="D598">
        <v>1.171</v>
      </c>
      <c r="E598">
        <v>1.2030000000000001</v>
      </c>
      <c r="F598">
        <v>1439776.969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-0.48799999999999955</v>
      </c>
      <c r="Q598">
        <f t="shared" si="990"/>
        <v>-702611.16087199934</v>
      </c>
      <c r="R598">
        <f t="shared" si="991"/>
        <v>25470.634253559634</v>
      </c>
      <c r="S598">
        <f t="shared" si="992"/>
        <v>0.25470634253559632</v>
      </c>
      <c r="T598">
        <f t="shared" si="993"/>
        <v>2.5470634253559629E-4</v>
      </c>
    </row>
    <row r="599" spans="1:20" x14ac:dyDescent="0.25">
      <c r="A599" s="5">
        <v>43994</v>
      </c>
      <c r="B599">
        <v>1.1539999999999999</v>
      </c>
      <c r="C599">
        <v>1.345</v>
      </c>
      <c r="D599">
        <v>1.1220000000000001</v>
      </c>
      <c r="E599">
        <v>1.2789999999999999</v>
      </c>
      <c r="F599">
        <v>1784200.443</v>
      </c>
      <c r="G599">
        <v>0</v>
      </c>
      <c r="P599">
        <f t="shared" si="989"/>
        <v>0.40807174887892289</v>
      </c>
      <c r="Q599">
        <f t="shared" si="990"/>
        <v>728081.79512555897</v>
      </c>
      <c r="R599">
        <f t="shared" si="991"/>
        <v>728081.79512555897</v>
      </c>
      <c r="S599">
        <f t="shared" si="992"/>
        <v>7.2808179512555897</v>
      </c>
      <c r="T599">
        <f t="shared" si="993"/>
        <v>7.2808179512555901E-3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B561" sqref="KB56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$A$560</v>
      </c>
      <c r="D111" s="1" t="str">
        <f>ADDRESS(C121-1,D121,1,1)</f>
        <v>$KB$560</v>
      </c>
      <c r="E111"/>
    </row>
    <row r="112" spans="1:5" x14ac:dyDescent="0.25">
      <c r="A112" s="7">
        <v>12164.144957890772</v>
      </c>
      <c r="C112" s="1" t="str">
        <f>ADDRESS(C121,1,1,1)</f>
        <v>$A$561</v>
      </c>
      <c r="D112" s="1" t="str">
        <f>ADDRESS(C121,D121-1,1,1)</f>
        <v>$KA$561</v>
      </c>
      <c r="E112"/>
    </row>
    <row r="113" spans="1:5" x14ac:dyDescent="0.25">
      <c r="A113" s="7">
        <v>11925.63231165762</v>
      </c>
      <c r="C113" s="1" t="str">
        <f>ADDRESS(C121+1,1,1,1)</f>
        <v>$A$562</v>
      </c>
      <c r="D113" s="1" t="str">
        <f>ADDRESS(C121-1,D121+1,1,1)</f>
        <v>$KC$560</v>
      </c>
    </row>
    <row r="114" spans="1:5" x14ac:dyDescent="0.25">
      <c r="A114" s="7">
        <v>11691.796383978059</v>
      </c>
      <c r="C114" s="1" t="str">
        <f>ADDRESS(C121,D121,1,1)</f>
        <v>$KB$561</v>
      </c>
      <c r="D114" s="1" t="str">
        <f>ADDRESS(C121+1,D121+1,1,1)</f>
        <v>$KC$562</v>
      </c>
    </row>
    <row r="115" spans="1:5" x14ac:dyDescent="0.25">
      <c r="A115" s="7">
        <v>11462.545474488292</v>
      </c>
      <c r="C115" s="1" t="str">
        <f>ADDRESS(C121+1,D121,1,1)</f>
        <v>$KB$562</v>
      </c>
    </row>
    <row r="116" spans="1:5" x14ac:dyDescent="0.25">
      <c r="A116" s="7">
        <v>11237.789680870874</v>
      </c>
      <c r="C116" s="1">
        <f>C117-1</f>
        <v>560</v>
      </c>
    </row>
    <row r="117" spans="1:5" x14ac:dyDescent="0.25">
      <c r="A117" s="7">
        <v>11017.440863598895</v>
      </c>
      <c r="C117" s="1">
        <f>C121</f>
        <v>561</v>
      </c>
      <c r="D117" s="1">
        <f>D121</f>
        <v>288</v>
      </c>
    </row>
    <row r="118" spans="1:5" x14ac:dyDescent="0.25">
      <c r="A118" s="7">
        <v>10801.412611371465</v>
      </c>
      <c r="C118" s="1">
        <f>C117+1</f>
        <v>562</v>
      </c>
      <c r="D118" s="1">
        <f>D117+1</f>
        <v>289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561</v>
      </c>
      <c r="D121" s="19">
        <v>288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R561</v>
      </c>
      <c r="D123" s="1" t="str">
        <f>"C"&amp;D121</f>
        <v>C288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1.6734181143540252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175" x14ac:dyDescent="0.25">
      <c r="A513" s="7">
        <v>4.3292504462035977</v>
      </c>
      <c r="B513"/>
      <c r="C513"/>
      <c r="D513"/>
      <c r="E513"/>
      <c r="EW513" s="27" t="s">
        <v>8</v>
      </c>
    </row>
    <row r="514" spans="1:175" x14ac:dyDescent="0.25">
      <c r="A514" s="7">
        <v>4.2443631825525463</v>
      </c>
      <c r="B514"/>
      <c r="C514"/>
      <c r="D514"/>
      <c r="E514"/>
      <c r="EW514" s="27" t="s">
        <v>8</v>
      </c>
      <c r="EX514" s="27" t="s">
        <v>7</v>
      </c>
      <c r="FO514" s="27" t="s">
        <v>8</v>
      </c>
    </row>
    <row r="515" spans="1:175" x14ac:dyDescent="0.25">
      <c r="A515" s="7">
        <v>4.1611403750515157</v>
      </c>
      <c r="B515"/>
      <c r="C515"/>
      <c r="D515"/>
      <c r="E515"/>
      <c r="EW515" s="27" t="s">
        <v>8</v>
      </c>
      <c r="EX515" s="27" t="s">
        <v>7</v>
      </c>
      <c r="FO515" s="27" t="s">
        <v>8</v>
      </c>
      <c r="FP515" s="27" t="s">
        <v>7</v>
      </c>
    </row>
    <row r="516" spans="1:175" x14ac:dyDescent="0.25">
      <c r="A516" s="7">
        <v>4.0795493873054074</v>
      </c>
      <c r="B516"/>
      <c r="C516"/>
      <c r="D516"/>
      <c r="E516"/>
      <c r="EW516" s="27" t="s">
        <v>8</v>
      </c>
      <c r="EX516" s="27" t="s">
        <v>7</v>
      </c>
      <c r="FO516" s="27" t="s">
        <v>8</v>
      </c>
      <c r="FP516" s="27" t="s">
        <v>7</v>
      </c>
    </row>
    <row r="517" spans="1:175" x14ac:dyDescent="0.25">
      <c r="A517" s="7">
        <v>3.9995582228484383</v>
      </c>
      <c r="B517"/>
      <c r="C517"/>
      <c r="D517"/>
      <c r="E517"/>
      <c r="EW517" s="27" t="s">
        <v>8</v>
      </c>
      <c r="EX517" s="27" t="s">
        <v>7</v>
      </c>
      <c r="FO517" s="27" t="s">
        <v>8</v>
      </c>
      <c r="FP517" s="27" t="s">
        <v>7</v>
      </c>
    </row>
    <row r="518" spans="1:175" x14ac:dyDescent="0.25">
      <c r="A518" s="7">
        <v>3.9211355125965079</v>
      </c>
      <c r="B518"/>
      <c r="C518"/>
      <c r="D518"/>
      <c r="E518"/>
      <c r="EW518" s="27" t="s">
        <v>8</v>
      </c>
      <c r="EX518" s="27" t="s">
        <v>7</v>
      </c>
      <c r="FO518" s="27" t="s">
        <v>8</v>
      </c>
      <c r="FP518" s="27" t="s">
        <v>7</v>
      </c>
    </row>
    <row r="519" spans="1:175" x14ac:dyDescent="0.25">
      <c r="A519" s="7">
        <v>3.844250502545596</v>
      </c>
      <c r="B519"/>
      <c r="C519"/>
      <c r="D519"/>
      <c r="E519"/>
      <c r="EW519" s="27" t="s">
        <v>8</v>
      </c>
      <c r="EX519" s="27" t="s">
        <v>7</v>
      </c>
      <c r="FO519" s="27" t="s">
        <v>8</v>
      </c>
      <c r="FP519" s="27" t="s">
        <v>7</v>
      </c>
    </row>
    <row r="520" spans="1:175" x14ac:dyDescent="0.25">
      <c r="A520" s="7">
        <v>3.7688730417113687</v>
      </c>
      <c r="B520"/>
      <c r="C520"/>
      <c r="D520"/>
      <c r="E520"/>
      <c r="ES520" s="27" t="s">
        <v>8</v>
      </c>
      <c r="EW520" s="27" t="s">
        <v>8</v>
      </c>
      <c r="EX520" s="27" t="s">
        <v>7</v>
      </c>
      <c r="FO520" s="27" t="s">
        <v>8</v>
      </c>
      <c r="FP520" s="27" t="s">
        <v>7</v>
      </c>
    </row>
    <row r="521" spans="1:175" x14ac:dyDescent="0.25">
      <c r="A521" s="7">
        <v>3.6949735703052635</v>
      </c>
      <c r="B521"/>
      <c r="C521"/>
      <c r="D521"/>
      <c r="E521"/>
      <c r="ES521" s="27" t="s">
        <v>8</v>
      </c>
      <c r="ET521" s="27" t="s">
        <v>7</v>
      </c>
      <c r="EW521" s="27" t="s">
        <v>8</v>
      </c>
      <c r="EX521" s="27" t="s">
        <v>7</v>
      </c>
      <c r="FO521" s="27" t="s">
        <v>8</v>
      </c>
      <c r="FP521" s="27" t="s">
        <v>7</v>
      </c>
      <c r="FQ521" s="27" t="s">
        <v>8</v>
      </c>
    </row>
    <row r="522" spans="1:175" x14ac:dyDescent="0.25">
      <c r="A522" s="7">
        <v>3.6225231081424152</v>
      </c>
      <c r="B522"/>
      <c r="C522"/>
      <c r="D522"/>
      <c r="E522"/>
      <c r="ES522" s="27" t="s">
        <v>8</v>
      </c>
      <c r="ET522" s="27" t="s">
        <v>7</v>
      </c>
      <c r="EW522" s="27" t="s">
        <v>8</v>
      </c>
      <c r="EX522" s="27" t="s">
        <v>7</v>
      </c>
      <c r="EY522" s="27" t="s">
        <v>8</v>
      </c>
      <c r="FO522" s="27" t="s">
        <v>8</v>
      </c>
      <c r="FP522" s="27" t="s">
        <v>7</v>
      </c>
      <c r="FQ522" s="27" t="s">
        <v>8</v>
      </c>
      <c r="FR522" s="27" t="s">
        <v>7</v>
      </c>
    </row>
    <row r="523" spans="1:175" x14ac:dyDescent="0.25">
      <c r="A523" s="7">
        <v>3.5514932432768775</v>
      </c>
      <c r="B523"/>
      <c r="C523"/>
      <c r="D523"/>
      <c r="E523"/>
      <c r="ES523" s="27" t="s">
        <v>8</v>
      </c>
      <c r="ET523" s="27" t="s">
        <v>7</v>
      </c>
      <c r="EU523" s="27" t="s">
        <v>8</v>
      </c>
      <c r="EW523" s="27" t="s">
        <v>8</v>
      </c>
      <c r="EX523" s="27" t="s">
        <v>7</v>
      </c>
      <c r="EY523" s="27" t="s">
        <v>8</v>
      </c>
      <c r="EZ523" s="27" t="s">
        <v>7</v>
      </c>
      <c r="FA523" s="27" t="s">
        <v>8</v>
      </c>
      <c r="FO523" s="27" t="s">
        <v>8</v>
      </c>
      <c r="FP523" s="27" t="s">
        <v>7</v>
      </c>
      <c r="FQ523" s="27" t="s">
        <v>8</v>
      </c>
      <c r="FR523" s="27" t="s">
        <v>7</v>
      </c>
    </row>
    <row r="524" spans="1:175" x14ac:dyDescent="0.25">
      <c r="A524" s="7">
        <v>3.4818561208596837</v>
      </c>
      <c r="B524"/>
      <c r="C524"/>
      <c r="D524"/>
      <c r="E524"/>
      <c r="ES524" s="27" t="s">
        <v>8</v>
      </c>
      <c r="ET524" s="27" t="s">
        <v>7</v>
      </c>
      <c r="EU524" s="27" t="s">
        <v>8</v>
      </c>
      <c r="EV524" s="27" t="s">
        <v>7</v>
      </c>
      <c r="EW524" s="27" t="s">
        <v>8</v>
      </c>
      <c r="EX524" s="27" t="s">
        <v>7</v>
      </c>
      <c r="EY524" s="27" t="s">
        <v>8</v>
      </c>
      <c r="EZ524" s="27" t="s">
        <v>7</v>
      </c>
      <c r="FA524" s="27" t="s">
        <v>8</v>
      </c>
      <c r="FB524" s="27" t="s">
        <v>7</v>
      </c>
      <c r="FM524" s="27" t="s">
        <v>8</v>
      </c>
      <c r="FO524" s="27" t="s">
        <v>8</v>
      </c>
      <c r="FP524" s="27" t="s">
        <v>7</v>
      </c>
      <c r="FQ524" s="27" t="s">
        <v>8</v>
      </c>
      <c r="FR524" s="27" t="s">
        <v>7</v>
      </c>
    </row>
    <row r="525" spans="1:175" x14ac:dyDescent="0.25">
      <c r="A525" s="7">
        <v>3.4135844322153761</v>
      </c>
      <c r="B525"/>
      <c r="C525"/>
      <c r="D525"/>
      <c r="E525"/>
      <c r="ES525" s="27" t="s">
        <v>8</v>
      </c>
      <c r="ET525" s="27" t="s">
        <v>7</v>
      </c>
      <c r="EU525" s="27" t="s">
        <v>8</v>
      </c>
      <c r="EV525" s="27" t="s">
        <v>7</v>
      </c>
      <c r="EW525" s="27" t="s">
        <v>8</v>
      </c>
      <c r="EX525" s="27" t="s">
        <v>7</v>
      </c>
      <c r="EY525" s="27" t="s">
        <v>8</v>
      </c>
      <c r="EZ525" s="27" t="s">
        <v>7</v>
      </c>
      <c r="FA525" s="27" t="s">
        <v>8</v>
      </c>
      <c r="FB525" s="27" t="s">
        <v>7</v>
      </c>
      <c r="FE525" s="27" t="s">
        <v>8</v>
      </c>
      <c r="FM525" s="27" t="s">
        <v>8</v>
      </c>
      <c r="FN525" s="27" t="s">
        <v>7</v>
      </c>
      <c r="FO525" s="27" t="s">
        <v>8</v>
      </c>
      <c r="FP525" s="27" t="s">
        <v>7</v>
      </c>
      <c r="FQ525" s="27" t="s">
        <v>8</v>
      </c>
      <c r="FR525" s="27" t="s">
        <v>7</v>
      </c>
    </row>
    <row r="526" spans="1:175" x14ac:dyDescent="0.25">
      <c r="A526" s="7">
        <v>3.3466514041327216</v>
      </c>
      <c r="B526"/>
      <c r="C526"/>
      <c r="D526"/>
      <c r="E526"/>
      <c r="ES526" s="27" t="s">
        <v>8</v>
      </c>
      <c r="ET526" s="27" t="s">
        <v>7</v>
      </c>
      <c r="EU526" s="27" t="s">
        <v>8</v>
      </c>
      <c r="EV526" s="27" t="s">
        <v>7</v>
      </c>
      <c r="EW526" s="27" t="s">
        <v>8</v>
      </c>
      <c r="EX526" s="27" t="s">
        <v>7</v>
      </c>
      <c r="EY526" s="27" t="s">
        <v>8</v>
      </c>
      <c r="EZ526" s="27" t="s">
        <v>7</v>
      </c>
      <c r="FA526" s="27" t="s">
        <v>8</v>
      </c>
      <c r="FB526" s="27" t="s">
        <v>7</v>
      </c>
      <c r="FE526" s="27" t="s">
        <v>8</v>
      </c>
      <c r="FF526" s="27" t="s">
        <v>7</v>
      </c>
      <c r="FI526" s="27" t="s">
        <v>8</v>
      </c>
      <c r="FK526" s="27" t="s">
        <v>8</v>
      </c>
      <c r="FM526" s="27" t="s">
        <v>8</v>
      </c>
      <c r="FN526" s="27" t="s">
        <v>7</v>
      </c>
      <c r="FO526" s="27" t="s">
        <v>8</v>
      </c>
      <c r="FP526" s="27" t="s">
        <v>7</v>
      </c>
      <c r="FQ526" s="27" t="s">
        <v>8</v>
      </c>
      <c r="FR526" s="27" t="s">
        <v>7</v>
      </c>
    </row>
    <row r="527" spans="1:175" x14ac:dyDescent="0.25">
      <c r="A527" s="7">
        <v>3.2810307883654133</v>
      </c>
      <c r="B527"/>
      <c r="C527"/>
      <c r="D527"/>
      <c r="E527"/>
      <c r="EI527" s="27" t="s">
        <v>8</v>
      </c>
      <c r="ES527" s="27" t="s">
        <v>8</v>
      </c>
      <c r="ET527" s="27" t="s">
        <v>7</v>
      </c>
      <c r="EU527" s="27" t="s">
        <v>8</v>
      </c>
      <c r="EV527" s="27" t="s">
        <v>7</v>
      </c>
      <c r="EW527" s="27" t="s">
        <v>8</v>
      </c>
      <c r="EX527" s="27" t="s">
        <v>7</v>
      </c>
      <c r="EY527" s="27" t="s">
        <v>8</v>
      </c>
      <c r="EZ527" s="27" t="s">
        <v>7</v>
      </c>
      <c r="FB527" s="27" t="s">
        <v>7</v>
      </c>
      <c r="FE527" s="27" t="s">
        <v>8</v>
      </c>
      <c r="FF527" s="27" t="s">
        <v>7</v>
      </c>
      <c r="FG527" s="27" t="s">
        <v>8</v>
      </c>
      <c r="FI527" s="27" t="s">
        <v>8</v>
      </c>
      <c r="FJ527" s="27" t="s">
        <v>7</v>
      </c>
      <c r="FK527" s="27" t="s">
        <v>8</v>
      </c>
      <c r="FL527" s="27" t="s">
        <v>7</v>
      </c>
      <c r="FM527" s="27" t="s">
        <v>8</v>
      </c>
      <c r="FN527" s="27" t="s">
        <v>7</v>
      </c>
      <c r="FO527" s="27" t="s">
        <v>8</v>
      </c>
      <c r="FP527" s="27" t="s">
        <v>7</v>
      </c>
      <c r="FQ527" s="27" t="s">
        <v>8</v>
      </c>
      <c r="FR527" s="27" t="s">
        <v>7</v>
      </c>
    </row>
    <row r="528" spans="1:175" x14ac:dyDescent="0.25">
      <c r="A528" s="7">
        <v>3.2166968513386403</v>
      </c>
      <c r="B528"/>
      <c r="C528"/>
      <c r="D528"/>
      <c r="E528"/>
      <c r="EI528" s="27" t="s">
        <v>8</v>
      </c>
      <c r="EJ528" s="27" t="s">
        <v>7</v>
      </c>
      <c r="ES528" s="27" t="s">
        <v>8</v>
      </c>
      <c r="ET528" s="27" t="s">
        <v>7</v>
      </c>
      <c r="EU528" s="27" t="s">
        <v>8</v>
      </c>
      <c r="EV528" s="27" t="s">
        <v>7</v>
      </c>
      <c r="EW528" s="27" t="s">
        <v>8</v>
      </c>
      <c r="EX528" s="27" t="s">
        <v>7</v>
      </c>
      <c r="FB528" s="27" t="s">
        <v>7</v>
      </c>
      <c r="FE528" s="27" t="s">
        <v>8</v>
      </c>
      <c r="FF528" s="27" t="s">
        <v>7</v>
      </c>
      <c r="FG528" s="27" t="s">
        <v>8</v>
      </c>
      <c r="FH528" s="27" t="s">
        <v>7</v>
      </c>
      <c r="FI528" s="27" t="s">
        <v>8</v>
      </c>
      <c r="FJ528" s="27" t="s">
        <v>7</v>
      </c>
      <c r="FK528" s="27" t="s">
        <v>8</v>
      </c>
      <c r="FL528" s="27" t="s">
        <v>7</v>
      </c>
      <c r="FM528" s="27" t="s">
        <v>8</v>
      </c>
      <c r="FN528" s="27" t="s">
        <v>7</v>
      </c>
      <c r="FO528" s="27" t="s">
        <v>8</v>
      </c>
      <c r="FP528" s="27" t="s">
        <v>7</v>
      </c>
      <c r="FQ528" s="27" t="s">
        <v>8</v>
      </c>
      <c r="FR528" s="27" t="s">
        <v>7</v>
      </c>
      <c r="FS528" s="27" t="s">
        <v>8</v>
      </c>
    </row>
    <row r="529" spans="1:259" x14ac:dyDescent="0.25">
      <c r="A529" s="7">
        <v>3.1536243640574906</v>
      </c>
      <c r="B529"/>
      <c r="C529"/>
      <c r="D529"/>
      <c r="E529"/>
      <c r="EI529" s="27" t="s">
        <v>8</v>
      </c>
      <c r="EJ529" s="27" t="s">
        <v>7</v>
      </c>
      <c r="EK529" s="27" t="s">
        <v>8</v>
      </c>
      <c r="ES529" s="27" t="s">
        <v>8</v>
      </c>
      <c r="ET529" s="27" t="s">
        <v>7</v>
      </c>
      <c r="EV529" s="27" t="s">
        <v>7</v>
      </c>
      <c r="EW529" s="27" t="s">
        <v>8</v>
      </c>
      <c r="FB529" s="27" t="s">
        <v>7</v>
      </c>
      <c r="FE529" s="27" t="s">
        <v>8</v>
      </c>
      <c r="FF529" s="27" t="s">
        <v>7</v>
      </c>
      <c r="FG529" s="27" t="s">
        <v>8</v>
      </c>
      <c r="FH529" s="27" t="s">
        <v>7</v>
      </c>
      <c r="FI529" s="27" t="s">
        <v>8</v>
      </c>
      <c r="FJ529" s="27" t="s">
        <v>7</v>
      </c>
      <c r="FK529" s="27" t="s">
        <v>8</v>
      </c>
      <c r="FL529" s="27" t="s">
        <v>7</v>
      </c>
      <c r="FM529" s="27" t="s">
        <v>8</v>
      </c>
      <c r="FN529" s="27" t="s">
        <v>7</v>
      </c>
      <c r="FO529" s="27" t="s">
        <v>8</v>
      </c>
      <c r="FP529" s="27" t="s">
        <v>7</v>
      </c>
      <c r="FQ529" s="27" t="s">
        <v>8</v>
      </c>
      <c r="FR529" s="27" t="s">
        <v>7</v>
      </c>
      <c r="FS529" s="27" t="s">
        <v>8</v>
      </c>
      <c r="FT529" s="27" t="s">
        <v>7</v>
      </c>
    </row>
    <row r="530" spans="1:259" x14ac:dyDescent="0.25">
      <c r="A530" s="7">
        <v>3.0917885922132262</v>
      </c>
      <c r="B530"/>
      <c r="C530"/>
      <c r="D530"/>
      <c r="E530"/>
      <c r="EI530" s="27" t="s">
        <v>8</v>
      </c>
      <c r="EJ530" s="27" t="s">
        <v>7</v>
      </c>
      <c r="EK530" s="27" t="s">
        <v>8</v>
      </c>
      <c r="EL530" s="27" t="s">
        <v>7</v>
      </c>
      <c r="EM530" s="27" t="s">
        <v>8</v>
      </c>
      <c r="ES530" s="27" t="s">
        <v>8</v>
      </c>
      <c r="EV530" s="27" t="s">
        <v>7</v>
      </c>
      <c r="EW530" s="27" t="s">
        <v>8</v>
      </c>
      <c r="FB530" s="27" t="s">
        <v>7</v>
      </c>
      <c r="FC530" s="27" t="s">
        <v>8</v>
      </c>
      <c r="FE530" s="27" t="s">
        <v>8</v>
      </c>
      <c r="FF530" s="27" t="s">
        <v>7</v>
      </c>
      <c r="FG530" s="27" t="s">
        <v>8</v>
      </c>
      <c r="FH530" s="27" t="s">
        <v>7</v>
      </c>
      <c r="FI530" s="27" t="s">
        <v>8</v>
      </c>
      <c r="FJ530" s="27" t="s">
        <v>7</v>
      </c>
      <c r="FK530" s="27" t="s">
        <v>8</v>
      </c>
      <c r="FL530" s="27" t="s">
        <v>7</v>
      </c>
      <c r="FN530" s="27" t="s">
        <v>7</v>
      </c>
      <c r="FO530" s="27" t="s">
        <v>8</v>
      </c>
      <c r="FP530" s="27" t="s">
        <v>7</v>
      </c>
      <c r="FQ530" s="27" t="s">
        <v>8</v>
      </c>
      <c r="FR530" s="27" t="s">
        <v>7</v>
      </c>
      <c r="FS530" s="27" t="s">
        <v>8</v>
      </c>
      <c r="FT530" s="27" t="s">
        <v>7</v>
      </c>
    </row>
    <row r="531" spans="1:259" x14ac:dyDescent="0.25">
      <c r="A531" s="7">
        <v>3.0311652864835552</v>
      </c>
      <c r="B531"/>
      <c r="C531"/>
      <c r="D531"/>
      <c r="E531"/>
      <c r="EI531" s="27" t="s">
        <v>8</v>
      </c>
      <c r="EJ531" s="27" t="s">
        <v>7</v>
      </c>
      <c r="EK531" s="27" t="s">
        <v>8</v>
      </c>
      <c r="EL531" s="27" t="s">
        <v>7</v>
      </c>
      <c r="EM531" s="27" t="s">
        <v>8</v>
      </c>
      <c r="EN531" s="27" t="s">
        <v>7</v>
      </c>
      <c r="ES531" s="27" t="s">
        <v>8</v>
      </c>
      <c r="EV531" s="27" t="s">
        <v>7</v>
      </c>
      <c r="EW531" s="27" t="s">
        <v>8</v>
      </c>
      <c r="FB531" s="27" t="s">
        <v>7</v>
      </c>
      <c r="FC531" s="27" t="s">
        <v>8</v>
      </c>
      <c r="FD531" s="27" t="s">
        <v>7</v>
      </c>
      <c r="FE531" s="27" t="s">
        <v>8</v>
      </c>
      <c r="FF531" s="27" t="s">
        <v>7</v>
      </c>
      <c r="FG531" s="27" t="s">
        <v>8</v>
      </c>
      <c r="FH531" s="27" t="s">
        <v>7</v>
      </c>
      <c r="FI531" s="27" t="s">
        <v>8</v>
      </c>
      <c r="FJ531" s="27" t="s">
        <v>7</v>
      </c>
      <c r="FN531" s="27" t="s">
        <v>7</v>
      </c>
      <c r="FO531" s="27" t="s">
        <v>8</v>
      </c>
      <c r="FP531" s="27" t="s">
        <v>7</v>
      </c>
      <c r="FR531" s="27" t="s">
        <v>7</v>
      </c>
      <c r="FS531" s="27" t="s">
        <v>8</v>
      </c>
      <c r="FT531" s="27" t="s">
        <v>7</v>
      </c>
    </row>
    <row r="532" spans="1:259" x14ac:dyDescent="0.25">
      <c r="A532" s="7">
        <v>2.9717306730230932</v>
      </c>
      <c r="B532"/>
      <c r="C532"/>
      <c r="D532"/>
      <c r="E532"/>
      <c r="EI532" s="27" t="s">
        <v>8</v>
      </c>
      <c r="EJ532" s="27" t="s">
        <v>7</v>
      </c>
      <c r="EK532" s="27" t="s">
        <v>8</v>
      </c>
      <c r="EL532" s="27" t="s">
        <v>7</v>
      </c>
      <c r="EM532" s="27" t="s">
        <v>8</v>
      </c>
      <c r="EN532" s="27" t="s">
        <v>7</v>
      </c>
      <c r="ES532" s="27" t="s">
        <v>8</v>
      </c>
      <c r="EV532" s="27" t="s">
        <v>7</v>
      </c>
      <c r="EW532" s="27" t="s">
        <v>8</v>
      </c>
      <c r="FB532" s="27" t="s">
        <v>7</v>
      </c>
      <c r="FC532" s="27" t="s">
        <v>8</v>
      </c>
      <c r="FD532" s="27" t="s">
        <v>7</v>
      </c>
      <c r="FE532" s="27" t="s">
        <v>8</v>
      </c>
      <c r="FF532" s="27" t="s">
        <v>7</v>
      </c>
      <c r="FG532" s="27" t="s">
        <v>8</v>
      </c>
      <c r="FH532" s="27" t="s">
        <v>7</v>
      </c>
      <c r="FI532" s="27" t="s">
        <v>8</v>
      </c>
      <c r="FN532" s="27" t="s">
        <v>7</v>
      </c>
      <c r="FR532" s="27" t="s">
        <v>7</v>
      </c>
      <c r="FS532" s="27" t="s">
        <v>8</v>
      </c>
      <c r="FT532" s="27" t="s">
        <v>7</v>
      </c>
    </row>
    <row r="533" spans="1:259" x14ac:dyDescent="0.25">
      <c r="A533" s="7">
        <v>2.9134614441402875</v>
      </c>
      <c r="B533"/>
      <c r="C533"/>
      <c r="D533"/>
      <c r="E533"/>
      <c r="EI533" s="27" t="s">
        <v>8</v>
      </c>
      <c r="EJ533" s="27" t="s">
        <v>7</v>
      </c>
      <c r="EK533" s="27" t="s">
        <v>8</v>
      </c>
      <c r="EL533" s="27" t="s">
        <v>7</v>
      </c>
      <c r="EM533" s="27" t="s">
        <v>8</v>
      </c>
      <c r="EN533" s="27" t="s">
        <v>7</v>
      </c>
      <c r="ES533" s="27" t="s">
        <v>8</v>
      </c>
      <c r="EV533" s="27" t="s">
        <v>7</v>
      </c>
      <c r="FB533" s="27" t="s">
        <v>7</v>
      </c>
      <c r="FC533" s="27" t="s">
        <v>8</v>
      </c>
      <c r="FD533" s="27" t="s">
        <v>7</v>
      </c>
      <c r="FE533" s="27" t="s">
        <v>8</v>
      </c>
      <c r="FF533" s="27" t="s">
        <v>7</v>
      </c>
      <c r="FG533" s="27" t="s">
        <v>8</v>
      </c>
      <c r="FH533" s="27" t="s">
        <v>7</v>
      </c>
      <c r="FI533" s="27" t="s">
        <v>8</v>
      </c>
      <c r="FR533" s="27" t="s">
        <v>7</v>
      </c>
      <c r="FS533" s="27" t="s">
        <v>8</v>
      </c>
      <c r="FT533" s="27" t="s">
        <v>7</v>
      </c>
      <c r="FU533" s="27" t="s">
        <v>8</v>
      </c>
    </row>
    <row r="534" spans="1:259" x14ac:dyDescent="0.25">
      <c r="A534" s="7">
        <v>2.8563347491571447</v>
      </c>
      <c r="B534"/>
      <c r="C534"/>
      <c r="D534"/>
      <c r="E534"/>
      <c r="EI534" s="27" t="s">
        <v>8</v>
      </c>
      <c r="EJ534" s="27" t="s">
        <v>7</v>
      </c>
      <c r="EK534" s="27" t="s">
        <v>8</v>
      </c>
      <c r="EL534" s="27" t="s">
        <v>7</v>
      </c>
      <c r="EM534" s="27" t="s">
        <v>8</v>
      </c>
      <c r="EN534" s="27" t="s">
        <v>7</v>
      </c>
      <c r="EQ534" s="27" t="s">
        <v>8</v>
      </c>
      <c r="ES534" s="27" t="s">
        <v>8</v>
      </c>
      <c r="FB534" s="27" t="s">
        <v>7</v>
      </c>
      <c r="FC534" s="27" t="s">
        <v>8</v>
      </c>
      <c r="FD534" s="27" t="s">
        <v>7</v>
      </c>
      <c r="FE534" s="27" t="s">
        <v>8</v>
      </c>
      <c r="FF534" s="27" t="s">
        <v>7</v>
      </c>
      <c r="FG534" s="27" t="s">
        <v>8</v>
      </c>
      <c r="FH534" s="27" t="s">
        <v>7</v>
      </c>
      <c r="FR534" s="27" t="s">
        <v>7</v>
      </c>
      <c r="FS534" s="27" t="s">
        <v>8</v>
      </c>
      <c r="FT534" s="27" t="s">
        <v>7</v>
      </c>
      <c r="FU534" s="27" t="s">
        <v>8</v>
      </c>
      <c r="FV534" s="27" t="s">
        <v>7</v>
      </c>
    </row>
    <row r="535" spans="1:259" x14ac:dyDescent="0.25">
      <c r="A535" s="7">
        <v>2.8003281854481812</v>
      </c>
      <c r="B535"/>
      <c r="C535"/>
      <c r="D535"/>
      <c r="E535"/>
      <c r="EI535" s="27" t="s">
        <v>8</v>
      </c>
      <c r="EJ535" s="27" t="s">
        <v>7</v>
      </c>
      <c r="EK535" s="27" t="s">
        <v>8</v>
      </c>
      <c r="EL535" s="27" t="s">
        <v>7</v>
      </c>
      <c r="EM535" s="27" t="s">
        <v>8</v>
      </c>
      <c r="EN535" s="27" t="s">
        <v>7</v>
      </c>
      <c r="EQ535" s="27" t="s">
        <v>8</v>
      </c>
      <c r="ER535" s="27" t="s">
        <v>7</v>
      </c>
      <c r="ES535" s="27" t="s">
        <v>8</v>
      </c>
      <c r="FB535" s="27" t="s">
        <v>7</v>
      </c>
      <c r="FC535" s="27" t="s">
        <v>8</v>
      </c>
      <c r="FD535" s="27" t="s">
        <v>7</v>
      </c>
      <c r="FE535" s="27" t="s">
        <v>8</v>
      </c>
      <c r="FF535" s="27" t="s">
        <v>7</v>
      </c>
      <c r="FG535" s="27" t="s">
        <v>8</v>
      </c>
      <c r="FR535" s="27" t="s">
        <v>7</v>
      </c>
      <c r="FS535" s="27" t="s">
        <v>8</v>
      </c>
      <c r="FT535" s="27" t="s">
        <v>7</v>
      </c>
      <c r="FU535" s="27" t="s">
        <v>8</v>
      </c>
      <c r="FV535" s="27" t="s">
        <v>7</v>
      </c>
    </row>
    <row r="536" spans="1:259" x14ac:dyDescent="0.25">
      <c r="A536" s="7">
        <v>2.7454197896550796</v>
      </c>
      <c r="B536"/>
      <c r="C536"/>
      <c r="D536"/>
      <c r="E536"/>
      <c r="EI536" s="27" t="s">
        <v>8</v>
      </c>
      <c r="EJ536" s="27" t="s">
        <v>7</v>
      </c>
      <c r="EK536" s="27" t="s">
        <v>8</v>
      </c>
      <c r="EL536" s="27" t="s">
        <v>7</v>
      </c>
      <c r="EM536" s="27" t="s">
        <v>8</v>
      </c>
      <c r="EN536" s="27" t="s">
        <v>7</v>
      </c>
      <c r="EQ536" s="27" t="s">
        <v>8</v>
      </c>
      <c r="ER536" s="27" t="s">
        <v>7</v>
      </c>
      <c r="ES536" s="27" t="s">
        <v>8</v>
      </c>
      <c r="FB536" s="27" t="s">
        <v>7</v>
      </c>
      <c r="FC536" s="27" t="s">
        <v>8</v>
      </c>
      <c r="FD536" s="27" t="s">
        <v>7</v>
      </c>
      <c r="FE536" s="27" t="s">
        <v>8</v>
      </c>
      <c r="FF536" s="27" t="s">
        <v>7</v>
      </c>
      <c r="FG536" s="27" t="s">
        <v>8</v>
      </c>
      <c r="FR536" s="27" t="s">
        <v>7</v>
      </c>
      <c r="FT536" s="27" t="s">
        <v>7</v>
      </c>
      <c r="FU536" s="27" t="s">
        <v>8</v>
      </c>
      <c r="FV536" s="27" t="s">
        <v>7</v>
      </c>
    </row>
    <row r="537" spans="1:259" x14ac:dyDescent="0.25">
      <c r="A537" s="7">
        <v>2.6915880290736074</v>
      </c>
      <c r="B537"/>
      <c r="C537"/>
      <c r="D537"/>
      <c r="E537"/>
      <c r="EI537" s="27" t="s">
        <v>8</v>
      </c>
      <c r="EJ537" s="27" t="s">
        <v>7</v>
      </c>
      <c r="EL537" s="27" t="s">
        <v>7</v>
      </c>
      <c r="EM537" s="27" t="s">
        <v>8</v>
      </c>
      <c r="EN537" s="27" t="s">
        <v>7</v>
      </c>
      <c r="EQ537" s="27" t="s">
        <v>8</v>
      </c>
      <c r="ER537" s="27" t="s">
        <v>7</v>
      </c>
      <c r="ES537" s="27" t="s">
        <v>8</v>
      </c>
      <c r="FB537" s="27" t="s">
        <v>7</v>
      </c>
      <c r="FC537" s="27" t="s">
        <v>8</v>
      </c>
      <c r="FD537" s="27" t="s">
        <v>7</v>
      </c>
      <c r="FE537" s="27" t="s">
        <v>8</v>
      </c>
      <c r="FF537" s="27" t="s">
        <v>7</v>
      </c>
      <c r="FG537" s="27" t="s">
        <v>8</v>
      </c>
      <c r="FT537" s="27" t="s">
        <v>7</v>
      </c>
      <c r="FU537" s="27" t="s">
        <v>8</v>
      </c>
      <c r="FV537" s="27" t="s">
        <v>7</v>
      </c>
      <c r="GA537" s="27" t="s">
        <v>8</v>
      </c>
    </row>
    <row r="538" spans="1:259" x14ac:dyDescent="0.25">
      <c r="A538" s="7">
        <v>2.6388117932094191</v>
      </c>
      <c r="B538"/>
      <c r="C538"/>
      <c r="D538"/>
      <c r="E538"/>
      <c r="EI538" s="27" t="s">
        <v>8</v>
      </c>
      <c r="EL538" s="27" t="s">
        <v>7</v>
      </c>
      <c r="EM538" s="27" t="s">
        <v>8</v>
      </c>
      <c r="EN538" s="27" t="s">
        <v>7</v>
      </c>
      <c r="EO538" s="27" t="s">
        <v>8</v>
      </c>
      <c r="EQ538" s="27" t="s">
        <v>8</v>
      </c>
      <c r="ER538" s="27" t="s">
        <v>7</v>
      </c>
      <c r="ES538" s="27" t="s">
        <v>8</v>
      </c>
      <c r="FB538" s="27" t="s">
        <v>7</v>
      </c>
      <c r="FC538" s="27" t="s">
        <v>8</v>
      </c>
      <c r="FD538" s="27" t="s">
        <v>7</v>
      </c>
      <c r="FE538" s="27" t="s">
        <v>8</v>
      </c>
      <c r="FF538" s="27" t="s">
        <v>7</v>
      </c>
      <c r="FG538" s="27" t="s">
        <v>8</v>
      </c>
      <c r="FT538" s="27" t="s">
        <v>7</v>
      </c>
      <c r="FU538" s="27" t="s">
        <v>8</v>
      </c>
      <c r="FV538" s="27" t="s">
        <v>7</v>
      </c>
      <c r="GA538" s="27" t="s">
        <v>8</v>
      </c>
      <c r="GB538" s="27" t="s">
        <v>7</v>
      </c>
    </row>
    <row r="539" spans="1:259" x14ac:dyDescent="0.25">
      <c r="A539" s="7">
        <v>2.5870703854994304</v>
      </c>
      <c r="B539"/>
      <c r="C539"/>
      <c r="D539"/>
      <c r="E539"/>
      <c r="EI539" s="27" t="s">
        <v>8</v>
      </c>
      <c r="EL539" s="27" t="s">
        <v>7</v>
      </c>
      <c r="EN539" s="27" t="s">
        <v>7</v>
      </c>
      <c r="EO539" s="27" t="s">
        <v>8</v>
      </c>
      <c r="EP539" s="27" t="s">
        <v>7</v>
      </c>
      <c r="EQ539" s="27" t="s">
        <v>8</v>
      </c>
      <c r="ER539" s="27" t="s">
        <v>7</v>
      </c>
      <c r="FB539" s="27" t="s">
        <v>7</v>
      </c>
      <c r="FD539" s="27" t="s">
        <v>7</v>
      </c>
      <c r="FE539" s="27" t="s">
        <v>8</v>
      </c>
      <c r="FF539" s="27" t="s">
        <v>7</v>
      </c>
      <c r="FG539" s="27" t="s">
        <v>8</v>
      </c>
      <c r="FT539" s="27" t="s">
        <v>7</v>
      </c>
      <c r="FU539" s="27" t="s">
        <v>8</v>
      </c>
      <c r="FV539" s="27" t="s">
        <v>7</v>
      </c>
      <c r="GA539" s="27" t="s">
        <v>8</v>
      </c>
      <c r="GB539" s="27" t="s">
        <v>7</v>
      </c>
    </row>
    <row r="540" spans="1:259" x14ac:dyDescent="0.25">
      <c r="A540" s="7">
        <v>2.53634351519552</v>
      </c>
      <c r="B540"/>
      <c r="C540"/>
      <c r="D540"/>
      <c r="E540"/>
      <c r="EI540" s="27" t="s">
        <v>8</v>
      </c>
      <c r="EN540" s="27" t="s">
        <v>7</v>
      </c>
      <c r="EO540" s="27" t="s">
        <v>8</v>
      </c>
      <c r="EP540" s="27" t="s">
        <v>7</v>
      </c>
      <c r="EQ540" s="27" t="s">
        <v>8</v>
      </c>
      <c r="FD540" s="27" t="s">
        <v>7</v>
      </c>
      <c r="FE540" s="27" t="s">
        <v>8</v>
      </c>
      <c r="FF540" s="27" t="s">
        <v>7</v>
      </c>
      <c r="FG540" s="27" t="s">
        <v>8</v>
      </c>
      <c r="FT540" s="27" t="s">
        <v>7</v>
      </c>
      <c r="FU540" s="27" t="s">
        <v>8</v>
      </c>
      <c r="FV540" s="27" t="s">
        <v>7</v>
      </c>
      <c r="GA540" s="27" t="s">
        <v>8</v>
      </c>
      <c r="GB540" s="27" t="s">
        <v>7</v>
      </c>
    </row>
    <row r="541" spans="1:259" x14ac:dyDescent="0.25">
      <c r="A541" s="7">
        <v>2.4866112894073726</v>
      </c>
      <c r="B541"/>
      <c r="C541"/>
      <c r="D541"/>
      <c r="E541"/>
      <c r="DO541" s="27" t="s">
        <v>8</v>
      </c>
      <c r="EI541" s="27" t="s">
        <v>8</v>
      </c>
      <c r="EN541" s="27" t="s">
        <v>7</v>
      </c>
      <c r="EO541" s="27" t="s">
        <v>8</v>
      </c>
      <c r="EP541" s="27" t="s">
        <v>7</v>
      </c>
      <c r="EQ541" s="27" t="s">
        <v>8</v>
      </c>
      <c r="FD541" s="27" t="s">
        <v>7</v>
      </c>
      <c r="FF541" s="27" t="s">
        <v>7</v>
      </c>
      <c r="FG541" s="27" t="s">
        <v>8</v>
      </c>
      <c r="FT541" s="27" t="s">
        <v>7</v>
      </c>
      <c r="FU541" s="27" t="s">
        <v>8</v>
      </c>
      <c r="FV541" s="27" t="s">
        <v>7</v>
      </c>
      <c r="GA541" s="27" t="s">
        <v>8</v>
      </c>
      <c r="GB541" s="27" t="s">
        <v>7</v>
      </c>
    </row>
    <row r="542" spans="1:259" x14ac:dyDescent="0.25">
      <c r="A542" s="7">
        <v>2.4378542053013459</v>
      </c>
      <c r="B542"/>
      <c r="C542"/>
      <c r="D542"/>
      <c r="E542"/>
      <c r="DO542" s="27" t="s">
        <v>8</v>
      </c>
      <c r="DP542" s="27" t="s">
        <v>7</v>
      </c>
      <c r="EE542" s="27" t="s">
        <v>8</v>
      </c>
      <c r="EI542" s="27" t="s">
        <v>8</v>
      </c>
      <c r="EN542" s="27" t="s">
        <v>7</v>
      </c>
      <c r="EO542" s="27" t="s">
        <v>8</v>
      </c>
      <c r="EP542" s="27" t="s">
        <v>7</v>
      </c>
      <c r="FF542" s="27" t="s">
        <v>7</v>
      </c>
      <c r="FG542" s="27" t="s">
        <v>8</v>
      </c>
      <c r="FT542" s="27" t="s">
        <v>7</v>
      </c>
      <c r="FV542" s="27" t="s">
        <v>7</v>
      </c>
      <c r="GA542" s="27" t="s">
        <v>8</v>
      </c>
      <c r="GB542" s="27" t="s">
        <v>7</v>
      </c>
      <c r="GC542" s="27" t="s">
        <v>8</v>
      </c>
      <c r="IM542" s="27" t="s">
        <v>8</v>
      </c>
    </row>
    <row r="543" spans="1:259" x14ac:dyDescent="0.25">
      <c r="A543" s="7">
        <v>2.3900531424522997</v>
      </c>
      <c r="B543"/>
      <c r="C543"/>
      <c r="D543"/>
      <c r="E543"/>
      <c r="DO543" s="27" t="s">
        <v>8</v>
      </c>
      <c r="DP543" s="27" t="s">
        <v>7</v>
      </c>
      <c r="EE543" s="27" t="s">
        <v>8</v>
      </c>
      <c r="EF543" s="27" t="s">
        <v>7</v>
      </c>
      <c r="EI543" s="27" t="s">
        <v>8</v>
      </c>
      <c r="EN543" s="27" t="s">
        <v>7</v>
      </c>
      <c r="EO543" s="27" t="s">
        <v>8</v>
      </c>
      <c r="FF543" s="27" t="s">
        <v>7</v>
      </c>
      <c r="FG543" s="27" t="s">
        <v>8</v>
      </c>
      <c r="FV543" s="27" t="s">
        <v>7</v>
      </c>
      <c r="GA543" s="27" t="s">
        <v>8</v>
      </c>
      <c r="GB543" s="27" t="s">
        <v>7</v>
      </c>
      <c r="GC543" s="27" t="s">
        <v>8</v>
      </c>
      <c r="GD543" s="27" t="s">
        <v>7</v>
      </c>
      <c r="IM543" s="27" t="s">
        <v>8</v>
      </c>
      <c r="IN543" s="27" t="s">
        <v>7</v>
      </c>
    </row>
    <row r="544" spans="1:259" x14ac:dyDescent="0.25">
      <c r="A544" s="7">
        <v>2.343189355345392</v>
      </c>
      <c r="B544"/>
      <c r="C544"/>
      <c r="D544"/>
      <c r="E544"/>
      <c r="DM544" s="27" t="s">
        <v>8</v>
      </c>
      <c r="DO544" s="27" t="s">
        <v>8</v>
      </c>
      <c r="DP544" s="27" t="s">
        <v>7</v>
      </c>
      <c r="EC544" s="27" t="s">
        <v>8</v>
      </c>
      <c r="EE544" s="27" t="s">
        <v>8</v>
      </c>
      <c r="EF544" s="27" t="s">
        <v>7</v>
      </c>
      <c r="EI544" s="27" t="s">
        <v>8</v>
      </c>
      <c r="EN544" s="27" t="s">
        <v>7</v>
      </c>
      <c r="EO544" s="27" t="s">
        <v>8</v>
      </c>
      <c r="FF544" s="27" t="s">
        <v>7</v>
      </c>
      <c r="FG544" s="27" t="s">
        <v>8</v>
      </c>
      <c r="FV544" s="27" t="s">
        <v>7</v>
      </c>
      <c r="GA544" s="27" t="s">
        <v>8</v>
      </c>
      <c r="GB544" s="27" t="s">
        <v>7</v>
      </c>
      <c r="GC544" s="27" t="s">
        <v>8</v>
      </c>
      <c r="GD544" s="27" t="s">
        <v>7</v>
      </c>
      <c r="HQ544" s="27" t="s">
        <v>8</v>
      </c>
      <c r="IM544" s="27" t="s">
        <v>8</v>
      </c>
      <c r="IN544" s="27" t="s">
        <v>7</v>
      </c>
      <c r="IY544" s="27" t="s">
        <v>8</v>
      </c>
    </row>
    <row r="545" spans="1:288" x14ac:dyDescent="0.25">
      <c r="A545" s="7">
        <v>2.2972444660248938</v>
      </c>
      <c r="B545"/>
      <c r="C545"/>
      <c r="D545"/>
      <c r="E545"/>
      <c r="DM545" s="27" t="s">
        <v>8</v>
      </c>
      <c r="DN545" s="27" t="s">
        <v>7</v>
      </c>
      <c r="DO545" s="27" t="s">
        <v>8</v>
      </c>
      <c r="DP545" s="27" t="s">
        <v>7</v>
      </c>
      <c r="EA545" s="27" t="s">
        <v>8</v>
      </c>
      <c r="EC545" s="27" t="s">
        <v>8</v>
      </c>
      <c r="ED545" s="27" t="s">
        <v>7</v>
      </c>
      <c r="EE545" s="27" t="s">
        <v>8</v>
      </c>
      <c r="EF545" s="27" t="s">
        <v>7</v>
      </c>
      <c r="EG545" s="27" t="s">
        <v>8</v>
      </c>
      <c r="EI545" s="27" t="s">
        <v>8</v>
      </c>
      <c r="EN545" s="27" t="s">
        <v>7</v>
      </c>
      <c r="EO545" s="27" t="s">
        <v>8</v>
      </c>
      <c r="FF545" s="27" t="s">
        <v>7</v>
      </c>
      <c r="FG545" s="27" t="s">
        <v>8</v>
      </c>
      <c r="FV545" s="27" t="s">
        <v>7</v>
      </c>
      <c r="GA545" s="27" t="s">
        <v>8</v>
      </c>
      <c r="GB545" s="27" t="s">
        <v>7</v>
      </c>
      <c r="GC545" s="27" t="s">
        <v>8</v>
      </c>
      <c r="GD545" s="27" t="s">
        <v>7</v>
      </c>
      <c r="HM545" s="27" t="s">
        <v>8</v>
      </c>
      <c r="HQ545" s="27" t="s">
        <v>8</v>
      </c>
      <c r="HR545" s="27" t="s">
        <v>7</v>
      </c>
      <c r="IM545" s="27" t="s">
        <v>8</v>
      </c>
      <c r="IN545" s="27" t="s">
        <v>7</v>
      </c>
      <c r="IY545" s="27" t="s">
        <v>8</v>
      </c>
      <c r="IZ545" s="27" t="s">
        <v>7</v>
      </c>
    </row>
    <row r="546" spans="1:288" x14ac:dyDescent="0.25">
      <c r="A546" s="7">
        <v>2.252200456887151</v>
      </c>
      <c r="B546"/>
      <c r="C546"/>
      <c r="D546"/>
      <c r="E546"/>
      <c r="DM546" s="27" t="s">
        <v>8</v>
      </c>
      <c r="DN546" s="27" t="s">
        <v>7</v>
      </c>
      <c r="DO546" s="27" t="s">
        <v>8</v>
      </c>
      <c r="DP546" s="27" t="s">
        <v>7</v>
      </c>
      <c r="DS546" s="27" t="s">
        <v>8</v>
      </c>
      <c r="EA546" s="27" t="s">
        <v>8</v>
      </c>
      <c r="EB546" s="27" t="s">
        <v>7</v>
      </c>
      <c r="EC546" s="27" t="s">
        <v>8</v>
      </c>
      <c r="ED546" s="27" t="s">
        <v>7</v>
      </c>
      <c r="EE546" s="27" t="s">
        <v>8</v>
      </c>
      <c r="EF546" s="27" t="s">
        <v>7</v>
      </c>
      <c r="EG546" s="27" t="s">
        <v>8</v>
      </c>
      <c r="EH546" s="27" t="s">
        <v>7</v>
      </c>
      <c r="EI546" s="27" t="s">
        <v>8</v>
      </c>
      <c r="EN546" s="27" t="s">
        <v>7</v>
      </c>
      <c r="EO546" s="27" t="s">
        <v>8</v>
      </c>
      <c r="FF546" s="27" t="s">
        <v>7</v>
      </c>
      <c r="FV546" s="27" t="s">
        <v>7</v>
      </c>
      <c r="FW546" s="27" t="s">
        <v>8</v>
      </c>
      <c r="GA546" s="27" t="s">
        <v>8</v>
      </c>
      <c r="GB546" s="27" t="s">
        <v>7</v>
      </c>
      <c r="GC546" s="27" t="s">
        <v>8</v>
      </c>
      <c r="GD546" s="27" t="s">
        <v>7</v>
      </c>
      <c r="HM546" s="27" t="s">
        <v>8</v>
      </c>
      <c r="HN546" s="27" t="s">
        <v>7</v>
      </c>
      <c r="HQ546" s="27" t="s">
        <v>8</v>
      </c>
      <c r="HR546" s="27" t="s">
        <v>7</v>
      </c>
      <c r="IM546" s="27" t="s">
        <v>8</v>
      </c>
      <c r="IN546" s="27" t="s">
        <v>7</v>
      </c>
      <c r="IO546" s="27" t="s">
        <v>8</v>
      </c>
      <c r="IY546" s="27" t="s">
        <v>8</v>
      </c>
      <c r="IZ546" s="27" t="s">
        <v>7</v>
      </c>
    </row>
    <row r="547" spans="1:288" x14ac:dyDescent="0.25">
      <c r="A547" s="7">
        <v>2.208039663614854</v>
      </c>
      <c r="B547"/>
      <c r="C547"/>
      <c r="D547"/>
      <c r="E547"/>
      <c r="DM547" s="27" t="s">
        <v>8</v>
      </c>
      <c r="DN547" s="27" t="s">
        <v>7</v>
      </c>
      <c r="DO547" s="27" t="s">
        <v>8</v>
      </c>
      <c r="DP547" s="27" t="s">
        <v>7</v>
      </c>
      <c r="DS547" s="27" t="s">
        <v>8</v>
      </c>
      <c r="DT547" s="27" t="s">
        <v>7</v>
      </c>
      <c r="DU547" s="27" t="s">
        <v>8</v>
      </c>
      <c r="EA547" s="27" t="s">
        <v>8</v>
      </c>
      <c r="EB547" s="27" t="s">
        <v>7</v>
      </c>
      <c r="EC547" s="27" t="s">
        <v>8</v>
      </c>
      <c r="ED547" s="27" t="s">
        <v>7</v>
      </c>
      <c r="EE547" s="27" t="s">
        <v>8</v>
      </c>
      <c r="EF547" s="27" t="s">
        <v>7</v>
      </c>
      <c r="EG547" s="27" t="s">
        <v>8</v>
      </c>
      <c r="EH547" s="27" t="s">
        <v>7</v>
      </c>
      <c r="EI547" s="27" t="s">
        <v>8</v>
      </c>
      <c r="EN547" s="27" t="s">
        <v>7</v>
      </c>
      <c r="EO547" s="27" t="s">
        <v>8</v>
      </c>
      <c r="FV547" s="27" t="s">
        <v>7</v>
      </c>
      <c r="FW547" s="27" t="s">
        <v>8</v>
      </c>
      <c r="FX547" s="27" t="s">
        <v>7</v>
      </c>
      <c r="GA547" s="27" t="s">
        <v>8</v>
      </c>
      <c r="GB547" s="27" t="s">
        <v>7</v>
      </c>
      <c r="GC547" s="27" t="s">
        <v>8</v>
      </c>
      <c r="GD547" s="27" t="s">
        <v>7</v>
      </c>
      <c r="HM547" s="27" t="s">
        <v>8</v>
      </c>
      <c r="HN547" s="27" t="s">
        <v>7</v>
      </c>
      <c r="HQ547" s="27" t="s">
        <v>8</v>
      </c>
      <c r="HR547" s="27" t="s">
        <v>7</v>
      </c>
      <c r="IM547" s="27" t="s">
        <v>8</v>
      </c>
      <c r="IN547" s="27" t="s">
        <v>7</v>
      </c>
      <c r="IO547" s="27" t="s">
        <v>8</v>
      </c>
      <c r="IP547" s="27" t="s">
        <v>7</v>
      </c>
      <c r="IY547" s="27" t="s">
        <v>8</v>
      </c>
      <c r="IZ547" s="27" t="s">
        <v>7</v>
      </c>
    </row>
    <row r="548" spans="1:288" x14ac:dyDescent="0.25">
      <c r="A548" s="7">
        <v>2.1647447682498568</v>
      </c>
      <c r="B548"/>
      <c r="C548"/>
      <c r="D548"/>
      <c r="E548"/>
      <c r="DM548" s="27" t="s">
        <v>8</v>
      </c>
      <c r="DN548" s="27" t="s">
        <v>7</v>
      </c>
      <c r="DO548" s="27" t="s">
        <v>8</v>
      </c>
      <c r="DP548" s="27" t="s">
        <v>7</v>
      </c>
      <c r="DQ548" s="27" t="s">
        <v>8</v>
      </c>
      <c r="DS548" s="27" t="s">
        <v>8</v>
      </c>
      <c r="DT548" s="27" t="s">
        <v>7</v>
      </c>
      <c r="DU548" s="27" t="s">
        <v>8</v>
      </c>
      <c r="DV548" s="27" t="s">
        <v>7</v>
      </c>
      <c r="EA548" s="27" t="s">
        <v>8</v>
      </c>
      <c r="EB548" s="27" t="s">
        <v>7</v>
      </c>
      <c r="EC548" s="27" t="s">
        <v>8</v>
      </c>
      <c r="ED548" s="27" t="s">
        <v>7</v>
      </c>
      <c r="EE548" s="27" t="s">
        <v>8</v>
      </c>
      <c r="EF548" s="27" t="s">
        <v>7</v>
      </c>
      <c r="EG548" s="27" t="s">
        <v>8</v>
      </c>
      <c r="EH548" s="27" t="s">
        <v>7</v>
      </c>
      <c r="EI548" s="27" t="s">
        <v>8</v>
      </c>
      <c r="EN548" s="27" t="s">
        <v>7</v>
      </c>
      <c r="FV548" s="27" t="s">
        <v>7</v>
      </c>
      <c r="FW548" s="27" t="s">
        <v>8</v>
      </c>
      <c r="FX548" s="27" t="s">
        <v>7</v>
      </c>
      <c r="GA548" s="27" t="s">
        <v>8</v>
      </c>
      <c r="GB548" s="27" t="s">
        <v>7</v>
      </c>
      <c r="GC548" s="27" t="s">
        <v>8</v>
      </c>
      <c r="GD548" s="27" t="s">
        <v>7</v>
      </c>
      <c r="HM548" s="27" t="s">
        <v>8</v>
      </c>
      <c r="HN548" s="27" t="s">
        <v>7</v>
      </c>
      <c r="HQ548" s="27" t="s">
        <v>8</v>
      </c>
      <c r="HR548" s="27" t="s">
        <v>7</v>
      </c>
      <c r="IM548" s="27" t="s">
        <v>8</v>
      </c>
      <c r="IN548" s="27" t="s">
        <v>7</v>
      </c>
      <c r="IO548" s="27" t="s">
        <v>8</v>
      </c>
      <c r="IP548" s="27" t="s">
        <v>7</v>
      </c>
      <c r="IY548" s="27" t="s">
        <v>8</v>
      </c>
      <c r="IZ548" s="27" t="s">
        <v>7</v>
      </c>
    </row>
    <row r="549" spans="1:288" x14ac:dyDescent="0.25">
      <c r="A549" s="7">
        <v>2.1222987924018204</v>
      </c>
      <c r="B549"/>
      <c r="C549"/>
      <c r="D549"/>
      <c r="E549"/>
      <c r="DM549" s="27" t="s">
        <v>8</v>
      </c>
      <c r="DN549" s="27" t="s">
        <v>7</v>
      </c>
      <c r="DO549" s="27" t="s">
        <v>8</v>
      </c>
      <c r="DP549" s="27" t="s">
        <v>7</v>
      </c>
      <c r="DQ549" s="27" t="s">
        <v>8</v>
      </c>
      <c r="DR549" s="27" t="s">
        <v>7</v>
      </c>
      <c r="DS549" s="27" t="s">
        <v>8</v>
      </c>
      <c r="DT549" s="27" t="s">
        <v>7</v>
      </c>
      <c r="DU549" s="27" t="s">
        <v>8</v>
      </c>
      <c r="DV549" s="27" t="s">
        <v>7</v>
      </c>
      <c r="EA549" s="27" t="s">
        <v>8</v>
      </c>
      <c r="EB549" s="27" t="s">
        <v>7</v>
      </c>
      <c r="EC549" s="27" t="s">
        <v>8</v>
      </c>
      <c r="ED549" s="27" t="s">
        <v>7</v>
      </c>
      <c r="EE549" s="27" t="s">
        <v>8</v>
      </c>
      <c r="EF549" s="27" t="s">
        <v>7</v>
      </c>
      <c r="EG549" s="27" t="s">
        <v>8</v>
      </c>
      <c r="EH549" s="27" t="s">
        <v>7</v>
      </c>
      <c r="EI549" s="27" t="s">
        <v>8</v>
      </c>
      <c r="FV549" s="27" t="s">
        <v>7</v>
      </c>
      <c r="FW549" s="27" t="s">
        <v>8</v>
      </c>
      <c r="FX549" s="27" t="s">
        <v>7</v>
      </c>
      <c r="GA549" s="27" t="s">
        <v>8</v>
      </c>
      <c r="GB549" s="27" t="s">
        <v>7</v>
      </c>
      <c r="GC549" s="27" t="s">
        <v>8</v>
      </c>
      <c r="GD549" s="27" t="s">
        <v>7</v>
      </c>
      <c r="GE549" s="27" t="s">
        <v>8</v>
      </c>
      <c r="HM549" s="27" t="s">
        <v>8</v>
      </c>
      <c r="HN549" s="27" t="s">
        <v>7</v>
      </c>
      <c r="HQ549" s="27" t="s">
        <v>8</v>
      </c>
      <c r="HR549" s="27" t="s">
        <v>7</v>
      </c>
      <c r="IM549" s="27" t="s">
        <v>8</v>
      </c>
      <c r="IN549" s="27" t="s">
        <v>7</v>
      </c>
      <c r="IO549" s="27" t="s">
        <v>8</v>
      </c>
      <c r="IP549" s="27" t="s">
        <v>7</v>
      </c>
      <c r="IY549" s="27" t="s">
        <v>8</v>
      </c>
      <c r="IZ549" s="27" t="s">
        <v>7</v>
      </c>
    </row>
    <row r="550" spans="1:288" x14ac:dyDescent="0.25">
      <c r="A550" s="7">
        <v>2.0806850905900198</v>
      </c>
      <c r="B550"/>
      <c r="C550"/>
      <c r="D550"/>
      <c r="E550"/>
      <c r="DM550" s="27" t="s">
        <v>8</v>
      </c>
      <c r="DN550" s="27" t="s">
        <v>7</v>
      </c>
      <c r="DO550" s="27" t="s">
        <v>8</v>
      </c>
      <c r="DP550" s="27" t="s">
        <v>7</v>
      </c>
      <c r="DQ550" s="27" t="s">
        <v>8</v>
      </c>
      <c r="DR550" s="27" t="s">
        <v>7</v>
      </c>
      <c r="DS550" s="27" t="s">
        <v>8</v>
      </c>
      <c r="DT550" s="27" t="s">
        <v>7</v>
      </c>
      <c r="DU550" s="27" t="s">
        <v>8</v>
      </c>
      <c r="DV550" s="27" t="s">
        <v>7</v>
      </c>
      <c r="EA550" s="27" t="s">
        <v>8</v>
      </c>
      <c r="EB550" s="27" t="s">
        <v>7</v>
      </c>
      <c r="EC550" s="27" t="s">
        <v>8</v>
      </c>
      <c r="ED550" s="27" t="s">
        <v>7</v>
      </c>
      <c r="EE550" s="27" t="s">
        <v>8</v>
      </c>
      <c r="EF550" s="27" t="s">
        <v>7</v>
      </c>
      <c r="EH550" s="27" t="s">
        <v>7</v>
      </c>
      <c r="EI550" s="27" t="s">
        <v>8</v>
      </c>
      <c r="FV550" s="27" t="s">
        <v>7</v>
      </c>
      <c r="FW550" s="27" t="s">
        <v>8</v>
      </c>
      <c r="FX550" s="27" t="s">
        <v>7</v>
      </c>
      <c r="GA550" s="27" t="s">
        <v>8</v>
      </c>
      <c r="GB550" s="27" t="s">
        <v>7</v>
      </c>
      <c r="GC550" s="27" t="s">
        <v>8</v>
      </c>
      <c r="GD550" s="27" t="s">
        <v>7</v>
      </c>
      <c r="GE550" s="27" t="s">
        <v>8</v>
      </c>
      <c r="GF550" s="27" t="s">
        <v>7</v>
      </c>
      <c r="GI550" s="27" t="s">
        <v>8</v>
      </c>
      <c r="HM550" s="27" t="s">
        <v>8</v>
      </c>
      <c r="HN550" s="27" t="s">
        <v>7</v>
      </c>
      <c r="HQ550" s="27" t="s">
        <v>8</v>
      </c>
      <c r="HR550" s="27" t="s">
        <v>7</v>
      </c>
      <c r="HS550" s="27" t="s">
        <v>8</v>
      </c>
      <c r="IM550" s="27" t="s">
        <v>8</v>
      </c>
      <c r="IN550" s="27" t="s">
        <v>7</v>
      </c>
      <c r="IO550" s="27" t="s">
        <v>8</v>
      </c>
      <c r="IP550" s="27" t="s">
        <v>7</v>
      </c>
      <c r="IY550" s="27" t="s">
        <v>8</v>
      </c>
      <c r="IZ550" s="27" t="s">
        <v>7</v>
      </c>
    </row>
    <row r="551" spans="1:288" x14ac:dyDescent="0.25">
      <c r="A551" s="7">
        <v>2.0398873437157055</v>
      </c>
      <c r="B551"/>
      <c r="C551"/>
      <c r="D551"/>
      <c r="E551"/>
      <c r="AG551" s="27" t="s">
        <v>8</v>
      </c>
      <c r="DM551" s="27" t="s">
        <v>8</v>
      </c>
      <c r="DN551" s="27" t="s">
        <v>7</v>
      </c>
      <c r="DO551" s="27" t="s">
        <v>8</v>
      </c>
      <c r="DP551" s="27" t="s">
        <v>7</v>
      </c>
      <c r="DQ551" s="27" t="s">
        <v>8</v>
      </c>
      <c r="DR551" s="27" t="s">
        <v>7</v>
      </c>
      <c r="DS551" s="27" t="s">
        <v>8</v>
      </c>
      <c r="DT551" s="27" t="s">
        <v>7</v>
      </c>
      <c r="DU551" s="27" t="s">
        <v>8</v>
      </c>
      <c r="DV551" s="27" t="s">
        <v>7</v>
      </c>
      <c r="EA551" s="27" t="s">
        <v>8</v>
      </c>
      <c r="EB551" s="27" t="s">
        <v>7</v>
      </c>
      <c r="EC551" s="27" t="s">
        <v>8</v>
      </c>
      <c r="ED551" s="27" t="s">
        <v>7</v>
      </c>
      <c r="EE551" s="27" t="s">
        <v>8</v>
      </c>
      <c r="EH551" s="27" t="s">
        <v>7</v>
      </c>
      <c r="EI551" s="27" t="s">
        <v>8</v>
      </c>
      <c r="FV551" s="27" t="s">
        <v>7</v>
      </c>
      <c r="FW551" s="27" t="s">
        <v>8</v>
      </c>
      <c r="FX551" s="27" t="s">
        <v>7</v>
      </c>
      <c r="FY551" s="27" t="s">
        <v>8</v>
      </c>
      <c r="GA551" s="27" t="s">
        <v>8</v>
      </c>
      <c r="GB551" s="27" t="s">
        <v>7</v>
      </c>
      <c r="GD551" s="27" t="s">
        <v>7</v>
      </c>
      <c r="GE551" s="27" t="s">
        <v>8</v>
      </c>
      <c r="GF551" s="27" t="s">
        <v>7</v>
      </c>
      <c r="GG551" s="27" t="s">
        <v>8</v>
      </c>
      <c r="GI551" s="27" t="s">
        <v>8</v>
      </c>
      <c r="GJ551" s="27" t="s">
        <v>7</v>
      </c>
      <c r="HM551" s="27" t="s">
        <v>8</v>
      </c>
      <c r="HN551" s="27" t="s">
        <v>7</v>
      </c>
      <c r="HQ551" s="27" t="s">
        <v>8</v>
      </c>
      <c r="HR551" s="27" t="s">
        <v>7</v>
      </c>
      <c r="HS551" s="27" t="s">
        <v>8</v>
      </c>
      <c r="HT551" s="27" t="s">
        <v>7</v>
      </c>
      <c r="IM551" s="27" t="s">
        <v>8</v>
      </c>
      <c r="IN551" s="27" t="s">
        <v>7</v>
      </c>
      <c r="IO551" s="27" t="s">
        <v>8</v>
      </c>
      <c r="IP551" s="27" t="s">
        <v>7</v>
      </c>
      <c r="IQ551" s="27" t="s">
        <v>8</v>
      </c>
      <c r="IY551" s="27" t="s">
        <v>8</v>
      </c>
      <c r="IZ551" s="27" t="s">
        <v>7</v>
      </c>
      <c r="JA551" s="27" t="s">
        <v>8</v>
      </c>
    </row>
    <row r="552" spans="1:288" x14ac:dyDescent="0.25">
      <c r="A552" s="7">
        <v>1.9998895526624565</v>
      </c>
      <c r="B552"/>
      <c r="C552"/>
      <c r="D552"/>
      <c r="E552"/>
      <c r="AG552" s="27" t="s">
        <v>8</v>
      </c>
      <c r="AH552" s="27" t="s">
        <v>7</v>
      </c>
      <c r="DM552" s="27" t="s">
        <v>8</v>
      </c>
      <c r="DN552" s="27" t="s">
        <v>7</v>
      </c>
      <c r="DO552" s="27" t="s">
        <v>8</v>
      </c>
      <c r="DP552" s="27" t="s">
        <v>7</v>
      </c>
      <c r="DQ552" s="27" t="s">
        <v>8</v>
      </c>
      <c r="DR552" s="27" t="s">
        <v>7</v>
      </c>
      <c r="DS552" s="27" t="s">
        <v>8</v>
      </c>
      <c r="DT552" s="27" t="s">
        <v>7</v>
      </c>
      <c r="DU552" s="27" t="s">
        <v>8</v>
      </c>
      <c r="DV552" s="27" t="s">
        <v>7</v>
      </c>
      <c r="EA552" s="27" t="s">
        <v>8</v>
      </c>
      <c r="EB552" s="27" t="s">
        <v>7</v>
      </c>
      <c r="EC552" s="27" t="s">
        <v>8</v>
      </c>
      <c r="ED552" s="27" t="s">
        <v>7</v>
      </c>
      <c r="EH552" s="27" t="s">
        <v>7</v>
      </c>
      <c r="EI552" s="27" t="s">
        <v>8</v>
      </c>
      <c r="FV552" s="27" t="s">
        <v>7</v>
      </c>
      <c r="FW552" s="27" t="s">
        <v>8</v>
      </c>
      <c r="FX552" s="27" t="s">
        <v>7</v>
      </c>
      <c r="FY552" s="27" t="s">
        <v>8</v>
      </c>
      <c r="FZ552" s="27" t="s">
        <v>7</v>
      </c>
      <c r="GA552" s="27" t="s">
        <v>8</v>
      </c>
      <c r="GD552" s="27" t="s">
        <v>7</v>
      </c>
      <c r="GE552" s="27" t="s">
        <v>8</v>
      </c>
      <c r="GF552" s="27" t="s">
        <v>7</v>
      </c>
      <c r="GG552" s="27" t="s">
        <v>8</v>
      </c>
      <c r="GH552" s="27" t="s">
        <v>7</v>
      </c>
      <c r="GI552" s="27" t="s">
        <v>8</v>
      </c>
      <c r="GJ552" s="27" t="s">
        <v>7</v>
      </c>
      <c r="HK552" s="27" t="s">
        <v>8</v>
      </c>
      <c r="HM552" s="27" t="s">
        <v>8</v>
      </c>
      <c r="HN552" s="27" t="s">
        <v>7</v>
      </c>
      <c r="HO552" s="27" t="s">
        <v>8</v>
      </c>
      <c r="HQ552" s="27" t="s">
        <v>8</v>
      </c>
      <c r="HR552" s="27" t="s">
        <v>7</v>
      </c>
      <c r="HS552" s="27" t="s">
        <v>8</v>
      </c>
      <c r="HT552" s="27" t="s">
        <v>7</v>
      </c>
      <c r="IM552" s="27" t="s">
        <v>8</v>
      </c>
      <c r="IN552" s="27" t="s">
        <v>7</v>
      </c>
      <c r="IP552" s="27" t="s">
        <v>7</v>
      </c>
      <c r="IQ552" s="27" t="s">
        <v>8</v>
      </c>
      <c r="IR552" s="27" t="s">
        <v>7</v>
      </c>
      <c r="IY552" s="27" t="s">
        <v>8</v>
      </c>
      <c r="IZ552" s="27" t="s">
        <v>7</v>
      </c>
      <c r="JA552" s="27" t="s">
        <v>8</v>
      </c>
      <c r="JB552" s="27" t="s">
        <v>7</v>
      </c>
    </row>
    <row r="553" spans="1:288" x14ac:dyDescent="0.25">
      <c r="A553" s="7">
        <v>1.9606760320220162</v>
      </c>
      <c r="B553"/>
      <c r="C553"/>
      <c r="D553"/>
      <c r="E553"/>
      <c r="M553" s="27" t="s">
        <v>8</v>
      </c>
      <c r="AG553" s="27" t="s">
        <v>8</v>
      </c>
      <c r="AH553" s="27" t="s">
        <v>7</v>
      </c>
      <c r="DM553" s="27" t="s">
        <v>8</v>
      </c>
      <c r="DN553" s="27" t="s">
        <v>7</v>
      </c>
      <c r="DO553" s="27" t="s">
        <v>8</v>
      </c>
      <c r="DP553" s="27" t="s">
        <v>7</v>
      </c>
      <c r="DQ553" s="27" t="s">
        <v>8</v>
      </c>
      <c r="DR553" s="27" t="s">
        <v>7</v>
      </c>
      <c r="DS553" s="27" t="s">
        <v>8</v>
      </c>
      <c r="DT553" s="27" t="s">
        <v>7</v>
      </c>
      <c r="DU553" s="27" t="s">
        <v>8</v>
      </c>
      <c r="DV553" s="27" t="s">
        <v>7</v>
      </c>
      <c r="EA553" s="27" t="s">
        <v>8</v>
      </c>
      <c r="EB553" s="27" t="s">
        <v>7</v>
      </c>
      <c r="EH553" s="27" t="s">
        <v>7</v>
      </c>
      <c r="FV553" s="27" t="s">
        <v>7</v>
      </c>
      <c r="FW553" s="27" t="s">
        <v>8</v>
      </c>
      <c r="FX553" s="27" t="s">
        <v>7</v>
      </c>
      <c r="FY553" s="27" t="s">
        <v>8</v>
      </c>
      <c r="FZ553" s="27" t="s">
        <v>7</v>
      </c>
      <c r="GA553" s="27" t="s">
        <v>8</v>
      </c>
      <c r="GD553" s="27" t="s">
        <v>7</v>
      </c>
      <c r="GE553" s="27" t="s">
        <v>8</v>
      </c>
      <c r="GF553" s="27" t="s">
        <v>7</v>
      </c>
      <c r="GG553" s="27" t="s">
        <v>8</v>
      </c>
      <c r="GH553" s="27" t="s">
        <v>7</v>
      </c>
      <c r="GI553" s="27" t="s">
        <v>8</v>
      </c>
      <c r="GJ553" s="27" t="s">
        <v>7</v>
      </c>
      <c r="HK553" s="27" t="s">
        <v>8</v>
      </c>
      <c r="HL553" s="27" t="s">
        <v>7</v>
      </c>
      <c r="HM553" s="27" t="s">
        <v>8</v>
      </c>
      <c r="HN553" s="27" t="s">
        <v>7</v>
      </c>
      <c r="HO553" s="27" t="s">
        <v>8</v>
      </c>
      <c r="HP553" s="27" t="s">
        <v>7</v>
      </c>
      <c r="HQ553" s="27" t="s">
        <v>8</v>
      </c>
      <c r="HR553" s="27" t="s">
        <v>7</v>
      </c>
      <c r="HS553" s="27" t="s">
        <v>8</v>
      </c>
      <c r="HT553" s="27" t="s">
        <v>7</v>
      </c>
      <c r="HU553" s="27" t="s">
        <v>8</v>
      </c>
      <c r="IM553" s="27" t="s">
        <v>8</v>
      </c>
      <c r="IP553" s="27" t="s">
        <v>7</v>
      </c>
      <c r="IQ553" s="27" t="s">
        <v>8</v>
      </c>
      <c r="IR553" s="27" t="s">
        <v>7</v>
      </c>
      <c r="IS553" s="27" t="s">
        <v>8</v>
      </c>
      <c r="IY553" s="27" t="s">
        <v>8</v>
      </c>
      <c r="IZ553" s="27" t="s">
        <v>7</v>
      </c>
      <c r="JA553" s="27" t="s">
        <v>8</v>
      </c>
      <c r="JB553" s="27" t="s">
        <v>7</v>
      </c>
    </row>
    <row r="554" spans="1:288" x14ac:dyDescent="0.25">
      <c r="A554" s="7">
        <v>1.9222314039431532</v>
      </c>
      <c r="B554"/>
      <c r="C554"/>
      <c r="D554"/>
      <c r="E554"/>
      <c r="M554" s="27" t="s">
        <v>8</v>
      </c>
      <c r="N554" s="27" t="s">
        <v>7</v>
      </c>
      <c r="AG554" s="27" t="s">
        <v>8</v>
      </c>
      <c r="AH554" s="27" t="s">
        <v>7</v>
      </c>
      <c r="AI554" s="27" t="s">
        <v>8</v>
      </c>
      <c r="AK554" s="27" t="s">
        <v>8</v>
      </c>
      <c r="DM554" s="27" t="s">
        <v>8</v>
      </c>
      <c r="DN554" s="27" t="s">
        <v>7</v>
      </c>
      <c r="DO554" s="27" t="s">
        <v>8</v>
      </c>
      <c r="DP554" s="27" t="s">
        <v>7</v>
      </c>
      <c r="DQ554" s="27" t="s">
        <v>8</v>
      </c>
      <c r="DR554" s="27" t="s">
        <v>7</v>
      </c>
      <c r="DT554" s="27" t="s">
        <v>7</v>
      </c>
      <c r="DV554" s="27" t="s">
        <v>7</v>
      </c>
      <c r="EA554" s="27" t="s">
        <v>8</v>
      </c>
      <c r="FV554" s="27" t="s">
        <v>7</v>
      </c>
      <c r="FW554" s="27" t="s">
        <v>8</v>
      </c>
      <c r="FX554" s="27" t="s">
        <v>7</v>
      </c>
      <c r="FY554" s="27" t="s">
        <v>8</v>
      </c>
      <c r="FZ554" s="27" t="s">
        <v>7</v>
      </c>
      <c r="GA554" s="27" t="s">
        <v>8</v>
      </c>
      <c r="GD554" s="27" t="s">
        <v>7</v>
      </c>
      <c r="GE554" s="27" t="s">
        <v>8</v>
      </c>
      <c r="GF554" s="27" t="s">
        <v>7</v>
      </c>
      <c r="GG554" s="27" t="s">
        <v>8</v>
      </c>
      <c r="GH554" s="27" t="s">
        <v>7</v>
      </c>
      <c r="GI554" s="27" t="s">
        <v>8</v>
      </c>
      <c r="GJ554" s="27" t="s">
        <v>7</v>
      </c>
      <c r="HK554" s="27" t="s">
        <v>8</v>
      </c>
      <c r="HL554" s="27" t="s">
        <v>7</v>
      </c>
      <c r="HM554" s="27" t="s">
        <v>8</v>
      </c>
      <c r="HN554" s="27" t="s">
        <v>7</v>
      </c>
      <c r="HO554" s="27" t="s">
        <v>8</v>
      </c>
      <c r="HP554" s="27" t="s">
        <v>7</v>
      </c>
      <c r="HQ554" s="27" t="s">
        <v>8</v>
      </c>
      <c r="HR554" s="27" t="s">
        <v>7</v>
      </c>
      <c r="HS554" s="27" t="s">
        <v>8</v>
      </c>
      <c r="HT554" s="27" t="s">
        <v>7</v>
      </c>
      <c r="HU554" s="27" t="s">
        <v>8</v>
      </c>
      <c r="HV554" s="27" t="s">
        <v>7</v>
      </c>
      <c r="IM554" s="27" t="s">
        <v>8</v>
      </c>
      <c r="IP554" s="27" t="s">
        <v>7</v>
      </c>
      <c r="IQ554" s="27" t="s">
        <v>8</v>
      </c>
      <c r="IR554" s="27" t="s">
        <v>7</v>
      </c>
      <c r="IS554" s="27" t="s">
        <v>8</v>
      </c>
      <c r="IT554" s="27" t="s">
        <v>7</v>
      </c>
      <c r="IY554" s="27" t="s">
        <v>8</v>
      </c>
      <c r="IZ554" s="27" t="s">
        <v>7</v>
      </c>
      <c r="JA554" s="27" t="s">
        <v>8</v>
      </c>
      <c r="JB554" s="27" t="s">
        <v>7</v>
      </c>
    </row>
    <row r="555" spans="1:288" x14ac:dyDescent="0.25">
      <c r="A555" s="7">
        <v>1.8845405921011305</v>
      </c>
      <c r="B555"/>
      <c r="C555"/>
      <c r="D555"/>
      <c r="E555"/>
      <c r="M555" s="27" t="s">
        <v>8</v>
      </c>
      <c r="N555" s="27" t="s">
        <v>7</v>
      </c>
      <c r="U555" s="27" t="s">
        <v>8</v>
      </c>
      <c r="AG555" s="27" t="s">
        <v>8</v>
      </c>
      <c r="AH555" s="27" t="s">
        <v>7</v>
      </c>
      <c r="AI555" s="27" t="s">
        <v>8</v>
      </c>
      <c r="AJ555" s="27" t="s">
        <v>7</v>
      </c>
      <c r="AK555" s="27" t="s">
        <v>8</v>
      </c>
      <c r="AL555" s="27" t="s">
        <v>7</v>
      </c>
      <c r="DM555" s="27" t="s">
        <v>8</v>
      </c>
      <c r="DN555" s="27" t="s">
        <v>7</v>
      </c>
      <c r="DO555" s="27" t="s">
        <v>8</v>
      </c>
      <c r="DP555" s="27" t="s">
        <v>7</v>
      </c>
      <c r="DQ555" s="27" t="s">
        <v>8</v>
      </c>
      <c r="DV555" s="27" t="s">
        <v>7</v>
      </c>
      <c r="DW555" s="27" t="s">
        <v>8</v>
      </c>
      <c r="EA555" s="27" t="s">
        <v>8</v>
      </c>
      <c r="FV555" s="27" t="s">
        <v>7</v>
      </c>
      <c r="FW555" s="27" t="s">
        <v>8</v>
      </c>
      <c r="FX555" s="27" t="s">
        <v>7</v>
      </c>
      <c r="FY555" s="27" t="s">
        <v>8</v>
      </c>
      <c r="FZ555" s="27" t="s">
        <v>7</v>
      </c>
      <c r="GA555" s="27" t="s">
        <v>8</v>
      </c>
      <c r="GD555" s="27" t="s">
        <v>7</v>
      </c>
      <c r="GE555" s="27" t="s">
        <v>8</v>
      </c>
      <c r="GF555" s="27" t="s">
        <v>7</v>
      </c>
      <c r="GG555" s="27" t="s">
        <v>8</v>
      </c>
      <c r="GH555" s="27" t="s">
        <v>7</v>
      </c>
      <c r="GI555" s="27" t="s">
        <v>8</v>
      </c>
      <c r="GJ555" s="27" t="s">
        <v>7</v>
      </c>
      <c r="HI555" s="27" t="s">
        <v>8</v>
      </c>
      <c r="HK555" s="27" t="s">
        <v>8</v>
      </c>
      <c r="HL555" s="27" t="s">
        <v>7</v>
      </c>
      <c r="HM555" s="27" t="s">
        <v>8</v>
      </c>
      <c r="HN555" s="27" t="s">
        <v>7</v>
      </c>
      <c r="HO555" s="27" t="s">
        <v>8</v>
      </c>
      <c r="HP555" s="27" t="s">
        <v>7</v>
      </c>
      <c r="HQ555" s="27" t="s">
        <v>8</v>
      </c>
      <c r="HR555" s="27" t="s">
        <v>7</v>
      </c>
      <c r="HS555" s="27" t="s">
        <v>8</v>
      </c>
      <c r="HT555" s="27" t="s">
        <v>7</v>
      </c>
      <c r="HU555" s="27" t="s">
        <v>8</v>
      </c>
      <c r="HV555" s="27" t="s">
        <v>7</v>
      </c>
      <c r="IM555" s="27" t="s">
        <v>8</v>
      </c>
      <c r="IP555" s="27" t="s">
        <v>7</v>
      </c>
      <c r="IQ555" s="27" t="s">
        <v>8</v>
      </c>
      <c r="IR555" s="27" t="s">
        <v>7</v>
      </c>
      <c r="IS555" s="27" t="s">
        <v>8</v>
      </c>
      <c r="IT555" s="27" t="s">
        <v>7</v>
      </c>
      <c r="IY555" s="27" t="s">
        <v>8</v>
      </c>
      <c r="IZ555" s="27" t="s">
        <v>7</v>
      </c>
      <c r="JA555" s="27" t="s">
        <v>8</v>
      </c>
      <c r="JB555" s="27" t="s">
        <v>7</v>
      </c>
    </row>
    <row r="556" spans="1:288" x14ac:dyDescent="0.25">
      <c r="A556" s="7">
        <v>1.8475888157854219</v>
      </c>
      <c r="B556"/>
      <c r="C556"/>
      <c r="D556"/>
      <c r="E556"/>
      <c r="M556" s="27" t="s">
        <v>8</v>
      </c>
      <c r="N556" s="27" t="s">
        <v>7</v>
      </c>
      <c r="U556" s="27" t="s">
        <v>8</v>
      </c>
      <c r="V556" s="27" t="s">
        <v>7</v>
      </c>
      <c r="AG556" s="27" t="s">
        <v>8</v>
      </c>
      <c r="AH556" s="27" t="s">
        <v>7</v>
      </c>
      <c r="AI556" s="27" t="s">
        <v>8</v>
      </c>
      <c r="AJ556" s="27" t="s">
        <v>7</v>
      </c>
      <c r="AK556" s="27" t="s">
        <v>8</v>
      </c>
      <c r="AL556" s="27" t="s">
        <v>7</v>
      </c>
      <c r="AQ556" s="27" t="s">
        <v>8</v>
      </c>
      <c r="DM556" s="27" t="s">
        <v>8</v>
      </c>
      <c r="DN556" s="27" t="s">
        <v>7</v>
      </c>
      <c r="DO556" s="27" t="s">
        <v>8</v>
      </c>
      <c r="DP556" s="27" t="s">
        <v>7</v>
      </c>
      <c r="DQ556" s="27" t="s">
        <v>8</v>
      </c>
      <c r="DV556" s="27" t="s">
        <v>7</v>
      </c>
      <c r="DW556" s="27" t="s">
        <v>8</v>
      </c>
      <c r="DX556" s="27" t="s">
        <v>7</v>
      </c>
      <c r="EA556" s="27" t="s">
        <v>8</v>
      </c>
      <c r="FV556" s="27" t="s">
        <v>7</v>
      </c>
      <c r="FW556" s="27" t="s">
        <v>8</v>
      </c>
      <c r="FX556" s="27" t="s">
        <v>7</v>
      </c>
      <c r="FY556" s="27" t="s">
        <v>8</v>
      </c>
      <c r="FZ556" s="27" t="s">
        <v>7</v>
      </c>
      <c r="GA556" s="27" t="s">
        <v>8</v>
      </c>
      <c r="GD556" s="27" t="s">
        <v>7</v>
      </c>
      <c r="GF556" s="27" t="s">
        <v>7</v>
      </c>
      <c r="GG556" s="27" t="s">
        <v>8</v>
      </c>
      <c r="GH556" s="27" t="s">
        <v>7</v>
      </c>
      <c r="GI556" s="27" t="s">
        <v>8</v>
      </c>
      <c r="GJ556" s="27" t="s">
        <v>7</v>
      </c>
      <c r="HI556" s="27" t="s">
        <v>8</v>
      </c>
      <c r="HJ556" s="27" t="s">
        <v>7</v>
      </c>
      <c r="HK556" s="27" t="s">
        <v>8</v>
      </c>
      <c r="HL556" s="27" t="s">
        <v>7</v>
      </c>
      <c r="HM556" s="27" t="s">
        <v>8</v>
      </c>
      <c r="HN556" s="27" t="s">
        <v>7</v>
      </c>
      <c r="HO556" s="27" t="s">
        <v>8</v>
      </c>
      <c r="HP556" s="27" t="s">
        <v>7</v>
      </c>
      <c r="HR556" s="27" t="s">
        <v>7</v>
      </c>
      <c r="HS556" s="27" t="s">
        <v>8</v>
      </c>
      <c r="HT556" s="27" t="s">
        <v>7</v>
      </c>
      <c r="HU556" s="27" t="s">
        <v>8</v>
      </c>
      <c r="HV556" s="27" t="s">
        <v>7</v>
      </c>
      <c r="IM556" s="27" t="s">
        <v>8</v>
      </c>
      <c r="IP556" s="27" t="s">
        <v>7</v>
      </c>
      <c r="IQ556" s="27" t="s">
        <v>8</v>
      </c>
      <c r="IR556" s="27" t="s">
        <v>7</v>
      </c>
      <c r="IS556" s="27" t="s">
        <v>8</v>
      </c>
      <c r="IT556" s="27" t="s">
        <v>7</v>
      </c>
      <c r="IU556" s="27" t="s">
        <v>8</v>
      </c>
      <c r="IY556" s="27" t="s">
        <v>8</v>
      </c>
      <c r="IZ556" s="27" t="s">
        <v>7</v>
      </c>
      <c r="JB556" s="27" t="s">
        <v>7</v>
      </c>
    </row>
    <row r="557" spans="1:288" x14ac:dyDescent="0.25">
      <c r="A557" s="7">
        <v>1.8113615841033548</v>
      </c>
      <c r="B557"/>
      <c r="C557"/>
      <c r="D557"/>
      <c r="E557"/>
      <c r="M557" s="27" t="s">
        <v>8</v>
      </c>
      <c r="N557" s="27" t="s">
        <v>7</v>
      </c>
      <c r="U557" s="27" t="s">
        <v>8</v>
      </c>
      <c r="V557" s="27" t="s">
        <v>7</v>
      </c>
      <c r="AE557" s="27" t="s">
        <v>8</v>
      </c>
      <c r="AG557" s="27" t="s">
        <v>8</v>
      </c>
      <c r="AH557" s="27" t="s">
        <v>7</v>
      </c>
      <c r="AJ557" s="27" t="s">
        <v>7</v>
      </c>
      <c r="AK557" s="27" t="s">
        <v>8</v>
      </c>
      <c r="AL557" s="27" t="s">
        <v>7</v>
      </c>
      <c r="AQ557" s="27" t="s">
        <v>8</v>
      </c>
      <c r="AR557" s="27" t="s">
        <v>7</v>
      </c>
      <c r="DM557" s="27" t="s">
        <v>8</v>
      </c>
      <c r="DN557" s="27" t="s">
        <v>7</v>
      </c>
      <c r="DO557" s="27" t="s">
        <v>8</v>
      </c>
      <c r="DP557" s="27" t="s">
        <v>7</v>
      </c>
      <c r="DQ557" s="27" t="s">
        <v>8</v>
      </c>
      <c r="DV557" s="27" t="s">
        <v>7</v>
      </c>
      <c r="DW557" s="27" t="s">
        <v>8</v>
      </c>
      <c r="DX557" s="27" t="s">
        <v>7</v>
      </c>
      <c r="EA557" s="27" t="s">
        <v>8</v>
      </c>
      <c r="FV557" s="27" t="s">
        <v>7</v>
      </c>
      <c r="FW557" s="27" t="s">
        <v>8</v>
      </c>
      <c r="FX557" s="27" t="s">
        <v>7</v>
      </c>
      <c r="FY557" s="27" t="s">
        <v>8</v>
      </c>
      <c r="FZ557" s="27" t="s">
        <v>7</v>
      </c>
      <c r="GA557" s="27" t="s">
        <v>8</v>
      </c>
      <c r="GF557" s="27" t="s">
        <v>7</v>
      </c>
      <c r="GG557" s="27" t="s">
        <v>8</v>
      </c>
      <c r="GH557" s="27" t="s">
        <v>7</v>
      </c>
      <c r="GI557" s="27" t="s">
        <v>8</v>
      </c>
      <c r="GJ557" s="27" t="s">
        <v>7</v>
      </c>
      <c r="HG557" s="27" t="s">
        <v>8</v>
      </c>
      <c r="HI557" s="27" t="s">
        <v>8</v>
      </c>
      <c r="HJ557" s="27" t="s">
        <v>7</v>
      </c>
      <c r="HK557" s="27" t="s">
        <v>8</v>
      </c>
      <c r="HL557" s="27" t="s">
        <v>7</v>
      </c>
      <c r="HM557" s="27" t="s">
        <v>8</v>
      </c>
      <c r="HN557" s="27" t="s">
        <v>7</v>
      </c>
      <c r="HR557" s="27" t="s">
        <v>7</v>
      </c>
      <c r="HS557" s="27" t="s">
        <v>8</v>
      </c>
      <c r="HT557" s="27" t="s">
        <v>7</v>
      </c>
      <c r="HU557" s="27" t="s">
        <v>8</v>
      </c>
      <c r="HV557" s="27" t="s">
        <v>7</v>
      </c>
      <c r="IC557" s="27" t="s">
        <v>8</v>
      </c>
      <c r="IM557" s="27" t="s">
        <v>8</v>
      </c>
      <c r="IP557" s="27" t="s">
        <v>7</v>
      </c>
      <c r="IR557" s="27" t="s">
        <v>7</v>
      </c>
      <c r="IS557" s="27" t="s">
        <v>8</v>
      </c>
      <c r="IT557" s="27" t="s">
        <v>7</v>
      </c>
      <c r="IU557" s="27" t="s">
        <v>8</v>
      </c>
      <c r="IV557" s="27" t="s">
        <v>7</v>
      </c>
      <c r="IY557" s="27" t="s">
        <v>8</v>
      </c>
      <c r="JB557" s="27" t="s">
        <v>7</v>
      </c>
    </row>
    <row r="558" spans="1:288" x14ac:dyDescent="0.25">
      <c r="A558" s="7">
        <v>1.7758446902974065</v>
      </c>
      <c r="B558"/>
      <c r="C558"/>
      <c r="D558"/>
      <c r="E558"/>
      <c r="M558" s="27" t="s">
        <v>8</v>
      </c>
      <c r="N558" s="27" t="s">
        <v>7</v>
      </c>
      <c r="O558" s="27" t="s">
        <v>8</v>
      </c>
      <c r="U558" s="27" t="s">
        <v>8</v>
      </c>
      <c r="V558" s="27" t="s">
        <v>7</v>
      </c>
      <c r="AE558" s="27" t="s">
        <v>8</v>
      </c>
      <c r="AF558" s="27" t="s">
        <v>7</v>
      </c>
      <c r="AG558" s="27" t="s">
        <v>8</v>
      </c>
      <c r="AJ558" s="27" t="s">
        <v>7</v>
      </c>
      <c r="AK558" s="27" t="s">
        <v>8</v>
      </c>
      <c r="AL558" s="27" t="s">
        <v>7</v>
      </c>
      <c r="AQ558" s="27" t="s">
        <v>8</v>
      </c>
      <c r="AR558" s="27" t="s">
        <v>7</v>
      </c>
      <c r="DM558" s="27" t="s">
        <v>8</v>
      </c>
      <c r="DN558" s="27" t="s">
        <v>7</v>
      </c>
      <c r="DO558" s="27" t="s">
        <v>8</v>
      </c>
      <c r="DP558" s="27" t="s">
        <v>7</v>
      </c>
      <c r="DQ558" s="27" t="s">
        <v>8</v>
      </c>
      <c r="DV558" s="27" t="s">
        <v>7</v>
      </c>
      <c r="DW558" s="27" t="s">
        <v>8</v>
      </c>
      <c r="DX558" s="27" t="s">
        <v>7</v>
      </c>
      <c r="DY558" s="27" t="s">
        <v>8</v>
      </c>
      <c r="EA558" s="27" t="s">
        <v>8</v>
      </c>
      <c r="FV558" s="27" t="s">
        <v>7</v>
      </c>
      <c r="FW558" s="27" t="s">
        <v>8</v>
      </c>
      <c r="FX558" s="27" t="s">
        <v>7</v>
      </c>
      <c r="FY558" s="27" t="s">
        <v>8</v>
      </c>
      <c r="FZ558" s="27" t="s">
        <v>7</v>
      </c>
      <c r="GA558" s="27" t="s">
        <v>8</v>
      </c>
      <c r="GF558" s="27" t="s">
        <v>7</v>
      </c>
      <c r="GG558" s="27" t="s">
        <v>8</v>
      </c>
      <c r="GH558" s="27" t="s">
        <v>7</v>
      </c>
      <c r="GJ558" s="27" t="s">
        <v>7</v>
      </c>
      <c r="HG558" s="27" t="s">
        <v>8</v>
      </c>
      <c r="HH558" s="27" t="s">
        <v>7</v>
      </c>
      <c r="HI558" s="27" t="s">
        <v>8</v>
      </c>
      <c r="HJ558" s="27" t="s">
        <v>7</v>
      </c>
      <c r="HK558" s="27" t="s">
        <v>8</v>
      </c>
      <c r="HL558" s="27" t="s">
        <v>7</v>
      </c>
      <c r="HM558" s="27" t="s">
        <v>8</v>
      </c>
      <c r="HR558" s="27" t="s">
        <v>7</v>
      </c>
      <c r="HS558" s="27" t="s">
        <v>8</v>
      </c>
      <c r="HT558" s="27" t="s">
        <v>7</v>
      </c>
      <c r="HU558" s="27" t="s">
        <v>8</v>
      </c>
      <c r="HV558" s="27" t="s">
        <v>7</v>
      </c>
      <c r="IC558" s="27" t="s">
        <v>8</v>
      </c>
      <c r="ID558" s="27" t="s">
        <v>7</v>
      </c>
      <c r="IE558" s="27" t="s">
        <v>8</v>
      </c>
      <c r="IM558" s="27" t="s">
        <v>8</v>
      </c>
      <c r="IR558" s="27" t="s">
        <v>7</v>
      </c>
      <c r="IT558" s="27" t="s">
        <v>7</v>
      </c>
      <c r="IU558" s="27" t="s">
        <v>8</v>
      </c>
      <c r="IV558" s="27" t="s">
        <v>7</v>
      </c>
      <c r="IW558" s="27" t="s">
        <v>8</v>
      </c>
      <c r="IY558" s="27" t="s">
        <v>8</v>
      </c>
      <c r="JB558" s="27" t="s">
        <v>7</v>
      </c>
      <c r="KA558" s="27" t="s">
        <v>8</v>
      </c>
    </row>
    <row r="559" spans="1:288" x14ac:dyDescent="0.25">
      <c r="A559" s="7">
        <v>1.7410242061739281</v>
      </c>
      <c r="B559"/>
      <c r="C559"/>
      <c r="D559"/>
      <c r="E559"/>
      <c r="M559" s="27" t="s">
        <v>8</v>
      </c>
      <c r="N559" s="27" t="s">
        <v>7</v>
      </c>
      <c r="O559" s="27" t="s">
        <v>8</v>
      </c>
      <c r="P559" s="27" t="s">
        <v>7</v>
      </c>
      <c r="U559" s="27" t="s">
        <v>8</v>
      </c>
      <c r="V559" s="27" t="s">
        <v>7</v>
      </c>
      <c r="AE559" s="27" t="s">
        <v>8</v>
      </c>
      <c r="AF559" s="27" t="s">
        <v>7</v>
      </c>
      <c r="AG559" s="27" t="s">
        <v>8</v>
      </c>
      <c r="AJ559" s="27" t="s">
        <v>7</v>
      </c>
      <c r="AK559" s="27" t="s">
        <v>8</v>
      </c>
      <c r="AL559" s="27" t="s">
        <v>7</v>
      </c>
      <c r="AM559" s="27" t="s">
        <v>8</v>
      </c>
      <c r="AQ559" s="27" t="s">
        <v>8</v>
      </c>
      <c r="AR559" s="27" t="s">
        <v>7</v>
      </c>
      <c r="DM559" s="27" t="s">
        <v>8</v>
      </c>
      <c r="DN559" s="27" t="s">
        <v>7</v>
      </c>
      <c r="DO559" s="27" t="s">
        <v>8</v>
      </c>
      <c r="DP559" s="27" t="s">
        <v>7</v>
      </c>
      <c r="DV559" s="27" t="s">
        <v>7</v>
      </c>
      <c r="DW559" s="27" t="s">
        <v>8</v>
      </c>
      <c r="DX559" s="27" t="s">
        <v>7</v>
      </c>
      <c r="DY559" s="27" t="s">
        <v>8</v>
      </c>
      <c r="DZ559" s="27" t="s">
        <v>7</v>
      </c>
      <c r="EA559" s="27" t="s">
        <v>8</v>
      </c>
      <c r="FV559" s="27" t="s">
        <v>7</v>
      </c>
      <c r="FW559" s="27" t="s">
        <v>8</v>
      </c>
      <c r="FX559" s="27" t="s">
        <v>7</v>
      </c>
      <c r="FY559" s="27" t="s">
        <v>8</v>
      </c>
      <c r="FZ559" s="27" t="s">
        <v>7</v>
      </c>
      <c r="GA559" s="27" t="s">
        <v>8</v>
      </c>
      <c r="GF559" s="27" t="s">
        <v>7</v>
      </c>
      <c r="GG559" s="27" t="s">
        <v>8</v>
      </c>
      <c r="GJ559" s="27" t="s">
        <v>7</v>
      </c>
      <c r="GQ559" s="27" t="s">
        <v>8</v>
      </c>
      <c r="HC559" s="27" t="s">
        <v>8</v>
      </c>
      <c r="HG559" s="27" t="s">
        <v>8</v>
      </c>
      <c r="HH559" s="27" t="s">
        <v>7</v>
      </c>
      <c r="HI559" s="27" t="s">
        <v>8</v>
      </c>
      <c r="HJ559" s="27" t="s">
        <v>7</v>
      </c>
      <c r="HK559" s="27" t="s">
        <v>8</v>
      </c>
      <c r="HL559" s="27" t="s">
        <v>7</v>
      </c>
      <c r="HM559" s="27" t="s">
        <v>8</v>
      </c>
      <c r="HR559" s="27" t="s">
        <v>7</v>
      </c>
      <c r="HS559" s="27" t="s">
        <v>8</v>
      </c>
      <c r="HT559" s="27" t="s">
        <v>7</v>
      </c>
      <c r="HU559" s="27" t="s">
        <v>8</v>
      </c>
      <c r="HV559" s="27" t="s">
        <v>7</v>
      </c>
      <c r="IC559" s="27" t="s">
        <v>8</v>
      </c>
      <c r="ID559" s="27" t="s">
        <v>7</v>
      </c>
      <c r="IE559" s="27" t="s">
        <v>8</v>
      </c>
      <c r="IF559" s="27" t="s">
        <v>7</v>
      </c>
      <c r="IG559" s="27" t="s">
        <v>8</v>
      </c>
      <c r="IM559" s="27" t="s">
        <v>8</v>
      </c>
      <c r="IT559" s="27" t="s">
        <v>7</v>
      </c>
      <c r="IU559" s="27" t="s">
        <v>8</v>
      </c>
      <c r="IV559" s="27" t="s">
        <v>7</v>
      </c>
      <c r="IW559" s="27" t="s">
        <v>8</v>
      </c>
      <c r="IX559" s="27" t="s">
        <v>7</v>
      </c>
      <c r="IY559" s="27" t="s">
        <v>8</v>
      </c>
      <c r="JB559" s="27" t="s">
        <v>7</v>
      </c>
      <c r="KA559" s="27" t="s">
        <v>8</v>
      </c>
      <c r="KB559" s="27" t="s">
        <v>7</v>
      </c>
    </row>
    <row r="560" spans="1:288" x14ac:dyDescent="0.25">
      <c r="A560" s="7">
        <v>1.7068864766411058</v>
      </c>
      <c r="B560"/>
      <c r="C560"/>
      <c r="D560"/>
      <c r="E560"/>
      <c r="M560" s="27" t="s">
        <v>8</v>
      </c>
      <c r="N560" s="27" t="s">
        <v>7</v>
      </c>
      <c r="O560" s="27" t="s">
        <v>8</v>
      </c>
      <c r="P560" s="27" t="s">
        <v>7</v>
      </c>
      <c r="Q560" s="27" t="s">
        <v>8</v>
      </c>
      <c r="U560" s="27" t="s">
        <v>8</v>
      </c>
      <c r="V560" s="27" t="s">
        <v>7</v>
      </c>
      <c r="AE560" s="27" t="s">
        <v>8</v>
      </c>
      <c r="AF560" s="27" t="s">
        <v>7</v>
      </c>
      <c r="AG560" s="27" t="s">
        <v>8</v>
      </c>
      <c r="AJ560" s="27" t="s">
        <v>7</v>
      </c>
      <c r="AK560" s="27" t="s">
        <v>8</v>
      </c>
      <c r="AL560" s="27" t="s">
        <v>7</v>
      </c>
      <c r="AM560" s="27" t="s">
        <v>8</v>
      </c>
      <c r="AN560" s="27" t="s">
        <v>7</v>
      </c>
      <c r="AQ560" s="27" t="s">
        <v>8</v>
      </c>
      <c r="AR560" s="27" t="s">
        <v>7</v>
      </c>
      <c r="DM560" s="27" t="s">
        <v>8</v>
      </c>
      <c r="DN560" s="27" t="s">
        <v>7</v>
      </c>
      <c r="DO560" s="27" t="s">
        <v>8</v>
      </c>
      <c r="DV560" s="27" t="s">
        <v>7</v>
      </c>
      <c r="DW560" s="27" t="s">
        <v>8</v>
      </c>
      <c r="DX560" s="27" t="s">
        <v>7</v>
      </c>
      <c r="DY560" s="27" t="s">
        <v>8</v>
      </c>
      <c r="DZ560" s="27" t="s">
        <v>7</v>
      </c>
      <c r="EA560" s="27" t="s">
        <v>8</v>
      </c>
      <c r="FV560" s="27" t="s">
        <v>7</v>
      </c>
      <c r="FW560" s="27" t="s">
        <v>8</v>
      </c>
      <c r="FX560" s="27" t="s">
        <v>7</v>
      </c>
      <c r="FY560" s="27" t="s">
        <v>8</v>
      </c>
      <c r="FZ560" s="27" t="s">
        <v>7</v>
      </c>
      <c r="GA560" s="27" t="s">
        <v>8</v>
      </c>
      <c r="GF560" s="27" t="s">
        <v>7</v>
      </c>
      <c r="GG560" s="27" t="s">
        <v>8</v>
      </c>
      <c r="GJ560" s="27" t="s">
        <v>7</v>
      </c>
      <c r="GM560" s="27" t="s">
        <v>8</v>
      </c>
      <c r="GQ560" s="27" t="s">
        <v>8</v>
      </c>
      <c r="GR560" s="27" t="s">
        <v>7</v>
      </c>
      <c r="HC560" s="27" t="s">
        <v>8</v>
      </c>
      <c r="HD560" s="27" t="s">
        <v>7</v>
      </c>
      <c r="HG560" s="27" t="s">
        <v>8</v>
      </c>
      <c r="HH560" s="27" t="s">
        <v>7</v>
      </c>
      <c r="HI560" s="27" t="s">
        <v>8</v>
      </c>
      <c r="HJ560" s="27" t="s">
        <v>7</v>
      </c>
      <c r="HL560" s="27" t="s">
        <v>7</v>
      </c>
      <c r="HR560" s="27" t="s">
        <v>7</v>
      </c>
      <c r="HS560" s="27" t="s">
        <v>8</v>
      </c>
      <c r="HT560" s="27" t="s">
        <v>7</v>
      </c>
      <c r="HU560" s="27" t="s">
        <v>8</v>
      </c>
      <c r="HV560" s="27" t="s">
        <v>7</v>
      </c>
      <c r="IC560" s="27" t="s">
        <v>8</v>
      </c>
      <c r="ID560" s="27" t="s">
        <v>7</v>
      </c>
      <c r="IE560" s="27" t="s">
        <v>8</v>
      </c>
      <c r="IF560" s="27" t="s">
        <v>7</v>
      </c>
      <c r="IG560" s="27" t="s">
        <v>8</v>
      </c>
      <c r="IH560" s="27" t="s">
        <v>7</v>
      </c>
      <c r="II560" s="27" t="s">
        <v>8</v>
      </c>
      <c r="IK560" s="27" t="s">
        <v>8</v>
      </c>
      <c r="IM560" s="27" t="s">
        <v>8</v>
      </c>
      <c r="IT560" s="27" t="s">
        <v>7</v>
      </c>
      <c r="IU560" s="27" t="s">
        <v>8</v>
      </c>
      <c r="IV560" s="27" t="s">
        <v>7</v>
      </c>
      <c r="IW560" s="27" t="s">
        <v>8</v>
      </c>
      <c r="IX560" s="27" t="s">
        <v>7</v>
      </c>
      <c r="IY560" s="27" t="s">
        <v>8</v>
      </c>
      <c r="JB560" s="27" t="s">
        <v>7</v>
      </c>
      <c r="JY560" s="27" t="s">
        <v>8</v>
      </c>
      <c r="KA560" s="27" t="s">
        <v>8</v>
      </c>
      <c r="KB560" s="27" t="s">
        <v>7</v>
      </c>
    </row>
    <row r="561" spans="1:288" x14ac:dyDescent="0.25">
      <c r="A561" s="7">
        <v>1.6734181143540252</v>
      </c>
      <c r="B561"/>
      <c r="C561"/>
      <c r="D561"/>
      <c r="E561"/>
      <c r="M561" s="27" t="s">
        <v>8</v>
      </c>
      <c r="N561" s="27" t="s">
        <v>7</v>
      </c>
      <c r="O561" s="27" t="s">
        <v>8</v>
      </c>
      <c r="P561" s="27" t="s">
        <v>7</v>
      </c>
      <c r="Q561" s="27" t="s">
        <v>8</v>
      </c>
      <c r="R561" s="27" t="s">
        <v>7</v>
      </c>
      <c r="S561" s="27" t="s">
        <v>8</v>
      </c>
      <c r="U561" s="27" t="s">
        <v>8</v>
      </c>
      <c r="V561" s="27" t="s">
        <v>7</v>
      </c>
      <c r="AE561" s="27" t="s">
        <v>8</v>
      </c>
      <c r="AF561" s="27" t="s">
        <v>7</v>
      </c>
      <c r="AG561" s="27" t="s">
        <v>8</v>
      </c>
      <c r="AJ561" s="27" t="s">
        <v>7</v>
      </c>
      <c r="AK561" s="27" t="s">
        <v>8</v>
      </c>
      <c r="AL561" s="27" t="s">
        <v>7</v>
      </c>
      <c r="AM561" s="27" t="s">
        <v>8</v>
      </c>
      <c r="AN561" s="27" t="s">
        <v>7</v>
      </c>
      <c r="AQ561" s="27" t="s">
        <v>8</v>
      </c>
      <c r="AR561" s="27" t="s">
        <v>7</v>
      </c>
      <c r="DM561" s="27" t="s">
        <v>8</v>
      </c>
      <c r="DN561" s="27" t="s">
        <v>7</v>
      </c>
      <c r="DO561" s="27" t="s">
        <v>8</v>
      </c>
      <c r="DV561" s="27" t="s">
        <v>7</v>
      </c>
      <c r="DW561" s="27" t="s">
        <v>8</v>
      </c>
      <c r="DX561" s="27" t="s">
        <v>7</v>
      </c>
      <c r="DY561" s="27" t="s">
        <v>8</v>
      </c>
      <c r="DZ561" s="27" t="s">
        <v>7</v>
      </c>
      <c r="EA561" s="27" t="s">
        <v>8</v>
      </c>
      <c r="FV561" s="27" t="s">
        <v>7</v>
      </c>
      <c r="FW561" s="27" t="s">
        <v>8</v>
      </c>
      <c r="FX561" s="27" t="s">
        <v>7</v>
      </c>
      <c r="FY561" s="27" t="s">
        <v>8</v>
      </c>
      <c r="FZ561" s="27" t="s">
        <v>7</v>
      </c>
      <c r="GA561" s="27" t="s">
        <v>8</v>
      </c>
      <c r="GF561" s="27" t="s">
        <v>7</v>
      </c>
      <c r="GG561" s="27" t="s">
        <v>8</v>
      </c>
      <c r="GJ561" s="27" t="s">
        <v>7</v>
      </c>
      <c r="GM561" s="27" t="s">
        <v>8</v>
      </c>
      <c r="GN561" s="27" t="s">
        <v>7</v>
      </c>
      <c r="GO561" s="27" t="s">
        <v>8</v>
      </c>
      <c r="GQ561" s="27" t="s">
        <v>8</v>
      </c>
      <c r="GR561" s="27" t="s">
        <v>7</v>
      </c>
      <c r="HC561" s="27" t="s">
        <v>8</v>
      </c>
      <c r="HD561" s="27" t="s">
        <v>7</v>
      </c>
      <c r="HE561" s="27" t="s">
        <v>8</v>
      </c>
      <c r="HG561" s="27" t="s">
        <v>8</v>
      </c>
      <c r="HH561" s="27" t="s">
        <v>7</v>
      </c>
      <c r="HI561" s="27" t="s">
        <v>8</v>
      </c>
      <c r="HR561" s="27" t="s">
        <v>7</v>
      </c>
      <c r="HS561" s="27" t="s">
        <v>8</v>
      </c>
      <c r="HT561" s="27" t="s">
        <v>7</v>
      </c>
      <c r="HU561" s="27" t="s">
        <v>8</v>
      </c>
      <c r="HV561" s="27" t="s">
        <v>7</v>
      </c>
      <c r="IC561" s="27" t="s">
        <v>8</v>
      </c>
      <c r="ID561" s="27" t="s">
        <v>7</v>
      </c>
      <c r="IE561" s="27" t="s">
        <v>8</v>
      </c>
      <c r="IF561" s="27" t="s">
        <v>7</v>
      </c>
      <c r="IG561" s="27" t="s">
        <v>8</v>
      </c>
      <c r="IH561" s="27" t="s">
        <v>7</v>
      </c>
      <c r="II561" s="27" t="s">
        <v>8</v>
      </c>
      <c r="IJ561" s="27" t="s">
        <v>7</v>
      </c>
      <c r="IK561" s="27" t="s">
        <v>8</v>
      </c>
      <c r="IL561" s="27" t="s">
        <v>7</v>
      </c>
      <c r="IM561" s="27" t="s">
        <v>8</v>
      </c>
      <c r="IT561" s="27" t="s">
        <v>7</v>
      </c>
      <c r="IU561" s="27" t="s">
        <v>8</v>
      </c>
      <c r="IV561" s="27" t="s">
        <v>7</v>
      </c>
      <c r="IW561" s="27" t="s">
        <v>8</v>
      </c>
      <c r="IX561" s="27" t="s">
        <v>7</v>
      </c>
      <c r="JB561" s="27" t="s">
        <v>7</v>
      </c>
      <c r="JY561" s="27" t="s">
        <v>8</v>
      </c>
      <c r="JZ561" s="27" t="s">
        <v>7</v>
      </c>
      <c r="KA561" s="27" t="s">
        <v>8</v>
      </c>
      <c r="KB561" s="27" t="s">
        <v>7</v>
      </c>
    </row>
    <row r="562" spans="1:288" x14ac:dyDescent="0.25">
      <c r="A562" s="7">
        <v>1.6406059944647307</v>
      </c>
      <c r="B562"/>
      <c r="C562"/>
      <c r="D562"/>
      <c r="E562"/>
      <c r="M562" s="27" t="s">
        <v>8</v>
      </c>
      <c r="N562" s="27" t="s">
        <v>7</v>
      </c>
      <c r="O562" s="27" t="s">
        <v>8</v>
      </c>
      <c r="P562" s="27" t="s">
        <v>7</v>
      </c>
      <c r="Q562" s="27" t="s">
        <v>8</v>
      </c>
      <c r="R562" s="27" t="s">
        <v>7</v>
      </c>
      <c r="S562" s="27" t="s">
        <v>8</v>
      </c>
      <c r="T562" s="27" t="s">
        <v>7</v>
      </c>
      <c r="U562" s="27" t="s">
        <v>8</v>
      </c>
      <c r="V562" s="27" t="s">
        <v>7</v>
      </c>
      <c r="W562" s="27" t="s">
        <v>8</v>
      </c>
      <c r="AC562" s="27" t="s">
        <v>8</v>
      </c>
      <c r="AE562" s="27" t="s">
        <v>8</v>
      </c>
      <c r="AF562" s="27" t="s">
        <v>7</v>
      </c>
      <c r="AG562" s="27" t="s">
        <v>8</v>
      </c>
      <c r="AJ562" s="27" t="s">
        <v>7</v>
      </c>
      <c r="AK562" s="27" t="s">
        <v>8</v>
      </c>
      <c r="AL562" s="27" t="s">
        <v>7</v>
      </c>
      <c r="AM562" s="27" t="s">
        <v>8</v>
      </c>
      <c r="AN562" s="27" t="s">
        <v>7</v>
      </c>
      <c r="AO562" s="27" t="s">
        <v>8</v>
      </c>
      <c r="AQ562" s="27" t="s">
        <v>8</v>
      </c>
      <c r="AR562" s="27" t="s">
        <v>7</v>
      </c>
      <c r="DM562" s="27" t="s">
        <v>8</v>
      </c>
      <c r="DN562" s="27" t="s">
        <v>7</v>
      </c>
      <c r="DO562" s="27" t="s">
        <v>8</v>
      </c>
      <c r="DV562" s="27" t="s">
        <v>7</v>
      </c>
      <c r="DW562" s="27" t="s">
        <v>8</v>
      </c>
      <c r="DX562" s="27" t="s">
        <v>7</v>
      </c>
      <c r="DY562" s="27" t="s">
        <v>8</v>
      </c>
      <c r="DZ562" s="27" t="s">
        <v>7</v>
      </c>
      <c r="EA562" s="27" t="s">
        <v>8</v>
      </c>
      <c r="FV562" s="27" t="s">
        <v>7</v>
      </c>
      <c r="FW562" s="27" t="s">
        <v>8</v>
      </c>
      <c r="FX562" s="27" t="s">
        <v>7</v>
      </c>
      <c r="FY562" s="27" t="s">
        <v>8</v>
      </c>
      <c r="FZ562" s="27" t="s">
        <v>7</v>
      </c>
      <c r="GA562" s="27" t="s">
        <v>8</v>
      </c>
      <c r="GF562" s="27" t="s">
        <v>7</v>
      </c>
      <c r="GG562" s="27" t="s">
        <v>8</v>
      </c>
      <c r="GJ562" s="27" t="s">
        <v>7</v>
      </c>
      <c r="GM562" s="27" t="s">
        <v>8</v>
      </c>
      <c r="GN562" s="27" t="s">
        <v>7</v>
      </c>
      <c r="GO562" s="27" t="s">
        <v>8</v>
      </c>
      <c r="GP562" s="27" t="s">
        <v>7</v>
      </c>
      <c r="GQ562" s="27" t="s">
        <v>8</v>
      </c>
      <c r="GR562" s="27" t="s">
        <v>7</v>
      </c>
      <c r="HC562" s="27" t="s">
        <v>8</v>
      </c>
      <c r="HD562" s="27" t="s">
        <v>7</v>
      </c>
      <c r="HE562" s="27" t="s">
        <v>8</v>
      </c>
      <c r="HF562" s="27" t="s">
        <v>7</v>
      </c>
      <c r="HG562" s="27" t="s">
        <v>8</v>
      </c>
      <c r="HH562" s="27" t="s">
        <v>7</v>
      </c>
      <c r="HI562" s="27" t="s">
        <v>8</v>
      </c>
      <c r="HR562" s="27" t="s">
        <v>7</v>
      </c>
      <c r="HS562" s="27" t="s">
        <v>8</v>
      </c>
      <c r="HT562" s="27" t="s">
        <v>7</v>
      </c>
      <c r="HV562" s="27" t="s">
        <v>7</v>
      </c>
      <c r="IC562" s="27" t="s">
        <v>8</v>
      </c>
      <c r="ID562" s="27" t="s">
        <v>7</v>
      </c>
      <c r="IE562" s="27" t="s">
        <v>8</v>
      </c>
      <c r="IF562" s="27" t="s">
        <v>7</v>
      </c>
      <c r="IG562" s="27" t="s">
        <v>8</v>
      </c>
      <c r="IH562" s="27" t="s">
        <v>7</v>
      </c>
      <c r="II562" s="27" t="s">
        <v>8</v>
      </c>
      <c r="IJ562" s="27" t="s">
        <v>7</v>
      </c>
      <c r="IK562" s="27" t="s">
        <v>8</v>
      </c>
      <c r="IL562" s="27" t="s">
        <v>7</v>
      </c>
      <c r="IM562" s="27" t="s">
        <v>8</v>
      </c>
      <c r="IT562" s="27" t="s">
        <v>7</v>
      </c>
      <c r="IV562" s="27" t="s">
        <v>7</v>
      </c>
      <c r="IW562" s="27" t="s">
        <v>8</v>
      </c>
      <c r="JB562" s="27" t="s">
        <v>7</v>
      </c>
      <c r="JW562" s="27" t="s">
        <v>8</v>
      </c>
      <c r="JY562" s="27" t="s">
        <v>8</v>
      </c>
      <c r="JZ562" s="27" t="s">
        <v>7</v>
      </c>
      <c r="KA562" s="27" t="s">
        <v>8</v>
      </c>
    </row>
    <row r="563" spans="1:288" x14ac:dyDescent="0.25">
      <c r="A563" s="7">
        <v>1.6084372494752261</v>
      </c>
      <c r="B563"/>
      <c r="C563"/>
      <c r="D563"/>
      <c r="E563"/>
      <c r="M563" s="27" t="s">
        <v>8</v>
      </c>
      <c r="N563" s="27" t="s">
        <v>7</v>
      </c>
      <c r="O563" s="27" t="s">
        <v>8</v>
      </c>
      <c r="P563" s="27" t="s">
        <v>7</v>
      </c>
      <c r="Q563" s="27" t="s">
        <v>8</v>
      </c>
      <c r="R563" s="27" t="s">
        <v>7</v>
      </c>
      <c r="S563" s="27" t="s">
        <v>8</v>
      </c>
      <c r="T563" s="27" t="s">
        <v>7</v>
      </c>
      <c r="U563" s="27" t="s">
        <v>8</v>
      </c>
      <c r="V563" s="27" t="s">
        <v>7</v>
      </c>
      <c r="W563" s="27" t="s">
        <v>8</v>
      </c>
      <c r="X563" s="27" t="s">
        <v>7</v>
      </c>
      <c r="AC563" s="27" t="s">
        <v>8</v>
      </c>
      <c r="AD563" s="27" t="s">
        <v>7</v>
      </c>
      <c r="AE563" s="27" t="s">
        <v>8</v>
      </c>
      <c r="AF563" s="27" t="s">
        <v>7</v>
      </c>
      <c r="AG563" s="27" t="s">
        <v>8</v>
      </c>
      <c r="AJ563" s="27" t="s">
        <v>7</v>
      </c>
      <c r="AK563" s="27" t="s">
        <v>8</v>
      </c>
      <c r="AL563" s="27" t="s">
        <v>7</v>
      </c>
      <c r="AM563" s="27" t="s">
        <v>8</v>
      </c>
      <c r="AN563" s="27" t="s">
        <v>7</v>
      </c>
      <c r="AO563" s="27" t="s">
        <v>8</v>
      </c>
      <c r="AP563" s="27" t="s">
        <v>7</v>
      </c>
      <c r="AQ563" s="27" t="s">
        <v>8</v>
      </c>
      <c r="AR563" s="27" t="s">
        <v>7</v>
      </c>
      <c r="DM563" s="27" t="s">
        <v>8</v>
      </c>
      <c r="DN563" s="27" t="s">
        <v>7</v>
      </c>
      <c r="DO563" s="27" t="s">
        <v>8</v>
      </c>
      <c r="DV563" s="27" t="s">
        <v>7</v>
      </c>
      <c r="DW563" s="27" t="s">
        <v>8</v>
      </c>
      <c r="DX563" s="27" t="s">
        <v>7</v>
      </c>
      <c r="DY563" s="27" t="s">
        <v>8</v>
      </c>
      <c r="DZ563" s="27" t="s">
        <v>7</v>
      </c>
      <c r="EA563" s="27" t="s">
        <v>8</v>
      </c>
      <c r="FV563" s="27" t="s">
        <v>7</v>
      </c>
      <c r="FW563" s="27" t="s">
        <v>8</v>
      </c>
      <c r="FX563" s="27" t="s">
        <v>7</v>
      </c>
      <c r="FY563" s="27" t="s">
        <v>8</v>
      </c>
      <c r="FZ563" s="27" t="s">
        <v>7</v>
      </c>
      <c r="GA563" s="27" t="s">
        <v>8</v>
      </c>
      <c r="GF563" s="27" t="s">
        <v>7</v>
      </c>
      <c r="GJ563" s="27" t="s">
        <v>7</v>
      </c>
      <c r="GM563" s="27" t="s">
        <v>8</v>
      </c>
      <c r="GN563" s="27" t="s">
        <v>7</v>
      </c>
      <c r="GO563" s="27" t="s">
        <v>8</v>
      </c>
      <c r="GP563" s="27" t="s">
        <v>7</v>
      </c>
      <c r="GQ563" s="27" t="s">
        <v>8</v>
      </c>
      <c r="GR563" s="27" t="s">
        <v>7</v>
      </c>
      <c r="HC563" s="27" t="s">
        <v>8</v>
      </c>
      <c r="HD563" s="27" t="s">
        <v>7</v>
      </c>
      <c r="HE563" s="27" t="s">
        <v>8</v>
      </c>
      <c r="HF563" s="27" t="s">
        <v>7</v>
      </c>
      <c r="HG563" s="27" t="s">
        <v>8</v>
      </c>
      <c r="HH563" s="27" t="s">
        <v>7</v>
      </c>
      <c r="HR563" s="27" t="s">
        <v>7</v>
      </c>
      <c r="HS563" s="27" t="s">
        <v>8</v>
      </c>
      <c r="HV563" s="27" t="s">
        <v>7</v>
      </c>
      <c r="IC563" s="27" t="s">
        <v>8</v>
      </c>
      <c r="ID563" s="27" t="s">
        <v>7</v>
      </c>
      <c r="IE563" s="27" t="s">
        <v>8</v>
      </c>
      <c r="IF563" s="27" t="s">
        <v>7</v>
      </c>
      <c r="IH563" s="27" t="s">
        <v>7</v>
      </c>
      <c r="II563" s="27" t="s">
        <v>8</v>
      </c>
      <c r="IJ563" s="27" t="s">
        <v>7</v>
      </c>
      <c r="IL563" s="27" t="s">
        <v>7</v>
      </c>
      <c r="IM563" s="27" t="s">
        <v>8</v>
      </c>
      <c r="IV563" s="27" t="s">
        <v>7</v>
      </c>
      <c r="JB563" s="27" t="s">
        <v>7</v>
      </c>
      <c r="JS563" s="27" t="s">
        <v>8</v>
      </c>
      <c r="JW563" s="27" t="s">
        <v>8</v>
      </c>
      <c r="JX563" s="27" t="s">
        <v>7</v>
      </c>
      <c r="JY563" s="27" t="s">
        <v>8</v>
      </c>
      <c r="JZ563" s="27" t="s">
        <v>7</v>
      </c>
      <c r="KA563" s="27" t="s">
        <v>8</v>
      </c>
    </row>
    <row r="564" spans="1:288" x14ac:dyDescent="0.25">
      <c r="A564" s="7">
        <v>1.5768992641913981</v>
      </c>
      <c r="B564"/>
      <c r="C564"/>
      <c r="D564"/>
      <c r="E564"/>
      <c r="M564" s="27" t="s">
        <v>8</v>
      </c>
      <c r="N564" s="27" t="s">
        <v>7</v>
      </c>
      <c r="P564" s="27" t="s">
        <v>7</v>
      </c>
      <c r="R564" s="27" t="s">
        <v>7</v>
      </c>
      <c r="S564" s="27" t="s">
        <v>8</v>
      </c>
      <c r="T564" s="27" t="s">
        <v>7</v>
      </c>
      <c r="U564" s="27" t="s">
        <v>8</v>
      </c>
      <c r="V564" s="27" t="s">
        <v>7</v>
      </c>
      <c r="W564" s="27" t="s">
        <v>8</v>
      </c>
      <c r="X564" s="27" t="s">
        <v>7</v>
      </c>
      <c r="AC564" s="27" t="s">
        <v>8</v>
      </c>
      <c r="AD564" s="27" t="s">
        <v>7</v>
      </c>
      <c r="AE564" s="27" t="s">
        <v>8</v>
      </c>
      <c r="AF564" s="27" t="s">
        <v>7</v>
      </c>
      <c r="AG564" s="27" t="s">
        <v>8</v>
      </c>
      <c r="AJ564" s="27" t="s">
        <v>7</v>
      </c>
      <c r="AK564" s="27" t="s">
        <v>8</v>
      </c>
      <c r="AL564" s="27" t="s">
        <v>7</v>
      </c>
      <c r="AN564" s="27" t="s">
        <v>7</v>
      </c>
      <c r="AO564" s="27" t="s">
        <v>8</v>
      </c>
      <c r="AP564" s="27" t="s">
        <v>7</v>
      </c>
      <c r="AQ564" s="27" t="s">
        <v>8</v>
      </c>
      <c r="AR564" s="27" t="s">
        <v>7</v>
      </c>
      <c r="DM564" s="27" t="s">
        <v>8</v>
      </c>
      <c r="DN564" s="27" t="s">
        <v>7</v>
      </c>
      <c r="DV564" s="27" t="s">
        <v>7</v>
      </c>
      <c r="DW564" s="27" t="s">
        <v>8</v>
      </c>
      <c r="DX564" s="27" t="s">
        <v>7</v>
      </c>
      <c r="DY564" s="27" t="s">
        <v>8</v>
      </c>
      <c r="DZ564" s="27" t="s">
        <v>7</v>
      </c>
      <c r="EA564" s="27" t="s">
        <v>8</v>
      </c>
      <c r="FV564" s="27" t="s">
        <v>7</v>
      </c>
      <c r="FW564" s="27" t="s">
        <v>8</v>
      </c>
      <c r="FX564" s="27" t="s">
        <v>7</v>
      </c>
      <c r="FY564" s="27" t="s">
        <v>8</v>
      </c>
      <c r="FZ564" s="27" t="s">
        <v>7</v>
      </c>
      <c r="GA564" s="27" t="s">
        <v>8</v>
      </c>
      <c r="GJ564" s="27" t="s">
        <v>7</v>
      </c>
      <c r="GM564" s="27" t="s">
        <v>8</v>
      </c>
      <c r="GN564" s="27" t="s">
        <v>7</v>
      </c>
      <c r="GO564" s="27" t="s">
        <v>8</v>
      </c>
      <c r="GP564" s="27" t="s">
        <v>7</v>
      </c>
      <c r="GQ564" s="27" t="s">
        <v>8</v>
      </c>
      <c r="GR564" s="27" t="s">
        <v>7</v>
      </c>
      <c r="GS564" s="27" t="s">
        <v>8</v>
      </c>
      <c r="HC564" s="27" t="s">
        <v>8</v>
      </c>
      <c r="HD564" s="27" t="s">
        <v>7</v>
      </c>
      <c r="HE564" s="27" t="s">
        <v>8</v>
      </c>
      <c r="HF564" s="27" t="s">
        <v>7</v>
      </c>
      <c r="HG564" s="27" t="s">
        <v>8</v>
      </c>
      <c r="HR564" s="27" t="s">
        <v>7</v>
      </c>
      <c r="HS564" s="27" t="s">
        <v>8</v>
      </c>
      <c r="HV564" s="27" t="s">
        <v>7</v>
      </c>
      <c r="HW564" s="27" t="s">
        <v>8</v>
      </c>
      <c r="IC564" s="27" t="s">
        <v>8</v>
      </c>
      <c r="ID564" s="27" t="s">
        <v>7</v>
      </c>
      <c r="IE564" s="27" t="s">
        <v>8</v>
      </c>
      <c r="IH564" s="27" t="s">
        <v>7</v>
      </c>
      <c r="IL564" s="27" t="s">
        <v>7</v>
      </c>
      <c r="IM564" s="27" t="s">
        <v>8</v>
      </c>
      <c r="JB564" s="27" t="s">
        <v>7</v>
      </c>
      <c r="JC564" s="27" t="s">
        <v>8</v>
      </c>
      <c r="JS564" s="27" t="s">
        <v>8</v>
      </c>
      <c r="JT564" s="27" t="s">
        <v>7</v>
      </c>
      <c r="JW564" s="27" t="s">
        <v>8</v>
      </c>
      <c r="JX564" s="27" t="s">
        <v>7</v>
      </c>
      <c r="JY564" s="27" t="s">
        <v>8</v>
      </c>
      <c r="JZ564" s="27" t="s">
        <v>7</v>
      </c>
      <c r="KA564" s="27" t="s">
        <v>8</v>
      </c>
    </row>
    <row r="565" spans="1:288" x14ac:dyDescent="0.25">
      <c r="A565" s="7">
        <v>1.5459796707758806</v>
      </c>
      <c r="B565"/>
      <c r="C565"/>
      <c r="D565"/>
      <c r="E565"/>
      <c r="M565" s="27" t="s">
        <v>8</v>
      </c>
      <c r="R565" s="27" t="s">
        <v>7</v>
      </c>
      <c r="S565" s="27" t="s">
        <v>8</v>
      </c>
      <c r="T565" s="27" t="s">
        <v>7</v>
      </c>
      <c r="U565" s="27" t="s">
        <v>8</v>
      </c>
      <c r="V565" s="27" t="s">
        <v>7</v>
      </c>
      <c r="X565" s="27" t="s">
        <v>7</v>
      </c>
      <c r="AC565" s="27" t="s">
        <v>8</v>
      </c>
      <c r="AD565" s="27" t="s">
        <v>7</v>
      </c>
      <c r="AE565" s="27" t="s">
        <v>8</v>
      </c>
      <c r="AF565" s="27" t="s">
        <v>7</v>
      </c>
      <c r="AG565" s="27" t="s">
        <v>8</v>
      </c>
      <c r="AJ565" s="27" t="s">
        <v>7</v>
      </c>
      <c r="AK565" s="27" t="s">
        <v>8</v>
      </c>
      <c r="AN565" s="27" t="s">
        <v>7</v>
      </c>
      <c r="AP565" s="27" t="s">
        <v>7</v>
      </c>
      <c r="AQ565" s="27" t="s">
        <v>8</v>
      </c>
      <c r="AR565" s="27" t="s">
        <v>7</v>
      </c>
      <c r="DM565" s="27" t="s">
        <v>8</v>
      </c>
      <c r="DV565" s="27" t="s">
        <v>7</v>
      </c>
      <c r="DW565" s="27" t="s">
        <v>8</v>
      </c>
      <c r="DX565" s="27" t="s">
        <v>7</v>
      </c>
      <c r="DY565" s="27" t="s">
        <v>8</v>
      </c>
      <c r="DZ565" s="27" t="s">
        <v>7</v>
      </c>
      <c r="EA565" s="27" t="s">
        <v>8</v>
      </c>
      <c r="FV565" s="27" t="s">
        <v>7</v>
      </c>
      <c r="FW565" s="27" t="s">
        <v>8</v>
      </c>
      <c r="FX565" s="27" t="s">
        <v>7</v>
      </c>
      <c r="FY565" s="27" t="s">
        <v>8</v>
      </c>
      <c r="FZ565" s="27" t="s">
        <v>7</v>
      </c>
      <c r="GA565" s="27" t="s">
        <v>8</v>
      </c>
      <c r="GJ565" s="27" t="s">
        <v>7</v>
      </c>
      <c r="GM565" s="27" t="s">
        <v>8</v>
      </c>
      <c r="GN565" s="27" t="s">
        <v>7</v>
      </c>
      <c r="GO565" s="27" t="s">
        <v>8</v>
      </c>
      <c r="GP565" s="27" t="s">
        <v>7</v>
      </c>
      <c r="GQ565" s="27" t="s">
        <v>8</v>
      </c>
      <c r="GR565" s="27" t="s">
        <v>7</v>
      </c>
      <c r="GS565" s="27" t="s">
        <v>8</v>
      </c>
      <c r="GT565" s="27" t="s">
        <v>7</v>
      </c>
      <c r="HA565" s="27" t="s">
        <v>8</v>
      </c>
      <c r="HC565" s="27" t="s">
        <v>8</v>
      </c>
      <c r="HD565" s="27" t="s">
        <v>7</v>
      </c>
      <c r="HE565" s="27" t="s">
        <v>8</v>
      </c>
      <c r="HF565" s="27" t="s">
        <v>7</v>
      </c>
      <c r="HR565" s="27" t="s">
        <v>7</v>
      </c>
      <c r="HS565" s="27" t="s">
        <v>8</v>
      </c>
      <c r="HV565" s="27" t="s">
        <v>7</v>
      </c>
      <c r="HW565" s="27" t="s">
        <v>8</v>
      </c>
      <c r="HX565" s="27" t="s">
        <v>7</v>
      </c>
      <c r="IC565" s="27" t="s">
        <v>8</v>
      </c>
      <c r="ID565" s="27" t="s">
        <v>7</v>
      </c>
      <c r="IL565" s="27" t="s">
        <v>7</v>
      </c>
      <c r="IM565" s="27" t="s">
        <v>8</v>
      </c>
      <c r="JB565" s="27" t="s">
        <v>7</v>
      </c>
      <c r="JC565" s="27" t="s">
        <v>8</v>
      </c>
      <c r="JD565" s="27" t="s">
        <v>7</v>
      </c>
      <c r="JE565" s="27" t="s">
        <v>8</v>
      </c>
      <c r="JO565" s="27" t="s">
        <v>8</v>
      </c>
      <c r="JS565" s="27" t="s">
        <v>8</v>
      </c>
      <c r="JT565" s="27" t="s">
        <v>7</v>
      </c>
      <c r="JU565" s="27" t="s">
        <v>8</v>
      </c>
      <c r="JW565" s="27" t="s">
        <v>8</v>
      </c>
      <c r="JX565" s="27" t="s">
        <v>7</v>
      </c>
      <c r="JY565" s="27" t="s">
        <v>8</v>
      </c>
      <c r="JZ565" s="27" t="s">
        <v>7</v>
      </c>
      <c r="KA565" s="27" t="s">
        <v>8</v>
      </c>
    </row>
    <row r="566" spans="1:288" x14ac:dyDescent="0.25">
      <c r="A566" s="7">
        <v>1.5156663438979221</v>
      </c>
      <c r="B566"/>
      <c r="C566"/>
      <c r="D566"/>
      <c r="E566"/>
      <c r="M566" s="27" t="s">
        <v>8</v>
      </c>
      <c r="R566" s="27" t="s">
        <v>7</v>
      </c>
      <c r="S566" s="27" t="s">
        <v>8</v>
      </c>
      <c r="T566" s="27" t="s">
        <v>7</v>
      </c>
      <c r="X566" s="27" t="s">
        <v>7</v>
      </c>
      <c r="AA566" s="27" t="s">
        <v>8</v>
      </c>
      <c r="AC566" s="27" t="s">
        <v>8</v>
      </c>
      <c r="AD566" s="27" t="s">
        <v>7</v>
      </c>
      <c r="AE566" s="27" t="s">
        <v>8</v>
      </c>
      <c r="AF566" s="27" t="s">
        <v>7</v>
      </c>
      <c r="AJ566" s="27" t="s">
        <v>7</v>
      </c>
      <c r="AP566" s="27" t="s">
        <v>7</v>
      </c>
      <c r="AR566" s="27" t="s">
        <v>7</v>
      </c>
      <c r="DM566" s="27" t="s">
        <v>8</v>
      </c>
      <c r="DV566" s="27" t="s">
        <v>7</v>
      </c>
      <c r="DW566" s="27" t="s">
        <v>8</v>
      </c>
      <c r="DX566" s="27" t="s">
        <v>7</v>
      </c>
      <c r="DY566" s="27" t="s">
        <v>8</v>
      </c>
      <c r="DZ566" s="27" t="s">
        <v>7</v>
      </c>
      <c r="EA566" s="27" t="s">
        <v>8</v>
      </c>
      <c r="FV566" s="27" t="s">
        <v>7</v>
      </c>
      <c r="FW566" s="27" t="s">
        <v>8</v>
      </c>
      <c r="FX566" s="27" t="s">
        <v>7</v>
      </c>
      <c r="FY566" s="27" t="s">
        <v>8</v>
      </c>
      <c r="FZ566" s="27" t="s">
        <v>7</v>
      </c>
      <c r="GA566" s="27" t="s">
        <v>8</v>
      </c>
      <c r="GJ566" s="27" t="s">
        <v>7</v>
      </c>
      <c r="GM566" s="27" t="s">
        <v>8</v>
      </c>
      <c r="GN566" s="27" t="s">
        <v>7</v>
      </c>
      <c r="GO566" s="27" t="s">
        <v>8</v>
      </c>
      <c r="GP566" s="27" t="s">
        <v>7</v>
      </c>
      <c r="GR566" s="27" t="s">
        <v>7</v>
      </c>
      <c r="GS566" s="27" t="s">
        <v>8</v>
      </c>
      <c r="GT566" s="27" t="s">
        <v>7</v>
      </c>
      <c r="HA566" s="27" t="s">
        <v>8</v>
      </c>
      <c r="HB566" s="27" t="s">
        <v>7</v>
      </c>
      <c r="HC566" s="27" t="s">
        <v>8</v>
      </c>
      <c r="HD566" s="27" t="s">
        <v>7</v>
      </c>
      <c r="HR566" s="27" t="s">
        <v>7</v>
      </c>
      <c r="HV566" s="27" t="s">
        <v>7</v>
      </c>
      <c r="HW566" s="27" t="s">
        <v>8</v>
      </c>
      <c r="HX566" s="27" t="s">
        <v>7</v>
      </c>
      <c r="IC566" s="27" t="s">
        <v>8</v>
      </c>
      <c r="IL566" s="27" t="s">
        <v>7</v>
      </c>
      <c r="IM566" s="27" t="s">
        <v>8</v>
      </c>
      <c r="JB566" s="27" t="s">
        <v>7</v>
      </c>
      <c r="JC566" s="27" t="s">
        <v>8</v>
      </c>
      <c r="JD566" s="27" t="s">
        <v>7</v>
      </c>
      <c r="JE566" s="27" t="s">
        <v>8</v>
      </c>
      <c r="JF566" s="27" t="s">
        <v>7</v>
      </c>
      <c r="JO566" s="27" t="s">
        <v>8</v>
      </c>
      <c r="JP566" s="27" t="s">
        <v>7</v>
      </c>
      <c r="JS566" s="27" t="s">
        <v>8</v>
      </c>
      <c r="JT566" s="27" t="s">
        <v>7</v>
      </c>
      <c r="JU566" s="27" t="s">
        <v>8</v>
      </c>
      <c r="JV566" s="27" t="s">
        <v>7</v>
      </c>
      <c r="JW566" s="27" t="s">
        <v>8</v>
      </c>
      <c r="JX566" s="27" t="s">
        <v>7</v>
      </c>
      <c r="JY566" s="27" t="s">
        <v>8</v>
      </c>
      <c r="JZ566" s="27" t="s">
        <v>7</v>
      </c>
      <c r="KA566" s="27" t="s">
        <v>8</v>
      </c>
    </row>
    <row r="567" spans="1:288" x14ac:dyDescent="0.25">
      <c r="A567" s="7">
        <v>1.4859473959783549</v>
      </c>
      <c r="B567"/>
      <c r="C567"/>
      <c r="D567"/>
      <c r="E567"/>
      <c r="M567" s="27" t="s">
        <v>8</v>
      </c>
      <c r="R567" s="27" t="s">
        <v>7</v>
      </c>
      <c r="S567" s="27" t="s">
        <v>8</v>
      </c>
      <c r="X567" s="27" t="s">
        <v>7</v>
      </c>
      <c r="Y567" s="27" t="s">
        <v>8</v>
      </c>
      <c r="AA567" s="27" t="s">
        <v>8</v>
      </c>
      <c r="AB567" s="27" t="s">
        <v>7</v>
      </c>
      <c r="AC567" s="27" t="s">
        <v>8</v>
      </c>
      <c r="AD567" s="27" t="s">
        <v>7</v>
      </c>
      <c r="AE567" s="27" t="s">
        <v>8</v>
      </c>
      <c r="AR567" s="27" t="s">
        <v>7</v>
      </c>
      <c r="DE567" s="27" t="s">
        <v>8</v>
      </c>
      <c r="DM567" s="27" t="s">
        <v>8</v>
      </c>
      <c r="DV567" s="27" t="s">
        <v>7</v>
      </c>
      <c r="DW567" s="27" t="s">
        <v>8</v>
      </c>
      <c r="DX567" s="27" t="s">
        <v>7</v>
      </c>
      <c r="DZ567" s="27" t="s">
        <v>7</v>
      </c>
      <c r="EA567" s="27" t="s">
        <v>8</v>
      </c>
      <c r="FV567" s="27" t="s">
        <v>7</v>
      </c>
      <c r="FW567" s="27" t="s">
        <v>8</v>
      </c>
      <c r="FX567" s="27" t="s">
        <v>7</v>
      </c>
      <c r="FY567" s="27" t="s">
        <v>8</v>
      </c>
      <c r="FZ567" s="27" t="s">
        <v>7</v>
      </c>
      <c r="GA567" s="27" t="s">
        <v>8</v>
      </c>
      <c r="GJ567" s="27" t="s">
        <v>7</v>
      </c>
      <c r="GM567" s="27" t="s">
        <v>8</v>
      </c>
      <c r="GN567" s="27" t="s">
        <v>7</v>
      </c>
      <c r="GR567" s="27" t="s">
        <v>7</v>
      </c>
      <c r="GS567" s="27" t="s">
        <v>8</v>
      </c>
      <c r="GT567" s="27" t="s">
        <v>7</v>
      </c>
      <c r="HA567" s="27" t="s">
        <v>8</v>
      </c>
      <c r="HB567" s="27" t="s">
        <v>7</v>
      </c>
      <c r="HC567" s="27" t="s">
        <v>8</v>
      </c>
      <c r="HV567" s="27" t="s">
        <v>7</v>
      </c>
      <c r="HW567" s="27" t="s">
        <v>8</v>
      </c>
      <c r="HX567" s="27" t="s">
        <v>7</v>
      </c>
      <c r="IA567" s="27" t="s">
        <v>8</v>
      </c>
      <c r="IC567" s="27" t="s">
        <v>8</v>
      </c>
      <c r="IL567" s="27" t="s">
        <v>7</v>
      </c>
      <c r="IM567" s="27" t="s">
        <v>8</v>
      </c>
      <c r="JB567" s="27" t="s">
        <v>7</v>
      </c>
      <c r="JC567" s="27" t="s">
        <v>8</v>
      </c>
      <c r="JD567" s="27" t="s">
        <v>7</v>
      </c>
      <c r="JE567" s="27" t="s">
        <v>8</v>
      </c>
      <c r="JF567" s="27" t="s">
        <v>7</v>
      </c>
      <c r="JO567" s="27" t="s">
        <v>8</v>
      </c>
      <c r="JP567" s="27" t="s">
        <v>7</v>
      </c>
      <c r="JS567" s="27" t="s">
        <v>8</v>
      </c>
      <c r="JT567" s="27" t="s">
        <v>7</v>
      </c>
      <c r="JU567" s="27" t="s">
        <v>8</v>
      </c>
      <c r="JV567" s="27" t="s">
        <v>7</v>
      </c>
      <c r="JW567" s="27" t="s">
        <v>8</v>
      </c>
      <c r="JX567" s="27" t="s">
        <v>7</v>
      </c>
      <c r="JY567" s="27" t="s">
        <v>8</v>
      </c>
      <c r="JZ567" s="27" t="s">
        <v>7</v>
      </c>
      <c r="KA567" s="27" t="s">
        <v>8</v>
      </c>
    </row>
    <row r="568" spans="1:288" x14ac:dyDescent="0.25">
      <c r="A568" s="7">
        <v>1.4568111725277988</v>
      </c>
      <c r="B568"/>
      <c r="C568"/>
      <c r="D568"/>
      <c r="E568"/>
      <c r="M568" s="27" t="s">
        <v>8</v>
      </c>
      <c r="R568" s="27" t="s">
        <v>7</v>
      </c>
      <c r="X568" s="27" t="s">
        <v>7</v>
      </c>
      <c r="Y568" s="27" t="s">
        <v>8</v>
      </c>
      <c r="Z568" s="27" t="s">
        <v>7</v>
      </c>
      <c r="AA568" s="27" t="s">
        <v>8</v>
      </c>
      <c r="AB568" s="27" t="s">
        <v>7</v>
      </c>
      <c r="AC568" s="27" t="s">
        <v>8</v>
      </c>
      <c r="AD568" s="27" t="s">
        <v>7</v>
      </c>
      <c r="AR568" s="27" t="s">
        <v>7</v>
      </c>
      <c r="DE568" s="27" t="s">
        <v>8</v>
      </c>
      <c r="DF568" s="27" t="s">
        <v>7</v>
      </c>
      <c r="DM568" s="27" t="s">
        <v>8</v>
      </c>
      <c r="DV568" s="27" t="s">
        <v>7</v>
      </c>
      <c r="DW568" s="27" t="s">
        <v>8</v>
      </c>
      <c r="DZ568" s="27" t="s">
        <v>7</v>
      </c>
      <c r="FV568" s="27" t="s">
        <v>7</v>
      </c>
      <c r="FW568" s="27" t="s">
        <v>8</v>
      </c>
      <c r="FX568" s="27" t="s">
        <v>7</v>
      </c>
      <c r="FY568" s="27" t="s">
        <v>8</v>
      </c>
      <c r="FZ568" s="27" t="s">
        <v>7</v>
      </c>
      <c r="GA568" s="27" t="s">
        <v>8</v>
      </c>
      <c r="GJ568" s="27" t="s">
        <v>7</v>
      </c>
      <c r="GM568" s="27" t="s">
        <v>8</v>
      </c>
      <c r="GR568" s="27" t="s">
        <v>7</v>
      </c>
      <c r="GT568" s="27" t="s">
        <v>7</v>
      </c>
      <c r="GY568" s="27" t="s">
        <v>8</v>
      </c>
      <c r="HA568" s="27" t="s">
        <v>8</v>
      </c>
      <c r="HB568" s="27" t="s">
        <v>7</v>
      </c>
      <c r="HV568" s="27" t="s">
        <v>7</v>
      </c>
      <c r="HW568" s="27" t="s">
        <v>8</v>
      </c>
      <c r="HX568" s="27" t="s">
        <v>7</v>
      </c>
      <c r="HY568" s="27" t="s">
        <v>8</v>
      </c>
      <c r="IA568" s="27" t="s">
        <v>8</v>
      </c>
      <c r="IB568" s="27" t="s">
        <v>7</v>
      </c>
      <c r="IC568" s="27" t="s">
        <v>8</v>
      </c>
      <c r="IL568" s="27" t="s">
        <v>7</v>
      </c>
      <c r="IM568" s="27" t="s">
        <v>8</v>
      </c>
      <c r="JB568" s="27" t="s">
        <v>7</v>
      </c>
      <c r="JC568" s="27" t="s">
        <v>8</v>
      </c>
      <c r="JD568" s="27" t="s">
        <v>7</v>
      </c>
      <c r="JE568" s="27" t="s">
        <v>8</v>
      </c>
      <c r="JF568" s="27" t="s">
        <v>7</v>
      </c>
      <c r="JO568" s="27" t="s">
        <v>8</v>
      </c>
      <c r="JP568" s="27" t="s">
        <v>7</v>
      </c>
      <c r="JQ568" s="27" t="s">
        <v>8</v>
      </c>
      <c r="JS568" s="27" t="s">
        <v>8</v>
      </c>
      <c r="JT568" s="27" t="s">
        <v>7</v>
      </c>
      <c r="JU568" s="27" t="s">
        <v>8</v>
      </c>
      <c r="JV568" s="27" t="s">
        <v>7</v>
      </c>
      <c r="JX568" s="27" t="s">
        <v>7</v>
      </c>
      <c r="JY568" s="27" t="s">
        <v>8</v>
      </c>
      <c r="JZ568" s="27" t="s">
        <v>7</v>
      </c>
      <c r="KA568" s="27" t="s">
        <v>8</v>
      </c>
    </row>
    <row r="569" spans="1:288" x14ac:dyDescent="0.25">
      <c r="A569" s="7">
        <v>1.4282462475762734</v>
      </c>
      <c r="B569"/>
      <c r="C569"/>
      <c r="D569"/>
      <c r="E569"/>
      <c r="M569" s="27" t="s">
        <v>8</v>
      </c>
      <c r="X569" s="27" t="s">
        <v>7</v>
      </c>
      <c r="Y569" s="27" t="s">
        <v>8</v>
      </c>
      <c r="Z569" s="27" t="s">
        <v>7</v>
      </c>
      <c r="AA569" s="27" t="s">
        <v>8</v>
      </c>
      <c r="AB569" s="27" t="s">
        <v>7</v>
      </c>
      <c r="AC569" s="27" t="s">
        <v>8</v>
      </c>
      <c r="AR569" s="27" t="s">
        <v>7</v>
      </c>
      <c r="DC569" s="27" t="s">
        <v>8</v>
      </c>
      <c r="DE569" s="27" t="s">
        <v>8</v>
      </c>
      <c r="DF569" s="27" t="s">
        <v>7</v>
      </c>
      <c r="DG569" s="27" t="s">
        <v>8</v>
      </c>
      <c r="DK569" s="27" t="s">
        <v>8</v>
      </c>
      <c r="DM569" s="27" t="s">
        <v>8</v>
      </c>
      <c r="DV569" s="27" t="s">
        <v>7</v>
      </c>
      <c r="DW569" s="27" t="s">
        <v>8</v>
      </c>
      <c r="FV569" s="27" t="s">
        <v>7</v>
      </c>
      <c r="FW569" s="27" t="s">
        <v>8</v>
      </c>
      <c r="FX569" s="27" t="s">
        <v>7</v>
      </c>
      <c r="FY569" s="27" t="s">
        <v>8</v>
      </c>
      <c r="FZ569" s="27" t="s">
        <v>7</v>
      </c>
      <c r="GJ569" s="27" t="s">
        <v>7</v>
      </c>
      <c r="GK569" s="27" t="s">
        <v>8</v>
      </c>
      <c r="GM569" s="27" t="s">
        <v>8</v>
      </c>
      <c r="GT569" s="27" t="s">
        <v>7</v>
      </c>
      <c r="GY569" s="27" t="s">
        <v>8</v>
      </c>
      <c r="GZ569" s="27" t="s">
        <v>7</v>
      </c>
      <c r="HA569" s="27" t="s">
        <v>8</v>
      </c>
      <c r="HV569" s="27" t="s">
        <v>7</v>
      </c>
      <c r="HW569" s="27" t="s">
        <v>8</v>
      </c>
      <c r="HX569" s="27" t="s">
        <v>7</v>
      </c>
      <c r="HY569" s="27" t="s">
        <v>8</v>
      </c>
      <c r="HZ569" s="27" t="s">
        <v>7</v>
      </c>
      <c r="IA569" s="27" t="s">
        <v>8</v>
      </c>
      <c r="IB569" s="27" t="s">
        <v>7</v>
      </c>
      <c r="IC569" s="27" t="s">
        <v>8</v>
      </c>
      <c r="IL569" s="27" t="s">
        <v>7</v>
      </c>
      <c r="JB569" s="27" t="s">
        <v>7</v>
      </c>
      <c r="JC569" s="27" t="s">
        <v>8</v>
      </c>
      <c r="JD569" s="27" t="s">
        <v>7</v>
      </c>
      <c r="JE569" s="27" t="s">
        <v>8</v>
      </c>
      <c r="JF569" s="27" t="s">
        <v>7</v>
      </c>
      <c r="JM569" s="27" t="s">
        <v>8</v>
      </c>
      <c r="JO569" s="27" t="s">
        <v>8</v>
      </c>
      <c r="JP569" s="27" t="s">
        <v>7</v>
      </c>
      <c r="JQ569" s="27" t="s">
        <v>8</v>
      </c>
      <c r="JR569" s="27" t="s">
        <v>7</v>
      </c>
      <c r="JS569" s="27" t="s">
        <v>8</v>
      </c>
      <c r="JT569" s="27" t="s">
        <v>7</v>
      </c>
      <c r="JU569" s="27" t="s">
        <v>8</v>
      </c>
      <c r="JX569" s="27" t="s">
        <v>7</v>
      </c>
      <c r="JY569" s="27" t="s">
        <v>8</v>
      </c>
      <c r="JZ569" s="27" t="s">
        <v>7</v>
      </c>
      <c r="KA569" s="27" t="s">
        <v>8</v>
      </c>
    </row>
    <row r="570" spans="1:288" x14ac:dyDescent="0.25">
      <c r="A570" s="7">
        <v>1.4002414191924248</v>
      </c>
      <c r="B570"/>
      <c r="C570"/>
      <c r="D570"/>
      <c r="E570"/>
      <c r="M570" s="27" t="s">
        <v>8</v>
      </c>
      <c r="X570" s="27" t="s">
        <v>7</v>
      </c>
      <c r="Y570" s="27" t="s">
        <v>8</v>
      </c>
      <c r="Z570" s="27" t="s">
        <v>7</v>
      </c>
      <c r="AB570" s="27" t="s">
        <v>7</v>
      </c>
      <c r="AC570" s="27" t="s">
        <v>8</v>
      </c>
      <c r="AR570" s="27" t="s">
        <v>7</v>
      </c>
      <c r="AS570" s="27" t="s">
        <v>8</v>
      </c>
      <c r="DC570" s="27" t="s">
        <v>8</v>
      </c>
      <c r="DD570" s="27" t="s">
        <v>7</v>
      </c>
      <c r="DE570" s="27" t="s">
        <v>8</v>
      </c>
      <c r="DF570" s="27" t="s">
        <v>7</v>
      </c>
      <c r="DG570" s="27" t="s">
        <v>8</v>
      </c>
      <c r="DH570" s="27" t="s">
        <v>7</v>
      </c>
      <c r="DK570" s="27" t="s">
        <v>8</v>
      </c>
      <c r="DL570" s="27" t="s">
        <v>7</v>
      </c>
      <c r="DM570" s="27" t="s">
        <v>8</v>
      </c>
      <c r="DV570" s="27" t="s">
        <v>7</v>
      </c>
      <c r="DW570" s="27" t="s">
        <v>8</v>
      </c>
      <c r="FV570" s="27" t="s">
        <v>7</v>
      </c>
      <c r="FX570" s="27" t="s">
        <v>7</v>
      </c>
      <c r="FY570" s="27" t="s">
        <v>8</v>
      </c>
      <c r="GJ570" s="27" t="s">
        <v>7</v>
      </c>
      <c r="GK570" s="27" t="s">
        <v>8</v>
      </c>
      <c r="GL570" s="27" t="s">
        <v>7</v>
      </c>
      <c r="GM570" s="27" t="s">
        <v>8</v>
      </c>
      <c r="GT570" s="27" t="s">
        <v>7</v>
      </c>
      <c r="GW570" s="27" t="s">
        <v>8</v>
      </c>
      <c r="GY570" s="27" t="s">
        <v>8</v>
      </c>
      <c r="GZ570" s="27" t="s">
        <v>7</v>
      </c>
      <c r="HA570" s="27" t="s">
        <v>8</v>
      </c>
      <c r="HV570" s="27" t="s">
        <v>7</v>
      </c>
      <c r="HW570" s="27" t="s">
        <v>8</v>
      </c>
      <c r="HX570" s="27" t="s">
        <v>7</v>
      </c>
      <c r="HY570" s="27" t="s">
        <v>8</v>
      </c>
      <c r="HZ570" s="27" t="s">
        <v>7</v>
      </c>
      <c r="IA570" s="27" t="s">
        <v>8</v>
      </c>
      <c r="IB570" s="27" t="s">
        <v>7</v>
      </c>
      <c r="IC570" s="27" t="s">
        <v>8</v>
      </c>
      <c r="JB570" s="27" t="s">
        <v>7</v>
      </c>
      <c r="JC570" s="27" t="s">
        <v>8</v>
      </c>
      <c r="JD570" s="27" t="s">
        <v>7</v>
      </c>
      <c r="JE570" s="27" t="s">
        <v>8</v>
      </c>
      <c r="JF570" s="27" t="s">
        <v>7</v>
      </c>
      <c r="JM570" s="27" t="s">
        <v>8</v>
      </c>
      <c r="JN570" s="27" t="s">
        <v>7</v>
      </c>
      <c r="JO570" s="27" t="s">
        <v>8</v>
      </c>
      <c r="JP570" s="27" t="s">
        <v>7</v>
      </c>
      <c r="JQ570" s="27" t="s">
        <v>8</v>
      </c>
      <c r="JR570" s="27" t="s">
        <v>7</v>
      </c>
      <c r="JS570" s="27" t="s">
        <v>8</v>
      </c>
      <c r="JT570" s="27" t="s">
        <v>7</v>
      </c>
      <c r="JU570" s="27" t="s">
        <v>8</v>
      </c>
      <c r="JX570" s="27" t="s">
        <v>7</v>
      </c>
      <c r="JZ570" s="27" t="s">
        <v>7</v>
      </c>
      <c r="KA570" s="27" t="s">
        <v>8</v>
      </c>
    </row>
    <row r="571" spans="1:288" x14ac:dyDescent="0.25">
      <c r="A571" s="7">
        <v>1.3727857050906125</v>
      </c>
      <c r="B571"/>
      <c r="C571"/>
      <c r="D571"/>
      <c r="E571"/>
      <c r="M571" s="27" t="s">
        <v>8</v>
      </c>
      <c r="X571" s="27" t="s">
        <v>7</v>
      </c>
      <c r="Y571" s="27" t="s">
        <v>8</v>
      </c>
      <c r="AB571" s="27" t="s">
        <v>7</v>
      </c>
      <c r="AC571" s="27" t="s">
        <v>8</v>
      </c>
      <c r="AR571" s="27" t="s">
        <v>7</v>
      </c>
      <c r="AS571" s="27" t="s">
        <v>8</v>
      </c>
      <c r="AT571" s="27" t="s">
        <v>7</v>
      </c>
      <c r="DC571" s="27" t="s">
        <v>8</v>
      </c>
      <c r="DD571" s="27" t="s">
        <v>7</v>
      </c>
      <c r="DE571" s="27" t="s">
        <v>8</v>
      </c>
      <c r="DF571" s="27" t="s">
        <v>7</v>
      </c>
      <c r="DG571" s="27" t="s">
        <v>8</v>
      </c>
      <c r="DH571" s="27" t="s">
        <v>7</v>
      </c>
      <c r="DK571" s="27" t="s">
        <v>8</v>
      </c>
      <c r="DL571" s="27" t="s">
        <v>7</v>
      </c>
      <c r="DM571" s="27" t="s">
        <v>8</v>
      </c>
      <c r="DV571" s="27" t="s">
        <v>7</v>
      </c>
      <c r="DW571" s="27" t="s">
        <v>8</v>
      </c>
      <c r="FX571" s="27" t="s">
        <v>7</v>
      </c>
      <c r="FY571" s="27" t="s">
        <v>8</v>
      </c>
      <c r="GJ571" s="27" t="s">
        <v>7</v>
      </c>
      <c r="GK571" s="27" t="s">
        <v>8</v>
      </c>
      <c r="GL571" s="27" t="s">
        <v>7</v>
      </c>
      <c r="GM571" s="27" t="s">
        <v>8</v>
      </c>
      <c r="GT571" s="27" t="s">
        <v>7</v>
      </c>
      <c r="GW571" s="27" t="s">
        <v>8</v>
      </c>
      <c r="GX571" s="27" t="s">
        <v>7</v>
      </c>
      <c r="GY571" s="27" t="s">
        <v>8</v>
      </c>
      <c r="GZ571" s="27" t="s">
        <v>7</v>
      </c>
      <c r="HA571" s="27" t="s">
        <v>8</v>
      </c>
      <c r="HV571" s="27" t="s">
        <v>7</v>
      </c>
      <c r="HW571" s="27" t="s">
        <v>8</v>
      </c>
      <c r="HX571" s="27" t="s">
        <v>7</v>
      </c>
      <c r="HY571" s="27" t="s">
        <v>8</v>
      </c>
      <c r="HZ571" s="27" t="s">
        <v>7</v>
      </c>
      <c r="IA571" s="27" t="s">
        <v>8</v>
      </c>
      <c r="IB571" s="27" t="s">
        <v>7</v>
      </c>
      <c r="IC571" s="27" t="s">
        <v>8</v>
      </c>
      <c r="JB571" s="27" t="s">
        <v>7</v>
      </c>
      <c r="JC571" s="27" t="s">
        <v>8</v>
      </c>
      <c r="JD571" s="27" t="s">
        <v>7</v>
      </c>
      <c r="JE571" s="27" t="s">
        <v>8</v>
      </c>
      <c r="JF571" s="27" t="s">
        <v>7</v>
      </c>
      <c r="JG571" s="27" t="s">
        <v>8</v>
      </c>
      <c r="JM571" s="27" t="s">
        <v>8</v>
      </c>
      <c r="JN571" s="27" t="s">
        <v>7</v>
      </c>
      <c r="JO571" s="27" t="s">
        <v>8</v>
      </c>
      <c r="JP571" s="27" t="s">
        <v>7</v>
      </c>
      <c r="JQ571" s="27" t="s">
        <v>8</v>
      </c>
      <c r="JR571" s="27" t="s">
        <v>7</v>
      </c>
      <c r="JS571" s="27" t="s">
        <v>8</v>
      </c>
      <c r="JT571" s="27" t="s">
        <v>7</v>
      </c>
      <c r="JU571" s="27" t="s">
        <v>8</v>
      </c>
      <c r="JZ571" s="27" t="s">
        <v>7</v>
      </c>
      <c r="KA571" s="27" t="s">
        <v>8</v>
      </c>
    </row>
    <row r="572" spans="1:288" x14ac:dyDescent="0.25">
      <c r="A572" s="7">
        <v>1.3458683383241299</v>
      </c>
      <c r="B572"/>
      <c r="C572"/>
      <c r="D572"/>
      <c r="E572"/>
      <c r="M572" s="27" t="s">
        <v>8</v>
      </c>
      <c r="X572" s="27" t="s">
        <v>7</v>
      </c>
      <c r="Y572" s="27" t="s">
        <v>8</v>
      </c>
      <c r="AB572" s="27" t="s">
        <v>7</v>
      </c>
      <c r="AC572" s="27" t="s">
        <v>8</v>
      </c>
      <c r="AR572" s="27" t="s">
        <v>7</v>
      </c>
      <c r="AS572" s="27" t="s">
        <v>8</v>
      </c>
      <c r="AT572" s="27" t="s">
        <v>7</v>
      </c>
      <c r="CA572" s="27" t="s">
        <v>8</v>
      </c>
      <c r="DC572" s="27" t="s">
        <v>8</v>
      </c>
      <c r="DD572" s="27" t="s">
        <v>7</v>
      </c>
      <c r="DE572" s="27" t="s">
        <v>8</v>
      </c>
      <c r="DF572" s="27" t="s">
        <v>7</v>
      </c>
      <c r="DG572" s="27" t="s">
        <v>8</v>
      </c>
      <c r="DH572" s="27" t="s">
        <v>7</v>
      </c>
      <c r="DI572" s="27" t="s">
        <v>8</v>
      </c>
      <c r="DK572" s="27" t="s">
        <v>8</v>
      </c>
      <c r="DL572" s="27" t="s">
        <v>7</v>
      </c>
      <c r="DM572" s="27" t="s">
        <v>8</v>
      </c>
      <c r="DV572" s="27" t="s">
        <v>7</v>
      </c>
      <c r="FX572" s="27" t="s">
        <v>7</v>
      </c>
      <c r="FY572" s="27" t="s">
        <v>8</v>
      </c>
      <c r="GJ572" s="27" t="s">
        <v>7</v>
      </c>
      <c r="GK572" s="27" t="s">
        <v>8</v>
      </c>
      <c r="GL572" s="27" t="s">
        <v>7</v>
      </c>
      <c r="GM572" s="27" t="s">
        <v>8</v>
      </c>
      <c r="GT572" s="27" t="s">
        <v>7</v>
      </c>
      <c r="GU572" s="27" t="s">
        <v>8</v>
      </c>
      <c r="GW572" s="27" t="s">
        <v>8</v>
      </c>
      <c r="GX572" s="27" t="s">
        <v>7</v>
      </c>
      <c r="GY572" s="27" t="s">
        <v>8</v>
      </c>
      <c r="GZ572" s="27" t="s">
        <v>7</v>
      </c>
      <c r="HA572" s="27" t="s">
        <v>8</v>
      </c>
      <c r="HV572" s="27" t="s">
        <v>7</v>
      </c>
      <c r="HX572" s="27" t="s">
        <v>7</v>
      </c>
      <c r="HZ572" s="27" t="s">
        <v>7</v>
      </c>
      <c r="IA572" s="27" t="s">
        <v>8</v>
      </c>
      <c r="IB572" s="27" t="s">
        <v>7</v>
      </c>
      <c r="JB572" s="27" t="s">
        <v>7</v>
      </c>
      <c r="JC572" s="27" t="s">
        <v>8</v>
      </c>
      <c r="JD572" s="27" t="s">
        <v>7</v>
      </c>
      <c r="JE572" s="27" t="s">
        <v>8</v>
      </c>
      <c r="JF572" s="27" t="s">
        <v>7</v>
      </c>
      <c r="JG572" s="27" t="s">
        <v>8</v>
      </c>
      <c r="JH572" s="27" t="s">
        <v>7</v>
      </c>
      <c r="JI572" s="27" t="s">
        <v>8</v>
      </c>
      <c r="JK572" s="27" t="s">
        <v>8</v>
      </c>
      <c r="JM572" s="27" t="s">
        <v>8</v>
      </c>
      <c r="JN572" s="27" t="s">
        <v>7</v>
      </c>
      <c r="JP572" s="27" t="s">
        <v>7</v>
      </c>
      <c r="JQ572" s="27" t="s">
        <v>8</v>
      </c>
      <c r="JR572" s="27" t="s">
        <v>7</v>
      </c>
      <c r="JS572" s="27" t="s">
        <v>8</v>
      </c>
      <c r="JT572" s="27" t="s">
        <v>7</v>
      </c>
      <c r="JU572" s="27" t="s">
        <v>8</v>
      </c>
      <c r="JZ572" s="27" t="s">
        <v>7</v>
      </c>
      <c r="KA572" s="27" t="s">
        <v>8</v>
      </c>
    </row>
    <row r="573" spans="1:288" x14ac:dyDescent="0.25">
      <c r="A573" s="7">
        <v>1.3194787630628724</v>
      </c>
      <c r="B573"/>
      <c r="C573"/>
      <c r="D573"/>
      <c r="E573"/>
      <c r="M573" s="27" t="s">
        <v>8</v>
      </c>
      <c r="X573" s="27" t="s">
        <v>7</v>
      </c>
      <c r="Y573" s="27" t="s">
        <v>8</v>
      </c>
      <c r="AB573" s="27" t="s">
        <v>7</v>
      </c>
      <c r="AC573" s="27" t="s">
        <v>8</v>
      </c>
      <c r="AR573" s="27" t="s">
        <v>7</v>
      </c>
      <c r="AS573" s="27" t="s">
        <v>8</v>
      </c>
      <c r="AT573" s="27" t="s">
        <v>7</v>
      </c>
      <c r="AU573" s="27" t="s">
        <v>8</v>
      </c>
      <c r="AY573" s="27" t="s">
        <v>8</v>
      </c>
      <c r="CA573" s="27" t="s">
        <v>8</v>
      </c>
      <c r="CB573" s="27" t="s">
        <v>7</v>
      </c>
      <c r="DC573" s="27" t="s">
        <v>8</v>
      </c>
      <c r="DD573" s="27" t="s">
        <v>7</v>
      </c>
      <c r="DE573" s="27" t="s">
        <v>8</v>
      </c>
      <c r="DF573" s="27" t="s">
        <v>7</v>
      </c>
      <c r="DH573" s="27" t="s">
        <v>7</v>
      </c>
      <c r="DI573" s="27" t="s">
        <v>8</v>
      </c>
      <c r="DJ573" s="27" t="s">
        <v>7</v>
      </c>
      <c r="DK573" s="27" t="s">
        <v>8</v>
      </c>
      <c r="DL573" s="27" t="s">
        <v>7</v>
      </c>
      <c r="DM573" s="27" t="s">
        <v>8</v>
      </c>
      <c r="FX573" s="27" t="s">
        <v>7</v>
      </c>
      <c r="FY573" s="27" t="s">
        <v>8</v>
      </c>
      <c r="GJ573" s="27" t="s">
        <v>7</v>
      </c>
      <c r="GK573" s="27" t="s">
        <v>8</v>
      </c>
      <c r="GL573" s="27" t="s">
        <v>7</v>
      </c>
      <c r="GM573" s="27" t="s">
        <v>8</v>
      </c>
      <c r="GT573" s="27" t="s">
        <v>7</v>
      </c>
      <c r="GU573" s="27" t="s">
        <v>8</v>
      </c>
      <c r="GV573" s="27" t="s">
        <v>7</v>
      </c>
      <c r="GW573" s="27" t="s">
        <v>8</v>
      </c>
      <c r="GX573" s="27" t="s">
        <v>7</v>
      </c>
      <c r="GZ573" s="27" t="s">
        <v>7</v>
      </c>
      <c r="HZ573" s="27" t="s">
        <v>7</v>
      </c>
      <c r="JB573" s="27" t="s">
        <v>7</v>
      </c>
      <c r="JC573" s="27" t="s">
        <v>8</v>
      </c>
      <c r="JD573" s="27" t="s">
        <v>7</v>
      </c>
      <c r="JE573" s="27" t="s">
        <v>8</v>
      </c>
      <c r="JF573" s="27" t="s">
        <v>7</v>
      </c>
      <c r="JG573" s="27" t="s">
        <v>8</v>
      </c>
      <c r="JH573" s="27" t="s">
        <v>7</v>
      </c>
      <c r="JI573" s="27" t="s">
        <v>8</v>
      </c>
      <c r="JJ573" s="27" t="s">
        <v>7</v>
      </c>
      <c r="JK573" s="27" t="s">
        <v>8</v>
      </c>
      <c r="JL573" s="27" t="s">
        <v>7</v>
      </c>
      <c r="JM573" s="27" t="s">
        <v>8</v>
      </c>
      <c r="JP573" s="27" t="s">
        <v>7</v>
      </c>
      <c r="JQ573" s="27" t="s">
        <v>8</v>
      </c>
      <c r="JR573" s="27" t="s">
        <v>7</v>
      </c>
      <c r="JS573" s="27" t="s">
        <v>8</v>
      </c>
      <c r="JT573" s="27" t="s">
        <v>7</v>
      </c>
      <c r="JU573" s="27" t="s">
        <v>8</v>
      </c>
      <c r="JZ573" s="27" t="s">
        <v>7</v>
      </c>
      <c r="KA573" s="27" t="s">
        <v>8</v>
      </c>
    </row>
    <row r="574" spans="1:288" x14ac:dyDescent="0.25">
      <c r="A574" s="7">
        <v>1.2936066304537963</v>
      </c>
      <c r="B574"/>
      <c r="C574"/>
      <c r="D574"/>
      <c r="E574" t="s">
        <v>8</v>
      </c>
      <c r="I574" s="27" t="s">
        <v>8</v>
      </c>
      <c r="M574" s="27" t="s">
        <v>8</v>
      </c>
      <c r="X574" s="27" t="s">
        <v>7</v>
      </c>
      <c r="Y574" s="27" t="s">
        <v>8</v>
      </c>
      <c r="AB574" s="27" t="s">
        <v>7</v>
      </c>
      <c r="AC574" s="27" t="s">
        <v>8</v>
      </c>
      <c r="AR574" s="27" t="s">
        <v>7</v>
      </c>
      <c r="AS574" s="27" t="s">
        <v>8</v>
      </c>
      <c r="AT574" s="27" t="s">
        <v>7</v>
      </c>
      <c r="AU574" s="27" t="s">
        <v>8</v>
      </c>
      <c r="AV574" s="27" t="s">
        <v>7</v>
      </c>
      <c r="AY574" s="27" t="s">
        <v>8</v>
      </c>
      <c r="AZ574" s="27" t="s">
        <v>7</v>
      </c>
      <c r="CA574" s="27" t="s">
        <v>8</v>
      </c>
      <c r="CB574" s="27" t="s">
        <v>7</v>
      </c>
      <c r="CW574" s="27" t="s">
        <v>8</v>
      </c>
      <c r="DC574" s="27" t="s">
        <v>8</v>
      </c>
      <c r="DD574" s="27" t="s">
        <v>7</v>
      </c>
      <c r="DE574" s="27" t="s">
        <v>8</v>
      </c>
      <c r="DH574" s="27" t="s">
        <v>7</v>
      </c>
      <c r="DI574" s="27" t="s">
        <v>8</v>
      </c>
      <c r="DJ574" s="27" t="s">
        <v>7</v>
      </c>
      <c r="DK574" s="27" t="s">
        <v>8</v>
      </c>
      <c r="DL574" s="27" t="s">
        <v>7</v>
      </c>
      <c r="DM574" s="27" t="s">
        <v>8</v>
      </c>
      <c r="FX574" s="27" t="s">
        <v>7</v>
      </c>
      <c r="FY574" s="27" t="s">
        <v>8</v>
      </c>
      <c r="GJ574" s="27" t="s">
        <v>7</v>
      </c>
      <c r="GK574" s="27" t="s">
        <v>8</v>
      </c>
      <c r="GL574" s="27" t="s">
        <v>7</v>
      </c>
      <c r="GM574" s="27" t="s">
        <v>8</v>
      </c>
      <c r="GT574" s="27" t="s">
        <v>7</v>
      </c>
      <c r="GU574" s="27" t="s">
        <v>8</v>
      </c>
      <c r="GV574" s="27" t="s">
        <v>7</v>
      </c>
      <c r="GW574" s="27" t="s">
        <v>8</v>
      </c>
      <c r="JB574" s="27" t="s">
        <v>7</v>
      </c>
      <c r="JC574" s="27" t="s">
        <v>8</v>
      </c>
      <c r="JD574" s="27" t="s">
        <v>7</v>
      </c>
      <c r="JE574" s="27" t="s">
        <v>8</v>
      </c>
      <c r="JF574" s="27" t="s">
        <v>7</v>
      </c>
      <c r="JH574" s="27" t="s">
        <v>7</v>
      </c>
      <c r="JI574" s="27" t="s">
        <v>8</v>
      </c>
      <c r="JJ574" s="27" t="s">
        <v>7</v>
      </c>
      <c r="JK574" s="27" t="s">
        <v>8</v>
      </c>
      <c r="JL574" s="27" t="s">
        <v>7</v>
      </c>
      <c r="JM574" s="27" t="s">
        <v>8</v>
      </c>
      <c r="JP574" s="27" t="s">
        <v>7</v>
      </c>
      <c r="JQ574" s="27" t="s">
        <v>8</v>
      </c>
      <c r="JR574" s="27" t="s">
        <v>7</v>
      </c>
      <c r="JS574" s="27" t="s">
        <v>8</v>
      </c>
      <c r="JT574" s="27" t="s">
        <v>7</v>
      </c>
      <c r="JU574" s="27" t="s">
        <v>8</v>
      </c>
      <c r="JZ574" s="27" t="s">
        <v>7</v>
      </c>
      <c r="KA574" s="27" t="s">
        <v>8</v>
      </c>
    </row>
    <row r="575" spans="1:288" x14ac:dyDescent="0.25">
      <c r="A575" s="7">
        <v>1.2682417945625455</v>
      </c>
      <c r="B575"/>
      <c r="C575"/>
      <c r="D575"/>
      <c r="E575" t="s">
        <v>8</v>
      </c>
      <c r="F575" s="27" t="s">
        <v>7</v>
      </c>
      <c r="I575" s="27" t="s">
        <v>8</v>
      </c>
      <c r="J575" s="27" t="s">
        <v>7</v>
      </c>
      <c r="M575" s="27" t="s">
        <v>8</v>
      </c>
      <c r="X575" s="27" t="s">
        <v>7</v>
      </c>
      <c r="AB575" s="27" t="s">
        <v>7</v>
      </c>
      <c r="AC575" s="27" t="s">
        <v>8</v>
      </c>
      <c r="AR575" s="27" t="s">
        <v>7</v>
      </c>
      <c r="AS575" s="27" t="s">
        <v>8</v>
      </c>
      <c r="AT575" s="27" t="s">
        <v>7</v>
      </c>
      <c r="AU575" s="27" t="s">
        <v>8</v>
      </c>
      <c r="AV575" s="27" t="s">
        <v>7</v>
      </c>
      <c r="AW575" s="27" t="s">
        <v>8</v>
      </c>
      <c r="AY575" s="27" t="s">
        <v>8</v>
      </c>
      <c r="AZ575" s="27" t="s">
        <v>7</v>
      </c>
      <c r="CA575" s="27" t="s">
        <v>8</v>
      </c>
      <c r="CB575" s="27" t="s">
        <v>7</v>
      </c>
      <c r="CW575" s="27" t="s">
        <v>8</v>
      </c>
      <c r="CX575" s="27" t="s">
        <v>7</v>
      </c>
      <c r="CY575" s="27" t="s">
        <v>8</v>
      </c>
      <c r="DC575" s="27" t="s">
        <v>8</v>
      </c>
      <c r="DD575" s="27" t="s">
        <v>7</v>
      </c>
      <c r="DE575" s="27" t="s">
        <v>8</v>
      </c>
      <c r="DH575" s="27" t="s">
        <v>7</v>
      </c>
      <c r="DI575" s="27" t="s">
        <v>8</v>
      </c>
      <c r="DJ575" s="27" t="s">
        <v>7</v>
      </c>
      <c r="DK575" s="27" t="s">
        <v>8</v>
      </c>
      <c r="DL575" s="27" t="s">
        <v>7</v>
      </c>
      <c r="FX575" s="27" t="s">
        <v>7</v>
      </c>
      <c r="FY575" s="27" t="s">
        <v>8</v>
      </c>
      <c r="GJ575" s="27" t="s">
        <v>7</v>
      </c>
      <c r="GK575" s="27" t="s">
        <v>8</v>
      </c>
      <c r="GL575" s="27" t="s">
        <v>7</v>
      </c>
      <c r="GM575" s="27" t="s">
        <v>8</v>
      </c>
      <c r="GT575" s="27" t="s">
        <v>7</v>
      </c>
      <c r="GV575" s="27" t="s">
        <v>7</v>
      </c>
      <c r="GW575" s="27" t="s">
        <v>8</v>
      </c>
      <c r="JB575" s="27" t="s">
        <v>7</v>
      </c>
      <c r="JC575" s="27" t="s">
        <v>8</v>
      </c>
      <c r="JD575" s="27" t="s">
        <v>7</v>
      </c>
      <c r="JE575" s="27" t="s">
        <v>8</v>
      </c>
      <c r="JH575" s="27" t="s">
        <v>7</v>
      </c>
      <c r="JI575" s="27" t="s">
        <v>8</v>
      </c>
      <c r="JJ575" s="27" t="s">
        <v>7</v>
      </c>
      <c r="JK575" s="27" t="s">
        <v>8</v>
      </c>
      <c r="JL575" s="27" t="s">
        <v>7</v>
      </c>
      <c r="JM575" s="27" t="s">
        <v>8</v>
      </c>
      <c r="JP575" s="27" t="s">
        <v>7</v>
      </c>
      <c r="JQ575" s="27" t="s">
        <v>8</v>
      </c>
      <c r="JR575" s="27" t="s">
        <v>7</v>
      </c>
      <c r="JS575" s="27" t="s">
        <v>8</v>
      </c>
      <c r="JT575" s="27" t="s">
        <v>7</v>
      </c>
      <c r="JZ575" s="27" t="s">
        <v>7</v>
      </c>
    </row>
    <row r="576" spans="1:288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G576" s="27" t="s">
        <v>8</v>
      </c>
      <c r="I576" s="27" t="s">
        <v>8</v>
      </c>
      <c r="J576" s="27" t="s">
        <v>7</v>
      </c>
      <c r="M576" s="27" t="s">
        <v>8</v>
      </c>
      <c r="AB576" s="27" t="s">
        <v>7</v>
      </c>
      <c r="AC576" s="27" t="s">
        <v>8</v>
      </c>
      <c r="AR576" s="27" t="s">
        <v>7</v>
      </c>
      <c r="AT576" s="27" t="s">
        <v>7</v>
      </c>
      <c r="AU576" s="27" t="s">
        <v>8</v>
      </c>
      <c r="AV576" s="27" t="s">
        <v>7</v>
      </c>
      <c r="AW576" s="27" t="s">
        <v>8</v>
      </c>
      <c r="AX576" s="27" t="s">
        <v>7</v>
      </c>
      <c r="AY576" s="27" t="s">
        <v>8</v>
      </c>
      <c r="AZ576" s="27" t="s">
        <v>7</v>
      </c>
      <c r="CA576" s="27" t="s">
        <v>8</v>
      </c>
      <c r="CB576" s="27" t="s">
        <v>7</v>
      </c>
      <c r="CW576" s="27" t="s">
        <v>8</v>
      </c>
      <c r="CX576" s="27" t="s">
        <v>7</v>
      </c>
      <c r="CY576" s="27" t="s">
        <v>8</v>
      </c>
      <c r="CZ576" s="27" t="s">
        <v>7</v>
      </c>
      <c r="DC576" s="27" t="s">
        <v>8</v>
      </c>
      <c r="DD576" s="27" t="s">
        <v>7</v>
      </c>
      <c r="DE576" s="27" t="s">
        <v>8</v>
      </c>
      <c r="DH576" s="27" t="s">
        <v>7</v>
      </c>
      <c r="DI576" s="27" t="s">
        <v>8</v>
      </c>
      <c r="DJ576" s="27" t="s">
        <v>7</v>
      </c>
      <c r="DK576" s="27" t="s">
        <v>8</v>
      </c>
      <c r="FX576" s="27" t="s">
        <v>7</v>
      </c>
      <c r="FY576" s="27" t="s">
        <v>8</v>
      </c>
      <c r="GJ576" s="27" t="s">
        <v>7</v>
      </c>
      <c r="GK576" s="27" t="s">
        <v>8</v>
      </c>
      <c r="GL576" s="27" t="s">
        <v>7</v>
      </c>
      <c r="GM576" s="27" t="s">
        <v>8</v>
      </c>
      <c r="GV576" s="27" t="s">
        <v>7</v>
      </c>
      <c r="GW576" s="27" t="s">
        <v>8</v>
      </c>
      <c r="JB576" s="27" t="s">
        <v>7</v>
      </c>
      <c r="JC576" s="27" t="s">
        <v>8</v>
      </c>
      <c r="JD576" s="27" t="s">
        <v>7</v>
      </c>
      <c r="JE576" s="27" t="s">
        <v>8</v>
      </c>
      <c r="JH576" s="27" t="s">
        <v>7</v>
      </c>
      <c r="JI576" s="27" t="s">
        <v>8</v>
      </c>
      <c r="JJ576" s="27" t="s">
        <v>7</v>
      </c>
      <c r="JL576" s="27" t="s">
        <v>7</v>
      </c>
      <c r="JM576" s="27" t="s">
        <v>8</v>
      </c>
      <c r="JP576" s="27" t="s">
        <v>7</v>
      </c>
      <c r="JR576" s="27" t="s">
        <v>7</v>
      </c>
      <c r="JS576" s="27" t="s">
        <v>8</v>
      </c>
    </row>
    <row r="577" spans="1:279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G577" s="27" t="s">
        <v>8</v>
      </c>
      <c r="H577" s="27" t="s">
        <v>7</v>
      </c>
      <c r="I577" s="27" t="s">
        <v>8</v>
      </c>
      <c r="J577" s="27" t="s">
        <v>7</v>
      </c>
      <c r="M577" s="27" t="s">
        <v>8</v>
      </c>
      <c r="AB577" s="27" t="s">
        <v>7</v>
      </c>
      <c r="AC577" s="27" t="s">
        <v>8</v>
      </c>
      <c r="AT577" s="27" t="s">
        <v>7</v>
      </c>
      <c r="AU577" s="27" t="s">
        <v>8</v>
      </c>
      <c r="AV577" s="27" t="s">
        <v>7</v>
      </c>
      <c r="AW577" s="27" t="s">
        <v>8</v>
      </c>
      <c r="AX577" s="27" t="s">
        <v>7</v>
      </c>
      <c r="AY577" s="27" t="s">
        <v>8</v>
      </c>
      <c r="AZ577" s="27" t="s">
        <v>7</v>
      </c>
      <c r="CA577" s="27" t="s">
        <v>8</v>
      </c>
      <c r="CB577" s="27" t="s">
        <v>7</v>
      </c>
      <c r="CW577" s="27" t="s">
        <v>8</v>
      </c>
      <c r="CX577" s="27" t="s">
        <v>7</v>
      </c>
      <c r="CY577" s="27" t="s">
        <v>8</v>
      </c>
      <c r="CZ577" s="27" t="s">
        <v>7</v>
      </c>
      <c r="DC577" s="27" t="s">
        <v>8</v>
      </c>
      <c r="DD577" s="27" t="s">
        <v>7</v>
      </c>
      <c r="DE577" s="27" t="s">
        <v>8</v>
      </c>
      <c r="DH577" s="27" t="s">
        <v>7</v>
      </c>
      <c r="DI577" s="27" t="s">
        <v>8</v>
      </c>
      <c r="DJ577" s="27" t="s">
        <v>7</v>
      </c>
      <c r="FX577" s="27" t="s">
        <v>7</v>
      </c>
      <c r="FY577" s="27" t="s">
        <v>8</v>
      </c>
      <c r="GJ577" s="27" t="s">
        <v>7</v>
      </c>
      <c r="GK577" s="27" t="s">
        <v>8</v>
      </c>
      <c r="GL577" s="27" t="s">
        <v>7</v>
      </c>
      <c r="GM577" s="27" t="s">
        <v>8</v>
      </c>
      <c r="GV577" s="18" t="s">
        <v>7</v>
      </c>
      <c r="GW577" s="27" t="s">
        <v>8</v>
      </c>
      <c r="JB577" s="27" t="s">
        <v>7</v>
      </c>
      <c r="JC577" s="27" t="s">
        <v>8</v>
      </c>
      <c r="JD577" s="27" t="s">
        <v>7</v>
      </c>
      <c r="JH577" s="27" t="s">
        <v>7</v>
      </c>
      <c r="JI577" s="27" t="s">
        <v>8</v>
      </c>
      <c r="JL577" s="27" t="s">
        <v>7</v>
      </c>
      <c r="JM577" s="27" t="s">
        <v>8</v>
      </c>
      <c r="JR577" s="27" t="s">
        <v>7</v>
      </c>
      <c r="JS577" s="27" t="s">
        <v>8</v>
      </c>
    </row>
    <row r="578" spans="1:279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G578" s="27" t="s">
        <v>8</v>
      </c>
      <c r="H578" s="27" t="s">
        <v>7</v>
      </c>
      <c r="I578" s="27" t="s">
        <v>8</v>
      </c>
      <c r="J578" s="27" t="s">
        <v>7</v>
      </c>
      <c r="K578" s="27" t="s">
        <v>8</v>
      </c>
      <c r="M578" s="27" t="s">
        <v>8</v>
      </c>
      <c r="AB578" s="27" t="s">
        <v>7</v>
      </c>
      <c r="AT578" s="27" t="s">
        <v>7</v>
      </c>
      <c r="AU578" s="27" t="s">
        <v>8</v>
      </c>
      <c r="AV578" s="27" t="s">
        <v>7</v>
      </c>
      <c r="AW578" s="27" t="s">
        <v>8</v>
      </c>
      <c r="AX578" s="27" t="s">
        <v>7</v>
      </c>
      <c r="AZ578" s="27" t="s">
        <v>7</v>
      </c>
      <c r="BA578" s="27" t="s">
        <v>8</v>
      </c>
      <c r="CA578" s="27" t="s">
        <v>8</v>
      </c>
      <c r="CB578" s="27" t="s">
        <v>7</v>
      </c>
      <c r="CW578" s="27" t="s">
        <v>8</v>
      </c>
      <c r="CX578" s="27" t="s">
        <v>7</v>
      </c>
      <c r="CY578" s="27" t="s">
        <v>8</v>
      </c>
      <c r="CZ578" s="27" t="s">
        <v>7</v>
      </c>
      <c r="DC578" s="27" t="s">
        <v>8</v>
      </c>
      <c r="DD578" s="27" t="s">
        <v>7</v>
      </c>
      <c r="DE578" s="27" t="s">
        <v>8</v>
      </c>
      <c r="DH578" s="27" t="s">
        <v>7</v>
      </c>
      <c r="DI578" s="27" t="s">
        <v>8</v>
      </c>
      <c r="FX578" s="27" t="s">
        <v>7</v>
      </c>
      <c r="GJ578" s="27" t="s">
        <v>7</v>
      </c>
      <c r="GK578" s="27" t="s">
        <v>8</v>
      </c>
      <c r="GL578" s="27" t="s">
        <v>7</v>
      </c>
      <c r="GM578" s="27" t="s">
        <v>8</v>
      </c>
      <c r="GV578" s="27" t="s">
        <v>7</v>
      </c>
      <c r="GW578" s="27" t="s">
        <v>8</v>
      </c>
      <c r="JB578" s="27" t="s">
        <v>7</v>
      </c>
      <c r="JH578" s="27" t="s">
        <v>7</v>
      </c>
      <c r="JI578" s="27" t="s">
        <v>8</v>
      </c>
      <c r="JL578" s="27" t="s">
        <v>7</v>
      </c>
      <c r="JR578" s="27" t="s">
        <v>7</v>
      </c>
    </row>
    <row r="579" spans="1:279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G579" s="27" t="s">
        <v>8</v>
      </c>
      <c r="H579" s="27" t="s">
        <v>7</v>
      </c>
      <c r="I579" s="27" t="s">
        <v>8</v>
      </c>
      <c r="J579" s="27" t="s">
        <v>7</v>
      </c>
      <c r="K579" s="27" t="s">
        <v>8</v>
      </c>
      <c r="L579" s="27" t="s">
        <v>7</v>
      </c>
      <c r="M579" s="27" t="s">
        <v>8</v>
      </c>
      <c r="AT579" s="27" t="s">
        <v>7</v>
      </c>
      <c r="AU579" s="27" t="s">
        <v>8</v>
      </c>
      <c r="AV579" s="27" t="s">
        <v>7</v>
      </c>
      <c r="AW579" s="27" t="s">
        <v>8</v>
      </c>
      <c r="AZ579" s="27" t="s">
        <v>7</v>
      </c>
      <c r="BA579" s="27" t="s">
        <v>8</v>
      </c>
      <c r="BB579" s="27" t="s">
        <v>7</v>
      </c>
      <c r="CA579" s="27" t="s">
        <v>8</v>
      </c>
      <c r="CB579" s="27" t="s">
        <v>7</v>
      </c>
      <c r="CW579" s="27" t="s">
        <v>8</v>
      </c>
      <c r="CX579" s="27" t="s">
        <v>7</v>
      </c>
      <c r="CY579" s="27" t="s">
        <v>8</v>
      </c>
      <c r="CZ579" s="27" t="s">
        <v>7</v>
      </c>
      <c r="DC579" s="27" t="s">
        <v>8</v>
      </c>
      <c r="DD579" s="27" t="s">
        <v>7</v>
      </c>
      <c r="DE579" s="27" t="s">
        <v>8</v>
      </c>
      <c r="DH579" s="27" t="s">
        <v>7</v>
      </c>
      <c r="DI579" s="27" t="s">
        <v>8</v>
      </c>
      <c r="GJ579" s="27" t="s">
        <v>7</v>
      </c>
      <c r="GK579" s="27" t="s">
        <v>8</v>
      </c>
      <c r="GL579" s="27" t="s">
        <v>7</v>
      </c>
      <c r="GV579" s="27" t="s">
        <v>7</v>
      </c>
      <c r="GW579" s="27" t="s">
        <v>8</v>
      </c>
      <c r="JH579" s="27" t="s">
        <v>7</v>
      </c>
    </row>
    <row r="580" spans="1:279" x14ac:dyDescent="0.25">
      <c r="A580" s="7">
        <v>1.14868566764928</v>
      </c>
      <c r="B580"/>
      <c r="C580"/>
      <c r="D580"/>
      <c r="E580" t="s">
        <v>8</v>
      </c>
      <c r="F580" s="27" t="s">
        <v>7</v>
      </c>
      <c r="G580" s="27" t="s">
        <v>8</v>
      </c>
      <c r="H580" s="27" t="s">
        <v>7</v>
      </c>
      <c r="J580" s="27" t="s">
        <v>7</v>
      </c>
      <c r="K580" s="27" t="s">
        <v>8</v>
      </c>
      <c r="L580" s="27" t="s">
        <v>7</v>
      </c>
      <c r="M580" s="27" t="s">
        <v>8</v>
      </c>
      <c r="AT580" s="27" t="s">
        <v>7</v>
      </c>
      <c r="AU580" s="27" t="s">
        <v>8</v>
      </c>
      <c r="AV580" s="27" t="s">
        <v>7</v>
      </c>
      <c r="AZ580" s="27" t="s">
        <v>7</v>
      </c>
      <c r="BA580" s="27" t="s">
        <v>8</v>
      </c>
      <c r="BB580" s="27" t="s">
        <v>7</v>
      </c>
      <c r="CA580" s="27" t="s">
        <v>8</v>
      </c>
      <c r="CB580" s="27" t="s">
        <v>7</v>
      </c>
      <c r="CW580" s="27" t="s">
        <v>8</v>
      </c>
      <c r="CX580" s="27" t="s">
        <v>7</v>
      </c>
      <c r="CY580" s="27" t="s">
        <v>8</v>
      </c>
      <c r="CZ580" s="27" t="s">
        <v>7</v>
      </c>
      <c r="DC580" s="27" t="s">
        <v>8</v>
      </c>
      <c r="DD580" s="27" t="s">
        <v>7</v>
      </c>
      <c r="DH580" s="27" t="s">
        <v>7</v>
      </c>
      <c r="GJ580" s="27" t="s">
        <v>7</v>
      </c>
      <c r="GK580" s="27" t="s">
        <v>8</v>
      </c>
      <c r="GV580" s="27" t="s">
        <v>7</v>
      </c>
      <c r="GW580" s="27" t="s">
        <v>8</v>
      </c>
    </row>
    <row r="581" spans="1:279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G581" s="27" t="s">
        <v>8</v>
      </c>
      <c r="J581" s="27" t="s">
        <v>7</v>
      </c>
      <c r="K581" s="27" t="s">
        <v>8</v>
      </c>
      <c r="L581" s="27" t="s">
        <v>7</v>
      </c>
      <c r="M581" s="27" t="s">
        <v>8</v>
      </c>
      <c r="AT581" s="27" t="s">
        <v>7</v>
      </c>
      <c r="AU581" s="27" t="s">
        <v>8</v>
      </c>
      <c r="AZ581" s="27" t="s">
        <v>7</v>
      </c>
      <c r="BB581" s="27" t="s">
        <v>7</v>
      </c>
      <c r="CA581" s="27" t="s">
        <v>8</v>
      </c>
      <c r="CB581" s="27" t="s">
        <v>7</v>
      </c>
      <c r="CW581" s="27" t="s">
        <v>8</v>
      </c>
      <c r="CX581" s="27" t="s">
        <v>7</v>
      </c>
      <c r="CY581" s="27" t="s">
        <v>8</v>
      </c>
      <c r="CZ581" s="27" t="s">
        <v>7</v>
      </c>
      <c r="DC581" s="27" t="s">
        <v>8</v>
      </c>
      <c r="GJ581" s="27" t="s">
        <v>7</v>
      </c>
      <c r="GK581" s="27" t="s">
        <v>8</v>
      </c>
      <c r="GV581" s="27" t="s">
        <v>7</v>
      </c>
    </row>
    <row r="582" spans="1:279" x14ac:dyDescent="0.25">
      <c r="A582" s="7">
        <v>1.1040808032</v>
      </c>
      <c r="B582"/>
      <c r="C582"/>
      <c r="D582"/>
      <c r="E582" t="s">
        <v>8</v>
      </c>
      <c r="F582" s="27" t="s">
        <v>7</v>
      </c>
      <c r="G582" s="27" t="s">
        <v>8</v>
      </c>
      <c r="J582" s="27" t="s">
        <v>7</v>
      </c>
      <c r="L582" s="27" t="s">
        <v>7</v>
      </c>
      <c r="M582" s="27" t="s">
        <v>8</v>
      </c>
      <c r="AT582" s="27" t="s">
        <v>7</v>
      </c>
      <c r="AU582" s="27" t="s">
        <v>8</v>
      </c>
      <c r="BB582" s="27" t="s">
        <v>7</v>
      </c>
      <c r="CA582" s="27" t="s">
        <v>8</v>
      </c>
      <c r="CB582" s="27" t="s">
        <v>7</v>
      </c>
      <c r="CC582" s="27" t="s">
        <v>8</v>
      </c>
      <c r="CW582" s="27" t="s">
        <v>8</v>
      </c>
      <c r="CX582" s="27" t="s">
        <v>7</v>
      </c>
      <c r="CY582" s="27" t="s">
        <v>8</v>
      </c>
      <c r="CZ582" s="27" t="s">
        <v>7</v>
      </c>
      <c r="DC582" s="27" t="s">
        <v>8</v>
      </c>
      <c r="GJ582" s="27" t="s">
        <v>7</v>
      </c>
      <c r="GK582" s="27" t="s">
        <v>8</v>
      </c>
    </row>
    <row r="583" spans="1:279" x14ac:dyDescent="0.25">
      <c r="A583" s="7">
        <v>1.08243216</v>
      </c>
      <c r="B583"/>
      <c r="C583"/>
      <c r="D583"/>
      <c r="E583" t="s">
        <v>8</v>
      </c>
      <c r="F583" s="27" t="s">
        <v>7</v>
      </c>
      <c r="G583" s="27" t="s">
        <v>8</v>
      </c>
      <c r="L583" s="27" t="s">
        <v>7</v>
      </c>
      <c r="M583" s="27" t="s">
        <v>8</v>
      </c>
      <c r="AT583" s="27" t="s">
        <v>7</v>
      </c>
      <c r="AU583" s="27" t="s">
        <v>8</v>
      </c>
      <c r="BB583" s="27" t="s">
        <v>7</v>
      </c>
      <c r="CA583" s="27" t="s">
        <v>8</v>
      </c>
      <c r="CB583" s="27" t="s">
        <v>7</v>
      </c>
      <c r="CC583" s="27" t="s">
        <v>8</v>
      </c>
      <c r="CD583" s="27" t="s">
        <v>7</v>
      </c>
      <c r="CW583" s="27" t="s">
        <v>8</v>
      </c>
      <c r="CX583" s="27" t="s">
        <v>7</v>
      </c>
      <c r="CY583" s="27" t="s">
        <v>8</v>
      </c>
      <c r="CZ583" s="27" t="s">
        <v>7</v>
      </c>
      <c r="DA583" s="27" t="s">
        <v>8</v>
      </c>
      <c r="DC583" s="27" t="s">
        <v>8</v>
      </c>
      <c r="GJ583" s="27" t="s">
        <v>7</v>
      </c>
    </row>
    <row r="584" spans="1:279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L584" s="27" t="s">
        <v>7</v>
      </c>
      <c r="M584" s="27" t="s">
        <v>8</v>
      </c>
      <c r="AT584" s="27" t="s">
        <v>7</v>
      </c>
      <c r="BB584" s="27" t="s">
        <v>7</v>
      </c>
      <c r="BE584" s="27" t="s">
        <v>8</v>
      </c>
      <c r="CA584" s="27" t="s">
        <v>8</v>
      </c>
      <c r="CB584" s="27" t="s">
        <v>7</v>
      </c>
      <c r="CC584" s="27" t="s">
        <v>8</v>
      </c>
      <c r="CD584" s="27" t="s">
        <v>7</v>
      </c>
      <c r="CE584" s="27" t="s">
        <v>8</v>
      </c>
      <c r="CW584" s="27" t="s">
        <v>8</v>
      </c>
      <c r="CX584" s="27" t="s">
        <v>7</v>
      </c>
      <c r="CY584" s="27" t="s">
        <v>8</v>
      </c>
      <c r="CZ584" s="27" t="s">
        <v>7</v>
      </c>
      <c r="DA584" s="27" t="s">
        <v>8</v>
      </c>
      <c r="DB584" s="27" t="s">
        <v>7</v>
      </c>
      <c r="DC584" s="27" t="s">
        <v>8</v>
      </c>
    </row>
    <row r="585" spans="1:279" x14ac:dyDescent="0.25">
      <c r="A585" s="7">
        <v>1.0404</v>
      </c>
      <c r="B585"/>
      <c r="C585"/>
      <c r="D585"/>
      <c r="E585" t="s">
        <v>8</v>
      </c>
      <c r="L585" s="27" t="s">
        <v>7</v>
      </c>
      <c r="M585" s="27" t="s">
        <v>8</v>
      </c>
      <c r="BB585" s="27" t="s">
        <v>7</v>
      </c>
      <c r="BE585" s="27" t="s">
        <v>8</v>
      </c>
      <c r="BF585" s="27" t="s">
        <v>7</v>
      </c>
      <c r="BG585" s="27" t="s">
        <v>8</v>
      </c>
      <c r="BM585" s="27" t="s">
        <v>8</v>
      </c>
      <c r="CA585" s="27" t="s">
        <v>8</v>
      </c>
      <c r="CB585" s="27" t="s">
        <v>7</v>
      </c>
      <c r="CC585" s="27" t="s">
        <v>8</v>
      </c>
      <c r="CD585" s="27" t="s">
        <v>7</v>
      </c>
      <c r="CE585" s="27" t="s">
        <v>8</v>
      </c>
      <c r="CF585" s="27" t="s">
        <v>7</v>
      </c>
      <c r="CW585" s="27" t="s">
        <v>8</v>
      </c>
      <c r="CX585" s="27" t="s">
        <v>7</v>
      </c>
      <c r="CY585" s="27" t="s">
        <v>8</v>
      </c>
      <c r="CZ585" s="27" t="s">
        <v>7</v>
      </c>
      <c r="DA585" s="27" t="s">
        <v>8</v>
      </c>
      <c r="DB585" s="27" t="s">
        <v>7</v>
      </c>
      <c r="DC585" s="27" t="s">
        <v>8</v>
      </c>
    </row>
    <row r="586" spans="1:279" x14ac:dyDescent="0.25">
      <c r="A586" s="7">
        <v>1.02</v>
      </c>
      <c r="B586"/>
      <c r="C586"/>
      <c r="D586"/>
      <c r="E586" t="s">
        <v>8</v>
      </c>
      <c r="L586" s="27" t="s">
        <v>7</v>
      </c>
      <c r="BB586" s="27" t="s">
        <v>7</v>
      </c>
      <c r="BE586" s="27" t="s">
        <v>8</v>
      </c>
      <c r="BF586" s="27" t="s">
        <v>7</v>
      </c>
      <c r="BG586" s="27" t="s">
        <v>8</v>
      </c>
      <c r="BH586" s="27" t="s">
        <v>7</v>
      </c>
      <c r="BM586" s="27" t="s">
        <v>8</v>
      </c>
      <c r="BN586" s="27" t="s">
        <v>7</v>
      </c>
      <c r="CA586" s="27" t="s">
        <v>8</v>
      </c>
      <c r="CB586" s="27" t="s">
        <v>7</v>
      </c>
      <c r="CC586" s="27" t="s">
        <v>8</v>
      </c>
      <c r="CD586" s="27" t="s">
        <v>7</v>
      </c>
      <c r="CE586" s="27" t="s">
        <v>8</v>
      </c>
      <c r="CF586" s="27" t="s">
        <v>7</v>
      </c>
      <c r="CW586" s="27" t="s">
        <v>8</v>
      </c>
      <c r="CX586" s="27" t="s">
        <v>7</v>
      </c>
      <c r="CY586" s="27" t="s">
        <v>8</v>
      </c>
      <c r="CZ586" s="27" t="s">
        <v>7</v>
      </c>
      <c r="DA586" s="27" t="s">
        <v>8</v>
      </c>
      <c r="DB586" s="27" t="s">
        <v>7</v>
      </c>
      <c r="DC586" s="27" t="s">
        <v>8</v>
      </c>
    </row>
    <row r="587" spans="1:279" x14ac:dyDescent="0.25">
      <c r="A587" s="7">
        <v>1</v>
      </c>
      <c r="B587"/>
      <c r="C587"/>
      <c r="D587"/>
      <c r="E587" s="29" t="s">
        <v>8</v>
      </c>
      <c r="BB587" s="27" t="s">
        <v>7</v>
      </c>
      <c r="BE587" s="27" t="s">
        <v>8</v>
      </c>
      <c r="BF587" s="27" t="s">
        <v>7</v>
      </c>
      <c r="BG587" s="27" t="s">
        <v>8</v>
      </c>
      <c r="BH587" s="27" t="s">
        <v>7</v>
      </c>
      <c r="BM587" s="27" t="s">
        <v>8</v>
      </c>
      <c r="BN587" s="27" t="s">
        <v>7</v>
      </c>
      <c r="CA587" s="27" t="s">
        <v>8</v>
      </c>
      <c r="CB587" s="27" t="s">
        <v>7</v>
      </c>
      <c r="CC587" s="27" t="s">
        <v>8</v>
      </c>
      <c r="CD587" s="27" t="s">
        <v>7</v>
      </c>
      <c r="CE587" s="27" t="s">
        <v>8</v>
      </c>
      <c r="CF587" s="27" t="s">
        <v>7</v>
      </c>
      <c r="CW587" s="27" t="s">
        <v>8</v>
      </c>
      <c r="CX587" s="27" t="s">
        <v>7</v>
      </c>
      <c r="CY587" s="27" t="s">
        <v>8</v>
      </c>
      <c r="CZ587" s="27" t="s">
        <v>7</v>
      </c>
      <c r="DA587" s="27" t="s">
        <v>8</v>
      </c>
      <c r="DB587" s="27" t="s">
        <v>7</v>
      </c>
      <c r="DC587" s="27" t="s">
        <v>8</v>
      </c>
    </row>
    <row r="588" spans="1:279" x14ac:dyDescent="0.25">
      <c r="A588" s="7">
        <v>0.98039215686274506</v>
      </c>
      <c r="B588"/>
      <c r="C588"/>
      <c r="D588"/>
      <c r="E588"/>
      <c r="BB588" s="27" t="s">
        <v>7</v>
      </c>
      <c r="BE588" s="27" t="s">
        <v>8</v>
      </c>
      <c r="BF588" s="27" t="s">
        <v>7</v>
      </c>
      <c r="BG588" s="27" t="s">
        <v>8</v>
      </c>
      <c r="BH588" s="27" t="s">
        <v>7</v>
      </c>
      <c r="BK588" s="27" t="s">
        <v>8</v>
      </c>
      <c r="BM588" s="27" t="s">
        <v>8</v>
      </c>
      <c r="BN588" s="27" t="s">
        <v>7</v>
      </c>
      <c r="BY588" s="27" t="s">
        <v>8</v>
      </c>
      <c r="CA588" s="27" t="s">
        <v>8</v>
      </c>
      <c r="CB588" s="27" t="s">
        <v>7</v>
      </c>
      <c r="CC588" s="27" t="s">
        <v>8</v>
      </c>
      <c r="CD588" s="27" t="s">
        <v>7</v>
      </c>
      <c r="CF588" s="27" t="s">
        <v>7</v>
      </c>
      <c r="CG588" s="27" t="s">
        <v>8</v>
      </c>
      <c r="CK588" s="27" t="s">
        <v>8</v>
      </c>
      <c r="CM588" s="27" t="s">
        <v>8</v>
      </c>
      <c r="CW588" s="27" t="s">
        <v>8</v>
      </c>
      <c r="CX588" s="27" t="s">
        <v>7</v>
      </c>
      <c r="CY588" s="27" t="s">
        <v>8</v>
      </c>
      <c r="CZ588" s="27" t="s">
        <v>7</v>
      </c>
      <c r="DA588" s="27" t="s">
        <v>8</v>
      </c>
      <c r="DB588" s="27" t="s">
        <v>7</v>
      </c>
    </row>
    <row r="589" spans="1:279" x14ac:dyDescent="0.25">
      <c r="A589" s="7">
        <v>0.96116878123798544</v>
      </c>
      <c r="B589"/>
      <c r="C589"/>
      <c r="D589"/>
      <c r="E589"/>
      <c r="BB589" s="27" t="s">
        <v>7</v>
      </c>
      <c r="BC589" s="27" t="s">
        <v>8</v>
      </c>
      <c r="BE589" s="27" t="s">
        <v>8</v>
      </c>
      <c r="BF589" s="27" t="s">
        <v>7</v>
      </c>
      <c r="BH589" s="27" t="s">
        <v>7</v>
      </c>
      <c r="BK589" s="27" t="s">
        <v>8</v>
      </c>
      <c r="BL589" s="27" t="s">
        <v>7</v>
      </c>
      <c r="BM589" s="27" t="s">
        <v>8</v>
      </c>
      <c r="BN589" s="27" t="s">
        <v>7</v>
      </c>
      <c r="BO589" s="27" t="s">
        <v>8</v>
      </c>
      <c r="BS589" s="27" t="s">
        <v>8</v>
      </c>
      <c r="BY589" s="27" t="s">
        <v>8</v>
      </c>
      <c r="BZ589" s="27" t="s">
        <v>7</v>
      </c>
      <c r="CA589" s="27" t="s">
        <v>8</v>
      </c>
      <c r="CB589" s="27" t="s">
        <v>7</v>
      </c>
      <c r="CC589" s="27" t="s">
        <v>8</v>
      </c>
      <c r="CF589" s="27" t="s">
        <v>7</v>
      </c>
      <c r="CG589" s="27" t="s">
        <v>8</v>
      </c>
      <c r="CH589" s="27" t="s">
        <v>7</v>
      </c>
      <c r="CK589" s="27" t="s">
        <v>8</v>
      </c>
      <c r="CL589" s="27" t="s">
        <v>7</v>
      </c>
      <c r="CM589" s="27" t="s">
        <v>8</v>
      </c>
      <c r="CN589" s="27" t="s">
        <v>7</v>
      </c>
      <c r="CW589" s="27" t="s">
        <v>8</v>
      </c>
      <c r="CX589" s="27" t="s">
        <v>7</v>
      </c>
      <c r="CZ589" s="27" t="s">
        <v>7</v>
      </c>
      <c r="DA589" s="27" t="s">
        <v>8</v>
      </c>
    </row>
    <row r="590" spans="1:279" x14ac:dyDescent="0.25">
      <c r="A590" s="7">
        <v>0.94232233454704462</v>
      </c>
      <c r="B590"/>
      <c r="C590"/>
      <c r="D590"/>
      <c r="E590"/>
      <c r="BB590" s="27" t="s">
        <v>7</v>
      </c>
      <c r="BC590" s="27" t="s">
        <v>8</v>
      </c>
      <c r="BD590" s="27" t="s">
        <v>7</v>
      </c>
      <c r="BE590" s="27" t="s">
        <v>8</v>
      </c>
      <c r="BH590" s="27" t="s">
        <v>7</v>
      </c>
      <c r="BI590" s="27" t="s">
        <v>8</v>
      </c>
      <c r="BK590" s="27" t="s">
        <v>8</v>
      </c>
      <c r="BL590" s="27" t="s">
        <v>7</v>
      </c>
      <c r="BM590" s="27" t="s">
        <v>8</v>
      </c>
      <c r="BN590" s="27" t="s">
        <v>7</v>
      </c>
      <c r="BO590" s="27" t="s">
        <v>8</v>
      </c>
      <c r="BP590" s="27" t="s">
        <v>7</v>
      </c>
      <c r="BS590" s="27" t="s">
        <v>8</v>
      </c>
      <c r="BT590" s="27" t="s">
        <v>7</v>
      </c>
      <c r="BW590" s="27" t="s">
        <v>8</v>
      </c>
      <c r="BY590" s="27" t="s">
        <v>8</v>
      </c>
      <c r="BZ590" s="27" t="s">
        <v>7</v>
      </c>
      <c r="CA590" s="27" t="s">
        <v>8</v>
      </c>
      <c r="CB590" s="27" t="s">
        <v>7</v>
      </c>
      <c r="CC590" s="27" t="s">
        <v>8</v>
      </c>
      <c r="CF590" s="27" t="s">
        <v>7</v>
      </c>
      <c r="CG590" s="27" t="s">
        <v>8</v>
      </c>
      <c r="CH590" s="27" t="s">
        <v>7</v>
      </c>
      <c r="CK590" s="27" t="s">
        <v>8</v>
      </c>
      <c r="CL590" s="27" t="s">
        <v>7</v>
      </c>
      <c r="CM590" s="27" t="s">
        <v>8</v>
      </c>
      <c r="CN590" s="27" t="s">
        <v>7</v>
      </c>
      <c r="CW590" s="27" t="s">
        <v>8</v>
      </c>
      <c r="CZ590" s="27" t="s">
        <v>7</v>
      </c>
      <c r="DA590" s="27" t="s">
        <v>8</v>
      </c>
    </row>
    <row r="591" spans="1:279" x14ac:dyDescent="0.25">
      <c r="A591" s="7">
        <v>0.92384542602651432</v>
      </c>
      <c r="B591"/>
      <c r="C591"/>
      <c r="D591"/>
      <c r="E591"/>
      <c r="BB591" s="27" t="s">
        <v>7</v>
      </c>
      <c r="BC591" s="27" t="s">
        <v>8</v>
      </c>
      <c r="BD591" s="27" t="s">
        <v>7</v>
      </c>
      <c r="BE591" s="27" t="s">
        <v>8</v>
      </c>
      <c r="BH591" s="27" t="s">
        <v>7</v>
      </c>
      <c r="BI591" s="27" t="s">
        <v>8</v>
      </c>
      <c r="BJ591" s="27" t="s">
        <v>7</v>
      </c>
      <c r="BK591" s="27" t="s">
        <v>8</v>
      </c>
      <c r="BL591" s="27" t="s">
        <v>7</v>
      </c>
      <c r="BN591" s="27" t="s">
        <v>7</v>
      </c>
      <c r="BO591" s="27" t="s">
        <v>8</v>
      </c>
      <c r="BP591" s="27" t="s">
        <v>7</v>
      </c>
      <c r="BS591" s="27" t="s">
        <v>8</v>
      </c>
      <c r="BT591" s="27" t="s">
        <v>7</v>
      </c>
      <c r="BU591" s="27" t="s">
        <v>8</v>
      </c>
      <c r="BW591" s="27" t="s">
        <v>8</v>
      </c>
      <c r="BX591" s="27" t="s">
        <v>7</v>
      </c>
      <c r="BY591" s="27" t="s">
        <v>8</v>
      </c>
      <c r="BZ591" s="27" t="s">
        <v>7</v>
      </c>
      <c r="CA591" s="27" t="s">
        <v>8</v>
      </c>
      <c r="CB591" s="27" t="s">
        <v>7</v>
      </c>
      <c r="CC591" s="27" t="s">
        <v>8</v>
      </c>
      <c r="CF591" s="27" t="s">
        <v>7</v>
      </c>
      <c r="CH591" s="27" t="s">
        <v>7</v>
      </c>
      <c r="CK591" s="27" t="s">
        <v>8</v>
      </c>
      <c r="CL591" s="27" t="s">
        <v>7</v>
      </c>
      <c r="CN591" s="27" t="s">
        <v>7</v>
      </c>
      <c r="CU591" s="27" t="s">
        <v>8</v>
      </c>
      <c r="CW591" s="27" t="s">
        <v>8</v>
      </c>
      <c r="CZ591" s="27" t="s">
        <v>7</v>
      </c>
      <c r="DA591" s="27" t="s">
        <v>8</v>
      </c>
    </row>
    <row r="592" spans="1:279" x14ac:dyDescent="0.25">
      <c r="A592" s="7">
        <v>0.90573080982991594</v>
      </c>
      <c r="B592"/>
      <c r="C592"/>
      <c r="D592"/>
      <c r="E592"/>
      <c r="BB592" s="27" t="s">
        <v>7</v>
      </c>
      <c r="BC592" s="27" t="s">
        <v>8</v>
      </c>
      <c r="BD592" s="27" t="s">
        <v>7</v>
      </c>
      <c r="BE592" s="27" t="s">
        <v>8</v>
      </c>
      <c r="BH592" s="27" t="s">
        <v>7</v>
      </c>
      <c r="BI592" s="27" t="s">
        <v>8</v>
      </c>
      <c r="BJ592" s="27" t="s">
        <v>7</v>
      </c>
      <c r="BK592" s="27" t="s">
        <v>8</v>
      </c>
      <c r="BN592" s="27" t="s">
        <v>7</v>
      </c>
      <c r="BO592" s="27" t="s">
        <v>8</v>
      </c>
      <c r="BP592" s="27" t="s">
        <v>7</v>
      </c>
      <c r="BS592" s="27" t="s">
        <v>8</v>
      </c>
      <c r="BT592" s="27" t="s">
        <v>7</v>
      </c>
      <c r="BU592" s="27" t="s">
        <v>8</v>
      </c>
      <c r="BV592" s="27" t="s">
        <v>7</v>
      </c>
      <c r="BW592" s="27" t="s">
        <v>8</v>
      </c>
      <c r="BX592" s="27" t="s">
        <v>7</v>
      </c>
      <c r="BY592" s="27" t="s">
        <v>8</v>
      </c>
      <c r="BZ592" s="27" t="s">
        <v>7</v>
      </c>
      <c r="CA592" s="27" t="s">
        <v>8</v>
      </c>
      <c r="CB592" s="27" t="s">
        <v>7</v>
      </c>
      <c r="CC592" s="27" t="s">
        <v>8</v>
      </c>
      <c r="CH592" s="27" t="s">
        <v>7</v>
      </c>
      <c r="CI592" s="27" t="s">
        <v>8</v>
      </c>
      <c r="CK592" s="27" t="s">
        <v>8</v>
      </c>
      <c r="CN592" s="27" t="s">
        <v>7</v>
      </c>
      <c r="CU592" s="27" t="s">
        <v>8</v>
      </c>
      <c r="CV592" s="27" t="s">
        <v>7</v>
      </c>
      <c r="CW592" s="27" t="s">
        <v>8</v>
      </c>
      <c r="CZ592" s="27" t="s">
        <v>7</v>
      </c>
      <c r="DA592" s="27" t="s">
        <v>8</v>
      </c>
    </row>
    <row r="593" spans="1:105" x14ac:dyDescent="0.25">
      <c r="A593" s="7">
        <v>0.8879713821861922</v>
      </c>
      <c r="B593"/>
      <c r="C593"/>
      <c r="D593"/>
      <c r="E593"/>
      <c r="BB593" s="27" t="s">
        <v>7</v>
      </c>
      <c r="BC593" s="27" t="s">
        <v>8</v>
      </c>
      <c r="BD593" s="27" t="s">
        <v>7</v>
      </c>
      <c r="BE593" s="27" t="s">
        <v>8</v>
      </c>
      <c r="BH593" s="27" t="s">
        <v>7</v>
      </c>
      <c r="BI593" s="27" t="s">
        <v>8</v>
      </c>
      <c r="BJ593" s="27" t="s">
        <v>7</v>
      </c>
      <c r="BK593" s="27" t="s">
        <v>8</v>
      </c>
      <c r="BN593" s="27" t="s">
        <v>7</v>
      </c>
      <c r="BO593" s="27" t="s">
        <v>8</v>
      </c>
      <c r="BP593" s="27" t="s">
        <v>7</v>
      </c>
      <c r="BQ593" s="27" t="s">
        <v>8</v>
      </c>
      <c r="BS593" s="27" t="s">
        <v>8</v>
      </c>
      <c r="BT593" s="27" t="s">
        <v>7</v>
      </c>
      <c r="BU593" s="27" t="s">
        <v>8</v>
      </c>
      <c r="BV593" s="27" t="s">
        <v>7</v>
      </c>
      <c r="BW593" s="27" t="s">
        <v>8</v>
      </c>
      <c r="BX593" s="27" t="s">
        <v>7</v>
      </c>
      <c r="BZ593" s="27" t="s">
        <v>7</v>
      </c>
      <c r="CA593" s="27" t="s">
        <v>8</v>
      </c>
      <c r="CB593" s="27" t="s">
        <v>7</v>
      </c>
      <c r="CH593" s="27" t="s">
        <v>7</v>
      </c>
      <c r="CI593" s="27" t="s">
        <v>8</v>
      </c>
      <c r="CJ593" s="27" t="s">
        <v>7</v>
      </c>
      <c r="CK593" s="27" t="s">
        <v>8</v>
      </c>
      <c r="CN593" s="27" t="s">
        <v>7</v>
      </c>
      <c r="CU593" s="27" t="s">
        <v>8</v>
      </c>
      <c r="CV593" s="27" t="s">
        <v>7</v>
      </c>
      <c r="CW593" s="27" t="s">
        <v>8</v>
      </c>
      <c r="CZ593" s="27" t="s">
        <v>7</v>
      </c>
      <c r="DA593" s="27" t="s">
        <v>8</v>
      </c>
    </row>
    <row r="594" spans="1:105" x14ac:dyDescent="0.25">
      <c r="A594" s="7">
        <v>0.87056017861391399</v>
      </c>
      <c r="B594"/>
      <c r="C594"/>
      <c r="D594"/>
      <c r="E594"/>
      <c r="BB594" s="27" t="s">
        <v>7</v>
      </c>
      <c r="BD594" s="27" t="s">
        <v>7</v>
      </c>
      <c r="BE594" s="27" t="s">
        <v>8</v>
      </c>
      <c r="BH594" s="27" t="s">
        <v>7</v>
      </c>
      <c r="BJ594" s="27" t="s">
        <v>7</v>
      </c>
      <c r="BK594" s="27" t="s">
        <v>8</v>
      </c>
      <c r="BN594" s="27" t="s">
        <v>7</v>
      </c>
      <c r="BP594" s="27" t="s">
        <v>7</v>
      </c>
      <c r="BQ594" s="27" t="s">
        <v>8</v>
      </c>
      <c r="BR594" s="27" t="s">
        <v>7</v>
      </c>
      <c r="BS594" s="27" t="s">
        <v>8</v>
      </c>
      <c r="BT594" s="27" t="s">
        <v>7</v>
      </c>
      <c r="BU594" s="27" t="s">
        <v>8</v>
      </c>
      <c r="BV594" s="27" t="s">
        <v>7</v>
      </c>
      <c r="BZ594" s="27" t="s">
        <v>7</v>
      </c>
      <c r="CH594" s="27" t="s">
        <v>7</v>
      </c>
      <c r="CI594" s="27" t="s">
        <v>8</v>
      </c>
      <c r="CJ594" s="27" t="s">
        <v>7</v>
      </c>
      <c r="CK594" s="27" t="s">
        <v>8</v>
      </c>
      <c r="CN594" s="27" t="s">
        <v>7</v>
      </c>
      <c r="CQ594" s="27" t="s">
        <v>8</v>
      </c>
      <c r="CU594" s="27" t="s">
        <v>8</v>
      </c>
      <c r="CV594" s="27" t="s">
        <v>7</v>
      </c>
      <c r="CW594" s="27" t="s">
        <v>8</v>
      </c>
      <c r="CZ594" s="27" t="s">
        <v>7</v>
      </c>
    </row>
    <row r="595" spans="1:105" x14ac:dyDescent="0.25">
      <c r="A595" s="7">
        <v>0.85349037119011173</v>
      </c>
      <c r="B595"/>
      <c r="C595"/>
      <c r="D595"/>
      <c r="E595"/>
      <c r="BD595" s="27" t="s">
        <v>7</v>
      </c>
      <c r="BJ595" s="27" t="s">
        <v>7</v>
      </c>
      <c r="BK595" s="27" t="s">
        <v>8</v>
      </c>
      <c r="BP595" s="27" t="s">
        <v>7</v>
      </c>
      <c r="BQ595" s="27" t="s">
        <v>8</v>
      </c>
      <c r="BR595" s="27" t="s">
        <v>7</v>
      </c>
      <c r="BS595" s="27" t="s">
        <v>8</v>
      </c>
      <c r="BT595" s="27" t="s">
        <v>7</v>
      </c>
      <c r="CH595" s="27" t="s">
        <v>7</v>
      </c>
      <c r="CI595" s="27" t="s">
        <v>8</v>
      </c>
      <c r="CJ595" s="27" t="s">
        <v>7</v>
      </c>
      <c r="CK595" s="27" t="s">
        <v>8</v>
      </c>
      <c r="CN595" s="27" t="s">
        <v>7</v>
      </c>
      <c r="CO595" s="27" t="s">
        <v>8</v>
      </c>
      <c r="CQ595" s="27" t="s">
        <v>8</v>
      </c>
      <c r="CR595" s="27" t="s">
        <v>7</v>
      </c>
      <c r="CU595" s="27" t="s">
        <v>8</v>
      </c>
      <c r="CV595" s="27" t="s">
        <v>7</v>
      </c>
      <c r="CW595" s="27" t="s">
        <v>8</v>
      </c>
    </row>
    <row r="596" spans="1:105" x14ac:dyDescent="0.25">
      <c r="A596" s="7">
        <v>0.83675526587265858</v>
      </c>
      <c r="B596"/>
      <c r="C596"/>
      <c r="D596"/>
      <c r="E596"/>
      <c r="BJ596" s="27" t="s">
        <v>7</v>
      </c>
      <c r="BP596" s="27" t="s">
        <v>7</v>
      </c>
      <c r="BQ596" s="27" t="s">
        <v>8</v>
      </c>
      <c r="BR596" s="27" t="s">
        <v>7</v>
      </c>
      <c r="BS596" s="27" t="s">
        <v>8</v>
      </c>
      <c r="CH596" s="27" t="s">
        <v>7</v>
      </c>
      <c r="CJ596" s="27" t="s">
        <v>7</v>
      </c>
      <c r="CN596" s="27" t="s">
        <v>7</v>
      </c>
      <c r="CO596" s="27" t="s">
        <v>8</v>
      </c>
      <c r="CP596" s="27" t="s">
        <v>7</v>
      </c>
      <c r="CQ596" s="27" t="s">
        <v>8</v>
      </c>
      <c r="CR596" s="27" t="s">
        <v>7</v>
      </c>
      <c r="CS596" s="27" t="s">
        <v>8</v>
      </c>
      <c r="CU596" s="27" t="s">
        <v>8</v>
      </c>
      <c r="CV596" s="27" t="s">
        <v>7</v>
      </c>
      <c r="CW596" s="27" t="s">
        <v>8</v>
      </c>
    </row>
    <row r="597" spans="1:105" x14ac:dyDescent="0.25">
      <c r="A597" s="7">
        <v>0.82034829987515545</v>
      </c>
      <c r="B597"/>
      <c r="C597"/>
      <c r="D597"/>
      <c r="E597"/>
      <c r="BP597" s="27" t="s">
        <v>7</v>
      </c>
      <c r="BQ597" s="27" t="s">
        <v>8</v>
      </c>
      <c r="BR597" s="27" t="s">
        <v>7</v>
      </c>
      <c r="BS597" s="27" t="s">
        <v>8</v>
      </c>
      <c r="CN597" s="27" t="s">
        <v>7</v>
      </c>
      <c r="CO597" s="27" t="s">
        <v>8</v>
      </c>
      <c r="CP597" s="27" t="s">
        <v>7</v>
      </c>
      <c r="CQ597" s="27" t="s">
        <v>8</v>
      </c>
      <c r="CR597" s="27" t="s">
        <v>7</v>
      </c>
      <c r="CS597" s="27" t="s">
        <v>8</v>
      </c>
      <c r="CT597" s="27" t="s">
        <v>7</v>
      </c>
      <c r="CU597" s="27" t="s">
        <v>8</v>
      </c>
      <c r="CV597" s="27" t="s">
        <v>7</v>
      </c>
      <c r="CW597" s="27" t="s">
        <v>8</v>
      </c>
    </row>
    <row r="598" spans="1:105" x14ac:dyDescent="0.25">
      <c r="A598" s="7">
        <v>0.80426303909328967</v>
      </c>
      <c r="B598"/>
      <c r="C598"/>
      <c r="D598"/>
      <c r="E598"/>
      <c r="BP598" s="27" t="s">
        <v>7</v>
      </c>
      <c r="BQ598" s="27" t="s">
        <v>8</v>
      </c>
      <c r="BR598" s="27" t="s">
        <v>7</v>
      </c>
      <c r="BS598" s="27" t="s">
        <v>8</v>
      </c>
      <c r="CN598" s="27" t="s">
        <v>7</v>
      </c>
      <c r="CO598" s="27" t="s">
        <v>8</v>
      </c>
      <c r="CP598" s="27" t="s">
        <v>7</v>
      </c>
      <c r="CQ598" s="27" t="s">
        <v>8</v>
      </c>
      <c r="CR598" s="27" t="s">
        <v>7</v>
      </c>
      <c r="CS598" s="27" t="s">
        <v>8</v>
      </c>
      <c r="CT598" s="27" t="s">
        <v>7</v>
      </c>
      <c r="CU598" s="27" t="s">
        <v>8</v>
      </c>
      <c r="CV598" s="27" t="s">
        <v>7</v>
      </c>
    </row>
    <row r="599" spans="1:105" x14ac:dyDescent="0.25">
      <c r="A599" s="7">
        <v>0.78849317558165644</v>
      </c>
      <c r="B599"/>
      <c r="C599"/>
      <c r="D599"/>
      <c r="E599"/>
      <c r="BP599" s="27" t="s">
        <v>7</v>
      </c>
      <c r="BQ599" s="27" t="s">
        <v>8</v>
      </c>
      <c r="BR599" s="27" t="s">
        <v>7</v>
      </c>
      <c r="BS599" s="27" t="s">
        <v>8</v>
      </c>
      <c r="CN599" s="27" t="s">
        <v>7</v>
      </c>
      <c r="CO599" s="27" t="s">
        <v>8</v>
      </c>
      <c r="CP599" s="27" t="s">
        <v>7</v>
      </c>
      <c r="CR599" s="27" t="s">
        <v>7</v>
      </c>
      <c r="CT599" s="27" t="s">
        <v>7</v>
      </c>
      <c r="CU599" s="27" t="s">
        <v>8</v>
      </c>
    </row>
    <row r="600" spans="1:105" x14ac:dyDescent="0.25">
      <c r="A600" s="7">
        <v>0.77303252508005538</v>
      </c>
      <c r="B600"/>
      <c r="C600"/>
      <c r="D600"/>
      <c r="E600"/>
      <c r="BP600" s="27" t="s">
        <v>7</v>
      </c>
      <c r="BQ600" s="27" t="s">
        <v>8</v>
      </c>
      <c r="BR600" s="27" t="s">
        <v>7</v>
      </c>
      <c r="CN600" s="27" t="s">
        <v>7</v>
      </c>
      <c r="CO600" s="27" t="s">
        <v>8</v>
      </c>
      <c r="CT600" s="27" t="s">
        <v>7</v>
      </c>
    </row>
    <row r="601" spans="1:105" x14ac:dyDescent="0.25">
      <c r="A601" s="7">
        <v>0.75787502458828959</v>
      </c>
      <c r="B601"/>
      <c r="C601"/>
      <c r="D601"/>
      <c r="E601"/>
      <c r="BP601" s="27" t="s">
        <v>7</v>
      </c>
      <c r="BQ601" s="27" t="s">
        <v>8</v>
      </c>
      <c r="CN601" s="27" t="s">
        <v>7</v>
      </c>
      <c r="CO601" s="27" t="s">
        <v>8</v>
      </c>
    </row>
    <row r="602" spans="1:105" x14ac:dyDescent="0.25">
      <c r="A602" s="7">
        <v>0.74301472998851925</v>
      </c>
      <c r="B602"/>
      <c r="C602"/>
      <c r="D602"/>
      <c r="E602"/>
      <c r="BP602" s="27" t="s">
        <v>7</v>
      </c>
      <c r="BQ602" s="27" t="s">
        <v>8</v>
      </c>
      <c r="CN602" s="27" t="s">
        <v>7</v>
      </c>
      <c r="CO602" s="27" t="s">
        <v>8</v>
      </c>
    </row>
    <row r="603" spans="1:105" x14ac:dyDescent="0.25">
      <c r="A603" s="7">
        <v>0.72844581371423456</v>
      </c>
      <c r="B603"/>
      <c r="C603"/>
      <c r="D603"/>
      <c r="E603"/>
      <c r="BP603" s="27" t="s">
        <v>7</v>
      </c>
      <c r="BQ603" s="27" t="s">
        <v>8</v>
      </c>
      <c r="CN603" s="27" t="s">
        <v>7</v>
      </c>
      <c r="CO603" s="27" t="s">
        <v>8</v>
      </c>
    </row>
    <row r="604" spans="1:105" x14ac:dyDescent="0.25">
      <c r="A604" s="7">
        <v>0.71416256246493581</v>
      </c>
      <c r="B604"/>
      <c r="C604"/>
      <c r="D604"/>
      <c r="E604"/>
      <c r="BP604" s="27" t="s">
        <v>7</v>
      </c>
      <c r="BQ604" s="27" t="s">
        <v>8</v>
      </c>
      <c r="CN604" s="27" t="s">
        <v>7</v>
      </c>
      <c r="CO604" s="27" t="s">
        <v>8</v>
      </c>
    </row>
    <row r="605" spans="1:105" x14ac:dyDescent="0.25">
      <c r="A605" s="7">
        <v>0.7001593749656233</v>
      </c>
      <c r="B605"/>
      <c r="C605"/>
      <c r="D605"/>
      <c r="E605"/>
      <c r="BP605" s="27" t="s">
        <v>7</v>
      </c>
      <c r="BQ605" s="27" t="s">
        <v>8</v>
      </c>
      <c r="CN605" s="27" t="s">
        <v>7</v>
      </c>
      <c r="CO605" s="27" t="s">
        <v>8</v>
      </c>
    </row>
    <row r="606" spans="1:105" x14ac:dyDescent="0.25">
      <c r="A606" s="7">
        <v>0.68643075977021883</v>
      </c>
      <c r="B606"/>
      <c r="C606"/>
      <c r="D606"/>
      <c r="E606"/>
      <c r="BP606" s="27" t="s">
        <v>7</v>
      </c>
      <c r="CN606" s="27" t="s">
        <v>7</v>
      </c>
    </row>
    <row r="607" spans="1:105" x14ac:dyDescent="0.25">
      <c r="A607" s="7">
        <v>0.67297133310805768</v>
      </c>
      <c r="B607"/>
      <c r="C607"/>
      <c r="D607"/>
      <c r="E607"/>
    </row>
    <row r="608" spans="1:10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00" operator="equal">
      <formula>$U$1</formula>
    </cfRule>
    <cfRule type="cellIs" dxfId="89" priority="1001" operator="equal">
      <formula>$S$1</formula>
    </cfRule>
  </conditionalFormatting>
  <conditionalFormatting sqref="D27">
    <cfRule type="cellIs" dxfId="88" priority="998" operator="equal">
      <formula>$S$1</formula>
    </cfRule>
    <cfRule type="cellIs" dxfId="87" priority="999" operator="equal">
      <formula>$U$1</formula>
    </cfRule>
  </conditionalFormatting>
  <conditionalFormatting sqref="C164">
    <cfRule type="cellIs" dxfId="86" priority="996" operator="equal">
      <formula>$U$1</formula>
    </cfRule>
    <cfRule type="cellIs" dxfId="85" priority="997" operator="equal">
      <formula>$S$1</formula>
    </cfRule>
  </conditionalFormatting>
  <conditionalFormatting sqref="D164">
    <cfRule type="cellIs" dxfId="84" priority="994" operator="equal">
      <formula>$S$1</formula>
    </cfRule>
    <cfRule type="cellIs" dxfId="83" priority="995" operator="equal">
      <formula>$U$1</formula>
    </cfRule>
  </conditionalFormatting>
  <conditionalFormatting sqref="C55">
    <cfRule type="cellIs" dxfId="82" priority="992" operator="equal">
      <formula>$U$1</formula>
    </cfRule>
    <cfRule type="cellIs" dxfId="81" priority="993" operator="equal">
      <formula>$S$1</formula>
    </cfRule>
  </conditionalFormatting>
  <conditionalFormatting sqref="D55">
    <cfRule type="cellIs" dxfId="80" priority="990" operator="equal">
      <formula>$S$1</formula>
    </cfRule>
    <cfRule type="cellIs" dxfId="79" priority="991" operator="equal">
      <formula>$U$1</formula>
    </cfRule>
  </conditionalFormatting>
  <conditionalFormatting sqref="C89">
    <cfRule type="cellIs" dxfId="78" priority="988" operator="equal">
      <formula>$U$1</formula>
    </cfRule>
    <cfRule type="cellIs" dxfId="77" priority="989" operator="equal">
      <formula>$S$1</formula>
    </cfRule>
  </conditionalFormatting>
  <conditionalFormatting sqref="D89">
    <cfRule type="cellIs" dxfId="76" priority="986" operator="equal">
      <formula>$S$1</formula>
    </cfRule>
    <cfRule type="cellIs" dxfId="75" priority="987" operator="equal">
      <formula>$U$1</formula>
    </cfRule>
  </conditionalFormatting>
  <conditionalFormatting sqref="C136">
    <cfRule type="cellIs" dxfId="74" priority="984" operator="equal">
      <formula>$U$1</formula>
    </cfRule>
    <cfRule type="cellIs" dxfId="73" priority="985" operator="equal">
      <formula>$S$1</formula>
    </cfRule>
  </conditionalFormatting>
  <conditionalFormatting sqref="D136">
    <cfRule type="cellIs" dxfId="72" priority="982" operator="equal">
      <formula>$S$1</formula>
    </cfRule>
    <cfRule type="cellIs" dxfId="71" priority="983" operator="equal">
      <formula>$U$1</formula>
    </cfRule>
  </conditionalFormatting>
  <conditionalFormatting sqref="C1">
    <cfRule type="cellIs" dxfId="70" priority="98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4" zoomScale="90" zoomScaleNormal="90" workbookViewId="0">
      <pane xSplit="4" topLeftCell="BK1" activePane="topRight" state="frozen"/>
      <selection activeCell="A109" sqref="A109"/>
      <selection pane="topRight" activeCell="DW229" sqref="DW22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$A$228</v>
      </c>
      <c r="D111" s="1" t="str">
        <f>ADDRESS(C121-1,D121,1,1)</f>
        <v>$DW$228</v>
      </c>
      <c r="E111"/>
    </row>
    <row r="112" spans="1:5" x14ac:dyDescent="0.25">
      <c r="A112" s="30">
        <v>515.50191262726139</v>
      </c>
      <c r="C112" s="1" t="str">
        <f>ADDRESS(C121,1,1,1)</f>
        <v>$A$229</v>
      </c>
      <c r="D112" s="1" t="str">
        <f>ADDRESS(C121,D121-1,1,1)</f>
        <v>$DV$229</v>
      </c>
      <c r="E112"/>
    </row>
    <row r="113" spans="1:5" x14ac:dyDescent="0.25">
      <c r="A113" s="30">
        <v>490.95420250215363</v>
      </c>
      <c r="C113" s="1" t="str">
        <f>ADDRESS(C121+1,1,1,1)</f>
        <v>$A$230</v>
      </c>
      <c r="D113" s="1" t="str">
        <f>ADDRESS(C121-1,D121+1,1,1)</f>
        <v>$DX$228</v>
      </c>
    </row>
    <row r="114" spans="1:5" x14ac:dyDescent="0.25">
      <c r="A114" s="30">
        <v>467.57543095443202</v>
      </c>
      <c r="C114" s="1" t="str">
        <f>ADDRESS(C121,D121,1,1)</f>
        <v>$DW$229</v>
      </c>
      <c r="D114" s="1" t="str">
        <f>ADDRESS(C121+1,D121+1,1,1)</f>
        <v>$DX$230</v>
      </c>
    </row>
    <row r="115" spans="1:5" x14ac:dyDescent="0.25">
      <c r="A115" s="30">
        <v>445.30993424231622</v>
      </c>
      <c r="C115" s="1" t="str">
        <f>ADDRESS(C121+1,D121,1,1)</f>
        <v>$DW$230</v>
      </c>
    </row>
    <row r="116" spans="1:5" x14ac:dyDescent="0.25">
      <c r="A116" s="30">
        <v>424.10469927839637</v>
      </c>
      <c r="C116" s="1">
        <f>C117-1</f>
        <v>228</v>
      </c>
    </row>
    <row r="117" spans="1:5" x14ac:dyDescent="0.25">
      <c r="A117" s="30">
        <v>403.9092374079965</v>
      </c>
      <c r="C117" s="1">
        <f>C121</f>
        <v>229</v>
      </c>
      <c r="D117" s="1">
        <f>D121</f>
        <v>127</v>
      </c>
    </row>
    <row r="118" spans="1:5" x14ac:dyDescent="0.25">
      <c r="A118" s="30">
        <v>384.6754641980919</v>
      </c>
      <c r="C118" s="1">
        <f>C117+1</f>
        <v>230</v>
      </c>
      <c r="D118" s="1">
        <f>D117+1</f>
        <v>128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229</v>
      </c>
      <c r="D121" s="19">
        <v>127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R229</v>
      </c>
      <c r="D123" s="1" t="str">
        <f>"C"&amp;D121</f>
        <v>C127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1.7103393581163142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14" x14ac:dyDescent="0.25">
      <c r="A209" s="30">
        <v>4.5380394939082018</v>
      </c>
      <c r="E209"/>
    </row>
    <row r="210" spans="1:114" x14ac:dyDescent="0.25">
      <c r="A210" s="30">
        <v>4.3219423751506678</v>
      </c>
      <c r="C210"/>
      <c r="E210"/>
      <c r="BO210" s="27" t="s">
        <v>8</v>
      </c>
    </row>
    <row r="211" spans="1:114" x14ac:dyDescent="0.25">
      <c r="A211" s="30">
        <v>4.1161355953815884</v>
      </c>
      <c r="E211"/>
      <c r="BO211" s="27" t="s">
        <v>8</v>
      </c>
      <c r="BP211" s="27" t="s">
        <v>7</v>
      </c>
      <c r="BW211" s="31" t="s">
        <v>8</v>
      </c>
    </row>
    <row r="212" spans="1:114" x14ac:dyDescent="0.25">
      <c r="A212" s="30">
        <v>3.9201291384586554</v>
      </c>
      <c r="E212"/>
      <c r="BO212" s="27" t="s">
        <v>8</v>
      </c>
      <c r="BP212" s="27" t="s">
        <v>7</v>
      </c>
      <c r="BW212" s="27" t="s">
        <v>8</v>
      </c>
      <c r="BX212" s="31" t="s">
        <v>7</v>
      </c>
    </row>
    <row r="213" spans="1:114" x14ac:dyDescent="0.25">
      <c r="A213" s="30">
        <v>3.7334563223415764</v>
      </c>
      <c r="E213"/>
      <c r="BM213" s="27" t="s">
        <v>8</v>
      </c>
      <c r="BO213" s="27" t="s">
        <v>8</v>
      </c>
      <c r="BP213" s="27" t="s">
        <v>7</v>
      </c>
      <c r="BW213" s="27" t="s">
        <v>8</v>
      </c>
      <c r="BX213" s="27" t="s">
        <v>7</v>
      </c>
      <c r="BY213" s="31"/>
    </row>
    <row r="214" spans="1:114" x14ac:dyDescent="0.25">
      <c r="A214" s="30">
        <v>3.5556726879443583</v>
      </c>
      <c r="E214"/>
      <c r="BM214" s="27" t="s">
        <v>8</v>
      </c>
      <c r="BN214" s="27" t="s">
        <v>7</v>
      </c>
      <c r="BO214" s="27" t="s">
        <v>8</v>
      </c>
      <c r="BP214" s="27" t="s">
        <v>7</v>
      </c>
      <c r="BW214" s="33" t="s">
        <v>8</v>
      </c>
      <c r="BX214" s="27" t="s">
        <v>7</v>
      </c>
      <c r="BZ214" s="31"/>
    </row>
    <row r="215" spans="1:114" x14ac:dyDescent="0.25">
      <c r="A215" s="30">
        <v>3.3863549408993889</v>
      </c>
      <c r="E215"/>
      <c r="BM215" s="27" t="s">
        <v>8</v>
      </c>
      <c r="BN215" s="27" t="s">
        <v>7</v>
      </c>
      <c r="BO215" s="27" t="s">
        <v>8</v>
      </c>
      <c r="BP215" s="27" t="s">
        <v>7</v>
      </c>
      <c r="BS215" s="32" t="s">
        <v>8</v>
      </c>
      <c r="BU215" s="32" t="s">
        <v>8</v>
      </c>
      <c r="BW215" s="27" t="s">
        <v>8</v>
      </c>
      <c r="BX215" s="27" t="s">
        <v>7</v>
      </c>
      <c r="CA215" s="31"/>
    </row>
    <row r="216" spans="1:114" x14ac:dyDescent="0.25">
      <c r="A216" s="30">
        <v>3.2250999437137038</v>
      </c>
      <c r="E216"/>
      <c r="BI216" s="27" t="s">
        <v>8</v>
      </c>
      <c r="BM216" s="33" t="s">
        <v>8</v>
      </c>
      <c r="BN216" s="27" t="s">
        <v>7</v>
      </c>
      <c r="BO216" s="27" t="s">
        <v>8</v>
      </c>
      <c r="BP216" s="27" t="s">
        <v>7</v>
      </c>
      <c r="BS216" s="33" t="s">
        <v>8</v>
      </c>
      <c r="BT216" s="27" t="s">
        <v>7</v>
      </c>
      <c r="BU216" s="27" t="s">
        <v>8</v>
      </c>
      <c r="BV216" s="27" t="s">
        <v>7</v>
      </c>
      <c r="BW216" s="27" t="s">
        <v>8</v>
      </c>
      <c r="BX216" s="27" t="s">
        <v>7</v>
      </c>
      <c r="BY216" s="27" t="s">
        <v>8</v>
      </c>
      <c r="CB216" s="31"/>
    </row>
    <row r="217" spans="1:114" x14ac:dyDescent="0.25">
      <c r="A217" s="30">
        <v>3.0715237559178128</v>
      </c>
      <c r="E217"/>
      <c r="BI217" s="27" t="s">
        <v>8</v>
      </c>
      <c r="BJ217" s="27" t="s">
        <v>7</v>
      </c>
      <c r="BK217" s="27" t="s">
        <v>8</v>
      </c>
      <c r="BM217" s="27" t="s">
        <v>8</v>
      </c>
      <c r="BN217" s="27" t="s">
        <v>7</v>
      </c>
      <c r="BO217" s="27" t="s">
        <v>8</v>
      </c>
      <c r="BP217" s="27" t="s">
        <v>7</v>
      </c>
      <c r="BQ217" s="27" t="s">
        <v>8</v>
      </c>
      <c r="BS217" s="27" t="s">
        <v>8</v>
      </c>
      <c r="BT217" s="27" t="s">
        <v>7</v>
      </c>
      <c r="BU217" s="27" t="s">
        <v>8</v>
      </c>
      <c r="BV217" s="27" t="s">
        <v>7</v>
      </c>
      <c r="BW217" s="27" t="s">
        <v>8</v>
      </c>
      <c r="BX217" s="27" t="s">
        <v>7</v>
      </c>
      <c r="BY217" s="27" t="s">
        <v>8</v>
      </c>
      <c r="BZ217" s="27" t="s">
        <v>7</v>
      </c>
      <c r="CC217" s="31"/>
    </row>
    <row r="218" spans="1:114" x14ac:dyDescent="0.25">
      <c r="A218" s="30">
        <v>2.9252607199217264</v>
      </c>
      <c r="E218"/>
      <c r="BI218" s="27" t="s">
        <v>8</v>
      </c>
      <c r="BJ218" s="27" t="s">
        <v>7</v>
      </c>
      <c r="BK218" s="27" t="s">
        <v>8</v>
      </c>
      <c r="BL218" s="27" t="s">
        <v>7</v>
      </c>
      <c r="BM218" s="27" t="s">
        <v>8</v>
      </c>
      <c r="BN218" s="27" t="s">
        <v>7</v>
      </c>
      <c r="BP218" s="27" t="s">
        <v>7</v>
      </c>
      <c r="BQ218" s="27" t="s">
        <v>8</v>
      </c>
      <c r="BR218" s="27" t="s">
        <v>7</v>
      </c>
      <c r="BS218" s="27" t="s">
        <v>8</v>
      </c>
      <c r="BT218" s="27" t="s">
        <v>7</v>
      </c>
      <c r="BU218" s="27" t="s">
        <v>8</v>
      </c>
      <c r="BV218" s="27" t="s">
        <v>7</v>
      </c>
      <c r="BX218" s="27" t="s">
        <v>7</v>
      </c>
      <c r="BY218" s="27" t="s">
        <v>8</v>
      </c>
      <c r="BZ218" s="27" t="s">
        <v>7</v>
      </c>
      <c r="CA218" s="27" t="s">
        <v>8</v>
      </c>
      <c r="CD218" s="31"/>
    </row>
    <row r="219" spans="1:114" x14ac:dyDescent="0.25">
      <c r="A219" s="30">
        <v>2.7859625904016441</v>
      </c>
      <c r="E219"/>
      <c r="BI219" s="27" t="s">
        <v>8</v>
      </c>
      <c r="BJ219" s="27" t="s">
        <v>7</v>
      </c>
      <c r="BK219" s="27" t="s">
        <v>8</v>
      </c>
      <c r="BL219" s="27" t="s">
        <v>7</v>
      </c>
      <c r="BM219" s="27" t="s">
        <v>8</v>
      </c>
      <c r="BP219" s="34" t="s">
        <v>7</v>
      </c>
      <c r="BQ219" s="31" t="s">
        <v>8</v>
      </c>
      <c r="BR219" s="27" t="s">
        <v>7</v>
      </c>
      <c r="BS219" s="27" t="s">
        <v>8</v>
      </c>
      <c r="BT219" s="27" t="s">
        <v>7</v>
      </c>
      <c r="BU219" s="27" t="s">
        <v>8</v>
      </c>
      <c r="BX219" s="34" t="s">
        <v>7</v>
      </c>
      <c r="BZ219" s="27" t="s">
        <v>7</v>
      </c>
      <c r="CA219" s="27" t="s">
        <v>8</v>
      </c>
      <c r="CB219" s="27" t="s">
        <v>7</v>
      </c>
      <c r="CE219" s="31"/>
    </row>
    <row r="220" spans="1:114" x14ac:dyDescent="0.25">
      <c r="A220" s="30">
        <v>2.6532977051444226</v>
      </c>
      <c r="E220"/>
      <c r="BI220" s="27" t="s">
        <v>8</v>
      </c>
      <c r="BJ220" s="27" t="s">
        <v>7</v>
      </c>
      <c r="BL220" s="27" t="s">
        <v>7</v>
      </c>
      <c r="BM220" s="27" t="s">
        <v>8</v>
      </c>
      <c r="BP220" s="31" t="s">
        <v>7</v>
      </c>
      <c r="BR220" s="27" t="s">
        <v>7</v>
      </c>
      <c r="BS220" s="27" t="s">
        <v>8</v>
      </c>
      <c r="BT220" s="27" t="s">
        <v>7</v>
      </c>
      <c r="BU220" s="27" t="s">
        <v>8</v>
      </c>
      <c r="BZ220" s="27" t="s">
        <v>7</v>
      </c>
      <c r="CA220" s="27" t="s">
        <v>8</v>
      </c>
      <c r="CB220" s="27" t="s">
        <v>7</v>
      </c>
      <c r="CF220" s="31"/>
      <c r="CG220" s="27" t="s">
        <v>8</v>
      </c>
    </row>
    <row r="221" spans="1:114" x14ac:dyDescent="0.25">
      <c r="A221" s="30">
        <v>2.5269501953756404</v>
      </c>
      <c r="E221"/>
      <c r="BI221" s="27" t="s">
        <v>8</v>
      </c>
      <c r="BL221" s="34" t="s">
        <v>7</v>
      </c>
      <c r="BM221" s="27" t="s">
        <v>8</v>
      </c>
      <c r="BO221" s="31"/>
      <c r="BR221" s="27" t="s">
        <v>7</v>
      </c>
      <c r="BT221" s="27" t="s">
        <v>7</v>
      </c>
      <c r="BU221" s="27" t="s">
        <v>8</v>
      </c>
      <c r="BZ221" s="27" t="s">
        <v>7</v>
      </c>
      <c r="CB221" s="27" t="s">
        <v>7</v>
      </c>
      <c r="CG221" s="31" t="s">
        <v>8</v>
      </c>
      <c r="CH221" s="31" t="s">
        <v>7</v>
      </c>
    </row>
    <row r="222" spans="1:114" x14ac:dyDescent="0.25">
      <c r="A222" s="30">
        <v>2.4066192336910861</v>
      </c>
      <c r="E222"/>
      <c r="AW222" s="27" t="s">
        <v>8</v>
      </c>
      <c r="BG222" s="27" t="s">
        <v>8</v>
      </c>
      <c r="BI222" s="27" t="s">
        <v>8</v>
      </c>
      <c r="BL222" s="27" t="s">
        <v>7</v>
      </c>
      <c r="BM222" s="27" t="s">
        <v>8</v>
      </c>
      <c r="BN222" s="31"/>
      <c r="BT222" s="35" t="s">
        <v>7</v>
      </c>
      <c r="BU222" s="27" t="s">
        <v>8</v>
      </c>
      <c r="CB222" s="27" t="s">
        <v>7</v>
      </c>
      <c r="CG222" s="27" t="s">
        <v>8</v>
      </c>
      <c r="CH222" s="27" t="s">
        <v>7</v>
      </c>
      <c r="CI222" s="31" t="s">
        <v>8</v>
      </c>
      <c r="DG222" s="27" t="s">
        <v>8</v>
      </c>
    </row>
    <row r="223" spans="1:114" x14ac:dyDescent="0.25">
      <c r="A223" s="30">
        <v>2.2920183178010345</v>
      </c>
      <c r="E223"/>
      <c r="AU223" s="27" t="s">
        <v>8</v>
      </c>
      <c r="AW223" s="27" t="s">
        <v>8</v>
      </c>
      <c r="AX223" s="27" t="s">
        <v>7</v>
      </c>
      <c r="AY223" s="27" t="s">
        <v>8</v>
      </c>
      <c r="BE223" s="27" t="s">
        <v>8</v>
      </c>
      <c r="BG223" s="27" t="s">
        <v>8</v>
      </c>
      <c r="BH223" s="27" t="s">
        <v>7</v>
      </c>
      <c r="BI223" s="27" t="s">
        <v>8</v>
      </c>
      <c r="BL223" s="27" t="s">
        <v>7</v>
      </c>
      <c r="BM223" s="31" t="s">
        <v>8</v>
      </c>
      <c r="BT223" s="27" t="s">
        <v>7</v>
      </c>
      <c r="CB223" s="27" t="s">
        <v>7</v>
      </c>
      <c r="CG223" s="27" t="s">
        <v>8</v>
      </c>
      <c r="CH223" s="27" t="s">
        <v>7</v>
      </c>
      <c r="CI223" s="27" t="s">
        <v>8</v>
      </c>
      <c r="CJ223" s="31" t="s">
        <v>7</v>
      </c>
      <c r="CU223" s="27" t="s">
        <v>8</v>
      </c>
      <c r="CW223" s="27" t="s">
        <v>8</v>
      </c>
      <c r="DG223" s="27" t="s">
        <v>8</v>
      </c>
      <c r="DH223" s="27" t="s">
        <v>7</v>
      </c>
      <c r="DI223" s="27" t="s">
        <v>8</v>
      </c>
    </row>
    <row r="224" spans="1:114" x14ac:dyDescent="0.25">
      <c r="A224" s="30">
        <v>2.1828745883819374</v>
      </c>
      <c r="E224"/>
      <c r="AU224" s="27" t="s">
        <v>8</v>
      </c>
      <c r="AV224" s="27" t="s">
        <v>7</v>
      </c>
      <c r="AW224" s="27" t="s">
        <v>8</v>
      </c>
      <c r="AX224" s="27" t="s">
        <v>7</v>
      </c>
      <c r="AY224" s="27" t="s">
        <v>8</v>
      </c>
      <c r="AZ224" s="27" t="s">
        <v>7</v>
      </c>
      <c r="BE224" s="27" t="s">
        <v>8</v>
      </c>
      <c r="BF224" s="27" t="s">
        <v>7</v>
      </c>
      <c r="BG224" s="27" t="s">
        <v>8</v>
      </c>
      <c r="BH224" s="27" t="s">
        <v>7</v>
      </c>
      <c r="BI224" s="27" t="s">
        <v>8</v>
      </c>
      <c r="BL224" s="31" t="s">
        <v>7</v>
      </c>
      <c r="CB224" s="27" t="s">
        <v>7</v>
      </c>
      <c r="CC224" s="27" t="s">
        <v>8</v>
      </c>
      <c r="CG224" s="27" t="s">
        <v>8</v>
      </c>
      <c r="CH224" s="27" t="s">
        <v>7</v>
      </c>
      <c r="CI224" s="27" t="s">
        <v>8</v>
      </c>
      <c r="CJ224" s="27" t="s">
        <v>7</v>
      </c>
      <c r="CK224" s="31"/>
      <c r="CU224" s="27" t="s">
        <v>8</v>
      </c>
      <c r="CV224" s="27" t="s">
        <v>7</v>
      </c>
      <c r="CW224" s="27" t="s">
        <v>8</v>
      </c>
      <c r="CX224" s="27" t="s">
        <v>7</v>
      </c>
      <c r="DG224" s="27" t="s">
        <v>8</v>
      </c>
      <c r="DH224" s="27" t="s">
        <v>7</v>
      </c>
      <c r="DI224" s="27" t="s">
        <v>8</v>
      </c>
      <c r="DJ224" s="27" t="s">
        <v>7</v>
      </c>
    </row>
    <row r="225" spans="1:127" x14ac:dyDescent="0.25">
      <c r="A225" s="30">
        <v>2.0789281794113688</v>
      </c>
      <c r="E225"/>
      <c r="AU225" s="27" t="s">
        <v>8</v>
      </c>
      <c r="AV225" s="27" t="s">
        <v>7</v>
      </c>
      <c r="AW225" s="27" t="s">
        <v>8</v>
      </c>
      <c r="AX225" s="27" t="s">
        <v>7</v>
      </c>
      <c r="AY225" s="27" t="s">
        <v>8</v>
      </c>
      <c r="AZ225" s="27" t="s">
        <v>7</v>
      </c>
      <c r="BE225" s="27" t="s">
        <v>8</v>
      </c>
      <c r="BF225" s="27" t="s">
        <v>7</v>
      </c>
      <c r="BG225" s="27" t="s">
        <v>8</v>
      </c>
      <c r="BH225" s="27" t="s">
        <v>7</v>
      </c>
      <c r="BI225" s="27" t="s">
        <v>8</v>
      </c>
      <c r="BK225" s="31"/>
      <c r="CB225" s="27" t="s">
        <v>7</v>
      </c>
      <c r="CC225" s="27" t="s">
        <v>8</v>
      </c>
      <c r="CD225" s="27" t="s">
        <v>7</v>
      </c>
      <c r="CG225" s="36" t="s">
        <v>8</v>
      </c>
      <c r="CH225" s="27" t="s">
        <v>7</v>
      </c>
      <c r="CJ225" s="27" t="s">
        <v>7</v>
      </c>
      <c r="CK225" s="27" t="s">
        <v>8</v>
      </c>
      <c r="CL225" s="31"/>
      <c r="CU225" s="27" t="s">
        <v>8</v>
      </c>
      <c r="CV225" s="27" t="s">
        <v>7</v>
      </c>
      <c r="CW225" s="27" t="s">
        <v>8</v>
      </c>
      <c r="CX225" s="27" t="s">
        <v>7</v>
      </c>
      <c r="CY225" s="27" t="s">
        <v>8</v>
      </c>
      <c r="DG225" s="27" t="s">
        <v>8</v>
      </c>
      <c r="DH225" s="27" t="s">
        <v>7</v>
      </c>
      <c r="DI225" s="27" t="s">
        <v>8</v>
      </c>
      <c r="DJ225" s="27" t="s">
        <v>7</v>
      </c>
    </row>
    <row r="226" spans="1:127" x14ac:dyDescent="0.25">
      <c r="A226" s="30">
        <v>1.9799315994393987</v>
      </c>
      <c r="E226"/>
      <c r="I226" s="27" t="s">
        <v>8</v>
      </c>
      <c r="Q226" s="27" t="s">
        <v>8</v>
      </c>
      <c r="S226" s="27" t="s">
        <v>8</v>
      </c>
      <c r="AU226" s="27" t="s">
        <v>8</v>
      </c>
      <c r="AV226" s="27" t="s">
        <v>7</v>
      </c>
      <c r="AW226" s="27" t="s">
        <v>8</v>
      </c>
      <c r="AX226" s="27" t="s">
        <v>7</v>
      </c>
      <c r="AY226" s="27" t="s">
        <v>8</v>
      </c>
      <c r="AZ226" s="27" t="s">
        <v>7</v>
      </c>
      <c r="BE226" s="27" t="s">
        <v>8</v>
      </c>
      <c r="BF226" s="32" t="s">
        <v>7</v>
      </c>
      <c r="BH226" s="32" t="s">
        <v>7</v>
      </c>
      <c r="BJ226" s="31"/>
      <c r="CB226" s="27" t="s">
        <v>7</v>
      </c>
      <c r="CC226" s="27" t="s">
        <v>8</v>
      </c>
      <c r="CD226" s="27" t="s">
        <v>7</v>
      </c>
      <c r="CE226" s="27" t="s">
        <v>8</v>
      </c>
      <c r="CG226" s="27" t="s">
        <v>8</v>
      </c>
      <c r="CJ226" s="34" t="s">
        <v>7</v>
      </c>
      <c r="CK226" s="27" t="s">
        <v>8</v>
      </c>
      <c r="CL226" s="27" t="s">
        <v>7</v>
      </c>
      <c r="CM226" s="31"/>
      <c r="CS226" s="27" t="s">
        <v>8</v>
      </c>
      <c r="CU226" s="27" t="s">
        <v>8</v>
      </c>
      <c r="CV226" s="27" t="s">
        <v>7</v>
      </c>
      <c r="CW226" s="27" t="s">
        <v>8</v>
      </c>
      <c r="CX226" s="27" t="s">
        <v>7</v>
      </c>
      <c r="CY226" s="27" t="s">
        <v>8</v>
      </c>
      <c r="CZ226" s="27" t="s">
        <v>7</v>
      </c>
      <c r="DA226" s="27" t="s">
        <v>8</v>
      </c>
      <c r="DG226" s="27" t="s">
        <v>8</v>
      </c>
      <c r="DH226" s="27" t="s">
        <v>7</v>
      </c>
      <c r="DI226" s="27" t="s">
        <v>8</v>
      </c>
      <c r="DJ226" s="27" t="s">
        <v>7</v>
      </c>
    </row>
    <row r="227" spans="1:127" x14ac:dyDescent="0.25">
      <c r="A227" s="30">
        <v>1.8856491423232367</v>
      </c>
      <c r="E227"/>
      <c r="I227" s="27" t="s">
        <v>8</v>
      </c>
      <c r="J227" s="27" t="s">
        <v>7</v>
      </c>
      <c r="K227" s="27" t="s">
        <v>8</v>
      </c>
      <c r="Q227" s="27" t="s">
        <v>8</v>
      </c>
      <c r="R227" s="27" t="s">
        <v>7</v>
      </c>
      <c r="S227" s="27" t="s">
        <v>8</v>
      </c>
      <c r="T227" s="27" t="s">
        <v>7</v>
      </c>
      <c r="U227" s="27" t="s">
        <v>8</v>
      </c>
      <c r="AU227" s="27" t="s">
        <v>8</v>
      </c>
      <c r="AV227" s="27" t="s">
        <v>7</v>
      </c>
      <c r="AW227" s="27" t="s">
        <v>8</v>
      </c>
      <c r="AX227" s="27" t="s">
        <v>7</v>
      </c>
      <c r="AY227" s="27" t="s">
        <v>8</v>
      </c>
      <c r="AZ227" s="27" t="s">
        <v>7</v>
      </c>
      <c r="BA227" s="27" t="s">
        <v>8</v>
      </c>
      <c r="BE227" s="33" t="s">
        <v>8</v>
      </c>
      <c r="BI227" s="31"/>
      <c r="CB227" s="27" t="s">
        <v>7</v>
      </c>
      <c r="CC227" s="27" t="s">
        <v>8</v>
      </c>
      <c r="CD227" s="27" t="s">
        <v>7</v>
      </c>
      <c r="CE227" s="27" t="s">
        <v>8</v>
      </c>
      <c r="CF227" s="27" t="s">
        <v>7</v>
      </c>
      <c r="CG227" s="27" t="s">
        <v>8</v>
      </c>
      <c r="CJ227" s="27" t="s">
        <v>7</v>
      </c>
      <c r="CK227" s="27" t="s">
        <v>8</v>
      </c>
      <c r="CL227" s="27" t="s">
        <v>7</v>
      </c>
      <c r="CN227" s="31"/>
      <c r="CS227" s="27" t="s">
        <v>8</v>
      </c>
      <c r="CT227" s="27" t="s">
        <v>7</v>
      </c>
      <c r="CU227" s="27" t="s">
        <v>8</v>
      </c>
      <c r="CV227" s="27" t="s">
        <v>7</v>
      </c>
      <c r="CX227" s="27" t="s">
        <v>7</v>
      </c>
      <c r="CY227" s="27" t="s">
        <v>8</v>
      </c>
      <c r="CZ227" s="27" t="s">
        <v>7</v>
      </c>
      <c r="DA227" s="27" t="s">
        <v>8</v>
      </c>
      <c r="DB227" s="27" t="s">
        <v>7</v>
      </c>
      <c r="DG227" s="27" t="s">
        <v>8</v>
      </c>
      <c r="DH227" s="27" t="s">
        <v>7</v>
      </c>
      <c r="DI227" s="27" t="s">
        <v>8</v>
      </c>
      <c r="DJ227" s="27" t="s">
        <v>7</v>
      </c>
    </row>
    <row r="228" spans="1:127" x14ac:dyDescent="0.25">
      <c r="A228" s="30">
        <v>1.7958563260221301</v>
      </c>
      <c r="C228" s="7"/>
      <c r="D228"/>
      <c r="E228"/>
      <c r="I228" s="27" t="s">
        <v>8</v>
      </c>
      <c r="J228" s="27" t="s">
        <v>7</v>
      </c>
      <c r="K228" s="27" t="s">
        <v>8</v>
      </c>
      <c r="L228" s="27" t="s">
        <v>7</v>
      </c>
      <c r="O228" s="27" t="s">
        <v>8</v>
      </c>
      <c r="Q228" s="27" t="s">
        <v>8</v>
      </c>
      <c r="R228" s="27" t="s">
        <v>7</v>
      </c>
      <c r="S228" s="27" t="s">
        <v>8</v>
      </c>
      <c r="T228" s="27" t="s">
        <v>7</v>
      </c>
      <c r="U228" s="27" t="s">
        <v>8</v>
      </c>
      <c r="V228" s="27" t="s">
        <v>7</v>
      </c>
      <c r="W228" s="27" t="s">
        <v>8</v>
      </c>
      <c r="AU228" s="27" t="s">
        <v>8</v>
      </c>
      <c r="AV228" s="27" t="s">
        <v>7</v>
      </c>
      <c r="AW228" s="27" t="s">
        <v>8</v>
      </c>
      <c r="AX228" s="27" t="s">
        <v>7</v>
      </c>
      <c r="AY228" s="27" t="s">
        <v>8</v>
      </c>
      <c r="AZ228" s="27" t="s">
        <v>7</v>
      </c>
      <c r="BA228" s="27" t="s">
        <v>8</v>
      </c>
      <c r="BB228" s="27" t="s">
        <v>7</v>
      </c>
      <c r="BC228" s="27" t="s">
        <v>8</v>
      </c>
      <c r="BE228" s="27" t="s">
        <v>8</v>
      </c>
      <c r="BH228" s="31"/>
      <c r="CB228" s="27" t="s">
        <v>7</v>
      </c>
      <c r="CC228" s="27" t="s">
        <v>8</v>
      </c>
      <c r="CD228" s="27" t="s">
        <v>7</v>
      </c>
      <c r="CE228" s="27" t="s">
        <v>8</v>
      </c>
      <c r="CF228" s="27" t="s">
        <v>7</v>
      </c>
      <c r="CG228" s="27" t="s">
        <v>8</v>
      </c>
      <c r="CJ228" s="27" t="s">
        <v>7</v>
      </c>
      <c r="CK228" s="27" t="s">
        <v>8</v>
      </c>
      <c r="CL228" s="27" t="s">
        <v>7</v>
      </c>
      <c r="CO228" s="31"/>
      <c r="CS228" s="33" t="s">
        <v>8</v>
      </c>
      <c r="CT228" s="27" t="s">
        <v>7</v>
      </c>
      <c r="CU228" s="27" t="s">
        <v>8</v>
      </c>
      <c r="CX228" s="27" t="s">
        <v>7</v>
      </c>
      <c r="CY228" s="27" t="s">
        <v>8</v>
      </c>
      <c r="CZ228" s="27" t="s">
        <v>7</v>
      </c>
      <c r="DA228" s="27" t="s">
        <v>8</v>
      </c>
      <c r="DB228" s="27" t="s">
        <v>7</v>
      </c>
      <c r="DC228" s="27" t="s">
        <v>8</v>
      </c>
      <c r="DE228" s="27" t="s">
        <v>8</v>
      </c>
      <c r="DG228" s="27" t="s">
        <v>8</v>
      </c>
      <c r="DH228" s="27" t="s">
        <v>7</v>
      </c>
      <c r="DI228" s="27" t="s">
        <v>8</v>
      </c>
      <c r="DJ228" s="27" t="s">
        <v>7</v>
      </c>
    </row>
    <row r="229" spans="1:127" x14ac:dyDescent="0.25">
      <c r="A229" s="30">
        <v>1.7103393581163142</v>
      </c>
      <c r="E229"/>
      <c r="I229" s="27" t="s">
        <v>8</v>
      </c>
      <c r="J229" s="27" t="s">
        <v>7</v>
      </c>
      <c r="K229" s="27" t="s">
        <v>8</v>
      </c>
      <c r="L229" s="27" t="s">
        <v>7</v>
      </c>
      <c r="O229" s="27" t="s">
        <v>8</v>
      </c>
      <c r="P229" s="27" t="s">
        <v>7</v>
      </c>
      <c r="Q229" s="27" t="s">
        <v>8</v>
      </c>
      <c r="R229" s="27" t="s">
        <v>7</v>
      </c>
      <c r="T229" s="27" t="s">
        <v>7</v>
      </c>
      <c r="U229" s="27" t="s">
        <v>8</v>
      </c>
      <c r="V229" s="27" t="s">
        <v>7</v>
      </c>
      <c r="W229" s="27" t="s">
        <v>8</v>
      </c>
      <c r="X229" s="27" t="s">
        <v>7</v>
      </c>
      <c r="AU229" s="27" t="s">
        <v>8</v>
      </c>
      <c r="AV229" s="27" t="s">
        <v>7</v>
      </c>
      <c r="AW229" s="27" t="s">
        <v>8</v>
      </c>
      <c r="AX229" s="27" t="s">
        <v>7</v>
      </c>
      <c r="AZ229" s="27" t="s">
        <v>7</v>
      </c>
      <c r="BA229" s="27" t="s">
        <v>8</v>
      </c>
      <c r="BB229" s="27" t="s">
        <v>7</v>
      </c>
      <c r="BC229" s="27" t="s">
        <v>8</v>
      </c>
      <c r="BD229" s="27" t="s">
        <v>7</v>
      </c>
      <c r="BE229" s="27" t="s">
        <v>8</v>
      </c>
      <c r="BG229" s="31"/>
      <c r="CB229" s="27" t="s">
        <v>7</v>
      </c>
      <c r="CC229" s="27" t="s">
        <v>8</v>
      </c>
      <c r="CD229" s="27" t="s">
        <v>7</v>
      </c>
      <c r="CE229" s="27" t="s">
        <v>8</v>
      </c>
      <c r="CF229" s="27" t="s">
        <v>7</v>
      </c>
      <c r="CG229" s="27" t="s">
        <v>8</v>
      </c>
      <c r="CJ229" s="27" t="s">
        <v>7</v>
      </c>
      <c r="CK229" s="27" t="s">
        <v>8</v>
      </c>
      <c r="CL229" s="27" t="s">
        <v>7</v>
      </c>
      <c r="CO229" s="32" t="s">
        <v>8</v>
      </c>
      <c r="CP229" s="31"/>
      <c r="CQ229" s="32" t="s">
        <v>8</v>
      </c>
      <c r="CS229" s="27" t="s">
        <v>8</v>
      </c>
      <c r="CT229" s="27" t="s">
        <v>7</v>
      </c>
      <c r="CX229" s="27" t="s">
        <v>7</v>
      </c>
      <c r="CY229" s="27" t="s">
        <v>8</v>
      </c>
      <c r="CZ229" s="27" t="s">
        <v>7</v>
      </c>
      <c r="DB229" s="27" t="s">
        <v>7</v>
      </c>
      <c r="DC229" s="27" t="s">
        <v>8</v>
      </c>
      <c r="DD229" s="27" t="s">
        <v>7</v>
      </c>
      <c r="DE229" s="27" t="s">
        <v>8</v>
      </c>
      <c r="DF229" s="27" t="s">
        <v>7</v>
      </c>
      <c r="DG229" s="27" t="s">
        <v>8</v>
      </c>
      <c r="DH229" s="27" t="s">
        <v>7</v>
      </c>
      <c r="DI229" s="27" t="s">
        <v>8</v>
      </c>
      <c r="DJ229" s="27" t="s">
        <v>7</v>
      </c>
      <c r="DW229" s="27" t="s">
        <v>8</v>
      </c>
    </row>
    <row r="230" spans="1:127" x14ac:dyDescent="0.25">
      <c r="A230" s="30">
        <v>1.628894626777442</v>
      </c>
      <c r="E230"/>
      <c r="I230" s="27" t="s">
        <v>8</v>
      </c>
      <c r="J230" s="27" t="s">
        <v>7</v>
      </c>
      <c r="K230" s="27" t="s">
        <v>8</v>
      </c>
      <c r="L230" s="27" t="s">
        <v>7</v>
      </c>
      <c r="O230" s="27" t="s">
        <v>8</v>
      </c>
      <c r="P230" s="27" t="s">
        <v>7</v>
      </c>
      <c r="Q230" s="27" t="s">
        <v>8</v>
      </c>
      <c r="T230" s="27" t="s">
        <v>7</v>
      </c>
      <c r="U230" s="27" t="s">
        <v>8</v>
      </c>
      <c r="V230" s="27" t="s">
        <v>7</v>
      </c>
      <c r="W230" s="27" t="s">
        <v>8</v>
      </c>
      <c r="X230" s="27" t="s">
        <v>7</v>
      </c>
      <c r="AU230" s="27" t="s">
        <v>8</v>
      </c>
      <c r="AV230" s="27" t="s">
        <v>7</v>
      </c>
      <c r="AZ230" s="27" t="s">
        <v>7</v>
      </c>
      <c r="BA230" s="27" t="s">
        <v>8</v>
      </c>
      <c r="BB230" s="27" t="s">
        <v>7</v>
      </c>
      <c r="BC230" s="27" t="s">
        <v>8</v>
      </c>
      <c r="BD230" s="27" t="s">
        <v>7</v>
      </c>
      <c r="BE230" s="27" t="s">
        <v>8</v>
      </c>
      <c r="BF230" s="31"/>
      <c r="CB230" s="27" t="s">
        <v>7</v>
      </c>
      <c r="CC230" s="27" t="s">
        <v>8</v>
      </c>
      <c r="CD230" s="27" t="s">
        <v>7</v>
      </c>
      <c r="CE230" s="27" t="s">
        <v>8</v>
      </c>
      <c r="CF230" s="27" t="s">
        <v>7</v>
      </c>
      <c r="CG230" s="27" t="s">
        <v>8</v>
      </c>
      <c r="CJ230" s="27" t="s">
        <v>7</v>
      </c>
      <c r="CL230" s="27" t="s">
        <v>7</v>
      </c>
      <c r="CO230" s="27" t="s">
        <v>8</v>
      </c>
      <c r="CP230" s="27" t="s">
        <v>7</v>
      </c>
      <c r="CQ230" s="31" t="s">
        <v>8</v>
      </c>
      <c r="CR230" s="31" t="s">
        <v>7</v>
      </c>
      <c r="CS230" s="27" t="s">
        <v>8</v>
      </c>
      <c r="CX230" s="27" t="s">
        <v>7</v>
      </c>
      <c r="CY230" s="27" t="s">
        <v>8</v>
      </c>
      <c r="DB230" s="27" t="s">
        <v>7</v>
      </c>
      <c r="DC230" s="27" t="s">
        <v>8</v>
      </c>
      <c r="DD230" s="27" t="s">
        <v>7</v>
      </c>
      <c r="DE230" s="27" t="s">
        <v>8</v>
      </c>
      <c r="DF230" s="27" t="s">
        <v>7</v>
      </c>
      <c r="DG230" s="27" t="s">
        <v>8</v>
      </c>
      <c r="DH230" s="27" t="s">
        <v>7</v>
      </c>
      <c r="DJ230" s="27" t="s">
        <v>7</v>
      </c>
      <c r="DS230" s="27" t="s">
        <v>8</v>
      </c>
      <c r="DU230" s="27" t="s">
        <v>8</v>
      </c>
      <c r="DW230" s="27" t="s">
        <v>8</v>
      </c>
    </row>
    <row r="231" spans="1:127" x14ac:dyDescent="0.25">
      <c r="A231" s="30">
        <v>1.5513282159785162</v>
      </c>
      <c r="C231"/>
      <c r="D231"/>
      <c r="E231"/>
      <c r="I231" s="27" t="s">
        <v>8</v>
      </c>
      <c r="J231" s="27" t="s">
        <v>7</v>
      </c>
      <c r="K231" s="27" t="s">
        <v>8</v>
      </c>
      <c r="L231" s="27" t="s">
        <v>7</v>
      </c>
      <c r="O231" s="27" t="s">
        <v>8</v>
      </c>
      <c r="P231" s="27" t="s">
        <v>7</v>
      </c>
      <c r="T231" s="27" t="s">
        <v>7</v>
      </c>
      <c r="V231" s="27" t="s">
        <v>7</v>
      </c>
      <c r="X231" s="27" t="s">
        <v>7</v>
      </c>
      <c r="AU231" s="27" t="s">
        <v>8</v>
      </c>
      <c r="AZ231" s="27" t="s">
        <v>7</v>
      </c>
      <c r="BA231" s="27" t="s">
        <v>8</v>
      </c>
      <c r="BB231" s="27" t="s">
        <v>7</v>
      </c>
      <c r="BC231" s="27" t="s">
        <v>8</v>
      </c>
      <c r="BD231" s="27" t="s">
        <v>7</v>
      </c>
      <c r="BE231" s="31" t="s">
        <v>8</v>
      </c>
      <c r="CB231" s="27" t="s">
        <v>7</v>
      </c>
      <c r="CC231" s="27" t="s">
        <v>8</v>
      </c>
      <c r="CD231" s="27" t="s">
        <v>7</v>
      </c>
      <c r="CE231" s="27" t="s">
        <v>8</v>
      </c>
      <c r="CF231" s="27" t="s">
        <v>7</v>
      </c>
      <c r="CG231" s="27" t="s">
        <v>8</v>
      </c>
      <c r="CL231" s="27" t="s">
        <v>7</v>
      </c>
      <c r="CO231" s="27" t="s">
        <v>8</v>
      </c>
      <c r="CP231" s="27" t="s">
        <v>7</v>
      </c>
      <c r="CQ231" s="27" t="s">
        <v>8</v>
      </c>
      <c r="CR231" s="27" t="s">
        <v>7</v>
      </c>
      <c r="CS231" s="31" t="s">
        <v>8</v>
      </c>
      <c r="CX231" s="31" t="s">
        <v>7</v>
      </c>
      <c r="DB231" s="27" t="s">
        <v>7</v>
      </c>
      <c r="DC231" s="27" t="s">
        <v>8</v>
      </c>
      <c r="DD231" s="27" t="s">
        <v>7</v>
      </c>
      <c r="DF231" s="27" t="s">
        <v>7</v>
      </c>
      <c r="DG231" s="27" t="s">
        <v>8</v>
      </c>
      <c r="DJ231" s="27" t="s">
        <v>7</v>
      </c>
      <c r="DK231" s="27" t="s">
        <v>8</v>
      </c>
      <c r="DM231" s="27" t="s">
        <v>8</v>
      </c>
      <c r="DO231" s="27" t="s">
        <v>8</v>
      </c>
      <c r="DQ231" s="27" t="s">
        <v>8</v>
      </c>
      <c r="DS231" s="27" t="s">
        <v>8</v>
      </c>
      <c r="DT231" s="27" t="s">
        <v>7</v>
      </c>
      <c r="DU231" s="27" t="s">
        <v>8</v>
      </c>
      <c r="DV231" s="27" t="s">
        <v>7</v>
      </c>
      <c r="DW231" s="27" t="s">
        <v>8</v>
      </c>
    </row>
    <row r="232" spans="1:127" x14ac:dyDescent="0.25">
      <c r="A232" s="30">
        <v>1.477455443789063</v>
      </c>
      <c r="E232"/>
      <c r="I232" s="27" t="s">
        <v>8</v>
      </c>
      <c r="J232" s="27" t="s">
        <v>7</v>
      </c>
      <c r="L232" s="27" t="s">
        <v>7</v>
      </c>
      <c r="M232" s="27" t="s">
        <v>8</v>
      </c>
      <c r="O232" s="27" t="s">
        <v>8</v>
      </c>
      <c r="X232" s="27" t="s">
        <v>7</v>
      </c>
      <c r="AQ232" s="27" t="s">
        <v>8</v>
      </c>
      <c r="AU232" s="27" t="s">
        <v>8</v>
      </c>
      <c r="AZ232" s="27" t="s">
        <v>7</v>
      </c>
      <c r="BA232" s="27" t="s">
        <v>8</v>
      </c>
      <c r="BB232" s="32" t="s">
        <v>7</v>
      </c>
      <c r="BD232" s="32" t="s">
        <v>7</v>
      </c>
      <c r="CB232" s="27" t="s">
        <v>7</v>
      </c>
      <c r="CC232" s="27" t="s">
        <v>8</v>
      </c>
      <c r="CD232" s="27" t="s">
        <v>7</v>
      </c>
      <c r="CE232" s="27" t="s">
        <v>8</v>
      </c>
      <c r="CF232" s="27" t="s">
        <v>7</v>
      </c>
      <c r="CL232" s="27" t="s">
        <v>7</v>
      </c>
      <c r="CO232" s="33" t="s">
        <v>8</v>
      </c>
      <c r="CP232" s="27" t="s">
        <v>7</v>
      </c>
      <c r="CR232" s="27" t="s">
        <v>7</v>
      </c>
      <c r="CS232" s="27" t="s">
        <v>8</v>
      </c>
      <c r="CW232" s="31"/>
      <c r="DB232" s="27" t="s">
        <v>7</v>
      </c>
      <c r="DC232" s="27" t="s">
        <v>8</v>
      </c>
      <c r="DF232" s="27" t="s">
        <v>7</v>
      </c>
      <c r="DJ232" s="27" t="s">
        <v>7</v>
      </c>
      <c r="DK232" s="27" t="s">
        <v>8</v>
      </c>
      <c r="DL232" s="27" t="s">
        <v>7</v>
      </c>
      <c r="DM232" s="27" t="s">
        <v>8</v>
      </c>
      <c r="DN232" s="27" t="s">
        <v>7</v>
      </c>
      <c r="DO232" s="27" t="s">
        <v>8</v>
      </c>
      <c r="DP232" s="27" t="s">
        <v>7</v>
      </c>
      <c r="DQ232" s="27" t="s">
        <v>8</v>
      </c>
      <c r="DR232" s="27" t="s">
        <v>7</v>
      </c>
      <c r="DS232" s="27" t="s">
        <v>8</v>
      </c>
      <c r="DT232" s="27" t="s">
        <v>7</v>
      </c>
      <c r="DU232" s="27" t="s">
        <v>8</v>
      </c>
      <c r="DV232" s="27" t="s">
        <v>7</v>
      </c>
      <c r="DW232" s="27" t="s">
        <v>8</v>
      </c>
    </row>
    <row r="233" spans="1:127" x14ac:dyDescent="0.25">
      <c r="A233" s="30">
        <v>1.4071004226562505</v>
      </c>
      <c r="E233"/>
      <c r="I233" s="27" t="s">
        <v>8</v>
      </c>
      <c r="L233" s="27" t="s">
        <v>7</v>
      </c>
      <c r="M233" s="27" t="s">
        <v>8</v>
      </c>
      <c r="N233" s="27" t="s">
        <v>7</v>
      </c>
      <c r="O233" s="27" t="s">
        <v>8</v>
      </c>
      <c r="X233" s="27" t="s">
        <v>7</v>
      </c>
      <c r="AO233" s="27" t="s">
        <v>8</v>
      </c>
      <c r="AQ233" s="27" t="s">
        <v>8</v>
      </c>
      <c r="AR233" s="27" t="s">
        <v>7</v>
      </c>
      <c r="AS233" s="27" t="s">
        <v>8</v>
      </c>
      <c r="AU233" s="27" t="s">
        <v>8</v>
      </c>
      <c r="AZ233" s="27" t="s">
        <v>7</v>
      </c>
      <c r="CB233" s="27" t="s">
        <v>7</v>
      </c>
      <c r="CD233" s="27" t="s">
        <v>7</v>
      </c>
      <c r="CE233" s="27" t="s">
        <v>8</v>
      </c>
      <c r="CL233" s="27" t="s">
        <v>7</v>
      </c>
      <c r="CM233" s="27" t="s">
        <v>8</v>
      </c>
      <c r="CO233" s="27" t="s">
        <v>8</v>
      </c>
      <c r="CR233" s="34" t="s">
        <v>7</v>
      </c>
      <c r="CS233" s="27" t="s">
        <v>8</v>
      </c>
      <c r="CV233" s="31"/>
      <c r="DB233" s="27" t="s">
        <v>7</v>
      </c>
      <c r="DC233" s="27" t="s">
        <v>8</v>
      </c>
      <c r="DJ233" s="27" t="s">
        <v>7</v>
      </c>
      <c r="DK233" s="27" t="s">
        <v>8</v>
      </c>
      <c r="DL233" s="27" t="s">
        <v>7</v>
      </c>
      <c r="DM233" s="27" t="s">
        <v>8</v>
      </c>
      <c r="DN233" s="27" t="s">
        <v>7</v>
      </c>
      <c r="DO233" s="27" t="s">
        <v>8</v>
      </c>
      <c r="DP233" s="27" t="s">
        <v>7</v>
      </c>
      <c r="DQ233" s="27" t="s">
        <v>8</v>
      </c>
      <c r="DR233" s="27" t="s">
        <v>7</v>
      </c>
      <c r="DS233" s="27" t="s">
        <v>8</v>
      </c>
      <c r="DT233" s="27" t="s">
        <v>7</v>
      </c>
      <c r="DV233" s="27" t="s">
        <v>7</v>
      </c>
      <c r="DW233" s="27" t="s">
        <v>8</v>
      </c>
    </row>
    <row r="234" spans="1:127" x14ac:dyDescent="0.25">
      <c r="A234" s="30">
        <v>1.3400956406250004</v>
      </c>
      <c r="E234"/>
      <c r="I234" s="27" t="s">
        <v>8</v>
      </c>
      <c r="L234" s="27" t="s">
        <v>7</v>
      </c>
      <c r="M234" s="27" t="s">
        <v>8</v>
      </c>
      <c r="N234" s="27" t="s">
        <v>7</v>
      </c>
      <c r="O234" s="27" t="s">
        <v>8</v>
      </c>
      <c r="X234" s="27" t="s">
        <v>7</v>
      </c>
      <c r="AE234" s="27" t="s">
        <v>8</v>
      </c>
      <c r="AO234" s="27" t="s">
        <v>8</v>
      </c>
      <c r="AP234" s="27" t="s">
        <v>7</v>
      </c>
      <c r="AQ234" s="27" t="s">
        <v>8</v>
      </c>
      <c r="AR234" s="27" t="s">
        <v>7</v>
      </c>
      <c r="AS234" s="27" t="s">
        <v>8</v>
      </c>
      <c r="AT234" s="27" t="s">
        <v>7</v>
      </c>
      <c r="AU234" s="27" t="s">
        <v>8</v>
      </c>
      <c r="CD234" s="27" t="s">
        <v>7</v>
      </c>
      <c r="CE234" s="27" t="s">
        <v>8</v>
      </c>
      <c r="CL234" s="27" t="s">
        <v>7</v>
      </c>
      <c r="CM234" s="27" t="s">
        <v>8</v>
      </c>
      <c r="CN234" s="27" t="s">
        <v>7</v>
      </c>
      <c r="CO234" s="27" t="s">
        <v>8</v>
      </c>
      <c r="CR234" s="27" t="s">
        <v>7</v>
      </c>
      <c r="CS234" s="27" t="s">
        <v>8</v>
      </c>
      <c r="CU234" s="31"/>
      <c r="DB234" s="27" t="s">
        <v>7</v>
      </c>
      <c r="DJ234" s="27" t="s">
        <v>7</v>
      </c>
      <c r="DK234" s="27" t="s">
        <v>8</v>
      </c>
      <c r="DL234" s="27" t="s">
        <v>7</v>
      </c>
      <c r="DM234" s="27" t="s">
        <v>8</v>
      </c>
      <c r="DN234" s="27" t="s">
        <v>7</v>
      </c>
      <c r="DO234" s="27" t="s">
        <v>8</v>
      </c>
      <c r="DP234" s="27" t="s">
        <v>7</v>
      </c>
      <c r="DQ234" s="27" t="s">
        <v>8</v>
      </c>
      <c r="DR234" s="27" t="s">
        <v>7</v>
      </c>
      <c r="DS234" s="27" t="s">
        <v>8</v>
      </c>
      <c r="DV234" s="27" t="s">
        <v>7</v>
      </c>
      <c r="DW234" s="27" t="s">
        <v>8</v>
      </c>
    </row>
    <row r="235" spans="1:127" x14ac:dyDescent="0.25">
      <c r="A235" s="30">
        <v>1.2762815625000004</v>
      </c>
      <c r="C235"/>
      <c r="E235" t="s">
        <v>8</v>
      </c>
      <c r="G235" s="27" t="s">
        <v>8</v>
      </c>
      <c r="I235" s="27" t="s">
        <v>8</v>
      </c>
      <c r="L235" s="27" t="s">
        <v>7</v>
      </c>
      <c r="N235" s="27" t="s">
        <v>7</v>
      </c>
      <c r="O235" s="27" t="s">
        <v>8</v>
      </c>
      <c r="X235" s="27" t="s">
        <v>7</v>
      </c>
      <c r="Y235" s="27" t="s">
        <v>8</v>
      </c>
      <c r="AE235" s="27" t="s">
        <v>8</v>
      </c>
      <c r="AF235" s="27" t="s">
        <v>7</v>
      </c>
      <c r="AK235" s="32" t="s">
        <v>8</v>
      </c>
      <c r="AM235" s="32" t="s">
        <v>8</v>
      </c>
      <c r="AO235" s="27" t="s">
        <v>8</v>
      </c>
      <c r="AP235" s="27" t="s">
        <v>7</v>
      </c>
      <c r="AQ235" s="27" t="s">
        <v>8</v>
      </c>
      <c r="AR235" s="27" t="s">
        <v>7</v>
      </c>
      <c r="AS235" s="27" t="s">
        <v>8</v>
      </c>
      <c r="AT235" s="27" t="s">
        <v>7</v>
      </c>
      <c r="AU235" s="27" t="s">
        <v>8</v>
      </c>
      <c r="CD235" s="27" t="s">
        <v>7</v>
      </c>
      <c r="CE235" s="27" t="s">
        <v>8</v>
      </c>
      <c r="CL235" s="27" t="s">
        <v>7</v>
      </c>
      <c r="CM235" s="27" t="s">
        <v>8</v>
      </c>
      <c r="CN235" s="27" t="s">
        <v>7</v>
      </c>
      <c r="CO235" s="27" t="s">
        <v>8</v>
      </c>
      <c r="CR235" s="27" t="s">
        <v>7</v>
      </c>
      <c r="CS235" s="27" t="s">
        <v>8</v>
      </c>
      <c r="CT235" s="31"/>
      <c r="DJ235" s="27" t="s">
        <v>7</v>
      </c>
      <c r="DK235" s="27" t="s">
        <v>8</v>
      </c>
      <c r="DL235" s="27" t="s">
        <v>7</v>
      </c>
      <c r="DM235" s="27" t="s">
        <v>8</v>
      </c>
      <c r="DN235" s="27" t="s">
        <v>7</v>
      </c>
      <c r="DO235" s="27" t="s">
        <v>8</v>
      </c>
      <c r="DP235" s="27" t="s">
        <v>7</v>
      </c>
      <c r="DQ235" s="27" t="s">
        <v>8</v>
      </c>
      <c r="DR235" s="27" t="s">
        <v>7</v>
      </c>
      <c r="DV235" s="27" t="s">
        <v>7</v>
      </c>
    </row>
    <row r="236" spans="1:127" x14ac:dyDescent="0.25">
      <c r="A236" s="30">
        <v>1.2155062500000002</v>
      </c>
      <c r="E236" t="s">
        <v>8</v>
      </c>
      <c r="F236" s="27" t="s">
        <v>7</v>
      </c>
      <c r="G236" s="27" t="s">
        <v>8</v>
      </c>
      <c r="H236" s="27" t="s">
        <v>7</v>
      </c>
      <c r="I236" s="27" t="s">
        <v>8</v>
      </c>
      <c r="N236" s="27" t="s">
        <v>7</v>
      </c>
      <c r="X236" s="27" t="s">
        <v>7</v>
      </c>
      <c r="Y236" s="27" t="s">
        <v>8</v>
      </c>
      <c r="Z236" s="27" t="s">
        <v>7</v>
      </c>
      <c r="AE236" s="27" t="s">
        <v>8</v>
      </c>
      <c r="AF236" s="27" t="s">
        <v>7</v>
      </c>
      <c r="AK236" s="27" t="s">
        <v>8</v>
      </c>
      <c r="AL236" s="27" t="s">
        <v>7</v>
      </c>
      <c r="AM236" s="27" t="s">
        <v>8</v>
      </c>
      <c r="AN236" s="27" t="s">
        <v>7</v>
      </c>
      <c r="AO236" s="27" t="s">
        <v>8</v>
      </c>
      <c r="AP236" s="27" t="s">
        <v>7</v>
      </c>
      <c r="AQ236" s="27" t="s">
        <v>8</v>
      </c>
      <c r="AR236" s="27" t="s">
        <v>7</v>
      </c>
      <c r="AT236" s="27" t="s">
        <v>7</v>
      </c>
      <c r="AU236" s="27" t="s">
        <v>8</v>
      </c>
      <c r="CD236" s="27" t="s">
        <v>7</v>
      </c>
      <c r="CL236" s="27" t="s">
        <v>7</v>
      </c>
      <c r="CM236" s="27" t="s">
        <v>8</v>
      </c>
      <c r="CN236" s="27" t="s">
        <v>7</v>
      </c>
      <c r="CO236" s="27" t="s">
        <v>8</v>
      </c>
      <c r="CR236" s="18" t="s">
        <v>7</v>
      </c>
      <c r="CS236" s="31" t="s">
        <v>8</v>
      </c>
      <c r="DJ236" s="27" t="s">
        <v>7</v>
      </c>
      <c r="DL236" s="27" t="s">
        <v>7</v>
      </c>
      <c r="DN236" s="27" t="s">
        <v>7</v>
      </c>
      <c r="DP236" s="27" t="s">
        <v>7</v>
      </c>
    </row>
    <row r="237" spans="1:12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G237" s="27" t="s">
        <v>8</v>
      </c>
      <c r="H237" s="27" t="s">
        <v>7</v>
      </c>
      <c r="I237" s="27" t="s">
        <v>8</v>
      </c>
      <c r="X237" s="27" t="s">
        <v>7</v>
      </c>
      <c r="Y237" s="27" t="s">
        <v>8</v>
      </c>
      <c r="Z237" s="27" t="s">
        <v>7</v>
      </c>
      <c r="AE237" s="27" t="s">
        <v>8</v>
      </c>
      <c r="AF237" s="27" t="s">
        <v>7</v>
      </c>
      <c r="AK237" s="27" t="s">
        <v>8</v>
      </c>
      <c r="AL237" s="27" t="s">
        <v>7</v>
      </c>
      <c r="AM237" s="27" t="s">
        <v>8</v>
      </c>
      <c r="AN237" s="27" t="s">
        <v>7</v>
      </c>
      <c r="AO237" s="27" t="s">
        <v>8</v>
      </c>
      <c r="AP237" s="27" t="s">
        <v>7</v>
      </c>
      <c r="AT237" s="27" t="s">
        <v>7</v>
      </c>
      <c r="CL237" s="27" t="s">
        <v>7</v>
      </c>
      <c r="CM237" s="27" t="s">
        <v>8</v>
      </c>
      <c r="CN237" s="27" t="s">
        <v>7</v>
      </c>
      <c r="CR237" s="31" t="s">
        <v>7</v>
      </c>
    </row>
    <row r="238" spans="1:127" x14ac:dyDescent="0.25">
      <c r="A238" s="30">
        <v>1.1025</v>
      </c>
      <c r="E238" t="s">
        <v>8</v>
      </c>
      <c r="F238" s="27" t="s">
        <v>7</v>
      </c>
      <c r="H238" s="27" t="s">
        <v>7</v>
      </c>
      <c r="I238" s="27" t="s">
        <v>8</v>
      </c>
      <c r="X238" s="27" t="s">
        <v>7</v>
      </c>
      <c r="Y238" s="27" t="s">
        <v>8</v>
      </c>
      <c r="Z238" s="27" t="s">
        <v>7</v>
      </c>
      <c r="AE238" s="27" t="s">
        <v>8</v>
      </c>
      <c r="AF238" s="27" t="s">
        <v>7</v>
      </c>
      <c r="AG238" s="27" t="s">
        <v>8</v>
      </c>
      <c r="AK238" s="27" t="s">
        <v>8</v>
      </c>
      <c r="AL238" s="27" t="s">
        <v>7</v>
      </c>
      <c r="AM238" s="27" t="s">
        <v>8</v>
      </c>
      <c r="AN238" s="27" t="s">
        <v>7</v>
      </c>
      <c r="AO238" s="27" t="s">
        <v>8</v>
      </c>
      <c r="CL238" s="27" t="s">
        <v>7</v>
      </c>
    </row>
    <row r="239" spans="1:127" x14ac:dyDescent="0.25">
      <c r="A239" s="30">
        <v>1.05</v>
      </c>
      <c r="E239" t="s">
        <v>8</v>
      </c>
      <c r="H239" s="27" t="s">
        <v>7</v>
      </c>
      <c r="X239" s="27" t="s">
        <v>7</v>
      </c>
      <c r="Z239" s="27" t="s">
        <v>7</v>
      </c>
      <c r="AA239" s="27" t="s">
        <v>8</v>
      </c>
      <c r="AC239" s="27" t="s">
        <v>8</v>
      </c>
      <c r="AE239" s="27" t="s">
        <v>8</v>
      </c>
      <c r="AF239" s="27" t="s">
        <v>7</v>
      </c>
      <c r="AG239" s="27" t="s">
        <v>8</v>
      </c>
      <c r="AH239" s="27" t="s">
        <v>7</v>
      </c>
      <c r="AK239" s="27" t="s">
        <v>8</v>
      </c>
      <c r="AL239" s="27" t="s">
        <v>7</v>
      </c>
      <c r="AM239" s="27" t="s">
        <v>8</v>
      </c>
      <c r="AN239" s="27" t="s">
        <v>7</v>
      </c>
      <c r="AO239" s="27" t="s">
        <v>8</v>
      </c>
    </row>
    <row r="240" spans="1:127" x14ac:dyDescent="0.25">
      <c r="A240" s="30">
        <v>1</v>
      </c>
      <c r="E240" s="29" t="s">
        <v>8</v>
      </c>
      <c r="Z240" s="27" t="s">
        <v>7</v>
      </c>
      <c r="AA240" s="27" t="s">
        <v>8</v>
      </c>
      <c r="AB240" s="27" t="s">
        <v>7</v>
      </c>
      <c r="AC240" s="27" t="s">
        <v>8</v>
      </c>
      <c r="AD240" s="27" t="s">
        <v>7</v>
      </c>
      <c r="AE240" s="27" t="s">
        <v>8</v>
      </c>
      <c r="AF240" s="27" t="s">
        <v>7</v>
      </c>
      <c r="AG240" s="27" t="s">
        <v>8</v>
      </c>
      <c r="AH240" s="27" t="s">
        <v>7</v>
      </c>
      <c r="AK240" s="27" t="s">
        <v>8</v>
      </c>
      <c r="AL240" s="27" t="s">
        <v>7</v>
      </c>
      <c r="AM240" s="27" t="s">
        <v>8</v>
      </c>
      <c r="AN240" s="27" t="s">
        <v>7</v>
      </c>
      <c r="AO240" s="27" t="s">
        <v>8</v>
      </c>
    </row>
    <row r="241" spans="1:41" x14ac:dyDescent="0.25">
      <c r="A241" s="30">
        <v>0.952380952380952</v>
      </c>
      <c r="B241"/>
      <c r="C241"/>
      <c r="D241"/>
      <c r="E241"/>
      <c r="Z241" s="27" t="s">
        <v>7</v>
      </c>
      <c r="AA241" s="27" t="s">
        <v>8</v>
      </c>
      <c r="AB241" s="27" t="s">
        <v>7</v>
      </c>
      <c r="AC241" s="27" t="s">
        <v>8</v>
      </c>
      <c r="AD241" s="27" t="s">
        <v>7</v>
      </c>
      <c r="AE241" s="27" t="s">
        <v>8</v>
      </c>
      <c r="AF241" s="27" t="s">
        <v>7</v>
      </c>
      <c r="AG241" s="27" t="s">
        <v>8</v>
      </c>
      <c r="AH241" s="27" t="s">
        <v>7</v>
      </c>
      <c r="AI241" s="27" t="s">
        <v>8</v>
      </c>
      <c r="AK241" s="27" t="s">
        <v>8</v>
      </c>
      <c r="AL241" s="27" t="s">
        <v>7</v>
      </c>
      <c r="AN241" s="27" t="s">
        <v>7</v>
      </c>
      <c r="AO241" s="27" t="s">
        <v>8</v>
      </c>
    </row>
    <row r="242" spans="1:41" x14ac:dyDescent="0.25">
      <c r="A242" s="30">
        <v>0.90702947845804915</v>
      </c>
      <c r="B242"/>
      <c r="C242"/>
      <c r="D242"/>
      <c r="E242"/>
      <c r="Z242" s="27" t="s">
        <v>7</v>
      </c>
      <c r="AA242" s="27" t="s">
        <v>8</v>
      </c>
      <c r="AB242" s="27" t="s">
        <v>7</v>
      </c>
      <c r="AC242" s="27" t="s">
        <v>8</v>
      </c>
      <c r="AD242" s="27" t="s">
        <v>7</v>
      </c>
      <c r="AE242" s="27" t="s">
        <v>8</v>
      </c>
      <c r="AF242" s="27" t="s">
        <v>7</v>
      </c>
      <c r="AH242" s="27" t="s">
        <v>7</v>
      </c>
      <c r="AI242" s="27" t="s">
        <v>8</v>
      </c>
      <c r="AJ242" s="27" t="s">
        <v>7</v>
      </c>
      <c r="AK242" s="27" t="s">
        <v>8</v>
      </c>
      <c r="AN242" s="27" t="s">
        <v>7</v>
      </c>
      <c r="AO242" s="27" t="s">
        <v>8</v>
      </c>
    </row>
    <row r="243" spans="1:41" x14ac:dyDescent="0.25">
      <c r="A243" s="30">
        <v>0.86383759853147501</v>
      </c>
      <c r="B243"/>
      <c r="C243"/>
      <c r="D243"/>
      <c r="E243"/>
      <c r="Z243" s="27" t="s">
        <v>7</v>
      </c>
      <c r="AB243" s="27" t="s">
        <v>7</v>
      </c>
      <c r="AD243" s="27" t="s">
        <v>7</v>
      </c>
      <c r="AE243" s="27" t="s">
        <v>8</v>
      </c>
      <c r="AH243" s="27" t="s">
        <v>7</v>
      </c>
      <c r="AJ243" s="27" t="s">
        <v>7</v>
      </c>
      <c r="AK243" s="27" t="s">
        <v>8</v>
      </c>
      <c r="AN243" s="27" t="s">
        <v>7</v>
      </c>
    </row>
    <row r="244" spans="1:41" x14ac:dyDescent="0.25">
      <c r="A244" s="30">
        <v>0.82270247479188063</v>
      </c>
      <c r="B244"/>
      <c r="C244"/>
      <c r="D244"/>
      <c r="E244"/>
      <c r="AD244" s="27" t="s">
        <v>7</v>
      </c>
      <c r="AE244" s="27" t="s">
        <v>8</v>
      </c>
      <c r="AJ244" s="27" t="s">
        <v>7</v>
      </c>
      <c r="AK244" s="27" t="s">
        <v>8</v>
      </c>
    </row>
    <row r="245" spans="1:41" x14ac:dyDescent="0.25">
      <c r="A245" s="30">
        <v>0.78352616646845741</v>
      </c>
      <c r="B245"/>
      <c r="C245"/>
      <c r="D245"/>
      <c r="E245"/>
      <c r="AD245" s="27" t="s">
        <v>7</v>
      </c>
      <c r="AE245" s="27" t="s">
        <v>8</v>
      </c>
      <c r="AJ245" s="27" t="s">
        <v>7</v>
      </c>
      <c r="AK245" s="27" t="s">
        <v>8</v>
      </c>
    </row>
    <row r="246" spans="1:41" x14ac:dyDescent="0.25">
      <c r="A246" s="30">
        <v>0.74621539663662584</v>
      </c>
      <c r="B246"/>
      <c r="C246"/>
      <c r="D246"/>
      <c r="E246"/>
      <c r="AD246" s="27" t="s">
        <v>7</v>
      </c>
      <c r="AE246" s="27" t="s">
        <v>8</v>
      </c>
      <c r="AJ246" s="27" t="s">
        <v>7</v>
      </c>
      <c r="AK246" s="27" t="s">
        <v>8</v>
      </c>
    </row>
    <row r="247" spans="1:41" x14ac:dyDescent="0.25">
      <c r="A247" s="30">
        <v>0.71068133013011958</v>
      </c>
      <c r="B247"/>
      <c r="C247"/>
      <c r="D247"/>
      <c r="E247"/>
      <c r="AD247" s="27" t="s">
        <v>7</v>
      </c>
      <c r="AJ247" s="27" t="s">
        <v>7</v>
      </c>
    </row>
    <row r="248" spans="1:41" x14ac:dyDescent="0.25">
      <c r="A248" s="30">
        <v>0.676839362028685</v>
      </c>
      <c r="B248"/>
      <c r="C248"/>
      <c r="D248"/>
      <c r="E248"/>
    </row>
    <row r="249" spans="1:41" x14ac:dyDescent="0.25">
      <c r="A249" s="30">
        <v>0.64460891621779492</v>
      </c>
      <c r="B249"/>
      <c r="C249"/>
      <c r="D249"/>
      <c r="E249"/>
    </row>
    <row r="250" spans="1:41" x14ac:dyDescent="0.25">
      <c r="A250" s="30">
        <v>0.61391325354075688</v>
      </c>
      <c r="B250"/>
      <c r="C250"/>
      <c r="D250"/>
      <c r="E250"/>
    </row>
    <row r="251" spans="1:41" x14ac:dyDescent="0.25">
      <c r="A251" s="30">
        <v>0.58467928908643485</v>
      </c>
      <c r="B251"/>
      <c r="C251"/>
      <c r="D251"/>
      <c r="E251"/>
    </row>
    <row r="252" spans="1:41" x14ac:dyDescent="0.25">
      <c r="A252" s="30">
        <v>0.55683741817755672</v>
      </c>
      <c r="B252"/>
      <c r="C252"/>
      <c r="D252"/>
      <c r="E252"/>
    </row>
    <row r="253" spans="1:41" x14ac:dyDescent="0.25">
      <c r="A253" s="30">
        <v>0.53032135064529184</v>
      </c>
      <c r="B253"/>
      <c r="C253"/>
      <c r="D253"/>
      <c r="E253"/>
    </row>
    <row r="254" spans="1:41" x14ac:dyDescent="0.25">
      <c r="A254" s="30">
        <v>0.50506795299551588</v>
      </c>
      <c r="B254"/>
      <c r="C254"/>
      <c r="D254"/>
      <c r="E254"/>
    </row>
    <row r="255" spans="1:41" x14ac:dyDescent="0.25">
      <c r="A255" s="30">
        <v>0.48101709809096732</v>
      </c>
      <c r="E255"/>
    </row>
    <row r="256" spans="1:41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15" operator="equal">
      <formula>$U$1</formula>
    </cfRule>
    <cfRule type="cellIs" dxfId="67" priority="1016" operator="equal">
      <formula>$S$1</formula>
    </cfRule>
  </conditionalFormatting>
  <conditionalFormatting sqref="D136">
    <cfRule type="cellIs" dxfId="66" priority="1013" operator="equal">
      <formula>$S$1</formula>
    </cfRule>
    <cfRule type="cellIs" dxfId="65" priority="1014" operator="equal">
      <formula>$U$1</formula>
    </cfRule>
  </conditionalFormatting>
  <conditionalFormatting sqref="C162">
    <cfRule type="cellIs" dxfId="64" priority="1011" operator="equal">
      <formula>$U$1</formula>
    </cfRule>
    <cfRule type="cellIs" dxfId="63" priority="1012" operator="equal">
      <formula>$S$1</formula>
    </cfRule>
  </conditionalFormatting>
  <conditionalFormatting sqref="D162">
    <cfRule type="cellIs" dxfId="62" priority="1009" operator="equal">
      <formula>$S$1</formula>
    </cfRule>
    <cfRule type="cellIs" dxfId="61" priority="1010" operator="equal">
      <formula>$U$1</formula>
    </cfRule>
  </conditionalFormatting>
  <conditionalFormatting sqref="C187">
    <cfRule type="cellIs" dxfId="60" priority="1007" operator="equal">
      <formula>$U$1</formula>
    </cfRule>
    <cfRule type="cellIs" dxfId="59" priority="1008" operator="equal">
      <formula>$S$1</formula>
    </cfRule>
  </conditionalFormatting>
  <conditionalFormatting sqref="D187">
    <cfRule type="cellIs" dxfId="58" priority="1005" operator="equal">
      <formula>$S$1</formula>
    </cfRule>
    <cfRule type="cellIs" dxfId="57" priority="1006" operator="equal">
      <formula>$U$1</formula>
    </cfRule>
  </conditionalFormatting>
  <conditionalFormatting sqref="C212">
    <cfRule type="cellIs" dxfId="56" priority="1003" operator="equal">
      <formula>$U$1</formula>
    </cfRule>
    <cfRule type="cellIs" dxfId="55" priority="1004" operator="equal">
      <formula>$S$1</formula>
    </cfRule>
  </conditionalFormatting>
  <conditionalFormatting sqref="D212">
    <cfRule type="cellIs" dxfId="54" priority="1001" operator="equal">
      <formula>$S$1</formula>
    </cfRule>
    <cfRule type="cellIs" dxfId="53" priority="1002" operator="equal">
      <formula>$U$1</formula>
    </cfRule>
  </conditionalFormatting>
  <conditionalFormatting sqref="C237">
    <cfRule type="cellIs" dxfId="52" priority="999" operator="equal">
      <formula>$U$1</formula>
    </cfRule>
    <cfRule type="cellIs" dxfId="51" priority="1000" operator="equal">
      <formula>$S$1</formula>
    </cfRule>
  </conditionalFormatting>
  <conditionalFormatting sqref="D237">
    <cfRule type="cellIs" dxfId="50" priority="997" operator="equal">
      <formula>$S$1</formula>
    </cfRule>
    <cfRule type="cellIs" dxfId="49" priority="998" operator="equal">
      <formula>$U$1</formula>
    </cfRule>
  </conditionalFormatting>
  <conditionalFormatting sqref="C106">
    <cfRule type="cellIs" dxfId="48" priority="995" operator="equal">
      <formula>$U$1</formula>
    </cfRule>
    <cfRule type="cellIs" dxfId="47" priority="996" operator="equal">
      <formula>$S$1</formula>
    </cfRule>
  </conditionalFormatting>
  <conditionalFormatting sqref="D106">
    <cfRule type="cellIs" dxfId="46" priority="993" operator="equal">
      <formula>$S$1</formula>
    </cfRule>
    <cfRule type="cellIs" dxfId="45" priority="994" operator="equal">
      <formula>$U$1</formula>
    </cfRule>
  </conditionalFormatting>
  <conditionalFormatting sqref="C81">
    <cfRule type="cellIs" dxfId="44" priority="991" operator="equal">
      <formula>$U$1</formula>
    </cfRule>
    <cfRule type="cellIs" dxfId="43" priority="992" operator="equal">
      <formula>$S$1</formula>
    </cfRule>
  </conditionalFormatting>
  <conditionalFormatting sqref="D81">
    <cfRule type="cellIs" dxfId="42" priority="989" operator="equal">
      <formula>$S$1</formula>
    </cfRule>
    <cfRule type="cellIs" dxfId="41" priority="990" operator="equal">
      <formula>$U$1</formula>
    </cfRule>
  </conditionalFormatting>
  <conditionalFormatting sqref="C56">
    <cfRule type="cellIs" dxfId="40" priority="987" operator="equal">
      <formula>$U$1</formula>
    </cfRule>
    <cfRule type="cellIs" dxfId="39" priority="988" operator="equal">
      <formula>$S$1</formula>
    </cfRule>
  </conditionalFormatting>
  <conditionalFormatting sqref="D56">
    <cfRule type="cellIs" dxfId="38" priority="985" operator="equal">
      <formula>$S$1</formula>
    </cfRule>
    <cfRule type="cellIs" dxfId="37" priority="986" operator="equal">
      <formula>$U$1</formula>
    </cfRule>
  </conditionalFormatting>
  <conditionalFormatting sqref="C31">
    <cfRule type="cellIs" dxfId="36" priority="983" operator="equal">
      <formula>$U$1</formula>
    </cfRule>
    <cfRule type="cellIs" dxfId="35" priority="984" operator="equal">
      <formula>$S$1</formula>
    </cfRule>
  </conditionalFormatting>
  <conditionalFormatting sqref="D31">
    <cfRule type="cellIs" dxfId="34" priority="981" operator="equal">
      <formula>$S$1</formula>
    </cfRule>
    <cfRule type="cellIs" dxfId="33" priority="98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7" zoomScale="90" zoomScaleNormal="90" workbookViewId="0">
      <pane xSplit="4" topLeftCell="G1" activePane="topRight" state="frozen"/>
      <selection activeCell="A109" sqref="A109"/>
      <selection pane="topRight" activeCell="AK115" sqref="AK11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3" x14ac:dyDescent="0.25">
      <c r="A97" s="30">
        <v>9.849732675807628</v>
      </c>
      <c r="E97"/>
    </row>
    <row r="98" spans="1:33" x14ac:dyDescent="0.25">
      <c r="A98" s="30">
        <v>8.9543024325523888</v>
      </c>
      <c r="C98" s="1" t="s">
        <v>13</v>
      </c>
      <c r="E98"/>
    </row>
    <row r="99" spans="1:33" x14ac:dyDescent="0.25">
      <c r="A99" s="30">
        <v>8.140274938683989</v>
      </c>
      <c r="C99" s="1">
        <f>C88</f>
        <v>0</v>
      </c>
      <c r="E99"/>
    </row>
    <row r="100" spans="1:33" x14ac:dyDescent="0.25">
      <c r="A100" s="30">
        <v>7.4002499442581717</v>
      </c>
      <c r="C100"/>
      <c r="D100"/>
      <c r="E100"/>
    </row>
    <row r="101" spans="1:33" x14ac:dyDescent="0.25">
      <c r="A101" s="30">
        <v>6.72749994932561</v>
      </c>
      <c r="C101" s="1" t="s">
        <v>14</v>
      </c>
      <c r="E101"/>
    </row>
    <row r="102" spans="1:3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3" x14ac:dyDescent="0.25">
      <c r="A103" s="30">
        <v>5.5599173134922388</v>
      </c>
      <c r="E103"/>
    </row>
    <row r="104" spans="1:33" x14ac:dyDescent="0.25">
      <c r="A104" s="30">
        <v>5.0544702849929442</v>
      </c>
      <c r="E104"/>
    </row>
    <row r="105" spans="1:33" x14ac:dyDescent="0.25">
      <c r="A105" s="30">
        <v>4.594972986357222</v>
      </c>
      <c r="E105"/>
    </row>
    <row r="106" spans="1:33" x14ac:dyDescent="0.25">
      <c r="A106" s="30">
        <v>4.1772481694156562</v>
      </c>
      <c r="E106"/>
      <c r="S106" s="32" t="s">
        <v>8</v>
      </c>
      <c r="U106" s="31" t="s">
        <v>8</v>
      </c>
    </row>
    <row r="107" spans="1:33" x14ac:dyDescent="0.25">
      <c r="A107" s="30">
        <v>3.7974983358324148</v>
      </c>
      <c r="E107"/>
      <c r="S107" s="27" t="s">
        <v>8</v>
      </c>
      <c r="T107" s="27" t="s">
        <v>7</v>
      </c>
      <c r="U107" s="27" t="s">
        <v>8</v>
      </c>
      <c r="V107" s="31" t="s">
        <v>7</v>
      </c>
    </row>
    <row r="108" spans="1:33" x14ac:dyDescent="0.25">
      <c r="A108" s="30">
        <v>3.4522712143931042</v>
      </c>
      <c r="E108"/>
      <c r="S108" s="27" t="s">
        <v>8</v>
      </c>
      <c r="T108" s="27" t="s">
        <v>7</v>
      </c>
      <c r="U108" s="27" t="s">
        <v>8</v>
      </c>
      <c r="V108" s="27" t="s">
        <v>7</v>
      </c>
      <c r="W108" s="31"/>
    </row>
    <row r="109" spans="1:33" x14ac:dyDescent="0.25">
      <c r="A109" s="30">
        <v>3.1384283767210035</v>
      </c>
      <c r="E109"/>
      <c r="Q109" s="27" t="s">
        <v>8</v>
      </c>
      <c r="S109" s="27" t="s">
        <v>8</v>
      </c>
      <c r="T109" s="27" t="s">
        <v>7</v>
      </c>
      <c r="U109" s="27" t="s">
        <v>8</v>
      </c>
      <c r="V109" s="27" t="s">
        <v>7</v>
      </c>
      <c r="X109" s="31"/>
    </row>
    <row r="110" spans="1:33" x14ac:dyDescent="0.25">
      <c r="A110" s="30">
        <v>2.8531167061100029</v>
      </c>
      <c r="E110"/>
      <c r="Q110" s="27" t="s">
        <v>8</v>
      </c>
      <c r="R110" s="27" t="s">
        <v>7</v>
      </c>
      <c r="S110" s="27" t="s">
        <v>8</v>
      </c>
      <c r="T110" s="27" t="s">
        <v>7</v>
      </c>
      <c r="U110" s="27" t="s">
        <v>8</v>
      </c>
      <c r="V110" s="27" t="s">
        <v>7</v>
      </c>
      <c r="Y110" s="31"/>
    </row>
    <row r="111" spans="1:33" x14ac:dyDescent="0.25">
      <c r="A111" s="30">
        <v>2.5937424601000023</v>
      </c>
      <c r="C111" s="1" t="str">
        <f>ADDRESS(C121-1,1,1,1)</f>
        <v>$A$114</v>
      </c>
      <c r="D111" s="1" t="str">
        <f>ADDRESS(C121-1,D121,1,1)</f>
        <v>$AK$114</v>
      </c>
      <c r="E111"/>
      <c r="Q111" s="27" t="s">
        <v>8</v>
      </c>
      <c r="R111" s="27" t="s">
        <v>7</v>
      </c>
      <c r="S111" s="27" t="s">
        <v>8</v>
      </c>
      <c r="T111" s="27" t="s">
        <v>7</v>
      </c>
      <c r="U111" s="27" t="s">
        <v>8</v>
      </c>
      <c r="V111" s="27" t="s">
        <v>7</v>
      </c>
      <c r="Z111" s="31"/>
      <c r="AA111" s="27" t="s">
        <v>8</v>
      </c>
    </row>
    <row r="112" spans="1:33" x14ac:dyDescent="0.25">
      <c r="A112" s="30">
        <v>2.3579476910000019</v>
      </c>
      <c r="C112" s="1" t="str">
        <f>ADDRESS(C121,1,1,1)</f>
        <v>$A$115</v>
      </c>
      <c r="D112" s="1" t="str">
        <f>ADDRESS(C121,D121-1,1,1)</f>
        <v>$AJ$115</v>
      </c>
      <c r="E112"/>
      <c r="O112" s="27" t="s">
        <v>8</v>
      </c>
      <c r="Q112" s="27" t="s">
        <v>8</v>
      </c>
      <c r="R112" s="32" t="s">
        <v>7</v>
      </c>
      <c r="T112" s="32" t="s">
        <v>7</v>
      </c>
      <c r="V112" s="27" t="s">
        <v>7</v>
      </c>
      <c r="AA112" s="31" t="s">
        <v>8</v>
      </c>
      <c r="AB112" s="31" t="s">
        <v>7</v>
      </c>
      <c r="AG112" s="27" t="s">
        <v>8</v>
      </c>
    </row>
    <row r="113" spans="1:37" x14ac:dyDescent="0.25">
      <c r="A113" s="30">
        <v>2.1435888100000016</v>
      </c>
      <c r="C113" s="1" t="str">
        <f>ADDRESS(C121+1,1,1,1)</f>
        <v>$A$116</v>
      </c>
      <c r="D113" s="1" t="str">
        <f>ADDRESS(C121-1,D121+1,1,1)</f>
        <v>$AL$114</v>
      </c>
      <c r="M113" s="27" t="s">
        <v>8</v>
      </c>
      <c r="O113" s="27" t="s">
        <v>8</v>
      </c>
      <c r="P113" s="27" t="s">
        <v>7</v>
      </c>
      <c r="Q113" s="27" t="s">
        <v>8</v>
      </c>
      <c r="V113" s="34" t="s">
        <v>7</v>
      </c>
      <c r="W113" s="27" t="s">
        <v>8</v>
      </c>
      <c r="AA113" s="33" t="s">
        <v>8</v>
      </c>
      <c r="AB113" s="27" t="s">
        <v>7</v>
      </c>
      <c r="AC113" s="31"/>
      <c r="AE113" s="27" t="s">
        <v>8</v>
      </c>
      <c r="AG113" s="27" t="s">
        <v>8</v>
      </c>
      <c r="AH113" s="27" t="s">
        <v>7</v>
      </c>
      <c r="AI113" s="27" t="s">
        <v>8</v>
      </c>
    </row>
    <row r="114" spans="1:37" x14ac:dyDescent="0.25">
      <c r="A114" s="30">
        <v>1.9487171000000014</v>
      </c>
      <c r="C114" s="1" t="str">
        <f>ADDRESS(C121,D121,1,1)</f>
        <v>$AK$115</v>
      </c>
      <c r="D114" s="1" t="str">
        <f>ADDRESS(C121+1,D121+1,1,1)</f>
        <v>$AL$116</v>
      </c>
      <c r="E114" s="1" t="s">
        <v>8</v>
      </c>
      <c r="G114" s="27" t="s">
        <v>8</v>
      </c>
      <c r="M114" s="27" t="s">
        <v>8</v>
      </c>
      <c r="N114" s="27" t="s">
        <v>7</v>
      </c>
      <c r="O114" s="27" t="s">
        <v>8</v>
      </c>
      <c r="P114" s="27" t="s">
        <v>7</v>
      </c>
      <c r="Q114" s="27" t="s">
        <v>8</v>
      </c>
      <c r="U114" s="31"/>
      <c r="V114" s="27" t="s">
        <v>7</v>
      </c>
      <c r="W114" s="27" t="s">
        <v>8</v>
      </c>
      <c r="X114" s="27" t="s">
        <v>7</v>
      </c>
      <c r="Y114" s="27" t="s">
        <v>8</v>
      </c>
      <c r="AA114" s="27" t="s">
        <v>8</v>
      </c>
      <c r="AB114" s="27" t="s">
        <v>7</v>
      </c>
      <c r="AD114" s="31"/>
      <c r="AE114" s="27" t="s">
        <v>8</v>
      </c>
      <c r="AF114" s="27" t="s">
        <v>7</v>
      </c>
      <c r="AG114" s="27" t="s">
        <v>8</v>
      </c>
      <c r="AH114" s="27" t="s">
        <v>7</v>
      </c>
      <c r="AI114" s="27" t="s">
        <v>8</v>
      </c>
      <c r="AJ114" s="27" t="s">
        <v>7</v>
      </c>
    </row>
    <row r="115" spans="1:37" x14ac:dyDescent="0.25">
      <c r="A115" s="30">
        <v>1.7715610000000011</v>
      </c>
      <c r="C115" s="1" t="str">
        <f>ADDRESS(C121+1,D121,1,1)</f>
        <v>$AK$116</v>
      </c>
      <c r="E115" s="1" t="s">
        <v>8</v>
      </c>
      <c r="F115" s="27" t="s">
        <v>7</v>
      </c>
      <c r="G115" s="27" t="s">
        <v>8</v>
      </c>
      <c r="H115" s="27" t="s">
        <v>7</v>
      </c>
      <c r="M115" s="27" t="s">
        <v>8</v>
      </c>
      <c r="N115" s="27" t="s">
        <v>7</v>
      </c>
      <c r="O115" s="27" t="s">
        <v>8</v>
      </c>
      <c r="P115" s="27" t="s">
        <v>7</v>
      </c>
      <c r="Q115" s="27" t="s">
        <v>8</v>
      </c>
      <c r="T115" s="31"/>
      <c r="V115" s="27" t="s">
        <v>7</v>
      </c>
      <c r="W115" s="27" t="s">
        <v>8</v>
      </c>
      <c r="X115" s="27" t="s">
        <v>7</v>
      </c>
      <c r="Y115" s="27" t="s">
        <v>8</v>
      </c>
      <c r="Z115" s="27" t="s">
        <v>7</v>
      </c>
      <c r="AA115" s="27" t="s">
        <v>8</v>
      </c>
      <c r="AB115" s="27" t="s">
        <v>7</v>
      </c>
      <c r="AC115" s="27" t="s">
        <v>8</v>
      </c>
      <c r="AE115" s="31" t="s">
        <v>8</v>
      </c>
      <c r="AF115" s="27" t="s">
        <v>7</v>
      </c>
      <c r="AG115" s="27" t="s">
        <v>8</v>
      </c>
      <c r="AH115" s="27" t="s">
        <v>7</v>
      </c>
      <c r="AI115" s="27" t="s">
        <v>8</v>
      </c>
      <c r="AJ115" s="27" t="s">
        <v>7</v>
      </c>
      <c r="AK115" s="27" t="s">
        <v>8</v>
      </c>
    </row>
    <row r="116" spans="1:37" x14ac:dyDescent="0.25">
      <c r="A116" s="30">
        <v>1.6105100000000008</v>
      </c>
      <c r="C116" s="1">
        <f>C117-1</f>
        <v>114</v>
      </c>
      <c r="E116" s="1" t="s">
        <v>8</v>
      </c>
      <c r="F116" s="27" t="s">
        <v>7</v>
      </c>
      <c r="G116" s="27" t="s">
        <v>8</v>
      </c>
      <c r="H116" s="27" t="s">
        <v>7</v>
      </c>
      <c r="M116" s="27" t="s">
        <v>8</v>
      </c>
      <c r="N116" s="27" t="s">
        <v>7</v>
      </c>
      <c r="P116" s="27" t="s">
        <v>7</v>
      </c>
      <c r="Q116" s="27" t="s">
        <v>8</v>
      </c>
      <c r="S116" s="31"/>
      <c r="V116" s="27" t="s">
        <v>7</v>
      </c>
      <c r="W116" s="27" t="s">
        <v>8</v>
      </c>
      <c r="X116" s="27" t="s">
        <v>7</v>
      </c>
      <c r="Y116" s="27" t="s">
        <v>8</v>
      </c>
      <c r="Z116" s="27" t="s">
        <v>7</v>
      </c>
      <c r="AA116" s="27" t="s">
        <v>8</v>
      </c>
      <c r="AB116" s="27" t="s">
        <v>7</v>
      </c>
      <c r="AC116" s="27" t="s">
        <v>8</v>
      </c>
      <c r="AD116" s="27" t="s">
        <v>7</v>
      </c>
      <c r="AE116" s="27" t="s">
        <v>8</v>
      </c>
      <c r="AF116" s="27" t="s">
        <v>7</v>
      </c>
      <c r="AG116" s="27" t="s">
        <v>8</v>
      </c>
      <c r="AH116" s="27" t="s">
        <v>7</v>
      </c>
      <c r="AJ116" s="27" t="s">
        <v>7</v>
      </c>
      <c r="AK116" s="27" t="s">
        <v>8</v>
      </c>
    </row>
    <row r="117" spans="1:37" x14ac:dyDescent="0.25">
      <c r="A117" s="30">
        <v>1.4641000000000006</v>
      </c>
      <c r="C117" s="1">
        <f>C121</f>
        <v>115</v>
      </c>
      <c r="D117" s="1">
        <f>D121</f>
        <v>37</v>
      </c>
      <c r="E117" s="1" t="s">
        <v>8</v>
      </c>
      <c r="F117" s="27" t="s">
        <v>7</v>
      </c>
      <c r="G117" s="27" t="s">
        <v>8</v>
      </c>
      <c r="H117" s="27" t="s">
        <v>7</v>
      </c>
      <c r="M117" s="27" t="s">
        <v>8</v>
      </c>
      <c r="P117" s="27" t="s">
        <v>7</v>
      </c>
      <c r="R117" s="31"/>
      <c r="V117" s="27" t="s">
        <v>7</v>
      </c>
      <c r="X117" s="27" t="s">
        <v>7</v>
      </c>
      <c r="Y117" s="27" t="s">
        <v>8</v>
      </c>
      <c r="Z117" s="27" t="s">
        <v>7</v>
      </c>
      <c r="AB117" s="27" t="s">
        <v>7</v>
      </c>
      <c r="AC117" s="27" t="s">
        <v>8</v>
      </c>
      <c r="AD117" s="27" t="s">
        <v>7</v>
      </c>
      <c r="AE117" s="27" t="s">
        <v>8</v>
      </c>
      <c r="AF117" s="31" t="s">
        <v>7</v>
      </c>
      <c r="AG117" s="27" t="s">
        <v>8</v>
      </c>
      <c r="AJ117" s="27" t="s">
        <v>7</v>
      </c>
      <c r="AK117" s="27" t="s">
        <v>8</v>
      </c>
    </row>
    <row r="118" spans="1:37" x14ac:dyDescent="0.25">
      <c r="A118" s="30">
        <v>1.3310000000000004</v>
      </c>
      <c r="C118" s="1">
        <f>C117+1</f>
        <v>116</v>
      </c>
      <c r="D118" s="1">
        <f>D117+1</f>
        <v>38</v>
      </c>
      <c r="E118" s="1" t="s">
        <v>8</v>
      </c>
      <c r="F118" s="27" t="s">
        <v>7</v>
      </c>
      <c r="G118" s="27" t="s">
        <v>8</v>
      </c>
      <c r="H118" s="27" t="s">
        <v>7</v>
      </c>
      <c r="I118" s="27" t="s">
        <v>8</v>
      </c>
      <c r="M118" s="27" t="s">
        <v>8</v>
      </c>
      <c r="Q118" s="31"/>
      <c r="X118" s="27" t="s">
        <v>7</v>
      </c>
      <c r="Y118" s="27" t="s">
        <v>8</v>
      </c>
      <c r="AB118" s="34" t="s">
        <v>7</v>
      </c>
      <c r="AC118" s="27" t="s">
        <v>8</v>
      </c>
      <c r="AD118" s="18" t="s">
        <v>7</v>
      </c>
      <c r="AE118" s="31" t="s">
        <v>8</v>
      </c>
      <c r="AF118" s="27" t="s">
        <v>7</v>
      </c>
      <c r="AJ118" s="27" t="s">
        <v>7</v>
      </c>
      <c r="AK118" s="27" t="s">
        <v>8</v>
      </c>
    </row>
    <row r="119" spans="1:37" x14ac:dyDescent="0.25">
      <c r="A119" s="30">
        <v>1.2100000000000002</v>
      </c>
      <c r="E119" s="1" t="s">
        <v>8</v>
      </c>
      <c r="F119" s="27" t="s">
        <v>7</v>
      </c>
      <c r="H119" s="27" t="s">
        <v>7</v>
      </c>
      <c r="I119" s="27" t="s">
        <v>8</v>
      </c>
      <c r="J119" s="27" t="s">
        <v>7</v>
      </c>
      <c r="K119" s="27" t="s">
        <v>8</v>
      </c>
      <c r="M119" s="27" t="s">
        <v>8</v>
      </c>
      <c r="P119" s="31"/>
      <c r="X119" s="27" t="s">
        <v>7</v>
      </c>
      <c r="AB119" s="27" t="s">
        <v>7</v>
      </c>
      <c r="AC119" s="27" t="s">
        <v>8</v>
      </c>
      <c r="AD119" s="31" t="s">
        <v>7</v>
      </c>
      <c r="AJ119" s="27" t="s">
        <v>7</v>
      </c>
    </row>
    <row r="120" spans="1:37" x14ac:dyDescent="0.25">
      <c r="A120" s="30">
        <v>1.1000000000000001</v>
      </c>
      <c r="C120" s="1" t="s">
        <v>9</v>
      </c>
      <c r="E120" s="1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  <c r="L120" s="27" t="s">
        <v>7</v>
      </c>
      <c r="M120" s="27" t="s">
        <v>8</v>
      </c>
      <c r="O120" s="31"/>
      <c r="AB120" s="27" t="s">
        <v>7</v>
      </c>
    </row>
    <row r="121" spans="1:37" x14ac:dyDescent="0.25">
      <c r="A121" s="30">
        <v>1</v>
      </c>
      <c r="C121" s="18">
        <v>115</v>
      </c>
      <c r="D121" s="19">
        <v>37</v>
      </c>
      <c r="E121" s="18" t="s">
        <v>8</v>
      </c>
      <c r="H121" s="27" t="s">
        <v>7</v>
      </c>
      <c r="I121" s="27" t="s">
        <v>8</v>
      </c>
      <c r="J121" s="27" t="s">
        <v>7</v>
      </c>
      <c r="K121" s="27" t="s">
        <v>8</v>
      </c>
      <c r="L121" s="27" t="s">
        <v>7</v>
      </c>
      <c r="M121" s="27" t="s">
        <v>8</v>
      </c>
      <c r="N121" s="31"/>
    </row>
    <row r="122" spans="1:37" x14ac:dyDescent="0.25">
      <c r="A122" s="30">
        <v>0.90909090909090895</v>
      </c>
      <c r="C122" s="1" t="str">
        <f>INDEX(1:1048576,C117,D117)</f>
        <v>X</v>
      </c>
      <c r="H122" s="27" t="s">
        <v>7</v>
      </c>
      <c r="I122" s="27" t="s">
        <v>8</v>
      </c>
      <c r="J122" s="27" t="s">
        <v>7</v>
      </c>
      <c r="K122" s="27" t="s">
        <v>8</v>
      </c>
      <c r="L122" s="27" t="s">
        <v>7</v>
      </c>
      <c r="M122" s="31"/>
    </row>
    <row r="123" spans="1:37" x14ac:dyDescent="0.25">
      <c r="A123" s="30">
        <v>0.82644628099173523</v>
      </c>
      <c r="C123" s="1" t="str">
        <f>"R"&amp;C121</f>
        <v>R115</v>
      </c>
      <c r="D123" s="1" t="str">
        <f>"C"&amp;D121</f>
        <v>C37</v>
      </c>
      <c r="H123" s="27" t="s">
        <v>7</v>
      </c>
      <c r="I123" s="27" t="s">
        <v>8</v>
      </c>
      <c r="J123" s="27" t="s">
        <v>7</v>
      </c>
      <c r="K123" s="27" t="s">
        <v>8</v>
      </c>
      <c r="L123" s="31"/>
    </row>
    <row r="124" spans="1:37" x14ac:dyDescent="0.25">
      <c r="A124" s="30">
        <v>0.75131480090157732</v>
      </c>
      <c r="C124" s="1">
        <f>SUM(C130:D130)</f>
        <v>0</v>
      </c>
      <c r="D124" s="1">
        <f>IF(C124=0,0,1)</f>
        <v>0</v>
      </c>
      <c r="H124" s="27" t="s">
        <v>7</v>
      </c>
      <c r="J124" s="27" t="s">
        <v>7</v>
      </c>
      <c r="K124" s="31" t="s">
        <v>8</v>
      </c>
    </row>
    <row r="125" spans="1:37" x14ac:dyDescent="0.25">
      <c r="A125" s="30">
        <v>0.68301345536507019</v>
      </c>
      <c r="J125" s="31" t="s">
        <v>7</v>
      </c>
    </row>
    <row r="126" spans="1:37" x14ac:dyDescent="0.25">
      <c r="A126" s="30">
        <v>0.6209213230591546</v>
      </c>
      <c r="C126" s="1" t="s">
        <v>10</v>
      </c>
    </row>
    <row r="127" spans="1:37" x14ac:dyDescent="0.25">
      <c r="A127" s="30">
        <v>0.56447393005377677</v>
      </c>
      <c r="C127" s="30">
        <v>1.7715610000000011</v>
      </c>
      <c r="D127"/>
    </row>
    <row r="128" spans="1:37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99" operator="equal">
      <formula>$U$1</formula>
    </cfRule>
    <cfRule type="cellIs" dxfId="30" priority="1000" operator="equal">
      <formula>$S$1</formula>
    </cfRule>
  </conditionalFormatting>
  <conditionalFormatting sqref="D136">
    <cfRule type="cellIs" dxfId="29" priority="997" operator="equal">
      <formula>$S$1</formula>
    </cfRule>
    <cfRule type="cellIs" dxfId="28" priority="998" operator="equal">
      <formula>$U$1</formula>
    </cfRule>
  </conditionalFormatting>
  <conditionalFormatting sqref="C102">
    <cfRule type="cellIs" dxfId="27" priority="995" operator="equal">
      <formula>$U$1</formula>
    </cfRule>
    <cfRule type="cellIs" dxfId="26" priority="996" operator="equal">
      <formula>$S$1</formula>
    </cfRule>
  </conditionalFormatting>
  <conditionalFormatting sqref="D102">
    <cfRule type="cellIs" dxfId="25" priority="993" operator="equal">
      <formula>$S$1</formula>
    </cfRule>
    <cfRule type="cellIs" dxfId="24" priority="994" operator="equal">
      <formula>$U$1</formula>
    </cfRule>
  </conditionalFormatting>
  <conditionalFormatting sqref="C77">
    <cfRule type="cellIs" dxfId="23" priority="991" operator="equal">
      <formula>$U$1</formula>
    </cfRule>
    <cfRule type="cellIs" dxfId="22" priority="992" operator="equal">
      <formula>$S$1</formula>
    </cfRule>
  </conditionalFormatting>
  <conditionalFormatting sqref="D77">
    <cfRule type="cellIs" dxfId="21" priority="989" operator="equal">
      <formula>$S$1</formula>
    </cfRule>
    <cfRule type="cellIs" dxfId="20" priority="990" operator="equal">
      <formula>$U$1</formula>
    </cfRule>
  </conditionalFormatting>
  <conditionalFormatting sqref="C52">
    <cfRule type="cellIs" dxfId="19" priority="987" operator="equal">
      <formula>$U$1</formula>
    </cfRule>
    <cfRule type="cellIs" dxfId="18" priority="988" operator="equal">
      <formula>$S$1</formula>
    </cfRule>
  </conditionalFormatting>
  <conditionalFormatting sqref="D52">
    <cfRule type="cellIs" dxfId="17" priority="985" operator="equal">
      <formula>$S$1</formula>
    </cfRule>
    <cfRule type="cellIs" dxfId="16" priority="986" operator="equal">
      <formula>$U$1</formula>
    </cfRule>
  </conditionalFormatting>
  <conditionalFormatting sqref="C26">
    <cfRule type="cellIs" dxfId="15" priority="983" operator="equal">
      <formula>$U$1</formula>
    </cfRule>
    <cfRule type="cellIs" dxfId="14" priority="984" operator="equal">
      <formula>$S$1</formula>
    </cfRule>
  </conditionalFormatting>
  <conditionalFormatting sqref="D26">
    <cfRule type="cellIs" dxfId="13" priority="981" operator="equal">
      <formula>$S$1</formula>
    </cfRule>
    <cfRule type="cellIs" dxfId="12" priority="98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1.1576249999999999</v>
      </c>
      <c r="F3" s="30">
        <v>1.2155062500000002</v>
      </c>
      <c r="G3" s="30">
        <v>1.9799315994393987</v>
      </c>
      <c r="H3" s="25">
        <f>IF(G3="","",(3*(G3-F3))+E3)</f>
        <v>3.4509010483181952</v>
      </c>
      <c r="I3" s="7"/>
      <c r="J3" s="7">
        <f>(E3+G3)/2</f>
        <v>1.5687782997196993</v>
      </c>
      <c r="K3" s="7">
        <f>H3/2</f>
        <v>1.7254505241590976</v>
      </c>
      <c r="M3" s="26">
        <f>IF(OR(J3="",H3=""),"",H3/J3)</f>
        <v>2.1997378781531993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2022-01-28T01:18:14Z</dcterms:modified>
</cp:coreProperties>
</file>